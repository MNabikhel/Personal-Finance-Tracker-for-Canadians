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'Rules'!$B$1:$M$198</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'Help'!$B$1:$C$51</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5"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IF($C7="","",IFERROR(INDEX(tblAccounts[Owner],MATCH($E7,tblAccounts[Account],0)),"Joint"))</f>
        <v/>
      </c>
      <c r="G7" t="inlineStr">
        <is>
          <t>Joint</t>
        </is>
      </c>
      <c r="H7" t="inlineStr">
        <is>
          <t>RENT PAYMENT 84 BROADVIEW AVE</t>
        </is>
      </c>
      <c r="I7" t="inlineStr">
        <is>
          <t>Rent Payment</t>
        </is>
      </c>
      <c r="J7" s="14" t="n">
        <v>-2350</v>
      </c>
      <c r="K7" t="inlineStr">
        <is>
          <t>Rent</t>
        </is>
      </c>
      <c r="L7">
        <f>IF($C7="","",IFERROR(INDEX(tblCategories[Group],MATCH($K7,tblCategories[Category],0)),"Other"))</f>
        <v/>
      </c>
      <c r="M7">
        <f>IF($C7="","",IFERROR(INDEX(tblCategories[Type],MATCH($K7,tblCategories[Category],0)),IF($J7&gt;0,"Income","Expense")))</f>
        <v/>
      </c>
      <c r="N7">
        <f>IF($C7="","",IFERROR(INDEX(tblCategories[Essential],MATCH($K7,tblCategories[Category],0)),"No"))</f>
        <v/>
      </c>
      <c r="O7">
        <f>IF($C7="","",IFERROR(INDEX(tblCategories[Tax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IF($C8="","",IFERROR(INDEX(tblAccounts[Owner],MATCH($E8,tblAccounts[Account],0)),"Joint"))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IF($C8="","",IFERROR(INDEX(tblCategories[Group],MATCH($K8,tblCategories[Category],0)),"Other"))</f>
        <v/>
      </c>
      <c r="M8">
        <f>IF($C8="","",IFERROR(INDEX(tblCategories[Type],MATCH($K8,tblCategories[Category],0)),IF($J8&gt;0,"Income","Expense")))</f>
        <v/>
      </c>
      <c r="N8">
        <f>IF($C8="","",IFERROR(INDEX(tblCategories[Essential],MATCH($K8,tblCategories[Category],0)),"No"))</f>
        <v/>
      </c>
      <c r="O8">
        <f>IF($C8="","",IFERROR(INDEX(tblCategories[Tax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IF($C9="","",IFERROR(INDEX(tblAccounts[Owner],MATCH($E9,tblAccounts[Account],0)),"Joint"))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IF($C9="","",IFERROR(INDEX(tblCategories[Group],MATCH($K9,tblCategories[Category],0)),"Other"))</f>
        <v/>
      </c>
      <c r="M9">
        <f>IF($C9="","",IFERROR(INDEX(tblCategories[Type],MATCH($K9,tblCategories[Category],0)),IF($J9&gt;0,"Income","Expense")))</f>
        <v/>
      </c>
      <c r="N9">
        <f>IF($C9="","",IFERROR(INDEX(tblCategories[Essential],MATCH($K9,tblCategories[Category],0)),"No"))</f>
        <v/>
      </c>
      <c r="O9">
        <f>IF($C9="","",IFERROR(INDEX(tblCategories[Tax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IF($C10="","",IFERROR(INDEX(tblAccounts[Owner],MATCH($E10,tblAccounts[Account],0)),"Joint"))</f>
        <v/>
      </c>
      <c r="G10" t="inlineStr">
        <is>
          <t>Sam</t>
        </is>
      </c>
      <c r="H10" t="inlineStr">
        <is>
          <t>IDP PURCHASE - 6527 LCBO/RAO #4079 TORONTO ON</t>
        </is>
      </c>
      <c r="I10" t="inlineStr">
        <is>
          <t>Lcbo</t>
        </is>
      </c>
      <c r="J10" s="14" t="n">
        <v>-28.27</v>
      </c>
      <c r="K10" t="inlineStr">
        <is>
          <t>Alcohol</t>
        </is>
      </c>
      <c r="L10">
        <f>IF($C10="","",IFERROR(INDEX(tblCategories[Group],MATCH($K10,tblCategories[Category],0)),"Other"))</f>
        <v/>
      </c>
      <c r="M10">
        <f>IF($C10="","",IFERROR(INDEX(tblCategories[Type],MATCH($K10,tblCategories[Category],0)),IF($J10&gt;0,"Income","Expense")))</f>
        <v/>
      </c>
      <c r="N10">
        <f>IF($C10="","",IFERROR(INDEX(tblCategories[Essential],MATCH($K10,tblCategories[Category],0)),"No"))</f>
        <v/>
      </c>
      <c r="O10">
        <f>IF($C10="","",IFERROR(INDEX(tblCategories[Tax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IF($C11="","",IFERROR(INDEX(tblAccounts[Owner],MATCH($E11,tblAccounts[Account],0)),"Joint"))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IF($C11="","",IFERROR(INDEX(tblCategories[Group],MATCH($K11,tblCategories[Category],0)),"Other"))</f>
        <v/>
      </c>
      <c r="M11">
        <f>IF($C11="","",IFERROR(INDEX(tblCategories[Type],MATCH($K11,tblCategories[Category],0)),IF($J11&gt;0,"Income","Expense")))</f>
        <v/>
      </c>
      <c r="N11">
        <f>IF($C11="","",IFERROR(INDEX(tblCategories[Essential],MATCH($K11,tblCategories[Category],0)),"No"))</f>
        <v/>
      </c>
      <c r="O11">
        <f>IF($C11="","",IFERROR(INDEX(tblCategories[Tax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IF($C12="","",IFERROR(INDEX(tblAccounts[Owner],MATCH($E12,tblAccounts[Account],0)),"Joint"))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IF($C12="","",IFERROR(INDEX(tblCategories[Group],MATCH($K12,tblCategories[Category],0)),"Other"))</f>
        <v/>
      </c>
      <c r="M12">
        <f>IF($C12="","",IFERROR(INDEX(tblCategories[Type],MATCH($K12,tblCategories[Category],0)),IF($J12&gt;0,"Income","Expense")))</f>
        <v/>
      </c>
      <c r="N12">
        <f>IF($C12="","",IFERROR(INDEX(tblCategories[Essential],MATCH($K12,tblCategories[Category],0)),"No"))</f>
        <v/>
      </c>
      <c r="O12">
        <f>IF($C12="","",IFERROR(INDEX(tblCategories[Tax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IF($C13="","",IFERROR(INDEX(tblAccounts[Owner],MATCH($E13,tblAccounts[Account],0)),"Joint"))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IF($C13="","",IFERROR(INDEX(tblCategories[Group],MATCH($K13,tblCategories[Category],0)),"Other"))</f>
        <v/>
      </c>
      <c r="M13">
        <f>IF($C13="","",IFERROR(INDEX(tblCategories[Type],MATCH($K13,tblCategories[Category],0)),IF($J13&gt;0,"Income","Expense")))</f>
        <v/>
      </c>
      <c r="N13">
        <f>IF($C13="","",IFERROR(INDEX(tblCategories[Essential],MATCH($K13,tblCategories[Category],0)),"No"))</f>
        <v/>
      </c>
      <c r="O13">
        <f>IF($C13="","",IFERROR(INDEX(tblCategories[Tax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IF($C14="","",IFERROR(INDEX(tblAccounts[Owner],MATCH($E14,tblAccounts[Account],0)),"Joint"))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IF($C14="","",IFERROR(INDEX(tblCategories[Group],MATCH($K14,tblCategories[Category],0)),"Other"))</f>
        <v/>
      </c>
      <c r="M14">
        <f>IF($C14="","",IFERROR(INDEX(tblCategories[Type],MATCH($K14,tblCategories[Category],0)),IF($J14&gt;0,"Income","Expense")))</f>
        <v/>
      </c>
      <c r="N14">
        <f>IF($C14="","",IFERROR(INDEX(tblCategories[Essential],MATCH($K14,tblCategories[Category],0)),"No"))</f>
        <v/>
      </c>
      <c r="O14">
        <f>IF($C14="","",IFERROR(INDEX(tblCategories[Tax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IF($C15="","",IFERROR(INDEX(tblAccounts[Owner],MATCH($E15,tblAccounts[Account],0)),"Joint"))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IF($C15="","",IFERROR(INDEX(tblCategories[Group],MATCH($K15,tblCategories[Category],0)),"Other"))</f>
        <v/>
      </c>
      <c r="M15">
        <f>IF($C15="","",IFERROR(INDEX(tblCategories[Type],MATCH($K15,tblCategories[Category],0)),IF($J15&gt;0,"Income","Expense")))</f>
        <v/>
      </c>
      <c r="N15">
        <f>IF($C15="","",IFERROR(INDEX(tblCategories[Essential],MATCH($K15,tblCategories[Category],0)),"No"))</f>
        <v/>
      </c>
      <c r="O15">
        <f>IF($C15="","",IFERROR(INDEX(tblCategories[Tax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IF($C16="","",IFERROR(INDEX(tblAccounts[Owner],MATCH($E16,tblAccounts[Account],0)),"Joint"))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IF($C16="","",IFERROR(INDEX(tblCategories[Group],MATCH($K16,tblCategories[Category],0)),"Other"))</f>
        <v/>
      </c>
      <c r="M16">
        <f>IF($C16="","",IFERROR(INDEX(tblCategories[Type],MATCH($K16,tblCategories[Category],0)),IF($J16&gt;0,"Income","Expense")))</f>
        <v/>
      </c>
      <c r="N16">
        <f>IF($C16="","",IFERROR(INDEX(tblCategories[Essential],MATCH($K16,tblCategories[Category],0)),"No"))</f>
        <v/>
      </c>
      <c r="O16">
        <f>IF($C16="","",IFERROR(INDEX(tblCategories[Tax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IF($C17="","",IFERROR(INDEX(tblAccounts[Owner],MATCH($E17,tblAccounts[Account],0)),"Joint"))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IF($C17="","",IFERROR(INDEX(tblCategories[Group],MATCH($K17,tblCategories[Category],0)),"Other"))</f>
        <v/>
      </c>
      <c r="M17">
        <f>IF($C17="","",IFERROR(INDEX(tblCategories[Type],MATCH($K17,tblCategories[Category],0)),IF($J17&gt;0,"Income","Expense")))</f>
        <v/>
      </c>
      <c r="N17">
        <f>IF($C17="","",IFERROR(INDEX(tblCategories[Essential],MATCH($K17,tblCategories[Category],0)),"No"))</f>
        <v/>
      </c>
      <c r="O17">
        <f>IF($C17="","",IFERROR(INDEX(tblCategories[Tax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IF($C18="","",IFERROR(INDEX(tblAccounts[Owner],MATCH($E18,tblAccounts[Account],0)),"Joint"))</f>
        <v/>
      </c>
      <c r="G18" t="inlineStr">
        <is>
          <t>Joint</t>
        </is>
      </c>
      <c r="H18" t="inlineStr">
        <is>
          <t>IDP PURCHASE - 5119 WINNERS #3424 ON</t>
        </is>
      </c>
      <c r="I18" t="inlineStr">
        <is>
          <t>Winners</t>
        </is>
      </c>
      <c r="J18" s="14" t="n">
        <v>-48.55</v>
      </c>
      <c r="K18" t="inlineStr">
        <is>
          <t>Clothing &amp; Shoes</t>
        </is>
      </c>
      <c r="L18">
        <f>IF($C18="","",IFERROR(INDEX(tblCategories[Group],MATCH($K18,tblCategories[Category],0)),"Other"))</f>
        <v/>
      </c>
      <c r="M18">
        <f>IF($C18="","",IFERROR(INDEX(tblCategories[Type],MATCH($K18,tblCategories[Category],0)),IF($J18&gt;0,"Income","Expense")))</f>
        <v/>
      </c>
      <c r="N18">
        <f>IF($C18="","",IFERROR(INDEX(tblCategories[Essential],MATCH($K18,tblCategories[Category],0)),"No"))</f>
        <v/>
      </c>
      <c r="O18">
        <f>IF($C18="","",IFERROR(INDEX(tblCategories[Tax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IF($C19="","",IFERROR(INDEX(tblAccounts[Owner],MATCH($E19,tblAccounts[Account],0)),"Joint"))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IF($C19="","",IFERROR(INDEX(tblCategories[Group],MATCH($K19,tblCategories[Category],0)),"Other"))</f>
        <v/>
      </c>
      <c r="M19">
        <f>IF($C19="","",IFERROR(INDEX(tblCategories[Type],MATCH($K19,tblCategories[Category],0)),IF($J19&gt;0,"Income","Expense")))</f>
        <v/>
      </c>
      <c r="N19">
        <f>IF($C19="","",IFERROR(INDEX(tblCategories[Essential],MATCH($K19,tblCategories[Category],0)),"No"))</f>
        <v/>
      </c>
      <c r="O19">
        <f>IF($C19="","",IFERROR(INDEX(tblCategories[Tax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IF($C20="","",IFERROR(INDEX(tblAccounts[Owner],MATCH($E20,tblAccounts[Account],0)),"Joint"))</f>
        <v/>
      </c>
      <c r="G20" t="inlineStr">
        <is>
          <t>Joint</t>
        </is>
      </c>
      <c r="H20" t="inlineStr">
        <is>
          <t>PRESTO FARE/TRANSIT TORONTO ON</t>
        </is>
      </c>
      <c r="I20" t="inlineStr">
        <is>
          <t>Presto</t>
        </is>
      </c>
      <c r="J20" s="14" t="n">
        <v>-101.66</v>
      </c>
      <c r="K20" t="inlineStr">
        <is>
          <t>Public Transit</t>
        </is>
      </c>
      <c r="L20">
        <f>IF($C20="","",IFERROR(INDEX(tblCategories[Group],MATCH($K20,tblCategories[Category],0)),"Other"))</f>
        <v/>
      </c>
      <c r="M20">
        <f>IF($C20="","",IFERROR(INDEX(tblCategories[Type],MATCH($K20,tblCategories[Category],0)),IF($J20&gt;0,"Income","Expense")))</f>
        <v/>
      </c>
      <c r="N20">
        <f>IF($C20="","",IFERROR(INDEX(tblCategories[Essential],MATCH($K20,tblCategories[Category],0)),"No"))</f>
        <v/>
      </c>
      <c r="O20">
        <f>IF($C20="","",IFERROR(INDEX(tblCategories[Tax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IF($C21="","",IFERROR(INDEX(tblAccounts[Owner],MATCH($E21,tblAccounts[Account],0)),"Joint"))</f>
        <v/>
      </c>
      <c r="G21" t="inlineStr">
        <is>
          <t>Alex</t>
        </is>
      </c>
      <c r="H21" t="inlineStr">
        <is>
          <t>ATM WITHDRAWAL 100 QUEEN ST W</t>
        </is>
      </c>
      <c r="I21" t="inlineStr">
        <is>
          <t>Atm Withdrawal</t>
        </is>
      </c>
      <c r="J21" s="14" t="n">
        <v>-60</v>
      </c>
      <c r="K21" t="inlineStr">
        <is>
          <t>Cash Withdrawal</t>
        </is>
      </c>
      <c r="L21">
        <f>IF($C21="","",IFERROR(INDEX(tblCategories[Group],MATCH($K21,tblCategories[Category],0)),"Other"))</f>
        <v/>
      </c>
      <c r="M21">
        <f>IF($C21="","",IFERROR(INDEX(tblCategories[Type],MATCH($K21,tblCategories[Category],0)),IF($J21&gt;0,"Income","Expense")))</f>
        <v/>
      </c>
      <c r="N21">
        <f>IF($C21="","",IFERROR(INDEX(tblCategories[Essential],MATCH($K21,tblCategories[Category],0)),"No"))</f>
        <v/>
      </c>
      <c r="O21">
        <f>IF($C21="","",IFERROR(INDEX(tblCategories[Tax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IF($C22="","",IFERROR(INDEX(tblAccounts[Owner],MATCH($E22,tblAccounts[Account],0)),"Joint"))</f>
        <v/>
      </c>
      <c r="G22" t="inlineStr">
        <is>
          <t>Joint</t>
        </is>
      </c>
      <c r="H22" t="inlineStr">
        <is>
          <t>IDP PURCHASE - 5127 LOBLAWS #4861 TORONTO ON</t>
        </is>
      </c>
      <c r="I22" t="inlineStr">
        <is>
          <t>Loblaws</t>
        </is>
      </c>
      <c r="J22" s="14" t="n">
        <v>-99.09</v>
      </c>
      <c r="K22" t="inlineStr">
        <is>
          <t>Groceries</t>
        </is>
      </c>
      <c r="L22">
        <f>IF($C22="","",IFERROR(INDEX(tblCategories[Group],MATCH($K22,tblCategories[Category],0)),"Other"))</f>
        <v/>
      </c>
      <c r="M22">
        <f>IF($C22="","",IFERROR(INDEX(tblCategories[Type],MATCH($K22,tblCategories[Category],0)),IF($J22&gt;0,"Income","Expense")))</f>
        <v/>
      </c>
      <c r="N22">
        <f>IF($C22="","",IFERROR(INDEX(tblCategories[Essential],MATCH($K22,tblCategories[Category],0)),"No"))</f>
        <v/>
      </c>
      <c r="O22">
        <f>IF($C22="","",IFERROR(INDEX(tblCategories[Tax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IF($C23="","",IFERROR(INDEX(tblAccounts[Owner],MATCH($E23,tblAccounts[Account],0)),"Joint"))</f>
        <v/>
      </c>
      <c r="G23" t="inlineStr">
        <is>
          <t>Joint</t>
        </is>
      </c>
      <c r="H23" t="inlineStr">
        <is>
          <t>ROGERS PREAUTHORIZED PAYMENT</t>
        </is>
      </c>
      <c r="I23" t="inlineStr">
        <is>
          <t>Rogers</t>
        </is>
      </c>
      <c r="J23" s="14" t="n">
        <v>-89.98999999999999</v>
      </c>
      <c r="K23" t="inlineStr">
        <is>
          <t>Internet</t>
        </is>
      </c>
      <c r="L23">
        <f>IF($C23="","",IFERROR(INDEX(tblCategories[Group],MATCH($K23,tblCategories[Category],0)),"Other"))</f>
        <v/>
      </c>
      <c r="M23">
        <f>IF($C23="","",IFERROR(INDEX(tblCategories[Type],MATCH($K23,tblCategories[Category],0)),IF($J23&gt;0,"Income","Expense")))</f>
        <v/>
      </c>
      <c r="N23">
        <f>IF($C23="","",IFERROR(INDEX(tblCategories[Essential],MATCH($K23,tblCategories[Category],0)),"No"))</f>
        <v/>
      </c>
      <c r="O23">
        <f>IF($C23="","",IFERROR(INDEX(tblCategories[Tax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IF($C24="","",IFERROR(INDEX(tblAccounts[Owner],MATCH($E24,tblAccounts[Account],0)),"Joint"))</f>
        <v/>
      </c>
      <c r="G24" t="inlineStr">
        <is>
          <t>Joint</t>
        </is>
      </c>
      <c r="H24" t="inlineStr">
        <is>
          <t>IDP PURCHASE - 2615 LOBLAWS #3980 TORONTO ON</t>
        </is>
      </c>
      <c r="I24" t="inlineStr">
        <is>
          <t>Loblaws</t>
        </is>
      </c>
      <c r="J24" s="14" t="n">
        <v>-48.14</v>
      </c>
      <c r="K24" t="inlineStr">
        <is>
          <t>Groceries</t>
        </is>
      </c>
      <c r="L24">
        <f>IF($C24="","",IFERROR(INDEX(tblCategories[Group],MATCH($K24,tblCategories[Category],0)),"Other"))</f>
        <v/>
      </c>
      <c r="M24">
        <f>IF($C24="","",IFERROR(INDEX(tblCategories[Type],MATCH($K24,tblCategories[Category],0)),IF($J24&gt;0,"Income","Expense")))</f>
        <v/>
      </c>
      <c r="N24">
        <f>IF($C24="","",IFERROR(INDEX(tblCategories[Essential],MATCH($K24,tblCategories[Category],0)),"No"))</f>
        <v/>
      </c>
      <c r="O24">
        <f>IF($C24="","",IFERROR(INDEX(tblCategories[Tax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IF($C25="","",IFERROR(INDEX(tblAccounts[Owner],MATCH($E25,tblAccounts[Account],0)),"Joint"))</f>
        <v/>
      </c>
      <c r="G25" t="inlineStr">
        <is>
          <t>Joint</t>
        </is>
      </c>
      <c r="H25" t="inlineStr">
        <is>
          <t>IDP PURCHASE - 7276 PETRO-CANADA #2067 ON</t>
        </is>
      </c>
      <c r="I25" t="inlineStr">
        <is>
          <t>Petro-Canada</t>
        </is>
      </c>
      <c r="J25" s="14" t="n">
        <v>-53.54</v>
      </c>
      <c r="K25" t="inlineStr">
        <is>
          <t>Fuel</t>
        </is>
      </c>
      <c r="L25">
        <f>IF($C25="","",IFERROR(INDEX(tblCategories[Group],MATCH($K25,tblCategories[Category],0)),"Other"))</f>
        <v/>
      </c>
      <c r="M25">
        <f>IF($C25="","",IFERROR(INDEX(tblCategories[Type],MATCH($K25,tblCategories[Category],0)),IF($J25&gt;0,"Income","Expense")))</f>
        <v/>
      </c>
      <c r="N25">
        <f>IF($C25="","",IFERROR(INDEX(tblCategories[Essential],MATCH($K25,tblCategories[Category],0)),"No"))</f>
        <v/>
      </c>
      <c r="O25">
        <f>IF($C25="","",IFERROR(INDEX(tblCategories[Tax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IF($C26="","",IFERROR(INDEX(tblAccounts[Owner],MATCH($E26,tblAccounts[Account],0)),"Joint"))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IF($C26="","",IFERROR(INDEX(tblCategories[Group],MATCH($K26,tblCategories[Category],0)),"Other"))</f>
        <v/>
      </c>
      <c r="M26">
        <f>IF($C26="","",IFERROR(INDEX(tblCategories[Type],MATCH($K26,tblCategories[Category],0)),IF($J26&gt;0,"Income","Expense")))</f>
        <v/>
      </c>
      <c r="N26">
        <f>IF($C26="","",IFERROR(INDEX(tblCategories[Essential],MATCH($K26,tblCategories[Category],0)),"No"))</f>
        <v/>
      </c>
      <c r="O26">
        <f>IF($C26="","",IFERROR(INDEX(tblCategories[Tax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IF($C27="","",IFERROR(INDEX(tblAccounts[Owner],MATCH($E27,tblAccounts[Account],0)),"Joint"))</f>
        <v/>
      </c>
      <c r="G27" t="inlineStr">
        <is>
          <t>Joint</t>
        </is>
      </c>
      <c r="H27" t="inlineStr">
        <is>
          <t>FREEDOM MOBILE PREAUTHORIZED DEBIT</t>
        </is>
      </c>
      <c r="I27" t="inlineStr">
        <is>
          <t>Freedom Mobile</t>
        </is>
      </c>
      <c r="J27" s="14" t="n">
        <v>-45</v>
      </c>
      <c r="K27" t="inlineStr">
        <is>
          <t>Mobile Phone</t>
        </is>
      </c>
      <c r="L27">
        <f>IF($C27="","",IFERROR(INDEX(tblCategories[Group],MATCH($K27,tblCategories[Category],0)),"Other"))</f>
        <v/>
      </c>
      <c r="M27">
        <f>IF($C27="","",IFERROR(INDEX(tblCategories[Type],MATCH($K27,tblCategories[Category],0)),IF($J27&gt;0,"Income","Expense")))</f>
        <v/>
      </c>
      <c r="N27">
        <f>IF($C27="","",IFERROR(INDEX(tblCategories[Essential],MATCH($K27,tblCategories[Category],0)),"No"))</f>
        <v/>
      </c>
      <c r="O27">
        <f>IF($C27="","",IFERROR(INDEX(tblCategories[Tax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IF($C28="","",IFERROR(INDEX(tblAccounts[Owner],MATCH($E28,tblAccounts[Account],0)),"Joint"))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IF($C28="","",IFERROR(INDEX(tblCategories[Group],MATCH($K28,tblCategories[Category],0)),"Other"))</f>
        <v/>
      </c>
      <c r="M28">
        <f>IF($C28="","",IFERROR(INDEX(tblCategories[Type],MATCH($K28,tblCategories[Category],0)),IF($J28&gt;0,"Income","Expense")))</f>
        <v/>
      </c>
      <c r="N28">
        <f>IF($C28="","",IFERROR(INDEX(tblCategories[Essential],MATCH($K28,tblCategories[Category],0)),"No"))</f>
        <v/>
      </c>
      <c r="O28">
        <f>IF($C28="","",IFERROR(INDEX(tblCategories[Tax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IF($C29="","",IFERROR(INDEX(tblAccounts[Owner],MATCH($E29,tblAccounts[Account],0)),"Joint"))</f>
        <v/>
      </c>
      <c r="G29" t="inlineStr">
        <is>
          <t>Joint</t>
        </is>
      </c>
      <c r="H29" t="inlineStr">
        <is>
          <t>IDP PURCHASE - 8549 PETRO-CANADA #289 ON</t>
        </is>
      </c>
      <c r="I29" t="inlineStr">
        <is>
          <t>Petro-Canada</t>
        </is>
      </c>
      <c r="J29" s="14" t="n">
        <v>-78.09</v>
      </c>
      <c r="K29" t="inlineStr">
        <is>
          <t>Fuel</t>
        </is>
      </c>
      <c r="L29">
        <f>IF($C29="","",IFERROR(INDEX(tblCategories[Group],MATCH($K29,tblCategories[Category],0)),"Other"))</f>
        <v/>
      </c>
      <c r="M29">
        <f>IF($C29="","",IFERROR(INDEX(tblCategories[Type],MATCH($K29,tblCategories[Category],0)),IF($J29&gt;0,"Income","Expense")))</f>
        <v/>
      </c>
      <c r="N29">
        <f>IF($C29="","",IFERROR(INDEX(tblCategories[Essential],MATCH($K29,tblCategories[Category],0)),"No"))</f>
        <v/>
      </c>
      <c r="O29">
        <f>IF($C29="","",IFERROR(INDEX(tblCategories[Tax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IF($C30="","",IFERROR(INDEX(tblAccounts[Owner],MATCH($E30,tblAccounts[Account],0)),"Joint"))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IF($C30="","",IFERROR(INDEX(tblCategories[Group],MATCH($K30,tblCategories[Category],0)),"Other"))</f>
        <v/>
      </c>
      <c r="M30">
        <f>IF($C30="","",IFERROR(INDEX(tblCategories[Type],MATCH($K30,tblCategories[Category],0)),IF($J30&gt;0,"Income","Expense")))</f>
        <v/>
      </c>
      <c r="N30">
        <f>IF($C30="","",IFERROR(INDEX(tblCategories[Essential],MATCH($K30,tblCategories[Category],0)),"No"))</f>
        <v/>
      </c>
      <c r="O30">
        <f>IF($C30="","",IFERROR(INDEX(tblCategories[Tax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IF($C31="","",IFERROR(INDEX(tblAccounts[Owner],MATCH($E31,tblAccounts[Account],0)),"Joint"))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IF($C31="","",IFERROR(INDEX(tblCategories[Group],MATCH($K31,tblCategories[Category],0)),"Other"))</f>
        <v/>
      </c>
      <c r="M31">
        <f>IF($C31="","",IFERROR(INDEX(tblCategories[Type],MATCH($K31,tblCategories[Category],0)),IF($J31&gt;0,"Income","Expense")))</f>
        <v/>
      </c>
      <c r="N31">
        <f>IF($C31="","",IFERROR(INDEX(tblCategories[Essential],MATCH($K31,tblCategories[Category],0)),"No"))</f>
        <v/>
      </c>
      <c r="O31">
        <f>IF($C31="","",IFERROR(INDEX(tblCategories[Tax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IF($C32="","",IFERROR(INDEX(tblAccounts[Owner],MATCH($E32,tblAccounts[Account],0)),"Joint"))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IF($C32="","",IFERROR(INDEX(tblCategories[Group],MATCH($K32,tblCategories[Category],0)),"Other"))</f>
        <v/>
      </c>
      <c r="M32">
        <f>IF($C32="","",IFERROR(INDEX(tblCategories[Type],MATCH($K32,tblCategories[Category],0)),IF($J32&gt;0,"Income","Expense")))</f>
        <v/>
      </c>
      <c r="N32">
        <f>IF($C32="","",IFERROR(INDEX(tblCategories[Essential],MATCH($K32,tblCategories[Category],0)),"No"))</f>
        <v/>
      </c>
      <c r="O32">
        <f>IF($C32="","",IFERROR(INDEX(tblCategories[Tax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IF($C33="","",IFERROR(INDEX(tblAccounts[Owner],MATCH($E33,tblAccounts[Account],0)),"Joint"))</f>
        <v/>
      </c>
      <c r="G33" t="inlineStr">
        <is>
          <t>Joint</t>
        </is>
      </c>
      <c r="H33" t="inlineStr">
        <is>
          <t>NETFLIX.COM MISC PAYMENT</t>
        </is>
      </c>
      <c r="I33" t="inlineStr">
        <is>
          <t>Netflix</t>
        </is>
      </c>
      <c r="J33" s="14" t="n">
        <v>-22.99</v>
      </c>
      <c r="K33" t="inlineStr">
        <is>
          <t>Subscriptions</t>
        </is>
      </c>
      <c r="L33">
        <f>IF($C33="","",IFERROR(INDEX(tblCategories[Group],MATCH($K33,tblCategories[Category],0)),"Other"))</f>
        <v/>
      </c>
      <c r="M33">
        <f>IF($C33="","",IFERROR(INDEX(tblCategories[Type],MATCH($K33,tblCategories[Category],0)),IF($J33&gt;0,"Income","Expense")))</f>
        <v/>
      </c>
      <c r="N33">
        <f>IF($C33="","",IFERROR(INDEX(tblCategories[Essential],MATCH($K33,tblCategories[Category],0)),"No"))</f>
        <v/>
      </c>
      <c r="O33">
        <f>IF($C33="","",IFERROR(INDEX(tblCategories[Tax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IF($C34="","",IFERROR(INDEX(tblAccounts[Owner],MATCH($E34,tblAccounts[Account],0)),"Joint"))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IF($C34="","",IFERROR(INDEX(tblCategories[Group],MATCH($K34,tblCategories[Category],0)),"Other"))</f>
        <v/>
      </c>
      <c r="M34">
        <f>IF($C34="","",IFERROR(INDEX(tblCategories[Type],MATCH($K34,tblCategories[Category],0)),IF($J34&gt;0,"Income","Expense")))</f>
        <v/>
      </c>
      <c r="N34">
        <f>IF($C34="","",IFERROR(INDEX(tblCategories[Essential],MATCH($K34,tblCategories[Category],0)),"No"))</f>
        <v/>
      </c>
      <c r="O34">
        <f>IF($C34="","",IFERROR(INDEX(tblCategories[Tax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IF($C35="","",IFERROR(INDEX(tblAccounts[Owner],MATCH($E35,tblAccounts[Account],0)),"Joint"))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IF($C35="","",IFERROR(INDEX(tblCategories[Group],MATCH($K35,tblCategories[Category],0)),"Other"))</f>
        <v/>
      </c>
      <c r="M35">
        <f>IF($C35="","",IFERROR(INDEX(tblCategories[Type],MATCH($K35,tblCategories[Category],0)),IF($J35&gt;0,"Income","Expense")))</f>
        <v/>
      </c>
      <c r="N35">
        <f>IF($C35="","",IFERROR(INDEX(tblCategories[Essential],MATCH($K35,tblCategories[Category],0)),"No"))</f>
        <v/>
      </c>
      <c r="O35">
        <f>IF($C35="","",IFERROR(INDEX(tblCategories[Tax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IF($C36="","",IFERROR(INDEX(tblAccounts[Owner],MATCH($E36,tblAccounts[Account],0)),"Joint"))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IF($C36="","",IFERROR(INDEX(tblCategories[Group],MATCH($K36,tblCategories[Category],0)),"Other"))</f>
        <v/>
      </c>
      <c r="M36">
        <f>IF($C36="","",IFERROR(INDEX(tblCategories[Type],MATCH($K36,tblCategories[Category],0)),IF($J36&gt;0,"Income","Expense")))</f>
        <v/>
      </c>
      <c r="N36">
        <f>IF($C36="","",IFERROR(INDEX(tblCategories[Essential],MATCH($K36,tblCategories[Category],0)),"No"))</f>
        <v/>
      </c>
      <c r="O36">
        <f>IF($C36="","",IFERROR(INDEX(tblCategories[Tax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IF($C37="","",IFERROR(INDEX(tblAccounts[Owner],MATCH($E37,tblAccounts[Account],0)),"Joint"))</f>
        <v/>
      </c>
      <c r="G37" t="inlineStr">
        <is>
          <t>Joint</t>
        </is>
      </c>
      <c r="H37" t="inlineStr">
        <is>
          <t>SPOTIFY P2C5 MISC PAYMENT</t>
        </is>
      </c>
      <c r="I37" t="inlineStr">
        <is>
          <t>Spotify</t>
        </is>
      </c>
      <c r="J37" s="14" t="n">
        <v>-16.99</v>
      </c>
      <c r="K37" t="inlineStr">
        <is>
          <t>Subscriptions</t>
        </is>
      </c>
      <c r="L37">
        <f>IF($C37="","",IFERROR(INDEX(tblCategories[Group],MATCH($K37,tblCategories[Category],0)),"Other"))</f>
        <v/>
      </c>
      <c r="M37">
        <f>IF($C37="","",IFERROR(INDEX(tblCategories[Type],MATCH($K37,tblCategories[Category],0)),IF($J37&gt;0,"Income","Expense")))</f>
        <v/>
      </c>
      <c r="N37">
        <f>IF($C37="","",IFERROR(INDEX(tblCategories[Essential],MATCH($K37,tblCategories[Category],0)),"No"))</f>
        <v/>
      </c>
      <c r="O37">
        <f>IF($C37="","",IFERROR(INDEX(tblCategories[Tax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IF($C38="","",IFERROR(INDEX(tblAccounts[Owner],MATCH($E38,tblAccounts[Account],0)),"Joint"))</f>
        <v/>
      </c>
      <c r="G38" t="inlineStr">
        <is>
          <t>Joint</t>
        </is>
      </c>
      <c r="H38" t="inlineStr">
        <is>
          <t>RESP CONTRIBUTION CST SAVINGS</t>
        </is>
      </c>
      <c r="I38" t="inlineStr">
        <is>
          <t>Cst Savings</t>
        </is>
      </c>
      <c r="J38" s="14" t="n">
        <v>-208.33</v>
      </c>
      <c r="K38" t="inlineStr">
        <is>
          <t>RESP Contribution</t>
        </is>
      </c>
      <c r="L38">
        <f>IF($C38="","",IFERROR(INDEX(tblCategories[Group],MATCH($K38,tblCategories[Category],0)),"Other"))</f>
        <v/>
      </c>
      <c r="M38">
        <f>IF($C38="","",IFERROR(INDEX(tblCategories[Type],MATCH($K38,tblCategories[Category],0)),IF($J38&gt;0,"Income","Expense")))</f>
        <v/>
      </c>
      <c r="N38">
        <f>IF($C38="","",IFERROR(INDEX(tblCategories[Essential],MATCH($K38,tblCategories[Category],0)),"No"))</f>
        <v/>
      </c>
      <c r="O38">
        <f>IF($C38="","",IFERROR(INDEX(tblCategories[Tax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IF($C39="","",IFERROR(INDEX(tblAccounts[Owner],MATCH($E39,tblAccounts[Account],0)),"Joint"))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IF($C39="","",IFERROR(INDEX(tblCategories[Group],MATCH($K39,tblCategories[Category],0)),"Other"))</f>
        <v/>
      </c>
      <c r="M39">
        <f>IF($C39="","",IFERROR(INDEX(tblCategories[Type],MATCH($K39,tblCategories[Category],0)),IF($J39&gt;0,"Income","Expense")))</f>
        <v/>
      </c>
      <c r="N39">
        <f>IF($C39="","",IFERROR(INDEX(tblCategories[Essential],MATCH($K39,tblCategories[Category],0)),"No"))</f>
        <v/>
      </c>
      <c r="O39">
        <f>IF($C39="","",IFERROR(INDEX(tblCategories[Tax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IF($C40="","",IFERROR(INDEX(tblAccounts[Owner],MATCH($E40,tblAccounts[Account],0)),"Joint"))</f>
        <v/>
      </c>
      <c r="G40" t="inlineStr">
        <is>
          <t>Joint</t>
        </is>
      </c>
      <c r="H40" t="inlineStr">
        <is>
          <t>CANADA FED / FED CCB DEPOSIT</t>
        </is>
      </c>
      <c r="I40" t="inlineStr">
        <is>
          <t>Canada Fed</t>
        </is>
      </c>
      <c r="J40" s="14" t="n">
        <v>619.75</v>
      </c>
      <c r="K40" t="inlineStr">
        <is>
          <t>Canada Child Benefit</t>
        </is>
      </c>
      <c r="L40">
        <f>IF($C40="","",IFERROR(INDEX(tblCategories[Group],MATCH($K40,tblCategories[Category],0)),"Other"))</f>
        <v/>
      </c>
      <c r="M40">
        <f>IF($C40="","",IFERROR(INDEX(tblCategories[Type],MATCH($K40,tblCategories[Category],0)),IF($J40&gt;0,"Income","Expense")))</f>
        <v/>
      </c>
      <c r="N40">
        <f>IF($C40="","",IFERROR(INDEX(tblCategories[Essential],MATCH($K40,tblCategories[Category],0)),"No"))</f>
        <v/>
      </c>
      <c r="O40">
        <f>IF($C40="","",IFERROR(INDEX(tblCategories[Tax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IF($C41="","",IFERROR(INDEX(tblAccounts[Owner],MATCH($E41,tblAccounts[Account],0)),"Joint"))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IF($C41="","",IFERROR(INDEX(tblCategories[Group],MATCH($K41,tblCategories[Category],0)),"Other"))</f>
        <v/>
      </c>
      <c r="M41">
        <f>IF($C41="","",IFERROR(INDEX(tblCategories[Type],MATCH($K41,tblCategories[Category],0)),IF($J41&gt;0,"Income","Expense")))</f>
        <v/>
      </c>
      <c r="N41">
        <f>IF($C41="","",IFERROR(INDEX(tblCategories[Essential],MATCH($K41,tblCategories[Category],0)),"No"))</f>
        <v/>
      </c>
      <c r="O41">
        <f>IF($C41="","",IFERROR(INDEX(tblCategories[Tax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IF($C42="","",IFERROR(INDEX(tblAccounts[Owner],MATCH($E42,tblAccounts[Account],0)),"Joint"))</f>
        <v/>
      </c>
      <c r="G42" t="inlineStr">
        <is>
          <t>Joint</t>
        </is>
      </c>
      <c r="H42" t="inlineStr">
        <is>
          <t>AMZ*UBER EATS TORONTO ON</t>
        </is>
      </c>
      <c r="I42" t="inlineStr">
        <is>
          <t>Uber Eats</t>
        </is>
      </c>
      <c r="J42" s="14" t="n">
        <v>-62.31</v>
      </c>
      <c r="K42" t="inlineStr">
        <is>
          <t>Restaurants &amp; Takeout</t>
        </is>
      </c>
      <c r="L42">
        <f>IF($C42="","",IFERROR(INDEX(tblCategories[Group],MATCH($K42,tblCategories[Category],0)),"Other"))</f>
        <v/>
      </c>
      <c r="M42">
        <f>IF($C42="","",IFERROR(INDEX(tblCategories[Type],MATCH($K42,tblCategories[Category],0)),IF($J42&gt;0,"Income","Expense")))</f>
        <v/>
      </c>
      <c r="N42">
        <f>IF($C42="","",IFERROR(INDEX(tblCategories[Essential],MATCH($K42,tblCategories[Category],0)),"No"))</f>
        <v/>
      </c>
      <c r="O42">
        <f>IF($C42="","",IFERROR(INDEX(tblCategories[Tax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IF($C43="","",IFERROR(INDEX(tblAccounts[Owner],MATCH($E43,tblAccounts[Account],0)),"Joint"))</f>
        <v/>
      </c>
      <c r="G43" t="inlineStr">
        <is>
          <t>Joint</t>
        </is>
      </c>
      <c r="H43" t="inlineStr">
        <is>
          <t>UBER TRIP HELP.UBER.COM ON</t>
        </is>
      </c>
      <c r="I43" t="inlineStr">
        <is>
          <t>Uber</t>
        </is>
      </c>
      <c r="J43" s="14" t="n">
        <v>-23.59</v>
      </c>
      <c r="K43" t="inlineStr">
        <is>
          <t>Taxi &amp; Rideshare</t>
        </is>
      </c>
      <c r="L43">
        <f>IF($C43="","",IFERROR(INDEX(tblCategories[Group],MATCH($K43,tblCategories[Category],0)),"Other"))</f>
        <v/>
      </c>
      <c r="M43">
        <f>IF($C43="","",IFERROR(INDEX(tblCategories[Type],MATCH($K43,tblCategories[Category],0)),IF($J43&gt;0,"Income","Expense")))</f>
        <v/>
      </c>
      <c r="N43">
        <f>IF($C43="","",IFERROR(INDEX(tblCategories[Essential],MATCH($K43,tblCategories[Category],0)),"No"))</f>
        <v/>
      </c>
      <c r="O43">
        <f>IF($C43="","",IFERROR(INDEX(tblCategories[Tax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IF($C44="","",IFERROR(INDEX(tblAccounts[Owner],MATCH($E44,tblAccounts[Account],0)),"Joint"))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IF($C44="","",IFERROR(INDEX(tblCategories[Group],MATCH($K44,tblCategories[Category],0)),"Other"))</f>
        <v/>
      </c>
      <c r="M44">
        <f>IF($C44="","",IFERROR(INDEX(tblCategories[Type],MATCH($K44,tblCategories[Category],0)),IF($J44&gt;0,"Income","Expense")))</f>
        <v/>
      </c>
      <c r="N44">
        <f>IF($C44="","",IFERROR(INDEX(tblCategories[Essential],MATCH($K44,tblCategories[Category],0)),"No"))</f>
        <v/>
      </c>
      <c r="O44">
        <f>IF($C44="","",IFERROR(INDEX(tblCategories[Tax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IF($C45="","",IFERROR(INDEX(tblAccounts[Owner],MATCH($E45,tblAccounts[Account],0)),"Joint"))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IF($C45="","",IFERROR(INDEX(tblCategories[Group],MATCH($K45,tblCategories[Category],0)),"Other"))</f>
        <v/>
      </c>
      <c r="M45">
        <f>IF($C45="","",IFERROR(INDEX(tblCategories[Type],MATCH($K45,tblCategories[Category],0)),IF($J45&gt;0,"Income","Expense")))</f>
        <v/>
      </c>
      <c r="N45">
        <f>IF($C45="","",IFERROR(INDEX(tblCategories[Essential],MATCH($K45,tblCategories[Category],0)),"No"))</f>
        <v/>
      </c>
      <c r="O45">
        <f>IF($C45="","",IFERROR(INDEX(tblCategories[Tax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IF($C46="","",IFERROR(INDEX(tblAccounts[Owner],MATCH($E46,tblAccounts[Account],0)),"Joint"))</f>
        <v/>
      </c>
      <c r="G46" t="inlineStr">
        <is>
          <t>Sam</t>
        </is>
      </c>
      <c r="H46" t="inlineStr">
        <is>
          <t>IDP PURCHASE - 6662 INDIGO #862 ON</t>
        </is>
      </c>
      <c r="I46" t="inlineStr">
        <is>
          <t>Indigo</t>
        </is>
      </c>
      <c r="J46" s="14" t="n">
        <v>-27.38</v>
      </c>
      <c r="K46" t="inlineStr">
        <is>
          <t>Hobbies</t>
        </is>
      </c>
      <c r="L46">
        <f>IF($C46="","",IFERROR(INDEX(tblCategories[Group],MATCH($K46,tblCategories[Category],0)),"Other"))</f>
        <v/>
      </c>
      <c r="M46">
        <f>IF($C46="","",IFERROR(INDEX(tblCategories[Type],MATCH($K46,tblCategories[Category],0)),IF($J46&gt;0,"Income","Expense")))</f>
        <v/>
      </c>
      <c r="N46">
        <f>IF($C46="","",IFERROR(INDEX(tblCategories[Essential],MATCH($K46,tblCategories[Category],0)),"No"))</f>
        <v/>
      </c>
      <c r="O46">
        <f>IF($C46="","",IFERROR(INDEX(tblCategories[Tax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IF($C47="","",IFERROR(INDEX(tblAccounts[Owner],MATCH($E47,tblAccounts[Account],0)),"Joint"))</f>
        <v/>
      </c>
      <c r="G47" t="inlineStr">
        <is>
          <t>Joint</t>
        </is>
      </c>
      <c r="H47" t="inlineStr">
        <is>
          <t>AMZ*UBER EATS TORONTO ON</t>
        </is>
      </c>
      <c r="I47" t="inlineStr">
        <is>
          <t>Uber Eats</t>
        </is>
      </c>
      <c r="J47" s="14" t="n">
        <v>-48.98</v>
      </c>
      <c r="K47" t="inlineStr">
        <is>
          <t>Restaurants &amp; Takeout</t>
        </is>
      </c>
      <c r="L47">
        <f>IF($C47="","",IFERROR(INDEX(tblCategories[Group],MATCH($K47,tblCategories[Category],0)),"Other"))</f>
        <v/>
      </c>
      <c r="M47">
        <f>IF($C47="","",IFERROR(INDEX(tblCategories[Type],MATCH($K47,tblCategories[Category],0)),IF($J47&gt;0,"Income","Expense")))</f>
        <v/>
      </c>
      <c r="N47">
        <f>IF($C47="","",IFERROR(INDEX(tblCategories[Essential],MATCH($K47,tblCategories[Category],0)),"No"))</f>
        <v/>
      </c>
      <c r="O47">
        <f>IF($C47="","",IFERROR(INDEX(tblCategories[Tax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IF($C48="","",IFERROR(INDEX(tblAccounts[Owner],MATCH($E48,tblAccounts[Account],0)),"Joint"))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IF($C48="","",IFERROR(INDEX(tblCategories[Group],MATCH($K48,tblCategories[Category],0)),"Other"))</f>
        <v/>
      </c>
      <c r="M48">
        <f>IF($C48="","",IFERROR(INDEX(tblCategories[Type],MATCH($K48,tblCategories[Category],0)),IF($J48&gt;0,"Income","Expense")))</f>
        <v/>
      </c>
      <c r="N48">
        <f>IF($C48="","",IFERROR(INDEX(tblCategories[Essential],MATCH($K48,tblCategories[Category],0)),"No"))</f>
        <v/>
      </c>
      <c r="O48">
        <f>IF($C48="","",IFERROR(INDEX(tblCategories[Tax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IF($C49="","",IFERROR(INDEX(tblAccounts[Owner],MATCH($E49,tblAccounts[Account],0)),"Joint"))</f>
        <v/>
      </c>
      <c r="G49" t="inlineStr">
        <is>
          <t>Joint</t>
        </is>
      </c>
      <c r="H49" t="inlineStr">
        <is>
          <t>AMEX CREDIT CARD/LOC PAY</t>
        </is>
      </c>
      <c r="I49" t="inlineStr">
        <is>
          <t>Amex Credit Card</t>
        </is>
      </c>
      <c r="J49" s="14" t="n">
        <v>-866.79</v>
      </c>
      <c r="K49" t="inlineStr">
        <is>
          <t>Credit Card Payment</t>
        </is>
      </c>
      <c r="L49">
        <f>IF($C49="","",IFERROR(INDEX(tblCategories[Group],MATCH($K49,tblCategories[Category],0)),"Other"))</f>
        <v/>
      </c>
      <c r="M49">
        <f>IF($C49="","",IFERROR(INDEX(tblCategories[Type],MATCH($K49,tblCategories[Category],0)),IF($J49&gt;0,"Income","Expense")))</f>
        <v/>
      </c>
      <c r="N49">
        <f>IF($C49="","",IFERROR(INDEX(tblCategories[Essential],MATCH($K49,tblCategories[Category],0)),"No"))</f>
        <v/>
      </c>
      <c r="O49">
        <f>IF($C49="","",IFERROR(INDEX(tblCategories[Tax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IF($C50="","",IFERROR(INDEX(tblAccounts[Owner],MATCH($E50,tblAccounts[Account],0)),"Joint"))</f>
        <v/>
      </c>
      <c r="G50" t="inlineStr">
        <is>
          <t>Joint</t>
        </is>
      </c>
      <c r="H50" t="inlineStr">
        <is>
          <t>IDP PURCHASE - 7521 LOBLAWS #2833 TORONTO ON</t>
        </is>
      </c>
      <c r="I50" t="inlineStr">
        <is>
          <t>Loblaws</t>
        </is>
      </c>
      <c r="J50" s="14" t="n">
        <v>-80.23</v>
      </c>
      <c r="K50" t="inlineStr">
        <is>
          <t>Groceries</t>
        </is>
      </c>
      <c r="L50">
        <f>IF($C50="","",IFERROR(INDEX(tblCategories[Group],MATCH($K50,tblCategories[Category],0)),"Other"))</f>
        <v/>
      </c>
      <c r="M50">
        <f>IF($C50="","",IFERROR(INDEX(tblCategories[Type],MATCH($K50,tblCategories[Category],0)),IF($J50&gt;0,"Income","Expense")))</f>
        <v/>
      </c>
      <c r="N50">
        <f>IF($C50="","",IFERROR(INDEX(tblCategories[Essential],MATCH($K50,tblCategories[Category],0)),"No"))</f>
        <v/>
      </c>
      <c r="O50">
        <f>IF($C50="","",IFERROR(INDEX(tblCategories[Tax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IF($C51="","",IFERROR(INDEX(tblAccounts[Owner],MATCH($E51,tblAccounts[Account],0)),"Joint"))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IF($C51="","",IFERROR(INDEX(tblCategories[Group],MATCH($K51,tblCategories[Category],0)),"Other"))</f>
        <v/>
      </c>
      <c r="M51">
        <f>IF($C51="","",IFERROR(INDEX(tblCategories[Type],MATCH($K51,tblCategories[Category],0)),IF($J51&gt;0,"Income","Expense")))</f>
        <v/>
      </c>
      <c r="N51">
        <f>IF($C51="","",IFERROR(INDEX(tblCategories[Essential],MATCH($K51,tblCategories[Category],0)),"No"))</f>
        <v/>
      </c>
      <c r="O51">
        <f>IF($C51="","",IFERROR(INDEX(tblCategories[Tax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IF($C52="","",IFERROR(INDEX(tblAccounts[Owner],MATCH($E52,tblAccounts[Account],0)),"Joint"))</f>
        <v/>
      </c>
      <c r="G52" t="inlineStr">
        <is>
          <t>Joint</t>
        </is>
      </c>
      <c r="H52" t="inlineStr">
        <is>
          <t>IDP PURCHASE - 1778 DOLLARAMA #4979 ON</t>
        </is>
      </c>
      <c r="I52" t="inlineStr">
        <is>
          <t>Dollarama</t>
        </is>
      </c>
      <c r="J52" s="14" t="n">
        <v>-26.34</v>
      </c>
      <c r="K52" t="inlineStr">
        <is>
          <t>Miscellaneous</t>
        </is>
      </c>
      <c r="L52">
        <f>IF($C52="","",IFERROR(INDEX(tblCategories[Group],MATCH($K52,tblCategories[Category],0)),"Other"))</f>
        <v/>
      </c>
      <c r="M52">
        <f>IF($C52="","",IFERROR(INDEX(tblCategories[Type],MATCH($K52,tblCategories[Category],0)),IF($J52&gt;0,"Income","Expense")))</f>
        <v/>
      </c>
      <c r="N52">
        <f>IF($C52="","",IFERROR(INDEX(tblCategories[Essential],MATCH($K52,tblCategories[Category],0)),"No"))</f>
        <v/>
      </c>
      <c r="O52">
        <f>IF($C52="","",IFERROR(INDEX(tblCategories[Tax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IF($C53="","",IFERROR(INDEX(tblAccounts[Owner],MATCH($E53,tblAccounts[Account],0)),"Joint"))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IF($C53="","",IFERROR(INDEX(tblCategories[Group],MATCH($K53,tblCategories[Category],0)),"Other"))</f>
        <v/>
      </c>
      <c r="M53">
        <f>IF($C53="","",IFERROR(INDEX(tblCategories[Type],MATCH($K53,tblCategories[Category],0)),IF($J53&gt;0,"Income","Expense")))</f>
        <v/>
      </c>
      <c r="N53">
        <f>IF($C53="","",IFERROR(INDEX(tblCategories[Essential],MATCH($K53,tblCategories[Category],0)),"No"))</f>
        <v/>
      </c>
      <c r="O53">
        <f>IF($C53="","",IFERROR(INDEX(tblCategories[Tax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IF($C54="","",IFERROR(INDEX(tblAccounts[Owner],MATCH($E54,tblAccounts[Account],0)),"Joint"))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IF($C54="","",IFERROR(INDEX(tblCategories[Group],MATCH($K54,tblCategories[Category],0)),"Other"))</f>
        <v/>
      </c>
      <c r="M54">
        <f>IF($C54="","",IFERROR(INDEX(tblCategories[Type],MATCH($K54,tblCategories[Category],0)),IF($J54&gt;0,"Income","Expense")))</f>
        <v/>
      </c>
      <c r="N54">
        <f>IF($C54="","",IFERROR(INDEX(tblCategories[Essential],MATCH($K54,tblCategories[Category],0)),"No"))</f>
        <v/>
      </c>
      <c r="O54">
        <f>IF($C54="","",IFERROR(INDEX(tblCategories[Tax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IF($C55="","",IFERROR(INDEX(tblAccounts[Owner],MATCH($E55,tblAccounts[Account],0)),"Joint"))</f>
        <v/>
      </c>
      <c r="G55" t="inlineStr">
        <is>
          <t>Alex</t>
        </is>
      </c>
      <c r="H55" t="inlineStr">
        <is>
          <t>MONTHLY ACCOUNT FEE</t>
        </is>
      </c>
      <c r="I55" t="inlineStr">
        <is>
          <t>Monthly Account Fee</t>
        </is>
      </c>
      <c r="J55" s="14" t="n">
        <v>-11.95</v>
      </c>
      <c r="K55" t="inlineStr">
        <is>
          <t>Bank Fees</t>
        </is>
      </c>
      <c r="L55">
        <f>IF($C55="","",IFERROR(INDEX(tblCategories[Group],MATCH($K55,tblCategories[Category],0)),"Other"))</f>
        <v/>
      </c>
      <c r="M55">
        <f>IF($C55="","",IFERROR(INDEX(tblCategories[Type],MATCH($K55,tblCategories[Category],0)),IF($J55&gt;0,"Income","Expense")))</f>
        <v/>
      </c>
      <c r="N55">
        <f>IF($C55="","",IFERROR(INDEX(tblCategories[Essential],MATCH($K55,tblCategories[Category],0)),"No"))</f>
        <v/>
      </c>
      <c r="O55">
        <f>IF($C55="","",IFERROR(INDEX(tblCategories[Tax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IF($C56="","",IFERROR(INDEX(tblAccounts[Owner],MATCH($E56,tblAccounts[Account],0)),"Joint"))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IF($C56="","",IFERROR(INDEX(tblCategories[Group],MATCH($K56,tblCategories[Category],0)),"Other"))</f>
        <v/>
      </c>
      <c r="M56">
        <f>IF($C56="","",IFERROR(INDEX(tblCategories[Type],MATCH($K56,tblCategories[Category],0)),IF($J56&gt;0,"Income","Expense")))</f>
        <v/>
      </c>
      <c r="N56">
        <f>IF($C56="","",IFERROR(INDEX(tblCategories[Essential],MATCH($K56,tblCategories[Category],0)),"No"))</f>
        <v/>
      </c>
      <c r="O56">
        <f>IF($C56="","",IFERROR(INDEX(tblCategories[Tax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IF($C57="","",IFERROR(INDEX(tblAccounts[Owner],MATCH($E57,tblAccounts[Account],0)),"Joint"))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IF($C57="","",IFERROR(INDEX(tblCategories[Group],MATCH($K57,tblCategories[Category],0)),"Other"))</f>
        <v/>
      </c>
      <c r="M57">
        <f>IF($C57="","",IFERROR(INDEX(tblCategories[Type],MATCH($K57,tblCategories[Category],0)),IF($J57&gt;0,"Income","Expense")))</f>
        <v/>
      </c>
      <c r="N57">
        <f>IF($C57="","",IFERROR(INDEX(tblCategories[Essential],MATCH($K57,tblCategories[Category],0)),"No"))</f>
        <v/>
      </c>
      <c r="O57">
        <f>IF($C57="","",IFERROR(INDEX(tblCategories[Tax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IF($C58="","",IFERROR(INDEX(tblAccounts[Owner],MATCH($E58,tblAccounts[Account],0)),"Joint"))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IF($C58="","",IFERROR(INDEX(tblCategories[Group],MATCH($K58,tblCategories[Category],0)),"Other"))</f>
        <v/>
      </c>
      <c r="M58">
        <f>IF($C58="","",IFERROR(INDEX(tblCategories[Type],MATCH($K58,tblCategories[Category],0)),IF($J58&gt;0,"Income","Expense")))</f>
        <v/>
      </c>
      <c r="N58">
        <f>IF($C58="","",IFERROR(INDEX(tblCategories[Essential],MATCH($K58,tblCategories[Category],0)),"No"))</f>
        <v/>
      </c>
      <c r="O58">
        <f>IF($C58="","",IFERROR(INDEX(tblCategories[Tax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IF($C59="","",IFERROR(INDEX(tblAccounts[Owner],MATCH($E59,tblAccounts[Account],0)),"Joint"))</f>
        <v/>
      </c>
      <c r="G59" t="inlineStr">
        <is>
          <t>Alex</t>
        </is>
      </c>
      <c r="H59" t="inlineStr">
        <is>
          <t>UBER TRIP HELP.UBER.COM ON</t>
        </is>
      </c>
      <c r="I59" t="inlineStr">
        <is>
          <t>Uber</t>
        </is>
      </c>
      <c r="J59" s="14" t="n">
        <v>-39.98</v>
      </c>
      <c r="K59" t="inlineStr">
        <is>
          <t>Taxi &amp; Rideshare</t>
        </is>
      </c>
      <c r="L59">
        <f>IF($C59="","",IFERROR(INDEX(tblCategories[Group],MATCH($K59,tblCategories[Category],0)),"Other"))</f>
        <v/>
      </c>
      <c r="M59">
        <f>IF($C59="","",IFERROR(INDEX(tblCategories[Type],MATCH($K59,tblCategories[Category],0)),IF($J59&gt;0,"Income","Expense")))</f>
        <v/>
      </c>
      <c r="N59">
        <f>IF($C59="","",IFERROR(INDEX(tblCategories[Essential],MATCH($K59,tblCategories[Category],0)),"No"))</f>
        <v/>
      </c>
      <c r="O59">
        <f>IF($C59="","",IFERROR(INDEX(tblCategories[Tax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IF($C60="","",IFERROR(INDEX(tblAccounts[Owner],MATCH($E60,tblAccounts[Account],0)),"Joint"))</f>
        <v/>
      </c>
      <c r="G60" t="inlineStr">
        <is>
          <t>Joint</t>
        </is>
      </c>
      <c r="H60" t="inlineStr">
        <is>
          <t>IDP PURCHASE - 7377 LCBO/RAO #4250 TORONTO ON</t>
        </is>
      </c>
      <c r="I60" t="inlineStr">
        <is>
          <t>Lcbo</t>
        </is>
      </c>
      <c r="J60" s="14" t="n">
        <v>-67.98</v>
      </c>
      <c r="K60" t="inlineStr">
        <is>
          <t>Alcohol</t>
        </is>
      </c>
      <c r="L60">
        <f>IF($C60="","",IFERROR(INDEX(tblCategories[Group],MATCH($K60,tblCategories[Category],0)),"Other"))</f>
        <v/>
      </c>
      <c r="M60">
        <f>IF($C60="","",IFERROR(INDEX(tblCategories[Type],MATCH($K60,tblCategories[Category],0)),IF($J60&gt;0,"Income","Expense")))</f>
        <v/>
      </c>
      <c r="N60">
        <f>IF($C60="","",IFERROR(INDEX(tblCategories[Essential],MATCH($K60,tblCategories[Category],0)),"No"))</f>
        <v/>
      </c>
      <c r="O60">
        <f>IF($C60="","",IFERROR(INDEX(tblCategories[Tax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IF($C61="","",IFERROR(INDEX(tblAccounts[Owner],MATCH($E61,tblAccounts[Account],0)),"Joint"))</f>
        <v/>
      </c>
      <c r="G61" t="inlineStr">
        <is>
          <t>Joint</t>
        </is>
      </c>
      <c r="H61" t="inlineStr">
        <is>
          <t>RENT PAYMENT 84 BROADVIEW AVE</t>
        </is>
      </c>
      <c r="I61" t="inlineStr">
        <is>
          <t>Rent Payment</t>
        </is>
      </c>
      <c r="J61" s="14" t="n">
        <v>-2350</v>
      </c>
      <c r="K61" t="inlineStr">
        <is>
          <t>Rent</t>
        </is>
      </c>
      <c r="L61">
        <f>IF($C61="","",IFERROR(INDEX(tblCategories[Group],MATCH($K61,tblCategories[Category],0)),"Other"))</f>
        <v/>
      </c>
      <c r="M61">
        <f>IF($C61="","",IFERROR(INDEX(tblCategories[Type],MATCH($K61,tblCategories[Category],0)),IF($J61&gt;0,"Income","Expense")))</f>
        <v/>
      </c>
      <c r="N61">
        <f>IF($C61="","",IFERROR(INDEX(tblCategories[Essential],MATCH($K61,tblCategories[Category],0)),"No"))</f>
        <v/>
      </c>
      <c r="O61">
        <f>IF($C61="","",IFERROR(INDEX(tblCategories[Tax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IF($C62="","",IFERROR(INDEX(tblAccounts[Owner],MATCH($E62,tblAccounts[Account],0)),"Joint"))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IF($C62="","",IFERROR(INDEX(tblCategories[Group],MATCH($K62,tblCategories[Category],0)),"Other"))</f>
        <v/>
      </c>
      <c r="M62">
        <f>IF($C62="","",IFERROR(INDEX(tblCategories[Type],MATCH($K62,tblCategories[Category],0)),IF($J62&gt;0,"Income","Expense")))</f>
        <v/>
      </c>
      <c r="N62">
        <f>IF($C62="","",IFERROR(INDEX(tblCategories[Essential],MATCH($K62,tblCategories[Category],0)),"No"))</f>
        <v/>
      </c>
      <c r="O62">
        <f>IF($C62="","",IFERROR(INDEX(tblCategories[Tax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IF($C63="","",IFERROR(INDEX(tblAccounts[Owner],MATCH($E63,tblAccounts[Account],0)),"Joint"))</f>
        <v/>
      </c>
      <c r="G63" t="inlineStr">
        <is>
          <t>Joint</t>
        </is>
      </c>
      <c r="H63" t="inlineStr">
        <is>
          <t>IDP PURCHASE - 2112 LOBLAWS #716 TORONTO ON</t>
        </is>
      </c>
      <c r="I63" t="inlineStr">
        <is>
          <t>Loblaws</t>
        </is>
      </c>
      <c r="J63" s="14" t="n">
        <v>-150.96</v>
      </c>
      <c r="K63" t="inlineStr">
        <is>
          <t>Groceries</t>
        </is>
      </c>
      <c r="L63">
        <f>IF($C63="","",IFERROR(INDEX(tblCategories[Group],MATCH($K63,tblCategories[Category],0)),"Other"))</f>
        <v/>
      </c>
      <c r="M63">
        <f>IF($C63="","",IFERROR(INDEX(tblCategories[Type],MATCH($K63,tblCategories[Category],0)),IF($J63&gt;0,"Income","Expense")))</f>
        <v/>
      </c>
      <c r="N63">
        <f>IF($C63="","",IFERROR(INDEX(tblCategories[Essential],MATCH($K63,tblCategories[Category],0)),"No"))</f>
        <v/>
      </c>
      <c r="O63">
        <f>IF($C63="","",IFERROR(INDEX(tblCategories[Tax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IF($C64="","",IFERROR(INDEX(tblAccounts[Owner],MATCH($E64,tblAccounts[Account],0)),"Joint"))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IF($C64="","",IFERROR(INDEX(tblCategories[Group],MATCH($K64,tblCategories[Category],0)),"Other"))</f>
        <v/>
      </c>
      <c r="M64">
        <f>IF($C64="","",IFERROR(INDEX(tblCategories[Type],MATCH($K64,tblCategories[Category],0)),IF($J64&gt;0,"Income","Expense")))</f>
        <v/>
      </c>
      <c r="N64">
        <f>IF($C64="","",IFERROR(INDEX(tblCategories[Essential],MATCH($K64,tblCategories[Category],0)),"No"))</f>
        <v/>
      </c>
      <c r="O64">
        <f>IF($C64="","",IFERROR(INDEX(tblCategories[Tax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IF($C65="","",IFERROR(INDEX(tblAccounts[Owner],MATCH($E65,tblAccounts[Account],0)),"Joint"))</f>
        <v/>
      </c>
      <c r="G65" t="inlineStr">
        <is>
          <t>Sam</t>
        </is>
      </c>
      <c r="H65" t="inlineStr">
        <is>
          <t>PRESTO FARE/TRANSIT TORONTO ON</t>
        </is>
      </c>
      <c r="I65" t="inlineStr">
        <is>
          <t>Presto</t>
        </is>
      </c>
      <c r="J65" s="14" t="n">
        <v>-132.05</v>
      </c>
      <c r="K65" t="inlineStr">
        <is>
          <t>Public Transit</t>
        </is>
      </c>
      <c r="L65">
        <f>IF($C65="","",IFERROR(INDEX(tblCategories[Group],MATCH($K65,tblCategories[Category],0)),"Other"))</f>
        <v/>
      </c>
      <c r="M65">
        <f>IF($C65="","",IFERROR(INDEX(tblCategories[Type],MATCH($K65,tblCategories[Category],0)),IF($J65&gt;0,"Income","Expense")))</f>
        <v/>
      </c>
      <c r="N65">
        <f>IF($C65="","",IFERROR(INDEX(tblCategories[Essential],MATCH($K65,tblCategories[Category],0)),"No"))</f>
        <v/>
      </c>
      <c r="O65">
        <f>IF($C65="","",IFERROR(INDEX(tblCategories[Tax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IF($C66="","",IFERROR(INDEX(tblAccounts[Owner],MATCH($E66,tblAccounts[Account],0)),"Joint"))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IF($C66="","",IFERROR(INDEX(tblCategories[Group],MATCH($K66,tblCategories[Category],0)),"Other"))</f>
        <v/>
      </c>
      <c r="M66">
        <f>IF($C66="","",IFERROR(INDEX(tblCategories[Type],MATCH($K66,tblCategories[Category],0)),IF($J66&gt;0,"Income","Expense")))</f>
        <v/>
      </c>
      <c r="N66">
        <f>IF($C66="","",IFERROR(INDEX(tblCategories[Essential],MATCH($K66,tblCategories[Category],0)),"No"))</f>
        <v/>
      </c>
      <c r="O66">
        <f>IF($C66="","",IFERROR(INDEX(tblCategories[Tax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IF($C67="","",IFERROR(INDEX(tblAccounts[Owner],MATCH($E67,tblAccounts[Account],0)),"Joint"))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IF($C67="","",IFERROR(INDEX(tblCategories[Group],MATCH($K67,tblCategories[Category],0)),"Other"))</f>
        <v/>
      </c>
      <c r="M67">
        <f>IF($C67="","",IFERROR(INDEX(tblCategories[Type],MATCH($K67,tblCategories[Category],0)),IF($J67&gt;0,"Income","Expense")))</f>
        <v/>
      </c>
      <c r="N67">
        <f>IF($C67="","",IFERROR(INDEX(tblCategories[Essential],MATCH($K67,tblCategories[Category],0)),"No"))</f>
        <v/>
      </c>
      <c r="O67">
        <f>IF($C67="","",IFERROR(INDEX(tblCategories[Tax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IF($C68="","",IFERROR(INDEX(tblAccounts[Owner],MATCH($E68,tblAccounts[Account],0)),"Joint"))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IF($C68="","",IFERROR(INDEX(tblCategories[Group],MATCH($K68,tblCategories[Category],0)),"Other"))</f>
        <v/>
      </c>
      <c r="M68">
        <f>IF($C68="","",IFERROR(INDEX(tblCategories[Type],MATCH($K68,tblCategories[Category],0)),IF($J68&gt;0,"Income","Expense")))</f>
        <v/>
      </c>
      <c r="N68">
        <f>IF($C68="","",IFERROR(INDEX(tblCategories[Essential],MATCH($K68,tblCategories[Category],0)),"No"))</f>
        <v/>
      </c>
      <c r="O68">
        <f>IF($C68="","",IFERROR(INDEX(tblCategories[Tax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IF($C69="","",IFERROR(INDEX(tblAccounts[Owner],MATCH($E69,tblAccounts[Account],0)),"Joint"))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IF($C69="","",IFERROR(INDEX(tblCategories[Group],MATCH($K69,tblCategories[Category],0)),"Other"))</f>
        <v/>
      </c>
      <c r="M69">
        <f>IF($C69="","",IFERROR(INDEX(tblCategories[Type],MATCH($K69,tblCategories[Category],0)),IF($J69&gt;0,"Income","Expense")))</f>
        <v/>
      </c>
      <c r="N69">
        <f>IF($C69="","",IFERROR(INDEX(tblCategories[Essential],MATCH($K69,tblCategories[Category],0)),"No"))</f>
        <v/>
      </c>
      <c r="O69">
        <f>IF($C69="","",IFERROR(INDEX(tblCategories[Tax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IF($C70="","",IFERROR(INDEX(tblAccounts[Owner],MATCH($E70,tblAccounts[Account],0)),"Joint"))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IF($C70="","",IFERROR(INDEX(tblCategories[Group],MATCH($K70,tblCategories[Category],0)),"Other"))</f>
        <v/>
      </c>
      <c r="M70">
        <f>IF($C70="","",IFERROR(INDEX(tblCategories[Type],MATCH($K70,tblCategories[Category],0)),IF($J70&gt;0,"Income","Expense")))</f>
        <v/>
      </c>
      <c r="N70">
        <f>IF($C70="","",IFERROR(INDEX(tblCategories[Essential],MATCH($K70,tblCategories[Category],0)),"No"))</f>
        <v/>
      </c>
      <c r="O70">
        <f>IF($C70="","",IFERROR(INDEX(tblCategories[Tax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IF($C71="","",IFERROR(INDEX(tblAccounts[Owner],MATCH($E71,tblAccounts[Account],0)),"Joint"))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IF($C71="","",IFERROR(INDEX(tblCategories[Group],MATCH($K71,tblCategories[Category],0)),"Other"))</f>
        <v/>
      </c>
      <c r="M71">
        <f>IF($C71="","",IFERROR(INDEX(tblCategories[Type],MATCH($K71,tblCategories[Category],0)),IF($J71&gt;0,"Income","Expense")))</f>
        <v/>
      </c>
      <c r="N71">
        <f>IF($C71="","",IFERROR(INDEX(tblCategories[Essential],MATCH($K71,tblCategories[Category],0)),"No"))</f>
        <v/>
      </c>
      <c r="O71">
        <f>IF($C71="","",IFERROR(INDEX(tblCategories[Tax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IF($C72="","",IFERROR(INDEX(tblAccounts[Owner],MATCH($E72,tblAccounts[Account],0)),"Joint"))</f>
        <v/>
      </c>
      <c r="G72" t="inlineStr">
        <is>
          <t>Joint</t>
        </is>
      </c>
      <c r="H72" t="inlineStr">
        <is>
          <t>TORONTO HYDRO BILL PAYMENT</t>
        </is>
      </c>
      <c r="I72" t="inlineStr">
        <is>
          <t>Toronto Hydro</t>
        </is>
      </c>
      <c r="J72" s="14" t="n">
        <v>-115.27</v>
      </c>
      <c r="K72" t="inlineStr">
        <is>
          <t>Electricity / Hydro</t>
        </is>
      </c>
      <c r="L72">
        <f>IF($C72="","",IFERROR(INDEX(tblCategories[Group],MATCH($K72,tblCategories[Category],0)),"Other"))</f>
        <v/>
      </c>
      <c r="M72">
        <f>IF($C72="","",IFERROR(INDEX(tblCategories[Type],MATCH($K72,tblCategories[Category],0)),IF($J72&gt;0,"Income","Expense")))</f>
        <v/>
      </c>
      <c r="N72">
        <f>IF($C72="","",IFERROR(INDEX(tblCategories[Essential],MATCH($K72,tblCategories[Category],0)),"No"))</f>
        <v/>
      </c>
      <c r="O72">
        <f>IF($C72="","",IFERROR(INDEX(tblCategories[Tax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IF($C73="","",IFERROR(INDEX(tblAccounts[Owner],MATCH($E73,tblAccounts[Account],0)),"Joint"))</f>
        <v/>
      </c>
      <c r="G73" t="inlineStr">
        <is>
          <t>Joint</t>
        </is>
      </c>
      <c r="H73" t="inlineStr">
        <is>
          <t>AMZ*UBER EATS TORONTO ON</t>
        </is>
      </c>
      <c r="I73" t="inlineStr">
        <is>
          <t>Uber Eats</t>
        </is>
      </c>
      <c r="J73" s="14" t="n">
        <v>-58.8</v>
      </c>
      <c r="K73" t="inlineStr">
        <is>
          <t>Restaurants &amp; Takeout</t>
        </is>
      </c>
      <c r="L73">
        <f>IF($C73="","",IFERROR(INDEX(tblCategories[Group],MATCH($K73,tblCategories[Category],0)),"Other"))</f>
        <v/>
      </c>
      <c r="M73">
        <f>IF($C73="","",IFERROR(INDEX(tblCategories[Type],MATCH($K73,tblCategories[Category],0)),IF($J73&gt;0,"Income","Expense")))</f>
        <v/>
      </c>
      <c r="N73">
        <f>IF($C73="","",IFERROR(INDEX(tblCategories[Essential],MATCH($K73,tblCategories[Category],0)),"No"))</f>
        <v/>
      </c>
      <c r="O73">
        <f>IF($C73="","",IFERROR(INDEX(tblCategories[Tax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IF($C74="","",IFERROR(INDEX(tblAccounts[Owner],MATCH($E74,tblAccounts[Account],0)),"Joint"))</f>
        <v/>
      </c>
      <c r="G74" t="inlineStr">
        <is>
          <t>Joint</t>
        </is>
      </c>
      <c r="H74" t="inlineStr">
        <is>
          <t>BROADVIEW DENTAL CENTRE</t>
        </is>
      </c>
      <c r="I74" t="inlineStr">
        <is>
          <t>Broadview Dental Centre</t>
        </is>
      </c>
      <c r="J74" s="14" t="n">
        <v>-287.45</v>
      </c>
      <c r="K74" t="inlineStr">
        <is>
          <t>Dental</t>
        </is>
      </c>
      <c r="L74">
        <f>IF($C74="","",IFERROR(INDEX(tblCategories[Group],MATCH($K74,tblCategories[Category],0)),"Other"))</f>
        <v/>
      </c>
      <c r="M74">
        <f>IF($C74="","",IFERROR(INDEX(tblCategories[Type],MATCH($K74,tblCategories[Category],0)),IF($J74&gt;0,"Income","Expense")))</f>
        <v/>
      </c>
      <c r="N74">
        <f>IF($C74="","",IFERROR(INDEX(tblCategories[Essential],MATCH($K74,tblCategories[Category],0)),"No"))</f>
        <v/>
      </c>
      <c r="O74">
        <f>IF($C74="","",IFERROR(INDEX(tblCategories[Tax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IF($C75="","",IFERROR(INDEX(tblAccounts[Owner],MATCH($E75,tblAccounts[Account],0)),"Joint"))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IF($C75="","",IFERROR(INDEX(tblCategories[Group],MATCH($K75,tblCategories[Category],0)),"Other"))</f>
        <v/>
      </c>
      <c r="M75">
        <f>IF($C75="","",IFERROR(INDEX(tblCategories[Type],MATCH($K75,tblCategories[Category],0)),IF($J75&gt;0,"Income","Expense")))</f>
        <v/>
      </c>
      <c r="N75">
        <f>IF($C75="","",IFERROR(INDEX(tblCategories[Essential],MATCH($K75,tblCategories[Category],0)),"No"))</f>
        <v/>
      </c>
      <c r="O75">
        <f>IF($C75="","",IFERROR(INDEX(tblCategories[Tax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IF($C76="","",IFERROR(INDEX(tblAccounts[Owner],MATCH($E76,tblAccounts[Account],0)),"Joint"))</f>
        <v/>
      </c>
      <c r="G76" t="inlineStr">
        <is>
          <t>Alex</t>
        </is>
      </c>
      <c r="H76" t="inlineStr">
        <is>
          <t>ATM WITHDRAWAL 100 QUEEN ST W</t>
        </is>
      </c>
      <c r="I76" t="inlineStr">
        <is>
          <t>Atm Withdrawal</t>
        </is>
      </c>
      <c r="J76" s="14" t="n">
        <v>-60</v>
      </c>
      <c r="K76" t="inlineStr">
        <is>
          <t>Cash Withdrawal</t>
        </is>
      </c>
      <c r="L76">
        <f>IF($C76="","",IFERROR(INDEX(tblCategories[Group],MATCH($K76,tblCategories[Category],0)),"Other"))</f>
        <v/>
      </c>
      <c r="M76">
        <f>IF($C76="","",IFERROR(INDEX(tblCategories[Type],MATCH($K76,tblCategories[Category],0)),IF($J76&gt;0,"Income","Expense")))</f>
        <v/>
      </c>
      <c r="N76">
        <f>IF($C76="","",IFERROR(INDEX(tblCategories[Essential],MATCH($K76,tblCategories[Category],0)),"No"))</f>
        <v/>
      </c>
      <c r="O76">
        <f>IF($C76="","",IFERROR(INDEX(tblCategories[Tax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IF($C77="","",IFERROR(INDEX(tblAccounts[Owner],MATCH($E77,tblAccounts[Account],0)),"Joint"))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IF($C77="","",IFERROR(INDEX(tblCategories[Group],MATCH($K77,tblCategories[Category],0)),"Other"))</f>
        <v/>
      </c>
      <c r="M77">
        <f>IF($C77="","",IFERROR(INDEX(tblCategories[Type],MATCH($K77,tblCategories[Category],0)),IF($J77&gt;0,"Income","Expense")))</f>
        <v/>
      </c>
      <c r="N77">
        <f>IF($C77="","",IFERROR(INDEX(tblCategories[Essential],MATCH($K77,tblCategories[Category],0)),"No"))</f>
        <v/>
      </c>
      <c r="O77">
        <f>IF($C77="","",IFERROR(INDEX(tblCategories[Tax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IF($C78="","",IFERROR(INDEX(tblAccounts[Owner],MATCH($E78,tblAccounts[Account],0)),"Joint"))</f>
        <v/>
      </c>
      <c r="G78" t="inlineStr">
        <is>
          <t>Joint</t>
        </is>
      </c>
      <c r="H78" t="inlineStr">
        <is>
          <t>ROGERS PREAUTHORIZED PAYMENT</t>
        </is>
      </c>
      <c r="I78" t="inlineStr">
        <is>
          <t>Rogers</t>
        </is>
      </c>
      <c r="J78" s="14" t="n">
        <v>-89.98999999999999</v>
      </c>
      <c r="K78" t="inlineStr">
        <is>
          <t>Internet</t>
        </is>
      </c>
      <c r="L78">
        <f>IF($C78="","",IFERROR(INDEX(tblCategories[Group],MATCH($K78,tblCategories[Category],0)),"Other"))</f>
        <v/>
      </c>
      <c r="M78">
        <f>IF($C78="","",IFERROR(INDEX(tblCategories[Type],MATCH($K78,tblCategories[Category],0)),IF($J78&gt;0,"Income","Expense")))</f>
        <v/>
      </c>
      <c r="N78">
        <f>IF($C78="","",IFERROR(INDEX(tblCategories[Essential],MATCH($K78,tblCategories[Category],0)),"No"))</f>
        <v/>
      </c>
      <c r="O78">
        <f>IF($C78="","",IFERROR(INDEX(tblCategories[Tax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IF($C79="","",IFERROR(INDEX(tblAccounts[Owner],MATCH($E79,tblAccounts[Account],0)),"Joint"))</f>
        <v/>
      </c>
      <c r="G79" t="inlineStr">
        <is>
          <t>Joint</t>
        </is>
      </c>
      <c r="H79" t="inlineStr">
        <is>
          <t>UBER TRIP HELP.UBER.COM ON</t>
        </is>
      </c>
      <c r="I79" t="inlineStr">
        <is>
          <t>Uber</t>
        </is>
      </c>
      <c r="J79" s="14" t="n">
        <v>-19.53</v>
      </c>
      <c r="K79" t="inlineStr">
        <is>
          <t>Taxi &amp; Rideshare</t>
        </is>
      </c>
      <c r="L79">
        <f>IF($C79="","",IFERROR(INDEX(tblCategories[Group],MATCH($K79,tblCategories[Category],0)),"Other"))</f>
        <v/>
      </c>
      <c r="M79">
        <f>IF($C79="","",IFERROR(INDEX(tblCategories[Type],MATCH($K79,tblCategories[Category],0)),IF($J79&gt;0,"Income","Expense")))</f>
        <v/>
      </c>
      <c r="N79">
        <f>IF($C79="","",IFERROR(INDEX(tblCategories[Essential],MATCH($K79,tblCategories[Category],0)),"No"))</f>
        <v/>
      </c>
      <c r="O79">
        <f>IF($C79="","",IFERROR(INDEX(tblCategories[Tax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IF($C80="","",IFERROR(INDEX(tblAccounts[Owner],MATCH($E80,tblAccounts[Account],0)),"Joint"))</f>
        <v/>
      </c>
      <c r="G80" t="inlineStr">
        <is>
          <t>Joint</t>
        </is>
      </c>
      <c r="H80" t="inlineStr">
        <is>
          <t>FREEDOM MOBILE PREAUTHORIZED DEBIT</t>
        </is>
      </c>
      <c r="I80" t="inlineStr">
        <is>
          <t>Freedom Mobile</t>
        </is>
      </c>
      <c r="J80" s="14" t="n">
        <v>-45</v>
      </c>
      <c r="K80" t="inlineStr">
        <is>
          <t>Mobile Phone</t>
        </is>
      </c>
      <c r="L80">
        <f>IF($C80="","",IFERROR(INDEX(tblCategories[Group],MATCH($K80,tblCategories[Category],0)),"Other"))</f>
        <v/>
      </c>
      <c r="M80">
        <f>IF($C80="","",IFERROR(INDEX(tblCategories[Type],MATCH($K80,tblCategories[Category],0)),IF($J80&gt;0,"Income","Expense")))</f>
        <v/>
      </c>
      <c r="N80">
        <f>IF($C80="","",IFERROR(INDEX(tblCategories[Essential],MATCH($K80,tblCategories[Category],0)),"No"))</f>
        <v/>
      </c>
      <c r="O80">
        <f>IF($C80="","",IFERROR(INDEX(tblCategories[Tax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IF($C81="","",IFERROR(INDEX(tblAccounts[Owner],MATCH($E81,tblAccounts[Account],0)),"Joint"))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IF($C81="","",IFERROR(INDEX(tblCategories[Group],MATCH($K81,tblCategories[Category],0)),"Other"))</f>
        <v/>
      </c>
      <c r="M81">
        <f>IF($C81="","",IFERROR(INDEX(tblCategories[Type],MATCH($K81,tblCategories[Category],0)),IF($J81&gt;0,"Income","Expense")))</f>
        <v/>
      </c>
      <c r="N81">
        <f>IF($C81="","",IFERROR(INDEX(tblCategories[Essential],MATCH($K81,tblCategories[Category],0)),"No"))</f>
        <v/>
      </c>
      <c r="O81">
        <f>IF($C81="","",IFERROR(INDEX(tblCategories[Tax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IF($C82="","",IFERROR(INDEX(tblAccounts[Owner],MATCH($E82,tblAccounts[Account],0)),"Joint"))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IF($C82="","",IFERROR(INDEX(tblCategories[Group],MATCH($K82,tblCategories[Category],0)),"Other"))</f>
        <v/>
      </c>
      <c r="M82">
        <f>IF($C82="","",IFERROR(INDEX(tblCategories[Type],MATCH($K82,tblCategories[Category],0)),IF($J82&gt;0,"Income","Expense")))</f>
        <v/>
      </c>
      <c r="N82">
        <f>IF($C82="","",IFERROR(INDEX(tblCategories[Essential],MATCH($K82,tblCategories[Category],0)),"No"))</f>
        <v/>
      </c>
      <c r="O82">
        <f>IF($C82="","",IFERROR(INDEX(tblCategories[Tax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IF($C83="","",IFERROR(INDEX(tblAccounts[Owner],MATCH($E83,tblAccounts[Account],0)),"Joint"))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IF($C83="","",IFERROR(INDEX(tblCategories[Group],MATCH($K83,tblCategories[Category],0)),"Other"))</f>
        <v/>
      </c>
      <c r="M83">
        <f>IF($C83="","",IFERROR(INDEX(tblCategories[Type],MATCH($K83,tblCategories[Category],0)),IF($J83&gt;0,"Income","Expense")))</f>
        <v/>
      </c>
      <c r="N83">
        <f>IF($C83="","",IFERROR(INDEX(tblCategories[Essential],MATCH($K83,tblCategories[Category],0)),"No"))</f>
        <v/>
      </c>
      <c r="O83">
        <f>IF($C83="","",IFERROR(INDEX(tblCategories[Tax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IF($C84="","",IFERROR(INDEX(tblAccounts[Owner],MATCH($E84,tblAccounts[Account],0)),"Joint"))</f>
        <v/>
      </c>
      <c r="G84" t="inlineStr">
        <is>
          <t>Joint</t>
        </is>
      </c>
      <c r="H84" t="inlineStr">
        <is>
          <t>NETFLIX.COM MISC PAYMENT</t>
        </is>
      </c>
      <c r="I84" t="inlineStr">
        <is>
          <t>Netflix</t>
        </is>
      </c>
      <c r="J84" s="14" t="n">
        <v>-22.99</v>
      </c>
      <c r="K84" t="inlineStr">
        <is>
          <t>Subscriptions</t>
        </is>
      </c>
      <c r="L84">
        <f>IF($C84="","",IFERROR(INDEX(tblCategories[Group],MATCH($K84,tblCategories[Category],0)),"Other"))</f>
        <v/>
      </c>
      <c r="M84">
        <f>IF($C84="","",IFERROR(INDEX(tblCategories[Type],MATCH($K84,tblCategories[Category],0)),IF($J84&gt;0,"Income","Expense")))</f>
        <v/>
      </c>
      <c r="N84">
        <f>IF($C84="","",IFERROR(INDEX(tblCategories[Essential],MATCH($K84,tblCategories[Category],0)),"No"))</f>
        <v/>
      </c>
      <c r="O84">
        <f>IF($C84="","",IFERROR(INDEX(tblCategories[Tax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IF($C85="","",IFERROR(INDEX(tblAccounts[Owner],MATCH($E85,tblAccounts[Account],0)),"Joint"))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IF($C85="","",IFERROR(INDEX(tblCategories[Group],MATCH($K85,tblCategories[Category],0)),"Other"))</f>
        <v/>
      </c>
      <c r="M85">
        <f>IF($C85="","",IFERROR(INDEX(tblCategories[Type],MATCH($K85,tblCategories[Category],0)),IF($J85&gt;0,"Income","Expense")))</f>
        <v/>
      </c>
      <c r="N85">
        <f>IF($C85="","",IFERROR(INDEX(tblCategories[Essential],MATCH($K85,tblCategories[Category],0)),"No"))</f>
        <v/>
      </c>
      <c r="O85">
        <f>IF($C85="","",IFERROR(INDEX(tblCategories[Tax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IF($C86="","",IFERROR(INDEX(tblAccounts[Owner],MATCH($E86,tblAccounts[Account],0)),"Joint"))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IF($C86="","",IFERROR(INDEX(tblCategories[Group],MATCH($K86,tblCategories[Category],0)),"Other"))</f>
        <v/>
      </c>
      <c r="M86">
        <f>IF($C86="","",IFERROR(INDEX(tblCategories[Type],MATCH($K86,tblCategories[Category],0)),IF($J86&gt;0,"Income","Expense")))</f>
        <v/>
      </c>
      <c r="N86">
        <f>IF($C86="","",IFERROR(INDEX(tblCategories[Essential],MATCH($K86,tblCategories[Category],0)),"No"))</f>
        <v/>
      </c>
      <c r="O86">
        <f>IF($C86="","",IFERROR(INDEX(tblCategories[Tax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IF($C87="","",IFERROR(INDEX(tblAccounts[Owner],MATCH($E87,tblAccounts[Account],0)),"Joint"))</f>
        <v/>
      </c>
      <c r="G87" t="inlineStr">
        <is>
          <t>Joint</t>
        </is>
      </c>
      <c r="H87" t="inlineStr">
        <is>
          <t>IDP PURCHASE - 3380 PETRO-CANADA #4548 ON</t>
        </is>
      </c>
      <c r="I87" t="inlineStr">
        <is>
          <t>Petro-Canada</t>
        </is>
      </c>
      <c r="J87" s="14" t="n">
        <v>-92.78</v>
      </c>
      <c r="K87" t="inlineStr">
        <is>
          <t>Fuel</t>
        </is>
      </c>
      <c r="L87">
        <f>IF($C87="","",IFERROR(INDEX(tblCategories[Group],MATCH($K87,tblCategories[Category],0)),"Other"))</f>
        <v/>
      </c>
      <c r="M87">
        <f>IF($C87="","",IFERROR(INDEX(tblCategories[Type],MATCH($K87,tblCategories[Category],0)),IF($J87&gt;0,"Income","Expense")))</f>
        <v/>
      </c>
      <c r="N87">
        <f>IF($C87="","",IFERROR(INDEX(tblCategories[Essential],MATCH($K87,tblCategories[Category],0)),"No"))</f>
        <v/>
      </c>
      <c r="O87">
        <f>IF($C87="","",IFERROR(INDEX(tblCategories[Tax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IF($C88="","",IFERROR(INDEX(tblAccounts[Owner],MATCH($E88,tblAccounts[Account],0)),"Joint"))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IF($C88="","",IFERROR(INDEX(tblCategories[Group],MATCH($K88,tblCategories[Category],0)),"Other"))</f>
        <v/>
      </c>
      <c r="M88">
        <f>IF($C88="","",IFERROR(INDEX(tblCategories[Type],MATCH($K88,tblCategories[Category],0)),IF($J88&gt;0,"Income","Expense")))</f>
        <v/>
      </c>
      <c r="N88">
        <f>IF($C88="","",IFERROR(INDEX(tblCategories[Essential],MATCH($K88,tblCategories[Category],0)),"No"))</f>
        <v/>
      </c>
      <c r="O88">
        <f>IF($C88="","",IFERROR(INDEX(tblCategories[Tax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IF($C89="","",IFERROR(INDEX(tblAccounts[Owner],MATCH($E89,tblAccounts[Account],0)),"Joint"))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IF($C89="","",IFERROR(INDEX(tblCategories[Group],MATCH($K89,tblCategories[Category],0)),"Other"))</f>
        <v/>
      </c>
      <c r="M89">
        <f>IF($C89="","",IFERROR(INDEX(tblCategories[Type],MATCH($K89,tblCategories[Category],0)),IF($J89&gt;0,"Income","Expense")))</f>
        <v/>
      </c>
      <c r="N89">
        <f>IF($C89="","",IFERROR(INDEX(tblCategories[Essential],MATCH($K89,tblCategories[Category],0)),"No"))</f>
        <v/>
      </c>
      <c r="O89">
        <f>IF($C89="","",IFERROR(INDEX(tblCategories[Tax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IF($C90="","",IFERROR(INDEX(tblAccounts[Owner],MATCH($E90,tblAccounts[Account],0)),"Joint"))</f>
        <v/>
      </c>
      <c r="G90" t="inlineStr">
        <is>
          <t>Joint</t>
        </is>
      </c>
      <c r="H90" t="inlineStr">
        <is>
          <t>SPOTIFY P2C5 MISC PAYMENT</t>
        </is>
      </c>
      <c r="I90" t="inlineStr">
        <is>
          <t>Spotify</t>
        </is>
      </c>
      <c r="J90" s="14" t="n">
        <v>-16.99</v>
      </c>
      <c r="K90" t="inlineStr">
        <is>
          <t>Subscriptions</t>
        </is>
      </c>
      <c r="L90">
        <f>IF($C90="","",IFERROR(INDEX(tblCategories[Group],MATCH($K90,tblCategories[Category],0)),"Other"))</f>
        <v/>
      </c>
      <c r="M90">
        <f>IF($C90="","",IFERROR(INDEX(tblCategories[Type],MATCH($K90,tblCategories[Category],0)),IF($J90&gt;0,"Income","Expense")))</f>
        <v/>
      </c>
      <c r="N90">
        <f>IF($C90="","",IFERROR(INDEX(tblCategories[Essential],MATCH($K90,tblCategories[Category],0)),"No"))</f>
        <v/>
      </c>
      <c r="O90">
        <f>IF($C90="","",IFERROR(INDEX(tblCategories[Tax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IF($C91="","",IFERROR(INDEX(tblAccounts[Owner],MATCH($E91,tblAccounts[Account],0)),"Joint"))</f>
        <v/>
      </c>
      <c r="G91" t="inlineStr">
        <is>
          <t>Joint</t>
        </is>
      </c>
      <c r="H91" t="inlineStr">
        <is>
          <t>IDP PURCHASE - 8989 LOBLAWS #1520 TORONTO ON</t>
        </is>
      </c>
      <c r="I91" t="inlineStr">
        <is>
          <t>Loblaws</t>
        </is>
      </c>
      <c r="J91" s="14" t="n">
        <v>-136.21</v>
      </c>
      <c r="K91" t="inlineStr">
        <is>
          <t>Groceries</t>
        </is>
      </c>
      <c r="L91">
        <f>IF($C91="","",IFERROR(INDEX(tblCategories[Group],MATCH($K91,tblCategories[Category],0)),"Other"))</f>
        <v/>
      </c>
      <c r="M91">
        <f>IF($C91="","",IFERROR(INDEX(tblCategories[Type],MATCH($K91,tblCategories[Category],0)),IF($J91&gt;0,"Income","Expense")))</f>
        <v/>
      </c>
      <c r="N91">
        <f>IF($C91="","",IFERROR(INDEX(tblCategories[Essential],MATCH($K91,tblCategories[Category],0)),"No"))</f>
        <v/>
      </c>
      <c r="O91">
        <f>IF($C91="","",IFERROR(INDEX(tblCategories[Tax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IF($C92="","",IFERROR(INDEX(tblAccounts[Owner],MATCH($E92,tblAccounts[Account],0)),"Joint"))</f>
        <v/>
      </c>
      <c r="G92" t="inlineStr">
        <is>
          <t>Joint</t>
        </is>
      </c>
      <c r="H92" t="inlineStr">
        <is>
          <t>RESP CONTRIBUTION CST SAVINGS</t>
        </is>
      </c>
      <c r="I92" t="inlineStr">
        <is>
          <t>Cst Savings</t>
        </is>
      </c>
      <c r="J92" s="14" t="n">
        <v>-208.33</v>
      </c>
      <c r="K92" t="inlineStr">
        <is>
          <t>RESP Contribution</t>
        </is>
      </c>
      <c r="L92">
        <f>IF($C92="","",IFERROR(INDEX(tblCategories[Group],MATCH($K92,tblCategories[Category],0)),"Other"))</f>
        <v/>
      </c>
      <c r="M92">
        <f>IF($C92="","",IFERROR(INDEX(tblCategories[Type],MATCH($K92,tblCategories[Category],0)),IF($J92&gt;0,"Income","Expense")))</f>
        <v/>
      </c>
      <c r="N92">
        <f>IF($C92="","",IFERROR(INDEX(tblCategories[Essential],MATCH($K92,tblCategories[Category],0)),"No"))</f>
        <v/>
      </c>
      <c r="O92">
        <f>IF($C92="","",IFERROR(INDEX(tblCategories[Tax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IF($C93="","",IFERROR(INDEX(tblAccounts[Owner],MATCH($E93,tblAccounts[Account],0)),"Joint"))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IF($C93="","",IFERROR(INDEX(tblCategories[Group],MATCH($K93,tblCategories[Category],0)),"Other"))</f>
        <v/>
      </c>
      <c r="M93">
        <f>IF($C93="","",IFERROR(INDEX(tblCategories[Type],MATCH($K93,tblCategories[Category],0)),IF($J93&gt;0,"Income","Expense")))</f>
        <v/>
      </c>
      <c r="N93">
        <f>IF($C93="","",IFERROR(INDEX(tblCategories[Essential],MATCH($K93,tblCategories[Category],0)),"No"))</f>
        <v/>
      </c>
      <c r="O93">
        <f>IF($C93="","",IFERROR(INDEX(tblCategories[Tax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IF($C94="","",IFERROR(INDEX(tblAccounts[Owner],MATCH($E94,tblAccounts[Account],0)),"Joint"))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IF($C94="","",IFERROR(INDEX(tblCategories[Group],MATCH($K94,tblCategories[Category],0)),"Other"))</f>
        <v/>
      </c>
      <c r="M94">
        <f>IF($C94="","",IFERROR(INDEX(tblCategories[Type],MATCH($K94,tblCategories[Category],0)),IF($J94&gt;0,"Income","Expense")))</f>
        <v/>
      </c>
      <c r="N94">
        <f>IF($C94="","",IFERROR(INDEX(tblCategories[Essential],MATCH($K94,tblCategories[Category],0)),"No"))</f>
        <v/>
      </c>
      <c r="O94">
        <f>IF($C94="","",IFERROR(INDEX(tblCategories[Tax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IF($C95="","",IFERROR(INDEX(tblAccounts[Owner],MATCH($E95,tblAccounts[Account],0)),"Joint"))</f>
        <v/>
      </c>
      <c r="G95" t="inlineStr">
        <is>
          <t>Joint</t>
        </is>
      </c>
      <c r="H95" t="inlineStr">
        <is>
          <t>CANADA FED / FED CCB DEPOSIT</t>
        </is>
      </c>
      <c r="I95" t="inlineStr">
        <is>
          <t>Canada Fed</t>
        </is>
      </c>
      <c r="J95" s="14" t="n">
        <v>619.75</v>
      </c>
      <c r="K95" t="inlineStr">
        <is>
          <t>Canada Child Benefit</t>
        </is>
      </c>
      <c r="L95">
        <f>IF($C95="","",IFERROR(INDEX(tblCategories[Group],MATCH($K95,tblCategories[Category],0)),"Other"))</f>
        <v/>
      </c>
      <c r="M95">
        <f>IF($C95="","",IFERROR(INDEX(tblCategories[Type],MATCH($K95,tblCategories[Category],0)),IF($J95&gt;0,"Income","Expense")))</f>
        <v/>
      </c>
      <c r="N95">
        <f>IF($C95="","",IFERROR(INDEX(tblCategories[Essential],MATCH($K95,tblCategories[Category],0)),"No"))</f>
        <v/>
      </c>
      <c r="O95">
        <f>IF($C95="","",IFERROR(INDEX(tblCategories[Tax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IF($C96="","",IFERROR(INDEX(tblAccounts[Owner],MATCH($E96,tblAccounts[Account],0)),"Joint"))</f>
        <v/>
      </c>
      <c r="G96" t="inlineStr">
        <is>
          <t>Joint</t>
        </is>
      </c>
      <c r="H96" t="inlineStr">
        <is>
          <t>AMZ*UBER EATS TORONTO ON</t>
        </is>
      </c>
      <c r="I96" t="inlineStr">
        <is>
          <t>Uber Eats</t>
        </is>
      </c>
      <c r="J96" s="14" t="n">
        <v>-41.33</v>
      </c>
      <c r="K96" t="inlineStr">
        <is>
          <t>Restaurants &amp; Takeout</t>
        </is>
      </c>
      <c r="L96">
        <f>IF($C96="","",IFERROR(INDEX(tblCategories[Group],MATCH($K96,tblCategories[Category],0)),"Other"))</f>
        <v/>
      </c>
      <c r="M96">
        <f>IF($C96="","",IFERROR(INDEX(tblCategories[Type],MATCH($K96,tblCategories[Category],0)),IF($J96&gt;0,"Income","Expense")))</f>
        <v/>
      </c>
      <c r="N96">
        <f>IF($C96="","",IFERROR(INDEX(tblCategories[Essential],MATCH($K96,tblCategories[Category],0)),"No"))</f>
        <v/>
      </c>
      <c r="O96">
        <f>IF($C96="","",IFERROR(INDEX(tblCategories[Tax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IF($C97="","",IFERROR(INDEX(tblAccounts[Owner],MATCH($E97,tblAccounts[Account],0)),"Joint"))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IF($C97="","",IFERROR(INDEX(tblCategories[Group],MATCH($K97,tblCategories[Category],0)),"Other"))</f>
        <v/>
      </c>
      <c r="M97">
        <f>IF($C97="","",IFERROR(INDEX(tblCategories[Type],MATCH($K97,tblCategories[Category],0)),IF($J97&gt;0,"Income","Expense")))</f>
        <v/>
      </c>
      <c r="N97">
        <f>IF($C97="","",IFERROR(INDEX(tblCategories[Essential],MATCH($K97,tblCategories[Category],0)),"No"))</f>
        <v/>
      </c>
      <c r="O97">
        <f>IF($C97="","",IFERROR(INDEX(tblCategories[Tax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IF($C98="","",IFERROR(INDEX(tblAccounts[Owner],MATCH($E98,tblAccounts[Account],0)),"Joint"))</f>
        <v/>
      </c>
      <c r="G98" t="inlineStr">
        <is>
          <t>Sam</t>
        </is>
      </c>
      <c r="H98" t="inlineStr">
        <is>
          <t>UBER TRIP HELP.UBER.COM ON</t>
        </is>
      </c>
      <c r="I98" t="inlineStr">
        <is>
          <t>Uber</t>
        </is>
      </c>
      <c r="J98" s="14" t="n">
        <v>-25.55</v>
      </c>
      <c r="K98" t="inlineStr">
        <is>
          <t>Taxi &amp; Rideshare</t>
        </is>
      </c>
      <c r="L98">
        <f>IF($C98="","",IFERROR(INDEX(tblCategories[Group],MATCH($K98,tblCategories[Category],0)),"Other"))</f>
        <v/>
      </c>
      <c r="M98">
        <f>IF($C98="","",IFERROR(INDEX(tblCategories[Type],MATCH($K98,tblCategories[Category],0)),IF($J98&gt;0,"Income","Expense")))</f>
        <v/>
      </c>
      <c r="N98">
        <f>IF($C98="","",IFERROR(INDEX(tblCategories[Essential],MATCH($K98,tblCategories[Category],0)),"No"))</f>
        <v/>
      </c>
      <c r="O98">
        <f>IF($C98="","",IFERROR(INDEX(tblCategories[Tax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IF($C99="","",IFERROR(INDEX(tblAccounts[Owner],MATCH($E99,tblAccounts[Account],0)),"Joint"))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IF($C99="","",IFERROR(INDEX(tblCategories[Group],MATCH($K99,tblCategories[Category],0)),"Other"))</f>
        <v/>
      </c>
      <c r="M99">
        <f>IF($C99="","",IFERROR(INDEX(tblCategories[Type],MATCH($K99,tblCategories[Category],0)),IF($J99&gt;0,"Income","Expense")))</f>
        <v/>
      </c>
      <c r="N99">
        <f>IF($C99="","",IFERROR(INDEX(tblCategories[Essential],MATCH($K99,tblCategories[Category],0)),"No"))</f>
        <v/>
      </c>
      <c r="O99">
        <f>IF($C99="","",IFERROR(INDEX(tblCategories[Tax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IF($C100="","",IFERROR(INDEX(tblAccounts[Owner],MATCH($E100,tblAccounts[Account],0)),"Joint"))</f>
        <v/>
      </c>
      <c r="G100" t="inlineStr">
        <is>
          <t>Sam</t>
        </is>
      </c>
      <c r="H100" t="inlineStr">
        <is>
          <t>DONATION UNITED WAY MISC PAYMENT</t>
        </is>
      </c>
      <c r="I100" t="inlineStr">
        <is>
          <t>United Way</t>
        </is>
      </c>
      <c r="J100" s="14" t="n">
        <v>-50</v>
      </c>
      <c r="K100" t="inlineStr">
        <is>
          <t>Donations</t>
        </is>
      </c>
      <c r="L100">
        <f>IF($C100="","",IFERROR(INDEX(tblCategories[Group],MATCH($K100,tblCategories[Category],0)),"Other"))</f>
        <v/>
      </c>
      <c r="M100">
        <f>IF($C100="","",IFERROR(INDEX(tblCategories[Type],MATCH($K100,tblCategories[Category],0)),IF($J100&gt;0,"Income","Expense")))</f>
        <v/>
      </c>
      <c r="N100">
        <f>IF($C100="","",IFERROR(INDEX(tblCategories[Essential],MATCH($K100,tblCategories[Category],0)),"No"))</f>
        <v/>
      </c>
      <c r="O100">
        <f>IF($C100="","",IFERROR(INDEX(tblCategories[Tax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IF($C101="","",IFERROR(INDEX(tblAccounts[Owner],MATCH($E101,tblAccounts[Account],0)),"Joint"))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IF($C101="","",IFERROR(INDEX(tblCategories[Group],MATCH($K101,tblCategories[Category],0)),"Other"))</f>
        <v/>
      </c>
      <c r="M101">
        <f>IF($C101="","",IFERROR(INDEX(tblCategories[Type],MATCH($K101,tblCategories[Category],0)),IF($J101&gt;0,"Income","Expense")))</f>
        <v/>
      </c>
      <c r="N101">
        <f>IF($C101="","",IFERROR(INDEX(tblCategories[Essential],MATCH($K101,tblCategories[Category],0)),"No"))</f>
        <v/>
      </c>
      <c r="O101">
        <f>IF($C101="","",IFERROR(INDEX(tblCategories[Tax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IF($C102="","",IFERROR(INDEX(tblAccounts[Owner],MATCH($E102,tblAccounts[Account],0)),"Joint"))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IF($C102="","",IFERROR(INDEX(tblCategories[Group],MATCH($K102,tblCategories[Category],0)),"Other"))</f>
        <v/>
      </c>
      <c r="M102">
        <f>IF($C102="","",IFERROR(INDEX(tblCategories[Type],MATCH($K102,tblCategories[Category],0)),IF($J102&gt;0,"Income","Expense")))</f>
        <v/>
      </c>
      <c r="N102">
        <f>IF($C102="","",IFERROR(INDEX(tblCategories[Essential],MATCH($K102,tblCategories[Category],0)),"No"))</f>
        <v/>
      </c>
      <c r="O102">
        <f>IF($C102="","",IFERROR(INDEX(tblCategories[Tax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IF($C103="","",IFERROR(INDEX(tblAccounts[Owner],MATCH($E103,tblAccounts[Account],0)),"Joint"))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IF($C103="","",IFERROR(INDEX(tblCategories[Group],MATCH($K103,tblCategories[Category],0)),"Other"))</f>
        <v/>
      </c>
      <c r="M103">
        <f>IF($C103="","",IFERROR(INDEX(tblCategories[Type],MATCH($K103,tblCategories[Category],0)),IF($J103&gt;0,"Income","Expense")))</f>
        <v/>
      </c>
      <c r="N103">
        <f>IF($C103="","",IFERROR(INDEX(tblCategories[Essential],MATCH($K103,tblCategories[Category],0)),"No"))</f>
        <v/>
      </c>
      <c r="O103">
        <f>IF($C103="","",IFERROR(INDEX(tblCategories[Tax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IF($C104="","",IFERROR(INDEX(tblAccounts[Owner],MATCH($E104,tblAccounts[Account],0)),"Joint"))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IF($C104="","",IFERROR(INDEX(tblCategories[Group],MATCH($K104,tblCategories[Category],0)),"Other"))</f>
        <v/>
      </c>
      <c r="M104">
        <f>IF($C104="","",IFERROR(INDEX(tblCategories[Type],MATCH($K104,tblCategories[Category],0)),IF($J104&gt;0,"Income","Expense")))</f>
        <v/>
      </c>
      <c r="N104">
        <f>IF($C104="","",IFERROR(INDEX(tblCategories[Essential],MATCH($K104,tblCategories[Category],0)),"No"))</f>
        <v/>
      </c>
      <c r="O104">
        <f>IF($C104="","",IFERROR(INDEX(tblCategories[Tax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IF($C105="","",IFERROR(INDEX(tblAccounts[Owner],MATCH($E105,tblAccounts[Account],0)),"Joint"))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IF($C105="","",IFERROR(INDEX(tblCategories[Group],MATCH($K105,tblCategories[Category],0)),"Other"))</f>
        <v/>
      </c>
      <c r="M105">
        <f>IF($C105="","",IFERROR(INDEX(tblCategories[Type],MATCH($K105,tblCategories[Category],0)),IF($J105&gt;0,"Income","Expense")))</f>
        <v/>
      </c>
      <c r="N105">
        <f>IF($C105="","",IFERROR(INDEX(tblCategories[Essential],MATCH($K105,tblCategories[Category],0)),"No"))</f>
        <v/>
      </c>
      <c r="O105">
        <f>IF($C105="","",IFERROR(INDEX(tblCategories[Tax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IF($C106="","",IFERROR(INDEX(tblAccounts[Owner],MATCH($E106,tblAccounts[Account],0)),"Joint"))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IF($C106="","",IFERROR(INDEX(tblCategories[Group],MATCH($K106,tblCategories[Category],0)),"Other"))</f>
        <v/>
      </c>
      <c r="M106">
        <f>IF($C106="","",IFERROR(INDEX(tblCategories[Type],MATCH($K106,tblCategories[Category],0)),IF($J106&gt;0,"Income","Expense")))</f>
        <v/>
      </c>
      <c r="N106">
        <f>IF($C106="","",IFERROR(INDEX(tblCategories[Essential],MATCH($K106,tblCategories[Category],0)),"No"))</f>
        <v/>
      </c>
      <c r="O106">
        <f>IF($C106="","",IFERROR(INDEX(tblCategories[Tax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IF($C107="","",IFERROR(INDEX(tblAccounts[Owner],MATCH($E107,tblAccounts[Account],0)),"Joint"))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IF($C107="","",IFERROR(INDEX(tblCategories[Group],MATCH($K107,tblCategories[Category],0)),"Other"))</f>
        <v/>
      </c>
      <c r="M107">
        <f>IF($C107="","",IFERROR(INDEX(tblCategories[Type],MATCH($K107,tblCategories[Category],0)),IF($J107&gt;0,"Income","Expense")))</f>
        <v/>
      </c>
      <c r="N107">
        <f>IF($C107="","",IFERROR(INDEX(tblCategories[Essential],MATCH($K107,tblCategories[Category],0)),"No"))</f>
        <v/>
      </c>
      <c r="O107">
        <f>IF($C107="","",IFERROR(INDEX(tblCategories[Tax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IF($C108="","",IFERROR(INDEX(tblAccounts[Owner],MATCH($E108,tblAccounts[Account],0)),"Joint"))</f>
        <v/>
      </c>
      <c r="G108" t="inlineStr">
        <is>
          <t>Joint</t>
        </is>
      </c>
      <c r="H108" t="inlineStr">
        <is>
          <t>IDP PURCHASE - 7454 INDIGO #435 ON</t>
        </is>
      </c>
      <c r="I108" t="inlineStr">
        <is>
          <t>Indigo</t>
        </is>
      </c>
      <c r="J108" s="14" t="n">
        <v>-18.96</v>
      </c>
      <c r="K108" t="inlineStr">
        <is>
          <t>Hobbies</t>
        </is>
      </c>
      <c r="L108">
        <f>IF($C108="","",IFERROR(INDEX(tblCategories[Group],MATCH($K108,tblCategories[Category],0)),"Other"))</f>
        <v/>
      </c>
      <c r="M108">
        <f>IF($C108="","",IFERROR(INDEX(tblCategories[Type],MATCH($K108,tblCategories[Category],0)),IF($J108&gt;0,"Income","Expense")))</f>
        <v/>
      </c>
      <c r="N108">
        <f>IF($C108="","",IFERROR(INDEX(tblCategories[Essential],MATCH($K108,tblCategories[Category],0)),"No"))</f>
        <v/>
      </c>
      <c r="O108">
        <f>IF($C108="","",IFERROR(INDEX(tblCategories[Tax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IF($C109="","",IFERROR(INDEX(tblAccounts[Owner],MATCH($E109,tblAccounts[Account],0)),"Joint"))</f>
        <v/>
      </c>
      <c r="G109" t="inlineStr">
        <is>
          <t>Alex</t>
        </is>
      </c>
      <c r="H109" t="inlineStr">
        <is>
          <t>MONTHLY ACCOUNT FEE</t>
        </is>
      </c>
      <c r="I109" t="inlineStr">
        <is>
          <t>Monthly Account Fee</t>
        </is>
      </c>
      <c r="J109" s="14" t="n">
        <v>-11.95</v>
      </c>
      <c r="K109" t="inlineStr">
        <is>
          <t>Bank Fees</t>
        </is>
      </c>
      <c r="L109">
        <f>IF($C109="","",IFERROR(INDEX(tblCategories[Group],MATCH($K109,tblCategories[Category],0)),"Other"))</f>
        <v/>
      </c>
      <c r="M109">
        <f>IF($C109="","",IFERROR(INDEX(tblCategories[Type],MATCH($K109,tblCategories[Category],0)),IF($J109&gt;0,"Income","Expense")))</f>
        <v/>
      </c>
      <c r="N109">
        <f>IF($C109="","",IFERROR(INDEX(tblCategories[Essential],MATCH($K109,tblCategories[Category],0)),"No"))</f>
        <v/>
      </c>
      <c r="O109">
        <f>IF($C109="","",IFERROR(INDEX(tblCategories[Tax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IF($C110="","",IFERROR(INDEX(tblAccounts[Owner],MATCH($E110,tblAccounts[Account],0)),"Joint"))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IF($C110="","",IFERROR(INDEX(tblCategories[Group],MATCH($K110,tblCategories[Category],0)),"Other"))</f>
        <v/>
      </c>
      <c r="M110">
        <f>IF($C110="","",IFERROR(INDEX(tblCategories[Type],MATCH($K110,tblCategories[Category],0)),IF($J110&gt;0,"Income","Expense")))</f>
        <v/>
      </c>
      <c r="N110">
        <f>IF($C110="","",IFERROR(INDEX(tblCategories[Essential],MATCH($K110,tblCategories[Category],0)),"No"))</f>
        <v/>
      </c>
      <c r="O110">
        <f>IF($C110="","",IFERROR(INDEX(tblCategories[Tax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IF($C111="","",IFERROR(INDEX(tblAccounts[Owner],MATCH($E111,tblAccounts[Account],0)),"Joint"))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IF($C111="","",IFERROR(INDEX(tblCategories[Group],MATCH($K111,tblCategories[Category],0)),"Other"))</f>
        <v/>
      </c>
      <c r="M111">
        <f>IF($C111="","",IFERROR(INDEX(tblCategories[Type],MATCH($K111,tblCategories[Category],0)),IF($J111&gt;0,"Income","Expense")))</f>
        <v/>
      </c>
      <c r="N111">
        <f>IF($C111="","",IFERROR(INDEX(tblCategories[Essential],MATCH($K111,tblCategories[Category],0)),"No"))</f>
        <v/>
      </c>
      <c r="O111">
        <f>IF($C111="","",IFERROR(INDEX(tblCategories[Tax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IF($C112="","",IFERROR(INDEX(tblAccounts[Owner],MATCH($E112,tblAccounts[Account],0)),"Joint"))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IF($C112="","",IFERROR(INDEX(tblCategories[Group],MATCH($K112,tblCategories[Category],0)),"Other"))</f>
        <v/>
      </c>
      <c r="M112">
        <f>IF($C112="","",IFERROR(INDEX(tblCategories[Type],MATCH($K112,tblCategories[Category],0)),IF($J112&gt;0,"Income","Expense")))</f>
        <v/>
      </c>
      <c r="N112">
        <f>IF($C112="","",IFERROR(INDEX(tblCategories[Essential],MATCH($K112,tblCategories[Category],0)),"No"))</f>
        <v/>
      </c>
      <c r="O112">
        <f>IF($C112="","",IFERROR(INDEX(tblCategories[Tax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IF($C113="","",IFERROR(INDEX(tblAccounts[Owner],MATCH($E113,tblAccounts[Account],0)),"Joint"))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IF($C113="","",IFERROR(INDEX(tblCategories[Group],MATCH($K113,tblCategories[Category],0)),"Other"))</f>
        <v/>
      </c>
      <c r="M113">
        <f>IF($C113="","",IFERROR(INDEX(tblCategories[Type],MATCH($K113,tblCategories[Category],0)),IF($J113&gt;0,"Income","Expense")))</f>
        <v/>
      </c>
      <c r="N113">
        <f>IF($C113="","",IFERROR(INDEX(tblCategories[Essential],MATCH($K113,tblCategories[Category],0)),"No"))</f>
        <v/>
      </c>
      <c r="O113">
        <f>IF($C113="","",IFERROR(INDEX(tblCategories[Tax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IF($C114="","",IFERROR(INDEX(tblAccounts[Owner],MATCH($E114,tblAccounts[Account],0)),"Joint"))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IF($C114="","",IFERROR(INDEX(tblCategories[Group],MATCH($K114,tblCategories[Category],0)),"Other"))</f>
        <v/>
      </c>
      <c r="M114">
        <f>IF($C114="","",IFERROR(INDEX(tblCategories[Type],MATCH($K114,tblCategories[Category],0)),IF($J114&gt;0,"Income","Expense")))</f>
        <v/>
      </c>
      <c r="N114">
        <f>IF($C114="","",IFERROR(INDEX(tblCategories[Essential],MATCH($K114,tblCategories[Category],0)),"No"))</f>
        <v/>
      </c>
      <c r="O114">
        <f>IF($C114="","",IFERROR(INDEX(tblCategories[Tax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IF($C115="","",IFERROR(INDEX(tblAccounts[Owner],MATCH($E115,tblAccounts[Account],0)),"Joint"))</f>
        <v/>
      </c>
      <c r="G115" t="inlineStr">
        <is>
          <t>Joint</t>
        </is>
      </c>
      <c r="H115" t="inlineStr">
        <is>
          <t>RENT PAYMENT 84 BROADVIEW AVE</t>
        </is>
      </c>
      <c r="I115" t="inlineStr">
        <is>
          <t>Rent Payment</t>
        </is>
      </c>
      <c r="J115" s="14" t="n">
        <v>-2350</v>
      </c>
      <c r="K115" t="inlineStr">
        <is>
          <t>Rent</t>
        </is>
      </c>
      <c r="L115">
        <f>IF($C115="","",IFERROR(INDEX(tblCategories[Group],MATCH($K115,tblCategories[Category],0)),"Other"))</f>
        <v/>
      </c>
      <c r="M115">
        <f>IF($C115="","",IFERROR(INDEX(tblCategories[Type],MATCH($K115,tblCategories[Category],0)),IF($J115&gt;0,"Income","Expense")))</f>
        <v/>
      </c>
      <c r="N115">
        <f>IF($C115="","",IFERROR(INDEX(tblCategories[Essential],MATCH($K115,tblCategories[Category],0)),"No"))</f>
        <v/>
      </c>
      <c r="O115">
        <f>IF($C115="","",IFERROR(INDEX(tblCategories[Tax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IF($C116="","",IFERROR(INDEX(tblAccounts[Owner],MATCH($E116,tblAccounts[Account],0)),"Joint"))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IF($C116="","",IFERROR(INDEX(tblCategories[Group],MATCH($K116,tblCategories[Category],0)),"Other"))</f>
        <v/>
      </c>
      <c r="M116">
        <f>IF($C116="","",IFERROR(INDEX(tblCategories[Type],MATCH($K116,tblCategories[Category],0)),IF($J116&gt;0,"Income","Expense")))</f>
        <v/>
      </c>
      <c r="N116">
        <f>IF($C116="","",IFERROR(INDEX(tblCategories[Essential],MATCH($K116,tblCategories[Category],0)),"No"))</f>
        <v/>
      </c>
      <c r="O116">
        <f>IF($C116="","",IFERROR(INDEX(tblCategories[Tax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IF($C117="","",IFERROR(INDEX(tblAccounts[Owner],MATCH($E117,tblAccounts[Account],0)),"Joint"))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IF($C117="","",IFERROR(INDEX(tblCategories[Group],MATCH($K117,tblCategories[Category],0)),"Other"))</f>
        <v/>
      </c>
      <c r="M117">
        <f>IF($C117="","",IFERROR(INDEX(tblCategories[Type],MATCH($K117,tblCategories[Category],0)),IF($J117&gt;0,"Income","Expense")))</f>
        <v/>
      </c>
      <c r="N117">
        <f>IF($C117="","",IFERROR(INDEX(tblCategories[Essential],MATCH($K117,tblCategories[Category],0)),"No"))</f>
        <v/>
      </c>
      <c r="O117">
        <f>IF($C117="","",IFERROR(INDEX(tblCategories[Tax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IF($C118="","",IFERROR(INDEX(tblAccounts[Owner],MATCH($E118,tblAccounts[Account],0)),"Joint"))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IF($C118="","",IFERROR(INDEX(tblCategories[Group],MATCH($K118,tblCategories[Category],0)),"Other"))</f>
        <v/>
      </c>
      <c r="M118">
        <f>IF($C118="","",IFERROR(INDEX(tblCategories[Type],MATCH($K118,tblCategories[Category],0)),IF($J118&gt;0,"Income","Expense")))</f>
        <v/>
      </c>
      <c r="N118">
        <f>IF($C118="","",IFERROR(INDEX(tblCategories[Essential],MATCH($K118,tblCategories[Category],0)),"No"))</f>
        <v/>
      </c>
      <c r="O118">
        <f>IF($C118="","",IFERROR(INDEX(tblCategories[Tax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IF($C119="","",IFERROR(INDEX(tblAccounts[Owner],MATCH($E119,tblAccounts[Account],0)),"Joint"))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IF($C119="","",IFERROR(INDEX(tblCategories[Group],MATCH($K119,tblCategories[Category],0)),"Other"))</f>
        <v/>
      </c>
      <c r="M119">
        <f>IF($C119="","",IFERROR(INDEX(tblCategories[Type],MATCH($K119,tblCategories[Category],0)),IF($J119&gt;0,"Income","Expense")))</f>
        <v/>
      </c>
      <c r="N119">
        <f>IF($C119="","",IFERROR(INDEX(tblCategories[Essential],MATCH($K119,tblCategories[Category],0)),"No"))</f>
        <v/>
      </c>
      <c r="O119">
        <f>IF($C119="","",IFERROR(INDEX(tblCategories[Tax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IF($C120="","",IFERROR(INDEX(tblAccounts[Owner],MATCH($E120,tblAccounts[Account],0)),"Joint"))</f>
        <v/>
      </c>
      <c r="G120" t="inlineStr">
        <is>
          <t>Sam</t>
        </is>
      </c>
      <c r="H120" t="inlineStr">
        <is>
          <t>IDP PURCHASE - 2329 LCBO/RAO #4358 TORONTO ON</t>
        </is>
      </c>
      <c r="I120" t="inlineStr">
        <is>
          <t>Lcbo</t>
        </is>
      </c>
      <c r="J120" s="14" t="n">
        <v>-52.37</v>
      </c>
      <c r="K120" t="inlineStr">
        <is>
          <t>Alcohol</t>
        </is>
      </c>
      <c r="L120">
        <f>IF($C120="","",IFERROR(INDEX(tblCategories[Group],MATCH($K120,tblCategories[Category],0)),"Other"))</f>
        <v/>
      </c>
      <c r="M120">
        <f>IF($C120="","",IFERROR(INDEX(tblCategories[Type],MATCH($K120,tblCategories[Category],0)),IF($J120&gt;0,"Income","Expense")))</f>
        <v/>
      </c>
      <c r="N120">
        <f>IF($C120="","",IFERROR(INDEX(tblCategories[Essential],MATCH($K120,tblCategories[Category],0)),"No"))</f>
        <v/>
      </c>
      <c r="O120">
        <f>IF($C120="","",IFERROR(INDEX(tblCategories[Tax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IF($C121="","",IFERROR(INDEX(tblAccounts[Owner],MATCH($E121,tblAccounts[Account],0)),"Joint"))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IF($C121="","",IFERROR(INDEX(tblCategories[Group],MATCH($K121,tblCategories[Category],0)),"Other"))</f>
        <v/>
      </c>
      <c r="M121">
        <f>IF($C121="","",IFERROR(INDEX(tblCategories[Type],MATCH($K121,tblCategories[Category],0)),IF($J121&gt;0,"Income","Expense")))</f>
        <v/>
      </c>
      <c r="N121">
        <f>IF($C121="","",IFERROR(INDEX(tblCategories[Essential],MATCH($K121,tblCategories[Category],0)),"No"))</f>
        <v/>
      </c>
      <c r="O121">
        <f>IF($C121="","",IFERROR(INDEX(tblCategories[Tax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IF($C122="","",IFERROR(INDEX(tblAccounts[Owner],MATCH($E122,tblAccounts[Account],0)),"Joint"))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IF($C122="","",IFERROR(INDEX(tblCategories[Group],MATCH($K122,tblCategories[Category],0)),"Other"))</f>
        <v/>
      </c>
      <c r="M122">
        <f>IF($C122="","",IFERROR(INDEX(tblCategories[Type],MATCH($K122,tblCategories[Category],0)),IF($J122&gt;0,"Income","Expense")))</f>
        <v/>
      </c>
      <c r="N122">
        <f>IF($C122="","",IFERROR(INDEX(tblCategories[Essential],MATCH($K122,tblCategories[Category],0)),"No"))</f>
        <v/>
      </c>
      <c r="O122">
        <f>IF($C122="","",IFERROR(INDEX(tblCategories[Tax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IF($C123="","",IFERROR(INDEX(tblAccounts[Owner],MATCH($E123,tblAccounts[Account],0)),"Joint"))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IF($C123="","",IFERROR(INDEX(tblCategories[Group],MATCH($K123,tblCategories[Category],0)),"Other"))</f>
        <v/>
      </c>
      <c r="M123">
        <f>IF($C123="","",IFERROR(INDEX(tblCategories[Type],MATCH($K123,tblCategories[Category],0)),IF($J123&gt;0,"Income","Expense")))</f>
        <v/>
      </c>
      <c r="N123">
        <f>IF($C123="","",IFERROR(INDEX(tblCategories[Essential],MATCH($K123,tblCategories[Category],0)),"No"))</f>
        <v/>
      </c>
      <c r="O123">
        <f>IF($C123="","",IFERROR(INDEX(tblCategories[Tax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IF($C124="","",IFERROR(INDEX(tblAccounts[Owner],MATCH($E124,tblAccounts[Account],0)),"Joint"))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IF($C124="","",IFERROR(INDEX(tblCategories[Group],MATCH($K124,tblCategories[Category],0)),"Other"))</f>
        <v/>
      </c>
      <c r="M124">
        <f>IF($C124="","",IFERROR(INDEX(tblCategories[Type],MATCH($K124,tblCategories[Category],0)),IF($J124&gt;0,"Income","Expense")))</f>
        <v/>
      </c>
      <c r="N124">
        <f>IF($C124="","",IFERROR(INDEX(tblCategories[Essential],MATCH($K124,tblCategories[Category],0)),"No"))</f>
        <v/>
      </c>
      <c r="O124">
        <f>IF($C124="","",IFERROR(INDEX(tblCategories[Tax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IF($C125="","",IFERROR(INDEX(tblAccounts[Owner],MATCH($E125,tblAccounts[Account],0)),"Joint"))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IF($C125="","",IFERROR(INDEX(tblCategories[Group],MATCH($K125,tblCategories[Category],0)),"Other"))</f>
        <v/>
      </c>
      <c r="M125">
        <f>IF($C125="","",IFERROR(INDEX(tblCategories[Type],MATCH($K125,tblCategories[Category],0)),IF($J125&gt;0,"Income","Expense")))</f>
        <v/>
      </c>
      <c r="N125">
        <f>IF($C125="","",IFERROR(INDEX(tblCategories[Essential],MATCH($K125,tblCategories[Category],0)),"No"))</f>
        <v/>
      </c>
      <c r="O125">
        <f>IF($C125="","",IFERROR(INDEX(tblCategories[Tax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IF($C126="","",IFERROR(INDEX(tblAccounts[Owner],MATCH($E126,tblAccounts[Account],0)),"Joint"))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IF($C126="","",IFERROR(INDEX(tblCategories[Group],MATCH($K126,tblCategories[Category],0)),"Other"))</f>
        <v/>
      </c>
      <c r="M126">
        <f>IF($C126="","",IFERROR(INDEX(tblCategories[Type],MATCH($K126,tblCategories[Category],0)),IF($J126&gt;0,"Income","Expense")))</f>
        <v/>
      </c>
      <c r="N126">
        <f>IF($C126="","",IFERROR(INDEX(tblCategories[Essential],MATCH($K126,tblCategories[Category],0)),"No"))</f>
        <v/>
      </c>
      <c r="O126">
        <f>IF($C126="","",IFERROR(INDEX(tblCategories[Tax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IF($C127="","",IFERROR(INDEX(tblAccounts[Owner],MATCH($E127,tblAccounts[Account],0)),"Joint"))</f>
        <v/>
      </c>
      <c r="G127" t="inlineStr">
        <is>
          <t>Joint</t>
        </is>
      </c>
      <c r="H127" t="inlineStr">
        <is>
          <t>PRESTO FARE/TRANSIT TORONTO ON</t>
        </is>
      </c>
      <c r="I127" t="inlineStr">
        <is>
          <t>Presto</t>
        </is>
      </c>
      <c r="J127" s="14" t="n">
        <v>-63.83</v>
      </c>
      <c r="K127" t="inlineStr">
        <is>
          <t>Public Transit</t>
        </is>
      </c>
      <c r="L127">
        <f>IF($C127="","",IFERROR(INDEX(tblCategories[Group],MATCH($K127,tblCategories[Category],0)),"Other"))</f>
        <v/>
      </c>
      <c r="M127">
        <f>IF($C127="","",IFERROR(INDEX(tblCategories[Type],MATCH($K127,tblCategories[Category],0)),IF($J127&gt;0,"Income","Expense")))</f>
        <v/>
      </c>
      <c r="N127">
        <f>IF($C127="","",IFERROR(INDEX(tblCategories[Essential],MATCH($K127,tblCategories[Category],0)),"No"))</f>
        <v/>
      </c>
      <c r="O127">
        <f>IF($C127="","",IFERROR(INDEX(tblCategories[Tax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IF($C128="","",IFERROR(INDEX(tblAccounts[Owner],MATCH($E128,tblAccounts[Account],0)),"Joint"))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IF($C128="","",IFERROR(INDEX(tblCategories[Group],MATCH($K128,tblCategories[Category],0)),"Other"))</f>
        <v/>
      </c>
      <c r="M128">
        <f>IF($C128="","",IFERROR(INDEX(tblCategories[Type],MATCH($K128,tblCategories[Category],0)),IF($J128&gt;0,"Income","Expense")))</f>
        <v/>
      </c>
      <c r="N128">
        <f>IF($C128="","",IFERROR(INDEX(tblCategories[Essential],MATCH($K128,tblCategories[Category],0)),"No"))</f>
        <v/>
      </c>
      <c r="O128">
        <f>IF($C128="","",IFERROR(INDEX(tblCategories[Tax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IF($C129="","",IFERROR(INDEX(tblAccounts[Owner],MATCH($E129,tblAccounts[Account],0)),"Joint"))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IF($C129="","",IFERROR(INDEX(tblCategories[Group],MATCH($K129,tblCategories[Category],0)),"Other"))</f>
        <v/>
      </c>
      <c r="M129">
        <f>IF($C129="","",IFERROR(INDEX(tblCategories[Type],MATCH($K129,tblCategories[Category],0)),IF($J129&gt;0,"Income","Expense")))</f>
        <v/>
      </c>
      <c r="N129">
        <f>IF($C129="","",IFERROR(INDEX(tblCategories[Essential],MATCH($K129,tblCategories[Category],0)),"No"))</f>
        <v/>
      </c>
      <c r="O129">
        <f>IF($C129="","",IFERROR(INDEX(tblCategories[Tax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IF($C130="","",IFERROR(INDEX(tblAccounts[Owner],MATCH($E130,tblAccounts[Account],0)),"Joint"))</f>
        <v/>
      </c>
      <c r="G130" t="inlineStr">
        <is>
          <t>Joint</t>
        </is>
      </c>
      <c r="H130" t="inlineStr">
        <is>
          <t>IDP PURCHASE - 7297 INDIGO #2398 ON</t>
        </is>
      </c>
      <c r="I130" t="inlineStr">
        <is>
          <t>Indigo</t>
        </is>
      </c>
      <c r="J130" s="14" t="n">
        <v>-45.7</v>
      </c>
      <c r="K130" t="inlineStr">
        <is>
          <t>Hobbies</t>
        </is>
      </c>
      <c r="L130">
        <f>IF($C130="","",IFERROR(INDEX(tblCategories[Group],MATCH($K130,tblCategories[Category],0)),"Other"))</f>
        <v/>
      </c>
      <c r="M130">
        <f>IF($C130="","",IFERROR(INDEX(tblCategories[Type],MATCH($K130,tblCategories[Category],0)),IF($J130&gt;0,"Income","Expense")))</f>
        <v/>
      </c>
      <c r="N130">
        <f>IF($C130="","",IFERROR(INDEX(tblCategories[Essential],MATCH($K130,tblCategories[Category],0)),"No"))</f>
        <v/>
      </c>
      <c r="O130">
        <f>IF($C130="","",IFERROR(INDEX(tblCategories[Tax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IF($C131="","",IFERROR(INDEX(tblAccounts[Owner],MATCH($E131,tblAccounts[Account],0)),"Joint"))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IF($C131="","",IFERROR(INDEX(tblCategories[Group],MATCH($K131,tblCategories[Category],0)),"Other"))</f>
        <v/>
      </c>
      <c r="M131">
        <f>IF($C131="","",IFERROR(INDEX(tblCategories[Type],MATCH($K131,tblCategories[Category],0)),IF($J131&gt;0,"Income","Expense")))</f>
        <v/>
      </c>
      <c r="N131">
        <f>IF($C131="","",IFERROR(INDEX(tblCategories[Essential],MATCH($K131,tblCategories[Category],0)),"No"))</f>
        <v/>
      </c>
      <c r="O131">
        <f>IF($C131="","",IFERROR(INDEX(tblCategories[Tax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IF($C132="","",IFERROR(INDEX(tblAccounts[Owner],MATCH($E132,tblAccounts[Account],0)),"Joint"))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IF($C132="","",IFERROR(INDEX(tblCategories[Group],MATCH($K132,tblCategories[Category],0)),"Other"))</f>
        <v/>
      </c>
      <c r="M132">
        <f>IF($C132="","",IFERROR(INDEX(tblCategories[Type],MATCH($K132,tblCategories[Category],0)),IF($J132&gt;0,"Income","Expense")))</f>
        <v/>
      </c>
      <c r="N132">
        <f>IF($C132="","",IFERROR(INDEX(tblCategories[Essential],MATCH($K132,tblCategories[Category],0)),"No"))</f>
        <v/>
      </c>
      <c r="O132">
        <f>IF($C132="","",IFERROR(INDEX(tblCategories[Tax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IF($C133="","",IFERROR(INDEX(tblAccounts[Owner],MATCH($E133,tblAccounts[Account],0)),"Joint"))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IF($C133="","",IFERROR(INDEX(tblCategories[Group],MATCH($K133,tblCategories[Category],0)),"Other"))</f>
        <v/>
      </c>
      <c r="M133">
        <f>IF($C133="","",IFERROR(INDEX(tblCategories[Type],MATCH($K133,tblCategories[Category],0)),IF($J133&gt;0,"Income","Expense")))</f>
        <v/>
      </c>
      <c r="N133">
        <f>IF($C133="","",IFERROR(INDEX(tblCategories[Essential],MATCH($K133,tblCategories[Category],0)),"No"))</f>
        <v/>
      </c>
      <c r="O133">
        <f>IF($C133="","",IFERROR(INDEX(tblCategories[Tax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IF($C134="","",IFERROR(INDEX(tblAccounts[Owner],MATCH($E134,tblAccounts[Account],0)),"Joint"))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IF($C134="","",IFERROR(INDEX(tblCategories[Group],MATCH($K134,tblCategories[Category],0)),"Other"))</f>
        <v/>
      </c>
      <c r="M134">
        <f>IF($C134="","",IFERROR(INDEX(tblCategories[Type],MATCH($K134,tblCategories[Category],0)),IF($J134&gt;0,"Income","Expense")))</f>
        <v/>
      </c>
      <c r="N134">
        <f>IF($C134="","",IFERROR(INDEX(tblCategories[Essential],MATCH($K134,tblCategories[Category],0)),"No"))</f>
        <v/>
      </c>
      <c r="O134">
        <f>IF($C134="","",IFERROR(INDEX(tblCategories[Tax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IF($C135="","",IFERROR(INDEX(tblAccounts[Owner],MATCH($E135,tblAccounts[Account],0)),"Joint"))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IF($C135="","",IFERROR(INDEX(tblCategories[Group],MATCH($K135,tblCategories[Category],0)),"Other"))</f>
        <v/>
      </c>
      <c r="M135">
        <f>IF($C135="","",IFERROR(INDEX(tblCategories[Type],MATCH($K135,tblCategories[Category],0)),IF($J135&gt;0,"Income","Expense")))</f>
        <v/>
      </c>
      <c r="N135">
        <f>IF($C135="","",IFERROR(INDEX(tblCategories[Essential],MATCH($K135,tblCategories[Category],0)),"No"))</f>
        <v/>
      </c>
      <c r="O135">
        <f>IF($C135="","",IFERROR(INDEX(tblCategories[Tax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IF($C136="","",IFERROR(INDEX(tblAccounts[Owner],MATCH($E136,tblAccounts[Account],0)),"Joint"))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IF($C136="","",IFERROR(INDEX(tblCategories[Group],MATCH($K136,tblCategories[Category],0)),"Other"))</f>
        <v/>
      </c>
      <c r="M136">
        <f>IF($C136="","",IFERROR(INDEX(tblCategories[Type],MATCH($K136,tblCategories[Category],0)),IF($J136&gt;0,"Income","Expense")))</f>
        <v/>
      </c>
      <c r="N136">
        <f>IF($C136="","",IFERROR(INDEX(tblCategories[Essential],MATCH($K136,tblCategories[Category],0)),"No"))</f>
        <v/>
      </c>
      <c r="O136">
        <f>IF($C136="","",IFERROR(INDEX(tblCategories[Tax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IF($C137="","",IFERROR(INDEX(tblAccounts[Owner],MATCH($E137,tblAccounts[Account],0)),"Joint"))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IF($C137="","",IFERROR(INDEX(tblCategories[Group],MATCH($K137,tblCategories[Category],0)),"Other"))</f>
        <v/>
      </c>
      <c r="M137">
        <f>IF($C137="","",IFERROR(INDEX(tblCategories[Type],MATCH($K137,tblCategories[Category],0)),IF($J137&gt;0,"Income","Expense")))</f>
        <v/>
      </c>
      <c r="N137">
        <f>IF($C137="","",IFERROR(INDEX(tblCategories[Essential],MATCH($K137,tblCategories[Category],0)),"No"))</f>
        <v/>
      </c>
      <c r="O137">
        <f>IF($C137="","",IFERROR(INDEX(tblCategories[Tax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IF($C138="","",IFERROR(INDEX(tblAccounts[Owner],MATCH($E138,tblAccounts[Account],0)),"Joint"))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IF($C138="","",IFERROR(INDEX(tblCategories[Group],MATCH($K138,tblCategories[Category],0)),"Other"))</f>
        <v/>
      </c>
      <c r="M138">
        <f>IF($C138="","",IFERROR(INDEX(tblCategories[Type],MATCH($K138,tblCategories[Category],0)),IF($J138&gt;0,"Income","Expense")))</f>
        <v/>
      </c>
      <c r="N138">
        <f>IF($C138="","",IFERROR(INDEX(tblCategories[Essential],MATCH($K138,tblCategories[Category],0)),"No"))</f>
        <v/>
      </c>
      <c r="O138">
        <f>IF($C138="","",IFERROR(INDEX(tblCategories[Tax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IF($C139="","",IFERROR(INDEX(tblAccounts[Owner],MATCH($E139,tblAccounts[Account],0)),"Joint"))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IF($C139="","",IFERROR(INDEX(tblCategories[Group],MATCH($K139,tblCategories[Category],0)),"Other"))</f>
        <v/>
      </c>
      <c r="M139">
        <f>IF($C139="","",IFERROR(INDEX(tblCategories[Type],MATCH($K139,tblCategories[Category],0)),IF($J139&gt;0,"Income","Expense")))</f>
        <v/>
      </c>
      <c r="N139">
        <f>IF($C139="","",IFERROR(INDEX(tblCategories[Essential],MATCH($K139,tblCategories[Category],0)),"No"))</f>
        <v/>
      </c>
      <c r="O139">
        <f>IF($C139="","",IFERROR(INDEX(tblCategories[Tax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IF($C140="","",IFERROR(INDEX(tblAccounts[Owner],MATCH($E140,tblAccounts[Account],0)),"Joint"))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IF($C140="","",IFERROR(INDEX(tblCategories[Group],MATCH($K140,tblCategories[Category],0)),"Other"))</f>
        <v/>
      </c>
      <c r="M140">
        <f>IF($C140="","",IFERROR(INDEX(tblCategories[Type],MATCH($K140,tblCategories[Category],0)),IF($J140&gt;0,"Income","Expense")))</f>
        <v/>
      </c>
      <c r="N140">
        <f>IF($C140="","",IFERROR(INDEX(tblCategories[Essential],MATCH($K140,tblCategories[Category],0)),"No"))</f>
        <v/>
      </c>
      <c r="O140">
        <f>IF($C140="","",IFERROR(INDEX(tblCategories[Tax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IF($C141="","",IFERROR(INDEX(tblAccounts[Owner],MATCH($E141,tblAccounts[Account],0)),"Joint"))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IF($C141="","",IFERROR(INDEX(tblCategories[Group],MATCH($K141,tblCategories[Category],0)),"Other"))</f>
        <v/>
      </c>
      <c r="M141">
        <f>IF($C141="","",IFERROR(INDEX(tblCategories[Type],MATCH($K141,tblCategories[Category],0)),IF($J141&gt;0,"Income","Expense")))</f>
        <v/>
      </c>
      <c r="N141">
        <f>IF($C141="","",IFERROR(INDEX(tblCategories[Essential],MATCH($K141,tblCategories[Category],0)),"No"))</f>
        <v/>
      </c>
      <c r="O141">
        <f>IF($C141="","",IFERROR(INDEX(tblCategories[Tax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IF($C142="","",IFERROR(INDEX(tblAccounts[Owner],MATCH($E142,tblAccounts[Account],0)),"Joint"))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IF($C142="","",IFERROR(INDEX(tblCategories[Group],MATCH($K142,tblCategories[Category],0)),"Other"))</f>
        <v/>
      </c>
      <c r="M142">
        <f>IF($C142="","",IFERROR(INDEX(tblCategories[Type],MATCH($K142,tblCategories[Category],0)),IF($J142&gt;0,"Income","Expense")))</f>
        <v/>
      </c>
      <c r="N142">
        <f>IF($C142="","",IFERROR(INDEX(tblCategories[Essential],MATCH($K142,tblCategories[Category],0)),"No"))</f>
        <v/>
      </c>
      <c r="O142">
        <f>IF($C142="","",IFERROR(INDEX(tblCategories[Tax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IF($C143="","",IFERROR(INDEX(tblAccounts[Owner],MATCH($E143,tblAccounts[Account],0)),"Joint"))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IF($C143="","",IFERROR(INDEX(tblCategories[Group],MATCH($K143,tblCategories[Category],0)),"Other"))</f>
        <v/>
      </c>
      <c r="M143">
        <f>IF($C143="","",IFERROR(INDEX(tblCategories[Type],MATCH($K143,tblCategories[Category],0)),IF($J143&gt;0,"Income","Expense")))</f>
        <v/>
      </c>
      <c r="N143">
        <f>IF($C143="","",IFERROR(INDEX(tblCategories[Essential],MATCH($K143,tblCategories[Category],0)),"No"))</f>
        <v/>
      </c>
      <c r="O143">
        <f>IF($C143="","",IFERROR(INDEX(tblCategories[Tax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IF($C144="","",IFERROR(INDEX(tblAccounts[Owner],MATCH($E144,tblAccounts[Account],0)),"Joint"))</f>
        <v/>
      </c>
      <c r="G144" t="inlineStr">
        <is>
          <t>Joint</t>
        </is>
      </c>
      <c r="H144" t="inlineStr">
        <is>
          <t>NETFLIX.COM MISC PAYMENT</t>
        </is>
      </c>
      <c r="I144" t="inlineStr">
        <is>
          <t>Netflix</t>
        </is>
      </c>
      <c r="J144" s="14" t="n">
        <v>-22.99</v>
      </c>
      <c r="K144" t="inlineStr">
        <is>
          <t>Subscriptions</t>
        </is>
      </c>
      <c r="L144">
        <f>IF($C144="","",IFERROR(INDEX(tblCategories[Group],MATCH($K144,tblCategories[Category],0)),"Other"))</f>
        <v/>
      </c>
      <c r="M144">
        <f>IF($C144="","",IFERROR(INDEX(tblCategories[Type],MATCH($K144,tblCategories[Category],0)),IF($J144&gt;0,"Income","Expense")))</f>
        <v/>
      </c>
      <c r="N144">
        <f>IF($C144="","",IFERROR(INDEX(tblCategories[Essential],MATCH($K144,tblCategories[Category],0)),"No"))</f>
        <v/>
      </c>
      <c r="O144">
        <f>IF($C144="","",IFERROR(INDEX(tblCategories[Tax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IF($C145="","",IFERROR(INDEX(tblAccounts[Owner],MATCH($E145,tblAccounts[Account],0)),"Joint"))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IF($C145="","",IFERROR(INDEX(tblCategories[Group],MATCH($K145,tblCategories[Category],0)),"Other"))</f>
        <v/>
      </c>
      <c r="M145">
        <f>IF($C145="","",IFERROR(INDEX(tblCategories[Type],MATCH($K145,tblCategories[Category],0)),IF($J145&gt;0,"Income","Expense")))</f>
        <v/>
      </c>
      <c r="N145">
        <f>IF($C145="","",IFERROR(INDEX(tblCategories[Essential],MATCH($K145,tblCategories[Category],0)),"No"))</f>
        <v/>
      </c>
      <c r="O145">
        <f>IF($C145="","",IFERROR(INDEX(tblCategories[Tax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IF($C146="","",IFERROR(INDEX(tblAccounts[Owner],MATCH($E146,tblAccounts[Account],0)),"Joint"))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IF($C146="","",IFERROR(INDEX(tblCategories[Group],MATCH($K146,tblCategories[Category],0)),"Other"))</f>
        <v/>
      </c>
      <c r="M146">
        <f>IF($C146="","",IFERROR(INDEX(tblCategories[Type],MATCH($K146,tblCategories[Category],0)),IF($J146&gt;0,"Income","Expense")))</f>
        <v/>
      </c>
      <c r="N146">
        <f>IF($C146="","",IFERROR(INDEX(tblCategories[Essential],MATCH($K146,tblCategories[Category],0)),"No"))</f>
        <v/>
      </c>
      <c r="O146">
        <f>IF($C146="","",IFERROR(INDEX(tblCategories[Tax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IF($C147="","",IFERROR(INDEX(tblAccounts[Owner],MATCH($E147,tblAccounts[Account],0)),"Joint"))</f>
        <v/>
      </c>
      <c r="G147" t="inlineStr">
        <is>
          <t>Joint</t>
        </is>
      </c>
      <c r="H147" t="inlineStr">
        <is>
          <t>SPOTIFY P2C5 MISC PAYMENT</t>
        </is>
      </c>
      <c r="I147" t="inlineStr">
        <is>
          <t>Spotify</t>
        </is>
      </c>
      <c r="J147" s="14" t="n">
        <v>-16.99</v>
      </c>
      <c r="K147" t="inlineStr">
        <is>
          <t>Subscriptions</t>
        </is>
      </c>
      <c r="L147">
        <f>IF($C147="","",IFERROR(INDEX(tblCategories[Group],MATCH($K147,tblCategories[Category],0)),"Other"))</f>
        <v/>
      </c>
      <c r="M147">
        <f>IF($C147="","",IFERROR(INDEX(tblCategories[Type],MATCH($K147,tblCategories[Category],0)),IF($J147&gt;0,"Income","Expense")))</f>
        <v/>
      </c>
      <c r="N147">
        <f>IF($C147="","",IFERROR(INDEX(tblCategories[Essential],MATCH($K147,tblCategories[Category],0)),"No"))</f>
        <v/>
      </c>
      <c r="O147">
        <f>IF($C147="","",IFERROR(INDEX(tblCategories[Tax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IF($C148="","",IFERROR(INDEX(tblAccounts[Owner],MATCH($E148,tblAccounts[Account],0)),"Joint"))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IF($C148="","",IFERROR(INDEX(tblCategories[Group],MATCH($K148,tblCategories[Category],0)),"Other"))</f>
        <v/>
      </c>
      <c r="M148">
        <f>IF($C148="","",IFERROR(INDEX(tblCategories[Type],MATCH($K148,tblCategories[Category],0)),IF($J148&gt;0,"Income","Expense")))</f>
        <v/>
      </c>
      <c r="N148">
        <f>IF($C148="","",IFERROR(INDEX(tblCategories[Essential],MATCH($K148,tblCategories[Category],0)),"No"))</f>
        <v/>
      </c>
      <c r="O148">
        <f>IF($C148="","",IFERROR(INDEX(tblCategories[Tax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IF($C149="","",IFERROR(INDEX(tblAccounts[Owner],MATCH($E149,tblAccounts[Account],0)),"Joint"))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IF($C149="","",IFERROR(INDEX(tblCategories[Group],MATCH($K149,tblCategories[Category],0)),"Other"))</f>
        <v/>
      </c>
      <c r="M149">
        <f>IF($C149="","",IFERROR(INDEX(tblCategories[Type],MATCH($K149,tblCategories[Category],0)),IF($J149&gt;0,"Income","Expense")))</f>
        <v/>
      </c>
      <c r="N149">
        <f>IF($C149="","",IFERROR(INDEX(tblCategories[Essential],MATCH($K149,tblCategories[Category],0)),"No"))</f>
        <v/>
      </c>
      <c r="O149">
        <f>IF($C149="","",IFERROR(INDEX(tblCategories[Tax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IF($C150="","",IFERROR(INDEX(tblAccounts[Owner],MATCH($E150,tblAccounts[Account],0)),"Joint"))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IF($C150="","",IFERROR(INDEX(tblCategories[Group],MATCH($K150,tblCategories[Category],0)),"Other"))</f>
        <v/>
      </c>
      <c r="M150">
        <f>IF($C150="","",IFERROR(INDEX(tblCategories[Type],MATCH($K150,tblCategories[Category],0)),IF($J150&gt;0,"Income","Expense")))</f>
        <v/>
      </c>
      <c r="N150">
        <f>IF($C150="","",IFERROR(INDEX(tblCategories[Essential],MATCH($K150,tblCategories[Category],0)),"No"))</f>
        <v/>
      </c>
      <c r="O150">
        <f>IF($C150="","",IFERROR(INDEX(tblCategories[Tax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IF($C151="","",IFERROR(INDEX(tblAccounts[Owner],MATCH($E151,tblAccounts[Account],0)),"Joint"))</f>
        <v/>
      </c>
      <c r="G151" t="inlineStr">
        <is>
          <t>Joint</t>
        </is>
      </c>
      <c r="H151" t="inlineStr">
        <is>
          <t>UBER TRIP HELP.UBER.COM ON</t>
        </is>
      </c>
      <c r="I151" t="inlineStr">
        <is>
          <t>Uber</t>
        </is>
      </c>
      <c r="J151" s="14" t="n">
        <v>-33.96</v>
      </c>
      <c r="K151" t="inlineStr">
        <is>
          <t>Taxi &amp; Rideshare</t>
        </is>
      </c>
      <c r="L151">
        <f>IF($C151="","",IFERROR(INDEX(tblCategories[Group],MATCH($K151,tblCategories[Category],0)),"Other"))</f>
        <v/>
      </c>
      <c r="M151">
        <f>IF($C151="","",IFERROR(INDEX(tblCategories[Type],MATCH($K151,tblCategories[Category],0)),IF($J151&gt;0,"Income","Expense")))</f>
        <v/>
      </c>
      <c r="N151">
        <f>IF($C151="","",IFERROR(INDEX(tblCategories[Essential],MATCH($K151,tblCategories[Category],0)),"No"))</f>
        <v/>
      </c>
      <c r="O151">
        <f>IF($C151="","",IFERROR(INDEX(tblCategories[Tax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IF($C152="","",IFERROR(INDEX(tblAccounts[Owner],MATCH($E152,tblAccounts[Account],0)),"Joint"))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IF($C152="","",IFERROR(INDEX(tblCategories[Group],MATCH($K152,tblCategories[Category],0)),"Other"))</f>
        <v/>
      </c>
      <c r="M152">
        <f>IF($C152="","",IFERROR(INDEX(tblCategories[Type],MATCH($K152,tblCategories[Category],0)),IF($J152&gt;0,"Income","Expense")))</f>
        <v/>
      </c>
      <c r="N152">
        <f>IF($C152="","",IFERROR(INDEX(tblCategories[Essential],MATCH($K152,tblCategories[Category],0)),"No"))</f>
        <v/>
      </c>
      <c r="O152">
        <f>IF($C152="","",IFERROR(INDEX(tblCategories[Tax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IF($C153="","",IFERROR(INDEX(tblAccounts[Owner],MATCH($E153,tblAccounts[Account],0)),"Joint"))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IF($C153="","",IFERROR(INDEX(tblCategories[Group],MATCH($K153,tblCategories[Category],0)),"Other"))</f>
        <v/>
      </c>
      <c r="M153">
        <f>IF($C153="","",IFERROR(INDEX(tblCategories[Type],MATCH($K153,tblCategories[Category],0)),IF($J153&gt;0,"Income","Expense")))</f>
        <v/>
      </c>
      <c r="N153">
        <f>IF($C153="","",IFERROR(INDEX(tblCategories[Essential],MATCH($K153,tblCategories[Category],0)),"No"))</f>
        <v/>
      </c>
      <c r="O153">
        <f>IF($C153="","",IFERROR(INDEX(tblCategories[Tax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IF($C154="","",IFERROR(INDEX(tblAccounts[Owner],MATCH($E154,tblAccounts[Account],0)),"Joint"))</f>
        <v/>
      </c>
      <c r="G154" t="inlineStr">
        <is>
          <t>Joint</t>
        </is>
      </c>
      <c r="H154" t="inlineStr">
        <is>
          <t>UBER TRIP HELP.UBER.COM ON</t>
        </is>
      </c>
      <c r="I154" t="inlineStr">
        <is>
          <t>Uber</t>
        </is>
      </c>
      <c r="J154" s="14" t="n">
        <v>-41.46</v>
      </c>
      <c r="K154" t="inlineStr">
        <is>
          <t>Taxi &amp; Rideshare</t>
        </is>
      </c>
      <c r="L154">
        <f>IF($C154="","",IFERROR(INDEX(tblCategories[Group],MATCH($K154,tblCategories[Category],0)),"Other"))</f>
        <v/>
      </c>
      <c r="M154">
        <f>IF($C154="","",IFERROR(INDEX(tblCategories[Type],MATCH($K154,tblCategories[Category],0)),IF($J154&gt;0,"Income","Expense")))</f>
        <v/>
      </c>
      <c r="N154">
        <f>IF($C154="","",IFERROR(INDEX(tblCategories[Essential],MATCH($K154,tblCategories[Category],0)),"No"))</f>
        <v/>
      </c>
      <c r="O154">
        <f>IF($C154="","",IFERROR(INDEX(tblCategories[Tax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IF($C155="","",IFERROR(INDEX(tblAccounts[Owner],MATCH($E155,tblAccounts[Account],0)),"Joint"))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IF($C155="","",IFERROR(INDEX(tblCategories[Group],MATCH($K155,tblCategories[Category],0)),"Other"))</f>
        <v/>
      </c>
      <c r="M155">
        <f>IF($C155="","",IFERROR(INDEX(tblCategories[Type],MATCH($K155,tblCategories[Category],0)),IF($J155&gt;0,"Income","Expense")))</f>
        <v/>
      </c>
      <c r="N155">
        <f>IF($C155="","",IFERROR(INDEX(tblCategories[Essential],MATCH($K155,tblCategories[Category],0)),"No"))</f>
        <v/>
      </c>
      <c r="O155">
        <f>IF($C155="","",IFERROR(INDEX(tblCategories[Tax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IF($C156="","",IFERROR(INDEX(tblAccounts[Owner],MATCH($E156,tblAccounts[Account],0)),"Joint"))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IF($C156="","",IFERROR(INDEX(tblCategories[Group],MATCH($K156,tblCategories[Category],0)),"Other"))</f>
        <v/>
      </c>
      <c r="M156">
        <f>IF($C156="","",IFERROR(INDEX(tblCategories[Type],MATCH($K156,tblCategories[Category],0)),IF($J156&gt;0,"Income","Expense")))</f>
        <v/>
      </c>
      <c r="N156">
        <f>IF($C156="","",IFERROR(INDEX(tblCategories[Essential],MATCH($K156,tblCategories[Category],0)),"No"))</f>
        <v/>
      </c>
      <c r="O156">
        <f>IF($C156="","",IFERROR(INDEX(tblCategories[Tax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IF($C157="","",IFERROR(INDEX(tblAccounts[Owner],MATCH($E157,tblAccounts[Account],0)),"Joint"))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IF($C157="","",IFERROR(INDEX(tblCategories[Group],MATCH($K157,tblCategories[Category],0)),"Other"))</f>
        <v/>
      </c>
      <c r="M157">
        <f>IF($C157="","",IFERROR(INDEX(tblCategories[Type],MATCH($K157,tblCategories[Category],0)),IF($J157&gt;0,"Income","Expense")))</f>
        <v/>
      </c>
      <c r="N157">
        <f>IF($C157="","",IFERROR(INDEX(tblCategories[Essential],MATCH($K157,tblCategories[Category],0)),"No"))</f>
        <v/>
      </c>
      <c r="O157">
        <f>IF($C157="","",IFERROR(INDEX(tblCategories[Tax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IF($C158="","",IFERROR(INDEX(tblAccounts[Owner],MATCH($E158,tblAccounts[Account],0)),"Joint"))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IF($C158="","",IFERROR(INDEX(tblCategories[Group],MATCH($K158,tblCategories[Category],0)),"Other"))</f>
        <v/>
      </c>
      <c r="M158">
        <f>IF($C158="","",IFERROR(INDEX(tblCategories[Type],MATCH($K158,tblCategories[Category],0)),IF($J158&gt;0,"Income","Expense")))</f>
        <v/>
      </c>
      <c r="N158">
        <f>IF($C158="","",IFERROR(INDEX(tblCategories[Essential],MATCH($K158,tblCategories[Category],0)),"No"))</f>
        <v/>
      </c>
      <c r="O158">
        <f>IF($C158="","",IFERROR(INDEX(tblCategories[Tax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IF($C159="","",IFERROR(INDEX(tblAccounts[Owner],MATCH($E159,tblAccounts[Account],0)),"Joint"))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IF($C159="","",IFERROR(INDEX(tblCategories[Group],MATCH($K159,tblCategories[Category],0)),"Other"))</f>
        <v/>
      </c>
      <c r="M159">
        <f>IF($C159="","",IFERROR(INDEX(tblCategories[Type],MATCH($K159,tblCategories[Category],0)),IF($J159&gt;0,"Income","Expense")))</f>
        <v/>
      </c>
      <c r="N159">
        <f>IF($C159="","",IFERROR(INDEX(tblCategories[Essential],MATCH($K159,tblCategories[Category],0)),"No"))</f>
        <v/>
      </c>
      <c r="O159">
        <f>IF($C159="","",IFERROR(INDEX(tblCategories[Tax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IF($C160="","",IFERROR(INDEX(tblAccounts[Owner],MATCH($E160,tblAccounts[Account],0)),"Joint"))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IF($C160="","",IFERROR(INDEX(tblCategories[Group],MATCH($K160,tblCategories[Category],0)),"Other"))</f>
        <v/>
      </c>
      <c r="M160">
        <f>IF($C160="","",IFERROR(INDEX(tblCategories[Type],MATCH($K160,tblCategories[Category],0)),IF($J160&gt;0,"Income","Expense")))</f>
        <v/>
      </c>
      <c r="N160">
        <f>IF($C160="","",IFERROR(INDEX(tblCategories[Essential],MATCH($K160,tblCategories[Category],0)),"No"))</f>
        <v/>
      </c>
      <c r="O160">
        <f>IF($C160="","",IFERROR(INDEX(tblCategories[Tax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IF($C161="","",IFERROR(INDEX(tblAccounts[Owner],MATCH($E161,tblAccounts[Account],0)),"Joint"))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IF($C161="","",IFERROR(INDEX(tblCategories[Group],MATCH($K161,tblCategories[Category],0)),"Other"))</f>
        <v/>
      </c>
      <c r="M161">
        <f>IF($C161="","",IFERROR(INDEX(tblCategories[Type],MATCH($K161,tblCategories[Category],0)),IF($J161&gt;0,"Income","Expense")))</f>
        <v/>
      </c>
      <c r="N161">
        <f>IF($C161="","",IFERROR(INDEX(tblCategories[Essential],MATCH($K161,tblCategories[Category],0)),"No"))</f>
        <v/>
      </c>
      <c r="O161">
        <f>IF($C161="","",IFERROR(INDEX(tblCategories[Tax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IF($C162="","",IFERROR(INDEX(tblAccounts[Owner],MATCH($E162,tblAccounts[Account],0)),"Joint"))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IF($C162="","",IFERROR(INDEX(tblCategories[Group],MATCH($K162,tblCategories[Category],0)),"Other"))</f>
        <v/>
      </c>
      <c r="M162">
        <f>IF($C162="","",IFERROR(INDEX(tblCategories[Type],MATCH($K162,tblCategories[Category],0)),IF($J162&gt;0,"Income","Expense")))</f>
        <v/>
      </c>
      <c r="N162">
        <f>IF($C162="","",IFERROR(INDEX(tblCategories[Essential],MATCH($K162,tblCategories[Category],0)),"No"))</f>
        <v/>
      </c>
      <c r="O162">
        <f>IF($C162="","",IFERROR(INDEX(tblCategories[Tax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IF($C163="","",IFERROR(INDEX(tblAccounts[Owner],MATCH($E163,tblAccounts[Account],0)),"Joint"))</f>
        <v/>
      </c>
      <c r="G163" t="inlineStr">
        <is>
          <t>Alex</t>
        </is>
      </c>
      <c r="H163" t="inlineStr">
        <is>
          <t>MONTHLY ACCOUNT FEE</t>
        </is>
      </c>
      <c r="I163" t="inlineStr">
        <is>
          <t>Monthly Account Fee</t>
        </is>
      </c>
      <c r="J163" s="14" t="n">
        <v>-11.95</v>
      </c>
      <c r="K163" t="inlineStr">
        <is>
          <t>Bank Fees</t>
        </is>
      </c>
      <c r="L163">
        <f>IF($C163="","",IFERROR(INDEX(tblCategories[Group],MATCH($K163,tblCategories[Category],0)),"Other"))</f>
        <v/>
      </c>
      <c r="M163">
        <f>IF($C163="","",IFERROR(INDEX(tblCategories[Type],MATCH($K163,tblCategories[Category],0)),IF($J163&gt;0,"Income","Expense")))</f>
        <v/>
      </c>
      <c r="N163">
        <f>IF($C163="","",IFERROR(INDEX(tblCategories[Essential],MATCH($K163,tblCategories[Category],0)),"No"))</f>
        <v/>
      </c>
      <c r="O163">
        <f>IF($C163="","",IFERROR(INDEX(tblCategories[Tax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IF($C164="","",IFERROR(INDEX(tblAccounts[Owner],MATCH($E164,tblAccounts[Account],0)),"Joint"))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IF($C164="","",IFERROR(INDEX(tblCategories[Group],MATCH($K164,tblCategories[Category],0)),"Other"))</f>
        <v/>
      </c>
      <c r="M164">
        <f>IF($C164="","",IFERROR(INDEX(tblCategories[Type],MATCH($K164,tblCategories[Category],0)),IF($J164&gt;0,"Income","Expense")))</f>
        <v/>
      </c>
      <c r="N164">
        <f>IF($C164="","",IFERROR(INDEX(tblCategories[Essential],MATCH($K164,tblCategories[Category],0)),"No"))</f>
        <v/>
      </c>
      <c r="O164">
        <f>IF($C164="","",IFERROR(INDEX(tblCategories[Tax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IF($C165="","",IFERROR(INDEX(tblAccounts[Owner],MATCH($E165,tblAccounts[Account],0)),"Joint"))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IF($C165="","",IFERROR(INDEX(tblCategories[Group],MATCH($K165,tblCategories[Category],0)),"Other"))</f>
        <v/>
      </c>
      <c r="M165">
        <f>IF($C165="","",IFERROR(INDEX(tblCategories[Type],MATCH($K165,tblCategories[Category],0)),IF($J165&gt;0,"Income","Expense")))</f>
        <v/>
      </c>
      <c r="N165">
        <f>IF($C165="","",IFERROR(INDEX(tblCategories[Essential],MATCH($K165,tblCategories[Category],0)),"No"))</f>
        <v/>
      </c>
      <c r="O165">
        <f>IF($C165="","",IFERROR(INDEX(tblCategories[Tax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IF($C166="","",IFERROR(INDEX(tblAccounts[Owner],MATCH($E166,tblAccounts[Account],0)),"Joint"))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IF($C166="","",IFERROR(INDEX(tblCategories[Group],MATCH($K166,tblCategories[Category],0)),"Other"))</f>
        <v/>
      </c>
      <c r="M166">
        <f>IF($C166="","",IFERROR(INDEX(tblCategories[Type],MATCH($K166,tblCategories[Category],0)),IF($J166&gt;0,"Income","Expense")))</f>
        <v/>
      </c>
      <c r="N166">
        <f>IF($C166="","",IFERROR(INDEX(tblCategories[Essential],MATCH($K166,tblCategories[Category],0)),"No"))</f>
        <v/>
      </c>
      <c r="O166">
        <f>IF($C166="","",IFERROR(INDEX(tblCategories[Tax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IF($C167="","",IFERROR(INDEX(tblAccounts[Owner],MATCH($E167,tblAccounts[Account],0)),"Joint"))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IF($C167="","",IFERROR(INDEX(tblCategories[Group],MATCH($K167,tblCategories[Category],0)),"Other"))</f>
        <v/>
      </c>
      <c r="M167">
        <f>IF($C167="","",IFERROR(INDEX(tblCategories[Type],MATCH($K167,tblCategories[Category],0)),IF($J167&gt;0,"Income","Expense")))</f>
        <v/>
      </c>
      <c r="N167">
        <f>IF($C167="","",IFERROR(INDEX(tblCategories[Essential],MATCH($K167,tblCategories[Category],0)),"No"))</f>
        <v/>
      </c>
      <c r="O167">
        <f>IF($C167="","",IFERROR(INDEX(tblCategories[Tax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IF($C168="","",IFERROR(INDEX(tblAccounts[Owner],MATCH($E168,tblAccounts[Account],0)),"Joint"))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IF($C168="","",IFERROR(INDEX(tblCategories[Group],MATCH($K168,tblCategories[Category],0)),"Other"))</f>
        <v/>
      </c>
      <c r="M168">
        <f>IF($C168="","",IFERROR(INDEX(tblCategories[Type],MATCH($K168,tblCategories[Category],0)),IF($J168&gt;0,"Income","Expense")))</f>
        <v/>
      </c>
      <c r="N168">
        <f>IF($C168="","",IFERROR(INDEX(tblCategories[Essential],MATCH($K168,tblCategories[Category],0)),"No"))</f>
        <v/>
      </c>
      <c r="O168">
        <f>IF($C168="","",IFERROR(INDEX(tblCategories[Tax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IF($C169="","",IFERROR(INDEX(tblAccounts[Owner],MATCH($E169,tblAccounts[Account],0)),"Joint"))</f>
        <v/>
      </c>
      <c r="G169" t="inlineStr">
        <is>
          <t>Joint</t>
        </is>
      </c>
      <c r="H169" t="inlineStr">
        <is>
          <t>RENT PAYMENT 84 BROADVIEW AVE</t>
        </is>
      </c>
      <c r="I169" t="inlineStr">
        <is>
          <t>Rent Payment</t>
        </is>
      </c>
      <c r="J169" s="14" t="n">
        <v>-2350</v>
      </c>
      <c r="K169" t="inlineStr">
        <is>
          <t>Rent</t>
        </is>
      </c>
      <c r="L169">
        <f>IF($C169="","",IFERROR(INDEX(tblCategories[Group],MATCH($K169,tblCategories[Category],0)),"Other"))</f>
        <v/>
      </c>
      <c r="M169">
        <f>IF($C169="","",IFERROR(INDEX(tblCategories[Type],MATCH($K169,tblCategories[Category],0)),IF($J169&gt;0,"Income","Expense")))</f>
        <v/>
      </c>
      <c r="N169">
        <f>IF($C169="","",IFERROR(INDEX(tblCategories[Essential],MATCH($K169,tblCategories[Category],0)),"No"))</f>
        <v/>
      </c>
      <c r="O169">
        <f>IF($C169="","",IFERROR(INDEX(tblCategories[Tax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IF($C170="","",IFERROR(INDEX(tblAccounts[Owner],MATCH($E170,tblAccounts[Account],0)),"Joint"))</f>
        <v/>
      </c>
      <c r="G170" t="inlineStr">
        <is>
          <t>Joint</t>
        </is>
      </c>
      <c r="H170" t="inlineStr">
        <is>
          <t>UBER TRIP HELP.UBER.COM ON</t>
        </is>
      </c>
      <c r="I170" t="inlineStr">
        <is>
          <t>Uber</t>
        </is>
      </c>
      <c r="J170" s="14" t="n">
        <v>-29.63</v>
      </c>
      <c r="K170" t="inlineStr">
        <is>
          <t>Taxi &amp; Rideshare</t>
        </is>
      </c>
      <c r="L170">
        <f>IF($C170="","",IFERROR(INDEX(tblCategories[Group],MATCH($K170,tblCategories[Category],0)),"Other"))</f>
        <v/>
      </c>
      <c r="M170">
        <f>IF($C170="","",IFERROR(INDEX(tblCategories[Type],MATCH($K170,tblCategories[Category],0)),IF($J170&gt;0,"Income","Expense")))</f>
        <v/>
      </c>
      <c r="N170">
        <f>IF($C170="","",IFERROR(INDEX(tblCategories[Essential],MATCH($K170,tblCategories[Category],0)),"No"))</f>
        <v/>
      </c>
      <c r="O170">
        <f>IF($C170="","",IFERROR(INDEX(tblCategories[Tax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IF($C171="","",IFERROR(INDEX(tblAccounts[Owner],MATCH($E171,tblAccounts[Account],0)),"Joint"))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IF($C171="","",IFERROR(INDEX(tblCategories[Group],MATCH($K171,tblCategories[Category],0)),"Other"))</f>
        <v/>
      </c>
      <c r="M171">
        <f>IF($C171="","",IFERROR(INDEX(tblCategories[Type],MATCH($K171,tblCategories[Category],0)),IF($J171&gt;0,"Income","Expense")))</f>
        <v/>
      </c>
      <c r="N171">
        <f>IF($C171="","",IFERROR(INDEX(tblCategories[Essential],MATCH($K171,tblCategories[Category],0)),"No"))</f>
        <v/>
      </c>
      <c r="O171">
        <f>IF($C171="","",IFERROR(INDEX(tblCategories[Tax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IF($C172="","",IFERROR(INDEX(tblAccounts[Owner],MATCH($E172,tblAccounts[Account],0)),"Joint"))</f>
        <v/>
      </c>
      <c r="G172" t="inlineStr">
        <is>
          <t>Alex</t>
        </is>
      </c>
      <c r="H172" t="inlineStr">
        <is>
          <t>UBER TRIP HELP.UBER.COM ON</t>
        </is>
      </c>
      <c r="I172" t="inlineStr">
        <is>
          <t>Uber</t>
        </is>
      </c>
      <c r="J172" s="14" t="n">
        <v>-29.71</v>
      </c>
      <c r="K172" t="inlineStr">
        <is>
          <t>Taxi &amp; Rideshare</t>
        </is>
      </c>
      <c r="L172">
        <f>IF($C172="","",IFERROR(INDEX(tblCategories[Group],MATCH($K172,tblCategories[Category],0)),"Other"))</f>
        <v/>
      </c>
      <c r="M172">
        <f>IF($C172="","",IFERROR(INDEX(tblCategories[Type],MATCH($K172,tblCategories[Category],0)),IF($J172&gt;0,"Income","Expense")))</f>
        <v/>
      </c>
      <c r="N172">
        <f>IF($C172="","",IFERROR(INDEX(tblCategories[Essential],MATCH($K172,tblCategories[Category],0)),"No"))</f>
        <v/>
      </c>
      <c r="O172">
        <f>IF($C172="","",IFERROR(INDEX(tblCategories[Tax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IF($C173="","",IFERROR(INDEX(tblAccounts[Owner],MATCH($E173,tblAccounts[Account],0)),"Joint"))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IF($C173="","",IFERROR(INDEX(tblCategories[Group],MATCH($K173,tblCategories[Category],0)),"Other"))</f>
        <v/>
      </c>
      <c r="M173">
        <f>IF($C173="","",IFERROR(INDEX(tblCategories[Type],MATCH($K173,tblCategories[Category],0)),IF($J173&gt;0,"Income","Expense")))</f>
        <v/>
      </c>
      <c r="N173">
        <f>IF($C173="","",IFERROR(INDEX(tblCategories[Essential],MATCH($K173,tblCategories[Category],0)),"No"))</f>
        <v/>
      </c>
      <c r="O173">
        <f>IF($C173="","",IFERROR(INDEX(tblCategories[Tax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IF($C174="","",IFERROR(INDEX(tblAccounts[Owner],MATCH($E174,tblAccounts[Account],0)),"Joint"))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IF($C174="","",IFERROR(INDEX(tblCategories[Group],MATCH($K174,tblCategories[Category],0)),"Other"))</f>
        <v/>
      </c>
      <c r="M174">
        <f>IF($C174="","",IFERROR(INDEX(tblCategories[Type],MATCH($K174,tblCategories[Category],0)),IF($J174&gt;0,"Income","Expense")))</f>
        <v/>
      </c>
      <c r="N174">
        <f>IF($C174="","",IFERROR(INDEX(tblCategories[Essential],MATCH($K174,tblCategories[Category],0)),"No"))</f>
        <v/>
      </c>
      <c r="O174">
        <f>IF($C174="","",IFERROR(INDEX(tblCategories[Tax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IF($C175="","",IFERROR(INDEX(tblAccounts[Owner],MATCH($E175,tblAccounts[Account],0)),"Joint"))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IF($C175="","",IFERROR(INDEX(tblCategories[Group],MATCH($K175,tblCategories[Category],0)),"Other"))</f>
        <v/>
      </c>
      <c r="M175">
        <f>IF($C175="","",IFERROR(INDEX(tblCategories[Type],MATCH($K175,tblCategories[Category],0)),IF($J175&gt;0,"Income","Expense")))</f>
        <v/>
      </c>
      <c r="N175">
        <f>IF($C175="","",IFERROR(INDEX(tblCategories[Essential],MATCH($K175,tblCategories[Category],0)),"No"))</f>
        <v/>
      </c>
      <c r="O175">
        <f>IF($C175="","",IFERROR(INDEX(tblCategories[Tax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IF($C176="","",IFERROR(INDEX(tblAccounts[Owner],MATCH($E176,tblAccounts[Account],0)),"Joint"))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IF($C176="","",IFERROR(INDEX(tblCategories[Group],MATCH($K176,tblCategories[Category],0)),"Other"))</f>
        <v/>
      </c>
      <c r="M176">
        <f>IF($C176="","",IFERROR(INDEX(tblCategories[Type],MATCH($K176,tblCategories[Category],0)),IF($J176&gt;0,"Income","Expense")))</f>
        <v/>
      </c>
      <c r="N176">
        <f>IF($C176="","",IFERROR(INDEX(tblCategories[Essential],MATCH($K176,tblCategories[Category],0)),"No"))</f>
        <v/>
      </c>
      <c r="O176">
        <f>IF($C176="","",IFERROR(INDEX(tblCategories[Tax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IF($C177="","",IFERROR(INDEX(tblAccounts[Owner],MATCH($E177,tblAccounts[Account],0)),"Joint"))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IF($C177="","",IFERROR(INDEX(tblCategories[Group],MATCH($K177,tblCategories[Category],0)),"Other"))</f>
        <v/>
      </c>
      <c r="M177">
        <f>IF($C177="","",IFERROR(INDEX(tblCategories[Type],MATCH($K177,tblCategories[Category],0)),IF($J177&gt;0,"Income","Expense")))</f>
        <v/>
      </c>
      <c r="N177">
        <f>IF($C177="","",IFERROR(INDEX(tblCategories[Essential],MATCH($K177,tblCategories[Category],0)),"No"))</f>
        <v/>
      </c>
      <c r="O177">
        <f>IF($C177="","",IFERROR(INDEX(tblCategories[Tax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IF($C178="","",IFERROR(INDEX(tblAccounts[Owner],MATCH($E178,tblAccounts[Account],0)),"Joint"))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IF($C178="","",IFERROR(INDEX(tblCategories[Group],MATCH($K178,tblCategories[Category],0)),"Other"))</f>
        <v/>
      </c>
      <c r="M178">
        <f>IF($C178="","",IFERROR(INDEX(tblCategories[Type],MATCH($K178,tblCategories[Category],0)),IF($J178&gt;0,"Income","Expense")))</f>
        <v/>
      </c>
      <c r="N178">
        <f>IF($C178="","",IFERROR(INDEX(tblCategories[Essential],MATCH($K178,tblCategories[Category],0)),"No"))</f>
        <v/>
      </c>
      <c r="O178">
        <f>IF($C178="","",IFERROR(INDEX(tblCategories[Tax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IF($C179="","",IFERROR(INDEX(tblAccounts[Owner],MATCH($E179,tblAccounts[Account],0)),"Joint"))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IF($C179="","",IFERROR(INDEX(tblCategories[Group],MATCH($K179,tblCategories[Category],0)),"Other"))</f>
        <v/>
      </c>
      <c r="M179">
        <f>IF($C179="","",IFERROR(INDEX(tblCategories[Type],MATCH($K179,tblCategories[Category],0)),IF($J179&gt;0,"Income","Expense")))</f>
        <v/>
      </c>
      <c r="N179">
        <f>IF($C179="","",IFERROR(INDEX(tblCategories[Essential],MATCH($K179,tblCategories[Category],0)),"No"))</f>
        <v/>
      </c>
      <c r="O179">
        <f>IF($C179="","",IFERROR(INDEX(tblCategories[Tax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IF($C180="","",IFERROR(INDEX(tblAccounts[Owner],MATCH($E180,tblAccounts[Account],0)),"Joint"))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IF($C180="","",IFERROR(INDEX(tblCategories[Group],MATCH($K180,tblCategories[Category],0)),"Other"))</f>
        <v/>
      </c>
      <c r="M180">
        <f>IF($C180="","",IFERROR(INDEX(tblCategories[Type],MATCH($K180,tblCategories[Category],0)),IF($J180&gt;0,"Income","Expense")))</f>
        <v/>
      </c>
      <c r="N180">
        <f>IF($C180="","",IFERROR(INDEX(tblCategories[Essential],MATCH($K180,tblCategories[Category],0)),"No"))</f>
        <v/>
      </c>
      <c r="O180">
        <f>IF($C180="","",IFERROR(INDEX(tblCategories[Tax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IF($C181="","",IFERROR(INDEX(tblAccounts[Owner],MATCH($E181,tblAccounts[Account],0)),"Joint"))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IF($C181="","",IFERROR(INDEX(tblCategories[Group],MATCH($K181,tblCategories[Category],0)),"Other"))</f>
        <v/>
      </c>
      <c r="M181">
        <f>IF($C181="","",IFERROR(INDEX(tblCategories[Type],MATCH($K181,tblCategories[Category],0)),IF($J181&gt;0,"Income","Expense")))</f>
        <v/>
      </c>
      <c r="N181">
        <f>IF($C181="","",IFERROR(INDEX(tblCategories[Essential],MATCH($K181,tblCategories[Category],0)),"No"))</f>
        <v/>
      </c>
      <c r="O181">
        <f>IF($C181="","",IFERROR(INDEX(tblCategories[Tax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IF($C182="","",IFERROR(INDEX(tblAccounts[Owner],MATCH($E182,tblAccounts[Account],0)),"Joint"))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IF($C182="","",IFERROR(INDEX(tblCategories[Group],MATCH($K182,tblCategories[Category],0)),"Other"))</f>
        <v/>
      </c>
      <c r="M182">
        <f>IF($C182="","",IFERROR(INDEX(tblCategories[Type],MATCH($K182,tblCategories[Category],0)),IF($J182&gt;0,"Income","Expense")))</f>
        <v/>
      </c>
      <c r="N182">
        <f>IF($C182="","",IFERROR(INDEX(tblCategories[Essential],MATCH($K182,tblCategories[Category],0)),"No"))</f>
        <v/>
      </c>
      <c r="O182">
        <f>IF($C182="","",IFERROR(INDEX(tblCategories[Tax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IF($C183="","",IFERROR(INDEX(tblAccounts[Owner],MATCH($E183,tblAccounts[Account],0)),"Joint"))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IF($C183="","",IFERROR(INDEX(tblCategories[Group],MATCH($K183,tblCategories[Category],0)),"Other"))</f>
        <v/>
      </c>
      <c r="M183">
        <f>IF($C183="","",IFERROR(INDEX(tblCategories[Type],MATCH($K183,tblCategories[Category],0)),IF($J183&gt;0,"Income","Expense")))</f>
        <v/>
      </c>
      <c r="N183">
        <f>IF($C183="","",IFERROR(INDEX(tblCategories[Essential],MATCH($K183,tblCategories[Category],0)),"No"))</f>
        <v/>
      </c>
      <c r="O183">
        <f>IF($C183="","",IFERROR(INDEX(tblCategories[Tax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IF($C184="","",IFERROR(INDEX(tblAccounts[Owner],MATCH($E184,tblAccounts[Account],0)),"Joint"))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IF($C184="","",IFERROR(INDEX(tblCategories[Group],MATCH($K184,tblCategories[Category],0)),"Other"))</f>
        <v/>
      </c>
      <c r="M184">
        <f>IF($C184="","",IFERROR(INDEX(tblCategories[Type],MATCH($K184,tblCategories[Category],0)),IF($J184&gt;0,"Income","Expense")))</f>
        <v/>
      </c>
      <c r="N184">
        <f>IF($C184="","",IFERROR(INDEX(tblCategories[Essential],MATCH($K184,tblCategories[Category],0)),"No"))</f>
        <v/>
      </c>
      <c r="O184">
        <f>IF($C184="","",IFERROR(INDEX(tblCategories[Tax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IF($C185="","",IFERROR(INDEX(tblAccounts[Owner],MATCH($E185,tblAccounts[Account],0)),"Joint"))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IF($C185="","",IFERROR(INDEX(tblCategories[Group],MATCH($K185,tblCategories[Category],0)),"Other"))</f>
        <v/>
      </c>
      <c r="M185">
        <f>IF($C185="","",IFERROR(INDEX(tblCategories[Type],MATCH($K185,tblCategories[Category],0)),IF($J185&gt;0,"Income","Expense")))</f>
        <v/>
      </c>
      <c r="N185">
        <f>IF($C185="","",IFERROR(INDEX(tblCategories[Essential],MATCH($K185,tblCategories[Category],0)),"No"))</f>
        <v/>
      </c>
      <c r="O185">
        <f>IF($C185="","",IFERROR(INDEX(tblCategories[Tax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IF($C186="","",IFERROR(INDEX(tblAccounts[Owner],MATCH($E186,tblAccounts[Account],0)),"Joint"))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IF($C186="","",IFERROR(INDEX(tblCategories[Group],MATCH($K186,tblCategories[Category],0)),"Other"))</f>
        <v/>
      </c>
      <c r="M186">
        <f>IF($C186="","",IFERROR(INDEX(tblCategories[Type],MATCH($K186,tblCategories[Category],0)),IF($J186&gt;0,"Income","Expense")))</f>
        <v/>
      </c>
      <c r="N186">
        <f>IF($C186="","",IFERROR(INDEX(tblCategories[Essential],MATCH($K186,tblCategories[Category],0)),"No"))</f>
        <v/>
      </c>
      <c r="O186">
        <f>IF($C186="","",IFERROR(INDEX(tblCategories[Tax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IF($C187="","",IFERROR(INDEX(tblAccounts[Owner],MATCH($E187,tblAccounts[Account],0)),"Joint"))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IF($C187="","",IFERROR(INDEX(tblCategories[Group],MATCH($K187,tblCategories[Category],0)),"Other"))</f>
        <v/>
      </c>
      <c r="M187">
        <f>IF($C187="","",IFERROR(INDEX(tblCategories[Type],MATCH($K187,tblCategories[Category],0)),IF($J187&gt;0,"Income","Expense")))</f>
        <v/>
      </c>
      <c r="N187">
        <f>IF($C187="","",IFERROR(INDEX(tblCategories[Essential],MATCH($K187,tblCategories[Category],0)),"No"))</f>
        <v/>
      </c>
      <c r="O187">
        <f>IF($C187="","",IFERROR(INDEX(tblCategories[Tax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IF($C188="","",IFERROR(INDEX(tblAccounts[Owner],MATCH($E188,tblAccounts[Account],0)),"Joint"))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IF($C188="","",IFERROR(INDEX(tblCategories[Group],MATCH($K188,tblCategories[Category],0)),"Other"))</f>
        <v/>
      </c>
      <c r="M188">
        <f>IF($C188="","",IFERROR(INDEX(tblCategories[Type],MATCH($K188,tblCategories[Category],0)),IF($J188&gt;0,"Income","Expense")))</f>
        <v/>
      </c>
      <c r="N188">
        <f>IF($C188="","",IFERROR(INDEX(tblCategories[Essential],MATCH($K188,tblCategories[Category],0)),"No"))</f>
        <v/>
      </c>
      <c r="O188">
        <f>IF($C188="","",IFERROR(INDEX(tblCategories[Tax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IF($C189="","",IFERROR(INDEX(tblAccounts[Owner],MATCH($E189,tblAccounts[Account],0)),"Joint"))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IF($C189="","",IFERROR(INDEX(tblCategories[Group],MATCH($K189,tblCategories[Category],0)),"Other"))</f>
        <v/>
      </c>
      <c r="M189">
        <f>IF($C189="","",IFERROR(INDEX(tblCategories[Type],MATCH($K189,tblCategories[Category],0)),IF($J189&gt;0,"Income","Expense")))</f>
        <v/>
      </c>
      <c r="N189">
        <f>IF($C189="","",IFERROR(INDEX(tblCategories[Essential],MATCH($K189,tblCategories[Category],0)),"No"))</f>
        <v/>
      </c>
      <c r="O189">
        <f>IF($C189="","",IFERROR(INDEX(tblCategories[Tax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IF($C190="","",IFERROR(INDEX(tblAccounts[Owner],MATCH($E190,tblAccounts[Account],0)),"Joint"))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IF($C190="","",IFERROR(INDEX(tblCategories[Group],MATCH($K190,tblCategories[Category],0)),"Other"))</f>
        <v/>
      </c>
      <c r="M190">
        <f>IF($C190="","",IFERROR(INDEX(tblCategories[Type],MATCH($K190,tblCategories[Category],0)),IF($J190&gt;0,"Income","Expense")))</f>
        <v/>
      </c>
      <c r="N190">
        <f>IF($C190="","",IFERROR(INDEX(tblCategories[Essential],MATCH($K190,tblCategories[Category],0)),"No"))</f>
        <v/>
      </c>
      <c r="O190">
        <f>IF($C190="","",IFERROR(INDEX(tblCategories[Tax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IF($C191="","",IFERROR(INDEX(tblAccounts[Owner],MATCH($E191,tblAccounts[Account],0)),"Joint"))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IF($C191="","",IFERROR(INDEX(tblCategories[Group],MATCH($K191,tblCategories[Category],0)),"Other"))</f>
        <v/>
      </c>
      <c r="M191">
        <f>IF($C191="","",IFERROR(INDEX(tblCategories[Type],MATCH($K191,tblCategories[Category],0)),IF($J191&gt;0,"Income","Expense")))</f>
        <v/>
      </c>
      <c r="N191">
        <f>IF($C191="","",IFERROR(INDEX(tblCategories[Essential],MATCH($K191,tblCategories[Category],0)),"No"))</f>
        <v/>
      </c>
      <c r="O191">
        <f>IF($C191="","",IFERROR(INDEX(tblCategories[Tax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IF($C192="","",IFERROR(INDEX(tblAccounts[Owner],MATCH($E192,tblAccounts[Account],0)),"Joint"))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IF($C192="","",IFERROR(INDEX(tblCategories[Group],MATCH($K192,tblCategories[Category],0)),"Other"))</f>
        <v/>
      </c>
      <c r="M192">
        <f>IF($C192="","",IFERROR(INDEX(tblCategories[Type],MATCH($K192,tblCategories[Category],0)),IF($J192&gt;0,"Income","Expense")))</f>
        <v/>
      </c>
      <c r="N192">
        <f>IF($C192="","",IFERROR(INDEX(tblCategories[Essential],MATCH($K192,tblCategories[Category],0)),"No"))</f>
        <v/>
      </c>
      <c r="O192">
        <f>IF($C192="","",IFERROR(INDEX(tblCategories[Tax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IF($C193="","",IFERROR(INDEX(tblAccounts[Owner],MATCH($E193,tblAccounts[Account],0)),"Joint"))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IF($C193="","",IFERROR(INDEX(tblCategories[Group],MATCH($K193,tblCategories[Category],0)),"Other"))</f>
        <v/>
      </c>
      <c r="M193">
        <f>IF($C193="","",IFERROR(INDEX(tblCategories[Type],MATCH($K193,tblCategories[Category],0)),IF($J193&gt;0,"Income","Expense")))</f>
        <v/>
      </c>
      <c r="N193">
        <f>IF($C193="","",IFERROR(INDEX(tblCategories[Essential],MATCH($K193,tblCategories[Category],0)),"No"))</f>
        <v/>
      </c>
      <c r="O193">
        <f>IF($C193="","",IFERROR(INDEX(tblCategories[Tax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IF($C194="","",IFERROR(INDEX(tblAccounts[Owner],MATCH($E194,tblAccounts[Account],0)),"Joint"))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IF($C194="","",IFERROR(INDEX(tblCategories[Group],MATCH($K194,tblCategories[Category],0)),"Other"))</f>
        <v/>
      </c>
      <c r="M194">
        <f>IF($C194="","",IFERROR(INDEX(tblCategories[Type],MATCH($K194,tblCategories[Category],0)),IF($J194&gt;0,"Income","Expense")))</f>
        <v/>
      </c>
      <c r="N194">
        <f>IF($C194="","",IFERROR(INDEX(tblCategories[Essential],MATCH($K194,tblCategories[Category],0)),"No"))</f>
        <v/>
      </c>
      <c r="O194">
        <f>IF($C194="","",IFERROR(INDEX(tblCategories[Tax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IF($C195="","",IFERROR(INDEX(tblAccounts[Owner],MATCH($E195,tblAccounts[Account],0)),"Joint"))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IF($C195="","",IFERROR(INDEX(tblCategories[Group],MATCH($K195,tblCategories[Category],0)),"Other"))</f>
        <v/>
      </c>
      <c r="M195">
        <f>IF($C195="","",IFERROR(INDEX(tblCategories[Type],MATCH($K195,tblCategories[Category],0)),IF($J195&gt;0,"Income","Expense")))</f>
        <v/>
      </c>
      <c r="N195">
        <f>IF($C195="","",IFERROR(INDEX(tblCategories[Essential],MATCH($K195,tblCategories[Category],0)),"No"))</f>
        <v/>
      </c>
      <c r="O195">
        <f>IF($C195="","",IFERROR(INDEX(tblCategories[Tax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IF($C196="","",IFERROR(INDEX(tblAccounts[Owner],MATCH($E196,tblAccounts[Account],0)),"Joint"))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IF($C196="","",IFERROR(INDEX(tblCategories[Group],MATCH($K196,tblCategories[Category],0)),"Other"))</f>
        <v/>
      </c>
      <c r="M196">
        <f>IF($C196="","",IFERROR(INDEX(tblCategories[Type],MATCH($K196,tblCategories[Category],0)),IF($J196&gt;0,"Income","Expense")))</f>
        <v/>
      </c>
      <c r="N196">
        <f>IF($C196="","",IFERROR(INDEX(tblCategories[Essential],MATCH($K196,tblCategories[Category],0)),"No"))</f>
        <v/>
      </c>
      <c r="O196">
        <f>IF($C196="","",IFERROR(INDEX(tblCategories[Tax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IF($C197="","",IFERROR(INDEX(tblAccounts[Owner],MATCH($E197,tblAccounts[Account],0)),"Joint"))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IF($C197="","",IFERROR(INDEX(tblCategories[Group],MATCH($K197,tblCategories[Category],0)),"Other"))</f>
        <v/>
      </c>
      <c r="M197">
        <f>IF($C197="","",IFERROR(INDEX(tblCategories[Type],MATCH($K197,tblCategories[Category],0)),IF($J197&gt;0,"Income","Expense")))</f>
        <v/>
      </c>
      <c r="N197">
        <f>IF($C197="","",IFERROR(INDEX(tblCategories[Essential],MATCH($K197,tblCategories[Category],0)),"No"))</f>
        <v/>
      </c>
      <c r="O197">
        <f>IF($C197="","",IFERROR(INDEX(tblCategories[Tax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IF($C198="","",IFERROR(INDEX(tblAccounts[Owner],MATCH($E198,tblAccounts[Account],0)),"Joint"))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IF($C198="","",IFERROR(INDEX(tblCategories[Group],MATCH($K198,tblCategories[Category],0)),"Other"))</f>
        <v/>
      </c>
      <c r="M198">
        <f>IF($C198="","",IFERROR(INDEX(tblCategories[Type],MATCH($K198,tblCategories[Category],0)),IF($J198&gt;0,"Income","Expense")))</f>
        <v/>
      </c>
      <c r="N198">
        <f>IF($C198="","",IFERROR(INDEX(tblCategories[Essential],MATCH($K198,tblCategories[Category],0)),"No"))</f>
        <v/>
      </c>
      <c r="O198">
        <f>IF($C198="","",IFERROR(INDEX(tblCategories[Tax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IF($C199="","",IFERROR(INDEX(tblAccounts[Owner],MATCH($E199,tblAccounts[Account],0)),"Joint"))</f>
        <v/>
      </c>
      <c r="G199" t="inlineStr">
        <is>
          <t>Joint</t>
        </is>
      </c>
      <c r="H199" t="inlineStr">
        <is>
          <t>NETFLIX.COM MISC PAYMENT</t>
        </is>
      </c>
      <c r="I199" t="inlineStr">
        <is>
          <t>Netflix</t>
        </is>
      </c>
      <c r="J199" s="14" t="n">
        <v>-22.99</v>
      </c>
      <c r="K199" t="inlineStr">
        <is>
          <t>Subscriptions</t>
        </is>
      </c>
      <c r="L199">
        <f>IF($C199="","",IFERROR(INDEX(tblCategories[Group],MATCH($K199,tblCategories[Category],0)),"Other"))</f>
        <v/>
      </c>
      <c r="M199">
        <f>IF($C199="","",IFERROR(INDEX(tblCategories[Type],MATCH($K199,tblCategories[Category],0)),IF($J199&gt;0,"Income","Expense")))</f>
        <v/>
      </c>
      <c r="N199">
        <f>IF($C199="","",IFERROR(INDEX(tblCategories[Essential],MATCH($K199,tblCategories[Category],0)),"No"))</f>
        <v/>
      </c>
      <c r="O199">
        <f>IF($C199="","",IFERROR(INDEX(tblCategories[Tax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IF($C200="","",IFERROR(INDEX(tblAccounts[Owner],MATCH($E200,tblAccounts[Account],0)),"Joint"))</f>
        <v/>
      </c>
      <c r="G200" t="inlineStr">
        <is>
          <t>Alex</t>
        </is>
      </c>
      <c r="H200" t="inlineStr">
        <is>
          <t>PRESTO FARE/TRANSIT TORONTO ON</t>
        </is>
      </c>
      <c r="I200" t="inlineStr">
        <is>
          <t>Presto</t>
        </is>
      </c>
      <c r="J200" s="14" t="n">
        <v>-72.31</v>
      </c>
      <c r="K200" t="inlineStr">
        <is>
          <t>Public Transit</t>
        </is>
      </c>
      <c r="L200">
        <f>IF($C200="","",IFERROR(INDEX(tblCategories[Group],MATCH($K200,tblCategories[Category],0)),"Other"))</f>
        <v/>
      </c>
      <c r="M200">
        <f>IF($C200="","",IFERROR(INDEX(tblCategories[Type],MATCH($K200,tblCategories[Category],0)),IF($J200&gt;0,"Income","Expense")))</f>
        <v/>
      </c>
      <c r="N200">
        <f>IF($C200="","",IFERROR(INDEX(tblCategories[Essential],MATCH($K200,tblCategories[Category],0)),"No"))</f>
        <v/>
      </c>
      <c r="O200">
        <f>IF($C200="","",IFERROR(INDEX(tblCategories[Tax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IF($C201="","",IFERROR(INDEX(tblAccounts[Owner],MATCH($E201,tblAccounts[Account],0)),"Joint"))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IF($C201="","",IFERROR(INDEX(tblCategories[Group],MATCH($K201,tblCategories[Category],0)),"Other"))</f>
        <v/>
      </c>
      <c r="M201">
        <f>IF($C201="","",IFERROR(INDEX(tblCategories[Type],MATCH($K201,tblCategories[Category],0)),IF($J201&gt;0,"Income","Expense")))</f>
        <v/>
      </c>
      <c r="N201">
        <f>IF($C201="","",IFERROR(INDEX(tblCategories[Essential],MATCH($K201,tblCategories[Category],0)),"No"))</f>
        <v/>
      </c>
      <c r="O201">
        <f>IF($C201="","",IFERROR(INDEX(tblCategories[Tax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IF($C202="","",IFERROR(INDEX(tblAccounts[Owner],MATCH($E202,tblAccounts[Account],0)),"Joint"))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IF($C202="","",IFERROR(INDEX(tblCategories[Group],MATCH($K202,tblCategories[Category],0)),"Other"))</f>
        <v/>
      </c>
      <c r="M202">
        <f>IF($C202="","",IFERROR(INDEX(tblCategories[Type],MATCH($K202,tblCategories[Category],0)),IF($J202&gt;0,"Income","Expense")))</f>
        <v/>
      </c>
      <c r="N202">
        <f>IF($C202="","",IFERROR(INDEX(tblCategories[Essential],MATCH($K202,tblCategories[Category],0)),"No"))</f>
        <v/>
      </c>
      <c r="O202">
        <f>IF($C202="","",IFERROR(INDEX(tblCategories[Tax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IF($C203="","",IFERROR(INDEX(tblAccounts[Owner],MATCH($E203,tblAccounts[Account],0)),"Joint"))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IF($C203="","",IFERROR(INDEX(tblCategories[Group],MATCH($K203,tblCategories[Category],0)),"Other"))</f>
        <v/>
      </c>
      <c r="M203">
        <f>IF($C203="","",IFERROR(INDEX(tblCategories[Type],MATCH($K203,tblCategories[Category],0)),IF($J203&gt;0,"Income","Expense")))</f>
        <v/>
      </c>
      <c r="N203">
        <f>IF($C203="","",IFERROR(INDEX(tblCategories[Essential],MATCH($K203,tblCategories[Category],0)),"No"))</f>
        <v/>
      </c>
      <c r="O203">
        <f>IF($C203="","",IFERROR(INDEX(tblCategories[Tax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IF($C204="","",IFERROR(INDEX(tblAccounts[Owner],MATCH($E204,tblAccounts[Account],0)),"Joint"))</f>
        <v/>
      </c>
      <c r="G204" t="inlineStr">
        <is>
          <t>Joint</t>
        </is>
      </c>
      <c r="H204" t="inlineStr">
        <is>
          <t>SPOTIFY P2C5 MISC PAYMENT</t>
        </is>
      </c>
      <c r="I204" t="inlineStr">
        <is>
          <t>Spotify</t>
        </is>
      </c>
      <c r="J204" s="14" t="n">
        <v>-16.99</v>
      </c>
      <c r="K204" t="inlineStr">
        <is>
          <t>Subscriptions</t>
        </is>
      </c>
      <c r="L204">
        <f>IF($C204="","",IFERROR(INDEX(tblCategories[Group],MATCH($K204,tblCategories[Category],0)),"Other"))</f>
        <v/>
      </c>
      <c r="M204">
        <f>IF($C204="","",IFERROR(INDEX(tblCategories[Type],MATCH($K204,tblCategories[Category],0)),IF($J204&gt;0,"Income","Expense")))</f>
        <v/>
      </c>
      <c r="N204">
        <f>IF($C204="","",IFERROR(INDEX(tblCategories[Essential],MATCH($K204,tblCategories[Category],0)),"No"))</f>
        <v/>
      </c>
      <c r="O204">
        <f>IF($C204="","",IFERROR(INDEX(tblCategories[Tax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IF($C205="","",IFERROR(INDEX(tblAccounts[Owner],MATCH($E205,tblAccounts[Account],0)),"Joint"))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IF($C205="","",IFERROR(INDEX(tblCategories[Group],MATCH($K205,tblCategories[Category],0)),"Other"))</f>
        <v/>
      </c>
      <c r="M205">
        <f>IF($C205="","",IFERROR(INDEX(tblCategories[Type],MATCH($K205,tblCategories[Category],0)),IF($J205&gt;0,"Income","Expense")))</f>
        <v/>
      </c>
      <c r="N205">
        <f>IF($C205="","",IFERROR(INDEX(tblCategories[Essential],MATCH($K205,tblCategories[Category],0)),"No"))</f>
        <v/>
      </c>
      <c r="O205">
        <f>IF($C205="","",IFERROR(INDEX(tblCategories[Tax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IF($C206="","",IFERROR(INDEX(tblAccounts[Owner],MATCH($E206,tblAccounts[Account],0)),"Joint"))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IF($C206="","",IFERROR(INDEX(tblCategories[Group],MATCH($K206,tblCategories[Category],0)),"Other"))</f>
        <v/>
      </c>
      <c r="M206">
        <f>IF($C206="","",IFERROR(INDEX(tblCategories[Type],MATCH($K206,tblCategories[Category],0)),IF($J206&gt;0,"Income","Expense")))</f>
        <v/>
      </c>
      <c r="N206">
        <f>IF($C206="","",IFERROR(INDEX(tblCategories[Essential],MATCH($K206,tblCategories[Category],0)),"No"))</f>
        <v/>
      </c>
      <c r="O206">
        <f>IF($C206="","",IFERROR(INDEX(tblCategories[Tax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IF($C207="","",IFERROR(INDEX(tblAccounts[Owner],MATCH($E207,tblAccounts[Account],0)),"Joint"))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IF($C207="","",IFERROR(INDEX(tblCategories[Group],MATCH($K207,tblCategories[Category],0)),"Other"))</f>
        <v/>
      </c>
      <c r="M207">
        <f>IF($C207="","",IFERROR(INDEX(tblCategories[Type],MATCH($K207,tblCategories[Category],0)),IF($J207&gt;0,"Income","Expense")))</f>
        <v/>
      </c>
      <c r="N207">
        <f>IF($C207="","",IFERROR(INDEX(tblCategories[Essential],MATCH($K207,tblCategories[Category],0)),"No"))</f>
        <v/>
      </c>
      <c r="O207">
        <f>IF($C207="","",IFERROR(INDEX(tblCategories[Tax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IF($C208="","",IFERROR(INDEX(tblAccounts[Owner],MATCH($E208,tblAccounts[Account],0)),"Joint"))</f>
        <v/>
      </c>
      <c r="G208" t="inlineStr">
        <is>
          <t>Sam</t>
        </is>
      </c>
      <c r="H208" t="inlineStr">
        <is>
          <t>DONATION UNITED WAY MISC PAYMENT</t>
        </is>
      </c>
      <c r="I208" t="inlineStr">
        <is>
          <t>United Way</t>
        </is>
      </c>
      <c r="J208" s="14" t="n">
        <v>-50</v>
      </c>
      <c r="K208" t="inlineStr">
        <is>
          <t>Donations</t>
        </is>
      </c>
      <c r="L208">
        <f>IF($C208="","",IFERROR(INDEX(tblCategories[Group],MATCH($K208,tblCategories[Category],0)),"Other"))</f>
        <v/>
      </c>
      <c r="M208">
        <f>IF($C208="","",IFERROR(INDEX(tblCategories[Type],MATCH($K208,tblCategories[Category],0)),IF($J208&gt;0,"Income","Expense")))</f>
        <v/>
      </c>
      <c r="N208">
        <f>IF($C208="","",IFERROR(INDEX(tblCategories[Essential],MATCH($K208,tblCategories[Category],0)),"No"))</f>
        <v/>
      </c>
      <c r="O208">
        <f>IF($C208="","",IFERROR(INDEX(tblCategories[Tax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IF($C209="","",IFERROR(INDEX(tblAccounts[Owner],MATCH($E209,tblAccounts[Account],0)),"Joint"))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IF($C209="","",IFERROR(INDEX(tblCategories[Group],MATCH($K209,tblCategories[Category],0)),"Other"))</f>
        <v/>
      </c>
      <c r="M209">
        <f>IF($C209="","",IFERROR(INDEX(tblCategories[Type],MATCH($K209,tblCategories[Category],0)),IF($J209&gt;0,"Income","Expense")))</f>
        <v/>
      </c>
      <c r="N209">
        <f>IF($C209="","",IFERROR(INDEX(tblCategories[Essential],MATCH($K209,tblCategories[Category],0)),"No"))</f>
        <v/>
      </c>
      <c r="O209">
        <f>IF($C209="","",IFERROR(INDEX(tblCategories[Tax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IF($C210="","",IFERROR(INDEX(tblAccounts[Owner],MATCH($E210,tblAccounts[Account],0)),"Joint"))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IF($C210="","",IFERROR(INDEX(tblCategories[Group],MATCH($K210,tblCategories[Category],0)),"Other"))</f>
        <v/>
      </c>
      <c r="M210">
        <f>IF($C210="","",IFERROR(INDEX(tblCategories[Type],MATCH($K210,tblCategories[Category],0)),IF($J210&gt;0,"Income","Expense")))</f>
        <v/>
      </c>
      <c r="N210">
        <f>IF($C210="","",IFERROR(INDEX(tblCategories[Essential],MATCH($K210,tblCategories[Category],0)),"No"))</f>
        <v/>
      </c>
      <c r="O210">
        <f>IF($C210="","",IFERROR(INDEX(tblCategories[Tax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IF($C211="","",IFERROR(INDEX(tblAccounts[Owner],MATCH($E211,tblAccounts[Account],0)),"Joint"))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IF($C211="","",IFERROR(INDEX(tblCategories[Group],MATCH($K211,tblCategories[Category],0)),"Other"))</f>
        <v/>
      </c>
      <c r="M211">
        <f>IF($C211="","",IFERROR(INDEX(tblCategories[Type],MATCH($K211,tblCategories[Category],0)),IF($J211&gt;0,"Income","Expense")))</f>
        <v/>
      </c>
      <c r="N211">
        <f>IF($C211="","",IFERROR(INDEX(tblCategories[Essential],MATCH($K211,tblCategories[Category],0)),"No"))</f>
        <v/>
      </c>
      <c r="O211">
        <f>IF($C211="","",IFERROR(INDEX(tblCategories[Tax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IF($C212="","",IFERROR(INDEX(tblAccounts[Owner],MATCH($E212,tblAccounts[Account],0)),"Joint"))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IF($C212="","",IFERROR(INDEX(tblCategories[Group],MATCH($K212,tblCategories[Category],0)),"Other"))</f>
        <v/>
      </c>
      <c r="M212">
        <f>IF($C212="","",IFERROR(INDEX(tblCategories[Type],MATCH($K212,tblCategories[Category],0)),IF($J212&gt;0,"Income","Expense")))</f>
        <v/>
      </c>
      <c r="N212">
        <f>IF($C212="","",IFERROR(INDEX(tblCategories[Essential],MATCH($K212,tblCategories[Category],0)),"No"))</f>
        <v/>
      </c>
      <c r="O212">
        <f>IF($C212="","",IFERROR(INDEX(tblCategories[Tax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IF($C213="","",IFERROR(INDEX(tblAccounts[Owner],MATCH($E213,tblAccounts[Account],0)),"Joint"))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IF($C213="","",IFERROR(INDEX(tblCategories[Group],MATCH($K213,tblCategories[Category],0)),"Other"))</f>
        <v/>
      </c>
      <c r="M213">
        <f>IF($C213="","",IFERROR(INDEX(tblCategories[Type],MATCH($K213,tblCategories[Category],0)),IF($J213&gt;0,"Income","Expense")))</f>
        <v/>
      </c>
      <c r="N213">
        <f>IF($C213="","",IFERROR(INDEX(tblCategories[Essential],MATCH($K213,tblCategories[Category],0)),"No"))</f>
        <v/>
      </c>
      <c r="O213">
        <f>IF($C213="","",IFERROR(INDEX(tblCategories[Tax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IF($C214="","",IFERROR(INDEX(tblAccounts[Owner],MATCH($E214,tblAccounts[Account],0)),"Joint"))</f>
        <v/>
      </c>
      <c r="G214" t="inlineStr">
        <is>
          <t>Alex</t>
        </is>
      </c>
      <c r="H214" t="inlineStr">
        <is>
          <t>IDP PURCHASE - 4200 LCBO/RAO #4654 TORONTO ON</t>
        </is>
      </c>
      <c r="I214" t="inlineStr">
        <is>
          <t>Lcbo</t>
        </is>
      </c>
      <c r="J214" s="14" t="n">
        <v>-67.52</v>
      </c>
      <c r="K214" t="inlineStr">
        <is>
          <t>Alcohol</t>
        </is>
      </c>
      <c r="L214">
        <f>IF($C214="","",IFERROR(INDEX(tblCategories[Group],MATCH($K214,tblCategories[Category],0)),"Other"))</f>
        <v/>
      </c>
      <c r="M214">
        <f>IF($C214="","",IFERROR(INDEX(tblCategories[Type],MATCH($K214,tblCategories[Category],0)),IF($J214&gt;0,"Income","Expense")))</f>
        <v/>
      </c>
      <c r="N214">
        <f>IF($C214="","",IFERROR(INDEX(tblCategories[Essential],MATCH($K214,tblCategories[Category],0)),"No"))</f>
        <v/>
      </c>
      <c r="O214">
        <f>IF($C214="","",IFERROR(INDEX(tblCategories[Tax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IF($C215="","",IFERROR(INDEX(tblAccounts[Owner],MATCH($E215,tblAccounts[Account],0)),"Joint"))</f>
        <v/>
      </c>
      <c r="G215" t="inlineStr">
        <is>
          <t>Joint</t>
        </is>
      </c>
      <c r="H215" t="inlineStr">
        <is>
          <t>IDP PURCHASE - 5645 INDIGO #630 ON</t>
        </is>
      </c>
      <c r="I215" t="inlineStr">
        <is>
          <t>Indigo</t>
        </is>
      </c>
      <c r="J215" s="14" t="n">
        <v>-69.08</v>
      </c>
      <c r="K215" t="inlineStr">
        <is>
          <t>Hobbies</t>
        </is>
      </c>
      <c r="L215">
        <f>IF($C215="","",IFERROR(INDEX(tblCategories[Group],MATCH($K215,tblCategories[Category],0)),"Other"))</f>
        <v/>
      </c>
      <c r="M215">
        <f>IF($C215="","",IFERROR(INDEX(tblCategories[Type],MATCH($K215,tblCategories[Category],0)),IF($J215&gt;0,"Income","Expense")))</f>
        <v/>
      </c>
      <c r="N215">
        <f>IF($C215="","",IFERROR(INDEX(tblCategories[Essential],MATCH($K215,tblCategories[Category],0)),"No"))</f>
        <v/>
      </c>
      <c r="O215">
        <f>IF($C215="","",IFERROR(INDEX(tblCategories[Tax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IF($C216="","",IFERROR(INDEX(tblAccounts[Owner],MATCH($E216,tblAccounts[Account],0)),"Joint"))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IF($C216="","",IFERROR(INDEX(tblCategories[Group],MATCH($K216,tblCategories[Category],0)),"Other"))</f>
        <v/>
      </c>
      <c r="M216">
        <f>IF($C216="","",IFERROR(INDEX(tblCategories[Type],MATCH($K216,tblCategories[Category],0)),IF($J216&gt;0,"Income","Expense")))</f>
        <v/>
      </c>
      <c r="N216">
        <f>IF($C216="","",IFERROR(INDEX(tblCategories[Essential],MATCH($K216,tblCategories[Category],0)),"No"))</f>
        <v/>
      </c>
      <c r="O216">
        <f>IF($C216="","",IFERROR(INDEX(tblCategories[Tax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IF($C217="","",IFERROR(INDEX(tblAccounts[Owner],MATCH($E217,tblAccounts[Account],0)),"Joint"))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IF($C217="","",IFERROR(INDEX(tblCategories[Group],MATCH($K217,tblCategories[Category],0)),"Other"))</f>
        <v/>
      </c>
      <c r="M217">
        <f>IF($C217="","",IFERROR(INDEX(tblCategories[Type],MATCH($K217,tblCategories[Category],0)),IF($J217&gt;0,"Income","Expense")))</f>
        <v/>
      </c>
      <c r="N217">
        <f>IF($C217="","",IFERROR(INDEX(tblCategories[Essential],MATCH($K217,tblCategories[Category],0)),"No"))</f>
        <v/>
      </c>
      <c r="O217">
        <f>IF($C217="","",IFERROR(INDEX(tblCategories[Tax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IF($C218="","",IFERROR(INDEX(tblAccounts[Owner],MATCH($E218,tblAccounts[Account],0)),"Joint"))</f>
        <v/>
      </c>
      <c r="G218" t="inlineStr">
        <is>
          <t>Alex</t>
        </is>
      </c>
      <c r="H218" t="inlineStr">
        <is>
          <t>MONTHLY ACCOUNT FEE</t>
        </is>
      </c>
      <c r="I218" t="inlineStr">
        <is>
          <t>Monthly Account Fee</t>
        </is>
      </c>
      <c r="J218" s="14" t="n">
        <v>-11.95</v>
      </c>
      <c r="K218" t="inlineStr">
        <is>
          <t>Bank Fees</t>
        </is>
      </c>
      <c r="L218">
        <f>IF($C218="","",IFERROR(INDEX(tblCategories[Group],MATCH($K218,tblCategories[Category],0)),"Other"))</f>
        <v/>
      </c>
      <c r="M218">
        <f>IF($C218="","",IFERROR(INDEX(tblCategories[Type],MATCH($K218,tblCategories[Category],0)),IF($J218&gt;0,"Income","Expense")))</f>
        <v/>
      </c>
      <c r="N218">
        <f>IF($C218="","",IFERROR(INDEX(tblCategories[Essential],MATCH($K218,tblCategories[Category],0)),"No"))</f>
        <v/>
      </c>
      <c r="O218">
        <f>IF($C218="","",IFERROR(INDEX(tblCategories[Tax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IF($C219="","",IFERROR(INDEX(tblAccounts[Owner],MATCH($E219,tblAccounts[Account],0)),"Joint"))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IF($C219="","",IFERROR(INDEX(tblCategories[Group],MATCH($K219,tblCategories[Category],0)),"Other"))</f>
        <v/>
      </c>
      <c r="M219">
        <f>IF($C219="","",IFERROR(INDEX(tblCategories[Type],MATCH($K219,tblCategories[Category],0)),IF($J219&gt;0,"Income","Expense")))</f>
        <v/>
      </c>
      <c r="N219">
        <f>IF($C219="","",IFERROR(INDEX(tblCategories[Essential],MATCH($K219,tblCategories[Category],0)),"No"))</f>
        <v/>
      </c>
      <c r="O219">
        <f>IF($C219="","",IFERROR(INDEX(tblCategories[Tax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IF($C220="","",IFERROR(INDEX(tblAccounts[Owner],MATCH($E220,tblAccounts[Account],0)),"Joint"))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IF($C220="","",IFERROR(INDEX(tblCategories[Group],MATCH($K220,tblCategories[Category],0)),"Other"))</f>
        <v/>
      </c>
      <c r="M220">
        <f>IF($C220="","",IFERROR(INDEX(tblCategories[Type],MATCH($K220,tblCategories[Category],0)),IF($J220&gt;0,"Income","Expense")))</f>
        <v/>
      </c>
      <c r="N220">
        <f>IF($C220="","",IFERROR(INDEX(tblCategories[Essential],MATCH($K220,tblCategories[Category],0)),"No"))</f>
        <v/>
      </c>
      <c r="O220">
        <f>IF($C220="","",IFERROR(INDEX(tblCategories[Tax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IF($C221="","",IFERROR(INDEX(tblAccounts[Owner],MATCH($E221,tblAccounts[Account],0)),"Joint"))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IF($C221="","",IFERROR(INDEX(tblCategories[Group],MATCH($K221,tblCategories[Category],0)),"Other"))</f>
        <v/>
      </c>
      <c r="M221">
        <f>IF($C221="","",IFERROR(INDEX(tblCategories[Type],MATCH($K221,tblCategories[Category],0)),IF($J221&gt;0,"Income","Expense")))</f>
        <v/>
      </c>
      <c r="N221">
        <f>IF($C221="","",IFERROR(INDEX(tblCategories[Essential],MATCH($K221,tblCategories[Category],0)),"No"))</f>
        <v/>
      </c>
      <c r="O221">
        <f>IF($C221="","",IFERROR(INDEX(tblCategories[Tax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IF($C222="","",IFERROR(INDEX(tblAccounts[Owner],MATCH($E222,tblAccounts[Account],0)),"Joint"))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IF($C222="","",IFERROR(INDEX(tblCategories[Group],MATCH($K222,tblCategories[Category],0)),"Other"))</f>
        <v/>
      </c>
      <c r="M222">
        <f>IF($C222="","",IFERROR(INDEX(tblCategories[Type],MATCH($K222,tblCategories[Category],0)),IF($J222&gt;0,"Income","Expense")))</f>
        <v/>
      </c>
      <c r="N222">
        <f>IF($C222="","",IFERROR(INDEX(tblCategories[Essential],MATCH($K222,tblCategories[Category],0)),"No"))</f>
        <v/>
      </c>
      <c r="O222">
        <f>IF($C222="","",IFERROR(INDEX(tblCategories[Tax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IF($C223="","",IFERROR(INDEX(tblAccounts[Owner],MATCH($E223,tblAccounts[Account],0)),"Joint"))</f>
        <v/>
      </c>
      <c r="G223" t="inlineStr">
        <is>
          <t>Joint</t>
        </is>
      </c>
      <c r="H223" t="inlineStr">
        <is>
          <t>RENT PAYMENT 84 BROADVIEW AVE</t>
        </is>
      </c>
      <c r="I223" t="inlineStr">
        <is>
          <t>Rent Payment</t>
        </is>
      </c>
      <c r="J223" s="14" t="n">
        <v>-2350</v>
      </c>
      <c r="K223" t="inlineStr">
        <is>
          <t>Rent</t>
        </is>
      </c>
      <c r="L223">
        <f>IF($C223="","",IFERROR(INDEX(tblCategories[Group],MATCH($K223,tblCategories[Category],0)),"Other"))</f>
        <v/>
      </c>
      <c r="M223">
        <f>IF($C223="","",IFERROR(INDEX(tblCategories[Type],MATCH($K223,tblCategories[Category],0)),IF($J223&gt;0,"Income","Expense")))</f>
        <v/>
      </c>
      <c r="N223">
        <f>IF($C223="","",IFERROR(INDEX(tblCategories[Essential],MATCH($K223,tblCategories[Category],0)),"No"))</f>
        <v/>
      </c>
      <c r="O223">
        <f>IF($C223="","",IFERROR(INDEX(tblCategories[Tax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IF($C224="","",IFERROR(INDEX(tblAccounts[Owner],MATCH($E224,tblAccounts[Account],0)),"Joint"))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IF($C224="","",IFERROR(INDEX(tblCategories[Group],MATCH($K224,tblCategories[Category],0)),"Other"))</f>
        <v/>
      </c>
      <c r="M224">
        <f>IF($C224="","",IFERROR(INDEX(tblCategories[Type],MATCH($K224,tblCategories[Category],0)),IF($J224&gt;0,"Income","Expense")))</f>
        <v/>
      </c>
      <c r="N224">
        <f>IF($C224="","",IFERROR(INDEX(tblCategories[Essential],MATCH($K224,tblCategories[Category],0)),"No"))</f>
        <v/>
      </c>
      <c r="O224">
        <f>IF($C224="","",IFERROR(INDEX(tblCategories[Tax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IF($C225="","",IFERROR(INDEX(tblAccounts[Owner],MATCH($E225,tblAccounts[Account],0)),"Joint"))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IF($C225="","",IFERROR(INDEX(tblCategories[Group],MATCH($K225,tblCategories[Category],0)),"Other"))</f>
        <v/>
      </c>
      <c r="M225">
        <f>IF($C225="","",IFERROR(INDEX(tblCategories[Type],MATCH($K225,tblCategories[Category],0)),IF($J225&gt;0,"Income","Expense")))</f>
        <v/>
      </c>
      <c r="N225">
        <f>IF($C225="","",IFERROR(INDEX(tblCategories[Essential],MATCH($K225,tblCategories[Category],0)),"No"))</f>
        <v/>
      </c>
      <c r="O225">
        <f>IF($C225="","",IFERROR(INDEX(tblCategories[Tax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IF($C226="","",IFERROR(INDEX(tblAccounts[Owner],MATCH($E226,tblAccounts[Account],0)),"Joint"))</f>
        <v/>
      </c>
      <c r="G226" t="inlineStr">
        <is>
          <t>Joint</t>
        </is>
      </c>
      <c r="H226" t="inlineStr">
        <is>
          <t>UBER TRIP HELP.UBER.COM ON</t>
        </is>
      </c>
      <c r="I226" t="inlineStr">
        <is>
          <t>Uber</t>
        </is>
      </c>
      <c r="J226" s="14" t="n">
        <v>-22.05</v>
      </c>
      <c r="K226" t="inlineStr">
        <is>
          <t>Taxi &amp; Rideshare</t>
        </is>
      </c>
      <c r="L226">
        <f>IF($C226="","",IFERROR(INDEX(tblCategories[Group],MATCH($K226,tblCategories[Category],0)),"Other"))</f>
        <v/>
      </c>
      <c r="M226">
        <f>IF($C226="","",IFERROR(INDEX(tblCategories[Type],MATCH($K226,tblCategories[Category],0)),IF($J226&gt;0,"Income","Expense")))</f>
        <v/>
      </c>
      <c r="N226">
        <f>IF($C226="","",IFERROR(INDEX(tblCategories[Essential],MATCH($K226,tblCategories[Category],0)),"No"))</f>
        <v/>
      </c>
      <c r="O226">
        <f>IF($C226="","",IFERROR(INDEX(tblCategories[Tax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IF($C227="","",IFERROR(INDEX(tblAccounts[Owner],MATCH($E227,tblAccounts[Account],0)),"Joint"))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IF($C227="","",IFERROR(INDEX(tblCategories[Group],MATCH($K227,tblCategories[Category],0)),"Other"))</f>
        <v/>
      </c>
      <c r="M227">
        <f>IF($C227="","",IFERROR(INDEX(tblCategories[Type],MATCH($K227,tblCategories[Category],0)),IF($J227&gt;0,"Income","Expense")))</f>
        <v/>
      </c>
      <c r="N227">
        <f>IF($C227="","",IFERROR(INDEX(tblCategories[Essential],MATCH($K227,tblCategories[Category],0)),"No"))</f>
        <v/>
      </c>
      <c r="O227">
        <f>IF($C227="","",IFERROR(INDEX(tblCategories[Tax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IF($C228="","",IFERROR(INDEX(tblAccounts[Owner],MATCH($E228,tblAccounts[Account],0)),"Joint"))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IF($C228="","",IFERROR(INDEX(tblCategories[Group],MATCH($K228,tblCategories[Category],0)),"Other"))</f>
        <v/>
      </c>
      <c r="M228">
        <f>IF($C228="","",IFERROR(INDEX(tblCategories[Type],MATCH($K228,tblCategories[Category],0)),IF($J228&gt;0,"Income","Expense")))</f>
        <v/>
      </c>
      <c r="N228">
        <f>IF($C228="","",IFERROR(INDEX(tblCategories[Essential],MATCH($K228,tblCategories[Category],0)),"No"))</f>
        <v/>
      </c>
      <c r="O228">
        <f>IF($C228="","",IFERROR(INDEX(tblCategories[Tax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IF($C229="","",IFERROR(INDEX(tblAccounts[Owner],MATCH($E229,tblAccounts[Account],0)),"Joint"))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IF($C229="","",IFERROR(INDEX(tblCategories[Group],MATCH($K229,tblCategories[Category],0)),"Other"))</f>
        <v/>
      </c>
      <c r="M229">
        <f>IF($C229="","",IFERROR(INDEX(tblCategories[Type],MATCH($K229,tblCategories[Category],0)),IF($J229&gt;0,"Income","Expense")))</f>
        <v/>
      </c>
      <c r="N229">
        <f>IF($C229="","",IFERROR(INDEX(tblCategories[Essential],MATCH($K229,tblCategories[Category],0)),"No"))</f>
        <v/>
      </c>
      <c r="O229">
        <f>IF($C229="","",IFERROR(INDEX(tblCategories[Tax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IF($C230="","",IFERROR(INDEX(tblAccounts[Owner],MATCH($E230,tblAccounts[Account],0)),"Joint"))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IF($C230="","",IFERROR(INDEX(tblCategories[Group],MATCH($K230,tblCategories[Category],0)),"Other"))</f>
        <v/>
      </c>
      <c r="M230">
        <f>IF($C230="","",IFERROR(INDEX(tblCategories[Type],MATCH($K230,tblCategories[Category],0)),IF($J230&gt;0,"Income","Expense")))</f>
        <v/>
      </c>
      <c r="N230">
        <f>IF($C230="","",IFERROR(INDEX(tblCategories[Essential],MATCH($K230,tblCategories[Category],0)),"No"))</f>
        <v/>
      </c>
      <c r="O230">
        <f>IF($C230="","",IFERROR(INDEX(tblCategories[Tax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IF($C231="","",IFERROR(INDEX(tblAccounts[Owner],MATCH($E231,tblAccounts[Account],0)),"Joint"))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IF($C231="","",IFERROR(INDEX(tblCategories[Group],MATCH($K231,tblCategories[Category],0)),"Other"))</f>
        <v/>
      </c>
      <c r="M231">
        <f>IF($C231="","",IFERROR(INDEX(tblCategories[Type],MATCH($K231,tblCategories[Category],0)),IF($J231&gt;0,"Income","Expense")))</f>
        <v/>
      </c>
      <c r="N231">
        <f>IF($C231="","",IFERROR(INDEX(tblCategories[Essential],MATCH($K231,tblCategories[Category],0)),"No"))</f>
        <v/>
      </c>
      <c r="O231">
        <f>IF($C231="","",IFERROR(INDEX(tblCategories[Tax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IF($C232="","",IFERROR(INDEX(tblAccounts[Owner],MATCH($E232,tblAccounts[Account],0)),"Joint"))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IF($C232="","",IFERROR(INDEX(tblCategories[Group],MATCH($K232,tblCategories[Category],0)),"Other"))</f>
        <v/>
      </c>
      <c r="M232">
        <f>IF($C232="","",IFERROR(INDEX(tblCategories[Type],MATCH($K232,tblCategories[Category],0)),IF($J232&gt;0,"Income","Expense")))</f>
        <v/>
      </c>
      <c r="N232">
        <f>IF($C232="","",IFERROR(INDEX(tblCategories[Essential],MATCH($K232,tblCategories[Category],0)),"No"))</f>
        <v/>
      </c>
      <c r="O232">
        <f>IF($C232="","",IFERROR(INDEX(tblCategories[Tax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IF($C233="","",IFERROR(INDEX(tblAccounts[Owner],MATCH($E233,tblAccounts[Account],0)),"Joint"))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IF($C233="","",IFERROR(INDEX(tblCategories[Group],MATCH($K233,tblCategories[Category],0)),"Other"))</f>
        <v/>
      </c>
      <c r="M233">
        <f>IF($C233="","",IFERROR(INDEX(tblCategories[Type],MATCH($K233,tblCategories[Category],0)),IF($J233&gt;0,"Income","Expense")))</f>
        <v/>
      </c>
      <c r="N233">
        <f>IF($C233="","",IFERROR(INDEX(tblCategories[Essential],MATCH($K233,tblCategories[Category],0)),"No"))</f>
        <v/>
      </c>
      <c r="O233">
        <f>IF($C233="","",IFERROR(INDEX(tblCategories[Tax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IF($C234="","",IFERROR(INDEX(tblAccounts[Owner],MATCH($E234,tblAccounts[Account],0)),"Joint"))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IF($C234="","",IFERROR(INDEX(tblCategories[Group],MATCH($K234,tblCategories[Category],0)),"Other"))</f>
        <v/>
      </c>
      <c r="M234">
        <f>IF($C234="","",IFERROR(INDEX(tblCategories[Type],MATCH($K234,tblCategories[Category],0)),IF($J234&gt;0,"Income","Expense")))</f>
        <v/>
      </c>
      <c r="N234">
        <f>IF($C234="","",IFERROR(INDEX(tblCategories[Essential],MATCH($K234,tblCategories[Category],0)),"No"))</f>
        <v/>
      </c>
      <c r="O234">
        <f>IF($C234="","",IFERROR(INDEX(tblCategories[Tax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IF($C235="","",IFERROR(INDEX(tblAccounts[Owner],MATCH($E235,tblAccounts[Account],0)),"Joint"))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IF($C235="","",IFERROR(INDEX(tblCategories[Group],MATCH($K235,tblCategories[Category],0)),"Other"))</f>
        <v/>
      </c>
      <c r="M235">
        <f>IF($C235="","",IFERROR(INDEX(tblCategories[Type],MATCH($K235,tblCategories[Category],0)),IF($J235&gt;0,"Income","Expense")))</f>
        <v/>
      </c>
      <c r="N235">
        <f>IF($C235="","",IFERROR(INDEX(tblCategories[Essential],MATCH($K235,tblCategories[Category],0)),"No"))</f>
        <v/>
      </c>
      <c r="O235">
        <f>IF($C235="","",IFERROR(INDEX(tblCategories[Tax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IF($C236="","",IFERROR(INDEX(tblAccounts[Owner],MATCH($E236,tblAccounts[Account],0)),"Joint"))</f>
        <v/>
      </c>
      <c r="G236" t="inlineStr">
        <is>
          <t>Alex</t>
        </is>
      </c>
      <c r="H236" t="inlineStr">
        <is>
          <t>IDP PURCHASE - 1709 LCBO/RAO #1410 TORONTO ON</t>
        </is>
      </c>
      <c r="I236" t="inlineStr">
        <is>
          <t>Lcbo</t>
        </is>
      </c>
      <c r="J236" s="14" t="n">
        <v>-54.08</v>
      </c>
      <c r="K236" t="inlineStr">
        <is>
          <t>Alcohol</t>
        </is>
      </c>
      <c r="L236">
        <f>IF($C236="","",IFERROR(INDEX(tblCategories[Group],MATCH($K236,tblCategories[Category],0)),"Other"))</f>
        <v/>
      </c>
      <c r="M236">
        <f>IF($C236="","",IFERROR(INDEX(tblCategories[Type],MATCH($K236,tblCategories[Category],0)),IF($J236&gt;0,"Income","Expense")))</f>
        <v/>
      </c>
      <c r="N236">
        <f>IF($C236="","",IFERROR(INDEX(tblCategories[Essential],MATCH($K236,tblCategories[Category],0)),"No"))</f>
        <v/>
      </c>
      <c r="O236">
        <f>IF($C236="","",IFERROR(INDEX(tblCategories[Tax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IF($C237="","",IFERROR(INDEX(tblAccounts[Owner],MATCH($E237,tblAccounts[Account],0)),"Joint"))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IF($C237="","",IFERROR(INDEX(tblCategories[Group],MATCH($K237,tblCategories[Category],0)),"Other"))</f>
        <v/>
      </c>
      <c r="M237">
        <f>IF($C237="","",IFERROR(INDEX(tblCategories[Type],MATCH($K237,tblCategories[Category],0)),IF($J237&gt;0,"Income","Expense")))</f>
        <v/>
      </c>
      <c r="N237">
        <f>IF($C237="","",IFERROR(INDEX(tblCategories[Essential],MATCH($K237,tblCategories[Category],0)),"No"))</f>
        <v/>
      </c>
      <c r="O237">
        <f>IF($C237="","",IFERROR(INDEX(tblCategories[Tax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IF($C238="","",IFERROR(INDEX(tblAccounts[Owner],MATCH($E238,tblAccounts[Account],0)),"Joint"))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IF($C238="","",IFERROR(INDEX(tblCategories[Group],MATCH($K238,tblCategories[Category],0)),"Other"))</f>
        <v/>
      </c>
      <c r="M238">
        <f>IF($C238="","",IFERROR(INDEX(tblCategories[Type],MATCH($K238,tblCategories[Category],0)),IF($J238&gt;0,"Income","Expense")))</f>
        <v/>
      </c>
      <c r="N238">
        <f>IF($C238="","",IFERROR(INDEX(tblCategories[Essential],MATCH($K238,tblCategories[Category],0)),"No"))</f>
        <v/>
      </c>
      <c r="O238">
        <f>IF($C238="","",IFERROR(INDEX(tblCategories[Tax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IF($C239="","",IFERROR(INDEX(tblAccounts[Owner],MATCH($E239,tblAccounts[Account],0)),"Joint"))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IF($C239="","",IFERROR(INDEX(tblCategories[Group],MATCH($K239,tblCategories[Category],0)),"Other"))</f>
        <v/>
      </c>
      <c r="M239">
        <f>IF($C239="","",IFERROR(INDEX(tblCategories[Type],MATCH($K239,tblCategories[Category],0)),IF($J239&gt;0,"Income","Expense")))</f>
        <v/>
      </c>
      <c r="N239">
        <f>IF($C239="","",IFERROR(INDEX(tblCategories[Essential],MATCH($K239,tblCategories[Category],0)),"No"))</f>
        <v/>
      </c>
      <c r="O239">
        <f>IF($C239="","",IFERROR(INDEX(tblCategories[Tax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IF($C240="","",IFERROR(INDEX(tblAccounts[Owner],MATCH($E240,tblAccounts[Account],0)),"Joint"))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IF($C240="","",IFERROR(INDEX(tblCategories[Group],MATCH($K240,tblCategories[Category],0)),"Other"))</f>
        <v/>
      </c>
      <c r="M240">
        <f>IF($C240="","",IFERROR(INDEX(tblCategories[Type],MATCH($K240,tblCategories[Category],0)),IF($J240&gt;0,"Income","Expense")))</f>
        <v/>
      </c>
      <c r="N240">
        <f>IF($C240="","",IFERROR(INDEX(tblCategories[Essential],MATCH($K240,tblCategories[Category],0)),"No"))</f>
        <v/>
      </c>
      <c r="O240">
        <f>IF($C240="","",IFERROR(INDEX(tblCategories[Tax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IF($C241="","",IFERROR(INDEX(tblAccounts[Owner],MATCH($E241,tblAccounts[Account],0)),"Joint"))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IF($C241="","",IFERROR(INDEX(tblCategories[Group],MATCH($K241,tblCategories[Category],0)),"Other"))</f>
        <v/>
      </c>
      <c r="M241">
        <f>IF($C241="","",IFERROR(INDEX(tblCategories[Type],MATCH($K241,tblCategories[Category],0)),IF($J241&gt;0,"Income","Expense")))</f>
        <v/>
      </c>
      <c r="N241">
        <f>IF($C241="","",IFERROR(INDEX(tblCategories[Essential],MATCH($K241,tblCategories[Category],0)),"No"))</f>
        <v/>
      </c>
      <c r="O241">
        <f>IF($C241="","",IFERROR(INDEX(tblCategories[Tax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IF($C242="","",IFERROR(INDEX(tblAccounts[Owner],MATCH($E242,tblAccounts[Account],0)),"Joint"))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IF($C242="","",IFERROR(INDEX(tblCategories[Group],MATCH($K242,tblCategories[Category],0)),"Other"))</f>
        <v/>
      </c>
      <c r="M242">
        <f>IF($C242="","",IFERROR(INDEX(tblCategories[Type],MATCH($K242,tblCategories[Category],0)),IF($J242&gt;0,"Income","Expense")))</f>
        <v/>
      </c>
      <c r="N242">
        <f>IF($C242="","",IFERROR(INDEX(tblCategories[Essential],MATCH($K242,tblCategories[Category],0)),"No"))</f>
        <v/>
      </c>
      <c r="O242">
        <f>IF($C242="","",IFERROR(INDEX(tblCategories[Tax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IF($C243="","",IFERROR(INDEX(tblAccounts[Owner],MATCH($E243,tblAccounts[Account],0)),"Joint"))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IF($C243="","",IFERROR(INDEX(tblCategories[Group],MATCH($K243,tblCategories[Category],0)),"Other"))</f>
        <v/>
      </c>
      <c r="M243">
        <f>IF($C243="","",IFERROR(INDEX(tblCategories[Type],MATCH($K243,tblCategories[Category],0)),IF($J243&gt;0,"Income","Expense")))</f>
        <v/>
      </c>
      <c r="N243">
        <f>IF($C243="","",IFERROR(INDEX(tblCategories[Essential],MATCH($K243,tblCategories[Category],0)),"No"))</f>
        <v/>
      </c>
      <c r="O243">
        <f>IF($C243="","",IFERROR(INDEX(tblCategories[Tax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IF($C244="","",IFERROR(INDEX(tblAccounts[Owner],MATCH($E244,tblAccounts[Account],0)),"Joint"))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IF($C244="","",IFERROR(INDEX(tblCategories[Group],MATCH($K244,tblCategories[Category],0)),"Other"))</f>
        <v/>
      </c>
      <c r="M244">
        <f>IF($C244="","",IFERROR(INDEX(tblCategories[Type],MATCH($K244,tblCategories[Category],0)),IF($J244&gt;0,"Income","Expense")))</f>
        <v/>
      </c>
      <c r="N244">
        <f>IF($C244="","",IFERROR(INDEX(tblCategories[Essential],MATCH($K244,tblCategories[Category],0)),"No"))</f>
        <v/>
      </c>
      <c r="O244">
        <f>IF($C244="","",IFERROR(INDEX(tblCategories[Tax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IF($C245="","",IFERROR(INDEX(tblAccounts[Owner],MATCH($E245,tblAccounts[Account],0)),"Joint"))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IF($C245="","",IFERROR(INDEX(tblCategories[Group],MATCH($K245,tblCategories[Category],0)),"Other"))</f>
        <v/>
      </c>
      <c r="M245">
        <f>IF($C245="","",IFERROR(INDEX(tblCategories[Type],MATCH($K245,tblCategories[Category],0)),IF($J245&gt;0,"Income","Expense")))</f>
        <v/>
      </c>
      <c r="N245">
        <f>IF($C245="","",IFERROR(INDEX(tblCategories[Essential],MATCH($K245,tblCategories[Category],0)),"No"))</f>
        <v/>
      </c>
      <c r="O245">
        <f>IF($C245="","",IFERROR(INDEX(tblCategories[Tax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IF($C246="","",IFERROR(INDEX(tblAccounts[Owner],MATCH($E246,tblAccounts[Account],0)),"Joint"))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IF($C246="","",IFERROR(INDEX(tblCategories[Group],MATCH($K246,tblCategories[Category],0)),"Other"))</f>
        <v/>
      </c>
      <c r="M246">
        <f>IF($C246="","",IFERROR(INDEX(tblCategories[Type],MATCH($K246,tblCategories[Category],0)),IF($J246&gt;0,"Income","Expense")))</f>
        <v/>
      </c>
      <c r="N246">
        <f>IF($C246="","",IFERROR(INDEX(tblCategories[Essential],MATCH($K246,tblCategories[Category],0)),"No"))</f>
        <v/>
      </c>
      <c r="O246">
        <f>IF($C246="","",IFERROR(INDEX(tblCategories[Tax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IF($C247="","",IFERROR(INDEX(tblAccounts[Owner],MATCH($E247,tblAccounts[Account],0)),"Joint"))</f>
        <v/>
      </c>
      <c r="G247" t="inlineStr">
        <is>
          <t>Joint</t>
        </is>
      </c>
      <c r="H247" t="inlineStr">
        <is>
          <t>NETFLIX.COM MISC PAYMENT</t>
        </is>
      </c>
      <c r="I247" t="inlineStr">
        <is>
          <t>Netflix</t>
        </is>
      </c>
      <c r="J247" s="14" t="n">
        <v>-22.99</v>
      </c>
      <c r="K247" t="inlineStr">
        <is>
          <t>Subscriptions</t>
        </is>
      </c>
      <c r="L247">
        <f>IF($C247="","",IFERROR(INDEX(tblCategories[Group],MATCH($K247,tblCategories[Category],0)),"Other"))</f>
        <v/>
      </c>
      <c r="M247">
        <f>IF($C247="","",IFERROR(INDEX(tblCategories[Type],MATCH($K247,tblCategories[Category],0)),IF($J247&gt;0,"Income","Expense")))</f>
        <v/>
      </c>
      <c r="N247">
        <f>IF($C247="","",IFERROR(INDEX(tblCategories[Essential],MATCH($K247,tblCategories[Category],0)),"No"))</f>
        <v/>
      </c>
      <c r="O247">
        <f>IF($C247="","",IFERROR(INDEX(tblCategories[Tax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IF($C248="","",IFERROR(INDEX(tblAccounts[Owner],MATCH($E248,tblAccounts[Account],0)),"Joint"))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IF($C248="","",IFERROR(INDEX(tblCategories[Group],MATCH($K248,tblCategories[Category],0)),"Other"))</f>
        <v/>
      </c>
      <c r="M248">
        <f>IF($C248="","",IFERROR(INDEX(tblCategories[Type],MATCH($K248,tblCategories[Category],0)),IF($J248&gt;0,"Income","Expense")))</f>
        <v/>
      </c>
      <c r="N248">
        <f>IF($C248="","",IFERROR(INDEX(tblCategories[Essential],MATCH($K248,tblCategories[Category],0)),"No"))</f>
        <v/>
      </c>
      <c r="O248">
        <f>IF($C248="","",IFERROR(INDEX(tblCategories[Tax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IF($C249="","",IFERROR(INDEX(tblAccounts[Owner],MATCH($E249,tblAccounts[Account],0)),"Joint"))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IF($C249="","",IFERROR(INDEX(tblCategories[Group],MATCH($K249,tblCategories[Category],0)),"Other"))</f>
        <v/>
      </c>
      <c r="M249">
        <f>IF($C249="","",IFERROR(INDEX(tblCategories[Type],MATCH($K249,tblCategories[Category],0)),IF($J249&gt;0,"Income","Expense")))</f>
        <v/>
      </c>
      <c r="N249">
        <f>IF($C249="","",IFERROR(INDEX(tblCategories[Essential],MATCH($K249,tblCategories[Category],0)),"No"))</f>
        <v/>
      </c>
      <c r="O249">
        <f>IF($C249="","",IFERROR(INDEX(tblCategories[Tax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IF($C250="","",IFERROR(INDEX(tblAccounts[Owner],MATCH($E250,tblAccounts[Account],0)),"Joint"))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IF($C250="","",IFERROR(INDEX(tblCategories[Group],MATCH($K250,tblCategories[Category],0)),"Other"))</f>
        <v/>
      </c>
      <c r="M250">
        <f>IF($C250="","",IFERROR(INDEX(tblCategories[Type],MATCH($K250,tblCategories[Category],0)),IF($J250&gt;0,"Income","Expense")))</f>
        <v/>
      </c>
      <c r="N250">
        <f>IF($C250="","",IFERROR(INDEX(tblCategories[Essential],MATCH($K250,tblCategories[Category],0)),"No"))</f>
        <v/>
      </c>
      <c r="O250">
        <f>IF($C250="","",IFERROR(INDEX(tblCategories[Tax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IF($C251="","",IFERROR(INDEX(tblAccounts[Owner],MATCH($E251,tblAccounts[Account],0)),"Joint"))</f>
        <v/>
      </c>
      <c r="G251" t="inlineStr">
        <is>
          <t>Joint</t>
        </is>
      </c>
      <c r="H251" t="inlineStr">
        <is>
          <t>SPOTIFY P2C5 MISC PAYMENT</t>
        </is>
      </c>
      <c r="I251" t="inlineStr">
        <is>
          <t>Spotify</t>
        </is>
      </c>
      <c r="J251" s="14" t="n">
        <v>-16.99</v>
      </c>
      <c r="K251" t="inlineStr">
        <is>
          <t>Subscriptions</t>
        </is>
      </c>
      <c r="L251">
        <f>IF($C251="","",IFERROR(INDEX(tblCategories[Group],MATCH($K251,tblCategories[Category],0)),"Other"))</f>
        <v/>
      </c>
      <c r="M251">
        <f>IF($C251="","",IFERROR(INDEX(tblCategories[Type],MATCH($K251,tblCategories[Category],0)),IF($J251&gt;0,"Income","Expense")))</f>
        <v/>
      </c>
      <c r="N251">
        <f>IF($C251="","",IFERROR(INDEX(tblCategories[Essential],MATCH($K251,tblCategories[Category],0)),"No"))</f>
        <v/>
      </c>
      <c r="O251">
        <f>IF($C251="","",IFERROR(INDEX(tblCategories[Tax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IF($C252="","",IFERROR(INDEX(tblAccounts[Owner],MATCH($E252,tblAccounts[Account],0)),"Joint"))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IF($C252="","",IFERROR(INDEX(tblCategories[Group],MATCH($K252,tblCategories[Category],0)),"Other"))</f>
        <v/>
      </c>
      <c r="M252">
        <f>IF($C252="","",IFERROR(INDEX(tblCategories[Type],MATCH($K252,tblCategories[Category],0)),IF($J252&gt;0,"Income","Expense")))</f>
        <v/>
      </c>
      <c r="N252">
        <f>IF($C252="","",IFERROR(INDEX(tblCategories[Essential],MATCH($K252,tblCategories[Category],0)),"No"))</f>
        <v/>
      </c>
      <c r="O252">
        <f>IF($C252="","",IFERROR(INDEX(tblCategories[Tax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IF($C253="","",IFERROR(INDEX(tblAccounts[Owner],MATCH($E253,tblAccounts[Account],0)),"Joint"))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IF($C253="","",IFERROR(INDEX(tblCategories[Group],MATCH($K253,tblCategories[Category],0)),"Other"))</f>
        <v/>
      </c>
      <c r="M253">
        <f>IF($C253="","",IFERROR(INDEX(tblCategories[Type],MATCH($K253,tblCategories[Category],0)),IF($J253&gt;0,"Income","Expense")))</f>
        <v/>
      </c>
      <c r="N253">
        <f>IF($C253="","",IFERROR(INDEX(tblCategories[Essential],MATCH($K253,tblCategories[Category],0)),"No"))</f>
        <v/>
      </c>
      <c r="O253">
        <f>IF($C253="","",IFERROR(INDEX(tblCategories[Tax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IF($C254="","",IFERROR(INDEX(tblAccounts[Owner],MATCH($E254,tblAccounts[Account],0)),"Joint"))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IF($C254="","",IFERROR(INDEX(tblCategories[Group],MATCH($K254,tblCategories[Category],0)),"Other"))</f>
        <v/>
      </c>
      <c r="M254">
        <f>IF($C254="","",IFERROR(INDEX(tblCategories[Type],MATCH($K254,tblCategories[Category],0)),IF($J254&gt;0,"Income","Expense")))</f>
        <v/>
      </c>
      <c r="N254">
        <f>IF($C254="","",IFERROR(INDEX(tblCategories[Essential],MATCH($K254,tblCategories[Category],0)),"No"))</f>
        <v/>
      </c>
      <c r="O254">
        <f>IF($C254="","",IFERROR(INDEX(tblCategories[Tax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IF($C255="","",IFERROR(INDEX(tblAccounts[Owner],MATCH($E255,tblAccounts[Account],0)),"Joint"))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IF($C255="","",IFERROR(INDEX(tblCategories[Group],MATCH($K255,tblCategories[Category],0)),"Other"))</f>
        <v/>
      </c>
      <c r="M255">
        <f>IF($C255="","",IFERROR(INDEX(tblCategories[Type],MATCH($K255,tblCategories[Category],0)),IF($J255&gt;0,"Income","Expense")))</f>
        <v/>
      </c>
      <c r="N255">
        <f>IF($C255="","",IFERROR(INDEX(tblCategories[Essential],MATCH($K255,tblCategories[Category],0)),"No"))</f>
        <v/>
      </c>
      <c r="O255">
        <f>IF($C255="","",IFERROR(INDEX(tblCategories[Tax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IF($C256="","",IFERROR(INDEX(tblAccounts[Owner],MATCH($E256,tblAccounts[Account],0)),"Joint"))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IF($C256="","",IFERROR(INDEX(tblCategories[Group],MATCH($K256,tblCategories[Category],0)),"Other"))</f>
        <v/>
      </c>
      <c r="M256">
        <f>IF($C256="","",IFERROR(INDEX(tblCategories[Type],MATCH($K256,tblCategories[Category],0)),IF($J256&gt;0,"Income","Expense")))</f>
        <v/>
      </c>
      <c r="N256">
        <f>IF($C256="","",IFERROR(INDEX(tblCategories[Essential],MATCH($K256,tblCategories[Category],0)),"No"))</f>
        <v/>
      </c>
      <c r="O256">
        <f>IF($C256="","",IFERROR(INDEX(tblCategories[Tax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IF($C257="","",IFERROR(INDEX(tblAccounts[Owner],MATCH($E257,tblAccounts[Account],0)),"Joint"))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IF($C257="","",IFERROR(INDEX(tblCategories[Group],MATCH($K257,tblCategories[Category],0)),"Other"))</f>
        <v/>
      </c>
      <c r="M257">
        <f>IF($C257="","",IFERROR(INDEX(tblCategories[Type],MATCH($K257,tblCategories[Category],0)),IF($J257&gt;0,"Income","Expense")))</f>
        <v/>
      </c>
      <c r="N257">
        <f>IF($C257="","",IFERROR(INDEX(tblCategories[Essential],MATCH($K257,tblCategories[Category],0)),"No"))</f>
        <v/>
      </c>
      <c r="O257">
        <f>IF($C257="","",IFERROR(INDEX(tblCategories[Tax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IF($C258="","",IFERROR(INDEX(tblAccounts[Owner],MATCH($E258,tblAccounts[Account],0)),"Joint"))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IF($C258="","",IFERROR(INDEX(tblCategories[Group],MATCH($K258,tblCategories[Category],0)),"Other"))</f>
        <v/>
      </c>
      <c r="M258">
        <f>IF($C258="","",IFERROR(INDEX(tblCategories[Type],MATCH($K258,tblCategories[Category],0)),IF($J258&gt;0,"Income","Expense")))</f>
        <v/>
      </c>
      <c r="N258">
        <f>IF($C258="","",IFERROR(INDEX(tblCategories[Essential],MATCH($K258,tblCategories[Category],0)),"No"))</f>
        <v/>
      </c>
      <c r="O258">
        <f>IF($C258="","",IFERROR(INDEX(tblCategories[Tax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IF($C259="","",IFERROR(INDEX(tblAccounts[Owner],MATCH($E259,tblAccounts[Account],0)),"Joint"))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IF($C259="","",IFERROR(INDEX(tblCategories[Group],MATCH($K259,tblCategories[Category],0)),"Other"))</f>
        <v/>
      </c>
      <c r="M259">
        <f>IF($C259="","",IFERROR(INDEX(tblCategories[Type],MATCH($K259,tblCategories[Category],0)),IF($J259&gt;0,"Income","Expense")))</f>
        <v/>
      </c>
      <c r="N259">
        <f>IF($C259="","",IFERROR(INDEX(tblCategories[Essential],MATCH($K259,tblCategories[Category],0)),"No"))</f>
        <v/>
      </c>
      <c r="O259">
        <f>IF($C259="","",IFERROR(INDEX(tblCategories[Tax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IF($C260="","",IFERROR(INDEX(tblAccounts[Owner],MATCH($E260,tblAccounts[Account],0)),"Joint"))</f>
        <v/>
      </c>
      <c r="G260" t="inlineStr">
        <is>
          <t>Alex</t>
        </is>
      </c>
      <c r="H260" t="inlineStr">
        <is>
          <t>UBER TRIP HELP.UBER.COM ON</t>
        </is>
      </c>
      <c r="I260" t="inlineStr">
        <is>
          <t>Uber</t>
        </is>
      </c>
      <c r="J260" s="14" t="n">
        <v>-25.48</v>
      </c>
      <c r="K260" t="inlineStr">
        <is>
          <t>Taxi &amp; Rideshare</t>
        </is>
      </c>
      <c r="L260">
        <f>IF($C260="","",IFERROR(INDEX(tblCategories[Group],MATCH($K260,tblCategories[Category],0)),"Other"))</f>
        <v/>
      </c>
      <c r="M260">
        <f>IF($C260="","",IFERROR(INDEX(tblCategories[Type],MATCH($K260,tblCategories[Category],0)),IF($J260&gt;0,"Income","Expense")))</f>
        <v/>
      </c>
      <c r="N260">
        <f>IF($C260="","",IFERROR(INDEX(tblCategories[Essential],MATCH($K260,tblCategories[Category],0)),"No"))</f>
        <v/>
      </c>
      <c r="O260">
        <f>IF($C260="","",IFERROR(INDEX(tblCategories[Tax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IF($C261="","",IFERROR(INDEX(tblAccounts[Owner],MATCH($E261,tblAccounts[Account],0)),"Joint"))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IF($C261="","",IFERROR(INDEX(tblCategories[Group],MATCH($K261,tblCategories[Category],0)),"Other"))</f>
        <v/>
      </c>
      <c r="M261">
        <f>IF($C261="","",IFERROR(INDEX(tblCategories[Type],MATCH($K261,tblCategories[Category],0)),IF($J261&gt;0,"Income","Expense")))</f>
        <v/>
      </c>
      <c r="N261">
        <f>IF($C261="","",IFERROR(INDEX(tblCategories[Essential],MATCH($K261,tblCategories[Category],0)),"No"))</f>
        <v/>
      </c>
      <c r="O261">
        <f>IF($C261="","",IFERROR(INDEX(tblCategories[Tax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IF($C262="","",IFERROR(INDEX(tblAccounts[Owner],MATCH($E262,tblAccounts[Account],0)),"Joint"))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IF($C262="","",IFERROR(INDEX(tblCategories[Group],MATCH($K262,tblCategories[Category],0)),"Other"))</f>
        <v/>
      </c>
      <c r="M262">
        <f>IF($C262="","",IFERROR(INDEX(tblCategories[Type],MATCH($K262,tblCategories[Category],0)),IF($J262&gt;0,"Income","Expense")))</f>
        <v/>
      </c>
      <c r="N262">
        <f>IF($C262="","",IFERROR(INDEX(tblCategories[Essential],MATCH($K262,tblCategories[Category],0)),"No"))</f>
        <v/>
      </c>
      <c r="O262">
        <f>IF($C262="","",IFERROR(INDEX(tblCategories[Tax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IF($C263="","",IFERROR(INDEX(tblAccounts[Owner],MATCH($E263,tblAccounts[Account],0)),"Joint"))</f>
        <v/>
      </c>
      <c r="G263" t="inlineStr">
        <is>
          <t>Alex</t>
        </is>
      </c>
      <c r="H263" t="inlineStr">
        <is>
          <t>IDP PURCHASE - 5936 INDIGO #1561 ON</t>
        </is>
      </c>
      <c r="I263" t="inlineStr">
        <is>
          <t>Indigo</t>
        </is>
      </c>
      <c r="J263" s="14" t="n">
        <v>-20.35</v>
      </c>
      <c r="K263" t="inlineStr">
        <is>
          <t>Hobbies</t>
        </is>
      </c>
      <c r="L263">
        <f>IF($C263="","",IFERROR(INDEX(tblCategories[Group],MATCH($K263,tblCategories[Category],0)),"Other"))</f>
        <v/>
      </c>
      <c r="M263">
        <f>IF($C263="","",IFERROR(INDEX(tblCategories[Type],MATCH($K263,tblCategories[Category],0)),IF($J263&gt;0,"Income","Expense")))</f>
        <v/>
      </c>
      <c r="N263">
        <f>IF($C263="","",IFERROR(INDEX(tblCategories[Essential],MATCH($K263,tblCategories[Category],0)),"No"))</f>
        <v/>
      </c>
      <c r="O263">
        <f>IF($C263="","",IFERROR(INDEX(tblCategories[Tax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IF($C264="","",IFERROR(INDEX(tblAccounts[Owner],MATCH($E264,tblAccounts[Account],0)),"Joint"))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IF($C264="","",IFERROR(INDEX(tblCategories[Group],MATCH($K264,tblCategories[Category],0)),"Other"))</f>
        <v/>
      </c>
      <c r="M264">
        <f>IF($C264="","",IFERROR(INDEX(tblCategories[Type],MATCH($K264,tblCategories[Category],0)),IF($J264&gt;0,"Income","Expense")))</f>
        <v/>
      </c>
      <c r="N264">
        <f>IF($C264="","",IFERROR(INDEX(tblCategories[Essential],MATCH($K264,tblCategories[Category],0)),"No"))</f>
        <v/>
      </c>
      <c r="O264">
        <f>IF($C264="","",IFERROR(INDEX(tblCategories[Tax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IF($C265="","",IFERROR(INDEX(tblAccounts[Owner],MATCH($E265,tblAccounts[Account],0)),"Joint"))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IF($C265="","",IFERROR(INDEX(tblCategories[Group],MATCH($K265,tblCategories[Category],0)),"Other"))</f>
        <v/>
      </c>
      <c r="M265">
        <f>IF($C265="","",IFERROR(INDEX(tblCategories[Type],MATCH($K265,tblCategories[Category],0)),IF($J265&gt;0,"Income","Expense")))</f>
        <v/>
      </c>
      <c r="N265">
        <f>IF($C265="","",IFERROR(INDEX(tblCategories[Essential],MATCH($K265,tblCategories[Category],0)),"No"))</f>
        <v/>
      </c>
      <c r="O265">
        <f>IF($C265="","",IFERROR(INDEX(tblCategories[Tax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IF($C266="","",IFERROR(INDEX(tblAccounts[Owner],MATCH($E266,tblAccounts[Account],0)),"Joint"))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IF($C266="","",IFERROR(INDEX(tblCategories[Group],MATCH($K266,tblCategories[Category],0)),"Other"))</f>
        <v/>
      </c>
      <c r="M266">
        <f>IF($C266="","",IFERROR(INDEX(tblCategories[Type],MATCH($K266,tblCategories[Category],0)),IF($J266&gt;0,"Income","Expense")))</f>
        <v/>
      </c>
      <c r="N266">
        <f>IF($C266="","",IFERROR(INDEX(tblCategories[Essential],MATCH($K266,tblCategories[Category],0)),"No"))</f>
        <v/>
      </c>
      <c r="O266">
        <f>IF($C266="","",IFERROR(INDEX(tblCategories[Tax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IF($C267="","",IFERROR(INDEX(tblAccounts[Owner],MATCH($E267,tblAccounts[Account],0)),"Joint"))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IF($C267="","",IFERROR(INDEX(tblCategories[Group],MATCH($K267,tblCategories[Category],0)),"Other"))</f>
        <v/>
      </c>
      <c r="M267">
        <f>IF($C267="","",IFERROR(INDEX(tblCategories[Type],MATCH($K267,tblCategories[Category],0)),IF($J267&gt;0,"Income","Expense")))</f>
        <v/>
      </c>
      <c r="N267">
        <f>IF($C267="","",IFERROR(INDEX(tblCategories[Essential],MATCH($K267,tblCategories[Category],0)),"No"))</f>
        <v/>
      </c>
      <c r="O267">
        <f>IF($C267="","",IFERROR(INDEX(tblCategories[Tax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IF($C268="","",IFERROR(INDEX(tblAccounts[Owner],MATCH($E268,tblAccounts[Account],0)),"Joint"))</f>
        <v/>
      </c>
      <c r="G268" t="inlineStr">
        <is>
          <t>Alex</t>
        </is>
      </c>
      <c r="H268" t="inlineStr">
        <is>
          <t>MONTHLY ACCOUNT FEE</t>
        </is>
      </c>
      <c r="I268" t="inlineStr">
        <is>
          <t>Monthly Account Fee</t>
        </is>
      </c>
      <c r="J268" s="14" t="n">
        <v>-11.95</v>
      </c>
      <c r="K268" t="inlineStr">
        <is>
          <t>Bank Fees</t>
        </is>
      </c>
      <c r="L268">
        <f>IF($C268="","",IFERROR(INDEX(tblCategories[Group],MATCH($K268,tblCategories[Category],0)),"Other"))</f>
        <v/>
      </c>
      <c r="M268">
        <f>IF($C268="","",IFERROR(INDEX(tblCategories[Type],MATCH($K268,tblCategories[Category],0)),IF($J268&gt;0,"Income","Expense")))</f>
        <v/>
      </c>
      <c r="N268">
        <f>IF($C268="","",IFERROR(INDEX(tblCategories[Essential],MATCH($K268,tblCategories[Category],0)),"No"))</f>
        <v/>
      </c>
      <c r="O268">
        <f>IF($C268="","",IFERROR(INDEX(tblCategories[Tax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IF($C269="","",IFERROR(INDEX(tblAccounts[Owner],MATCH($E269,tblAccounts[Account],0)),"Joint"))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IF($C269="","",IFERROR(INDEX(tblCategories[Group],MATCH($K269,tblCategories[Category],0)),"Other"))</f>
        <v/>
      </c>
      <c r="M269">
        <f>IF($C269="","",IFERROR(INDEX(tblCategories[Type],MATCH($K269,tblCategories[Category],0)),IF($J269&gt;0,"Income","Expense")))</f>
        <v/>
      </c>
      <c r="N269">
        <f>IF($C269="","",IFERROR(INDEX(tblCategories[Essential],MATCH($K269,tblCategories[Category],0)),"No"))</f>
        <v/>
      </c>
      <c r="O269">
        <f>IF($C269="","",IFERROR(INDEX(tblCategories[Tax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IF($C270="","",IFERROR(INDEX(tblAccounts[Owner],MATCH($E270,tblAccounts[Account],0)),"Joint"))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IF($C270="","",IFERROR(INDEX(tblCategories[Group],MATCH($K270,tblCategories[Category],0)),"Other"))</f>
        <v/>
      </c>
      <c r="M270">
        <f>IF($C270="","",IFERROR(INDEX(tblCategories[Type],MATCH($K270,tblCategories[Category],0)),IF($J270&gt;0,"Income","Expense")))</f>
        <v/>
      </c>
      <c r="N270">
        <f>IF($C270="","",IFERROR(INDEX(tblCategories[Essential],MATCH($K270,tblCategories[Category],0)),"No"))</f>
        <v/>
      </c>
      <c r="O270">
        <f>IF($C270="","",IFERROR(INDEX(tblCategories[Tax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IF($C271="","",IFERROR(INDEX(tblAccounts[Owner],MATCH($E271,tblAccounts[Account],0)),"Joint"))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IF($C271="","",IFERROR(INDEX(tblCategories[Group],MATCH($K271,tblCategories[Category],0)),"Other"))</f>
        <v/>
      </c>
      <c r="M271">
        <f>IF($C271="","",IFERROR(INDEX(tblCategories[Type],MATCH($K271,tblCategories[Category],0)),IF($J271&gt;0,"Income","Expense")))</f>
        <v/>
      </c>
      <c r="N271">
        <f>IF($C271="","",IFERROR(INDEX(tblCategories[Essential],MATCH($K271,tblCategories[Category],0)),"No"))</f>
        <v/>
      </c>
      <c r="O271">
        <f>IF($C271="","",IFERROR(INDEX(tblCategories[Tax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IF($C272="","",IFERROR(INDEX(tblAccounts[Owner],MATCH($E272,tblAccounts[Account],0)),"Joint"))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IF($C272="","",IFERROR(INDEX(tblCategories[Group],MATCH($K272,tblCategories[Category],0)),"Other"))</f>
        <v/>
      </c>
      <c r="M272">
        <f>IF($C272="","",IFERROR(INDEX(tblCategories[Type],MATCH($K272,tblCategories[Category],0)),IF($J272&gt;0,"Income","Expense")))</f>
        <v/>
      </c>
      <c r="N272">
        <f>IF($C272="","",IFERROR(INDEX(tblCategories[Essential],MATCH($K272,tblCategories[Category],0)),"No"))</f>
        <v/>
      </c>
      <c r="O272">
        <f>IF($C272="","",IFERROR(INDEX(tblCategories[Tax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IF($C273="","",IFERROR(INDEX(tblAccounts[Owner],MATCH($E273,tblAccounts[Account],0)),"Joint"))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IF($C273="","",IFERROR(INDEX(tblCategories[Group],MATCH($K273,tblCategories[Category],0)),"Other"))</f>
        <v/>
      </c>
      <c r="M273">
        <f>IF($C273="","",IFERROR(INDEX(tblCategories[Type],MATCH($K273,tblCategories[Category],0)),IF($J273&gt;0,"Income","Expense")))</f>
        <v/>
      </c>
      <c r="N273">
        <f>IF($C273="","",IFERROR(INDEX(tblCategories[Essential],MATCH($K273,tblCategories[Category],0)),"No"))</f>
        <v/>
      </c>
      <c r="O273">
        <f>IF($C273="","",IFERROR(INDEX(tblCategories[Tax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IF($C274="","",IFERROR(INDEX(tblAccounts[Owner],MATCH($E274,tblAccounts[Account],0)),"Joint"))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IF($C274="","",IFERROR(INDEX(tblCategories[Group],MATCH($K274,tblCategories[Category],0)),"Other"))</f>
        <v/>
      </c>
      <c r="M274">
        <f>IF($C274="","",IFERROR(INDEX(tblCategories[Type],MATCH($K274,tblCategories[Category],0)),IF($J274&gt;0,"Income","Expense")))</f>
        <v/>
      </c>
      <c r="N274">
        <f>IF($C274="","",IFERROR(INDEX(tblCategories[Essential],MATCH($K274,tblCategories[Category],0)),"No"))</f>
        <v/>
      </c>
      <c r="O274">
        <f>IF($C274="","",IFERROR(INDEX(tblCategories[Tax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IF($C275="","",IFERROR(INDEX(tblAccounts[Owner],MATCH($E275,tblAccounts[Account],0)),"Joint"))</f>
        <v/>
      </c>
      <c r="G275" t="inlineStr">
        <is>
          <t>Joint</t>
        </is>
      </c>
      <c r="H275" t="inlineStr">
        <is>
          <t>PRESTO FARE/TRANSIT TORONTO ON</t>
        </is>
      </c>
      <c r="I275" t="inlineStr">
        <is>
          <t>Presto</t>
        </is>
      </c>
      <c r="J275" s="14" t="n">
        <v>-29.87</v>
      </c>
      <c r="K275" t="inlineStr">
        <is>
          <t>Public Transit</t>
        </is>
      </c>
      <c r="L275">
        <f>IF($C275="","",IFERROR(INDEX(tblCategories[Group],MATCH($K275,tblCategories[Category],0)),"Other"))</f>
        <v/>
      </c>
      <c r="M275">
        <f>IF($C275="","",IFERROR(INDEX(tblCategories[Type],MATCH($K275,tblCategories[Category],0)),IF($J275&gt;0,"Income","Expense")))</f>
        <v/>
      </c>
      <c r="N275">
        <f>IF($C275="","",IFERROR(INDEX(tblCategories[Essential],MATCH($K275,tblCategories[Category],0)),"No"))</f>
        <v/>
      </c>
      <c r="O275">
        <f>IF($C275="","",IFERROR(INDEX(tblCategories[Tax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IF($C276="","",IFERROR(INDEX(tblAccounts[Owner],MATCH($E276,tblAccounts[Account],0)),"Joint"))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IF($C276="","",IFERROR(INDEX(tblCategories[Group],MATCH($K276,tblCategories[Category],0)),"Other"))</f>
        <v/>
      </c>
      <c r="M276">
        <f>IF($C276="","",IFERROR(INDEX(tblCategories[Type],MATCH($K276,tblCategories[Category],0)),IF($J276&gt;0,"Income","Expense")))</f>
        <v/>
      </c>
      <c r="N276">
        <f>IF($C276="","",IFERROR(INDEX(tblCategories[Essential],MATCH($K276,tblCategories[Category],0)),"No"))</f>
        <v/>
      </c>
      <c r="O276">
        <f>IF($C276="","",IFERROR(INDEX(tblCategories[Tax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IF($C277="","",IFERROR(INDEX(tblAccounts[Owner],MATCH($E277,tblAccounts[Account],0)),"Joint"))</f>
        <v/>
      </c>
      <c r="G277" t="inlineStr">
        <is>
          <t>Joint</t>
        </is>
      </c>
      <c r="H277" t="inlineStr">
        <is>
          <t>RENT PAYMENT 84 BROADVIEW AVE</t>
        </is>
      </c>
      <c r="I277" t="inlineStr">
        <is>
          <t>Rent Payment</t>
        </is>
      </c>
      <c r="J277" s="14" t="n">
        <v>-2350</v>
      </c>
      <c r="K277" t="inlineStr">
        <is>
          <t>Rent</t>
        </is>
      </c>
      <c r="L277">
        <f>IF($C277="","",IFERROR(INDEX(tblCategories[Group],MATCH($K277,tblCategories[Category],0)),"Other"))</f>
        <v/>
      </c>
      <c r="M277">
        <f>IF($C277="","",IFERROR(INDEX(tblCategories[Type],MATCH($K277,tblCategories[Category],0)),IF($J277&gt;0,"Income","Expense")))</f>
        <v/>
      </c>
      <c r="N277">
        <f>IF($C277="","",IFERROR(INDEX(tblCategories[Essential],MATCH($K277,tblCategories[Category],0)),"No"))</f>
        <v/>
      </c>
      <c r="O277">
        <f>IF($C277="","",IFERROR(INDEX(tblCategories[Tax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IF($C278="","",IFERROR(INDEX(tblAccounts[Owner],MATCH($E278,tblAccounts[Account],0)),"Joint"))</f>
        <v/>
      </c>
      <c r="G278" t="inlineStr">
        <is>
          <t>Joint</t>
        </is>
      </c>
      <c r="H278" t="inlineStr">
        <is>
          <t>IDP PURCHASE - 6544 PETRO-CANADA #377 ON</t>
        </is>
      </c>
      <c r="I278" t="inlineStr">
        <is>
          <t>Petro-Canada</t>
        </is>
      </c>
      <c r="J278" s="14" t="n">
        <v>-67.14</v>
      </c>
      <c r="K278" t="inlineStr">
        <is>
          <t>Fuel</t>
        </is>
      </c>
      <c r="L278">
        <f>IF($C278="","",IFERROR(INDEX(tblCategories[Group],MATCH($K278,tblCategories[Category],0)),"Other"))</f>
        <v/>
      </c>
      <c r="M278">
        <f>IF($C278="","",IFERROR(INDEX(tblCategories[Type],MATCH($K278,tblCategories[Category],0)),IF($J278&gt;0,"Income","Expense")))</f>
        <v/>
      </c>
      <c r="N278">
        <f>IF($C278="","",IFERROR(INDEX(tblCategories[Essential],MATCH($K278,tblCategories[Category],0)),"No"))</f>
        <v/>
      </c>
      <c r="O278">
        <f>IF($C278="","",IFERROR(INDEX(tblCategories[Tax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IF($C279="","",IFERROR(INDEX(tblAccounts[Owner],MATCH($E279,tblAccounts[Account],0)),"Joint"))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IF($C279="","",IFERROR(INDEX(tblCategories[Group],MATCH($K279,tblCategories[Category],0)),"Other"))</f>
        <v/>
      </c>
      <c r="M279">
        <f>IF($C279="","",IFERROR(INDEX(tblCategories[Type],MATCH($K279,tblCategories[Category],0)),IF($J279&gt;0,"Income","Expense")))</f>
        <v/>
      </c>
      <c r="N279">
        <f>IF($C279="","",IFERROR(INDEX(tblCategories[Essential],MATCH($K279,tblCategories[Category],0)),"No"))</f>
        <v/>
      </c>
      <c r="O279">
        <f>IF($C279="","",IFERROR(INDEX(tblCategories[Tax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IF($C280="","",IFERROR(INDEX(tblAccounts[Owner],MATCH($E280,tblAccounts[Account],0)),"Joint"))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IF($C280="","",IFERROR(INDEX(tblCategories[Group],MATCH($K280,tblCategories[Category],0)),"Other"))</f>
        <v/>
      </c>
      <c r="M280">
        <f>IF($C280="","",IFERROR(INDEX(tblCategories[Type],MATCH($K280,tblCategories[Category],0)),IF($J280&gt;0,"Income","Expense")))</f>
        <v/>
      </c>
      <c r="N280">
        <f>IF($C280="","",IFERROR(INDEX(tblCategories[Essential],MATCH($K280,tblCategories[Category],0)),"No"))</f>
        <v/>
      </c>
      <c r="O280">
        <f>IF($C280="","",IFERROR(INDEX(tblCategories[Tax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IF($C281="","",IFERROR(INDEX(tblAccounts[Owner],MATCH($E281,tblAccounts[Account],0)),"Joint"))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IF($C281="","",IFERROR(INDEX(tblCategories[Group],MATCH($K281,tblCategories[Category],0)),"Other"))</f>
        <v/>
      </c>
      <c r="M281">
        <f>IF($C281="","",IFERROR(INDEX(tblCategories[Type],MATCH($K281,tblCategories[Category],0)),IF($J281&gt;0,"Income","Expense")))</f>
        <v/>
      </c>
      <c r="N281">
        <f>IF($C281="","",IFERROR(INDEX(tblCategories[Essential],MATCH($K281,tblCategories[Category],0)),"No"))</f>
        <v/>
      </c>
      <c r="O281">
        <f>IF($C281="","",IFERROR(INDEX(tblCategories[Tax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IF($C282="","",IFERROR(INDEX(tblAccounts[Owner],MATCH($E282,tblAccounts[Account],0)),"Joint"))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IF($C282="","",IFERROR(INDEX(tblCategories[Group],MATCH($K282,tblCategories[Category],0)),"Other"))</f>
        <v/>
      </c>
      <c r="M282">
        <f>IF($C282="","",IFERROR(INDEX(tblCategories[Type],MATCH($K282,tblCategories[Category],0)),IF($J282&gt;0,"Income","Expense")))</f>
        <v/>
      </c>
      <c r="N282">
        <f>IF($C282="","",IFERROR(INDEX(tblCategories[Essential],MATCH($K282,tblCategories[Category],0)),"No"))</f>
        <v/>
      </c>
      <c r="O282">
        <f>IF($C282="","",IFERROR(INDEX(tblCategories[Tax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IF($C283="","",IFERROR(INDEX(tblAccounts[Owner],MATCH($E283,tblAccounts[Account],0)),"Joint"))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IF($C283="","",IFERROR(INDEX(tblCategories[Group],MATCH($K283,tblCategories[Category],0)),"Other"))</f>
        <v/>
      </c>
      <c r="M283">
        <f>IF($C283="","",IFERROR(INDEX(tblCategories[Type],MATCH($K283,tblCategories[Category],0)),IF($J283&gt;0,"Income","Expense")))</f>
        <v/>
      </c>
      <c r="N283">
        <f>IF($C283="","",IFERROR(INDEX(tblCategories[Essential],MATCH($K283,tblCategories[Category],0)),"No"))</f>
        <v/>
      </c>
      <c r="O283">
        <f>IF($C283="","",IFERROR(INDEX(tblCategories[Tax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IF($C284="","",IFERROR(INDEX(tblAccounts[Owner],MATCH($E284,tblAccounts[Account],0)),"Joint"))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IF($C284="","",IFERROR(INDEX(tblCategories[Group],MATCH($K284,tblCategories[Category],0)),"Other"))</f>
        <v/>
      </c>
      <c r="M284">
        <f>IF($C284="","",IFERROR(INDEX(tblCategories[Type],MATCH($K284,tblCategories[Category],0)),IF($J284&gt;0,"Income","Expense")))</f>
        <v/>
      </c>
      <c r="N284">
        <f>IF($C284="","",IFERROR(INDEX(tblCategories[Essential],MATCH($K284,tblCategories[Category],0)),"No"))</f>
        <v/>
      </c>
      <c r="O284">
        <f>IF($C284="","",IFERROR(INDEX(tblCategories[Tax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IF($C285="","",IFERROR(INDEX(tblAccounts[Owner],MATCH($E285,tblAccounts[Account],0)),"Joint"))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IF($C285="","",IFERROR(INDEX(tblCategories[Group],MATCH($K285,tblCategories[Category],0)),"Other"))</f>
        <v/>
      </c>
      <c r="M285">
        <f>IF($C285="","",IFERROR(INDEX(tblCategories[Type],MATCH($K285,tblCategories[Category],0)),IF($J285&gt;0,"Income","Expense")))</f>
        <v/>
      </c>
      <c r="N285">
        <f>IF($C285="","",IFERROR(INDEX(tblCategories[Essential],MATCH($K285,tblCategories[Category],0)),"No"))</f>
        <v/>
      </c>
      <c r="O285">
        <f>IF($C285="","",IFERROR(INDEX(tblCategories[Tax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IF($C286="","",IFERROR(INDEX(tblAccounts[Owner],MATCH($E286,tblAccounts[Account],0)),"Joint"))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IF($C286="","",IFERROR(INDEX(tblCategories[Group],MATCH($K286,tblCategories[Category],0)),"Other"))</f>
        <v/>
      </c>
      <c r="M286">
        <f>IF($C286="","",IFERROR(INDEX(tblCategories[Type],MATCH($K286,tblCategories[Category],0)),IF($J286&gt;0,"Income","Expense")))</f>
        <v/>
      </c>
      <c r="N286">
        <f>IF($C286="","",IFERROR(INDEX(tblCategories[Essential],MATCH($K286,tblCategories[Category],0)),"No"))</f>
        <v/>
      </c>
      <c r="O286">
        <f>IF($C286="","",IFERROR(INDEX(tblCategories[Tax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IF($C287="","",IFERROR(INDEX(tblAccounts[Owner],MATCH($E287,tblAccounts[Account],0)),"Joint"))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IF($C287="","",IFERROR(INDEX(tblCategories[Group],MATCH($K287,tblCategories[Category],0)),"Other"))</f>
        <v/>
      </c>
      <c r="M287">
        <f>IF($C287="","",IFERROR(INDEX(tblCategories[Type],MATCH($K287,tblCategories[Category],0)),IF($J287&gt;0,"Income","Expense")))</f>
        <v/>
      </c>
      <c r="N287">
        <f>IF($C287="","",IFERROR(INDEX(tblCategories[Essential],MATCH($K287,tblCategories[Category],0)),"No"))</f>
        <v/>
      </c>
      <c r="O287">
        <f>IF($C287="","",IFERROR(INDEX(tblCategories[Tax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IF($C288="","",IFERROR(INDEX(tblAccounts[Owner],MATCH($E288,tblAccounts[Account],0)),"Joint"))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IF($C288="","",IFERROR(INDEX(tblCategories[Group],MATCH($K288,tblCategories[Category],0)),"Other"))</f>
        <v/>
      </c>
      <c r="M288">
        <f>IF($C288="","",IFERROR(INDEX(tblCategories[Type],MATCH($K288,tblCategories[Category],0)),IF($J288&gt;0,"Income","Expense")))</f>
        <v/>
      </c>
      <c r="N288">
        <f>IF($C288="","",IFERROR(INDEX(tblCategories[Essential],MATCH($K288,tblCategories[Category],0)),"No"))</f>
        <v/>
      </c>
      <c r="O288">
        <f>IF($C288="","",IFERROR(INDEX(tblCategories[Tax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IF($C289="","",IFERROR(INDEX(tblAccounts[Owner],MATCH($E289,tblAccounts[Account],0)),"Joint"))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IF($C289="","",IFERROR(INDEX(tblCategories[Group],MATCH($K289,tblCategories[Category],0)),"Other"))</f>
        <v/>
      </c>
      <c r="M289">
        <f>IF($C289="","",IFERROR(INDEX(tblCategories[Type],MATCH($K289,tblCategories[Category],0)),IF($J289&gt;0,"Income","Expense")))</f>
        <v/>
      </c>
      <c r="N289">
        <f>IF($C289="","",IFERROR(INDEX(tblCategories[Essential],MATCH($K289,tblCategories[Category],0)),"No"))</f>
        <v/>
      </c>
      <c r="O289">
        <f>IF($C289="","",IFERROR(INDEX(tblCategories[Tax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IF($C290="","",IFERROR(INDEX(tblAccounts[Owner],MATCH($E290,tblAccounts[Account],0)),"Joint"))</f>
        <v/>
      </c>
      <c r="G290" t="inlineStr">
        <is>
          <t>Joint</t>
        </is>
      </c>
      <c r="H290" t="inlineStr">
        <is>
          <t>UBER TRIP HELP.UBER.COM ON</t>
        </is>
      </c>
      <c r="I290" t="inlineStr">
        <is>
          <t>Uber</t>
        </is>
      </c>
      <c r="J290" s="14" t="n">
        <v>-32.37</v>
      </c>
      <c r="K290" t="inlineStr">
        <is>
          <t>Taxi &amp; Rideshare</t>
        </is>
      </c>
      <c r="L290">
        <f>IF($C290="","",IFERROR(INDEX(tblCategories[Group],MATCH($K290,tblCategories[Category],0)),"Other"))</f>
        <v/>
      </c>
      <c r="M290">
        <f>IF($C290="","",IFERROR(INDEX(tblCategories[Type],MATCH($K290,tblCategories[Category],0)),IF($J290&gt;0,"Income","Expense")))</f>
        <v/>
      </c>
      <c r="N290">
        <f>IF($C290="","",IFERROR(INDEX(tblCategories[Essential],MATCH($K290,tblCategories[Category],0)),"No"))</f>
        <v/>
      </c>
      <c r="O290">
        <f>IF($C290="","",IFERROR(INDEX(tblCategories[Tax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IF($C291="","",IFERROR(INDEX(tblAccounts[Owner],MATCH($E291,tblAccounts[Account],0)),"Joint"))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IF($C291="","",IFERROR(INDEX(tblCategories[Group],MATCH($K291,tblCategories[Category],0)),"Other"))</f>
        <v/>
      </c>
      <c r="M291">
        <f>IF($C291="","",IFERROR(INDEX(tblCategories[Type],MATCH($K291,tblCategories[Category],0)),IF($J291&gt;0,"Income","Expense")))</f>
        <v/>
      </c>
      <c r="N291">
        <f>IF($C291="","",IFERROR(INDEX(tblCategories[Essential],MATCH($K291,tblCategories[Category],0)),"No"))</f>
        <v/>
      </c>
      <c r="O291">
        <f>IF($C291="","",IFERROR(INDEX(tblCategories[Tax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IF($C292="","",IFERROR(INDEX(tblAccounts[Owner],MATCH($E292,tblAccounts[Account],0)),"Joint"))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IF($C292="","",IFERROR(INDEX(tblCategories[Group],MATCH($K292,tblCategories[Category],0)),"Other"))</f>
        <v/>
      </c>
      <c r="M292">
        <f>IF($C292="","",IFERROR(INDEX(tblCategories[Type],MATCH($K292,tblCategories[Category],0)),IF($J292&gt;0,"Income","Expense")))</f>
        <v/>
      </c>
      <c r="N292">
        <f>IF($C292="","",IFERROR(INDEX(tblCategories[Essential],MATCH($K292,tblCategories[Category],0)),"No"))</f>
        <v/>
      </c>
      <c r="O292">
        <f>IF($C292="","",IFERROR(INDEX(tblCategories[Tax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IF($C293="","",IFERROR(INDEX(tblAccounts[Owner],MATCH($E293,tblAccounts[Account],0)),"Joint"))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IF($C293="","",IFERROR(INDEX(tblCategories[Group],MATCH($K293,tblCategories[Category],0)),"Other"))</f>
        <v/>
      </c>
      <c r="M293">
        <f>IF($C293="","",IFERROR(INDEX(tblCategories[Type],MATCH($K293,tblCategories[Category],0)),IF($J293&gt;0,"Income","Expense")))</f>
        <v/>
      </c>
      <c r="N293">
        <f>IF($C293="","",IFERROR(INDEX(tblCategories[Essential],MATCH($K293,tblCategories[Category],0)),"No"))</f>
        <v/>
      </c>
      <c r="O293">
        <f>IF($C293="","",IFERROR(INDEX(tblCategories[Tax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IF($C294="","",IFERROR(INDEX(tblAccounts[Owner],MATCH($E294,tblAccounts[Account],0)),"Joint"))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IF($C294="","",IFERROR(INDEX(tblCategories[Group],MATCH($K294,tblCategories[Category],0)),"Other"))</f>
        <v/>
      </c>
      <c r="M294">
        <f>IF($C294="","",IFERROR(INDEX(tblCategories[Type],MATCH($K294,tblCategories[Category],0)),IF($J294&gt;0,"Income","Expense")))</f>
        <v/>
      </c>
      <c r="N294">
        <f>IF($C294="","",IFERROR(INDEX(tblCategories[Essential],MATCH($K294,tblCategories[Category],0)),"No"))</f>
        <v/>
      </c>
      <c r="O294">
        <f>IF($C294="","",IFERROR(INDEX(tblCategories[Tax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IF($C295="","",IFERROR(INDEX(tblAccounts[Owner],MATCH($E295,tblAccounts[Account],0)),"Joint"))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IF($C295="","",IFERROR(INDEX(tblCategories[Group],MATCH($K295,tblCategories[Category],0)),"Other"))</f>
        <v/>
      </c>
      <c r="M295">
        <f>IF($C295="","",IFERROR(INDEX(tblCategories[Type],MATCH($K295,tblCategories[Category],0)),IF($J295&gt;0,"Income","Expense")))</f>
        <v/>
      </c>
      <c r="N295">
        <f>IF($C295="","",IFERROR(INDEX(tblCategories[Essential],MATCH($K295,tblCategories[Category],0)),"No"))</f>
        <v/>
      </c>
      <c r="O295">
        <f>IF($C295="","",IFERROR(INDEX(tblCategories[Tax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IF($C296="","",IFERROR(INDEX(tblAccounts[Owner],MATCH($E296,tblAccounts[Account],0)),"Joint"))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IF($C296="","",IFERROR(INDEX(tblCategories[Group],MATCH($K296,tblCategories[Category],0)),"Other"))</f>
        <v/>
      </c>
      <c r="M296">
        <f>IF($C296="","",IFERROR(INDEX(tblCategories[Type],MATCH($K296,tblCategories[Category],0)),IF($J296&gt;0,"Income","Expense")))</f>
        <v/>
      </c>
      <c r="N296">
        <f>IF($C296="","",IFERROR(INDEX(tblCategories[Essential],MATCH($K296,tblCategories[Category],0)),"No"))</f>
        <v/>
      </c>
      <c r="O296">
        <f>IF($C296="","",IFERROR(INDEX(tblCategories[Tax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IF($C297="","",IFERROR(INDEX(tblAccounts[Owner],MATCH($E297,tblAccounts[Account],0)),"Joint"))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IF($C297="","",IFERROR(INDEX(tblCategories[Group],MATCH($K297,tblCategories[Category],0)),"Other"))</f>
        <v/>
      </c>
      <c r="M297">
        <f>IF($C297="","",IFERROR(INDEX(tblCategories[Type],MATCH($K297,tblCategories[Category],0)),IF($J297&gt;0,"Income","Expense")))</f>
        <v/>
      </c>
      <c r="N297">
        <f>IF($C297="","",IFERROR(INDEX(tblCategories[Essential],MATCH($K297,tblCategories[Category],0)),"No"))</f>
        <v/>
      </c>
      <c r="O297">
        <f>IF($C297="","",IFERROR(INDEX(tblCategories[Tax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IF($C298="","",IFERROR(INDEX(tblAccounts[Owner],MATCH($E298,tblAccounts[Account],0)),"Joint"))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IF($C298="","",IFERROR(INDEX(tblCategories[Group],MATCH($K298,tblCategories[Category],0)),"Other"))</f>
        <v/>
      </c>
      <c r="M298">
        <f>IF($C298="","",IFERROR(INDEX(tblCategories[Type],MATCH($K298,tblCategories[Category],0)),IF($J298&gt;0,"Income","Expense")))</f>
        <v/>
      </c>
      <c r="N298">
        <f>IF($C298="","",IFERROR(INDEX(tblCategories[Essential],MATCH($K298,tblCategories[Category],0)),"No"))</f>
        <v/>
      </c>
      <c r="O298">
        <f>IF($C298="","",IFERROR(INDEX(tblCategories[Tax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IF($C299="","",IFERROR(INDEX(tblAccounts[Owner],MATCH($E299,tblAccounts[Account],0)),"Joint"))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IF($C299="","",IFERROR(INDEX(tblCategories[Group],MATCH($K299,tblCategories[Category],0)),"Other"))</f>
        <v/>
      </c>
      <c r="M299">
        <f>IF($C299="","",IFERROR(INDEX(tblCategories[Type],MATCH($K299,tblCategories[Category],0)),IF($J299&gt;0,"Income","Expense")))</f>
        <v/>
      </c>
      <c r="N299">
        <f>IF($C299="","",IFERROR(INDEX(tblCategories[Essential],MATCH($K299,tblCategories[Category],0)),"No"))</f>
        <v/>
      </c>
      <c r="O299">
        <f>IF($C299="","",IFERROR(INDEX(tblCategories[Tax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IF($C300="","",IFERROR(INDEX(tblAccounts[Owner],MATCH($E300,tblAccounts[Account],0)),"Joint"))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IF($C300="","",IFERROR(INDEX(tblCategories[Group],MATCH($K300,tblCategories[Category],0)),"Other"))</f>
        <v/>
      </c>
      <c r="M300">
        <f>IF($C300="","",IFERROR(INDEX(tblCategories[Type],MATCH($K300,tblCategories[Category],0)),IF($J300&gt;0,"Income","Expense")))</f>
        <v/>
      </c>
      <c r="N300">
        <f>IF($C300="","",IFERROR(INDEX(tblCategories[Essential],MATCH($K300,tblCategories[Category],0)),"No"))</f>
        <v/>
      </c>
      <c r="O300">
        <f>IF($C300="","",IFERROR(INDEX(tblCategories[Tax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IF($C301="","",IFERROR(INDEX(tblAccounts[Owner],MATCH($E301,tblAccounts[Account],0)),"Joint"))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IF($C301="","",IFERROR(INDEX(tblCategories[Group],MATCH($K301,tblCategories[Category],0)),"Other"))</f>
        <v/>
      </c>
      <c r="M301">
        <f>IF($C301="","",IFERROR(INDEX(tblCategories[Type],MATCH($K301,tblCategories[Category],0)),IF($J301&gt;0,"Income","Expense")))</f>
        <v/>
      </c>
      <c r="N301">
        <f>IF($C301="","",IFERROR(INDEX(tblCategories[Essential],MATCH($K301,tblCategories[Category],0)),"No"))</f>
        <v/>
      </c>
      <c r="O301">
        <f>IF($C301="","",IFERROR(INDEX(tblCategories[Tax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IF($C302="","",IFERROR(INDEX(tblAccounts[Owner],MATCH($E302,tblAccounts[Account],0)),"Joint"))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IF($C302="","",IFERROR(INDEX(tblCategories[Group],MATCH($K302,tblCategories[Category],0)),"Other"))</f>
        <v/>
      </c>
      <c r="M302">
        <f>IF($C302="","",IFERROR(INDEX(tblCategories[Type],MATCH($K302,tblCategories[Category],0)),IF($J302&gt;0,"Income","Expense")))</f>
        <v/>
      </c>
      <c r="N302">
        <f>IF($C302="","",IFERROR(INDEX(tblCategories[Essential],MATCH($K302,tblCategories[Category],0)),"No"))</f>
        <v/>
      </c>
      <c r="O302">
        <f>IF($C302="","",IFERROR(INDEX(tblCategories[Tax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IF($C303="","",IFERROR(INDEX(tblAccounts[Owner],MATCH($E303,tblAccounts[Account],0)),"Joint"))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IF($C303="","",IFERROR(INDEX(tblCategories[Group],MATCH($K303,tblCategories[Category],0)),"Other"))</f>
        <v/>
      </c>
      <c r="M303">
        <f>IF($C303="","",IFERROR(INDEX(tblCategories[Type],MATCH($K303,tblCategories[Category],0)),IF($J303&gt;0,"Income","Expense")))</f>
        <v/>
      </c>
      <c r="N303">
        <f>IF($C303="","",IFERROR(INDEX(tblCategories[Essential],MATCH($K303,tblCategories[Category],0)),"No"))</f>
        <v/>
      </c>
      <c r="O303">
        <f>IF($C303="","",IFERROR(INDEX(tblCategories[Tax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IF($C304="","",IFERROR(INDEX(tblAccounts[Owner],MATCH($E304,tblAccounts[Account],0)),"Joint"))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IF($C304="","",IFERROR(INDEX(tblCategories[Group],MATCH($K304,tblCategories[Category],0)),"Other"))</f>
        <v/>
      </c>
      <c r="M304">
        <f>IF($C304="","",IFERROR(INDEX(tblCategories[Type],MATCH($K304,tblCategories[Category],0)),IF($J304&gt;0,"Income","Expense")))</f>
        <v/>
      </c>
      <c r="N304">
        <f>IF($C304="","",IFERROR(INDEX(tblCategories[Essential],MATCH($K304,tblCategories[Category],0)),"No"))</f>
        <v/>
      </c>
      <c r="O304">
        <f>IF($C304="","",IFERROR(INDEX(tblCategories[Tax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IF($C305="","",IFERROR(INDEX(tblAccounts[Owner],MATCH($E305,tblAccounts[Account],0)),"Joint"))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IF($C305="","",IFERROR(INDEX(tblCategories[Group],MATCH($K305,tblCategories[Category],0)),"Other"))</f>
        <v/>
      </c>
      <c r="M305">
        <f>IF($C305="","",IFERROR(INDEX(tblCategories[Type],MATCH($K305,tblCategories[Category],0)),IF($J305&gt;0,"Income","Expense")))</f>
        <v/>
      </c>
      <c r="N305">
        <f>IF($C305="","",IFERROR(INDEX(tblCategories[Essential],MATCH($K305,tblCategories[Category],0)),"No"))</f>
        <v/>
      </c>
      <c r="O305">
        <f>IF($C305="","",IFERROR(INDEX(tblCategories[Tax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IF($C306="","",IFERROR(INDEX(tblAccounts[Owner],MATCH($E306,tblAccounts[Account],0)),"Joint"))</f>
        <v/>
      </c>
      <c r="G306" t="inlineStr">
        <is>
          <t>Joint</t>
        </is>
      </c>
      <c r="H306" t="inlineStr">
        <is>
          <t>NETFLIX.COM MISC PAYMENT</t>
        </is>
      </c>
      <c r="I306" t="inlineStr">
        <is>
          <t>Netflix</t>
        </is>
      </c>
      <c r="J306" s="14" t="n">
        <v>-22.99</v>
      </c>
      <c r="K306" t="inlineStr">
        <is>
          <t>Subscriptions</t>
        </is>
      </c>
      <c r="L306">
        <f>IF($C306="","",IFERROR(INDEX(tblCategories[Group],MATCH($K306,tblCategories[Category],0)),"Other"))</f>
        <v/>
      </c>
      <c r="M306">
        <f>IF($C306="","",IFERROR(INDEX(tblCategories[Type],MATCH($K306,tblCategories[Category],0)),IF($J306&gt;0,"Income","Expense")))</f>
        <v/>
      </c>
      <c r="N306">
        <f>IF($C306="","",IFERROR(INDEX(tblCategories[Essential],MATCH($K306,tblCategories[Category],0)),"No"))</f>
        <v/>
      </c>
      <c r="O306">
        <f>IF($C306="","",IFERROR(INDEX(tblCategories[Tax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IF($C307="","",IFERROR(INDEX(tblAccounts[Owner],MATCH($E307,tblAccounts[Account],0)),"Joint"))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IF($C307="","",IFERROR(INDEX(tblCategories[Group],MATCH($K307,tblCategories[Category],0)),"Other"))</f>
        <v/>
      </c>
      <c r="M307">
        <f>IF($C307="","",IFERROR(INDEX(tblCategories[Type],MATCH($K307,tblCategories[Category],0)),IF($J307&gt;0,"Income","Expense")))</f>
        <v/>
      </c>
      <c r="N307">
        <f>IF($C307="","",IFERROR(INDEX(tblCategories[Essential],MATCH($K307,tblCategories[Category],0)),"No"))</f>
        <v/>
      </c>
      <c r="O307">
        <f>IF($C307="","",IFERROR(INDEX(tblCategories[Tax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IF($C308="","",IFERROR(INDEX(tblAccounts[Owner],MATCH($E308,tblAccounts[Account],0)),"Joint"))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IF($C308="","",IFERROR(INDEX(tblCategories[Group],MATCH($K308,tblCategories[Category],0)),"Other"))</f>
        <v/>
      </c>
      <c r="M308">
        <f>IF($C308="","",IFERROR(INDEX(tblCategories[Type],MATCH($K308,tblCategories[Category],0)),IF($J308&gt;0,"Income","Expense")))</f>
        <v/>
      </c>
      <c r="N308">
        <f>IF($C308="","",IFERROR(INDEX(tblCategories[Essential],MATCH($K308,tblCategories[Category],0)),"No"))</f>
        <v/>
      </c>
      <c r="O308">
        <f>IF($C308="","",IFERROR(INDEX(tblCategories[Tax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IF($C309="","",IFERROR(INDEX(tblAccounts[Owner],MATCH($E309,tblAccounts[Account],0)),"Joint"))</f>
        <v/>
      </c>
      <c r="G309" t="inlineStr">
        <is>
          <t>Joint</t>
        </is>
      </c>
      <c r="H309" t="inlineStr">
        <is>
          <t>SPOTIFY P2C5 MISC PAYMENT</t>
        </is>
      </c>
      <c r="I309" t="inlineStr">
        <is>
          <t>Spotify</t>
        </is>
      </c>
      <c r="J309" s="14" t="n">
        <v>-16.99</v>
      </c>
      <c r="K309" t="inlineStr">
        <is>
          <t>Subscriptions</t>
        </is>
      </c>
      <c r="L309">
        <f>IF($C309="","",IFERROR(INDEX(tblCategories[Group],MATCH($K309,tblCategories[Category],0)),"Other"))</f>
        <v/>
      </c>
      <c r="M309">
        <f>IF($C309="","",IFERROR(INDEX(tblCategories[Type],MATCH($K309,tblCategories[Category],0)),IF($J309&gt;0,"Income","Expense")))</f>
        <v/>
      </c>
      <c r="N309">
        <f>IF($C309="","",IFERROR(INDEX(tblCategories[Essential],MATCH($K309,tblCategories[Category],0)),"No"))</f>
        <v/>
      </c>
      <c r="O309">
        <f>IF($C309="","",IFERROR(INDEX(tblCategories[Tax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IF($C310="","",IFERROR(INDEX(tblAccounts[Owner],MATCH($E310,tblAccounts[Account],0)),"Joint"))</f>
        <v/>
      </c>
      <c r="G310" t="inlineStr">
        <is>
          <t>Joint</t>
        </is>
      </c>
      <c r="H310" t="inlineStr">
        <is>
          <t>PRESTO FARE/TRANSIT TORONTO ON</t>
        </is>
      </c>
      <c r="I310" t="inlineStr">
        <is>
          <t>Presto</t>
        </is>
      </c>
      <c r="J310" s="14" t="n">
        <v>-99.06</v>
      </c>
      <c r="K310" t="inlineStr">
        <is>
          <t>Public Transit</t>
        </is>
      </c>
      <c r="L310">
        <f>IF($C310="","",IFERROR(INDEX(tblCategories[Group],MATCH($K310,tblCategories[Category],0)),"Other"))</f>
        <v/>
      </c>
      <c r="M310">
        <f>IF($C310="","",IFERROR(INDEX(tblCategories[Type],MATCH($K310,tblCategories[Category],0)),IF($J310&gt;0,"Income","Expense")))</f>
        <v/>
      </c>
      <c r="N310">
        <f>IF($C310="","",IFERROR(INDEX(tblCategories[Essential],MATCH($K310,tblCategories[Category],0)),"No"))</f>
        <v/>
      </c>
      <c r="O310">
        <f>IF($C310="","",IFERROR(INDEX(tblCategories[Tax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IF($C311="","",IFERROR(INDEX(tblAccounts[Owner],MATCH($E311,tblAccounts[Account],0)),"Joint"))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IF($C311="","",IFERROR(INDEX(tblCategories[Group],MATCH($K311,tblCategories[Category],0)),"Other"))</f>
        <v/>
      </c>
      <c r="M311">
        <f>IF($C311="","",IFERROR(INDEX(tblCategories[Type],MATCH($K311,tblCategories[Category],0)),IF($J311&gt;0,"Income","Expense")))</f>
        <v/>
      </c>
      <c r="N311">
        <f>IF($C311="","",IFERROR(INDEX(tblCategories[Essential],MATCH($K311,tblCategories[Category],0)),"No"))</f>
        <v/>
      </c>
      <c r="O311">
        <f>IF($C311="","",IFERROR(INDEX(tblCategories[Tax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IF($C312="","",IFERROR(INDEX(tblAccounts[Owner],MATCH($E312,tblAccounts[Account],0)),"Joint"))</f>
        <v/>
      </c>
      <c r="G312" t="inlineStr">
        <is>
          <t>Joint</t>
        </is>
      </c>
      <c r="H312" t="inlineStr">
        <is>
          <t>UBER TRIP HELP.UBER.COM ON</t>
        </is>
      </c>
      <c r="I312" t="inlineStr">
        <is>
          <t>Uber</t>
        </is>
      </c>
      <c r="J312" s="14" t="n">
        <v>-22.9</v>
      </c>
      <c r="K312" t="inlineStr">
        <is>
          <t>Taxi &amp; Rideshare</t>
        </is>
      </c>
      <c r="L312">
        <f>IF($C312="","",IFERROR(INDEX(tblCategories[Group],MATCH($K312,tblCategories[Category],0)),"Other"))</f>
        <v/>
      </c>
      <c r="M312">
        <f>IF($C312="","",IFERROR(INDEX(tblCategories[Type],MATCH($K312,tblCategories[Category],0)),IF($J312&gt;0,"Income","Expense")))</f>
        <v/>
      </c>
      <c r="N312">
        <f>IF($C312="","",IFERROR(INDEX(tblCategories[Essential],MATCH($K312,tblCategories[Category],0)),"No"))</f>
        <v/>
      </c>
      <c r="O312">
        <f>IF($C312="","",IFERROR(INDEX(tblCategories[Tax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IF($C313="","",IFERROR(INDEX(tblAccounts[Owner],MATCH($E313,tblAccounts[Account],0)),"Joint"))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IF($C313="","",IFERROR(INDEX(tblCategories[Group],MATCH($K313,tblCategories[Category],0)),"Other"))</f>
        <v/>
      </c>
      <c r="M313">
        <f>IF($C313="","",IFERROR(INDEX(tblCategories[Type],MATCH($K313,tblCategories[Category],0)),IF($J313&gt;0,"Income","Expense")))</f>
        <v/>
      </c>
      <c r="N313">
        <f>IF($C313="","",IFERROR(INDEX(tblCategories[Essential],MATCH($K313,tblCategories[Category],0)),"No"))</f>
        <v/>
      </c>
      <c r="O313">
        <f>IF($C313="","",IFERROR(INDEX(tblCategories[Tax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IF($C314="","",IFERROR(INDEX(tblAccounts[Owner],MATCH($E314,tblAccounts[Account],0)),"Joint"))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IF($C314="","",IFERROR(INDEX(tblCategories[Group],MATCH($K314,tblCategories[Category],0)),"Other"))</f>
        <v/>
      </c>
      <c r="M314">
        <f>IF($C314="","",IFERROR(INDEX(tblCategories[Type],MATCH($K314,tblCategories[Category],0)),IF($J314&gt;0,"Income","Expense")))</f>
        <v/>
      </c>
      <c r="N314">
        <f>IF($C314="","",IFERROR(INDEX(tblCategories[Essential],MATCH($K314,tblCategories[Category],0)),"No"))</f>
        <v/>
      </c>
      <c r="O314">
        <f>IF($C314="","",IFERROR(INDEX(tblCategories[Tax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IF($C315="","",IFERROR(INDEX(tblAccounts[Owner],MATCH($E315,tblAccounts[Account],0)),"Joint"))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IF($C315="","",IFERROR(INDEX(tblCategories[Group],MATCH($K315,tblCategories[Category],0)),"Other"))</f>
        <v/>
      </c>
      <c r="M315">
        <f>IF($C315="","",IFERROR(INDEX(tblCategories[Type],MATCH($K315,tblCategories[Category],0)),IF($J315&gt;0,"Income","Expense")))</f>
        <v/>
      </c>
      <c r="N315">
        <f>IF($C315="","",IFERROR(INDEX(tblCategories[Essential],MATCH($K315,tblCategories[Category],0)),"No"))</f>
        <v/>
      </c>
      <c r="O315">
        <f>IF($C315="","",IFERROR(INDEX(tblCategories[Tax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IF($C316="","",IFERROR(INDEX(tblAccounts[Owner],MATCH($E316,tblAccounts[Account],0)),"Joint"))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IF($C316="","",IFERROR(INDEX(tblCategories[Group],MATCH($K316,tblCategories[Category],0)),"Other"))</f>
        <v/>
      </c>
      <c r="M316">
        <f>IF($C316="","",IFERROR(INDEX(tblCategories[Type],MATCH($K316,tblCategories[Category],0)),IF($J316&gt;0,"Income","Expense")))</f>
        <v/>
      </c>
      <c r="N316">
        <f>IF($C316="","",IFERROR(INDEX(tblCategories[Essential],MATCH($K316,tblCategories[Category],0)),"No"))</f>
        <v/>
      </c>
      <c r="O316">
        <f>IF($C316="","",IFERROR(INDEX(tblCategories[Tax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IF($C317="","",IFERROR(INDEX(tblAccounts[Owner],MATCH($E317,tblAccounts[Account],0)),"Joint"))</f>
        <v/>
      </c>
      <c r="G317" t="inlineStr">
        <is>
          <t>Sam</t>
        </is>
      </c>
      <c r="H317" t="inlineStr">
        <is>
          <t>DONATION UNITED WAY MISC PAYMENT</t>
        </is>
      </c>
      <c r="I317" t="inlineStr">
        <is>
          <t>United Way</t>
        </is>
      </c>
      <c r="J317" s="14" t="n">
        <v>-50</v>
      </c>
      <c r="K317" t="inlineStr">
        <is>
          <t>Donations</t>
        </is>
      </c>
      <c r="L317">
        <f>IF($C317="","",IFERROR(INDEX(tblCategories[Group],MATCH($K317,tblCategories[Category],0)),"Other"))</f>
        <v/>
      </c>
      <c r="M317">
        <f>IF($C317="","",IFERROR(INDEX(tblCategories[Type],MATCH($K317,tblCategories[Category],0)),IF($J317&gt;0,"Income","Expense")))</f>
        <v/>
      </c>
      <c r="N317">
        <f>IF($C317="","",IFERROR(INDEX(tblCategories[Essential],MATCH($K317,tblCategories[Category],0)),"No"))</f>
        <v/>
      </c>
      <c r="O317">
        <f>IF($C317="","",IFERROR(INDEX(tblCategories[Tax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IF($C318="","",IFERROR(INDEX(tblAccounts[Owner],MATCH($E318,tblAccounts[Account],0)),"Joint"))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IF($C318="","",IFERROR(INDEX(tblCategories[Group],MATCH($K318,tblCategories[Category],0)),"Other"))</f>
        <v/>
      </c>
      <c r="M318">
        <f>IF($C318="","",IFERROR(INDEX(tblCategories[Type],MATCH($K318,tblCategories[Category],0)),IF($J318&gt;0,"Income","Expense")))</f>
        <v/>
      </c>
      <c r="N318">
        <f>IF($C318="","",IFERROR(INDEX(tblCategories[Essential],MATCH($K318,tblCategories[Category],0)),"No"))</f>
        <v/>
      </c>
      <c r="O318">
        <f>IF($C318="","",IFERROR(INDEX(tblCategories[Tax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IF($C319="","",IFERROR(INDEX(tblAccounts[Owner],MATCH($E319,tblAccounts[Account],0)),"Joint"))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IF($C319="","",IFERROR(INDEX(tblCategories[Group],MATCH($K319,tblCategories[Category],0)),"Other"))</f>
        <v/>
      </c>
      <c r="M319">
        <f>IF($C319="","",IFERROR(INDEX(tblCategories[Type],MATCH($K319,tblCategories[Category],0)),IF($J319&gt;0,"Income","Expense")))</f>
        <v/>
      </c>
      <c r="N319">
        <f>IF($C319="","",IFERROR(INDEX(tblCategories[Essential],MATCH($K319,tblCategories[Category],0)),"No"))</f>
        <v/>
      </c>
      <c r="O319">
        <f>IF($C319="","",IFERROR(INDEX(tblCategories[Tax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IF($C320="","",IFERROR(INDEX(tblAccounts[Owner],MATCH($E320,tblAccounts[Account],0)),"Joint"))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IF($C320="","",IFERROR(INDEX(tblCategories[Group],MATCH($K320,tblCategories[Category],0)),"Other"))</f>
        <v/>
      </c>
      <c r="M320">
        <f>IF($C320="","",IFERROR(INDEX(tblCategories[Type],MATCH($K320,tblCategories[Category],0)),IF($J320&gt;0,"Income","Expense")))</f>
        <v/>
      </c>
      <c r="N320">
        <f>IF($C320="","",IFERROR(INDEX(tblCategories[Essential],MATCH($K320,tblCategories[Category],0)),"No"))</f>
        <v/>
      </c>
      <c r="O320">
        <f>IF($C320="","",IFERROR(INDEX(tblCategories[Tax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IF($C321="","",IFERROR(INDEX(tblAccounts[Owner],MATCH($E321,tblAccounts[Account],0)),"Joint"))</f>
        <v/>
      </c>
      <c r="G321" t="inlineStr">
        <is>
          <t>Alex</t>
        </is>
      </c>
      <c r="H321" t="inlineStr">
        <is>
          <t>IDP PURCHASE - 6039 INDIGO #4565 ON</t>
        </is>
      </c>
      <c r="I321" t="inlineStr">
        <is>
          <t>Indigo</t>
        </is>
      </c>
      <c r="J321" s="14" t="n">
        <v>-47.51</v>
      </c>
      <c r="K321" t="inlineStr">
        <is>
          <t>Hobbies</t>
        </is>
      </c>
      <c r="L321">
        <f>IF($C321="","",IFERROR(INDEX(tblCategories[Group],MATCH($K321,tblCategories[Category],0)),"Other"))</f>
        <v/>
      </c>
      <c r="M321">
        <f>IF($C321="","",IFERROR(INDEX(tblCategories[Type],MATCH($K321,tblCategories[Category],0)),IF($J321&gt;0,"Income","Expense")))</f>
        <v/>
      </c>
      <c r="N321">
        <f>IF($C321="","",IFERROR(INDEX(tblCategories[Essential],MATCH($K321,tblCategories[Category],0)),"No"))</f>
        <v/>
      </c>
      <c r="O321">
        <f>IF($C321="","",IFERROR(INDEX(tblCategories[Tax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IF($C322="","",IFERROR(INDEX(tblAccounts[Owner],MATCH($E322,tblAccounts[Account],0)),"Joint"))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IF($C322="","",IFERROR(INDEX(tblCategories[Group],MATCH($K322,tblCategories[Category],0)),"Other"))</f>
        <v/>
      </c>
      <c r="M322">
        <f>IF($C322="","",IFERROR(INDEX(tblCategories[Type],MATCH($K322,tblCategories[Category],0)),IF($J322&gt;0,"Income","Expense")))</f>
        <v/>
      </c>
      <c r="N322">
        <f>IF($C322="","",IFERROR(INDEX(tblCategories[Essential],MATCH($K322,tblCategories[Category],0)),"No"))</f>
        <v/>
      </c>
      <c r="O322">
        <f>IF($C322="","",IFERROR(INDEX(tblCategories[Tax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IF($C323="","",IFERROR(INDEX(tblAccounts[Owner],MATCH($E323,tblAccounts[Account],0)),"Joint"))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IF($C323="","",IFERROR(INDEX(tblCategories[Group],MATCH($K323,tblCategories[Category],0)),"Other"))</f>
        <v/>
      </c>
      <c r="M323">
        <f>IF($C323="","",IFERROR(INDEX(tblCategories[Type],MATCH($K323,tblCategories[Category],0)),IF($J323&gt;0,"Income","Expense")))</f>
        <v/>
      </c>
      <c r="N323">
        <f>IF($C323="","",IFERROR(INDEX(tblCategories[Essential],MATCH($K323,tblCategories[Category],0)),"No"))</f>
        <v/>
      </c>
      <c r="O323">
        <f>IF($C323="","",IFERROR(INDEX(tblCategories[Tax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IF($C324="","",IFERROR(INDEX(tblAccounts[Owner],MATCH($E324,tblAccounts[Account],0)),"Joint"))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IF($C324="","",IFERROR(INDEX(tblCategories[Group],MATCH($K324,tblCategories[Category],0)),"Other"))</f>
        <v/>
      </c>
      <c r="M324">
        <f>IF($C324="","",IFERROR(INDEX(tblCategories[Type],MATCH($K324,tblCategories[Category],0)),IF($J324&gt;0,"Income","Expense")))</f>
        <v/>
      </c>
      <c r="N324">
        <f>IF($C324="","",IFERROR(INDEX(tblCategories[Essential],MATCH($K324,tblCategories[Category],0)),"No"))</f>
        <v/>
      </c>
      <c r="O324">
        <f>IF($C324="","",IFERROR(INDEX(tblCategories[Tax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IF($C325="","",IFERROR(INDEX(tblAccounts[Owner],MATCH($E325,tblAccounts[Account],0)),"Joint"))</f>
        <v/>
      </c>
      <c r="G325" t="inlineStr">
        <is>
          <t>Alex</t>
        </is>
      </c>
      <c r="H325" t="inlineStr">
        <is>
          <t>MONTHLY ACCOUNT FEE</t>
        </is>
      </c>
      <c r="I325" t="inlineStr">
        <is>
          <t>Monthly Account Fee</t>
        </is>
      </c>
      <c r="J325" s="14" t="n">
        <v>-11.95</v>
      </c>
      <c r="K325" t="inlineStr">
        <is>
          <t>Bank Fees</t>
        </is>
      </c>
      <c r="L325">
        <f>IF($C325="","",IFERROR(INDEX(tblCategories[Group],MATCH($K325,tblCategories[Category],0)),"Other"))</f>
        <v/>
      </c>
      <c r="M325">
        <f>IF($C325="","",IFERROR(INDEX(tblCategories[Type],MATCH($K325,tblCategories[Category],0)),IF($J325&gt;0,"Income","Expense")))</f>
        <v/>
      </c>
      <c r="N325">
        <f>IF($C325="","",IFERROR(INDEX(tblCategories[Essential],MATCH($K325,tblCategories[Category],0)),"No"))</f>
        <v/>
      </c>
      <c r="O325">
        <f>IF($C325="","",IFERROR(INDEX(tblCategories[Tax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IF($C326="","",IFERROR(INDEX(tblAccounts[Owner],MATCH($E326,tblAccounts[Account],0)),"Joint"))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IF($C326="","",IFERROR(INDEX(tblCategories[Group],MATCH($K326,tblCategories[Category],0)),"Other"))</f>
        <v/>
      </c>
      <c r="M326">
        <f>IF($C326="","",IFERROR(INDEX(tblCategories[Type],MATCH($K326,tblCategories[Category],0)),IF($J326&gt;0,"Income","Expense")))</f>
        <v/>
      </c>
      <c r="N326">
        <f>IF($C326="","",IFERROR(INDEX(tblCategories[Essential],MATCH($K326,tblCategories[Category],0)),"No"))</f>
        <v/>
      </c>
      <c r="O326">
        <f>IF($C326="","",IFERROR(INDEX(tblCategories[Tax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IF($C327="","",IFERROR(INDEX(tblAccounts[Owner],MATCH($E327,tblAccounts[Account],0)),"Joint"))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IF($C327="","",IFERROR(INDEX(tblCategories[Group],MATCH($K327,tblCategories[Category],0)),"Other"))</f>
        <v/>
      </c>
      <c r="M327">
        <f>IF($C327="","",IFERROR(INDEX(tblCategories[Type],MATCH($K327,tblCategories[Category],0)),IF($J327&gt;0,"Income","Expense")))</f>
        <v/>
      </c>
      <c r="N327">
        <f>IF($C327="","",IFERROR(INDEX(tblCategories[Essential],MATCH($K327,tblCategories[Category],0)),"No"))</f>
        <v/>
      </c>
      <c r="O327">
        <f>IF($C327="","",IFERROR(INDEX(tblCategories[Tax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IF($C328="","",IFERROR(INDEX(tblAccounts[Owner],MATCH($E328,tblAccounts[Account],0)),"Joint"))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IF($C328="","",IFERROR(INDEX(tblCategories[Group],MATCH($K328,tblCategories[Category],0)),"Other"))</f>
        <v/>
      </c>
      <c r="M328">
        <f>IF($C328="","",IFERROR(INDEX(tblCategories[Type],MATCH($K328,tblCategories[Category],0)),IF($J328&gt;0,"Income","Expense")))</f>
        <v/>
      </c>
      <c r="N328">
        <f>IF($C328="","",IFERROR(INDEX(tblCategories[Essential],MATCH($K328,tblCategories[Category],0)),"No"))</f>
        <v/>
      </c>
      <c r="O328">
        <f>IF($C328="","",IFERROR(INDEX(tblCategories[Tax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IF($C329="","",IFERROR(INDEX(tblAccounts[Owner],MATCH($E329,tblAccounts[Account],0)),"Joint"))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IF($C329="","",IFERROR(INDEX(tblCategories[Group],MATCH($K329,tblCategories[Category],0)),"Other"))</f>
        <v/>
      </c>
      <c r="M329">
        <f>IF($C329="","",IFERROR(INDEX(tblCategories[Type],MATCH($K329,tblCategories[Category],0)),IF($J329&gt;0,"Income","Expense")))</f>
        <v/>
      </c>
      <c r="N329">
        <f>IF($C329="","",IFERROR(INDEX(tblCategories[Essential],MATCH($K329,tblCategories[Category],0)),"No"))</f>
        <v/>
      </c>
      <c r="O329">
        <f>IF($C329="","",IFERROR(INDEX(tblCategories[Tax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IF($C330="","",IFERROR(INDEX(tblAccounts[Owner],MATCH($E330,tblAccounts[Account],0)),"Joint"))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IF($C330="","",IFERROR(INDEX(tblCategories[Group],MATCH($K330,tblCategories[Category],0)),"Other"))</f>
        <v/>
      </c>
      <c r="M330">
        <f>IF($C330="","",IFERROR(INDEX(tblCategories[Type],MATCH($K330,tblCategories[Category],0)),IF($J330&gt;0,"Income","Expense")))</f>
        <v/>
      </c>
      <c r="N330">
        <f>IF($C330="","",IFERROR(INDEX(tblCategories[Essential],MATCH($K330,tblCategories[Category],0)),"No"))</f>
        <v/>
      </c>
      <c r="O330">
        <f>IF($C330="","",IFERROR(INDEX(tblCategories[Tax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Q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 hidden="1" width="13" customWidth="1" min="17" max="17"/>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c r="Q29">
        <f>IF(AND($B29&lt;&gt;"",$P29&lt;&gt;1,N($N29)&gt;0),$N29+ROW()/1E+7,-1)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c r="Q30">
        <f>IF(AND($B30&lt;&gt;"",$P30&lt;&gt;1,N($N30)&gt;0),$N30+ROW()/1E+7,-1)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c r="Q31">
        <f>IF(AND($B31&lt;&gt;"",$P31&lt;&gt;1,N($N31)&gt;0),$N31+ROW()/1E+7,-1)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c r="Q32">
        <f>IF(AND($B32&lt;&gt;"",$P32&lt;&gt;1,N($N32)&gt;0),$N32+ROW()/1E+7,-1)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c r="Q33">
        <f>IF(AND($B33&lt;&gt;"",$P33&lt;&gt;1,N($N33)&gt;0),$N33+ROW()/1E+7,-1)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c r="Q34">
        <f>IF(AND($B34&lt;&gt;"",$P34&lt;&gt;1,N($N34)&gt;0),$N34+ROW()/1E+7,-1)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c r="Q35">
        <f>IF(AND($B35&lt;&gt;"",$P35&lt;&gt;1,N($N35)&gt;0),$N35+ROW()/1E+7,-1)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c r="Q36">
        <f>IF(AND($B36&lt;&gt;"",$P36&lt;&gt;1,N($N36)&gt;0),$N36+ROW()/1E+7,-1)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c r="Q37">
        <f>IF(AND($B37&lt;&gt;"",$P37&lt;&gt;1,N($N37)&gt;0),$N37+ROW()/1E+7,-1)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c r="Q38">
        <f>IF(AND($B38&lt;&gt;"",$P38&lt;&gt;1,N($N38)&gt;0),$N38+ROW()/1E+7,-1)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c r="Q39">
        <f>IF(AND($B39&lt;&gt;"",$P39&lt;&gt;1,N($N39)&gt;0),$N39+ROW()/1E+7,-1)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c r="Q40">
        <f>IF(AND($B40&lt;&gt;"",$P40&lt;&gt;1,N($N40)&gt;0),$N40+ROW()/1E+7,-1)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c r="Q41">
        <f>IF(AND($B41&lt;&gt;"",$P41&lt;&gt;1,N($N41)&gt;0),$N41+ROW()/1E+7,-1)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c r="Q42">
        <f>IF(AND($B42&lt;&gt;"",$P42&lt;&gt;1,N($N42)&gt;0),$N42+ROW()/1E+7,-1)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c r="Q43">
        <f>IF(AND($B43&lt;&gt;"",$P43&lt;&gt;1,N($N43)&gt;0),$N43+ROW()/1E+7,-1)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c r="Q44">
        <f>IF(AND($B44&lt;&gt;"",$P44&lt;&gt;1,N($N44)&gt;0),$N44+ROW()/1E+7,-1)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c r="Q45">
        <f>IF(AND($B45&lt;&gt;"",$P45&lt;&gt;1,N($N45)&gt;0),$N45+ROW()/1E+7,-1)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c r="Q46">
        <f>IF(AND($B46&lt;&gt;"",$P46&lt;&gt;1,N($N46)&gt;0),$N46+ROW()/1E+7,-1)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c r="Q47">
        <f>IF(AND($B47&lt;&gt;"",$P47&lt;&gt;1,N($N47)&gt;0),$N47+ROW()/1E+7,-1)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c r="Q48">
        <f>IF(AND($B48&lt;&gt;"",$P48&lt;&gt;1,N($N48)&gt;0),$N48+ROW()/1E+7,-1)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c r="Q49">
        <f>IF(AND($B49&lt;&gt;"",$P49&lt;&gt;1,N($N49)&gt;0),$N49+ROW()/1E+7,-1)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c r="Q50">
        <f>IF(AND($B50&lt;&gt;"",$P50&lt;&gt;1,N($N50)&gt;0),$N50+ROW()/1E+7,-1)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c r="Q51">
        <f>IF(AND($B51&lt;&gt;"",$P51&lt;&gt;1,N($N51)&gt;0),$N51+ROW()/1E+7,-1)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c r="Q52">
        <f>IF(AND($B52&lt;&gt;"",$P52&lt;&gt;1,N($N52)&gt;0),$N52+ROW()/1E+7,-1)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c r="Q53">
        <f>IF(AND($B53&lt;&gt;"",$P53&lt;&gt;1,N($N53)&gt;0),$N53+ROW()/1E+7,-1)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c r="Q54">
        <f>IF(AND($B54&lt;&gt;"",$P54&lt;&gt;1,N($N54)&gt;0),$N54+ROW()/1E+7,-1)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c r="Q55">
        <f>IF(AND($B55&lt;&gt;"",$P55&lt;&gt;1,N($N55)&gt;0),$N55+ROW()/1E+7,-1)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c r="Q56">
        <f>IF(AND($B56&lt;&gt;"",$P56&lt;&gt;1,N($N56)&gt;0),$N56+ROW()/1E+7,-1)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c r="Q57">
        <f>IF(AND($B57&lt;&gt;"",$P57&lt;&gt;1,N($N57)&gt;0),$N57+ROW()/1E+7,-1)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c r="Q58">
        <f>IF(AND($B58&lt;&gt;"",$P58&lt;&gt;1,N($N58)&gt;0),$N58+ROW()/1E+7,-1)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c r="Q59">
        <f>IF(AND($B59&lt;&gt;"",$P59&lt;&gt;1,N($N59)&gt;0),$N59+ROW()/1E+7,-1)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c r="Q60">
        <f>IF(AND($B60&lt;&gt;"",$P60&lt;&gt;1,N($N60)&gt;0),$N60+ROW()/1E+7,-1)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c r="Q61">
        <f>IF(AND($B61&lt;&gt;"",$P61&lt;&gt;1,N($N61)&gt;0),$N61+ROW()/1E+7,-1)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c r="Q62">
        <f>IF(AND($B62&lt;&gt;"",$P62&lt;&gt;1,N($N62)&gt;0),$N62+ROW()/1E+7,-1)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c r="Q63">
        <f>IF(AND($B63&lt;&gt;"",$P63&lt;&gt;1,N($N63)&gt;0),$N63+ROW()/1E+7,-1)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c r="Q64">
        <f>IF(AND($B64&lt;&gt;"",$P64&lt;&gt;1,N($N64)&gt;0),$N64+ROW()/1E+7,-1)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c r="Q65">
        <f>IF(AND($B65&lt;&gt;"",$P65&lt;&gt;1,N($N65)&gt;0),$N65+ROW()/1E+7,-1)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c r="Q66">
        <f>IF(AND($B66&lt;&gt;"",$P66&lt;&gt;1,N($N66)&gt;0),$N66+ROW()/1E+7,-1)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c r="Q67">
        <f>IF(AND($B67&lt;&gt;"",$P67&lt;&gt;1,N($N67)&gt;0),$N67+ROW()/1E+7,-1)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c r="Q68">
        <f>IF(AND($B68&lt;&gt;"",$P68&lt;&gt;1,N($N68)&gt;0),$N68+ROW()/1E+7,-1)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c r="Q69">
        <f>IF(AND($B69&lt;&gt;"",$P69&lt;&gt;1,N($N69)&gt;0),$N69+ROW()/1E+7,-1)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c r="Q70">
        <f>IF(AND($B70&lt;&gt;"",$P70&lt;&gt;1,N($N70)&gt;0),$N70+ROW()/1E+7,-1)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c r="Q71">
        <f>IF(AND($B71&lt;&gt;"",$P71&lt;&gt;1,N($N71)&gt;0),$N71+ROW()/1E+7,-1)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c r="Q72">
        <f>IF(AND($B72&lt;&gt;"",$P72&lt;&gt;1,N($N72)&gt;0),$N72+ROW()/1E+7,-1)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c r="Q73">
        <f>IF(AND($B73&lt;&gt;"",$P73&lt;&gt;1,N($N73)&gt;0),$N73+ROW()/1E+7,-1)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c r="Q74">
        <f>IF(AND($B74&lt;&gt;"",$P74&lt;&gt;1,N($N74)&gt;0),$N74+ROW()/1E+7,-1)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c r="Q75">
        <f>IF(AND($B75&lt;&gt;"",$P75&lt;&gt;1,N($N75)&gt;0),$N75+ROW()/1E+7,-1)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c r="Q76">
        <f>IF(AND($B76&lt;&gt;"",$P76&lt;&gt;1,N($N76)&gt;0),$N76+ROW()/1E+7,-1)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c r="Q77">
        <f>IF(AND($B77&lt;&gt;"",$P77&lt;&gt;1,N($N77)&gt;0),$N77+ROW()/1E+7,-1)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c r="Q78">
        <f>IF(AND($B78&lt;&gt;"",$P78&lt;&gt;1,N($N78)&gt;0),$N78+ROW()/1E+7,-1)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c r="Q79">
        <f>IF(AND($B79&lt;&gt;"",$P79&lt;&gt;1,N($N79)&gt;0),$N79+ROW()/1E+7,-1)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c r="Q80">
        <f>IF(AND($B80&lt;&gt;"",$P80&lt;&gt;1,N($N80)&gt;0),$N80+ROW()/1E+7,-1)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c r="Q81">
        <f>IF(AND($B81&lt;&gt;"",$P81&lt;&gt;1,N($N81)&gt;0),$N81+ROW()/1E+7,-1)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c r="Q82">
        <f>IF(AND($B82&lt;&gt;"",$P82&lt;&gt;1,N($N82)&gt;0),$N82+ROW()/1E+7,-1)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c r="Q83">
        <f>IF(AND($B83&lt;&gt;"",$P83&lt;&gt;1,N($N83)&gt;0),$N83+ROW()/1E+7,-1)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c r="Q84">
        <f>IF(AND($B84&lt;&gt;"",$P84&lt;&gt;1,N($N84)&gt;0),$N84+ROW()/1E+7,-1)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c r="Q85">
        <f>IF(AND($B85&lt;&gt;"",$P85&lt;&gt;1,N($N85)&gt;0),$N85+ROW()/1E+7,-1)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c r="Q86">
        <f>IF(AND($B86&lt;&gt;"",$P86&lt;&gt;1,N($N86)&gt;0),$N86+ROW()/1E+7,-1)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c r="Q87">
        <f>IF(AND($B87&lt;&gt;"",$P87&lt;&gt;1,N($N87)&gt;0),$N87+ROW()/1E+7,-1)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c r="Q88">
        <f>IF(AND($B88&lt;&gt;"",$P88&lt;&gt;1,N($N88)&gt;0),$N88+ROW()/1E+7,-1)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c r="Q89">
        <f>IF(AND($B89&lt;&gt;"",$P89&lt;&gt;1,N($N89)&gt;0),$N89+ROW()/1E+7,-1)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c r="Q90">
        <f>IF(AND($B90&lt;&gt;"",$P90&lt;&gt;1,N($N90)&gt;0),$N90+ROW()/1E+7,-1)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c r="Q91">
        <f>IF(AND($B91&lt;&gt;"",$P91&lt;&gt;1,N($N91)&gt;0),$N91+ROW()/1E+7,-1)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c r="Q92">
        <f>IF(AND($B92&lt;&gt;"",$P92&lt;&gt;1,N($N92)&gt;0),$N92+ROW()/1E+7,-1)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c r="Q93">
        <f>IF(AND($B93&lt;&gt;"",$P93&lt;&gt;1,N($N93)&gt;0),$N93+ROW()/1E+7,-1)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c r="Q94">
        <f>IF(AND($B94&lt;&gt;"",$P94&lt;&gt;1,N($N94)&gt;0),$N94+ROW()/1E+7,-1)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c r="Q95">
        <f>IF(AND($B95&lt;&gt;"",$P95&lt;&gt;1,N($N95)&gt;0),$N95+ROW()/1E+7,-1)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c r="Q96">
        <f>IF(AND($B96&lt;&gt;"",$P96&lt;&gt;1,N($N96)&gt;0),$N96+ROW()/1E+7,-1)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c r="Q97">
        <f>IF(AND($B97&lt;&gt;"",$P97&lt;&gt;1,N($N97)&gt;0),$N97+ROW()/1E+7,-1)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c r="Q98">
        <f>IF(AND($B98&lt;&gt;"",$P98&lt;&gt;1,N($N98)&gt;0),$N98+ROW()/1E+7,-1)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c r="Q99">
        <f>IF(AND($B99&lt;&gt;"",$P99&lt;&gt;1,N($N99)&gt;0),$N99+ROW()/1E+7,-1)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c r="Q100">
        <f>IF(AND($B100&lt;&gt;"",$P100&lt;&gt;1,N($N100)&gt;0),$N100+ROW()/1E+7,-1)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c r="Q101">
        <f>IF(AND($B101&lt;&gt;"",$P101&lt;&gt;1,N($N101)&gt;0),$N101+ROW()/1E+7,-1)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c r="Q102">
        <f>IF(AND($B102&lt;&gt;"",$P102&lt;&gt;1,N($N102)&gt;0),$N102+ROW()/1E+7,-1)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c r="Q103">
        <f>IF(AND($B103&lt;&gt;"",$P103&lt;&gt;1,N($N103)&gt;0),$N103+ROW()/1E+7,-1)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c r="Q104">
        <f>IF(AND($B104&lt;&gt;"",$P104&lt;&gt;1,N($N104)&gt;0),$N104+ROW()/1E+7,-1)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c r="Q105">
        <f>IF(AND($B105&lt;&gt;"",$P105&lt;&gt;1,N($N105)&gt;0),$N105+ROW()/1E+7,-1)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c r="Q106">
        <f>IF(AND($B106&lt;&gt;"",$P106&lt;&gt;1,N($N106)&gt;0),$N106+ROW()/1E+7,-1)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c r="Q107">
        <f>IF(AND($B107&lt;&gt;"",$P107&lt;&gt;1,N($N107)&gt;0),$N107+ROW()/1E+7,-1)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c r="Q108">
        <f>IF(AND($B108&lt;&gt;"",$P108&lt;&gt;1,N($N108)&gt;0),$N108+ROW()/1E+7,-1)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c r="Q109">
        <f>IF(AND($B109&lt;&gt;"",$P109&lt;&gt;1,N($N109)&gt;0),$N109+ROW()/1E+7,-1)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c r="Q110">
        <f>IF(AND($B110&lt;&gt;"",$P110&lt;&gt;1,N($N110)&gt;0),$N110+ROW()/1E+7,-1)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c r="Q111">
        <f>IF(AND($B111&lt;&gt;"",$P111&lt;&gt;1,N($N111)&gt;0),$N111+ROW()/1E+7,-1)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c r="Q112">
        <f>IF(AND($B112&lt;&gt;"",$P112&lt;&gt;1,N($N112)&gt;0),$N112+ROW()/1E+7,-1)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c r="Q113">
        <f>IF(AND($B113&lt;&gt;"",$P113&lt;&gt;1,N($N113)&gt;0),$N113+ROW()/1E+7,-1)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c r="Q114">
        <f>IF(AND($B114&lt;&gt;"",$P114&lt;&gt;1,N($N114)&gt;0),$N114+ROW()/1E+7,-1)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c r="Q115">
        <f>IF(AND($B115&lt;&gt;"",$P115&lt;&gt;1,N($N115)&gt;0),$N115+ROW()/1E+7,-1)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c r="Q116">
        <f>IF(AND($B116&lt;&gt;"",$P116&lt;&gt;1,N($N116)&gt;0),$N116+ROW()/1E+7,-1)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c r="Q117">
        <f>IF(AND($B117&lt;&gt;"",$P117&lt;&gt;1,N($N117)&gt;0),$N117+ROW()/1E+7,-1)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c r="Q118">
        <f>IF(AND($B118&lt;&gt;"",$P118&lt;&gt;1,N($N118)&gt;0),$N118+ROW()/1E+7,-1)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c r="Q119">
        <f>IF(AND($B119&lt;&gt;"",$P119&lt;&gt;1,N($N119)&gt;0),$N119+ROW()/1E+7,-1)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c r="Q120">
        <f>IF(AND($B120&lt;&gt;"",$P120&lt;&gt;1,N($N120)&gt;0),$N120+ROW()/1E+7,-1)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c r="Q121">
        <f>IF(AND($B121&lt;&gt;"",$P121&lt;&gt;1,N($N121)&gt;0),$N121+ROW()/1E+7,-1)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c r="Q122">
        <f>IF(AND($B122&lt;&gt;"",$P122&lt;&gt;1,N($N122)&gt;0),$N122+ROW()/1E+7,-1)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c r="Q123">
        <f>IF(AND($B123&lt;&gt;"",$P123&lt;&gt;1,N($N123)&gt;0),$N123+ROW()/1E+7,-1)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c r="Q124">
        <f>IF(AND($B124&lt;&gt;"",$P124&lt;&gt;1,N($N124)&gt;0),$N124+ROW()/1E+7,-1)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c r="Q125">
        <f>IF(AND($B125&lt;&gt;"",$P125&lt;&gt;1,N($N125)&gt;0),$N125+ROW()/1E+7,-1)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c r="Q126">
        <f>IF(AND($B126&lt;&gt;"",$P126&lt;&gt;1,N($N126)&gt;0),$N126+ROW()/1E+7,-1)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c r="Q127">
        <f>IF(AND($B127&lt;&gt;"",$P127&lt;&gt;1,N($N127)&gt;0),$N127+ROW()/1E+7,-1)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c r="Q128">
        <f>IF(AND($B128&lt;&gt;"",$P128&lt;&gt;1,N($N128)&gt;0),$N128+ROW()/1E+7,-1)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c r="Q129">
        <f>IF(AND($B129&lt;&gt;"",$P129&lt;&gt;1,N($N129)&gt;0),$N129+ROW()/1E+7,-1)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c r="Q130">
        <f>IF(AND($B130&lt;&gt;"",$P130&lt;&gt;1,N($N130)&gt;0),$N130+ROW()/1E+7,-1)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c r="Q131">
        <f>IF(AND($B131&lt;&gt;"",$P131&lt;&gt;1,N($N131)&gt;0),$N131+ROW()/1E+7,-1)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c r="Q132">
        <f>IF(AND($B132&lt;&gt;"",$P132&lt;&gt;1,N($N132)&gt;0),$N132+ROW()/1E+7,-1)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c r="Q133">
        <f>IF(AND($B133&lt;&gt;"",$P133&lt;&gt;1,N($N133)&gt;0),$N133+ROW()/1E+7,-1)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c r="Q134">
        <f>IF(AND($B134&lt;&gt;"",$P134&lt;&gt;1,N($N134)&gt;0),$N134+ROW()/1E+7,-1)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c r="Q135">
        <f>IF(AND($B135&lt;&gt;"",$P135&lt;&gt;1,N($N135)&gt;0),$N135+ROW()/1E+7,-1)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c r="Q136">
        <f>IF(AND($B136&lt;&gt;"",$P136&lt;&gt;1,N($N136)&gt;0),$N136+ROW()/1E+7,-1)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c r="Q137">
        <f>IF(AND($B137&lt;&gt;"",$P137&lt;&gt;1,N($N137)&gt;0),$N137+ROW()/1E+7,-1)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c r="Q138">
        <f>IF(AND($B138&lt;&gt;"",$P138&lt;&gt;1,N($N138)&gt;0),$N138+ROW()/1E+7,-1)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c r="Q139">
        <f>IF(AND($B139&lt;&gt;"",$P139&lt;&gt;1,N($N139)&gt;0),$N139+ROW()/1E+7,-1)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c r="Q140">
        <f>IF(AND($B140&lt;&gt;"",$P140&lt;&gt;1,N($N140)&gt;0),$N140+ROW()/1E+7,-1)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c r="Q141">
        <f>IF(AND($B141&lt;&gt;"",$P141&lt;&gt;1,N($N141)&gt;0),$N141+ROW()/1E+7,-1)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c r="Q142">
        <f>IF(AND($B142&lt;&gt;"",$P142&lt;&gt;1,N($N142)&gt;0),$N142+ROW()/1E+7,-1)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c r="Q143">
        <f>IF(AND($B143&lt;&gt;"",$P143&lt;&gt;1,N($N143)&gt;0),$N143+ROW()/1E+7,-1)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c r="Q144">
        <f>IF(AND($B144&lt;&gt;"",$P144&lt;&gt;1,N($N144)&gt;0),$N144+ROW()/1E+7,-1)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c r="Q145">
        <f>IF(AND($B145&lt;&gt;"",$P145&lt;&gt;1,N($N145)&gt;0),$N145+ROW()/1E+7,-1)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c r="Q146">
        <f>IF(AND($B146&lt;&gt;"",$P146&lt;&gt;1,N($N146)&gt;0),$N146+ROW()/1E+7,-1)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c r="Q147">
        <f>IF(AND($B147&lt;&gt;"",$P147&lt;&gt;1,N($N147)&gt;0),$N147+ROW()/1E+7,-1)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c r="Q148">
        <f>IF(AND($B148&lt;&gt;"",$P148&lt;&gt;1,N($N148)&gt;0),$N148+ROW()/1E+7,-1)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1.1.0</t>
        </is>
      </c>
      <c r="E14" s="9" t="inlineStr">
        <is>
          <t>Workbook version.</t>
        </is>
      </c>
    </row>
    <row r="16" ht="20" customHeight="1">
      <c r="B16" s="6" t="inlineStr">
        <is>
          <t xml:space="preserve">  Privacy</t>
        </is>
      </c>
    </row>
    <row r="17">
      <c r="B17" s="26"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CSV from each bank and press "Import statements".</t>
        </is>
      </c>
    </row>
    <row r="10" ht="20" customHeight="1">
      <c r="B10" s="6" t="inlineStr">
        <is>
          <t xml:space="preserve">  Importing</t>
        </is>
      </c>
    </row>
    <row r="11" ht="30" customHeight="1">
      <c r="C11" s="26" t="inlineStr">
        <is>
          <t>The importer reads CSV files. Excel and PDF statements are not supported - every Canadian bank offers a CSV download from the transaction list.</t>
        </is>
      </c>
    </row>
    <row r="12" ht="30" customHeight="1">
      <c r="C12" s="26" t="inlineStr">
        <is>
          <t>It recognises the layout from the file's own header line, shows you the first few rows it parsed, and asks you to confirm before anything is written.</t>
        </is>
      </c>
    </row>
    <row r="13" ht="30" customHeight="1">
      <c r="C13" s="26" t="inlineStr">
        <is>
          <t>Money leaving an account is stored as a negative number and money arriving as a positive one, whichever way your bank writes it.</t>
        </is>
      </c>
    </row>
    <row r="14" ht="30" customHeight="1">
      <c r="C14" s="26" t="inlineStr">
        <is>
          <t>Re-importing a statement that overlaps one you already loaded adds only the new rows. Two identical purchases on the same day are still kept as two.</t>
        </is>
      </c>
    </row>
    <row r="15" ht="30" customHeight="1">
      <c r="C15" s="26"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6" t="inlineStr">
        <is>
          <t>Rules turn merchant names into categories. They run in Priority order and the first match wins, so specific rules should have a lower number.</t>
        </is>
      </c>
    </row>
    <row r="19" ht="30" customHeight="1">
      <c r="C19" s="26" t="inlineStr">
        <is>
          <t>Anything the rules cannot place lands in Uncategorized and is highlighted in red. Press "Needs a category" to filter to just those rows.</t>
        </is>
      </c>
    </row>
    <row r="20" ht="30" customHeight="1">
      <c r="C20" s="26" t="inlineStr">
        <is>
          <t>Select a row and press "Teach a rule" to create a rule from it. From then on every matching transaction is categorised automatically.</t>
        </is>
      </c>
    </row>
    <row r="21" ht="15" customHeight="1">
      <c r="C21" s="26" t="inlineStr">
        <is>
          <t>A category you type in by hand is marked Manual and is never overwritten by the rules.</t>
        </is>
      </c>
    </row>
    <row r="22" ht="30" customHeight="1">
      <c r="C22" s="26"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30" customHeight="1">
      <c r="C25" s="26" t="inlineStr">
        <is>
          <t>Set Household mode to Couple in the setup wizard, with the "Couple mode on/off" button on the Dashboard, or on the Settings sheet. Single mode hides everything that needs two people; nothing is deleted.</t>
        </is>
      </c>
    </row>
    <row r="26" ht="30" customHeight="1">
      <c r="C26" s="26" t="inlineStr">
        <is>
          <t>Every transaction has an Owner: one of you, or Joint. Joint transactions are divided using the household split, which a category can override in "Joint Split A" on the Categories sheet.</t>
        </is>
      </c>
    </row>
    <row r="27" ht="30" customHeight="1">
      <c r="C27" s="26" t="inlineStr">
        <is>
          <t>"Paid By" is worked out from the account the money left, so it is possible to pay for something that is not (all) yours.</t>
        </is>
      </c>
    </row>
    <row r="28" ht="30" customHeight="1">
      <c r="C28" s="26" t="inlineStr">
        <is>
          <t>The Household sheet compares what each of you paid from your own accounts with your fair share, and says who owes whom.</t>
        </is>
      </c>
    </row>
    <row r="29" ht="30" customHeight="1">
      <c r="C29" s="26" t="inlineStr">
        <is>
          <t>The View selector on the Dashboard switches every number between the whole household and one person's share.</t>
        </is>
      </c>
    </row>
    <row r="31" ht="20" customHeight="1">
      <c r="B31" s="6" t="inlineStr">
        <is>
          <t xml:space="preserve">  Canadian bits</t>
        </is>
      </c>
    </row>
    <row r="32" ht="30" customHeight="1">
      <c r="C32" s="26" t="inlineStr">
        <is>
          <t>Categories cover the things a Canadian household actually pays: hydro, Presto/Compass/OPUS, LCBO/SAQ, property tax, daycare, RRSP/TFSA/FHSA/RESP, OSAP, and CRA payments and refunds.</t>
        </is>
      </c>
    </row>
    <row r="33" ht="30" customHeight="1">
      <c r="C33" s="26" t="inlineStr">
        <is>
          <t>Deposits like the Canada Child Benefit, the GST/HST credit and the Canada Carbon Rebate are recognised as income, not as a random transfer.</t>
        </is>
      </c>
    </row>
    <row r="34" ht="30" customHeight="1">
      <c r="C34" s="26" t="inlineStr">
        <is>
          <t>The Tax summary sheet totals everything tagged as medical, donations, child care, tuition, professional dues and so on, for the tax year of the report month, split per person.</t>
        </is>
      </c>
    </row>
    <row r="35" ht="30" customHeight="1">
      <c r="C35" s="26" t="inlineStr">
        <is>
          <t>The Registered plans sheet tracks RRSP/TFSA/FHSA/RESP contributions per person against the room you enter, and lists the published annual limits.</t>
        </is>
      </c>
    </row>
    <row r="36" ht="30" customHeight="1">
      <c r="C36" s="26" t="inlineStr">
        <is>
          <t>None of this is tax advice: confirm your own contribution room and what you can claim with the CRA or your accountant.</t>
        </is>
      </c>
    </row>
    <row r="38" ht="20" customHeight="1">
      <c r="B38" s="6" t="inlineStr">
        <is>
          <t xml:space="preserve">  Keyboard shortcuts</t>
        </is>
      </c>
    </row>
    <row r="39" ht="15" customHeight="1">
      <c r="C39" s="26" t="inlineStr">
        <is>
          <t>Ctrl+Shift+I - import statements</t>
        </is>
      </c>
    </row>
    <row r="40" ht="15" customHeight="1">
      <c r="C40" s="26" t="inlineStr">
        <is>
          <t>Ctrl+Shift+R - apply rules to uncategorised rows</t>
        </is>
      </c>
    </row>
    <row r="41" ht="15" customHeight="1">
      <c r="C41" s="26" t="inlineStr">
        <is>
          <t>Ctrl+Shift+T - teach a rule from the selected row</t>
        </is>
      </c>
    </row>
    <row r="42" ht="15" customHeight="1">
      <c r="C42" s="26" t="inlineStr">
        <is>
          <t>Ctrl+Shift+U - show rows that still need a category</t>
        </is>
      </c>
    </row>
    <row r="44" ht="20" customHeight="1">
      <c r="B44" s="6" t="inlineStr">
        <is>
          <t xml:space="preserve">  If something looks wrong</t>
        </is>
      </c>
    </row>
    <row r="45" ht="15" customHeight="1">
      <c r="C45" s="26" t="inlineStr">
        <is>
          <t>Numbers stale? Press Refresh on the Dashboard, or Ctrl+Alt+F9.</t>
        </is>
      </c>
    </row>
    <row r="46" ht="15" customHeight="1">
      <c r="C46" s="26" t="inlineStr">
        <is>
          <t>A calculated column overwritten by accident? Press "Rebuild formulas" on the Transactions sheet.</t>
        </is>
      </c>
    </row>
    <row r="47" ht="30" customHeight="1">
      <c r="C47" s="26" t="inlineStr">
        <is>
          <t>Buttons missing? They are drawn when the file opens with macros enabled. Close and reopen, or run modUI.EnsureButtons from the macro list.</t>
        </is>
      </c>
    </row>
    <row r="48" ht="30" customHeight="1">
      <c r="C48" s="26" t="inlineStr">
        <is>
          <t>An import mapped the wrong columns? Adjust that row on the Bank Formats sheet and import again - duplicates will be skipped.</t>
        </is>
      </c>
    </row>
    <row r="49" ht="30" customHeight="1">
      <c r="C49" s="26"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IF(RC3="","",IFERROR(INDEX(tblAccounts[Owner],MATCH(RC5,tblAccounts[Account],0)),"Joint"))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IF(RC3="","",IFERROR(INDEX(tblCategories[Group],MATCH(RC11,tblCategories[Category],0)),"Other"))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IF(RC3="","",IFERROR(INDEX(tblCategories[Type],MATCH(RC11,tblCategories[Category],0)),IF(RC10&gt;0,"Income","Expense")))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IF(RC3="","",IFERROR(INDEX(tblCategories[Essential],MATCH(RC11,tblCategories[Category],0)),"No"))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IF(RC3="","",IFERROR(INDEX(tblCategories[Tax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CSV exports and read your income and expenses by month.</dc:description>
  <dcterms:created xsi:type="dcterms:W3CDTF">2026-09-01T00:00:00Z</dcterms:created>
  <dcterms:modified xsi:type="dcterms:W3CDTF">2026-09-01T00:00:00Z</dcterms:modified>
  <cp:lastModifiedBy>Canadian Finance Tracker</cp:lastModifiedBy>
</cp:coreProperties>
</file>