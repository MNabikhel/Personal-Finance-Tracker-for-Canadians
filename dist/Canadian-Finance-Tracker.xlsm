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5">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0"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0" fontId="9" fillId="3" borderId="0" pivotButton="0" quotePrefix="0" xfId="0"/>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ageMargins left="0.75" right="0.75" top="1" bottom="1" header="0.5" footer="0.5"/>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cellIs" priority="2" operator="equal" dxfId="1" stopIfTrue="0">
      <formula>"Uncategorized"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21" t="inlineStr">
        <is>
          <t>Category</t>
        </is>
      </c>
      <c r="C5" s="21" t="inlineStr">
        <is>
          <t>Group</t>
        </is>
      </c>
      <c r="D5" s="21" t="inlineStr">
        <is>
          <t>Type</t>
        </is>
      </c>
      <c r="E5" s="21" t="inlineStr">
        <is>
          <t>Budget</t>
        </is>
      </c>
      <c r="F5" s="21" t="inlineStr">
        <is>
          <t>Actual</t>
        </is>
      </c>
      <c r="G5" s="21" t="inlineStr">
        <is>
          <t>Difference</t>
        </is>
      </c>
      <c r="H5" s="21" t="inlineStr">
        <is>
          <t>% used</t>
        </is>
      </c>
      <c r="I5" s="21" t="inlineStr">
        <is>
          <t>12-month average</t>
        </is>
      </c>
      <c r="J5" s="21"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IF($B6="","",IF($D6="Income",F6-E6,E6-F6))</f>
        <v/>
      </c>
      <c r="H6" s="22">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IF($B7="","",IF($D7="Income",F7-E7,E7-F7))</f>
        <v/>
      </c>
      <c r="H7" s="22">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IF($B8="","",IF($D8="Income",F8-E8,E8-F8))</f>
        <v/>
      </c>
      <c r="H8" s="22">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IF($B9="","",IF($D9="Income",F9-E9,E9-F9))</f>
        <v/>
      </c>
      <c r="H9" s="22">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IF($B10="","",IF($D10="Income",F10-E10,E10-F10))</f>
        <v/>
      </c>
      <c r="H10" s="22">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IF($B11="","",IF($D11="Income",F11-E11,E11-F11))</f>
        <v/>
      </c>
      <c r="H11" s="22">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IF($B12="","",IF($D12="Income",F12-E12,E12-F12))</f>
        <v/>
      </c>
      <c r="H12" s="22">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IF($B13="","",IF($D13="Income",F13-E13,E13-F13))</f>
        <v/>
      </c>
      <c r="H13" s="22">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IF($B14="","",IF($D14="Income",F14-E14,E14-F14))</f>
        <v/>
      </c>
      <c r="H14" s="22">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IF($B15="","",IF($D15="Income",F15-E15,E15-F15))</f>
        <v/>
      </c>
      <c r="H15" s="22">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IF($B16="","",IF($D16="Income",F16-E16,E16-F16))</f>
        <v/>
      </c>
      <c r="H16" s="22">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IF($B17="","",IF($D17="Income",F17-E17,E17-F17))</f>
        <v/>
      </c>
      <c r="H17" s="22">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IF($B18="","",IF($D18="Income",F18-E18,E18-F18))</f>
        <v/>
      </c>
      <c r="H18" s="22">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IF($B19="","",IF($D19="Income",F19-E19,E19-F19))</f>
        <v/>
      </c>
      <c r="H19" s="22">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IF($B20="","",IF($D20="Income",F20-E20,E20-F20))</f>
        <v/>
      </c>
      <c r="H20" s="22">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IF($B21="","",IF($D21="Income",F21-E21,E21-F21))</f>
        <v/>
      </c>
      <c r="H21" s="22">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IF($B22="","",IF($D22="Income",F22-E22,E22-F22))</f>
        <v/>
      </c>
      <c r="H22" s="22">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IF($B23="","",IF($D23="Income",F23-E23,E23-F23))</f>
        <v/>
      </c>
      <c r="H23" s="22">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IF($B24="","",IF($D24="Income",F24-E24,E24-F24))</f>
        <v/>
      </c>
      <c r="H24" s="22">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IF($B25="","",IF($D25="Income",F25-E25,E25-F25))</f>
        <v/>
      </c>
      <c r="H25" s="22">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IF($B26="","",IF($D26="Income",F26-E26,E26-F26))</f>
        <v/>
      </c>
      <c r="H26" s="22">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IF($B27="","",IF($D27="Income",F27-E27,E27-F27))</f>
        <v/>
      </c>
      <c r="H27" s="22">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IF($B28="","",IF($D28="Income",F28-E28,E28-F28))</f>
        <v/>
      </c>
      <c r="H28" s="22">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IF($B29="","",IF($D29="Income",F29-E29,E29-F29))</f>
        <v/>
      </c>
      <c r="H29" s="22">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IF($B30="","",IF($D30="Income",F30-E30,E30-F30))</f>
        <v/>
      </c>
      <c r="H30" s="22">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IF($B31="","",IF($D31="Income",F31-E31,E31-F31))</f>
        <v/>
      </c>
      <c r="H31" s="22">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IF($B32="","",IF($D32="Income",F32-E32,E32-F32))</f>
        <v/>
      </c>
      <c r="H32" s="22">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IF($B33="","",IF($D33="Income",F33-E33,E33-F33))</f>
        <v/>
      </c>
      <c r="H33" s="22">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IF($B34="","",IF($D34="Income",F34-E34,E34-F34))</f>
        <v/>
      </c>
      <c r="H34" s="22">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IF($B35="","",IF($D35="Income",F35-E35,E35-F35))</f>
        <v/>
      </c>
      <c r="H35" s="22">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IF($B36="","",IF($D36="Income",F36-E36,E36-F36))</f>
        <v/>
      </c>
      <c r="H36" s="22">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IF($B37="","",IF($D37="Income",F37-E37,E37-F37))</f>
        <v/>
      </c>
      <c r="H37" s="22">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IF($B38="","",IF($D38="Income",F38-E38,E38-F38))</f>
        <v/>
      </c>
      <c r="H38" s="22">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IF($B39="","",IF($D39="Income",F39-E39,E39-F39))</f>
        <v/>
      </c>
      <c r="H39" s="22">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IF($B40="","",IF($D40="Income",F40-E40,E40-F40))</f>
        <v/>
      </c>
      <c r="H40" s="22">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IF($B41="","",IF($D41="Income",F41-E41,E41-F41))</f>
        <v/>
      </c>
      <c r="H41" s="22">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IF($B42="","",IF($D42="Income",F42-E42,E42-F42))</f>
        <v/>
      </c>
      <c r="H42" s="22">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IF($B43="","",IF($D43="Income",F43-E43,E43-F43))</f>
        <v/>
      </c>
      <c r="H43" s="22">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IF($B44="","",IF($D44="Income",F44-E44,E44-F44))</f>
        <v/>
      </c>
      <c r="H44" s="22">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IF($B45="","",IF($D45="Income",F45-E45,E45-F45))</f>
        <v/>
      </c>
      <c r="H45" s="22">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IF($B46="","",IF($D46="Income",F46-E46,E46-F46))</f>
        <v/>
      </c>
      <c r="H46" s="22">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IF($B47="","",IF($D47="Income",F47-E47,E47-F47))</f>
        <v/>
      </c>
      <c r="H47" s="22">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IF($B48="","",IF($D48="Income",F48-E48,E48-F48))</f>
        <v/>
      </c>
      <c r="H48" s="22">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IF($B49="","",IF($D49="Income",F49-E49,E49-F49))</f>
        <v/>
      </c>
      <c r="H49" s="22">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IF($B50="","",IF($D50="Income",F50-E50,E50-F50))</f>
        <v/>
      </c>
      <c r="H50" s="22">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IF($B51="","",IF($D51="Income",F51-E51,E51-F51))</f>
        <v/>
      </c>
      <c r="H51" s="22">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IF($B52="","",IF($D52="Income",F52-E52,E52-F52))</f>
        <v/>
      </c>
      <c r="H52" s="22">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IF($B53="","",IF($D53="Income",F53-E53,E53-F53))</f>
        <v/>
      </c>
      <c r="H53" s="22">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IF($B54="","",IF($D54="Income",F54-E54,E54-F54))</f>
        <v/>
      </c>
      <c r="H54" s="22">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IF($B55="","",IF($D55="Income",F55-E55,E55-F55))</f>
        <v/>
      </c>
      <c r="H55" s="22">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IF($B56="","",IF($D56="Income",F56-E56,E56-F56))</f>
        <v/>
      </c>
      <c r="H56" s="22">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IF($B57="","",IF($D57="Income",F57-E57,E57-F57))</f>
        <v/>
      </c>
      <c r="H57" s="22">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IF($B58="","",IF($D58="Income",F58-E58,E58-F58))</f>
        <v/>
      </c>
      <c r="H58" s="22">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IF($B59="","",IF($D59="Income",F59-E59,E59-F59))</f>
        <v/>
      </c>
      <c r="H59" s="22">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IF($B60="","",IF($D60="Income",F60-E60,E60-F60))</f>
        <v/>
      </c>
      <c r="H60" s="22">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IF($B61="","",IF($D61="Income",F61-E61,E61-F61))</f>
        <v/>
      </c>
      <c r="H61" s="22">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IF($B62="","",IF($D62="Income",F62-E62,E62-F62))</f>
        <v/>
      </c>
      <c r="H62" s="22">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IF($B63="","",IF($D63="Income",F63-E63,E63-F63))</f>
        <v/>
      </c>
      <c r="H63" s="22">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IF($B64="","",IF($D64="Income",F64-E64,E64-F64))</f>
        <v/>
      </c>
      <c r="H64" s="22">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IF($B65="","",IF($D65="Income",F65-E65,E65-F65))</f>
        <v/>
      </c>
      <c r="H65" s="22">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IF($B66="","",IF($D66="Income",F66-E66,E66-F66))</f>
        <v/>
      </c>
      <c r="H66" s="22">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IF($B67="","",IF($D67="Income",F67-E67,E67-F67))</f>
        <v/>
      </c>
      <c r="H67" s="22">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IF($B68="","",IF($D68="Income",F68-E68,E68-F68))</f>
        <v/>
      </c>
      <c r="H68" s="22">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IF($B69="","",IF($D69="Income",F69-E69,E69-F69))</f>
        <v/>
      </c>
      <c r="H69" s="22">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IF($B70="","",IF($D70="Income",F70-E70,E70-F70))</f>
        <v/>
      </c>
      <c r="H70" s="22">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IF($B71="","",IF($D71="Income",F71-E71,E71-F71))</f>
        <v/>
      </c>
      <c r="H71" s="22">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IF($B72="","",IF($D72="Income",F72-E72,E72-F72))</f>
        <v/>
      </c>
      <c r="H72" s="22">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IF($B73="","",IF($D73="Income",F73-E73,E73-F73))</f>
        <v/>
      </c>
      <c r="H73" s="22">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IF($B74="","",IF($D74="Income",F74-E74,E74-F74))</f>
        <v/>
      </c>
      <c r="H74" s="22">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IF($B75="","",IF($D75="Income",F75-E75,E75-F75))</f>
        <v/>
      </c>
      <c r="H75" s="22">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IF($B76="","",IF($D76="Income",F76-E76,E76-F76))</f>
        <v/>
      </c>
      <c r="H76" s="22">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IF($B77="","",IF($D77="Income",F77-E77,E77-F77))</f>
        <v/>
      </c>
      <c r="H77" s="22">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IF($B78="","",IF($D78="Income",F78-E78,E78-F78))</f>
        <v/>
      </c>
      <c r="H78" s="22">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IF($B79="","",IF($D79="Income",F79-E79,E79-F79))</f>
        <v/>
      </c>
      <c r="H79" s="22">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IF($B80="","",IF($D80="Income",F80-E80,E80-F80))</f>
        <v/>
      </c>
      <c r="H80" s="22">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IF($B81="","",IF($D81="Income",F81-E81,E81-F81))</f>
        <v/>
      </c>
      <c r="H81" s="22">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IF($B82="","",IF($D82="Income",F82-E82,E82-F82))</f>
        <v/>
      </c>
      <c r="H82" s="22">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IF($B83="","",IF($D83="Income",F83-E83,E83-F83))</f>
        <v/>
      </c>
      <c r="H83" s="22">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IF($B84="","",IF($D84="Income",F84-E84,E84-F84))</f>
        <v/>
      </c>
      <c r="H84" s="22">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IF($B85="","",IF($D85="Income",F85-E85,E85-F85))</f>
        <v/>
      </c>
      <c r="H85" s="22">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IF($B86="","",IF($D86="Income",F86-E86,E86-F86))</f>
        <v/>
      </c>
      <c r="H86" s="22">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IF($B87="","",IF($D87="Income",F87-E87,E87-F87))</f>
        <v/>
      </c>
      <c r="H87" s="22">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IF($B88="","",IF($D88="Income",F88-E88,E88-F88))</f>
        <v/>
      </c>
      <c r="H88" s="22">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IF($B89="","",IF($D89="Income",F89-E89,E89-F89))</f>
        <v/>
      </c>
      <c r="H89" s="22">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IF($B90="","",IF($D90="Income",F90-E90,E90-F90))</f>
        <v/>
      </c>
      <c r="H90" s="22">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IF($B91="","",IF($D91="Income",F91-E91,E91-F91))</f>
        <v/>
      </c>
      <c r="H91" s="22">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IF($B92="","",IF($D92="Income",F92-E92,E92-F92))</f>
        <v/>
      </c>
      <c r="H92" s="22">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IF($B93="","",IF($D93="Income",F93-E93,E93-F93))</f>
        <v/>
      </c>
      <c r="H93" s="22">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IF($B94="","",IF($D94="Income",F94-E94,E94-F94))</f>
        <v/>
      </c>
      <c r="H94" s="22">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IF($B95="","",IF($D95="Income",F95-E95,E95-F95))</f>
        <v/>
      </c>
      <c r="H95" s="22">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IF($B96="","",IF($D96="Income",F96-E96,E96-F96))</f>
        <v/>
      </c>
      <c r="H96" s="22">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IF($B97="","",IF($D97="Income",F97-E97,E97-F97))</f>
        <v/>
      </c>
      <c r="H97" s="22">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IF($B98="","",IF($D98="Income",F98-E98,E98-F98))</f>
        <v/>
      </c>
      <c r="H98" s="22">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IF($B99="","",IF($D99="Income",F99-E99,E99-F99))</f>
        <v/>
      </c>
      <c r="H99" s="22">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IF($B100="","",IF($D100="Income",F100-E100,E100-F100))</f>
        <v/>
      </c>
      <c r="H100" s="22">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IF($B101="","",IF($D101="Income",F101-E101,E101-F101))</f>
        <v/>
      </c>
      <c r="H101" s="22">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IF($B102="","",IF($D102="Income",F102-E102,E102-F102))</f>
        <v/>
      </c>
      <c r="H102" s="22">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IF($B103="","",IF($D103="Income",F103-E103,E103-F103))</f>
        <v/>
      </c>
      <c r="H103" s="22">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IF($B104="","",IF($D104="Income",F104-E104,E104-F104))</f>
        <v/>
      </c>
      <c r="H104" s="22">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IF($B105="","",IF($D105="Income",F105-E105,E105-F105))</f>
        <v/>
      </c>
      <c r="H105" s="22">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IF($B106="","",IF($D106="Income",F106-E106,E106-F106))</f>
        <v/>
      </c>
      <c r="H106" s="22">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IF($B107="","",IF($D107="Income",F107-E107,E107-F107))</f>
        <v/>
      </c>
      <c r="H107" s="22">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IF($B108="","",IF($D108="Income",F108-E108,E108-F108))</f>
        <v/>
      </c>
      <c r="H108" s="22">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IF($B109="","",IF($D109="Income",F109-E109,E109-F109))</f>
        <v/>
      </c>
      <c r="H109" s="22">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IF($B110="","",IF($D110="Income",F110-E110,E110-F110))</f>
        <v/>
      </c>
      <c r="H110" s="22">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IF($B111="","",IF($D111="Income",F111-E111,E111-F111))</f>
        <v/>
      </c>
      <c r="H111" s="22">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IF($B112="","",IF($D112="Income",F112-E112,E112-F112))</f>
        <v/>
      </c>
      <c r="H112" s="22">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IF($B113="","",IF($D113="Income",F113-E113,E113-F113))</f>
        <v/>
      </c>
      <c r="H113" s="22">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IF($B114="","",IF($D114="Income",F114-E114,E114-F114))</f>
        <v/>
      </c>
      <c r="H114" s="22">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IF($B115="","",IF($D115="Income",F115-E115,E115-F115))</f>
        <v/>
      </c>
      <c r="H115" s="22">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IF($B116="","",IF($D116="Income",F116-E116,E116-F116))</f>
        <v/>
      </c>
      <c r="H116" s="22">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IF($B117="","",IF($D117="Income",F117-E117,E117-F117))</f>
        <v/>
      </c>
      <c r="H117" s="22">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IF($B118="","",IF($D118="Income",F118-E118,E118-F118))</f>
        <v/>
      </c>
      <c r="H118" s="22">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IF($B119="","",IF($D119="Income",F119-E119,E119-F119))</f>
        <v/>
      </c>
      <c r="H119" s="22">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IF($B120="","",IF($D120="Income",F120-E120,E120-F120))</f>
        <v/>
      </c>
      <c r="H120" s="22">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IF($B121="","",IF($D121="Income",F121-E121,E121-F121))</f>
        <v/>
      </c>
      <c r="H121" s="22">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IF($B122="","",IF($D122="Income",F122-E122,E122-F122))</f>
        <v/>
      </c>
      <c r="H122" s="22">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IF($B123="","",IF($D123="Income",F123-E123,E123-F123))</f>
        <v/>
      </c>
      <c r="H123" s="22">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IF($B124="","",IF($D124="Income",F124-E124,E124-F124))</f>
        <v/>
      </c>
      <c r="H124" s="22">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IF($B125="","",IF($D125="Income",F125-E125,E125-F125))</f>
        <v/>
      </c>
      <c r="H125" s="22">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ageMargins left="0.75" right="0.75" top="1" bottom="1" header="0.5" footer="0.5"/>
</worksheet>
</file>

<file path=xl/worksheets/sheet7.xml><?xml version="1.0" encoding="utf-8"?>
<worksheet xmlns="http://schemas.openxmlformats.org/spreadsheetml/2006/main">
  <sheetPr codeName="shReports">
    <tabColor rgb="000F6E5C"/>
    <outlinePr summaryBelow="1" summaryRight="1"/>
    <pageSetUpPr/>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21" t="inlineStr">
        <is>
          <t>Month</t>
        </is>
      </c>
      <c r="C4" s="23">
        <f>TEXT(EDATE(DATE(VALUE(LEFT(ReportMonth,4)),VALUE(RIGHT(ReportMonth,2)),1),-11),"yyyy-mm")</f>
        <v/>
      </c>
      <c r="D4" s="23">
        <f>TEXT(EDATE(DATE(VALUE(LEFT(ReportMonth,4)),VALUE(RIGHT(ReportMonth,2)),1),-10),"yyyy-mm")</f>
        <v/>
      </c>
      <c r="E4" s="23">
        <f>TEXT(EDATE(DATE(VALUE(LEFT(ReportMonth,4)),VALUE(RIGHT(ReportMonth,2)),1),-9),"yyyy-mm")</f>
        <v/>
      </c>
      <c r="F4" s="23">
        <f>TEXT(EDATE(DATE(VALUE(LEFT(ReportMonth,4)),VALUE(RIGHT(ReportMonth,2)),1),-8),"yyyy-mm")</f>
        <v/>
      </c>
      <c r="G4" s="23">
        <f>TEXT(EDATE(DATE(VALUE(LEFT(ReportMonth,4)),VALUE(RIGHT(ReportMonth,2)),1),-7),"yyyy-mm")</f>
        <v/>
      </c>
      <c r="H4" s="23">
        <f>TEXT(EDATE(DATE(VALUE(LEFT(ReportMonth,4)),VALUE(RIGHT(ReportMonth,2)),1),-6),"yyyy-mm")</f>
        <v/>
      </c>
      <c r="I4" s="23">
        <f>TEXT(EDATE(DATE(VALUE(LEFT(ReportMonth,4)),VALUE(RIGHT(ReportMonth,2)),1),-5),"yyyy-mm")</f>
        <v/>
      </c>
      <c r="J4" s="23">
        <f>TEXT(EDATE(DATE(VALUE(LEFT(ReportMonth,4)),VALUE(RIGHT(ReportMonth,2)),1),-4),"yyyy-mm")</f>
        <v/>
      </c>
      <c r="K4" s="23">
        <f>TEXT(EDATE(DATE(VALUE(LEFT(ReportMonth,4)),VALUE(RIGHT(ReportMonth,2)),1),-3),"yyyy-mm")</f>
        <v/>
      </c>
      <c r="L4" s="23">
        <f>TEXT(EDATE(DATE(VALUE(LEFT(ReportMonth,4)),VALUE(RIGHT(ReportMonth,2)),1),-2),"yyyy-mm")</f>
        <v/>
      </c>
      <c r="M4" s="23">
        <f>TEXT(EDATE(DATE(VALUE(LEFT(ReportMonth,4)),VALUE(RIGHT(ReportMonth,2)),1),-1),"yyyy-mm")</f>
        <v/>
      </c>
      <c r="N4" s="23">
        <f>TEXT(EDATE(DATE(VALUE(LEFT(ReportMonth,4)),VALUE(RIGHT(ReportMonth,2)),1),0),"yyyy-mm")</f>
        <v/>
      </c>
      <c r="O4" s="23"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4">
        <f>IFERROR((C5-C6)/C5,"")</f>
        <v/>
      </c>
      <c r="D9" s="24">
        <f>IFERROR((D5-D6)/D5,"")</f>
        <v/>
      </c>
      <c r="E9" s="24">
        <f>IFERROR((E5-E6)/E5,"")</f>
        <v/>
      </c>
      <c r="F9" s="24">
        <f>IFERROR((F5-F6)/F5,"")</f>
        <v/>
      </c>
      <c r="G9" s="24">
        <f>IFERROR((G5-G6)/G5,"")</f>
        <v/>
      </c>
      <c r="H9" s="24">
        <f>IFERROR((H5-H6)/H5,"")</f>
        <v/>
      </c>
      <c r="I9" s="24">
        <f>IFERROR((I5-I6)/I5,"")</f>
        <v/>
      </c>
      <c r="J9" s="24">
        <f>IFERROR((J5-J6)/J5,"")</f>
        <v/>
      </c>
      <c r="K9" s="24">
        <f>IFERROR((K5-K6)/K5,"")</f>
        <v/>
      </c>
      <c r="L9" s="24">
        <f>IFERROR((L5-L6)/L5,"")</f>
        <v/>
      </c>
      <c r="M9" s="24">
        <f>IFERROR((M5-M6)/M5,"")</f>
        <v/>
      </c>
      <c r="N9" s="24">
        <f>IFERROR((N5-N6)/N5,"")</f>
        <v/>
      </c>
      <c r="O9" s="24">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5">
        <f>COUNTIFS(tblTxn[Month],C$4)</f>
        <v/>
      </c>
      <c r="D12" s="25">
        <f>COUNTIFS(tblTxn[Month],D$4)</f>
        <v/>
      </c>
      <c r="E12" s="25">
        <f>COUNTIFS(tblTxn[Month],E$4)</f>
        <v/>
      </c>
      <c r="F12" s="25">
        <f>COUNTIFS(tblTxn[Month],F$4)</f>
        <v/>
      </c>
      <c r="G12" s="25">
        <f>COUNTIFS(tblTxn[Month],G$4)</f>
        <v/>
      </c>
      <c r="H12" s="25">
        <f>COUNTIFS(tblTxn[Month],H$4)</f>
        <v/>
      </c>
      <c r="I12" s="25">
        <f>COUNTIFS(tblTxn[Month],I$4)</f>
        <v/>
      </c>
      <c r="J12" s="25">
        <f>COUNTIFS(tblTxn[Month],J$4)</f>
        <v/>
      </c>
      <c r="K12" s="25">
        <f>COUNTIFS(tblTxn[Month],K$4)</f>
        <v/>
      </c>
      <c r="L12" s="25">
        <f>COUNTIFS(tblTxn[Month],L$4)</f>
        <v/>
      </c>
      <c r="M12" s="25">
        <f>COUNTIFS(tblTxn[Month],M$4)</f>
        <v/>
      </c>
      <c r="N12" s="25">
        <f>COUNTIFS(tblTxn[Month],N$4)</f>
        <v/>
      </c>
      <c r="O12" s="26">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ageMargins left="0.75" right="0.75" top="1" bottom="1" header="0.5" footer="0.5"/>
</worksheet>
</file>

<file path=xl/worksheets/sheet8.xml><?xml version="1.0" encoding="utf-8"?>
<worksheet xmlns="http://schemas.openxmlformats.org/spreadsheetml/2006/main">
  <sheetPr codeName="shHousehold">
    <tabColor rgb="000F6E5C"/>
    <outlinePr summaryBelow="1" summaryRight="1"/>
    <pageSetUpPr/>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7"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4">
        <f>IFERROR(C16/$E$16,"")</f>
        <v/>
      </c>
      <c r="D17" s="24">
        <f>IFERROR(D16/$E$16,"")</f>
        <v/>
      </c>
    </row>
    <row r="18">
      <c r="B18" s="7" t="inlineStr">
        <is>
          <t>Split currently used for joint costs</t>
        </is>
      </c>
      <c r="C18" s="24">
        <f>DefaultSplitA</f>
        <v/>
      </c>
      <c r="D18" s="24">
        <f>1-DefaultSplitA</f>
        <v/>
      </c>
    </row>
    <row r="19">
      <c r="B19" s="7" t="inlineStr">
        <is>
          <t>Income-proportional split would be</t>
        </is>
      </c>
      <c r="C19" s="24">
        <f>IFERROR(C16/$E$16,"")</f>
        <v/>
      </c>
      <c r="D19" s="24">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ageMargins left="0.75" right="0.75" top="1" bottom="1" header="0.5" footer="0.5"/>
</worksheet>
</file>

<file path=xl/worksheets/sheet9.xml><?xml version="1.0" encoding="utf-8"?>
<worksheet xmlns="http://schemas.openxmlformats.org/spreadsheetml/2006/main">
  <sheetPr codeName="shTax">
    <tabColor rgb="007F5A18"/>
    <outlinePr summaryBelow="1" summaryRight="1"/>
    <pageSetUpPr/>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8">
        <f>VALUE(LEFT(ReportMonth,4))</f>
        <v/>
      </c>
    </row>
    <row r="5">
      <c r="B5" s="21" t="inlineStr">
        <is>
          <t>Tax tag</t>
        </is>
      </c>
      <c r="C5" s="21" t="inlineStr">
        <is>
          <t>Total</t>
        </is>
      </c>
      <c r="D5" s="21">
        <f>PersonA</f>
        <v/>
      </c>
      <c r="E5" s="21">
        <f>PersonB</f>
        <v/>
      </c>
      <c r="F5" s="21"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ageMargins left="0.75" right="0.75" top="1" bottom="1" header="0.5" footer="0.5"/>
</worksheet>
</file>

<file path=xl/worksheets/sheet10.xml><?xml version="1.0" encoding="utf-8"?>
<worksheet xmlns="http://schemas.openxmlformats.org/spreadsheetml/2006/main">
  <sheetPr codeName="shRegistered">
    <tabColor rgb="007F5A18"/>
    <outlinePr summaryBelow="1" summaryRight="1"/>
    <pageSetUpPr/>
  </sheetPr>
  <dimension ref="B1:M33"/>
  <sheetViews>
    <sheetView showGridLines="0" workbookViewId="0">
      <selection activeCell="A1" sqref="A1"/>
    </sheetView>
  </sheetViews>
  <sheetFormatPr baseColWidth="8" defaultRowHeight="15"/>
  <cols>
    <col width="2" customWidth="1" min="1" max="1"/>
    <col width="1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1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9">
        <f>PersonA</f>
        <v/>
      </c>
      <c r="G4" s="29">
        <f>PersonB</f>
        <v/>
      </c>
    </row>
    <row r="5">
      <c r="B5" s="21" t="inlineStr">
        <is>
          <t>Plan</t>
        </is>
      </c>
      <c r="C5" s="21" t="inlineStr">
        <is>
          <t>Contributed</t>
        </is>
      </c>
      <c r="D5" s="21" t="inlineStr">
        <is>
          <t>Your room</t>
        </is>
      </c>
      <c r="E5" s="21" t="inlineStr">
        <is>
          <t>Left</t>
        </is>
      </c>
      <c r="G5" s="21" t="inlineStr">
        <is>
          <t>Contributed</t>
        </is>
      </c>
      <c r="H5" s="21" t="inlineStr">
        <is>
          <t>Your room</t>
        </is>
      </c>
      <c r="I5" s="21"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30"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30"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30"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30"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1" t="n">
        <v>2024</v>
      </c>
      <c r="L13" s="30" t="n">
        <v>68500</v>
      </c>
      <c r="M13" s="30" t="n">
        <v>73200</v>
      </c>
    </row>
    <row r="14" ht="20" customHeight="1">
      <c r="B14" s="6" t="inlineStr">
        <is>
          <t xml:space="preserve">  TFSA dollar limit by year</t>
        </is>
      </c>
      <c r="G14" s="6" t="inlineStr">
        <is>
          <t xml:space="preserve">  RRSP dollar limit by year</t>
        </is>
      </c>
      <c r="K14" s="31" t="n">
        <v>2025</v>
      </c>
      <c r="L14" s="30" t="n">
        <v>71300</v>
      </c>
      <c r="M14" s="30" t="n">
        <v>81200</v>
      </c>
    </row>
    <row r="15">
      <c r="B15" s="3" t="inlineStr">
        <is>
          <t>Year</t>
        </is>
      </c>
      <c r="C15" s="12" t="inlineStr">
        <is>
          <t>Limit</t>
        </is>
      </c>
      <c r="G15" s="3" t="inlineStr">
        <is>
          <t>Year</t>
        </is>
      </c>
      <c r="H15" s="12" t="inlineStr">
        <is>
          <t>Limit</t>
        </is>
      </c>
      <c r="K15" s="31" t="n">
        <v>2026</v>
      </c>
      <c r="L15" s="30" t="n">
        <v>74600</v>
      </c>
      <c r="M15" s="30" t="n">
        <v>85000</v>
      </c>
    </row>
    <row r="16">
      <c r="B16" s="31" t="n">
        <v>2009</v>
      </c>
      <c r="C16" s="30" t="n">
        <v>5000</v>
      </c>
      <c r="G16" s="31" t="n">
        <v>2020</v>
      </c>
      <c r="H16" s="30" t="n">
        <v>27230</v>
      </c>
    </row>
    <row r="17">
      <c r="B17" s="31" t="n">
        <v>2010</v>
      </c>
      <c r="C17" s="30" t="n">
        <v>5000</v>
      </c>
      <c r="G17" s="31" t="n">
        <v>2021</v>
      </c>
      <c r="H17" s="30" t="n">
        <v>27830</v>
      </c>
      <c r="K17" s="9" t="inlineStr">
        <is>
          <t>Figures published by the CRA and checked in September 2026. Confirm against canada.ca or your CRA account before you rely on them.</t>
        </is>
      </c>
    </row>
    <row r="18">
      <c r="B18" s="31" t="n">
        <v>2011</v>
      </c>
      <c r="C18" s="30" t="n">
        <v>5000</v>
      </c>
      <c r="G18" s="31" t="n">
        <v>2022</v>
      </c>
      <c r="H18" s="30" t="n">
        <v>29210</v>
      </c>
    </row>
    <row r="19">
      <c r="B19" s="31" t="n">
        <v>2012</v>
      </c>
      <c r="C19" s="30" t="n">
        <v>5000</v>
      </c>
      <c r="G19" s="31" t="n">
        <v>2023</v>
      </c>
      <c r="H19" s="30" t="n">
        <v>30780</v>
      </c>
    </row>
    <row r="20">
      <c r="B20" s="31" t="n">
        <v>2013</v>
      </c>
      <c r="C20" s="30" t="n">
        <v>5500</v>
      </c>
      <c r="G20" s="31" t="n">
        <v>2024</v>
      </c>
      <c r="H20" s="30" t="n">
        <v>31560</v>
      </c>
    </row>
    <row r="21">
      <c r="B21" s="31" t="n">
        <v>2014</v>
      </c>
      <c r="C21" s="30" t="n">
        <v>5500</v>
      </c>
      <c r="G21" s="31" t="n">
        <v>2025</v>
      </c>
      <c r="H21" s="30" t="n">
        <v>32490</v>
      </c>
    </row>
    <row r="22">
      <c r="B22" s="31" t="n">
        <v>2015</v>
      </c>
      <c r="C22" s="30" t="n">
        <v>10000</v>
      </c>
      <c r="G22" s="31" t="n">
        <v>2026</v>
      </c>
      <c r="H22" s="30" t="n">
        <v>33810</v>
      </c>
    </row>
    <row r="23">
      <c r="B23" s="31" t="n">
        <v>2016</v>
      </c>
      <c r="C23" s="30" t="n">
        <v>5500</v>
      </c>
      <c r="G23" s="31" t="n">
        <v>2027</v>
      </c>
      <c r="H23" s="30" t="n">
        <v>35390</v>
      </c>
    </row>
    <row r="24">
      <c r="B24" s="31" t="n">
        <v>2017</v>
      </c>
      <c r="C24" s="30" t="n">
        <v>5500</v>
      </c>
    </row>
    <row r="25">
      <c r="B25" s="31" t="n">
        <v>2018</v>
      </c>
      <c r="C25" s="30" t="n">
        <v>5500</v>
      </c>
      <c r="G25" s="9" t="inlineStr">
        <is>
          <t>Your RRSP room is the lesser of 18% of last year's earned income and the dollar limit, plus carry-forward, minus any pension adjustment.</t>
        </is>
      </c>
    </row>
    <row r="26">
      <c r="B26" s="31" t="n">
        <v>2019</v>
      </c>
      <c r="C26" s="30" t="n">
        <v>6000</v>
      </c>
    </row>
    <row r="27">
      <c r="B27" s="31" t="n">
        <v>2020</v>
      </c>
      <c r="C27" s="30" t="n">
        <v>6000</v>
      </c>
    </row>
    <row r="28">
      <c r="B28" s="31" t="n">
        <v>2021</v>
      </c>
      <c r="C28" s="30" t="n">
        <v>6000</v>
      </c>
    </row>
    <row r="29">
      <c r="B29" s="31" t="n">
        <v>2022</v>
      </c>
      <c r="C29" s="30" t="n">
        <v>6000</v>
      </c>
    </row>
    <row r="30">
      <c r="B30" s="31" t="n">
        <v>2023</v>
      </c>
      <c r="C30" s="30" t="n">
        <v>6500</v>
      </c>
    </row>
    <row r="31">
      <c r="B31" s="31" t="n">
        <v>2024</v>
      </c>
      <c r="C31" s="30" t="n">
        <v>7000</v>
      </c>
    </row>
    <row r="32">
      <c r="B32" s="31" t="n">
        <v>2025</v>
      </c>
      <c r="C32" s="30" t="n">
        <v>7000</v>
      </c>
    </row>
    <row r="33">
      <c r="B33" s="31" t="n">
        <v>2026</v>
      </c>
      <c r="C33" s="30" t="n">
        <v>7000</v>
      </c>
    </row>
  </sheetData>
  <mergeCells count="7">
    <mergeCell ref="G14:I14"/>
    <mergeCell ref="B11:I12"/>
    <mergeCell ref="C4:E4"/>
    <mergeCell ref="G4:I4"/>
    <mergeCell ref="K17:M20"/>
    <mergeCell ref="G25:I27"/>
    <mergeCell ref="B14:E14"/>
  </mergeCells>
  <pageMargins left="0.75" right="0.75" top="1" bottom="1" header="0.5" footer="0.5"/>
</worksheet>
</file>

<file path=xl/worksheets/sheet11.xml><?xml version="1.0" encoding="utf-8"?>
<worksheet xmlns="http://schemas.openxmlformats.org/spreadsheetml/2006/main">
  <sheetPr codeName="shFormats">
    <outlinePr summaryBelow="1" summaryRight="1"/>
    <pageSetUpPr/>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2" t="inlineStr">
        <is>
          <t>Couple</t>
        </is>
      </c>
      <c r="E5" s="9" t="inlineStr">
        <is>
          <t>Single for one person, Couple for two.</t>
        </is>
      </c>
    </row>
    <row r="6">
      <c r="B6" s="7" t="inlineStr">
        <is>
          <t>Person A</t>
        </is>
      </c>
      <c r="C6" s="32" t="inlineStr">
        <is>
          <t>Alex</t>
        </is>
      </c>
      <c r="E6" s="9" t="inlineStr">
        <is>
          <t>Shown everywhere as the first person.</t>
        </is>
      </c>
    </row>
    <row r="7">
      <c r="B7" s="7" t="inlineStr">
        <is>
          <t>Person B</t>
        </is>
      </c>
      <c r="C7" s="32" t="inlineStr">
        <is>
          <t>Sam</t>
        </is>
      </c>
      <c r="E7" s="9" t="inlineStr">
        <is>
          <t>Only used in Couple mode.</t>
        </is>
      </c>
    </row>
    <row r="8">
      <c r="B8" s="7" t="inlineStr">
        <is>
          <t>Person A share of joint costs</t>
        </is>
      </c>
      <c r="C8" s="33" t="n">
        <v>0.5</v>
      </c>
      <c r="E8" s="9" t="inlineStr">
        <is>
          <t>Used for transactions whose Owner is Joint. A category can override it.</t>
        </is>
      </c>
    </row>
    <row r="9">
      <c r="B9" s="7" t="inlineStr">
        <is>
          <t>Province or territory</t>
        </is>
      </c>
      <c r="C9" s="32" t="inlineStr">
        <is>
          <t>ON</t>
        </is>
      </c>
      <c r="E9" s="9" t="inlineStr">
        <is>
          <t>Used for the notes on the Tax summary sheet.</t>
        </is>
      </c>
    </row>
    <row r="10">
      <c r="B10" s="7" t="inlineStr">
        <is>
          <t>Setup completed</t>
        </is>
      </c>
      <c r="C10" s="32" t="inlineStr">
        <is>
          <t>No</t>
        </is>
      </c>
      <c r="E10" s="9" t="inlineStr">
        <is>
          <t>Set to Yes by the setup wizard.</t>
        </is>
      </c>
    </row>
    <row r="11">
      <c r="B11" s="7" t="inlineStr">
        <is>
          <t>Transfer match window (days)</t>
        </is>
      </c>
      <c r="C11" s="32" t="n">
        <v>4</v>
      </c>
      <c r="E11" s="9" t="inlineStr">
        <is>
          <t>How far apart the two sides of a transfer can be.</t>
        </is>
      </c>
    </row>
    <row r="12">
      <c r="B12" s="7" t="inlineStr">
        <is>
          <t>Skip duplicates on import</t>
        </is>
      </c>
      <c r="C12" s="32" t="inlineStr">
        <is>
          <t>Yes</t>
        </is>
      </c>
      <c r="E12" s="9" t="inlineStr">
        <is>
          <t>Re-importing an overlapping statement adds only the new rows.</t>
        </is>
      </c>
    </row>
    <row r="13">
      <c r="B13" s="7" t="inlineStr">
        <is>
          <t>Currency</t>
        </is>
      </c>
      <c r="C13" s="32" t="inlineStr">
        <is>
          <t>CAD</t>
        </is>
      </c>
      <c r="E13" s="9" t="inlineStr">
        <is>
          <t>Everything is treated as Canadian dollars.</t>
        </is>
      </c>
    </row>
    <row r="14">
      <c r="B14" s="7" t="inlineStr">
        <is>
          <t>Version</t>
        </is>
      </c>
      <c r="C14" s="32" t="inlineStr">
        <is>
          <t>1.0.0</t>
        </is>
      </c>
      <c r="E14" s="9" t="inlineStr">
        <is>
          <t>Workbook version.</t>
        </is>
      </c>
    </row>
    <row r="16" ht="20" customHeight="1">
      <c r="B16" s="6" t="inlineStr">
        <is>
          <t xml:space="preserve">  Privacy</t>
        </is>
      </c>
    </row>
    <row r="17">
      <c r="B17" s="27"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ageMargins left="0.75" right="0.75" top="1" bottom="1" header="0.5" footer="0.5"/>
</worksheet>
</file>

<file path=xl/worksheets/sheet14.xml><?xml version="1.0" encoding="utf-8"?>
<worksheet xmlns="http://schemas.openxmlformats.org/spreadsheetml/2006/main">
  <sheetPr codeName="shHelp">
    <outlinePr summaryBelow="1" summaryRight="1"/>
    <pageSetUpPr/>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7" t="inlineStr">
        <is>
          <t>1. Enable macros when Excel asks - the import, categorising and buttons need them. If you downloaded this file, right-click it, choose Properties and tick Unblock first.</t>
        </is>
      </c>
    </row>
    <row r="6" ht="30" customHeight="1">
      <c r="C6" s="27" t="inlineStr">
        <is>
          <t>2. Press "Setup wizard" on the Dashboard: it asks who the workbook is for, your names, how joint costs are split and your province, then offers to delete the sample data.</t>
        </is>
      </c>
    </row>
    <row r="7" ht="30" customHeight="1">
      <c r="C7" s="27" t="inlineStr">
        <is>
          <t>3. List your accounts on the Accounts sheet - one row per bank or card account. Fill in "File Name Contains" with a snippet of the file name your bank produces so imports find the right account by themselves.</t>
        </is>
      </c>
    </row>
    <row r="8" ht="15" customHeight="1">
      <c r="C8" s="27" t="inlineStr">
        <is>
          <t>4. Download a CSV from each bank and press "Import statements".</t>
        </is>
      </c>
    </row>
    <row r="10" ht="20" customHeight="1">
      <c r="B10" s="6" t="inlineStr">
        <is>
          <t xml:space="preserve">  Importing</t>
        </is>
      </c>
    </row>
    <row r="11" ht="30" customHeight="1">
      <c r="C11" s="27" t="inlineStr">
        <is>
          <t>The importer reads CSV files. Excel and PDF statements are not supported - every Canadian bank offers a CSV download from the transaction list.</t>
        </is>
      </c>
    </row>
    <row r="12" ht="30" customHeight="1">
      <c r="C12" s="27" t="inlineStr">
        <is>
          <t>It recognises the layout from the file's own header line, shows you the first few rows it parsed, and asks you to confirm before anything is written.</t>
        </is>
      </c>
    </row>
    <row r="13" ht="30" customHeight="1">
      <c r="C13" s="27" t="inlineStr">
        <is>
          <t>Money leaving an account is stored as a negative number and money arriving as a positive one, whichever way your bank writes it.</t>
        </is>
      </c>
    </row>
    <row r="14" ht="30" customHeight="1">
      <c r="C14" s="27" t="inlineStr">
        <is>
          <t>Re-importing a statement that overlaps one you already loaded adds only the new rows. Two identical purchases on the same day are still kept as two.</t>
        </is>
      </c>
    </row>
    <row r="15" ht="30" customHeight="1">
      <c r="C15" s="27"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7" t="inlineStr">
        <is>
          <t>Rules turn merchant names into categories. They run in Priority order and the first match wins, so specific rules should have a lower number.</t>
        </is>
      </c>
    </row>
    <row r="19" ht="30" customHeight="1">
      <c r="C19" s="27" t="inlineStr">
        <is>
          <t>Anything the rules cannot place lands in Uncategorized and is highlighted in red. Press "Needs a category" to filter to just those rows.</t>
        </is>
      </c>
    </row>
    <row r="20" ht="30" customHeight="1">
      <c r="C20" s="27" t="inlineStr">
        <is>
          <t>Select a row and press "Teach a rule" to create a rule from it. From then on every matching transaction is categorised automatically.</t>
        </is>
      </c>
    </row>
    <row r="21" ht="15" customHeight="1">
      <c r="C21" s="27" t="inlineStr">
        <is>
          <t>A category you type in by hand is marked Manual and is never overwritten by the rules.</t>
        </is>
      </c>
    </row>
    <row r="22" ht="30" customHeight="1">
      <c r="C22" s="27"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7" t="inlineStr">
        <is>
          <t>Set Household mode to Couple in the setup wizard or on the Settings sheet.</t>
        </is>
      </c>
    </row>
    <row r="26" ht="30" customHeight="1">
      <c r="C26" s="27" t="inlineStr">
        <is>
          <t>Every transaction has an Owner: one of you, or Joint. Joint transactions are divided using the household split, which a category can override in "Joint Split A" on the Categories sheet.</t>
        </is>
      </c>
    </row>
    <row r="27" ht="30" customHeight="1">
      <c r="C27" s="27" t="inlineStr">
        <is>
          <t>"Paid By" is worked out from the account the money left, so it is possible to pay for something that is not (all) yours.</t>
        </is>
      </c>
    </row>
    <row r="28" ht="30" customHeight="1">
      <c r="C28" s="27" t="inlineStr">
        <is>
          <t>The Household sheet compares what each of you paid from your own accounts with your fair share, and says who owes whom.</t>
        </is>
      </c>
    </row>
    <row r="29" ht="30" customHeight="1">
      <c r="C29" s="27" t="inlineStr">
        <is>
          <t>The View selector on the Dashboard switches every number between the whole household and one person's share.</t>
        </is>
      </c>
    </row>
    <row r="31" ht="20" customHeight="1">
      <c r="B31" s="6" t="inlineStr">
        <is>
          <t xml:space="preserve">  Canadian bits</t>
        </is>
      </c>
    </row>
    <row r="32" ht="30" customHeight="1">
      <c r="C32" s="27" t="inlineStr">
        <is>
          <t>Categories cover the things a Canadian household actually pays: hydro, Presto/Compass/OPUS, LCBO/SAQ, property tax, daycare, RRSP/TFSA/FHSA/RESP, OSAP, and CRA payments and refunds.</t>
        </is>
      </c>
    </row>
    <row r="33" ht="30" customHeight="1">
      <c r="C33" s="27" t="inlineStr">
        <is>
          <t>Deposits like the Canada Child Benefit, the GST/HST credit and the Canada Carbon Rebate are recognised as income, not as a random transfer.</t>
        </is>
      </c>
    </row>
    <row r="34" ht="30" customHeight="1">
      <c r="C34" s="27" t="inlineStr">
        <is>
          <t>The Tax summary sheet totals everything tagged as medical, donations, child care, tuition, professional dues and so on, for the tax year of the report month, split per person.</t>
        </is>
      </c>
    </row>
    <row r="35" ht="30" customHeight="1">
      <c r="C35" s="27" t="inlineStr">
        <is>
          <t>The Registered plans sheet tracks RRSP/TFSA/FHSA/RESP contributions per person against the room you enter, and lists the published annual limits.</t>
        </is>
      </c>
    </row>
    <row r="36" ht="30" customHeight="1">
      <c r="C36" s="27" t="inlineStr">
        <is>
          <t>None of this is tax advice: confirm your own contribution room and what you can claim with the CRA or your accountant.</t>
        </is>
      </c>
    </row>
    <row r="38" ht="20" customHeight="1">
      <c r="B38" s="6" t="inlineStr">
        <is>
          <t xml:space="preserve">  Keyboard shortcuts</t>
        </is>
      </c>
    </row>
    <row r="39" ht="15" customHeight="1">
      <c r="C39" s="27" t="inlineStr">
        <is>
          <t>Ctrl+Shift+I - import statements</t>
        </is>
      </c>
    </row>
    <row r="40" ht="15" customHeight="1">
      <c r="C40" s="27" t="inlineStr">
        <is>
          <t>Ctrl+Shift+R - apply rules to uncategorised rows</t>
        </is>
      </c>
    </row>
    <row r="41" ht="15" customHeight="1">
      <c r="C41" s="27" t="inlineStr">
        <is>
          <t>Ctrl+Shift+T - teach a rule from the selected row</t>
        </is>
      </c>
    </row>
    <row r="42" ht="15" customHeight="1">
      <c r="C42" s="27" t="inlineStr">
        <is>
          <t>Ctrl+Shift+U - show rows that still need a category</t>
        </is>
      </c>
    </row>
    <row r="44" ht="20" customHeight="1">
      <c r="B44" s="6" t="inlineStr">
        <is>
          <t xml:space="preserve">  If something looks wrong</t>
        </is>
      </c>
    </row>
    <row r="45" ht="15" customHeight="1">
      <c r="C45" s="27" t="inlineStr">
        <is>
          <t>Numbers stale? Press Refresh on the Dashboard, or Ctrl+Alt+F9.</t>
        </is>
      </c>
    </row>
    <row r="46" ht="15" customHeight="1">
      <c r="C46" s="27" t="inlineStr">
        <is>
          <t>A calculated column overwritten by accident? Press "Rebuild formulas" on the Transactions sheet.</t>
        </is>
      </c>
    </row>
    <row r="47" ht="30" customHeight="1">
      <c r="C47" s="27" t="inlineStr">
        <is>
          <t>Buttons missing? They are drawn when the file opens with macros enabled. Close and reopen, or run modUI.EnsureButtons from the macro list.</t>
        </is>
      </c>
    </row>
    <row r="48" ht="30" customHeight="1">
      <c r="C48" s="27" t="inlineStr">
        <is>
          <t>An import mapped the wrong columns? Adjust that row on the Bank Formats sheet and import again - duplicates will be skipped.</t>
        </is>
      </c>
    </row>
    <row r="49" ht="30" customHeight="1">
      <c r="C49" s="27"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ageMargins left="0.75" right="0.75" top="1" bottom="1" header="0.5" footer="0.5"/>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4" t="inlineStr">
        <is>
          <t>Engine: lists and formula templates. Please do not delete this sheet - the macros and the drop-downs depend on it.</t>
        </is>
      </c>
    </row>
    <row r="2">
      <c r="AD2" s="34"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2026-09-01T16:25:40Z</dcterms:created>
  <dcterms:modified xsi:type="dcterms:W3CDTF">2026-09-01T16:25:40Z</dcterms:modified>
</cp:coreProperties>
</file>