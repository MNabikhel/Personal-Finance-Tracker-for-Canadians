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Engine!$R$3:$R$7</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5">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0"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0" fontId="9" fillId="3" borderId="0" pivotButton="0" quotePrefix="0" xfId="0"/>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5" headerRowCount="1">
  <autoFilter ref="B4:M195"/>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ageMargins left="0.75" right="0.75" top="1" bottom="1" header="0.5" footer="0.5"/>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cellIs" priority="2" operator="equal" dxfId="1" stopIfTrue="0">
      <formula>"Uncategorized"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sheetPr>
  <dimension ref="B1:M19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10</v>
      </c>
      <c r="C5" t="inlineStr">
        <is>
          <t>Yes</t>
        </is>
      </c>
      <c r="D5" t="inlineStr">
        <is>
          <t>Description</t>
        </is>
      </c>
      <c r="E5" t="inlineStr">
        <is>
          <t>Contains</t>
        </is>
      </c>
      <c r="F5" t="inlineStr">
        <is>
          <t>PAYMENT - THANK YOU</t>
        </is>
      </c>
      <c r="G5" s="14" t="n"/>
      <c r="H5" s="14" t="n"/>
      <c r="I5" t="inlineStr">
        <is>
          <t>Money in</t>
        </is>
      </c>
      <c r="J5" t="inlineStr">
        <is>
          <t>Credit Card Payment</t>
        </is>
      </c>
      <c r="L5" t="n">
        <v>0</v>
      </c>
      <c r="M5" t="inlineStr">
        <is>
          <t>Built in</t>
        </is>
      </c>
    </row>
    <row r="6">
      <c r="B6" t="n">
        <v>10</v>
      </c>
      <c r="C6" t="inlineStr">
        <is>
          <t>Yes</t>
        </is>
      </c>
      <c r="D6" t="inlineStr">
        <is>
          <t>Description</t>
        </is>
      </c>
      <c r="E6" t="inlineStr">
        <is>
          <t>Contains</t>
        </is>
      </c>
      <c r="F6" t="inlineStr">
        <is>
          <t>PAIEMENT</t>
        </is>
      </c>
      <c r="G6" s="14" t="n"/>
      <c r="H6" s="14" t="n"/>
      <c r="I6" t="inlineStr">
        <is>
          <t>Money in</t>
        </is>
      </c>
      <c r="J6" t="inlineStr">
        <is>
          <t>Credit Card Payment</t>
        </is>
      </c>
      <c r="L6" t="n">
        <v>0</v>
      </c>
      <c r="M6" t="inlineStr">
        <is>
          <t>Built in</t>
        </is>
      </c>
    </row>
    <row r="7">
      <c r="B7" t="n">
        <v>11</v>
      </c>
      <c r="C7" t="inlineStr">
        <is>
          <t>Yes</t>
        </is>
      </c>
      <c r="D7" t="inlineStr">
        <is>
          <t>Description</t>
        </is>
      </c>
      <c r="E7" t="inlineStr">
        <is>
          <t>Contains</t>
        </is>
      </c>
      <c r="F7" t="inlineStr">
        <is>
          <t>CREDIT CARD/LOC PAY</t>
        </is>
      </c>
      <c r="G7" s="14" t="n"/>
      <c r="H7" s="14" t="n"/>
      <c r="I7" t="inlineStr">
        <is>
          <t>Any</t>
        </is>
      </c>
      <c r="J7" t="inlineStr">
        <is>
          <t>Credit Card Payment</t>
        </is>
      </c>
      <c r="L7" t="n">
        <v>0</v>
      </c>
      <c r="M7" t="inlineStr">
        <is>
          <t>Built in</t>
        </is>
      </c>
    </row>
    <row r="8">
      <c r="B8" t="n">
        <v>12</v>
      </c>
      <c r="C8" t="inlineStr">
        <is>
          <t>Yes</t>
        </is>
      </c>
      <c r="D8" t="inlineStr">
        <is>
          <t>Description</t>
        </is>
      </c>
      <c r="E8" t="inlineStr">
        <is>
          <t>Contains</t>
        </is>
      </c>
      <c r="F8" t="inlineStr">
        <is>
          <t>TRANSFER TO</t>
        </is>
      </c>
      <c r="G8" s="14" t="n"/>
      <c r="H8" s="14" t="n"/>
      <c r="I8" t="inlineStr">
        <is>
          <t>Money out</t>
        </is>
      </c>
      <c r="J8" t="inlineStr">
        <is>
          <t>Internal Transfer</t>
        </is>
      </c>
      <c r="L8" t="n">
        <v>0</v>
      </c>
      <c r="M8" t="inlineStr">
        <is>
          <t>Built in</t>
        </is>
      </c>
    </row>
    <row r="9">
      <c r="B9" t="n">
        <v>12</v>
      </c>
      <c r="C9" t="inlineStr">
        <is>
          <t>Yes</t>
        </is>
      </c>
      <c r="D9" t="inlineStr">
        <is>
          <t>Description</t>
        </is>
      </c>
      <c r="E9" t="inlineStr">
        <is>
          <t>Contains</t>
        </is>
      </c>
      <c r="F9" t="inlineStr">
        <is>
          <t>TRANSFER FROM</t>
        </is>
      </c>
      <c r="G9" s="14" t="n"/>
      <c r="H9" s="14" t="n"/>
      <c r="I9" t="inlineStr">
        <is>
          <t>Money in</t>
        </is>
      </c>
      <c r="J9" t="inlineStr">
        <is>
          <t>Internal Transfer</t>
        </is>
      </c>
      <c r="L9" t="n">
        <v>0</v>
      </c>
      <c r="M9" t="inlineStr">
        <is>
          <t>Built in</t>
        </is>
      </c>
    </row>
    <row r="10">
      <c r="B10" t="n">
        <v>13</v>
      </c>
      <c r="C10" t="inlineStr">
        <is>
          <t>Yes</t>
        </is>
      </c>
      <c r="D10" t="inlineStr">
        <is>
          <t>Description</t>
        </is>
      </c>
      <c r="E10" t="inlineStr">
        <is>
          <t>Contains</t>
        </is>
      </c>
      <c r="F10" t="inlineStr">
        <is>
          <t>E-TRANSFER SENT</t>
        </is>
      </c>
      <c r="G10" s="14" t="n"/>
      <c r="H10" s="14" t="n"/>
      <c r="I10" t="inlineStr">
        <is>
          <t>Money out</t>
        </is>
      </c>
      <c r="J10" t="inlineStr">
        <is>
          <t>Interac e-Transfer Sent</t>
        </is>
      </c>
      <c r="L10" t="n">
        <v>0</v>
      </c>
      <c r="M10" t="inlineStr">
        <is>
          <t>Built in</t>
        </is>
      </c>
    </row>
    <row r="11">
      <c r="B11" t="n">
        <v>13</v>
      </c>
      <c r="C11" t="inlineStr">
        <is>
          <t>Yes</t>
        </is>
      </c>
      <c r="D11" t="inlineStr">
        <is>
          <t>Description</t>
        </is>
      </c>
      <c r="E11" t="inlineStr">
        <is>
          <t>Contains</t>
        </is>
      </c>
      <c r="F11" t="inlineStr">
        <is>
          <t>INTERAC E-TRANSFER SENT</t>
        </is>
      </c>
      <c r="G11" s="14" t="n"/>
      <c r="H11" s="14" t="n"/>
      <c r="I11" t="inlineStr">
        <is>
          <t>Money out</t>
        </is>
      </c>
      <c r="J11" t="inlineStr">
        <is>
          <t>Interac e-Transfer Sent</t>
        </is>
      </c>
      <c r="L11" t="n">
        <v>0</v>
      </c>
      <c r="M11" t="inlineStr">
        <is>
          <t>Built in</t>
        </is>
      </c>
    </row>
    <row r="12">
      <c r="B12" t="n">
        <v>13</v>
      </c>
      <c r="C12" t="inlineStr">
        <is>
          <t>Yes</t>
        </is>
      </c>
      <c r="D12" t="inlineStr">
        <is>
          <t>Description</t>
        </is>
      </c>
      <c r="E12" t="inlineStr">
        <is>
          <t>Contains</t>
        </is>
      </c>
      <c r="F12" t="inlineStr">
        <is>
          <t>E-TRANSFER RECEIVED</t>
        </is>
      </c>
      <c r="G12" s="14" t="n"/>
      <c r="H12" s="14" t="n"/>
      <c r="I12" t="inlineStr">
        <is>
          <t>Money in</t>
        </is>
      </c>
      <c r="J12" t="inlineStr">
        <is>
          <t>Interac e-Transfer Received</t>
        </is>
      </c>
      <c r="L12" t="n">
        <v>0</v>
      </c>
      <c r="M12" t="inlineStr">
        <is>
          <t>Built in</t>
        </is>
      </c>
    </row>
    <row r="13">
      <c r="B13" t="n">
        <v>14</v>
      </c>
      <c r="C13" t="inlineStr">
        <is>
          <t>Yes</t>
        </is>
      </c>
      <c r="D13" t="inlineStr">
        <is>
          <t>Description</t>
        </is>
      </c>
      <c r="E13" t="inlineStr">
        <is>
          <t>Contains</t>
        </is>
      </c>
      <c r="F13" t="inlineStr">
        <is>
          <t>ATM WITHDRAWAL</t>
        </is>
      </c>
      <c r="G13" s="14" t="n"/>
      <c r="H13" s="14" t="n"/>
      <c r="I13" t="inlineStr">
        <is>
          <t>Money out</t>
        </is>
      </c>
      <c r="J13" t="inlineStr">
        <is>
          <t>Cash Withdrawal</t>
        </is>
      </c>
      <c r="L13" t="n">
        <v>0</v>
      </c>
      <c r="M13" t="inlineStr">
        <is>
          <t>Built in</t>
        </is>
      </c>
    </row>
    <row r="14">
      <c r="B14" t="n">
        <v>14</v>
      </c>
      <c r="C14" t="inlineStr">
        <is>
          <t>Yes</t>
        </is>
      </c>
      <c r="D14" t="inlineStr">
        <is>
          <t>Description</t>
        </is>
      </c>
      <c r="E14" t="inlineStr">
        <is>
          <t>Contains</t>
        </is>
      </c>
      <c r="F14" t="inlineStr">
        <is>
          <t>CASH WITHDRAWAL</t>
        </is>
      </c>
      <c r="G14" s="14" t="n"/>
      <c r="H14" s="14" t="n"/>
      <c r="I14" t="inlineStr">
        <is>
          <t>Money out</t>
        </is>
      </c>
      <c r="J14" t="inlineStr">
        <is>
          <t>Cash Withdrawal</t>
        </is>
      </c>
      <c r="L14" t="n">
        <v>0</v>
      </c>
      <c r="M14" t="inlineStr">
        <is>
          <t>Built in</t>
        </is>
      </c>
    </row>
    <row r="15">
      <c r="B15" t="n">
        <v>14</v>
      </c>
      <c r="C15" t="inlineStr">
        <is>
          <t>Yes</t>
        </is>
      </c>
      <c r="D15" t="inlineStr">
        <is>
          <t>Description</t>
        </is>
      </c>
      <c r="E15" t="inlineStr">
        <is>
          <t>Contains</t>
        </is>
      </c>
      <c r="F15" t="inlineStr">
        <is>
          <t>ABM WITHDRAWAL</t>
        </is>
      </c>
      <c r="G15" s="14" t="n"/>
      <c r="H15" s="14" t="n"/>
      <c r="I15" t="inlineStr">
        <is>
          <t>Money out</t>
        </is>
      </c>
      <c r="J15" t="inlineStr">
        <is>
          <t>Cash Withdrawal</t>
        </is>
      </c>
      <c r="L15" t="n">
        <v>0</v>
      </c>
      <c r="M15" t="inlineStr">
        <is>
          <t>Built in</t>
        </is>
      </c>
    </row>
    <row r="16">
      <c r="B16" t="n">
        <v>20</v>
      </c>
      <c r="C16" t="inlineStr">
        <is>
          <t>Yes</t>
        </is>
      </c>
      <c r="D16" t="inlineStr">
        <is>
          <t>Description</t>
        </is>
      </c>
      <c r="E16" t="inlineStr">
        <is>
          <t>Contains</t>
        </is>
      </c>
      <c r="F16" t="inlineStr">
        <is>
          <t>CANADA FED</t>
        </is>
      </c>
      <c r="G16" s="14" t="n"/>
      <c r="H16" s="14" t="n"/>
      <c r="I16" t="inlineStr">
        <is>
          <t>Money in</t>
        </is>
      </c>
      <c r="J16" t="inlineStr">
        <is>
          <t>Canada Child Benefit</t>
        </is>
      </c>
      <c r="L16" t="n">
        <v>0</v>
      </c>
      <c r="M16" t="inlineStr">
        <is>
          <t>Built in</t>
        </is>
      </c>
    </row>
    <row r="17">
      <c r="B17" t="n">
        <v>20</v>
      </c>
      <c r="C17" t="inlineStr">
        <is>
          <t>Yes</t>
        </is>
      </c>
      <c r="D17" t="inlineStr">
        <is>
          <t>Description</t>
        </is>
      </c>
      <c r="E17" t="inlineStr">
        <is>
          <t>Contains</t>
        </is>
      </c>
      <c r="F17" t="inlineStr">
        <is>
          <t>CANADA CCB</t>
        </is>
      </c>
      <c r="G17" s="14" t="n"/>
      <c r="H17" s="14" t="n"/>
      <c r="I17" t="inlineStr">
        <is>
          <t>Money in</t>
        </is>
      </c>
      <c r="J17" t="inlineStr">
        <is>
          <t>Canada Child Benefit</t>
        </is>
      </c>
      <c r="L17" t="n">
        <v>0</v>
      </c>
      <c r="M17" t="inlineStr">
        <is>
          <t>Built in</t>
        </is>
      </c>
    </row>
    <row r="18">
      <c r="B18" t="n">
        <v>21</v>
      </c>
      <c r="C18" t="inlineStr">
        <is>
          <t>Yes</t>
        </is>
      </c>
      <c r="D18" t="inlineStr">
        <is>
          <t>Description</t>
        </is>
      </c>
      <c r="E18" t="inlineStr">
        <is>
          <t>Contains</t>
        </is>
      </c>
      <c r="F18" t="inlineStr">
        <is>
          <t>GST</t>
        </is>
      </c>
      <c r="G18" s="14" t="n"/>
      <c r="H18" s="14" t="n"/>
      <c r="I18" t="inlineStr">
        <is>
          <t>Money in</t>
        </is>
      </c>
      <c r="J18" t="inlineStr">
        <is>
          <t>GST/HST Credit</t>
        </is>
      </c>
      <c r="L18" t="n">
        <v>0</v>
      </c>
      <c r="M18" t="inlineStr">
        <is>
          <t>Built in</t>
        </is>
      </c>
    </row>
    <row r="19">
      <c r="B19" t="n">
        <v>21</v>
      </c>
      <c r="C19" t="inlineStr">
        <is>
          <t>Yes</t>
        </is>
      </c>
      <c r="D19" t="inlineStr">
        <is>
          <t>Description</t>
        </is>
      </c>
      <c r="E19" t="inlineStr">
        <is>
          <t>Contains</t>
        </is>
      </c>
      <c r="F19" t="inlineStr">
        <is>
          <t>CANADA CARBON REBATE</t>
        </is>
      </c>
      <c r="G19" s="14" t="n"/>
      <c r="H19" s="14" t="n"/>
      <c r="I19" t="inlineStr">
        <is>
          <t>Money in</t>
        </is>
      </c>
      <c r="J19" t="inlineStr">
        <is>
          <t>Canada Carbon Rebate</t>
        </is>
      </c>
      <c r="L19" t="n">
        <v>0</v>
      </c>
      <c r="M19" t="inlineStr">
        <is>
          <t>Built in</t>
        </is>
      </c>
    </row>
    <row r="20">
      <c r="B20" t="n">
        <v>21</v>
      </c>
      <c r="C20" t="inlineStr">
        <is>
          <t>Yes</t>
        </is>
      </c>
      <c r="D20" t="inlineStr">
        <is>
          <t>Description</t>
        </is>
      </c>
      <c r="E20" t="inlineStr">
        <is>
          <t>Contains</t>
        </is>
      </c>
      <c r="F20" t="inlineStr">
        <is>
          <t>CLIMATE ACTION INCENTIVE</t>
        </is>
      </c>
      <c r="G20" s="14" t="n"/>
      <c r="H20" s="14" t="n"/>
      <c r="I20" t="inlineStr">
        <is>
          <t>Money in</t>
        </is>
      </c>
      <c r="J20" t="inlineStr">
        <is>
          <t>Canada Carbon Rebate</t>
        </is>
      </c>
      <c r="L20" t="n">
        <v>0</v>
      </c>
      <c r="M20" t="inlineStr">
        <is>
          <t>Built in</t>
        </is>
      </c>
    </row>
    <row r="21">
      <c r="B21" t="n">
        <v>22</v>
      </c>
      <c r="C21" t="inlineStr">
        <is>
          <t>Yes</t>
        </is>
      </c>
      <c r="D21" t="inlineStr">
        <is>
          <t>Description</t>
        </is>
      </c>
      <c r="E21" t="inlineStr">
        <is>
          <t>Contains</t>
        </is>
      </c>
      <c r="F21" t="inlineStr">
        <is>
          <t>CANADA REVENUE AGENCY</t>
        </is>
      </c>
      <c r="G21" s="14" t="n"/>
      <c r="H21" s="14" t="n"/>
      <c r="I21" t="inlineStr">
        <is>
          <t>Money in</t>
        </is>
      </c>
      <c r="J21" t="inlineStr">
        <is>
          <t>Tax Refund (CRA)</t>
        </is>
      </c>
      <c r="L21" t="n">
        <v>0</v>
      </c>
      <c r="M21" t="inlineStr">
        <is>
          <t>Built in</t>
        </is>
      </c>
    </row>
    <row r="22">
      <c r="B22" t="n">
        <v>22</v>
      </c>
      <c r="C22" t="inlineStr">
        <is>
          <t>Yes</t>
        </is>
      </c>
      <c r="D22" t="inlineStr">
        <is>
          <t>Description</t>
        </is>
      </c>
      <c r="E22" t="inlineStr">
        <is>
          <t>Contains</t>
        </is>
      </c>
      <c r="F22" t="inlineStr">
        <is>
          <t>CRA REFUND</t>
        </is>
      </c>
      <c r="G22" s="14" t="n"/>
      <c r="H22" s="14" t="n"/>
      <c r="I22" t="inlineStr">
        <is>
          <t>Money in</t>
        </is>
      </c>
      <c r="J22" t="inlineStr">
        <is>
          <t>Tax Refund (CRA)</t>
        </is>
      </c>
      <c r="L22" t="n">
        <v>0</v>
      </c>
      <c r="M22" t="inlineStr">
        <is>
          <t>Built in</t>
        </is>
      </c>
    </row>
    <row r="23">
      <c r="B23" t="n">
        <v>23</v>
      </c>
      <c r="C23" t="inlineStr">
        <is>
          <t>Yes</t>
        </is>
      </c>
      <c r="D23" t="inlineStr">
        <is>
          <t>Description</t>
        </is>
      </c>
      <c r="E23" t="inlineStr">
        <is>
          <t>Contains</t>
        </is>
      </c>
      <c r="F23" t="inlineStr">
        <is>
          <t>CANADA REVENUE AGENCY</t>
        </is>
      </c>
      <c r="G23" s="14" t="n"/>
      <c r="H23" s="14" t="n"/>
      <c r="I23" t="inlineStr">
        <is>
          <t>Money out</t>
        </is>
      </c>
      <c r="J23" t="inlineStr">
        <is>
          <t>Tax Payment to CRA</t>
        </is>
      </c>
      <c r="L23" t="n">
        <v>0</v>
      </c>
      <c r="M23" t="inlineStr">
        <is>
          <t>Built in</t>
        </is>
      </c>
    </row>
    <row r="24">
      <c r="B24" t="n">
        <v>24</v>
      </c>
      <c r="C24" t="inlineStr">
        <is>
          <t>Yes</t>
        </is>
      </c>
      <c r="D24" t="inlineStr">
        <is>
          <t>Description</t>
        </is>
      </c>
      <c r="E24" t="inlineStr">
        <is>
          <t>Contains</t>
        </is>
      </c>
      <c r="F24" t="inlineStr">
        <is>
          <t>EMPLOYMENT INSURANCE</t>
        </is>
      </c>
      <c r="G24" s="14" t="n"/>
      <c r="H24" s="14" t="n"/>
      <c r="I24" t="inlineStr">
        <is>
          <t>Money in</t>
        </is>
      </c>
      <c r="J24" t="inlineStr">
        <is>
          <t>EI Benefits</t>
        </is>
      </c>
      <c r="L24" t="n">
        <v>0</v>
      </c>
      <c r="M24" t="inlineStr">
        <is>
          <t>Built in</t>
        </is>
      </c>
    </row>
    <row r="25">
      <c r="B25" t="n">
        <v>24</v>
      </c>
      <c r="C25" t="inlineStr">
        <is>
          <t>Yes</t>
        </is>
      </c>
      <c r="D25" t="inlineStr">
        <is>
          <t>Description</t>
        </is>
      </c>
      <c r="E25" t="inlineStr">
        <is>
          <t>Contains</t>
        </is>
      </c>
      <c r="F25" t="inlineStr">
        <is>
          <t>CANADA EI</t>
        </is>
      </c>
      <c r="G25" s="14" t="n"/>
      <c r="H25" s="14" t="n"/>
      <c r="I25" t="inlineStr">
        <is>
          <t>Money in</t>
        </is>
      </c>
      <c r="J25" t="inlineStr">
        <is>
          <t>EI Benefits</t>
        </is>
      </c>
      <c r="L25" t="n">
        <v>0</v>
      </c>
      <c r="M25" t="inlineStr">
        <is>
          <t>Built in</t>
        </is>
      </c>
    </row>
    <row r="26">
      <c r="B26" t="n">
        <v>25</v>
      </c>
      <c r="C26" t="inlineStr">
        <is>
          <t>Yes</t>
        </is>
      </c>
      <c r="D26" t="inlineStr">
        <is>
          <t>Description</t>
        </is>
      </c>
      <c r="E26" t="inlineStr">
        <is>
          <t>Contains</t>
        </is>
      </c>
      <c r="F26" t="inlineStr">
        <is>
          <t>PAYROLL DEP</t>
        </is>
      </c>
      <c r="G26" s="14" t="n"/>
      <c r="H26" s="14" t="n"/>
      <c r="I26" t="inlineStr">
        <is>
          <t>Money in</t>
        </is>
      </c>
      <c r="J26" t="inlineStr">
        <is>
          <t>Employment Income</t>
        </is>
      </c>
      <c r="L26" t="n">
        <v>0</v>
      </c>
      <c r="M26" t="inlineStr">
        <is>
          <t>Built in</t>
        </is>
      </c>
    </row>
    <row r="27">
      <c r="B27" t="n">
        <v>25</v>
      </c>
      <c r="C27" t="inlineStr">
        <is>
          <t>Yes</t>
        </is>
      </c>
      <c r="D27" t="inlineStr">
        <is>
          <t>Description</t>
        </is>
      </c>
      <c r="E27" t="inlineStr">
        <is>
          <t>Contains</t>
        </is>
      </c>
      <c r="F27" t="inlineStr">
        <is>
          <t>PAY DEPOSIT</t>
        </is>
      </c>
      <c r="G27" s="14" t="n"/>
      <c r="H27" s="14" t="n"/>
      <c r="I27" t="inlineStr">
        <is>
          <t>Money in</t>
        </is>
      </c>
      <c r="J27" t="inlineStr">
        <is>
          <t>Employment Income</t>
        </is>
      </c>
      <c r="L27" t="n">
        <v>0</v>
      </c>
      <c r="M27" t="inlineStr">
        <is>
          <t>Built in</t>
        </is>
      </c>
    </row>
    <row r="28">
      <c r="B28" t="n">
        <v>25</v>
      </c>
      <c r="C28" t="inlineStr">
        <is>
          <t>Yes</t>
        </is>
      </c>
      <c r="D28" t="inlineStr">
        <is>
          <t>Description</t>
        </is>
      </c>
      <c r="E28" t="inlineStr">
        <is>
          <t>Contains</t>
        </is>
      </c>
      <c r="F28" t="inlineStr">
        <is>
          <t>DIRECT DEPOSIT</t>
        </is>
      </c>
      <c r="G28" s="14" t="n"/>
      <c r="H28" s="14" t="n"/>
      <c r="I28" t="inlineStr">
        <is>
          <t>Money in</t>
        </is>
      </c>
      <c r="J28" t="inlineStr">
        <is>
          <t>Employment Income</t>
        </is>
      </c>
      <c r="L28" t="n">
        <v>0</v>
      </c>
      <c r="M28" t="inlineStr">
        <is>
          <t>Built in</t>
        </is>
      </c>
    </row>
    <row r="29">
      <c r="B29" t="n">
        <v>25</v>
      </c>
      <c r="C29" t="inlineStr">
        <is>
          <t>Yes</t>
        </is>
      </c>
      <c r="D29" t="inlineStr">
        <is>
          <t>Description</t>
        </is>
      </c>
      <c r="E29" t="inlineStr">
        <is>
          <t>Contains</t>
        </is>
      </c>
      <c r="F29" t="inlineStr">
        <is>
          <t>PAYROLL</t>
        </is>
      </c>
      <c r="G29" s="14" t="n"/>
      <c r="H29" s="14" t="n"/>
      <c r="I29" t="inlineStr">
        <is>
          <t>Money in</t>
        </is>
      </c>
      <c r="J29" t="inlineStr">
        <is>
          <t>Employment Income</t>
        </is>
      </c>
      <c r="L29" t="n">
        <v>0</v>
      </c>
      <c r="M29" t="inlineStr">
        <is>
          <t>Built in</t>
        </is>
      </c>
    </row>
    <row r="30">
      <c r="B30" t="n">
        <v>40</v>
      </c>
      <c r="C30" t="inlineStr">
        <is>
          <t>Yes</t>
        </is>
      </c>
      <c r="D30" t="inlineStr">
        <is>
          <t>Merchant</t>
        </is>
      </c>
      <c r="E30" t="inlineStr">
        <is>
          <t>Contains</t>
        </is>
      </c>
      <c r="F30" t="inlineStr">
        <is>
          <t>LOBLAW</t>
        </is>
      </c>
      <c r="G30" s="14" t="n"/>
      <c r="H30" s="14" t="n"/>
      <c r="I30" t="inlineStr">
        <is>
          <t>Money out</t>
        </is>
      </c>
      <c r="J30" t="inlineStr">
        <is>
          <t>Groceries</t>
        </is>
      </c>
      <c r="L30" t="n">
        <v>0</v>
      </c>
      <c r="M30" t="inlineStr">
        <is>
          <t>Built in</t>
        </is>
      </c>
    </row>
    <row r="31">
      <c r="B31" t="n">
        <v>40</v>
      </c>
      <c r="C31" t="inlineStr">
        <is>
          <t>Yes</t>
        </is>
      </c>
      <c r="D31" t="inlineStr">
        <is>
          <t>Merchant</t>
        </is>
      </c>
      <c r="E31" t="inlineStr">
        <is>
          <t>Contains</t>
        </is>
      </c>
      <c r="F31" t="inlineStr">
        <is>
          <t>NO FRILLS</t>
        </is>
      </c>
      <c r="G31" s="14" t="n"/>
      <c r="H31" s="14" t="n"/>
      <c r="I31" t="inlineStr">
        <is>
          <t>Money out</t>
        </is>
      </c>
      <c r="J31" t="inlineStr">
        <is>
          <t>Groceries</t>
        </is>
      </c>
      <c r="L31" t="n">
        <v>0</v>
      </c>
      <c r="M31" t="inlineStr">
        <is>
          <t>Built in</t>
        </is>
      </c>
    </row>
    <row r="32">
      <c r="B32" t="n">
        <v>40</v>
      </c>
      <c r="C32" t="inlineStr">
        <is>
          <t>Yes</t>
        </is>
      </c>
      <c r="D32" t="inlineStr">
        <is>
          <t>Merchant</t>
        </is>
      </c>
      <c r="E32" t="inlineStr">
        <is>
          <t>Contains</t>
        </is>
      </c>
      <c r="F32" t="inlineStr">
        <is>
          <t>REAL CDN SUPERSTORE</t>
        </is>
      </c>
      <c r="G32" s="14" t="n"/>
      <c r="H32" s="14" t="n"/>
      <c r="I32" t="inlineStr">
        <is>
          <t>Money out</t>
        </is>
      </c>
      <c r="J32" t="inlineStr">
        <is>
          <t>Groceries</t>
        </is>
      </c>
      <c r="L32" t="n">
        <v>0</v>
      </c>
      <c r="M32" t="inlineStr">
        <is>
          <t>Built in</t>
        </is>
      </c>
    </row>
    <row r="33">
      <c r="B33" t="n">
        <v>40</v>
      </c>
      <c r="C33" t="inlineStr">
        <is>
          <t>Yes</t>
        </is>
      </c>
      <c r="D33" t="inlineStr">
        <is>
          <t>Merchant</t>
        </is>
      </c>
      <c r="E33" t="inlineStr">
        <is>
          <t>Contains</t>
        </is>
      </c>
      <c r="F33" t="inlineStr">
        <is>
          <t>REAL CANADIAN SUPERSTORE</t>
        </is>
      </c>
      <c r="G33" s="14" t="n"/>
      <c r="H33" s="14" t="n"/>
      <c r="I33" t="inlineStr">
        <is>
          <t>Money out</t>
        </is>
      </c>
      <c r="J33" t="inlineStr">
        <is>
          <t>Groceries</t>
        </is>
      </c>
      <c r="L33" t="n">
        <v>0</v>
      </c>
      <c r="M33" t="inlineStr">
        <is>
          <t>Built in</t>
        </is>
      </c>
    </row>
    <row r="34">
      <c r="B34" t="n">
        <v>40</v>
      </c>
      <c r="C34" t="inlineStr">
        <is>
          <t>Yes</t>
        </is>
      </c>
      <c r="D34" t="inlineStr">
        <is>
          <t>Merchant</t>
        </is>
      </c>
      <c r="E34" t="inlineStr">
        <is>
          <t>Contains</t>
        </is>
      </c>
      <c r="F34" t="inlineStr">
        <is>
          <t>METRO</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SOBEYS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SAFEWAY</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FOODLAND</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Contains</t>
        </is>
      </c>
      <c r="F38" t="inlineStr">
        <is>
          <t>IGA</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PROVIGO</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MAXI</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SUPER C</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Contains</t>
        </is>
      </c>
      <c r="F42" t="inlineStr">
        <is>
          <t>FRESHCO</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FARM BOY</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Contains</t>
        </is>
      </c>
      <c r="F44" t="inlineStr">
        <is>
          <t>WHOLE FOODS</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Contains</t>
        </is>
      </c>
      <c r="F45" t="inlineStr">
        <is>
          <t>T&amp;T SUPERMARKET</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SAVE ON FOODS</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COSTCO WHOLESALE</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WALMART</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BULK BARN</t>
        </is>
      </c>
      <c r="G49" s="14" t="n"/>
      <c r="H49" s="14" t="n"/>
      <c r="I49" t="inlineStr">
        <is>
          <t>Money out</t>
        </is>
      </c>
      <c r="J49" t="inlineStr">
        <is>
          <t>Groceries</t>
        </is>
      </c>
      <c r="L49" t="n">
        <v>0</v>
      </c>
      <c r="M49" t="inlineStr">
        <is>
          <t>Built in</t>
        </is>
      </c>
    </row>
    <row r="50">
      <c r="B50" t="n">
        <v>45</v>
      </c>
      <c r="C50" t="inlineStr">
        <is>
          <t>Yes</t>
        </is>
      </c>
      <c r="D50" t="inlineStr">
        <is>
          <t>Merchant</t>
        </is>
      </c>
      <c r="E50" t="inlineStr">
        <is>
          <t>Contains</t>
        </is>
      </c>
      <c r="F50" t="inlineStr">
        <is>
          <t>TIM HORTONS</t>
        </is>
      </c>
      <c r="G50" s="14" t="n"/>
      <c r="H50" s="14" t="n"/>
      <c r="I50" t="inlineStr">
        <is>
          <t>Money out</t>
        </is>
      </c>
      <c r="J50" t="inlineStr">
        <is>
          <t>Coffee &amp; Snacks</t>
        </is>
      </c>
      <c r="L50" t="n">
        <v>0</v>
      </c>
      <c r="M50" t="inlineStr">
        <is>
          <t>Built in</t>
        </is>
      </c>
    </row>
    <row r="51">
      <c r="B51" t="n">
        <v>45</v>
      </c>
      <c r="C51" t="inlineStr">
        <is>
          <t>Yes</t>
        </is>
      </c>
      <c r="D51" t="inlineStr">
        <is>
          <t>Merchant</t>
        </is>
      </c>
      <c r="E51" t="inlineStr">
        <is>
          <t>Contains</t>
        </is>
      </c>
      <c r="F51" t="inlineStr">
        <is>
          <t>STARBUCKS</t>
        </is>
      </c>
      <c r="G51" s="14" t="n"/>
      <c r="H51" s="14" t="n"/>
      <c r="I51" t="inlineStr">
        <is>
          <t>Money out</t>
        </is>
      </c>
      <c r="J51" t="inlineStr">
        <is>
          <t>Coffee &amp; Snacks</t>
        </is>
      </c>
      <c r="L51" t="n">
        <v>0</v>
      </c>
      <c r="M51" t="inlineStr">
        <is>
          <t>Built in</t>
        </is>
      </c>
    </row>
    <row r="52">
      <c r="B52" t="n">
        <v>45</v>
      </c>
      <c r="C52" t="inlineStr">
        <is>
          <t>Yes</t>
        </is>
      </c>
      <c r="D52" t="inlineStr">
        <is>
          <t>Merchant</t>
        </is>
      </c>
      <c r="E52" t="inlineStr">
        <is>
          <t>Contains</t>
        </is>
      </c>
      <c r="F52" t="inlineStr">
        <is>
          <t>SECOND CUP</t>
        </is>
      </c>
      <c r="G52" s="14" t="n"/>
      <c r="H52" s="14" t="n"/>
      <c r="I52" t="inlineStr">
        <is>
          <t>Money out</t>
        </is>
      </c>
      <c r="J52" t="inlineStr">
        <is>
          <t>Coffee &amp; Snacks</t>
        </is>
      </c>
      <c r="L52" t="n">
        <v>0</v>
      </c>
      <c r="M52" t="inlineStr">
        <is>
          <t>Built in</t>
        </is>
      </c>
    </row>
    <row r="53">
      <c r="B53" t="n">
        <v>45</v>
      </c>
      <c r="C53" t="inlineStr">
        <is>
          <t>Yes</t>
        </is>
      </c>
      <c r="D53" t="inlineStr">
        <is>
          <t>Merchant</t>
        </is>
      </c>
      <c r="E53" t="inlineStr">
        <is>
          <t>Contains</t>
        </is>
      </c>
      <c r="F53" t="inlineStr">
        <is>
          <t>COUNTRY STYLE</t>
        </is>
      </c>
      <c r="G53" s="14" t="n"/>
      <c r="H53" s="14" t="n"/>
      <c r="I53" t="inlineStr">
        <is>
          <t>Money out</t>
        </is>
      </c>
      <c r="J53" t="inlineStr">
        <is>
          <t>Coffee &amp; Snacks</t>
        </is>
      </c>
      <c r="L53" t="n">
        <v>0</v>
      </c>
      <c r="M53" t="inlineStr">
        <is>
          <t>Built in</t>
        </is>
      </c>
    </row>
    <row r="54">
      <c r="B54" t="n">
        <v>46</v>
      </c>
      <c r="C54" t="inlineStr">
        <is>
          <t>Yes</t>
        </is>
      </c>
      <c r="D54" t="inlineStr">
        <is>
          <t>Merchant</t>
        </is>
      </c>
      <c r="E54" t="inlineStr">
        <is>
          <t>Contains</t>
        </is>
      </c>
      <c r="F54" t="inlineStr">
        <is>
          <t>MCDONALD</t>
        </is>
      </c>
      <c r="G54" s="14" t="n"/>
      <c r="H54" s="14" t="n"/>
      <c r="I54" t="inlineStr">
        <is>
          <t>Money out</t>
        </is>
      </c>
      <c r="J54" t="inlineStr">
        <is>
          <t>Restaurants &amp; Takeout</t>
        </is>
      </c>
      <c r="L54" t="n">
        <v>0</v>
      </c>
      <c r="M54" t="inlineStr">
        <is>
          <t>Built in</t>
        </is>
      </c>
    </row>
    <row r="55">
      <c r="B55" t="n">
        <v>46</v>
      </c>
      <c r="C55" t="inlineStr">
        <is>
          <t>Yes</t>
        </is>
      </c>
      <c r="D55" t="inlineStr">
        <is>
          <t>Merchant</t>
        </is>
      </c>
      <c r="E55" t="inlineStr">
        <is>
          <t>Contains</t>
        </is>
      </c>
      <c r="F55" t="inlineStr">
        <is>
          <t>A&amp;W</t>
        </is>
      </c>
      <c r="G55" s="14" t="n"/>
      <c r="H55" s="14" t="n"/>
      <c r="I55" t="inlineStr">
        <is>
          <t>Money out</t>
        </is>
      </c>
      <c r="J55" t="inlineStr">
        <is>
          <t>Restaurants &amp; Takeout</t>
        </is>
      </c>
      <c r="L55" t="n">
        <v>0</v>
      </c>
      <c r="M55" t="inlineStr">
        <is>
          <t>Built in</t>
        </is>
      </c>
    </row>
    <row r="56">
      <c r="B56" t="n">
        <v>46</v>
      </c>
      <c r="C56" t="inlineStr">
        <is>
          <t>Yes</t>
        </is>
      </c>
      <c r="D56" t="inlineStr">
        <is>
          <t>Merchant</t>
        </is>
      </c>
      <c r="E56" t="inlineStr">
        <is>
          <t>Contains</t>
        </is>
      </c>
      <c r="F56" t="inlineStr">
        <is>
          <t>SUBWAY</t>
        </is>
      </c>
      <c r="G56" s="14" t="n"/>
      <c r="H56" s="14" t="n"/>
      <c r="I56" t="inlineStr">
        <is>
          <t>Money out</t>
        </is>
      </c>
      <c r="J56" t="inlineStr">
        <is>
          <t>Restaurants &amp; Takeout</t>
        </is>
      </c>
      <c r="L56" t="n">
        <v>0</v>
      </c>
      <c r="M56" t="inlineStr">
        <is>
          <t>Built in</t>
        </is>
      </c>
    </row>
    <row r="57">
      <c r="B57" t="n">
        <v>46</v>
      </c>
      <c r="C57" t="inlineStr">
        <is>
          <t>Yes</t>
        </is>
      </c>
      <c r="D57" t="inlineStr">
        <is>
          <t>Merchant</t>
        </is>
      </c>
      <c r="E57" t="inlineStr">
        <is>
          <t>Contains</t>
        </is>
      </c>
      <c r="F57" t="inlineStr">
        <is>
          <t>HARVEY</t>
        </is>
      </c>
      <c r="G57" s="14" t="n"/>
      <c r="H57" s="14" t="n"/>
      <c r="I57" t="inlineStr">
        <is>
          <t>Money out</t>
        </is>
      </c>
      <c r="J57" t="inlineStr">
        <is>
          <t>Restaurants &amp; Takeout</t>
        </is>
      </c>
      <c r="L57" t="n">
        <v>0</v>
      </c>
      <c r="M57" t="inlineStr">
        <is>
          <t>Built in</t>
        </is>
      </c>
    </row>
    <row r="58">
      <c r="B58" t="n">
        <v>46</v>
      </c>
      <c r="C58" t="inlineStr">
        <is>
          <t>Yes</t>
        </is>
      </c>
      <c r="D58" t="inlineStr">
        <is>
          <t>Merchant</t>
        </is>
      </c>
      <c r="E58" t="inlineStr">
        <is>
          <t>Contains</t>
        </is>
      </c>
      <c r="F58" t="inlineStr">
        <is>
          <t>SWISS CHALET</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Contains</t>
        </is>
      </c>
      <c r="F59" t="inlineStr">
        <is>
          <t>BOSTON PIZZA</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PIZZA</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SKIPTHEDISHES</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UBER EATS</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DOORDASH</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RESTAURANT</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SUSHI</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CAFE</t>
        </is>
      </c>
      <c r="G66" s="14" t="n"/>
      <c r="H66" s="14" t="n"/>
      <c r="I66" t="inlineStr">
        <is>
          <t>Money out</t>
        </is>
      </c>
      <c r="J66" t="inlineStr">
        <is>
          <t>Restaurants &amp; Takeout</t>
        </is>
      </c>
      <c r="L66" t="n">
        <v>0</v>
      </c>
      <c r="M66" t="inlineStr">
        <is>
          <t>Built in</t>
        </is>
      </c>
    </row>
    <row r="67">
      <c r="B67" t="n">
        <v>47</v>
      </c>
      <c r="C67" t="inlineStr">
        <is>
          <t>Yes</t>
        </is>
      </c>
      <c r="D67" t="inlineStr">
        <is>
          <t>Merchant</t>
        </is>
      </c>
      <c r="E67" t="inlineStr">
        <is>
          <t>Contains</t>
        </is>
      </c>
      <c r="F67" t="inlineStr">
        <is>
          <t>LCBO</t>
        </is>
      </c>
      <c r="G67" s="14" t="n"/>
      <c r="H67" s="14" t="n"/>
      <c r="I67" t="inlineStr">
        <is>
          <t>Money out</t>
        </is>
      </c>
      <c r="J67" t="inlineStr">
        <is>
          <t>Alcohol</t>
        </is>
      </c>
      <c r="L67" t="n">
        <v>0</v>
      </c>
      <c r="M67" t="inlineStr">
        <is>
          <t>Built in</t>
        </is>
      </c>
    </row>
    <row r="68">
      <c r="B68" t="n">
        <v>47</v>
      </c>
      <c r="C68" t="inlineStr">
        <is>
          <t>Yes</t>
        </is>
      </c>
      <c r="D68" t="inlineStr">
        <is>
          <t>Merchant</t>
        </is>
      </c>
      <c r="E68" t="inlineStr">
        <is>
          <t>Contains</t>
        </is>
      </c>
      <c r="F68" t="inlineStr">
        <is>
          <t>SAQ</t>
        </is>
      </c>
      <c r="G68" s="14" t="n"/>
      <c r="H68" s="14" t="n"/>
      <c r="I68" t="inlineStr">
        <is>
          <t>Money out</t>
        </is>
      </c>
      <c r="J68" t="inlineStr">
        <is>
          <t>Alcohol</t>
        </is>
      </c>
      <c r="L68" t="n">
        <v>0</v>
      </c>
      <c r="M68" t="inlineStr">
        <is>
          <t>Built in</t>
        </is>
      </c>
    </row>
    <row r="69">
      <c r="B69" t="n">
        <v>47</v>
      </c>
      <c r="C69" t="inlineStr">
        <is>
          <t>Yes</t>
        </is>
      </c>
      <c r="D69" t="inlineStr">
        <is>
          <t>Merchant</t>
        </is>
      </c>
      <c r="E69" t="inlineStr">
        <is>
          <t>Contains</t>
        </is>
      </c>
      <c r="F69" t="inlineStr">
        <is>
          <t>BC LIQUOR</t>
        </is>
      </c>
      <c r="G69" s="14" t="n"/>
      <c r="H69" s="14" t="n"/>
      <c r="I69" t="inlineStr">
        <is>
          <t>Money out</t>
        </is>
      </c>
      <c r="J69" t="inlineStr">
        <is>
          <t>Alcohol</t>
        </is>
      </c>
      <c r="L69" t="n">
        <v>0</v>
      </c>
      <c r="M69" t="inlineStr">
        <is>
          <t>Built in</t>
        </is>
      </c>
    </row>
    <row r="70">
      <c r="B70" t="n">
        <v>47</v>
      </c>
      <c r="C70" t="inlineStr">
        <is>
          <t>Yes</t>
        </is>
      </c>
      <c r="D70" t="inlineStr">
        <is>
          <t>Merchant</t>
        </is>
      </c>
      <c r="E70" t="inlineStr">
        <is>
          <t>Contains</t>
        </is>
      </c>
      <c r="F70" t="inlineStr">
        <is>
          <t>BEER STORE</t>
        </is>
      </c>
      <c r="G70" s="14" t="n"/>
      <c r="H70" s="14" t="n"/>
      <c r="I70" t="inlineStr">
        <is>
          <t>Money out</t>
        </is>
      </c>
      <c r="J70" t="inlineStr">
        <is>
          <t>Alcohol</t>
        </is>
      </c>
      <c r="L70" t="n">
        <v>0</v>
      </c>
      <c r="M70" t="inlineStr">
        <is>
          <t>Built in</t>
        </is>
      </c>
    </row>
    <row r="71">
      <c r="B71" t="n">
        <v>47</v>
      </c>
      <c r="C71" t="inlineStr">
        <is>
          <t>Yes</t>
        </is>
      </c>
      <c r="D71" t="inlineStr">
        <is>
          <t>Merchant</t>
        </is>
      </c>
      <c r="E71" t="inlineStr">
        <is>
          <t>Contains</t>
        </is>
      </c>
      <c r="F71" t="inlineStr">
        <is>
          <t>ANBL</t>
        </is>
      </c>
      <c r="G71" s="14" t="n"/>
      <c r="H71" s="14" t="n"/>
      <c r="I71" t="inlineStr">
        <is>
          <t>Money out</t>
        </is>
      </c>
      <c r="J71" t="inlineStr">
        <is>
          <t>Alcohol</t>
        </is>
      </c>
      <c r="L71" t="n">
        <v>0</v>
      </c>
      <c r="M71" t="inlineStr">
        <is>
          <t>Built in</t>
        </is>
      </c>
    </row>
    <row r="72">
      <c r="B72" t="n">
        <v>48</v>
      </c>
      <c r="C72" t="inlineStr">
        <is>
          <t>Yes</t>
        </is>
      </c>
      <c r="D72" t="inlineStr">
        <is>
          <t>Merchant</t>
        </is>
      </c>
      <c r="E72" t="inlineStr">
        <is>
          <t>Contains</t>
        </is>
      </c>
      <c r="F72" t="inlineStr">
        <is>
          <t>OCS</t>
        </is>
      </c>
      <c r="G72" s="14" t="n"/>
      <c r="H72" s="14" t="n"/>
      <c r="I72" t="inlineStr">
        <is>
          <t>Money out</t>
        </is>
      </c>
      <c r="J72" t="inlineStr">
        <is>
          <t>Cannabis</t>
        </is>
      </c>
      <c r="L72" t="n">
        <v>0</v>
      </c>
      <c r="M72" t="inlineStr">
        <is>
          <t>Built in</t>
        </is>
      </c>
    </row>
    <row r="73">
      <c r="B73" t="n">
        <v>48</v>
      </c>
      <c r="C73" t="inlineStr">
        <is>
          <t>Yes</t>
        </is>
      </c>
      <c r="D73" t="inlineStr">
        <is>
          <t>Merchant</t>
        </is>
      </c>
      <c r="E73" t="inlineStr">
        <is>
          <t>Contains</t>
        </is>
      </c>
      <c r="F73" t="inlineStr">
        <is>
          <t>CANNABIS</t>
        </is>
      </c>
      <c r="G73" s="14" t="n"/>
      <c r="H73" s="14" t="n"/>
      <c r="I73" t="inlineStr">
        <is>
          <t>Money out</t>
        </is>
      </c>
      <c r="J73" t="inlineStr">
        <is>
          <t>Cannabis</t>
        </is>
      </c>
      <c r="L73" t="n">
        <v>0</v>
      </c>
      <c r="M73" t="inlineStr">
        <is>
          <t>Built in</t>
        </is>
      </c>
    </row>
    <row r="74">
      <c r="B74" t="n">
        <v>48</v>
      </c>
      <c r="C74" t="inlineStr">
        <is>
          <t>Yes</t>
        </is>
      </c>
      <c r="D74" t="inlineStr">
        <is>
          <t>Merchant</t>
        </is>
      </c>
      <c r="E74" t="inlineStr">
        <is>
          <t>Contains</t>
        </is>
      </c>
      <c r="F74" t="inlineStr">
        <is>
          <t>TOKYO SMOKE</t>
        </is>
      </c>
      <c r="G74" s="14" t="n"/>
      <c r="H74" s="14" t="n"/>
      <c r="I74" t="inlineStr">
        <is>
          <t>Money out</t>
        </is>
      </c>
      <c r="J74" t="inlineStr">
        <is>
          <t>Cannabis</t>
        </is>
      </c>
      <c r="L74" t="n">
        <v>0</v>
      </c>
      <c r="M74" t="inlineStr">
        <is>
          <t>Built in</t>
        </is>
      </c>
    </row>
    <row r="75">
      <c r="B75" t="n">
        <v>50</v>
      </c>
      <c r="C75" t="inlineStr">
        <is>
          <t>Yes</t>
        </is>
      </c>
      <c r="D75" t="inlineStr">
        <is>
          <t>Merchant</t>
        </is>
      </c>
      <c r="E75" t="inlineStr">
        <is>
          <t>Contains</t>
        </is>
      </c>
      <c r="F75" t="inlineStr">
        <is>
          <t>PETRO-CANADA</t>
        </is>
      </c>
      <c r="G75" s="14" t="n"/>
      <c r="H75" s="14" t="n"/>
      <c r="I75" t="inlineStr">
        <is>
          <t>Money out</t>
        </is>
      </c>
      <c r="J75" t="inlineStr">
        <is>
          <t>Fuel</t>
        </is>
      </c>
      <c r="L75" t="n">
        <v>0</v>
      </c>
      <c r="M75" t="inlineStr">
        <is>
          <t>Built in</t>
        </is>
      </c>
    </row>
    <row r="76">
      <c r="B76" t="n">
        <v>50</v>
      </c>
      <c r="C76" t="inlineStr">
        <is>
          <t>Yes</t>
        </is>
      </c>
      <c r="D76" t="inlineStr">
        <is>
          <t>Merchant</t>
        </is>
      </c>
      <c r="E76" t="inlineStr">
        <is>
          <t>Contains</t>
        </is>
      </c>
      <c r="F76" t="inlineStr">
        <is>
          <t>PETRO CANADA</t>
        </is>
      </c>
      <c r="G76" s="14" t="n"/>
      <c r="H76" s="14" t="n"/>
      <c r="I76" t="inlineStr">
        <is>
          <t>Money out</t>
        </is>
      </c>
      <c r="J76" t="inlineStr">
        <is>
          <t>Fuel</t>
        </is>
      </c>
      <c r="L76" t="n">
        <v>0</v>
      </c>
      <c r="M76" t="inlineStr">
        <is>
          <t>Built in</t>
        </is>
      </c>
    </row>
    <row r="77">
      <c r="B77" t="n">
        <v>50</v>
      </c>
      <c r="C77" t="inlineStr">
        <is>
          <t>Yes</t>
        </is>
      </c>
      <c r="D77" t="inlineStr">
        <is>
          <t>Merchant</t>
        </is>
      </c>
      <c r="E77" t="inlineStr">
        <is>
          <t>Contains</t>
        </is>
      </c>
      <c r="F77" t="inlineStr">
        <is>
          <t>ESSO</t>
        </is>
      </c>
      <c r="G77" s="14" t="n"/>
      <c r="H77" s="14" t="n"/>
      <c r="I77" t="inlineStr">
        <is>
          <t>Money out</t>
        </is>
      </c>
      <c r="J77" t="inlineStr">
        <is>
          <t>Fuel</t>
        </is>
      </c>
      <c r="L77" t="n">
        <v>0</v>
      </c>
      <c r="M77" t="inlineStr">
        <is>
          <t>Built in</t>
        </is>
      </c>
    </row>
    <row r="78">
      <c r="B78" t="n">
        <v>50</v>
      </c>
      <c r="C78" t="inlineStr">
        <is>
          <t>Yes</t>
        </is>
      </c>
      <c r="D78" t="inlineStr">
        <is>
          <t>Merchant</t>
        </is>
      </c>
      <c r="E78" t="inlineStr">
        <is>
          <t>Contains</t>
        </is>
      </c>
      <c r="F78" t="inlineStr">
        <is>
          <t>SHELL</t>
        </is>
      </c>
      <c r="G78" s="14" t="n"/>
      <c r="H78" s="14" t="n"/>
      <c r="I78" t="inlineStr">
        <is>
          <t>Money out</t>
        </is>
      </c>
      <c r="J78" t="inlineStr">
        <is>
          <t>Fuel</t>
        </is>
      </c>
      <c r="L78" t="n">
        <v>0</v>
      </c>
      <c r="M78" t="inlineStr">
        <is>
          <t>Built in</t>
        </is>
      </c>
    </row>
    <row r="79">
      <c r="B79" t="n">
        <v>50</v>
      </c>
      <c r="C79" t="inlineStr">
        <is>
          <t>Yes</t>
        </is>
      </c>
      <c r="D79" t="inlineStr">
        <is>
          <t>Merchant</t>
        </is>
      </c>
      <c r="E79" t="inlineStr">
        <is>
          <t>Contains</t>
        </is>
      </c>
      <c r="F79" t="inlineStr">
        <is>
          <t>HUSKY</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ULTRAMAR</t>
        </is>
      </c>
      <c r="G80" s="14" t="n"/>
      <c r="H80" s="14" t="n"/>
      <c r="I80" t="inlineStr">
        <is>
          <t>Money out</t>
        </is>
      </c>
      <c r="J80" t="inlineStr">
        <is>
          <t>Fuel</t>
        </is>
      </c>
      <c r="L80" t="n">
        <v>0</v>
      </c>
      <c r="M80" t="inlineStr">
        <is>
          <t>Built in</t>
        </is>
      </c>
    </row>
    <row r="81">
      <c r="B81" t="n">
        <v>50</v>
      </c>
      <c r="C81" t="inlineStr">
        <is>
          <t>Yes</t>
        </is>
      </c>
      <c r="D81" t="inlineStr">
        <is>
          <t>Merchant</t>
        </is>
      </c>
      <c r="E81" t="inlineStr">
        <is>
          <t>Contains</t>
        </is>
      </c>
      <c r="F81" t="inlineStr">
        <is>
          <t>CHEVRON</t>
        </is>
      </c>
      <c r="G81" s="14" t="n"/>
      <c r="H81" s="14" t="n"/>
      <c r="I81" t="inlineStr">
        <is>
          <t>Money out</t>
        </is>
      </c>
      <c r="J81" t="inlineStr">
        <is>
          <t>Fuel</t>
        </is>
      </c>
      <c r="L81" t="n">
        <v>0</v>
      </c>
      <c r="M81" t="inlineStr">
        <is>
          <t>Built in</t>
        </is>
      </c>
    </row>
    <row r="82">
      <c r="B82" t="n">
        <v>50</v>
      </c>
      <c r="C82" t="inlineStr">
        <is>
          <t>Yes</t>
        </is>
      </c>
      <c r="D82" t="inlineStr">
        <is>
          <t>Merchant</t>
        </is>
      </c>
      <c r="E82" t="inlineStr">
        <is>
          <t>Contains</t>
        </is>
      </c>
      <c r="F82" t="inlineStr">
        <is>
          <t>PIONEER</t>
        </is>
      </c>
      <c r="G82" s="14" t="n"/>
      <c r="H82" s="14" t="n"/>
      <c r="I82" t="inlineStr">
        <is>
          <t>Money out</t>
        </is>
      </c>
      <c r="J82" t="inlineStr">
        <is>
          <t>Fuel</t>
        </is>
      </c>
      <c r="L82" t="n">
        <v>0</v>
      </c>
      <c r="M82" t="inlineStr">
        <is>
          <t>Built in</t>
        </is>
      </c>
    </row>
    <row r="83">
      <c r="B83" t="n">
        <v>50</v>
      </c>
      <c r="C83" t="inlineStr">
        <is>
          <t>Yes</t>
        </is>
      </c>
      <c r="D83" t="inlineStr">
        <is>
          <t>Merchant</t>
        </is>
      </c>
      <c r="E83" t="inlineStr">
        <is>
          <t>Contains</t>
        </is>
      </c>
      <c r="F83" t="inlineStr">
        <is>
          <t>MOBIL</t>
        </is>
      </c>
      <c r="G83" s="14" t="n"/>
      <c r="H83" s="14" t="n"/>
      <c r="I83" t="inlineStr">
        <is>
          <t>Money out</t>
        </is>
      </c>
      <c r="J83" t="inlineStr">
        <is>
          <t>Fuel</t>
        </is>
      </c>
      <c r="L83" t="n">
        <v>0</v>
      </c>
      <c r="M83" t="inlineStr">
        <is>
          <t>Built in</t>
        </is>
      </c>
    </row>
    <row r="84">
      <c r="B84" t="n">
        <v>51</v>
      </c>
      <c r="C84" t="inlineStr">
        <is>
          <t>Yes</t>
        </is>
      </c>
      <c r="D84" t="inlineStr">
        <is>
          <t>Merchant</t>
        </is>
      </c>
      <c r="E84" t="inlineStr">
        <is>
          <t>Contains</t>
        </is>
      </c>
      <c r="F84" t="inlineStr">
        <is>
          <t>PRESTO</t>
        </is>
      </c>
      <c r="G84" s="14" t="n"/>
      <c r="H84" s="14" t="n"/>
      <c r="I84" t="inlineStr">
        <is>
          <t>Money out</t>
        </is>
      </c>
      <c r="J84" t="inlineStr">
        <is>
          <t>Public Transit</t>
        </is>
      </c>
      <c r="L84" t="n">
        <v>0</v>
      </c>
      <c r="M84" t="inlineStr">
        <is>
          <t>Built in</t>
        </is>
      </c>
    </row>
    <row r="85">
      <c r="B85" t="n">
        <v>51</v>
      </c>
      <c r="C85" t="inlineStr">
        <is>
          <t>Yes</t>
        </is>
      </c>
      <c r="D85" t="inlineStr">
        <is>
          <t>Merchant</t>
        </is>
      </c>
      <c r="E85" t="inlineStr">
        <is>
          <t>Contains</t>
        </is>
      </c>
      <c r="F85" t="inlineStr">
        <is>
          <t>TTC</t>
        </is>
      </c>
      <c r="G85" s="14" t="n"/>
      <c r="H85" s="14" t="n"/>
      <c r="I85" t="inlineStr">
        <is>
          <t>Money out</t>
        </is>
      </c>
      <c r="J85" t="inlineStr">
        <is>
          <t>Public Transit</t>
        </is>
      </c>
      <c r="L85" t="n">
        <v>0</v>
      </c>
      <c r="M85" t="inlineStr">
        <is>
          <t>Built in</t>
        </is>
      </c>
    </row>
    <row r="86">
      <c r="B86" t="n">
        <v>51</v>
      </c>
      <c r="C86" t="inlineStr">
        <is>
          <t>Yes</t>
        </is>
      </c>
      <c r="D86" t="inlineStr">
        <is>
          <t>Merchant</t>
        </is>
      </c>
      <c r="E86" t="inlineStr">
        <is>
          <t>Contains</t>
        </is>
      </c>
      <c r="F86" t="inlineStr">
        <is>
          <t>GO TRANSIT</t>
        </is>
      </c>
      <c r="G86" s="14" t="n"/>
      <c r="H86" s="14" t="n"/>
      <c r="I86" t="inlineStr">
        <is>
          <t>Money out</t>
        </is>
      </c>
      <c r="J86" t="inlineStr">
        <is>
          <t>Public Transit</t>
        </is>
      </c>
      <c r="L86" t="n">
        <v>0</v>
      </c>
      <c r="M86" t="inlineStr">
        <is>
          <t>Built in</t>
        </is>
      </c>
    </row>
    <row r="87">
      <c r="B87" t="n">
        <v>51</v>
      </c>
      <c r="C87" t="inlineStr">
        <is>
          <t>Yes</t>
        </is>
      </c>
      <c r="D87" t="inlineStr">
        <is>
          <t>Merchant</t>
        </is>
      </c>
      <c r="E87" t="inlineStr">
        <is>
          <t>Contains</t>
        </is>
      </c>
      <c r="F87" t="inlineStr">
        <is>
          <t>TRANSLINK</t>
        </is>
      </c>
      <c r="G87" s="14" t="n"/>
      <c r="H87" s="14" t="n"/>
      <c r="I87" t="inlineStr">
        <is>
          <t>Money out</t>
        </is>
      </c>
      <c r="J87" t="inlineStr">
        <is>
          <t>Public Transit</t>
        </is>
      </c>
      <c r="L87" t="n">
        <v>0</v>
      </c>
      <c r="M87" t="inlineStr">
        <is>
          <t>Built in</t>
        </is>
      </c>
    </row>
    <row r="88">
      <c r="B88" t="n">
        <v>51</v>
      </c>
      <c r="C88" t="inlineStr">
        <is>
          <t>Yes</t>
        </is>
      </c>
      <c r="D88" t="inlineStr">
        <is>
          <t>Merchant</t>
        </is>
      </c>
      <c r="E88" t="inlineStr">
        <is>
          <t>Contains</t>
        </is>
      </c>
      <c r="F88" t="inlineStr">
        <is>
          <t>COMPASS CARD</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Contains</t>
        </is>
      </c>
      <c r="F89" t="inlineStr">
        <is>
          <t>STM</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OPUS</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VIA RAIL</t>
        </is>
      </c>
      <c r="G91" s="14" t="n"/>
      <c r="H91" s="14" t="n"/>
      <c r="I91" t="inlineStr">
        <is>
          <t>Money out</t>
        </is>
      </c>
      <c r="J91" t="inlineStr">
        <is>
          <t>Public Transit</t>
        </is>
      </c>
      <c r="L91" t="n">
        <v>0</v>
      </c>
      <c r="M91" t="inlineStr">
        <is>
          <t>Built in</t>
        </is>
      </c>
    </row>
    <row r="92">
      <c r="B92" t="n">
        <v>52</v>
      </c>
      <c r="C92" t="inlineStr">
        <is>
          <t>Yes</t>
        </is>
      </c>
      <c r="D92" t="inlineStr">
        <is>
          <t>Merchant</t>
        </is>
      </c>
      <c r="E92" t="inlineStr">
        <is>
          <t>Contains</t>
        </is>
      </c>
      <c r="F92" t="inlineStr">
        <is>
          <t>UBER</t>
        </is>
      </c>
      <c r="G92" s="14" t="n"/>
      <c r="H92" s="14" t="n"/>
      <c r="I92" t="inlineStr">
        <is>
          <t>Money out</t>
        </is>
      </c>
      <c r="J92" t="inlineStr">
        <is>
          <t>Taxi &amp; Rideshare</t>
        </is>
      </c>
      <c r="L92" t="n">
        <v>0</v>
      </c>
      <c r="M92" t="inlineStr">
        <is>
          <t>Built in</t>
        </is>
      </c>
    </row>
    <row r="93">
      <c r="B93" t="n">
        <v>52</v>
      </c>
      <c r="C93" t="inlineStr">
        <is>
          <t>Yes</t>
        </is>
      </c>
      <c r="D93" t="inlineStr">
        <is>
          <t>Merchant</t>
        </is>
      </c>
      <c r="E93" t="inlineStr">
        <is>
          <t>Contains</t>
        </is>
      </c>
      <c r="F93" t="inlineStr">
        <is>
          <t>LYFT</t>
        </is>
      </c>
      <c r="G93" s="14" t="n"/>
      <c r="H93" s="14" t="n"/>
      <c r="I93" t="inlineStr">
        <is>
          <t>Money out</t>
        </is>
      </c>
      <c r="J93" t="inlineStr">
        <is>
          <t>Taxi &amp; Rideshare</t>
        </is>
      </c>
      <c r="L93" t="n">
        <v>0</v>
      </c>
      <c r="M93" t="inlineStr">
        <is>
          <t>Built in</t>
        </is>
      </c>
    </row>
    <row r="94">
      <c r="B94" t="n">
        <v>52</v>
      </c>
      <c r="C94" t="inlineStr">
        <is>
          <t>Yes</t>
        </is>
      </c>
      <c r="D94" t="inlineStr">
        <is>
          <t>Merchant</t>
        </is>
      </c>
      <c r="E94" t="inlineStr">
        <is>
          <t>Contains</t>
        </is>
      </c>
      <c r="F94" t="inlineStr">
        <is>
          <t>TAXI</t>
        </is>
      </c>
      <c r="G94" s="14" t="n"/>
      <c r="H94" s="14" t="n"/>
      <c r="I94" t="inlineStr">
        <is>
          <t>Money out</t>
        </is>
      </c>
      <c r="J94" t="inlineStr">
        <is>
          <t>Taxi &amp; Rideshare</t>
        </is>
      </c>
      <c r="L94" t="n">
        <v>0</v>
      </c>
      <c r="M94" t="inlineStr">
        <is>
          <t>Built in</t>
        </is>
      </c>
    </row>
    <row r="95">
      <c r="B95" t="n">
        <v>53</v>
      </c>
      <c r="C95" t="inlineStr">
        <is>
          <t>Yes</t>
        </is>
      </c>
      <c r="D95" t="inlineStr">
        <is>
          <t>Merchant</t>
        </is>
      </c>
      <c r="E95" t="inlineStr">
        <is>
          <t>Contains</t>
        </is>
      </c>
      <c r="F95" t="inlineStr">
        <is>
          <t>407 ETR</t>
        </is>
      </c>
      <c r="G95" s="14" t="n"/>
      <c r="H95" s="14" t="n"/>
      <c r="I95" t="inlineStr">
        <is>
          <t>Money out</t>
        </is>
      </c>
      <c r="J95" t="inlineStr">
        <is>
          <t>Parking &amp; Tolls</t>
        </is>
      </c>
      <c r="L95" t="n">
        <v>0</v>
      </c>
      <c r="M95" t="inlineStr">
        <is>
          <t>Built in</t>
        </is>
      </c>
    </row>
    <row r="96">
      <c r="B96" t="n">
        <v>53</v>
      </c>
      <c r="C96" t="inlineStr">
        <is>
          <t>Yes</t>
        </is>
      </c>
      <c r="D96" t="inlineStr">
        <is>
          <t>Merchant</t>
        </is>
      </c>
      <c r="E96" t="inlineStr">
        <is>
          <t>Contains</t>
        </is>
      </c>
      <c r="F96" t="inlineStr">
        <is>
          <t>GREEN P</t>
        </is>
      </c>
      <c r="G96" s="14" t="n"/>
      <c r="H96" s="14" t="n"/>
      <c r="I96" t="inlineStr">
        <is>
          <t>Money out</t>
        </is>
      </c>
      <c r="J96" t="inlineStr">
        <is>
          <t>Parking &amp; Tolls</t>
        </is>
      </c>
      <c r="L96" t="n">
        <v>0</v>
      </c>
      <c r="M96" t="inlineStr">
        <is>
          <t>Built in</t>
        </is>
      </c>
    </row>
    <row r="97">
      <c r="B97" t="n">
        <v>53</v>
      </c>
      <c r="C97" t="inlineStr">
        <is>
          <t>Yes</t>
        </is>
      </c>
      <c r="D97" t="inlineStr">
        <is>
          <t>Merchant</t>
        </is>
      </c>
      <c r="E97" t="inlineStr">
        <is>
          <t>Contains</t>
        </is>
      </c>
      <c r="F97" t="inlineStr">
        <is>
          <t>IMPARK</t>
        </is>
      </c>
      <c r="G97" s="14" t="n"/>
      <c r="H97" s="14" t="n"/>
      <c r="I97" t="inlineStr">
        <is>
          <t>Money out</t>
        </is>
      </c>
      <c r="J97" t="inlineStr">
        <is>
          <t>Parking &amp; Tolls</t>
        </is>
      </c>
      <c r="L97" t="n">
        <v>0</v>
      </c>
      <c r="M97" t="inlineStr">
        <is>
          <t>Built in</t>
        </is>
      </c>
    </row>
    <row r="98">
      <c r="B98" t="n">
        <v>53</v>
      </c>
      <c r="C98" t="inlineStr">
        <is>
          <t>Yes</t>
        </is>
      </c>
      <c r="D98" t="inlineStr">
        <is>
          <t>Merchant</t>
        </is>
      </c>
      <c r="E98" t="inlineStr">
        <is>
          <t>Contains</t>
        </is>
      </c>
      <c r="F98" t="inlineStr">
        <is>
          <t>PARKING</t>
        </is>
      </c>
      <c r="G98" s="14" t="n"/>
      <c r="H98" s="14" t="n"/>
      <c r="I98" t="inlineStr">
        <is>
          <t>Money out</t>
        </is>
      </c>
      <c r="J98" t="inlineStr">
        <is>
          <t>Parking &amp; Tolls</t>
        </is>
      </c>
      <c r="L98" t="n">
        <v>0</v>
      </c>
      <c r="M98" t="inlineStr">
        <is>
          <t>Built in</t>
        </is>
      </c>
    </row>
    <row r="99">
      <c r="B99" t="n">
        <v>54</v>
      </c>
      <c r="C99" t="inlineStr">
        <is>
          <t>Yes</t>
        </is>
      </c>
      <c r="D99" t="inlineStr">
        <is>
          <t>Merchant</t>
        </is>
      </c>
      <c r="E99" t="inlineStr">
        <is>
          <t>Contains</t>
        </is>
      </c>
      <c r="F99" t="inlineStr">
        <is>
          <t>CANADIAN TIRE</t>
        </is>
      </c>
      <c r="G99" s="14" t="n"/>
      <c r="H99" s="14" t="n"/>
      <c r="I99" t="inlineStr">
        <is>
          <t>Money out</t>
        </is>
      </c>
      <c r="J99" t="inlineStr">
        <is>
          <t>Auto Maintenance</t>
        </is>
      </c>
      <c r="L99" t="n">
        <v>0</v>
      </c>
      <c r="M99" t="inlineStr">
        <is>
          <t>Built in</t>
        </is>
      </c>
    </row>
    <row r="100">
      <c r="B100" t="n">
        <v>54</v>
      </c>
      <c r="C100" t="inlineStr">
        <is>
          <t>Yes</t>
        </is>
      </c>
      <c r="D100" t="inlineStr">
        <is>
          <t>Merchant</t>
        </is>
      </c>
      <c r="E100" t="inlineStr">
        <is>
          <t>Contains</t>
        </is>
      </c>
      <c r="F100" t="inlineStr">
        <is>
          <t>MR LUBE</t>
        </is>
      </c>
      <c r="G100" s="14" t="n"/>
      <c r="H100" s="14" t="n"/>
      <c r="I100" t="inlineStr">
        <is>
          <t>Money out</t>
        </is>
      </c>
      <c r="J100" t="inlineStr">
        <is>
          <t>Auto Maintenance</t>
        </is>
      </c>
      <c r="L100" t="n">
        <v>0</v>
      </c>
      <c r="M100" t="inlineStr">
        <is>
          <t>Built in</t>
        </is>
      </c>
    </row>
    <row r="101">
      <c r="B101" t="n">
        <v>54</v>
      </c>
      <c r="C101" t="inlineStr">
        <is>
          <t>Yes</t>
        </is>
      </c>
      <c r="D101" t="inlineStr">
        <is>
          <t>Merchant</t>
        </is>
      </c>
      <c r="E101" t="inlineStr">
        <is>
          <t>Contains</t>
        </is>
      </c>
      <c r="F101" t="inlineStr">
        <is>
          <t>KAL TIRE</t>
        </is>
      </c>
      <c r="G101" s="14" t="n"/>
      <c r="H101" s="14" t="n"/>
      <c r="I101" t="inlineStr">
        <is>
          <t>Money out</t>
        </is>
      </c>
      <c r="J101" t="inlineStr">
        <is>
          <t>Auto Maintenance</t>
        </is>
      </c>
      <c r="L101" t="n">
        <v>0</v>
      </c>
      <c r="M101" t="inlineStr">
        <is>
          <t>Built in</t>
        </is>
      </c>
    </row>
    <row r="102">
      <c r="B102" t="n">
        <v>54</v>
      </c>
      <c r="C102" t="inlineStr">
        <is>
          <t>Yes</t>
        </is>
      </c>
      <c r="D102" t="inlineStr">
        <is>
          <t>Merchant</t>
        </is>
      </c>
      <c r="E102" t="inlineStr">
        <is>
          <t>Contains</t>
        </is>
      </c>
      <c r="F102" t="inlineStr">
        <is>
          <t>SERVICE ONTARIO</t>
        </is>
      </c>
      <c r="G102" s="14" t="n"/>
      <c r="H102" s="14" t="n"/>
      <c r="I102" t="inlineStr">
        <is>
          <t>Money out</t>
        </is>
      </c>
      <c r="J102" t="inlineStr">
        <is>
          <t>Vehicle Registration</t>
        </is>
      </c>
      <c r="L102" t="n">
        <v>0</v>
      </c>
      <c r="M102" t="inlineStr">
        <is>
          <t>Built in</t>
        </is>
      </c>
    </row>
    <row r="103">
      <c r="B103" t="n">
        <v>54</v>
      </c>
      <c r="C103" t="inlineStr">
        <is>
          <t>Yes</t>
        </is>
      </c>
      <c r="D103" t="inlineStr">
        <is>
          <t>Merchant</t>
        </is>
      </c>
      <c r="E103" t="inlineStr">
        <is>
          <t>Contains</t>
        </is>
      </c>
      <c r="F103" t="inlineStr">
        <is>
          <t>SAAQ</t>
        </is>
      </c>
      <c r="G103" s="14" t="n"/>
      <c r="H103" s="14" t="n"/>
      <c r="I103" t="inlineStr">
        <is>
          <t>Money out</t>
        </is>
      </c>
      <c r="J103" t="inlineStr">
        <is>
          <t>Vehicle Registration</t>
        </is>
      </c>
      <c r="L103" t="n">
        <v>0</v>
      </c>
      <c r="M103" t="inlineStr">
        <is>
          <t>Built in</t>
        </is>
      </c>
    </row>
    <row r="104">
      <c r="B104" t="n">
        <v>54</v>
      </c>
      <c r="C104" t="inlineStr">
        <is>
          <t>Yes</t>
        </is>
      </c>
      <c r="D104" t="inlineStr">
        <is>
          <t>Merchant</t>
        </is>
      </c>
      <c r="E104" t="inlineStr">
        <is>
          <t>Contains</t>
        </is>
      </c>
      <c r="F104" t="inlineStr">
        <is>
          <t>ICBC</t>
        </is>
      </c>
      <c r="G104" s="14" t="n"/>
      <c r="H104" s="14" t="n"/>
      <c r="I104" t="inlineStr">
        <is>
          <t>Money out</t>
        </is>
      </c>
      <c r="J104" t="inlineStr">
        <is>
          <t>Auto Insurance</t>
        </is>
      </c>
      <c r="L104" t="n">
        <v>0</v>
      </c>
      <c r="M104" t="inlineStr">
        <is>
          <t>Built in</t>
        </is>
      </c>
    </row>
    <row r="105">
      <c r="B105" t="n">
        <v>55</v>
      </c>
      <c r="C105" t="inlineStr">
        <is>
          <t>Yes</t>
        </is>
      </c>
      <c r="D105" t="inlineStr">
        <is>
          <t>Merchant</t>
        </is>
      </c>
      <c r="E105" t="inlineStr">
        <is>
          <t>Contains</t>
        </is>
      </c>
      <c r="F105" t="inlineStr">
        <is>
          <t>INTACT INSURANCE</t>
        </is>
      </c>
      <c r="G105" s="14" t="n"/>
      <c r="H105" s="14" t="n"/>
      <c r="I105" t="inlineStr">
        <is>
          <t>Money out</t>
        </is>
      </c>
      <c r="J105" t="inlineStr">
        <is>
          <t>Auto Insurance</t>
        </is>
      </c>
      <c r="L105" t="n">
        <v>0</v>
      </c>
      <c r="M105" t="inlineStr">
        <is>
          <t>Built in</t>
        </is>
      </c>
    </row>
    <row r="106">
      <c r="B106" t="n">
        <v>55</v>
      </c>
      <c r="C106" t="inlineStr">
        <is>
          <t>Yes</t>
        </is>
      </c>
      <c r="D106" t="inlineStr">
        <is>
          <t>Merchant</t>
        </is>
      </c>
      <c r="E106" t="inlineStr">
        <is>
          <t>Contains</t>
        </is>
      </c>
      <c r="F106" t="inlineStr">
        <is>
          <t>BELAIRDIRECT</t>
        </is>
      </c>
      <c r="G106" s="14" t="n"/>
      <c r="H106" s="14" t="n"/>
      <c r="I106" t="inlineStr">
        <is>
          <t>Money out</t>
        </is>
      </c>
      <c r="J106" t="inlineStr">
        <is>
          <t>Auto Insurance</t>
        </is>
      </c>
      <c r="L106" t="n">
        <v>0</v>
      </c>
      <c r="M106" t="inlineStr">
        <is>
          <t>Built in</t>
        </is>
      </c>
    </row>
    <row r="107">
      <c r="B107" t="n">
        <v>55</v>
      </c>
      <c r="C107" t="inlineStr">
        <is>
          <t>Yes</t>
        </is>
      </c>
      <c r="D107" t="inlineStr">
        <is>
          <t>Merchant</t>
        </is>
      </c>
      <c r="E107" t="inlineStr">
        <is>
          <t>Contains</t>
        </is>
      </c>
      <c r="F107" t="inlineStr">
        <is>
          <t>TD INSURANCE</t>
        </is>
      </c>
      <c r="G107" s="14" t="n"/>
      <c r="H107" s="14" t="n"/>
      <c r="I107" t="inlineStr">
        <is>
          <t>Money out</t>
        </is>
      </c>
      <c r="J107" t="inlineStr">
        <is>
          <t>Auto Insurance</t>
        </is>
      </c>
      <c r="L107" t="n">
        <v>0</v>
      </c>
      <c r="M107" t="inlineStr">
        <is>
          <t>Built in</t>
        </is>
      </c>
    </row>
    <row r="108">
      <c r="B108" t="n">
        <v>55</v>
      </c>
      <c r="C108" t="inlineStr">
        <is>
          <t>Yes</t>
        </is>
      </c>
      <c r="D108" t="inlineStr">
        <is>
          <t>Merchant</t>
        </is>
      </c>
      <c r="E108" t="inlineStr">
        <is>
          <t>Contains</t>
        </is>
      </c>
      <c r="F108" t="inlineStr">
        <is>
          <t>DESJARDINS INSURANCE</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SONNET</t>
        </is>
      </c>
      <c r="G109" s="14" t="n"/>
      <c r="H109" s="14" t="n"/>
      <c r="I109" t="inlineStr">
        <is>
          <t>Money out</t>
        </is>
      </c>
      <c r="J109" t="inlineStr">
        <is>
          <t>Auto Insurance</t>
        </is>
      </c>
      <c r="L109" t="n">
        <v>0</v>
      </c>
      <c r="M109" t="inlineStr">
        <is>
          <t>Built in</t>
        </is>
      </c>
    </row>
    <row r="110">
      <c r="B110" t="n">
        <v>60</v>
      </c>
      <c r="C110" t="inlineStr">
        <is>
          <t>Yes</t>
        </is>
      </c>
      <c r="D110" t="inlineStr">
        <is>
          <t>Merchant</t>
        </is>
      </c>
      <c r="E110" t="inlineStr">
        <is>
          <t>Contains</t>
        </is>
      </c>
      <c r="F110" t="inlineStr">
        <is>
          <t>HYDRO</t>
        </is>
      </c>
      <c r="G110" s="14" t="n"/>
      <c r="H110" s="14" t="n"/>
      <c r="I110" t="inlineStr">
        <is>
          <t>Money out</t>
        </is>
      </c>
      <c r="J110" t="inlineStr">
        <is>
          <t>Electricity / Hydro</t>
        </is>
      </c>
      <c r="L110" t="n">
        <v>0</v>
      </c>
      <c r="M110" t="inlineStr">
        <is>
          <t>Built in</t>
        </is>
      </c>
    </row>
    <row r="111">
      <c r="B111" t="n">
        <v>60</v>
      </c>
      <c r="C111" t="inlineStr">
        <is>
          <t>Yes</t>
        </is>
      </c>
      <c r="D111" t="inlineStr">
        <is>
          <t>Merchant</t>
        </is>
      </c>
      <c r="E111" t="inlineStr">
        <is>
          <t>Contains</t>
        </is>
      </c>
      <c r="F111" t="inlineStr">
        <is>
          <t>BC HYDRO</t>
        </is>
      </c>
      <c r="G111" s="14" t="n"/>
      <c r="H111" s="14" t="n"/>
      <c r="I111" t="inlineStr">
        <is>
          <t>Money out</t>
        </is>
      </c>
      <c r="J111" t="inlineStr">
        <is>
          <t>Electricity / Hydro</t>
        </is>
      </c>
      <c r="L111" t="n">
        <v>0</v>
      </c>
      <c r="M111" t="inlineStr">
        <is>
          <t>Built in</t>
        </is>
      </c>
    </row>
    <row r="112">
      <c r="B112" t="n">
        <v>60</v>
      </c>
      <c r="C112" t="inlineStr">
        <is>
          <t>Yes</t>
        </is>
      </c>
      <c r="D112" t="inlineStr">
        <is>
          <t>Merchant</t>
        </is>
      </c>
      <c r="E112" t="inlineStr">
        <is>
          <t>Contains</t>
        </is>
      </c>
      <c r="F112" t="inlineStr">
        <is>
          <t>EPCOR</t>
        </is>
      </c>
      <c r="G112" s="14" t="n"/>
      <c r="H112" s="14" t="n"/>
      <c r="I112" t="inlineStr">
        <is>
          <t>Money out</t>
        </is>
      </c>
      <c r="J112" t="inlineStr">
        <is>
          <t>Electricity / Hydro</t>
        </is>
      </c>
      <c r="L112" t="n">
        <v>0</v>
      </c>
      <c r="M112" t="inlineStr">
        <is>
          <t>Built in</t>
        </is>
      </c>
    </row>
    <row r="113">
      <c r="B113" t="n">
        <v>60</v>
      </c>
      <c r="C113" t="inlineStr">
        <is>
          <t>Yes</t>
        </is>
      </c>
      <c r="D113" t="inlineStr">
        <is>
          <t>Merchant</t>
        </is>
      </c>
      <c r="E113" t="inlineStr">
        <is>
          <t>Contains</t>
        </is>
      </c>
      <c r="F113" t="inlineStr">
        <is>
          <t>SASKPOWER</t>
        </is>
      </c>
      <c r="G113" s="14" t="n"/>
      <c r="H113" s="14" t="n"/>
      <c r="I113" t="inlineStr">
        <is>
          <t>Money out</t>
        </is>
      </c>
      <c r="J113" t="inlineStr">
        <is>
          <t>Electricity / Hydro</t>
        </is>
      </c>
      <c r="L113" t="n">
        <v>0</v>
      </c>
      <c r="M113" t="inlineStr">
        <is>
          <t>Built in</t>
        </is>
      </c>
    </row>
    <row r="114">
      <c r="B114" t="n">
        <v>60</v>
      </c>
      <c r="C114" t="inlineStr">
        <is>
          <t>Yes</t>
        </is>
      </c>
      <c r="D114" t="inlineStr">
        <is>
          <t>Merchant</t>
        </is>
      </c>
      <c r="E114" t="inlineStr">
        <is>
          <t>Contains</t>
        </is>
      </c>
      <c r="F114" t="inlineStr">
        <is>
          <t>NB POWER</t>
        </is>
      </c>
      <c r="G114" s="14" t="n"/>
      <c r="H114" s="14" t="n"/>
      <c r="I114" t="inlineStr">
        <is>
          <t>Money out</t>
        </is>
      </c>
      <c r="J114" t="inlineStr">
        <is>
          <t>Electricity / Hydro</t>
        </is>
      </c>
      <c r="L114" t="n">
        <v>0</v>
      </c>
      <c r="M114" t="inlineStr">
        <is>
          <t>Built in</t>
        </is>
      </c>
    </row>
    <row r="115">
      <c r="B115" t="n">
        <v>61</v>
      </c>
      <c r="C115" t="inlineStr">
        <is>
          <t>Yes</t>
        </is>
      </c>
      <c r="D115" t="inlineStr">
        <is>
          <t>Merchant</t>
        </is>
      </c>
      <c r="E115" t="inlineStr">
        <is>
          <t>Contains</t>
        </is>
      </c>
      <c r="F115" t="inlineStr">
        <is>
          <t>ENBRIDGE</t>
        </is>
      </c>
      <c r="G115" s="14" t="n"/>
      <c r="H115" s="14" t="n"/>
      <c r="I115" t="inlineStr">
        <is>
          <t>Money out</t>
        </is>
      </c>
      <c r="J115" t="inlineStr">
        <is>
          <t>Natural Gas / Heating</t>
        </is>
      </c>
      <c r="L115" t="n">
        <v>0</v>
      </c>
      <c r="M115" t="inlineStr">
        <is>
          <t>Built in</t>
        </is>
      </c>
    </row>
    <row r="116">
      <c r="B116" t="n">
        <v>61</v>
      </c>
      <c r="C116" t="inlineStr">
        <is>
          <t>Yes</t>
        </is>
      </c>
      <c r="D116" t="inlineStr">
        <is>
          <t>Merchant</t>
        </is>
      </c>
      <c r="E116" t="inlineStr">
        <is>
          <t>Contains</t>
        </is>
      </c>
      <c r="F116" t="inlineStr">
        <is>
          <t>FORTISBC</t>
        </is>
      </c>
      <c r="G116" s="14" t="n"/>
      <c r="H116" s="14" t="n"/>
      <c r="I116" t="inlineStr">
        <is>
          <t>Money out</t>
        </is>
      </c>
      <c r="J116" t="inlineStr">
        <is>
          <t>Natural Gas / Heating</t>
        </is>
      </c>
      <c r="L116" t="n">
        <v>0</v>
      </c>
      <c r="M116" t="inlineStr">
        <is>
          <t>Built in</t>
        </is>
      </c>
    </row>
    <row r="117">
      <c r="B117" t="n">
        <v>61</v>
      </c>
      <c r="C117" t="inlineStr">
        <is>
          <t>Yes</t>
        </is>
      </c>
      <c r="D117" t="inlineStr">
        <is>
          <t>Merchant</t>
        </is>
      </c>
      <c r="E117" t="inlineStr">
        <is>
          <t>Contains</t>
        </is>
      </c>
      <c r="F117" t="inlineStr">
        <is>
          <t>ATCO</t>
        </is>
      </c>
      <c r="G117" s="14" t="n"/>
      <c r="H117" s="14" t="n"/>
      <c r="I117" t="inlineStr">
        <is>
          <t>Money out</t>
        </is>
      </c>
      <c r="J117" t="inlineStr">
        <is>
          <t>Natural Gas / Heating</t>
        </is>
      </c>
      <c r="L117" t="n">
        <v>0</v>
      </c>
      <c r="M117" t="inlineStr">
        <is>
          <t>Built in</t>
        </is>
      </c>
    </row>
    <row r="118">
      <c r="B118" t="n">
        <v>61</v>
      </c>
      <c r="C118" t="inlineStr">
        <is>
          <t>Yes</t>
        </is>
      </c>
      <c r="D118" t="inlineStr">
        <is>
          <t>Merchant</t>
        </is>
      </c>
      <c r="E118" t="inlineStr">
        <is>
          <t>Contains</t>
        </is>
      </c>
      <c r="F118" t="inlineStr">
        <is>
          <t>ENERGIR</t>
        </is>
      </c>
      <c r="G118" s="14" t="n"/>
      <c r="H118" s="14" t="n"/>
      <c r="I118" t="inlineStr">
        <is>
          <t>Money out</t>
        </is>
      </c>
      <c r="J118" t="inlineStr">
        <is>
          <t>Natural Gas / Heating</t>
        </is>
      </c>
      <c r="L118" t="n">
        <v>0</v>
      </c>
      <c r="M118" t="inlineStr">
        <is>
          <t>Built in</t>
        </is>
      </c>
    </row>
    <row r="119">
      <c r="B119" t="n">
        <v>62</v>
      </c>
      <c r="C119" t="inlineStr">
        <is>
          <t>Yes</t>
        </is>
      </c>
      <c r="D119" t="inlineStr">
        <is>
          <t>Merchant</t>
        </is>
      </c>
      <c r="E119" t="inlineStr">
        <is>
          <t>Contains</t>
        </is>
      </c>
      <c r="F119" t="inlineStr">
        <is>
          <t>ROGERS</t>
        </is>
      </c>
      <c r="G119" s="14" t="n"/>
      <c r="H119" s="14" t="n"/>
      <c r="I119" t="inlineStr">
        <is>
          <t>Money out</t>
        </is>
      </c>
      <c r="J119" t="inlineStr">
        <is>
          <t>Internet</t>
        </is>
      </c>
      <c r="L119" t="n">
        <v>0</v>
      </c>
      <c r="M119" t="inlineStr">
        <is>
          <t>Built in</t>
        </is>
      </c>
    </row>
    <row r="120">
      <c r="B120" t="n">
        <v>62</v>
      </c>
      <c r="C120" t="inlineStr">
        <is>
          <t>Yes</t>
        </is>
      </c>
      <c r="D120" t="inlineStr">
        <is>
          <t>Merchant</t>
        </is>
      </c>
      <c r="E120" t="inlineStr">
        <is>
          <t>Contains</t>
        </is>
      </c>
      <c r="F120" t="inlineStr">
        <is>
          <t>BELL CANADA</t>
        </is>
      </c>
      <c r="G120" s="14" t="n"/>
      <c r="H120" s="14" t="n"/>
      <c r="I120" t="inlineStr">
        <is>
          <t>Money out</t>
        </is>
      </c>
      <c r="J120" t="inlineStr">
        <is>
          <t>Internet</t>
        </is>
      </c>
      <c r="L120" t="n">
        <v>0</v>
      </c>
      <c r="M120" t="inlineStr">
        <is>
          <t>Built in</t>
        </is>
      </c>
    </row>
    <row r="121">
      <c r="B121" t="n">
        <v>62</v>
      </c>
      <c r="C121" t="inlineStr">
        <is>
          <t>Yes</t>
        </is>
      </c>
      <c r="D121" t="inlineStr">
        <is>
          <t>Merchant</t>
        </is>
      </c>
      <c r="E121" t="inlineStr">
        <is>
          <t>Contains</t>
        </is>
      </c>
      <c r="F121" t="inlineStr">
        <is>
          <t>TELUS</t>
        </is>
      </c>
      <c r="G121" s="14" t="n"/>
      <c r="H121" s="14" t="n"/>
      <c r="I121" t="inlineStr">
        <is>
          <t>Money out</t>
        </is>
      </c>
      <c r="J121" t="inlineStr">
        <is>
          <t>Mobile Phone</t>
        </is>
      </c>
      <c r="L121" t="n">
        <v>0</v>
      </c>
      <c r="M121" t="inlineStr">
        <is>
          <t>Built in</t>
        </is>
      </c>
    </row>
    <row r="122">
      <c r="B122" t="n">
        <v>62</v>
      </c>
      <c r="C122" t="inlineStr">
        <is>
          <t>Yes</t>
        </is>
      </c>
      <c r="D122" t="inlineStr">
        <is>
          <t>Merchant</t>
        </is>
      </c>
      <c r="E122" t="inlineStr">
        <is>
          <t>Contains</t>
        </is>
      </c>
      <c r="F122" t="inlineStr">
        <is>
          <t>FREEDOM MOBILE</t>
        </is>
      </c>
      <c r="G122" s="14" t="n"/>
      <c r="H122" s="14" t="n"/>
      <c r="I122" t="inlineStr">
        <is>
          <t>Money out</t>
        </is>
      </c>
      <c r="J122" t="inlineStr">
        <is>
          <t>Mobile Phone</t>
        </is>
      </c>
      <c r="L122" t="n">
        <v>0</v>
      </c>
      <c r="M122" t="inlineStr">
        <is>
          <t>Built in</t>
        </is>
      </c>
    </row>
    <row r="123">
      <c r="B123" t="n">
        <v>62</v>
      </c>
      <c r="C123" t="inlineStr">
        <is>
          <t>Yes</t>
        </is>
      </c>
      <c r="D123" t="inlineStr">
        <is>
          <t>Merchant</t>
        </is>
      </c>
      <c r="E123" t="inlineStr">
        <is>
          <t>Contains</t>
        </is>
      </c>
      <c r="F123" t="inlineStr">
        <is>
          <t>FIDO</t>
        </is>
      </c>
      <c r="G123" s="14" t="n"/>
      <c r="H123" s="14" t="n"/>
      <c r="I123" t="inlineStr">
        <is>
          <t>Money out</t>
        </is>
      </c>
      <c r="J123" t="inlineStr">
        <is>
          <t>Mobile Phone</t>
        </is>
      </c>
      <c r="L123" t="n">
        <v>0</v>
      </c>
      <c r="M123" t="inlineStr">
        <is>
          <t>Built in</t>
        </is>
      </c>
    </row>
    <row r="124">
      <c r="B124" t="n">
        <v>62</v>
      </c>
      <c r="C124" t="inlineStr">
        <is>
          <t>Yes</t>
        </is>
      </c>
      <c r="D124" t="inlineStr">
        <is>
          <t>Merchant</t>
        </is>
      </c>
      <c r="E124" t="inlineStr">
        <is>
          <t>Contains</t>
        </is>
      </c>
      <c r="F124" t="inlineStr">
        <is>
          <t>KOODO</t>
        </is>
      </c>
      <c r="G124" s="14" t="n"/>
      <c r="H124" s="14" t="n"/>
      <c r="I124" t="inlineStr">
        <is>
          <t>Money out</t>
        </is>
      </c>
      <c r="J124" t="inlineStr">
        <is>
          <t>Mobile Phone</t>
        </is>
      </c>
      <c r="L124" t="n">
        <v>0</v>
      </c>
      <c r="M124" t="inlineStr">
        <is>
          <t>Built in</t>
        </is>
      </c>
    </row>
    <row r="125">
      <c r="B125" t="n">
        <v>62</v>
      </c>
      <c r="C125" t="inlineStr">
        <is>
          <t>Yes</t>
        </is>
      </c>
      <c r="D125" t="inlineStr">
        <is>
          <t>Merchant</t>
        </is>
      </c>
      <c r="E125" t="inlineStr">
        <is>
          <t>Contains</t>
        </is>
      </c>
      <c r="F125" t="inlineStr">
        <is>
          <t>VIRGIN PLUS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PUBLIC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Contains</t>
        </is>
      </c>
      <c r="F127" t="inlineStr">
        <is>
          <t>VIDEOTRON</t>
        </is>
      </c>
      <c r="G127" s="14" t="n"/>
      <c r="H127" s="14" t="n"/>
      <c r="I127" t="inlineStr">
        <is>
          <t>Money out</t>
        </is>
      </c>
      <c r="J127" t="inlineStr">
        <is>
          <t>Internet</t>
        </is>
      </c>
      <c r="L127" t="n">
        <v>0</v>
      </c>
      <c r="M127" t="inlineStr">
        <is>
          <t>Built in</t>
        </is>
      </c>
    </row>
    <row r="128">
      <c r="B128" t="n">
        <v>62</v>
      </c>
      <c r="C128" t="inlineStr">
        <is>
          <t>Yes</t>
        </is>
      </c>
      <c r="D128" t="inlineStr">
        <is>
          <t>Merchant</t>
        </is>
      </c>
      <c r="E128" t="inlineStr">
        <is>
          <t>Contains</t>
        </is>
      </c>
      <c r="F128" t="inlineStr">
        <is>
          <t>SHAW</t>
        </is>
      </c>
      <c r="G128" s="14" t="n"/>
      <c r="H128" s="14" t="n"/>
      <c r="I128" t="inlineStr">
        <is>
          <t>Money out</t>
        </is>
      </c>
      <c r="J128" t="inlineStr">
        <is>
          <t>Internet</t>
        </is>
      </c>
      <c r="L128" t="n">
        <v>0</v>
      </c>
      <c r="M128" t="inlineStr">
        <is>
          <t>Built in</t>
        </is>
      </c>
    </row>
    <row r="129">
      <c r="B129" t="n">
        <v>62</v>
      </c>
      <c r="C129" t="inlineStr">
        <is>
          <t>Yes</t>
        </is>
      </c>
      <c r="D129" t="inlineStr">
        <is>
          <t>Merchant</t>
        </is>
      </c>
      <c r="E129" t="inlineStr">
        <is>
          <t>Contains</t>
        </is>
      </c>
      <c r="F129" t="inlineStr">
        <is>
          <t>TEKSAVVY</t>
        </is>
      </c>
      <c r="G129" s="14" t="n"/>
      <c r="H129" s="14" t="n"/>
      <c r="I129" t="inlineStr">
        <is>
          <t>Money out</t>
        </is>
      </c>
      <c r="J129" t="inlineStr">
        <is>
          <t>Internet</t>
        </is>
      </c>
      <c r="L129" t="n">
        <v>0</v>
      </c>
      <c r="M129" t="inlineStr">
        <is>
          <t>Built in</t>
        </is>
      </c>
    </row>
    <row r="130">
      <c r="B130" t="n">
        <v>65</v>
      </c>
      <c r="C130" t="inlineStr">
        <is>
          <t>Yes</t>
        </is>
      </c>
      <c r="D130" t="inlineStr">
        <is>
          <t>Merchant</t>
        </is>
      </c>
      <c r="E130" t="inlineStr">
        <is>
          <t>Contains</t>
        </is>
      </c>
      <c r="F130" t="inlineStr">
        <is>
          <t>SHOPPERS DRUG MART</t>
        </is>
      </c>
      <c r="G130" s="14" t="n"/>
      <c r="H130" s="14" t="n"/>
      <c r="I130" t="inlineStr">
        <is>
          <t>Money out</t>
        </is>
      </c>
      <c r="J130" t="inlineStr">
        <is>
          <t>Prescriptions &amp; Pharmacy</t>
        </is>
      </c>
      <c r="L130" t="n">
        <v>0</v>
      </c>
      <c r="M130" t="inlineStr">
        <is>
          <t>Built in</t>
        </is>
      </c>
    </row>
    <row r="131">
      <c r="B131" t="n">
        <v>65</v>
      </c>
      <c r="C131" t="inlineStr">
        <is>
          <t>Yes</t>
        </is>
      </c>
      <c r="D131" t="inlineStr">
        <is>
          <t>Merchant</t>
        </is>
      </c>
      <c r="E131" t="inlineStr">
        <is>
          <t>Contains</t>
        </is>
      </c>
      <c r="F131" t="inlineStr">
        <is>
          <t>REXALL</t>
        </is>
      </c>
      <c r="G131" s="14" t="n"/>
      <c r="H131" s="14" t="n"/>
      <c r="I131" t="inlineStr">
        <is>
          <t>Money out</t>
        </is>
      </c>
      <c r="J131" t="inlineStr">
        <is>
          <t>Prescriptions &amp; Pharmacy</t>
        </is>
      </c>
      <c r="L131" t="n">
        <v>0</v>
      </c>
      <c r="M131" t="inlineStr">
        <is>
          <t>Built in</t>
        </is>
      </c>
    </row>
    <row r="132">
      <c r="B132" t="n">
        <v>65</v>
      </c>
      <c r="C132" t="inlineStr">
        <is>
          <t>Yes</t>
        </is>
      </c>
      <c r="D132" t="inlineStr">
        <is>
          <t>Merchant</t>
        </is>
      </c>
      <c r="E132" t="inlineStr">
        <is>
          <t>Contains</t>
        </is>
      </c>
      <c r="F132" t="inlineStr">
        <is>
          <t>PHARMAPRIX</t>
        </is>
      </c>
      <c r="G132" s="14" t="n"/>
      <c r="H132" s="14" t="n"/>
      <c r="I132" t="inlineStr">
        <is>
          <t>Money out</t>
        </is>
      </c>
      <c r="J132" t="inlineStr">
        <is>
          <t>Prescriptions &amp; Pharmacy</t>
        </is>
      </c>
      <c r="L132" t="n">
        <v>0</v>
      </c>
      <c r="M132" t="inlineStr">
        <is>
          <t>Built in</t>
        </is>
      </c>
    </row>
    <row r="133">
      <c r="B133" t="n">
        <v>65</v>
      </c>
      <c r="C133" t="inlineStr">
        <is>
          <t>Yes</t>
        </is>
      </c>
      <c r="D133" t="inlineStr">
        <is>
          <t>Merchant</t>
        </is>
      </c>
      <c r="E133" t="inlineStr">
        <is>
          <t>Contains</t>
        </is>
      </c>
      <c r="F133" t="inlineStr">
        <is>
          <t>JEAN COUTU</t>
        </is>
      </c>
      <c r="G133" s="14" t="n"/>
      <c r="H133" s="14" t="n"/>
      <c r="I133" t="inlineStr">
        <is>
          <t>Money out</t>
        </is>
      </c>
      <c r="J133" t="inlineStr">
        <is>
          <t>Prescriptions &amp; Pharmacy</t>
        </is>
      </c>
      <c r="L133" t="n">
        <v>0</v>
      </c>
      <c r="M133" t="inlineStr">
        <is>
          <t>Built in</t>
        </is>
      </c>
    </row>
    <row r="134">
      <c r="B134" t="n">
        <v>65</v>
      </c>
      <c r="C134" t="inlineStr">
        <is>
          <t>Yes</t>
        </is>
      </c>
      <c r="D134" t="inlineStr">
        <is>
          <t>Merchant</t>
        </is>
      </c>
      <c r="E134" t="inlineStr">
        <is>
          <t>Contains</t>
        </is>
      </c>
      <c r="F134" t="inlineStr">
        <is>
          <t>PHARMACY</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LONDON DRUGS</t>
        </is>
      </c>
      <c r="G135" s="14" t="n"/>
      <c r="H135" s="14" t="n"/>
      <c r="I135" t="inlineStr">
        <is>
          <t>Money out</t>
        </is>
      </c>
      <c r="J135" t="inlineStr">
        <is>
          <t>Prescriptions &amp; Pharmacy</t>
        </is>
      </c>
      <c r="L135" t="n">
        <v>0</v>
      </c>
      <c r="M135" t="inlineStr">
        <is>
          <t>Built in</t>
        </is>
      </c>
    </row>
    <row r="136">
      <c r="B136" t="n">
        <v>66</v>
      </c>
      <c r="C136" t="inlineStr">
        <is>
          <t>Yes</t>
        </is>
      </c>
      <c r="D136" t="inlineStr">
        <is>
          <t>Merchant</t>
        </is>
      </c>
      <c r="E136" t="inlineStr">
        <is>
          <t>Contains</t>
        </is>
      </c>
      <c r="F136" t="inlineStr">
        <is>
          <t>DENTAL</t>
        </is>
      </c>
      <c r="G136" s="14" t="n"/>
      <c r="H136" s="14" t="n"/>
      <c r="I136" t="inlineStr">
        <is>
          <t>Money out</t>
        </is>
      </c>
      <c r="J136" t="inlineStr">
        <is>
          <t>Dental</t>
        </is>
      </c>
      <c r="L136" t="n">
        <v>0</v>
      </c>
      <c r="M136" t="inlineStr">
        <is>
          <t>Built in</t>
        </is>
      </c>
    </row>
    <row r="137">
      <c r="B137" t="n">
        <v>66</v>
      </c>
      <c r="C137" t="inlineStr">
        <is>
          <t>Yes</t>
        </is>
      </c>
      <c r="D137" t="inlineStr">
        <is>
          <t>Merchant</t>
        </is>
      </c>
      <c r="E137" t="inlineStr">
        <is>
          <t>Contains</t>
        </is>
      </c>
      <c r="F137" t="inlineStr">
        <is>
          <t>DENTISTRY</t>
        </is>
      </c>
      <c r="G137" s="14" t="n"/>
      <c r="H137" s="14" t="n"/>
      <c r="I137" t="inlineStr">
        <is>
          <t>Money out</t>
        </is>
      </c>
      <c r="J137" t="inlineStr">
        <is>
          <t>Dental</t>
        </is>
      </c>
      <c r="L137" t="n">
        <v>0</v>
      </c>
      <c r="M137" t="inlineStr">
        <is>
          <t>Built in</t>
        </is>
      </c>
    </row>
    <row r="138">
      <c r="B138" t="n">
        <v>66</v>
      </c>
      <c r="C138" t="inlineStr">
        <is>
          <t>Yes</t>
        </is>
      </c>
      <c r="D138" t="inlineStr">
        <is>
          <t>Merchant</t>
        </is>
      </c>
      <c r="E138" t="inlineStr">
        <is>
          <t>Contains</t>
        </is>
      </c>
      <c r="F138" t="inlineStr">
        <is>
          <t>PHYSIO</t>
        </is>
      </c>
      <c r="G138" s="14" t="n"/>
      <c r="H138" s="14" t="n"/>
      <c r="I138" t="inlineStr">
        <is>
          <t>Money out</t>
        </is>
      </c>
      <c r="J138" t="inlineStr">
        <is>
          <t>Other Medical</t>
        </is>
      </c>
      <c r="L138" t="n">
        <v>0</v>
      </c>
      <c r="M138" t="inlineStr">
        <is>
          <t>Built in</t>
        </is>
      </c>
    </row>
    <row r="139">
      <c r="B139" t="n">
        <v>66</v>
      </c>
      <c r="C139" t="inlineStr">
        <is>
          <t>Yes</t>
        </is>
      </c>
      <c r="D139" t="inlineStr">
        <is>
          <t>Merchant</t>
        </is>
      </c>
      <c r="E139" t="inlineStr">
        <is>
          <t>Contains</t>
        </is>
      </c>
      <c r="F139" t="inlineStr">
        <is>
          <t>MASSAGE</t>
        </is>
      </c>
      <c r="G139" s="14" t="n"/>
      <c r="H139" s="14" t="n"/>
      <c r="I139" t="inlineStr">
        <is>
          <t>Money out</t>
        </is>
      </c>
      <c r="J139" t="inlineStr">
        <is>
          <t>Other Medical</t>
        </is>
      </c>
      <c r="L139" t="n">
        <v>0</v>
      </c>
      <c r="M139" t="inlineStr">
        <is>
          <t>Built in</t>
        </is>
      </c>
    </row>
    <row r="140">
      <c r="B140" t="n">
        <v>66</v>
      </c>
      <c r="C140" t="inlineStr">
        <is>
          <t>Yes</t>
        </is>
      </c>
      <c r="D140" t="inlineStr">
        <is>
          <t>Merchant</t>
        </is>
      </c>
      <c r="E140" t="inlineStr">
        <is>
          <t>Contains</t>
        </is>
      </c>
      <c r="F140" t="inlineStr">
        <is>
          <t>OPTOMETRY</t>
        </is>
      </c>
      <c r="G140" s="14" t="n"/>
      <c r="H140" s="14" t="n"/>
      <c r="I140" t="inlineStr">
        <is>
          <t>Money out</t>
        </is>
      </c>
      <c r="J140" t="inlineStr">
        <is>
          <t>Vision</t>
        </is>
      </c>
      <c r="L140" t="n">
        <v>0</v>
      </c>
      <c r="M140" t="inlineStr">
        <is>
          <t>Built in</t>
        </is>
      </c>
    </row>
    <row r="141">
      <c r="B141" t="n">
        <v>66</v>
      </c>
      <c r="C141" t="inlineStr">
        <is>
          <t>Yes</t>
        </is>
      </c>
      <c r="D141" t="inlineStr">
        <is>
          <t>Merchant</t>
        </is>
      </c>
      <c r="E141" t="inlineStr">
        <is>
          <t>Contains</t>
        </is>
      </c>
      <c r="F141" t="inlineStr">
        <is>
          <t>LENSCRAFTERS</t>
        </is>
      </c>
      <c r="G141" s="14" t="n"/>
      <c r="H141" s="14" t="n"/>
      <c r="I141" t="inlineStr">
        <is>
          <t>Money out</t>
        </is>
      </c>
      <c r="J141" t="inlineStr">
        <is>
          <t>Vision</t>
        </is>
      </c>
      <c r="L141" t="n">
        <v>0</v>
      </c>
      <c r="M141" t="inlineStr">
        <is>
          <t>Built in</t>
        </is>
      </c>
    </row>
    <row r="142">
      <c r="B142" t="n">
        <v>67</v>
      </c>
      <c r="C142" t="inlineStr">
        <is>
          <t>Yes</t>
        </is>
      </c>
      <c r="D142" t="inlineStr">
        <is>
          <t>Merchant</t>
        </is>
      </c>
      <c r="E142" t="inlineStr">
        <is>
          <t>Contains</t>
        </is>
      </c>
      <c r="F142" t="inlineStr">
        <is>
          <t>GOODLIFE</t>
        </is>
      </c>
      <c r="G142" s="14" t="n"/>
      <c r="H142" s="14" t="n"/>
      <c r="I142" t="inlineStr">
        <is>
          <t>Money out</t>
        </is>
      </c>
      <c r="J142" t="inlineStr">
        <is>
          <t>Fitness &amp; Sports</t>
        </is>
      </c>
      <c r="L142" t="n">
        <v>0</v>
      </c>
      <c r="M142" t="inlineStr">
        <is>
          <t>Built in</t>
        </is>
      </c>
    </row>
    <row r="143">
      <c r="B143" t="n">
        <v>67</v>
      </c>
      <c r="C143" t="inlineStr">
        <is>
          <t>Yes</t>
        </is>
      </c>
      <c r="D143" t="inlineStr">
        <is>
          <t>Merchant</t>
        </is>
      </c>
      <c r="E143" t="inlineStr">
        <is>
          <t>Contains</t>
        </is>
      </c>
      <c r="F143" t="inlineStr">
        <is>
          <t>FIT4LESS</t>
        </is>
      </c>
      <c r="G143" s="14" t="n"/>
      <c r="H143" s="14" t="n"/>
      <c r="I143" t="inlineStr">
        <is>
          <t>Money out</t>
        </is>
      </c>
      <c r="J143" t="inlineStr">
        <is>
          <t>Fitness &amp; Sports</t>
        </is>
      </c>
      <c r="L143" t="n">
        <v>0</v>
      </c>
      <c r="M143" t="inlineStr">
        <is>
          <t>Built in</t>
        </is>
      </c>
    </row>
    <row r="144">
      <c r="B144" t="n">
        <v>67</v>
      </c>
      <c r="C144" t="inlineStr">
        <is>
          <t>Yes</t>
        </is>
      </c>
      <c r="D144" t="inlineStr">
        <is>
          <t>Merchant</t>
        </is>
      </c>
      <c r="E144" t="inlineStr">
        <is>
          <t>Contains</t>
        </is>
      </c>
      <c r="F144" t="inlineStr">
        <is>
          <t>ORANGETHEORY</t>
        </is>
      </c>
      <c r="G144" s="14" t="n"/>
      <c r="H144" s="14" t="n"/>
      <c r="I144" t="inlineStr">
        <is>
          <t>Money out</t>
        </is>
      </c>
      <c r="J144" t="inlineStr">
        <is>
          <t>Fitness &amp; Sports</t>
        </is>
      </c>
      <c r="L144" t="n">
        <v>0</v>
      </c>
      <c r="M144" t="inlineStr">
        <is>
          <t>Built in</t>
        </is>
      </c>
    </row>
    <row r="145">
      <c r="B145" t="n">
        <v>67</v>
      </c>
      <c r="C145" t="inlineStr">
        <is>
          <t>Yes</t>
        </is>
      </c>
      <c r="D145" t="inlineStr">
        <is>
          <t>Merchant</t>
        </is>
      </c>
      <c r="E145" t="inlineStr">
        <is>
          <t>Contains</t>
        </is>
      </c>
      <c r="F145" t="inlineStr">
        <is>
          <t>YMCA</t>
        </is>
      </c>
      <c r="G145" s="14" t="n"/>
      <c r="H145" s="14" t="n"/>
      <c r="I145" t="inlineStr">
        <is>
          <t>Money out</t>
        </is>
      </c>
      <c r="J145" t="inlineStr">
        <is>
          <t>Fitness &amp; Sports</t>
        </is>
      </c>
      <c r="L145" t="n">
        <v>0</v>
      </c>
      <c r="M145" t="inlineStr">
        <is>
          <t>Built in</t>
        </is>
      </c>
    </row>
    <row r="146">
      <c r="B146" t="n">
        <v>70</v>
      </c>
      <c r="C146" t="inlineStr">
        <is>
          <t>Yes</t>
        </is>
      </c>
      <c r="D146" t="inlineStr">
        <is>
          <t>Merchant</t>
        </is>
      </c>
      <c r="E146" t="inlineStr">
        <is>
          <t>Contains</t>
        </is>
      </c>
      <c r="F146" t="inlineStr">
        <is>
          <t>NETFLIX</t>
        </is>
      </c>
      <c r="G146" s="14" t="n"/>
      <c r="H146" s="14" t="n"/>
      <c r="I146" t="inlineStr">
        <is>
          <t>Money out</t>
        </is>
      </c>
      <c r="J146" t="inlineStr">
        <is>
          <t>Subscriptions</t>
        </is>
      </c>
      <c r="L146" t="n">
        <v>0</v>
      </c>
      <c r="M146" t="inlineStr">
        <is>
          <t>Built in</t>
        </is>
      </c>
    </row>
    <row r="147">
      <c r="B147" t="n">
        <v>70</v>
      </c>
      <c r="C147" t="inlineStr">
        <is>
          <t>Yes</t>
        </is>
      </c>
      <c r="D147" t="inlineStr">
        <is>
          <t>Merchant</t>
        </is>
      </c>
      <c r="E147" t="inlineStr">
        <is>
          <t>Contains</t>
        </is>
      </c>
      <c r="F147" t="inlineStr">
        <is>
          <t>SPOTIFY</t>
        </is>
      </c>
      <c r="G147" s="14" t="n"/>
      <c r="H147" s="14" t="n"/>
      <c r="I147" t="inlineStr">
        <is>
          <t>Money out</t>
        </is>
      </c>
      <c r="J147" t="inlineStr">
        <is>
          <t>Subscriptions</t>
        </is>
      </c>
      <c r="L147" t="n">
        <v>0</v>
      </c>
      <c r="M147" t="inlineStr">
        <is>
          <t>Built in</t>
        </is>
      </c>
    </row>
    <row r="148">
      <c r="B148" t="n">
        <v>70</v>
      </c>
      <c r="C148" t="inlineStr">
        <is>
          <t>Yes</t>
        </is>
      </c>
      <c r="D148" t="inlineStr">
        <is>
          <t>Merchant</t>
        </is>
      </c>
      <c r="E148" t="inlineStr">
        <is>
          <t>Contains</t>
        </is>
      </c>
      <c r="F148" t="inlineStr">
        <is>
          <t>CRAVE</t>
        </is>
      </c>
      <c r="G148" s="14" t="n"/>
      <c r="H148" s="14" t="n"/>
      <c r="I148" t="inlineStr">
        <is>
          <t>Money out</t>
        </is>
      </c>
      <c r="J148" t="inlineStr">
        <is>
          <t>Subscriptions</t>
        </is>
      </c>
      <c r="L148" t="n">
        <v>0</v>
      </c>
      <c r="M148" t="inlineStr">
        <is>
          <t>Built in</t>
        </is>
      </c>
    </row>
    <row r="149">
      <c r="B149" t="n">
        <v>70</v>
      </c>
      <c r="C149" t="inlineStr">
        <is>
          <t>Yes</t>
        </is>
      </c>
      <c r="D149" t="inlineStr">
        <is>
          <t>Merchant</t>
        </is>
      </c>
      <c r="E149" t="inlineStr">
        <is>
          <t>Contains</t>
        </is>
      </c>
      <c r="F149" t="inlineStr">
        <is>
          <t>DISNEY PLUS</t>
        </is>
      </c>
      <c r="G149" s="14" t="n"/>
      <c r="H149" s="14" t="n"/>
      <c r="I149" t="inlineStr">
        <is>
          <t>Money out</t>
        </is>
      </c>
      <c r="J149" t="inlineStr">
        <is>
          <t>Subscriptions</t>
        </is>
      </c>
      <c r="L149" t="n">
        <v>0</v>
      </c>
      <c r="M149" t="inlineStr">
        <is>
          <t>Built in</t>
        </is>
      </c>
    </row>
    <row r="150">
      <c r="B150" t="n">
        <v>70</v>
      </c>
      <c r="C150" t="inlineStr">
        <is>
          <t>Yes</t>
        </is>
      </c>
      <c r="D150" t="inlineStr">
        <is>
          <t>Merchant</t>
        </is>
      </c>
      <c r="E150" t="inlineStr">
        <is>
          <t>Contains</t>
        </is>
      </c>
      <c r="F150" t="inlineStr">
        <is>
          <t>APPLE.COM/BILL</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GOOGLE STORAGE</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AMAZON PRIME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GLOBE AND MAIL</t>
        </is>
      </c>
      <c r="G153" s="14" t="n"/>
      <c r="H153" s="14" t="n"/>
      <c r="I153" t="inlineStr">
        <is>
          <t>Money out</t>
        </is>
      </c>
      <c r="J153" t="inlineStr">
        <is>
          <t>Subscriptions</t>
        </is>
      </c>
      <c r="L153" t="n">
        <v>0</v>
      </c>
      <c r="M153" t="inlineStr">
        <is>
          <t>Built in</t>
        </is>
      </c>
    </row>
    <row r="154">
      <c r="B154" t="n">
        <v>71</v>
      </c>
      <c r="C154" t="inlineStr">
        <is>
          <t>Yes</t>
        </is>
      </c>
      <c r="D154" t="inlineStr">
        <is>
          <t>Merchant</t>
        </is>
      </c>
      <c r="E154" t="inlineStr">
        <is>
          <t>Contains</t>
        </is>
      </c>
      <c r="F154" t="inlineStr">
        <is>
          <t>AMAZON</t>
        </is>
      </c>
      <c r="G154" s="14" t="n"/>
      <c r="H154" s="14" t="n"/>
      <c r="I154" t="inlineStr">
        <is>
          <t>Money out</t>
        </is>
      </c>
      <c r="J154" t="inlineStr">
        <is>
          <t>Miscellaneous</t>
        </is>
      </c>
      <c r="L154" t="n">
        <v>0</v>
      </c>
      <c r="M154" t="inlineStr">
        <is>
          <t>Built in</t>
        </is>
      </c>
    </row>
    <row r="155">
      <c r="B155" t="n">
        <v>71</v>
      </c>
      <c r="C155" t="inlineStr">
        <is>
          <t>Yes</t>
        </is>
      </c>
      <c r="D155" t="inlineStr">
        <is>
          <t>Merchant</t>
        </is>
      </c>
      <c r="E155" t="inlineStr">
        <is>
          <t>Contains</t>
        </is>
      </c>
      <c r="F155" t="inlineStr">
        <is>
          <t>INDIGO</t>
        </is>
      </c>
      <c r="G155" s="14" t="n"/>
      <c r="H155" s="14" t="n"/>
      <c r="I155" t="inlineStr">
        <is>
          <t>Money out</t>
        </is>
      </c>
      <c r="J155" t="inlineStr">
        <is>
          <t>Hobbies</t>
        </is>
      </c>
      <c r="L155" t="n">
        <v>0</v>
      </c>
      <c r="M155" t="inlineStr">
        <is>
          <t>Built in</t>
        </is>
      </c>
    </row>
    <row r="156">
      <c r="B156" t="n">
        <v>71</v>
      </c>
      <c r="C156" t="inlineStr">
        <is>
          <t>Yes</t>
        </is>
      </c>
      <c r="D156" t="inlineStr">
        <is>
          <t>Merchant</t>
        </is>
      </c>
      <c r="E156" t="inlineStr">
        <is>
          <t>Contains</t>
        </is>
      </c>
      <c r="F156" t="inlineStr">
        <is>
          <t>CHAPTERS</t>
        </is>
      </c>
      <c r="G156" s="14" t="n"/>
      <c r="H156" s="14" t="n"/>
      <c r="I156" t="inlineStr">
        <is>
          <t>Money out</t>
        </is>
      </c>
      <c r="J156" t="inlineStr">
        <is>
          <t>Hobbies</t>
        </is>
      </c>
      <c r="L156" t="n">
        <v>0</v>
      </c>
      <c r="M156" t="inlineStr">
        <is>
          <t>Built in</t>
        </is>
      </c>
    </row>
    <row r="157">
      <c r="B157" t="n">
        <v>71</v>
      </c>
      <c r="C157" t="inlineStr">
        <is>
          <t>Yes</t>
        </is>
      </c>
      <c r="D157" t="inlineStr">
        <is>
          <t>Merchant</t>
        </is>
      </c>
      <c r="E157" t="inlineStr">
        <is>
          <t>Contains</t>
        </is>
      </c>
      <c r="F157" t="inlineStr">
        <is>
          <t>TOYS R US</t>
        </is>
      </c>
      <c r="G157" s="14" t="n"/>
      <c r="H157" s="14" t="n"/>
      <c r="I157" t="inlineStr">
        <is>
          <t>Money out</t>
        </is>
      </c>
      <c r="J157" t="inlineStr">
        <is>
          <t>Children's Activities</t>
        </is>
      </c>
      <c r="L157" t="n">
        <v>0</v>
      </c>
      <c r="M157" t="inlineStr">
        <is>
          <t>Built in</t>
        </is>
      </c>
    </row>
    <row r="158">
      <c r="B158" t="n">
        <v>71</v>
      </c>
      <c r="C158" t="inlineStr">
        <is>
          <t>Yes</t>
        </is>
      </c>
      <c r="D158" t="inlineStr">
        <is>
          <t>Merchant</t>
        </is>
      </c>
      <c r="E158" t="inlineStr">
        <is>
          <t>Contains</t>
        </is>
      </c>
      <c r="F158" t="inlineStr">
        <is>
          <t>WINNERS</t>
        </is>
      </c>
      <c r="G158" s="14" t="n"/>
      <c r="H158" s="14" t="n"/>
      <c r="I158" t="inlineStr">
        <is>
          <t>Money out</t>
        </is>
      </c>
      <c r="J158" t="inlineStr">
        <is>
          <t>Clothing &amp; Shoes</t>
        </is>
      </c>
      <c r="L158" t="n">
        <v>0</v>
      </c>
      <c r="M158" t="inlineStr">
        <is>
          <t>Built in</t>
        </is>
      </c>
    </row>
    <row r="159">
      <c r="B159" t="n">
        <v>71</v>
      </c>
      <c r="C159" t="inlineStr">
        <is>
          <t>Yes</t>
        </is>
      </c>
      <c r="D159" t="inlineStr">
        <is>
          <t>Merchant</t>
        </is>
      </c>
      <c r="E159" t="inlineStr">
        <is>
          <t>Contains</t>
        </is>
      </c>
      <c r="F159" t="inlineStr">
        <is>
          <t>MARSHALLS</t>
        </is>
      </c>
      <c r="G159" s="14" t="n"/>
      <c r="H159" s="14" t="n"/>
      <c r="I159" t="inlineStr">
        <is>
          <t>Money out</t>
        </is>
      </c>
      <c r="J159" t="inlineStr">
        <is>
          <t>Clothing &amp; Shoes</t>
        </is>
      </c>
      <c r="L159" t="n">
        <v>0</v>
      </c>
      <c r="M159" t="inlineStr">
        <is>
          <t>Built in</t>
        </is>
      </c>
    </row>
    <row r="160">
      <c r="B160" t="n">
        <v>71</v>
      </c>
      <c r="C160" t="inlineStr">
        <is>
          <t>Yes</t>
        </is>
      </c>
      <c r="D160" t="inlineStr">
        <is>
          <t>Merchant</t>
        </is>
      </c>
      <c r="E160" t="inlineStr">
        <is>
          <t>Contains</t>
        </is>
      </c>
      <c r="F160" t="inlineStr">
        <is>
          <t>SIMONS</t>
        </is>
      </c>
      <c r="G160" s="14" t="n"/>
      <c r="H160" s="14" t="n"/>
      <c r="I160" t="inlineStr">
        <is>
          <t>Money out</t>
        </is>
      </c>
      <c r="J160" t="inlineStr">
        <is>
          <t>Clothing &amp; Shoes</t>
        </is>
      </c>
      <c r="L160" t="n">
        <v>0</v>
      </c>
      <c r="M160" t="inlineStr">
        <is>
          <t>Built in</t>
        </is>
      </c>
    </row>
    <row r="161">
      <c r="B161" t="n">
        <v>71</v>
      </c>
      <c r="C161" t="inlineStr">
        <is>
          <t>Yes</t>
        </is>
      </c>
      <c r="D161" t="inlineStr">
        <is>
          <t>Merchant</t>
        </is>
      </c>
      <c r="E161" t="inlineStr">
        <is>
          <t>Contains</t>
        </is>
      </c>
      <c r="F161" t="inlineStr">
        <is>
          <t>UNIQLO</t>
        </is>
      </c>
      <c r="G161" s="14" t="n"/>
      <c r="H161" s="14" t="n"/>
      <c r="I161" t="inlineStr">
        <is>
          <t>Money out</t>
        </is>
      </c>
      <c r="J161" t="inlineStr">
        <is>
          <t>Clothing &amp; Shoes</t>
        </is>
      </c>
      <c r="L161" t="n">
        <v>0</v>
      </c>
      <c r="M161" t="inlineStr">
        <is>
          <t>Built in</t>
        </is>
      </c>
    </row>
    <row r="162">
      <c r="B162" t="n">
        <v>71</v>
      </c>
      <c r="C162" t="inlineStr">
        <is>
          <t>Yes</t>
        </is>
      </c>
      <c r="D162" t="inlineStr">
        <is>
          <t>Merchant</t>
        </is>
      </c>
      <c r="E162" t="inlineStr">
        <is>
          <t>Contains</t>
        </is>
      </c>
      <c r="F162" t="inlineStr">
        <is>
          <t>SPORT CHEK</t>
        </is>
      </c>
      <c r="G162" s="14" t="n"/>
      <c r="H162" s="14" t="n"/>
      <c r="I162" t="inlineStr">
        <is>
          <t>Money out</t>
        </is>
      </c>
      <c r="J162" t="inlineStr">
        <is>
          <t>Fitness &amp; Sports</t>
        </is>
      </c>
      <c r="L162" t="n">
        <v>0</v>
      </c>
      <c r="M162" t="inlineStr">
        <is>
          <t>Built in</t>
        </is>
      </c>
    </row>
    <row r="163">
      <c r="B163" t="n">
        <v>71</v>
      </c>
      <c r="C163" t="inlineStr">
        <is>
          <t>Yes</t>
        </is>
      </c>
      <c r="D163" t="inlineStr">
        <is>
          <t>Merchant</t>
        </is>
      </c>
      <c r="E163" t="inlineStr">
        <is>
          <t>Contains</t>
        </is>
      </c>
      <c r="F163" t="inlineStr">
        <is>
          <t>MEC</t>
        </is>
      </c>
      <c r="G163" s="14" t="n"/>
      <c r="H163" s="14" t="n"/>
      <c r="I163" t="inlineStr">
        <is>
          <t>Money out</t>
        </is>
      </c>
      <c r="J163" t="inlineStr">
        <is>
          <t>Fitness &amp; Sports</t>
        </is>
      </c>
      <c r="L163" t="n">
        <v>0</v>
      </c>
      <c r="M163" t="inlineStr">
        <is>
          <t>Built in</t>
        </is>
      </c>
    </row>
    <row r="164">
      <c r="B164" t="n">
        <v>71</v>
      </c>
      <c r="C164" t="inlineStr">
        <is>
          <t>Yes</t>
        </is>
      </c>
      <c r="D164" t="inlineStr">
        <is>
          <t>Merchant</t>
        </is>
      </c>
      <c r="E164" t="inlineStr">
        <is>
          <t>Contains</t>
        </is>
      </c>
      <c r="F164" t="inlineStr">
        <is>
          <t>HOME DEPOT</t>
        </is>
      </c>
      <c r="G164" s="14" t="n"/>
      <c r="H164" s="14" t="n"/>
      <c r="I164" t="inlineStr">
        <is>
          <t>Money out</t>
        </is>
      </c>
      <c r="J164" t="inlineStr">
        <is>
          <t>Home Improvement</t>
        </is>
      </c>
      <c r="L164" t="n">
        <v>0</v>
      </c>
      <c r="M164" t="inlineStr">
        <is>
          <t>Built in</t>
        </is>
      </c>
    </row>
    <row r="165">
      <c r="B165" t="n">
        <v>71</v>
      </c>
      <c r="C165" t="inlineStr">
        <is>
          <t>Yes</t>
        </is>
      </c>
      <c r="D165" t="inlineStr">
        <is>
          <t>Merchant</t>
        </is>
      </c>
      <c r="E165" t="inlineStr">
        <is>
          <t>Contains</t>
        </is>
      </c>
      <c r="F165" t="inlineStr">
        <is>
          <t>RONA</t>
        </is>
      </c>
      <c r="G165" s="14" t="n"/>
      <c r="H165" s="14" t="n"/>
      <c r="I165" t="inlineStr">
        <is>
          <t>Money out</t>
        </is>
      </c>
      <c r="J165" t="inlineStr">
        <is>
          <t>Home Improvement</t>
        </is>
      </c>
      <c r="L165" t="n">
        <v>0</v>
      </c>
      <c r="M165" t="inlineStr">
        <is>
          <t>Built in</t>
        </is>
      </c>
    </row>
    <row r="166">
      <c r="B166" t="n">
        <v>71</v>
      </c>
      <c r="C166" t="inlineStr">
        <is>
          <t>Yes</t>
        </is>
      </c>
      <c r="D166" t="inlineStr">
        <is>
          <t>Merchant</t>
        </is>
      </c>
      <c r="E166" t="inlineStr">
        <is>
          <t>Contains</t>
        </is>
      </c>
      <c r="F166" t="inlineStr">
        <is>
          <t>LOWE</t>
        </is>
      </c>
      <c r="G166" s="14" t="n"/>
      <c r="H166" s="14" t="n"/>
      <c r="I166" t="inlineStr">
        <is>
          <t>Money out</t>
        </is>
      </c>
      <c r="J166" t="inlineStr">
        <is>
          <t>Home Improvement</t>
        </is>
      </c>
      <c r="L166" t="n">
        <v>0</v>
      </c>
      <c r="M166" t="inlineStr">
        <is>
          <t>Built in</t>
        </is>
      </c>
    </row>
    <row r="167">
      <c r="B167" t="n">
        <v>71</v>
      </c>
      <c r="C167" t="inlineStr">
        <is>
          <t>Yes</t>
        </is>
      </c>
      <c r="D167" t="inlineStr">
        <is>
          <t>Merchant</t>
        </is>
      </c>
      <c r="E167" t="inlineStr">
        <is>
          <t>Contains</t>
        </is>
      </c>
      <c r="F167" t="inlineStr">
        <is>
          <t>IKEA</t>
        </is>
      </c>
      <c r="G167" s="14" t="n"/>
      <c r="H167" s="14" t="n"/>
      <c r="I167" t="inlineStr">
        <is>
          <t>Money out</t>
        </is>
      </c>
      <c r="J167" t="inlineStr">
        <is>
          <t>Furniture &amp; Housewares</t>
        </is>
      </c>
      <c r="L167" t="n">
        <v>0</v>
      </c>
      <c r="M167" t="inlineStr">
        <is>
          <t>Built in</t>
        </is>
      </c>
    </row>
    <row r="168">
      <c r="B168" t="n">
        <v>71</v>
      </c>
      <c r="C168" t="inlineStr">
        <is>
          <t>Yes</t>
        </is>
      </c>
      <c r="D168" t="inlineStr">
        <is>
          <t>Merchant</t>
        </is>
      </c>
      <c r="E168" t="inlineStr">
        <is>
          <t>Contains</t>
        </is>
      </c>
      <c r="F168" t="inlineStr">
        <is>
          <t>DOLLARAMA</t>
        </is>
      </c>
      <c r="G168" s="14" t="n"/>
      <c r="H168" s="14" t="n"/>
      <c r="I168" t="inlineStr">
        <is>
          <t>Money out</t>
        </is>
      </c>
      <c r="J168" t="inlineStr">
        <is>
          <t>Miscellaneous</t>
        </is>
      </c>
      <c r="L168" t="n">
        <v>0</v>
      </c>
      <c r="M168" t="inlineStr">
        <is>
          <t>Built in</t>
        </is>
      </c>
    </row>
    <row r="169">
      <c r="B169" t="n">
        <v>71</v>
      </c>
      <c r="C169" t="inlineStr">
        <is>
          <t>Yes</t>
        </is>
      </c>
      <c r="D169" t="inlineStr">
        <is>
          <t>Merchant</t>
        </is>
      </c>
      <c r="E169" t="inlineStr">
        <is>
          <t>Contains</t>
        </is>
      </c>
      <c r="F169" t="inlineStr">
        <is>
          <t>PETSMART</t>
        </is>
      </c>
      <c r="G169" s="14" t="n"/>
      <c r="H169" s="14" t="n"/>
      <c r="I169" t="inlineStr">
        <is>
          <t>Money out</t>
        </is>
      </c>
      <c r="J169" t="inlineStr">
        <is>
          <t>Pet Care</t>
        </is>
      </c>
      <c r="L169" t="n">
        <v>0</v>
      </c>
      <c r="M169" t="inlineStr">
        <is>
          <t>Built in</t>
        </is>
      </c>
    </row>
    <row r="170">
      <c r="B170" t="n">
        <v>71</v>
      </c>
      <c r="C170" t="inlineStr">
        <is>
          <t>Yes</t>
        </is>
      </c>
      <c r="D170" t="inlineStr">
        <is>
          <t>Merchant</t>
        </is>
      </c>
      <c r="E170" t="inlineStr">
        <is>
          <t>Contains</t>
        </is>
      </c>
      <c r="F170" t="inlineStr">
        <is>
          <t>PET VALU</t>
        </is>
      </c>
      <c r="G170" s="14" t="n"/>
      <c r="H170" s="14" t="n"/>
      <c r="I170" t="inlineStr">
        <is>
          <t>Money out</t>
        </is>
      </c>
      <c r="J170" t="inlineStr">
        <is>
          <t>Pet Care</t>
        </is>
      </c>
      <c r="L170" t="n">
        <v>0</v>
      </c>
      <c r="M170" t="inlineStr">
        <is>
          <t>Built in</t>
        </is>
      </c>
    </row>
    <row r="171">
      <c r="B171" t="n">
        <v>71</v>
      </c>
      <c r="C171" t="inlineStr">
        <is>
          <t>Yes</t>
        </is>
      </c>
      <c r="D171" t="inlineStr">
        <is>
          <t>Merchant</t>
        </is>
      </c>
      <c r="E171" t="inlineStr">
        <is>
          <t>Contains</t>
        </is>
      </c>
      <c r="F171" t="inlineStr">
        <is>
          <t>VETERINARY</t>
        </is>
      </c>
      <c r="G171" s="14" t="n"/>
      <c r="H171" s="14" t="n"/>
      <c r="I171" t="inlineStr">
        <is>
          <t>Money out</t>
        </is>
      </c>
      <c r="J171" t="inlineStr">
        <is>
          <t>Pet Care</t>
        </is>
      </c>
      <c r="L171" t="n">
        <v>0</v>
      </c>
      <c r="M171" t="inlineStr">
        <is>
          <t>Built in</t>
        </is>
      </c>
    </row>
    <row r="172">
      <c r="B172" t="n">
        <v>80</v>
      </c>
      <c r="C172" t="inlineStr">
        <is>
          <t>Yes</t>
        </is>
      </c>
      <c r="D172" t="inlineStr">
        <is>
          <t>Description</t>
        </is>
      </c>
      <c r="E172" t="inlineStr">
        <is>
          <t>Contains</t>
        </is>
      </c>
      <c r="F172" t="inlineStr">
        <is>
          <t>MONTHLY FEE</t>
        </is>
      </c>
      <c r="G172" s="14" t="n"/>
      <c r="H172" s="14" t="n"/>
      <c r="I172" t="inlineStr">
        <is>
          <t>Money out</t>
        </is>
      </c>
      <c r="J172" t="inlineStr">
        <is>
          <t>Bank Fees</t>
        </is>
      </c>
      <c r="L172" t="n">
        <v>0</v>
      </c>
      <c r="M172" t="inlineStr">
        <is>
          <t>Built in</t>
        </is>
      </c>
    </row>
    <row r="173">
      <c r="B173" t="n">
        <v>80</v>
      </c>
      <c r="C173" t="inlineStr">
        <is>
          <t>Yes</t>
        </is>
      </c>
      <c r="D173" t="inlineStr">
        <is>
          <t>Description</t>
        </is>
      </c>
      <c r="E173" t="inlineStr">
        <is>
          <t>Contains</t>
        </is>
      </c>
      <c r="F173" t="inlineStr">
        <is>
          <t>MONTHLY ACCOUNT FEE</t>
        </is>
      </c>
      <c r="G173" s="14" t="n"/>
      <c r="H173" s="14" t="n"/>
      <c r="I173" t="inlineStr">
        <is>
          <t>Money out</t>
        </is>
      </c>
      <c r="J173" t="inlineStr">
        <is>
          <t>Bank Fees</t>
        </is>
      </c>
      <c r="L173" t="n">
        <v>0</v>
      </c>
      <c r="M173" t="inlineStr">
        <is>
          <t>Built in</t>
        </is>
      </c>
    </row>
    <row r="174">
      <c r="B174" t="n">
        <v>80</v>
      </c>
      <c r="C174" t="inlineStr">
        <is>
          <t>Yes</t>
        </is>
      </c>
      <c r="D174" t="inlineStr">
        <is>
          <t>Description</t>
        </is>
      </c>
      <c r="E174" t="inlineStr">
        <is>
          <t>Contains</t>
        </is>
      </c>
      <c r="F174" t="inlineStr">
        <is>
          <t>OVERDRAFT</t>
        </is>
      </c>
      <c r="G174" s="14" t="n"/>
      <c r="H174" s="14" t="n"/>
      <c r="I174" t="inlineStr">
        <is>
          <t>Money out</t>
        </is>
      </c>
      <c r="J174" t="inlineStr">
        <is>
          <t>Bank Fees</t>
        </is>
      </c>
      <c r="L174" t="n">
        <v>0</v>
      </c>
      <c r="M174" t="inlineStr">
        <is>
          <t>Built in</t>
        </is>
      </c>
    </row>
    <row r="175">
      <c r="B175" t="n">
        <v>80</v>
      </c>
      <c r="C175" t="inlineStr">
        <is>
          <t>Yes</t>
        </is>
      </c>
      <c r="D175" t="inlineStr">
        <is>
          <t>Description</t>
        </is>
      </c>
      <c r="E175" t="inlineStr">
        <is>
          <t>Contains</t>
        </is>
      </c>
      <c r="F175" t="inlineStr">
        <is>
          <t>SERVICE CHARGE</t>
        </is>
      </c>
      <c r="G175" s="14" t="n"/>
      <c r="H175" s="14" t="n"/>
      <c r="I175" t="inlineStr">
        <is>
          <t>Money out</t>
        </is>
      </c>
      <c r="J175" t="inlineStr">
        <is>
          <t>Bank Fees</t>
        </is>
      </c>
      <c r="L175" t="n">
        <v>0</v>
      </c>
      <c r="M175" t="inlineStr">
        <is>
          <t>Built in</t>
        </is>
      </c>
    </row>
    <row r="176">
      <c r="B176" t="n">
        <v>80</v>
      </c>
      <c r="C176" t="inlineStr">
        <is>
          <t>Yes</t>
        </is>
      </c>
      <c r="D176" t="inlineStr">
        <is>
          <t>Description</t>
        </is>
      </c>
      <c r="E176" t="inlineStr">
        <is>
          <t>Contains</t>
        </is>
      </c>
      <c r="F176" t="inlineStr">
        <is>
          <t>INTEREST CHARGE</t>
        </is>
      </c>
      <c r="G176" s="14" t="n"/>
      <c r="H176" s="14" t="n"/>
      <c r="I176" t="inlineStr">
        <is>
          <t>Money out</t>
        </is>
      </c>
      <c r="J176" t="inlineStr">
        <is>
          <t>Interest &amp; Card Charges</t>
        </is>
      </c>
      <c r="L176" t="n">
        <v>0</v>
      </c>
      <c r="M176" t="inlineStr">
        <is>
          <t>Built in</t>
        </is>
      </c>
    </row>
    <row r="177">
      <c r="B177" t="n">
        <v>80</v>
      </c>
      <c r="C177" t="inlineStr">
        <is>
          <t>Yes</t>
        </is>
      </c>
      <c r="D177" t="inlineStr">
        <is>
          <t>Description</t>
        </is>
      </c>
      <c r="E177" t="inlineStr">
        <is>
          <t>Contains</t>
        </is>
      </c>
      <c r="F177" t="inlineStr">
        <is>
          <t>FOREIGN CURRENCY</t>
        </is>
      </c>
      <c r="G177" s="14" t="n"/>
      <c r="H177" s="14" t="n"/>
      <c r="I177" t="inlineStr">
        <is>
          <t>Money out</t>
        </is>
      </c>
      <c r="J177" t="inlineStr">
        <is>
          <t>Foreign Exchange Fees</t>
        </is>
      </c>
      <c r="L177" t="n">
        <v>0</v>
      </c>
      <c r="M177" t="inlineStr">
        <is>
          <t>Built in</t>
        </is>
      </c>
    </row>
    <row r="178">
      <c r="B178" t="n">
        <v>81</v>
      </c>
      <c r="C178" t="inlineStr">
        <is>
          <t>Yes</t>
        </is>
      </c>
      <c r="D178" t="inlineStr">
        <is>
          <t>Description</t>
        </is>
      </c>
      <c r="E178" t="inlineStr">
        <is>
          <t>Contains</t>
        </is>
      </c>
      <c r="F178" t="inlineStr">
        <is>
          <t>RRSP</t>
        </is>
      </c>
      <c r="G178" s="14" t="n"/>
      <c r="H178" s="14" t="n"/>
      <c r="I178" t="inlineStr">
        <is>
          <t>Money out</t>
        </is>
      </c>
      <c r="J178" t="inlineStr">
        <is>
          <t>RRSP Contribution</t>
        </is>
      </c>
      <c r="L178" t="n">
        <v>0</v>
      </c>
      <c r="M178" t="inlineStr">
        <is>
          <t>Built in</t>
        </is>
      </c>
    </row>
    <row r="179">
      <c r="B179" t="n">
        <v>81</v>
      </c>
      <c r="C179" t="inlineStr">
        <is>
          <t>Yes</t>
        </is>
      </c>
      <c r="D179" t="inlineStr">
        <is>
          <t>Description</t>
        </is>
      </c>
      <c r="E179" t="inlineStr">
        <is>
          <t>Contains</t>
        </is>
      </c>
      <c r="F179" t="inlineStr">
        <is>
          <t>TFSA</t>
        </is>
      </c>
      <c r="G179" s="14" t="n"/>
      <c r="H179" s="14" t="n"/>
      <c r="I179" t="inlineStr">
        <is>
          <t>Money out</t>
        </is>
      </c>
      <c r="J179" t="inlineStr">
        <is>
          <t>TFSA Contribution</t>
        </is>
      </c>
      <c r="L179" t="n">
        <v>0</v>
      </c>
      <c r="M179" t="inlineStr">
        <is>
          <t>Built in</t>
        </is>
      </c>
    </row>
    <row r="180">
      <c r="B180" t="n">
        <v>81</v>
      </c>
      <c r="C180" t="inlineStr">
        <is>
          <t>Yes</t>
        </is>
      </c>
      <c r="D180" t="inlineStr">
        <is>
          <t>Description</t>
        </is>
      </c>
      <c r="E180" t="inlineStr">
        <is>
          <t>Contains</t>
        </is>
      </c>
      <c r="F180" t="inlineStr">
        <is>
          <t>FHSA</t>
        </is>
      </c>
      <c r="G180" s="14" t="n"/>
      <c r="H180" s="14" t="n"/>
      <c r="I180" t="inlineStr">
        <is>
          <t>Money out</t>
        </is>
      </c>
      <c r="J180" t="inlineStr">
        <is>
          <t>FHSA Contribution</t>
        </is>
      </c>
      <c r="L180" t="n">
        <v>0</v>
      </c>
      <c r="M180" t="inlineStr">
        <is>
          <t>Built in</t>
        </is>
      </c>
    </row>
    <row r="181">
      <c r="B181" t="n">
        <v>81</v>
      </c>
      <c r="C181" t="inlineStr">
        <is>
          <t>Yes</t>
        </is>
      </c>
      <c r="D181" t="inlineStr">
        <is>
          <t>Description</t>
        </is>
      </c>
      <c r="E181" t="inlineStr">
        <is>
          <t>Contains</t>
        </is>
      </c>
      <c r="F181" t="inlineStr">
        <is>
          <t>RESP</t>
        </is>
      </c>
      <c r="G181" s="14" t="n"/>
      <c r="H181" s="14" t="n"/>
      <c r="I181" t="inlineStr">
        <is>
          <t>Money out</t>
        </is>
      </c>
      <c r="J181" t="inlineStr">
        <is>
          <t>RESP Contribution</t>
        </is>
      </c>
      <c r="L181" t="n">
        <v>0</v>
      </c>
      <c r="M181" t="inlineStr">
        <is>
          <t>Built in</t>
        </is>
      </c>
    </row>
    <row r="182">
      <c r="B182" t="n">
        <v>81</v>
      </c>
      <c r="C182" t="inlineStr">
        <is>
          <t>Yes</t>
        </is>
      </c>
      <c r="D182" t="inlineStr">
        <is>
          <t>Merchant</t>
        </is>
      </c>
      <c r="E182" t="inlineStr">
        <is>
          <t>Contains</t>
        </is>
      </c>
      <c r="F182" t="inlineStr">
        <is>
          <t>WEALTHSIMPLE</t>
        </is>
      </c>
      <c r="G182" s="14" t="n"/>
      <c r="H182" s="14" t="n"/>
      <c r="I182" t="inlineStr">
        <is>
          <t>Money out</t>
        </is>
      </c>
      <c r="J182" t="inlineStr">
        <is>
          <t>Non-Registered Investing</t>
        </is>
      </c>
      <c r="L182" t="n">
        <v>0</v>
      </c>
      <c r="M182" t="inlineStr">
        <is>
          <t>Built in</t>
        </is>
      </c>
    </row>
    <row r="183">
      <c r="B183" t="n">
        <v>81</v>
      </c>
      <c r="C183" t="inlineStr">
        <is>
          <t>Yes</t>
        </is>
      </c>
      <c r="D183" t="inlineStr">
        <is>
          <t>Merchant</t>
        </is>
      </c>
      <c r="E183" t="inlineStr">
        <is>
          <t>Contains</t>
        </is>
      </c>
      <c r="F183" t="inlineStr">
        <is>
          <t>QUESTRADE</t>
        </is>
      </c>
      <c r="G183" s="14" t="n"/>
      <c r="H183" s="14" t="n"/>
      <c r="I183" t="inlineStr">
        <is>
          <t>Money out</t>
        </is>
      </c>
      <c r="J183" t="inlineStr">
        <is>
          <t>Non-Registered Investing</t>
        </is>
      </c>
      <c r="L183" t="n">
        <v>0</v>
      </c>
      <c r="M183" t="inlineStr">
        <is>
          <t>Built in</t>
        </is>
      </c>
    </row>
    <row r="184">
      <c r="B184" t="n">
        <v>82</v>
      </c>
      <c r="C184" t="inlineStr">
        <is>
          <t>Yes</t>
        </is>
      </c>
      <c r="D184" t="inlineStr">
        <is>
          <t>Merchant</t>
        </is>
      </c>
      <c r="E184" t="inlineStr">
        <is>
          <t>Contains</t>
        </is>
      </c>
      <c r="F184" t="inlineStr">
        <is>
          <t>RED CROSS</t>
        </is>
      </c>
      <c r="G184" s="14" t="n"/>
      <c r="H184" s="14" t="n"/>
      <c r="I184" t="inlineStr">
        <is>
          <t>Money out</t>
        </is>
      </c>
      <c r="J184" t="inlineStr">
        <is>
          <t>Donations</t>
        </is>
      </c>
      <c r="L184" t="n">
        <v>0</v>
      </c>
      <c r="M184" t="inlineStr">
        <is>
          <t>Built in</t>
        </is>
      </c>
    </row>
    <row r="185">
      <c r="B185" t="n">
        <v>82</v>
      </c>
      <c r="C185" t="inlineStr">
        <is>
          <t>Yes</t>
        </is>
      </c>
      <c r="D185" t="inlineStr">
        <is>
          <t>Merchant</t>
        </is>
      </c>
      <c r="E185" t="inlineStr">
        <is>
          <t>Contains</t>
        </is>
      </c>
      <c r="F185" t="inlineStr">
        <is>
          <t>UNITED WAY</t>
        </is>
      </c>
      <c r="G185" s="14" t="n"/>
      <c r="H185" s="14" t="n"/>
      <c r="I185" t="inlineStr">
        <is>
          <t>Money out</t>
        </is>
      </c>
      <c r="J185" t="inlineStr">
        <is>
          <t>Donations</t>
        </is>
      </c>
      <c r="L185" t="n">
        <v>0</v>
      </c>
      <c r="M185" t="inlineStr">
        <is>
          <t>Built in</t>
        </is>
      </c>
    </row>
    <row r="186">
      <c r="B186" t="n">
        <v>82</v>
      </c>
      <c r="C186" t="inlineStr">
        <is>
          <t>Yes</t>
        </is>
      </c>
      <c r="D186" t="inlineStr">
        <is>
          <t>Merchant</t>
        </is>
      </c>
      <c r="E186" t="inlineStr">
        <is>
          <t>Contains</t>
        </is>
      </c>
      <c r="F186" t="inlineStr">
        <is>
          <t>FOOD BANK</t>
        </is>
      </c>
      <c r="G186" s="14" t="n"/>
      <c r="H186" s="14" t="n"/>
      <c r="I186" t="inlineStr">
        <is>
          <t>Money out</t>
        </is>
      </c>
      <c r="J186" t="inlineStr">
        <is>
          <t>Donations</t>
        </is>
      </c>
      <c r="L186" t="n">
        <v>0</v>
      </c>
      <c r="M186" t="inlineStr">
        <is>
          <t>Built in</t>
        </is>
      </c>
    </row>
    <row r="187">
      <c r="B187" t="n">
        <v>82</v>
      </c>
      <c r="C187" t="inlineStr">
        <is>
          <t>Yes</t>
        </is>
      </c>
      <c r="D187" t="inlineStr">
        <is>
          <t>Description</t>
        </is>
      </c>
      <c r="E187" t="inlineStr">
        <is>
          <t>Contains</t>
        </is>
      </c>
      <c r="F187" t="inlineStr">
        <is>
          <t>DONATION</t>
        </is>
      </c>
      <c r="G187" s="14" t="n"/>
      <c r="H187" s="14" t="n"/>
      <c r="I187" t="inlineStr">
        <is>
          <t>Money out</t>
        </is>
      </c>
      <c r="J187" t="inlineStr">
        <is>
          <t>Donations</t>
        </is>
      </c>
      <c r="L187" t="n">
        <v>0</v>
      </c>
      <c r="M187" t="inlineStr">
        <is>
          <t>Built in</t>
        </is>
      </c>
    </row>
    <row r="188">
      <c r="B188" t="n">
        <v>83</v>
      </c>
      <c r="C188" t="inlineStr">
        <is>
          <t>Yes</t>
        </is>
      </c>
      <c r="D188" t="inlineStr">
        <is>
          <t>Description</t>
        </is>
      </c>
      <c r="E188" t="inlineStr">
        <is>
          <t>Contains</t>
        </is>
      </c>
      <c r="F188" t="inlineStr">
        <is>
          <t>DAYCARE</t>
        </is>
      </c>
      <c r="G188" s="14" t="n"/>
      <c r="H188" s="14" t="n"/>
      <c r="I188" t="inlineStr">
        <is>
          <t>Money out</t>
        </is>
      </c>
      <c r="J188" t="inlineStr">
        <is>
          <t>Childcare &amp; Daycare</t>
        </is>
      </c>
      <c r="L188" t="n">
        <v>0</v>
      </c>
      <c r="M188" t="inlineStr">
        <is>
          <t>Built in</t>
        </is>
      </c>
    </row>
    <row r="189">
      <c r="B189" t="n">
        <v>83</v>
      </c>
      <c r="C189" t="inlineStr">
        <is>
          <t>Yes</t>
        </is>
      </c>
      <c r="D189" t="inlineStr">
        <is>
          <t>Description</t>
        </is>
      </c>
      <c r="E189" t="inlineStr">
        <is>
          <t>Contains</t>
        </is>
      </c>
      <c r="F189" t="inlineStr">
        <is>
          <t>CHILDCARE</t>
        </is>
      </c>
      <c r="G189" s="14" t="n"/>
      <c r="H189" s="14" t="n"/>
      <c r="I189" t="inlineStr">
        <is>
          <t>Money out</t>
        </is>
      </c>
      <c r="J189" t="inlineStr">
        <is>
          <t>Childcare &amp; Daycare</t>
        </is>
      </c>
      <c r="L189" t="n">
        <v>0</v>
      </c>
      <c r="M189" t="inlineStr">
        <is>
          <t>Built in</t>
        </is>
      </c>
    </row>
    <row r="190">
      <c r="B190" t="n">
        <v>83</v>
      </c>
      <c r="C190" t="inlineStr">
        <is>
          <t>Yes</t>
        </is>
      </c>
      <c r="D190" t="inlineStr">
        <is>
          <t>Merchant</t>
        </is>
      </c>
      <c r="E190" t="inlineStr">
        <is>
          <t>Contains</t>
        </is>
      </c>
      <c r="F190" t="inlineStr">
        <is>
          <t>YOUR UNIVERSITY</t>
        </is>
      </c>
      <c r="G190" s="14" t="n"/>
      <c r="H190" s="14" t="n"/>
      <c r="I190" t="inlineStr">
        <is>
          <t>Money out</t>
        </is>
      </c>
      <c r="J190" t="inlineStr">
        <is>
          <t>Tuition</t>
        </is>
      </c>
      <c r="L190" t="n">
        <v>0</v>
      </c>
      <c r="M190" t="inlineStr">
        <is>
          <t>Built in</t>
        </is>
      </c>
    </row>
    <row r="191">
      <c r="B191" t="n">
        <v>84</v>
      </c>
      <c r="C191" t="inlineStr">
        <is>
          <t>Yes</t>
        </is>
      </c>
      <c r="D191" t="inlineStr">
        <is>
          <t>Description</t>
        </is>
      </c>
      <c r="E191" t="inlineStr">
        <is>
          <t>Contains</t>
        </is>
      </c>
      <c r="F191" t="inlineStr">
        <is>
          <t>MORTGAGE</t>
        </is>
      </c>
      <c r="G191" s="14" t="n"/>
      <c r="H191" s="14" t="n"/>
      <c r="I191" t="inlineStr">
        <is>
          <t>Money out</t>
        </is>
      </c>
      <c r="J191" t="inlineStr">
        <is>
          <t>Mortgage Payment</t>
        </is>
      </c>
      <c r="L191" t="n">
        <v>0</v>
      </c>
      <c r="M191" t="inlineStr">
        <is>
          <t>Built in</t>
        </is>
      </c>
    </row>
    <row r="192">
      <c r="B192" t="n">
        <v>84</v>
      </c>
      <c r="C192" t="inlineStr">
        <is>
          <t>Yes</t>
        </is>
      </c>
      <c r="D192" t="inlineStr">
        <is>
          <t>Description</t>
        </is>
      </c>
      <c r="E192" t="inlineStr">
        <is>
          <t>Contains</t>
        </is>
      </c>
      <c r="F192" t="inlineStr">
        <is>
          <t>RENT</t>
        </is>
      </c>
      <c r="G192" s="14" t="n"/>
      <c r="H192" s="14" t="n"/>
      <c r="I192" t="inlineStr">
        <is>
          <t>Money out</t>
        </is>
      </c>
      <c r="J192" t="inlineStr">
        <is>
          <t>Rent</t>
        </is>
      </c>
      <c r="L192" t="n">
        <v>0</v>
      </c>
      <c r="M192" t="inlineStr">
        <is>
          <t>Built in</t>
        </is>
      </c>
    </row>
    <row r="193">
      <c r="B193" t="n">
        <v>84</v>
      </c>
      <c r="C193" t="inlineStr">
        <is>
          <t>Yes</t>
        </is>
      </c>
      <c r="D193" t="inlineStr">
        <is>
          <t>Description</t>
        </is>
      </c>
      <c r="E193" t="inlineStr">
        <is>
          <t>Contains</t>
        </is>
      </c>
      <c r="F193" t="inlineStr">
        <is>
          <t>PROPERTY TAX</t>
        </is>
      </c>
      <c r="G193" s="14" t="n"/>
      <c r="H193" s="14" t="n"/>
      <c r="I193" t="inlineStr">
        <is>
          <t>Money out</t>
        </is>
      </c>
      <c r="J193" t="inlineStr">
        <is>
          <t>Property Tax</t>
        </is>
      </c>
      <c r="L193" t="n">
        <v>0</v>
      </c>
      <c r="M193" t="inlineStr">
        <is>
          <t>Built in</t>
        </is>
      </c>
    </row>
    <row r="194">
      <c r="B194" t="n">
        <v>84</v>
      </c>
      <c r="C194" t="inlineStr">
        <is>
          <t>Yes</t>
        </is>
      </c>
      <c r="D194" t="inlineStr">
        <is>
          <t>Description</t>
        </is>
      </c>
      <c r="E194" t="inlineStr">
        <is>
          <t>Contains</t>
        </is>
      </c>
      <c r="F194" t="inlineStr">
        <is>
          <t>OSAP</t>
        </is>
      </c>
      <c r="G194" s="14" t="n"/>
      <c r="H194" s="14" t="n"/>
      <c r="I194" t="inlineStr">
        <is>
          <t>Money out</t>
        </is>
      </c>
      <c r="J194" t="inlineStr">
        <is>
          <t>Student Loan Payment</t>
        </is>
      </c>
      <c r="L194" t="n">
        <v>0</v>
      </c>
      <c r="M194" t="inlineStr">
        <is>
          <t>Built in</t>
        </is>
      </c>
    </row>
    <row r="195">
      <c r="B195" t="n">
        <v>84</v>
      </c>
      <c r="C195" t="inlineStr">
        <is>
          <t>Yes</t>
        </is>
      </c>
      <c r="D195" t="inlineStr">
        <is>
          <t>Description</t>
        </is>
      </c>
      <c r="E195" t="inlineStr">
        <is>
          <t>Contains</t>
        </is>
      </c>
      <c r="F195" t="inlineStr">
        <is>
          <t>STUDENT LOAN</t>
        </is>
      </c>
      <c r="G195" s="14" t="n"/>
      <c r="H195" s="14" t="n"/>
      <c r="I195" t="inlineStr">
        <is>
          <t>Money out</t>
        </is>
      </c>
      <c r="J195" t="inlineStr">
        <is>
          <t>Student Loan Payment</t>
        </is>
      </c>
      <c r="L195" t="n">
        <v>0</v>
      </c>
      <c r="M195" t="inlineStr">
        <is>
          <t>Built in</t>
        </is>
      </c>
    </row>
  </sheetData>
  <dataValidations count="6">
    <dataValidation sqref="C5:C395" showDropDown="0" showInputMessage="0" showErrorMessage="0" allowBlank="1" type="list">
      <formula1>=YesNoList</formula1>
    </dataValidation>
    <dataValidation sqref="D5:D395" showDropDown="0" showInputMessage="0" showErrorMessage="0" allowBlank="1" type="list">
      <formula1>=RuleFieldList</formula1>
    </dataValidation>
    <dataValidation sqref="E5:E395" showDropDown="0" showInputMessage="0" showErrorMessage="0" allowBlank="1" type="list">
      <formula1>=RuleTestList</formula1>
    </dataValidation>
    <dataValidation sqref="I5:I395" showDropDown="0" showInputMessage="0" showErrorMessage="0" allowBlank="1" type="list">
      <formula1>=RuleFlowList</formula1>
    </dataValidation>
    <dataValidation sqref="J5:J395" showDropDown="0" showInputMessage="0" showErrorMessage="0" allowBlank="1" type="list">
      <formula1>=CategoryList</formula1>
    </dataValidation>
    <dataValidation sqref="K5:K395"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21" t="inlineStr">
        <is>
          <t>Category</t>
        </is>
      </c>
      <c r="C5" s="21" t="inlineStr">
        <is>
          <t>Group</t>
        </is>
      </c>
      <c r="D5" s="21" t="inlineStr">
        <is>
          <t>Type</t>
        </is>
      </c>
      <c r="E5" s="21" t="inlineStr">
        <is>
          <t>Budget</t>
        </is>
      </c>
      <c r="F5" s="21" t="inlineStr">
        <is>
          <t>Actual</t>
        </is>
      </c>
      <c r="G5" s="21" t="inlineStr">
        <is>
          <t>Difference</t>
        </is>
      </c>
      <c r="H5" s="21" t="inlineStr">
        <is>
          <t>% used</t>
        </is>
      </c>
      <c r="I5" s="21" t="inlineStr">
        <is>
          <t>12-month average</t>
        </is>
      </c>
      <c r="J5" s="21"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IF($B6="","",IF($D6="Income",F6-E6,E6-F6))</f>
        <v/>
      </c>
      <c r="H6" s="22">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IF($B7="","",IF($D7="Income",F7-E7,E7-F7))</f>
        <v/>
      </c>
      <c r="H7" s="22">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IF($B8="","",IF($D8="Income",F8-E8,E8-F8))</f>
        <v/>
      </c>
      <c r="H8" s="22">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IF($B9="","",IF($D9="Income",F9-E9,E9-F9))</f>
        <v/>
      </c>
      <c r="H9" s="22">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IF($B10="","",IF($D10="Income",F10-E10,E10-F10))</f>
        <v/>
      </c>
      <c r="H10" s="22">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IF($B11="","",IF($D11="Income",F11-E11,E11-F11))</f>
        <v/>
      </c>
      <c r="H11" s="22">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IF($B12="","",IF($D12="Income",F12-E12,E12-F12))</f>
        <v/>
      </c>
      <c r="H12" s="22">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IF($B13="","",IF($D13="Income",F13-E13,E13-F13))</f>
        <v/>
      </c>
      <c r="H13" s="22">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IF($B14="","",IF($D14="Income",F14-E14,E14-F14))</f>
        <v/>
      </c>
      <c r="H14" s="22">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IF($B15="","",IF($D15="Income",F15-E15,E15-F15))</f>
        <v/>
      </c>
      <c r="H15" s="22">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IF($B16="","",IF($D16="Income",F16-E16,E16-F16))</f>
        <v/>
      </c>
      <c r="H16" s="22">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IF($B17="","",IF($D17="Income",F17-E17,E17-F17))</f>
        <v/>
      </c>
      <c r="H17" s="22">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IF($B18="","",IF($D18="Income",F18-E18,E18-F18))</f>
        <v/>
      </c>
      <c r="H18" s="22">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IF($B19="","",IF($D19="Income",F19-E19,E19-F19))</f>
        <v/>
      </c>
      <c r="H19" s="22">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IF($B20="","",IF($D20="Income",F20-E20,E20-F20))</f>
        <v/>
      </c>
      <c r="H20" s="22">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IF($B21="","",IF($D21="Income",F21-E21,E21-F21))</f>
        <v/>
      </c>
      <c r="H21" s="22">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IF($B22="","",IF($D22="Income",F22-E22,E22-F22))</f>
        <v/>
      </c>
      <c r="H22" s="22">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IF($B23="","",IF($D23="Income",F23-E23,E23-F23))</f>
        <v/>
      </c>
      <c r="H23" s="22">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IF($B24="","",IF($D24="Income",F24-E24,E24-F24))</f>
        <v/>
      </c>
      <c r="H24" s="22">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IF($B25="","",IF($D25="Income",F25-E25,E25-F25))</f>
        <v/>
      </c>
      <c r="H25" s="22">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IF($B26="","",IF($D26="Income",F26-E26,E26-F26))</f>
        <v/>
      </c>
      <c r="H26" s="22">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IF($B27="","",IF($D27="Income",F27-E27,E27-F27))</f>
        <v/>
      </c>
      <c r="H27" s="22">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IF($B28="","",IF($D28="Income",F28-E28,E28-F28))</f>
        <v/>
      </c>
      <c r="H28" s="22">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IF($B29="","",IF($D29="Income",F29-E29,E29-F29))</f>
        <v/>
      </c>
      <c r="H29" s="22">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IF($B30="","",IF($D30="Income",F30-E30,E30-F30))</f>
        <v/>
      </c>
      <c r="H30" s="22">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IF($B31="","",IF($D31="Income",F31-E31,E31-F31))</f>
        <v/>
      </c>
      <c r="H31" s="22">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IF($B32="","",IF($D32="Income",F32-E32,E32-F32))</f>
        <v/>
      </c>
      <c r="H32" s="22">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IF($B33="","",IF($D33="Income",F33-E33,E33-F33))</f>
        <v/>
      </c>
      <c r="H33" s="22">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IF($B34="","",IF($D34="Income",F34-E34,E34-F34))</f>
        <v/>
      </c>
      <c r="H34" s="22">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IF($B35="","",IF($D35="Income",F35-E35,E35-F35))</f>
        <v/>
      </c>
      <c r="H35" s="22">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IF($B36="","",IF($D36="Income",F36-E36,E36-F36))</f>
        <v/>
      </c>
      <c r="H36" s="22">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IF($B37="","",IF($D37="Income",F37-E37,E37-F37))</f>
        <v/>
      </c>
      <c r="H37" s="22">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IF($B38="","",IF($D38="Income",F38-E38,E38-F38))</f>
        <v/>
      </c>
      <c r="H38" s="22">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IF($B39="","",IF($D39="Income",F39-E39,E39-F39))</f>
        <v/>
      </c>
      <c r="H39" s="22">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IF($B40="","",IF($D40="Income",F40-E40,E40-F40))</f>
        <v/>
      </c>
      <c r="H40" s="22">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IF($B41="","",IF($D41="Income",F41-E41,E41-F41))</f>
        <v/>
      </c>
      <c r="H41" s="22">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IF($B42="","",IF($D42="Income",F42-E42,E42-F42))</f>
        <v/>
      </c>
      <c r="H42" s="22">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IF($B43="","",IF($D43="Income",F43-E43,E43-F43))</f>
        <v/>
      </c>
      <c r="H43" s="22">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IF($B44="","",IF($D44="Income",F44-E44,E44-F44))</f>
        <v/>
      </c>
      <c r="H44" s="22">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IF($B45="","",IF($D45="Income",F45-E45,E45-F45))</f>
        <v/>
      </c>
      <c r="H45" s="22">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IF($B46="","",IF($D46="Income",F46-E46,E46-F46))</f>
        <v/>
      </c>
      <c r="H46" s="22">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IF($B47="","",IF($D47="Income",F47-E47,E47-F47))</f>
        <v/>
      </c>
      <c r="H47" s="22">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IF($B48="","",IF($D48="Income",F48-E48,E48-F48))</f>
        <v/>
      </c>
      <c r="H48" s="22">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IF($B49="","",IF($D49="Income",F49-E49,E49-F49))</f>
        <v/>
      </c>
      <c r="H49" s="22">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IF($B50="","",IF($D50="Income",F50-E50,E50-F50))</f>
        <v/>
      </c>
      <c r="H50" s="22">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IF($B51="","",IF($D51="Income",F51-E51,E51-F51))</f>
        <v/>
      </c>
      <c r="H51" s="22">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IF($B52="","",IF($D52="Income",F52-E52,E52-F52))</f>
        <v/>
      </c>
      <c r="H52" s="22">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IF($B53="","",IF($D53="Income",F53-E53,E53-F53))</f>
        <v/>
      </c>
      <c r="H53" s="22">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IF($B54="","",IF($D54="Income",F54-E54,E54-F54))</f>
        <v/>
      </c>
      <c r="H54" s="22">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IF($B55="","",IF($D55="Income",F55-E55,E55-F55))</f>
        <v/>
      </c>
      <c r="H55" s="22">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IF($B56="","",IF($D56="Income",F56-E56,E56-F56))</f>
        <v/>
      </c>
      <c r="H56" s="22">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IF($B57="","",IF($D57="Income",F57-E57,E57-F57))</f>
        <v/>
      </c>
      <c r="H57" s="22">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IF($B58="","",IF($D58="Income",F58-E58,E58-F58))</f>
        <v/>
      </c>
      <c r="H58" s="22">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IF($B59="","",IF($D59="Income",F59-E59,E59-F59))</f>
        <v/>
      </c>
      <c r="H59" s="22">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IF($B60="","",IF($D60="Income",F60-E60,E60-F60))</f>
        <v/>
      </c>
      <c r="H60" s="22">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IF($B61="","",IF($D61="Income",F61-E61,E61-F61))</f>
        <v/>
      </c>
      <c r="H61" s="22">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IF($B62="","",IF($D62="Income",F62-E62,E62-F62))</f>
        <v/>
      </c>
      <c r="H62" s="22">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IF($B63="","",IF($D63="Income",F63-E63,E63-F63))</f>
        <v/>
      </c>
      <c r="H63" s="22">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IF($B64="","",IF($D64="Income",F64-E64,E64-F64))</f>
        <v/>
      </c>
      <c r="H64" s="22">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IF($B65="","",IF($D65="Income",F65-E65,E65-F65))</f>
        <v/>
      </c>
      <c r="H65" s="22">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IF($B66="","",IF($D66="Income",F66-E66,E66-F66))</f>
        <v/>
      </c>
      <c r="H66" s="22">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IF($B67="","",IF($D67="Income",F67-E67,E67-F67))</f>
        <v/>
      </c>
      <c r="H67" s="22">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IF($B68="","",IF($D68="Income",F68-E68,E68-F68))</f>
        <v/>
      </c>
      <c r="H68" s="22">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IF($B69="","",IF($D69="Income",F69-E69,E69-F69))</f>
        <v/>
      </c>
      <c r="H69" s="22">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IF($B70="","",IF($D70="Income",F70-E70,E70-F70))</f>
        <v/>
      </c>
      <c r="H70" s="22">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IF($B71="","",IF($D71="Income",F71-E71,E71-F71))</f>
        <v/>
      </c>
      <c r="H71" s="22">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IF($B72="","",IF($D72="Income",F72-E72,E72-F72))</f>
        <v/>
      </c>
      <c r="H72" s="22">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IF($B73="","",IF($D73="Income",F73-E73,E73-F73))</f>
        <v/>
      </c>
      <c r="H73" s="22">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IF($B74="","",IF($D74="Income",F74-E74,E74-F74))</f>
        <v/>
      </c>
      <c r="H74" s="22">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IF($B75="","",IF($D75="Income",F75-E75,E75-F75))</f>
        <v/>
      </c>
      <c r="H75" s="22">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IF($B76="","",IF($D76="Income",F76-E76,E76-F76))</f>
        <v/>
      </c>
      <c r="H76" s="22">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IF($B77="","",IF($D77="Income",F77-E77,E77-F77))</f>
        <v/>
      </c>
      <c r="H77" s="22">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IF($B78="","",IF($D78="Income",F78-E78,E78-F78))</f>
        <v/>
      </c>
      <c r="H78" s="22">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IF($B79="","",IF($D79="Income",F79-E79,E79-F79))</f>
        <v/>
      </c>
      <c r="H79" s="22">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IF($B80="","",IF($D80="Income",F80-E80,E80-F80))</f>
        <v/>
      </c>
      <c r="H80" s="22">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IF($B81="","",IF($D81="Income",F81-E81,E81-F81))</f>
        <v/>
      </c>
      <c r="H81" s="22">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IF($B82="","",IF($D82="Income",F82-E82,E82-F82))</f>
        <v/>
      </c>
      <c r="H82" s="22">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IF($B83="","",IF($D83="Income",F83-E83,E83-F83))</f>
        <v/>
      </c>
      <c r="H83" s="22">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IF($B84="","",IF($D84="Income",F84-E84,E84-F84))</f>
        <v/>
      </c>
      <c r="H84" s="22">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IF($B85="","",IF($D85="Income",F85-E85,E85-F85))</f>
        <v/>
      </c>
      <c r="H85" s="22">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IF($B86="","",IF($D86="Income",F86-E86,E86-F86))</f>
        <v/>
      </c>
      <c r="H86" s="22">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IF($B87="","",IF($D87="Income",F87-E87,E87-F87))</f>
        <v/>
      </c>
      <c r="H87" s="22">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IF($B88="","",IF($D88="Income",F88-E88,E88-F88))</f>
        <v/>
      </c>
      <c r="H88" s="22">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IF($B89="","",IF($D89="Income",F89-E89,E89-F89))</f>
        <v/>
      </c>
      <c r="H89" s="22">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IF($B90="","",IF($D90="Income",F90-E90,E90-F90))</f>
        <v/>
      </c>
      <c r="H90" s="22">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IF($B91="","",IF($D91="Income",F91-E91,E91-F91))</f>
        <v/>
      </c>
      <c r="H91" s="22">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IF($B92="","",IF($D92="Income",F92-E92,E92-F92))</f>
        <v/>
      </c>
      <c r="H92" s="22">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IF($B93="","",IF($D93="Income",F93-E93,E93-F93))</f>
        <v/>
      </c>
      <c r="H93" s="22">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IF($B94="","",IF($D94="Income",F94-E94,E94-F94))</f>
        <v/>
      </c>
      <c r="H94" s="22">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IF($B95="","",IF($D95="Income",F95-E95,E95-F95))</f>
        <v/>
      </c>
      <c r="H95" s="22">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IF($B96="","",IF($D96="Income",F96-E96,E96-F96))</f>
        <v/>
      </c>
      <c r="H96" s="22">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IF($B97="","",IF($D97="Income",F97-E97,E97-F97))</f>
        <v/>
      </c>
      <c r="H97" s="22">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IF($B98="","",IF($D98="Income",F98-E98,E98-F98))</f>
        <v/>
      </c>
      <c r="H98" s="22">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IF($B99="","",IF($D99="Income",F99-E99,E99-F99))</f>
        <v/>
      </c>
      <c r="H99" s="22">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IF($B100="","",IF($D100="Income",F100-E100,E100-F100))</f>
        <v/>
      </c>
      <c r="H100" s="22">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IF($B101="","",IF($D101="Income",F101-E101,E101-F101))</f>
        <v/>
      </c>
      <c r="H101" s="22">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IF($B102="","",IF($D102="Income",F102-E102,E102-F102))</f>
        <v/>
      </c>
      <c r="H102" s="22">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IF($B103="","",IF($D103="Income",F103-E103,E103-F103))</f>
        <v/>
      </c>
      <c r="H103" s="22">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IF($B104="","",IF($D104="Income",F104-E104,E104-F104))</f>
        <v/>
      </c>
      <c r="H104" s="22">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IF($B105="","",IF($D105="Income",F105-E105,E105-F105))</f>
        <v/>
      </c>
      <c r="H105" s="22">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IF($B106="","",IF($D106="Income",F106-E106,E106-F106))</f>
        <v/>
      </c>
      <c r="H106" s="22">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IF($B107="","",IF($D107="Income",F107-E107,E107-F107))</f>
        <v/>
      </c>
      <c r="H107" s="22">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IF($B108="","",IF($D108="Income",F108-E108,E108-F108))</f>
        <v/>
      </c>
      <c r="H108" s="22">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IF($B109="","",IF($D109="Income",F109-E109,E109-F109))</f>
        <v/>
      </c>
      <c r="H109" s="22">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IF($B110="","",IF($D110="Income",F110-E110,E110-F110))</f>
        <v/>
      </c>
      <c r="H110" s="22">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IF($B111="","",IF($D111="Income",F111-E111,E111-F111))</f>
        <v/>
      </c>
      <c r="H111" s="22">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IF($B112="","",IF($D112="Income",F112-E112,E112-F112))</f>
        <v/>
      </c>
      <c r="H112" s="22">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IF($B113="","",IF($D113="Income",F113-E113,E113-F113))</f>
        <v/>
      </c>
      <c r="H113" s="22">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IF($B114="","",IF($D114="Income",F114-E114,E114-F114))</f>
        <v/>
      </c>
      <c r="H114" s="22">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IF($B115="","",IF($D115="Income",F115-E115,E115-F115))</f>
        <v/>
      </c>
      <c r="H115" s="22">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IF($B116="","",IF($D116="Income",F116-E116,E116-F116))</f>
        <v/>
      </c>
      <c r="H116" s="22">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IF($B117="","",IF($D117="Income",F117-E117,E117-F117))</f>
        <v/>
      </c>
      <c r="H117" s="22">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IF($B118="","",IF($D118="Income",F118-E118,E118-F118))</f>
        <v/>
      </c>
      <c r="H118" s="22">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IF($B119="","",IF($D119="Income",F119-E119,E119-F119))</f>
        <v/>
      </c>
      <c r="H119" s="22">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IF($B120="","",IF($D120="Income",F120-E120,E120-F120))</f>
        <v/>
      </c>
      <c r="H120" s="22">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IF($B121="","",IF($D121="Income",F121-E121,E121-F121))</f>
        <v/>
      </c>
      <c r="H121" s="22">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IF($B122="","",IF($D122="Income",F122-E122,E122-F122))</f>
        <v/>
      </c>
      <c r="H122" s="22">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IF($B123="","",IF($D123="Income",F123-E123,E123-F123))</f>
        <v/>
      </c>
      <c r="H123" s="22">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IF($B124="","",IF($D124="Income",F124-E124,E124-F124))</f>
        <v/>
      </c>
      <c r="H124" s="22">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IF($B125="","",IF($D125="Income",F125-E125,E125-F125))</f>
        <v/>
      </c>
      <c r="H125" s="22">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ageMargins left="0.75" right="0.75" top="1" bottom="1" header="0.5" footer="0.5"/>
</worksheet>
</file>

<file path=xl/worksheets/sheet7.xml><?xml version="1.0" encoding="utf-8"?>
<worksheet xmlns="http://schemas.openxmlformats.org/spreadsheetml/2006/main">
  <sheetPr codeName="shReports">
    <tabColor rgb="000F6E5C"/>
    <outlinePr summaryBelow="1" summaryRight="1"/>
    <pageSetUpPr/>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21" t="inlineStr">
        <is>
          <t>Month</t>
        </is>
      </c>
      <c r="C4" s="23">
        <f>TEXT(EDATE(DATE(VALUE(LEFT(ReportMonth,4)),VALUE(RIGHT(ReportMonth,2)),1),-11),"yyyy-mm")</f>
        <v/>
      </c>
      <c r="D4" s="23">
        <f>TEXT(EDATE(DATE(VALUE(LEFT(ReportMonth,4)),VALUE(RIGHT(ReportMonth,2)),1),-10),"yyyy-mm")</f>
        <v/>
      </c>
      <c r="E4" s="23">
        <f>TEXT(EDATE(DATE(VALUE(LEFT(ReportMonth,4)),VALUE(RIGHT(ReportMonth,2)),1),-9),"yyyy-mm")</f>
        <v/>
      </c>
      <c r="F4" s="23">
        <f>TEXT(EDATE(DATE(VALUE(LEFT(ReportMonth,4)),VALUE(RIGHT(ReportMonth,2)),1),-8),"yyyy-mm")</f>
        <v/>
      </c>
      <c r="G4" s="23">
        <f>TEXT(EDATE(DATE(VALUE(LEFT(ReportMonth,4)),VALUE(RIGHT(ReportMonth,2)),1),-7),"yyyy-mm")</f>
        <v/>
      </c>
      <c r="H4" s="23">
        <f>TEXT(EDATE(DATE(VALUE(LEFT(ReportMonth,4)),VALUE(RIGHT(ReportMonth,2)),1),-6),"yyyy-mm")</f>
        <v/>
      </c>
      <c r="I4" s="23">
        <f>TEXT(EDATE(DATE(VALUE(LEFT(ReportMonth,4)),VALUE(RIGHT(ReportMonth,2)),1),-5),"yyyy-mm")</f>
        <v/>
      </c>
      <c r="J4" s="23">
        <f>TEXT(EDATE(DATE(VALUE(LEFT(ReportMonth,4)),VALUE(RIGHT(ReportMonth,2)),1),-4),"yyyy-mm")</f>
        <v/>
      </c>
      <c r="K4" s="23">
        <f>TEXT(EDATE(DATE(VALUE(LEFT(ReportMonth,4)),VALUE(RIGHT(ReportMonth,2)),1),-3),"yyyy-mm")</f>
        <v/>
      </c>
      <c r="L4" s="23">
        <f>TEXT(EDATE(DATE(VALUE(LEFT(ReportMonth,4)),VALUE(RIGHT(ReportMonth,2)),1),-2),"yyyy-mm")</f>
        <v/>
      </c>
      <c r="M4" s="23">
        <f>TEXT(EDATE(DATE(VALUE(LEFT(ReportMonth,4)),VALUE(RIGHT(ReportMonth,2)),1),-1),"yyyy-mm")</f>
        <v/>
      </c>
      <c r="N4" s="23">
        <f>TEXT(EDATE(DATE(VALUE(LEFT(ReportMonth,4)),VALUE(RIGHT(ReportMonth,2)),1),0),"yyyy-mm")</f>
        <v/>
      </c>
      <c r="O4" s="23"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4">
        <f>IFERROR((C5-C6)/C5,"")</f>
        <v/>
      </c>
      <c r="D9" s="24">
        <f>IFERROR((D5-D6)/D5,"")</f>
        <v/>
      </c>
      <c r="E9" s="24">
        <f>IFERROR((E5-E6)/E5,"")</f>
        <v/>
      </c>
      <c r="F9" s="24">
        <f>IFERROR((F5-F6)/F5,"")</f>
        <v/>
      </c>
      <c r="G9" s="24">
        <f>IFERROR((G5-G6)/G5,"")</f>
        <v/>
      </c>
      <c r="H9" s="24">
        <f>IFERROR((H5-H6)/H5,"")</f>
        <v/>
      </c>
      <c r="I9" s="24">
        <f>IFERROR((I5-I6)/I5,"")</f>
        <v/>
      </c>
      <c r="J9" s="24">
        <f>IFERROR((J5-J6)/J5,"")</f>
        <v/>
      </c>
      <c r="K9" s="24">
        <f>IFERROR((K5-K6)/K5,"")</f>
        <v/>
      </c>
      <c r="L9" s="24">
        <f>IFERROR((L5-L6)/L5,"")</f>
        <v/>
      </c>
      <c r="M9" s="24">
        <f>IFERROR((M5-M6)/M5,"")</f>
        <v/>
      </c>
      <c r="N9" s="24">
        <f>IFERROR((N5-N6)/N5,"")</f>
        <v/>
      </c>
      <c r="O9" s="24">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5">
        <f>COUNTIFS(tblTxn[Month],C$4)</f>
        <v/>
      </c>
      <c r="D12" s="25">
        <f>COUNTIFS(tblTxn[Month],D$4)</f>
        <v/>
      </c>
      <c r="E12" s="25">
        <f>COUNTIFS(tblTxn[Month],E$4)</f>
        <v/>
      </c>
      <c r="F12" s="25">
        <f>COUNTIFS(tblTxn[Month],F$4)</f>
        <v/>
      </c>
      <c r="G12" s="25">
        <f>COUNTIFS(tblTxn[Month],G$4)</f>
        <v/>
      </c>
      <c r="H12" s="25">
        <f>COUNTIFS(tblTxn[Month],H$4)</f>
        <v/>
      </c>
      <c r="I12" s="25">
        <f>COUNTIFS(tblTxn[Month],I$4)</f>
        <v/>
      </c>
      <c r="J12" s="25">
        <f>COUNTIFS(tblTxn[Month],J$4)</f>
        <v/>
      </c>
      <c r="K12" s="25">
        <f>COUNTIFS(tblTxn[Month],K$4)</f>
        <v/>
      </c>
      <c r="L12" s="25">
        <f>COUNTIFS(tblTxn[Month],L$4)</f>
        <v/>
      </c>
      <c r="M12" s="25">
        <f>COUNTIFS(tblTxn[Month],M$4)</f>
        <v/>
      </c>
      <c r="N12" s="25">
        <f>COUNTIFS(tblTxn[Month],N$4)</f>
        <v/>
      </c>
      <c r="O12" s="26">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ageMargins left="0.75" right="0.75" top="1" bottom="1" header="0.5" footer="0.5"/>
</worksheet>
</file>

<file path=xl/worksheets/sheet8.xml><?xml version="1.0" encoding="utf-8"?>
<worksheet xmlns="http://schemas.openxmlformats.org/spreadsheetml/2006/main">
  <sheetPr codeName="shHousehold">
    <tabColor rgb="000F6E5C"/>
    <outlinePr summaryBelow="1" summaryRight="1"/>
    <pageSetUpPr/>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7"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4">
        <f>IFERROR(C16/$E$16,"")</f>
        <v/>
      </c>
      <c r="D17" s="24">
        <f>IFERROR(D16/$E$16,"")</f>
        <v/>
      </c>
    </row>
    <row r="18">
      <c r="B18" s="7" t="inlineStr">
        <is>
          <t>Split currently used for joint costs</t>
        </is>
      </c>
      <c r="C18" s="24">
        <f>DefaultSplitA</f>
        <v/>
      </c>
      <c r="D18" s="24">
        <f>1-DefaultSplitA</f>
        <v/>
      </c>
    </row>
    <row r="19">
      <c r="B19" s="7" t="inlineStr">
        <is>
          <t>Income-proportional split would be</t>
        </is>
      </c>
      <c r="C19" s="24">
        <f>IFERROR(C16/$E$16,"")</f>
        <v/>
      </c>
      <c r="D19" s="24">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ageMargins left="0.75" right="0.75" top="1" bottom="1" header="0.5" footer="0.5"/>
</worksheet>
</file>

<file path=xl/worksheets/sheet9.xml><?xml version="1.0" encoding="utf-8"?>
<worksheet xmlns="http://schemas.openxmlformats.org/spreadsheetml/2006/main">
  <sheetPr codeName="shTax">
    <tabColor rgb="007F5A18"/>
    <outlinePr summaryBelow="1" summaryRight="1"/>
    <pageSetUpPr/>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8">
        <f>VALUE(LEFT(ReportMonth,4))</f>
        <v/>
      </c>
    </row>
    <row r="5">
      <c r="B5" s="21" t="inlineStr">
        <is>
          <t>Tax tag</t>
        </is>
      </c>
      <c r="C5" s="21" t="inlineStr">
        <is>
          <t>Total</t>
        </is>
      </c>
      <c r="D5" s="21">
        <f>PersonA</f>
        <v/>
      </c>
      <c r="E5" s="21">
        <f>PersonB</f>
        <v/>
      </c>
      <c r="F5" s="21"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ageMargins left="0.75" right="0.75" top="1" bottom="1" header="0.5" footer="0.5"/>
</worksheet>
</file>

<file path=xl/worksheets/sheet10.xml><?xml version="1.0" encoding="utf-8"?>
<worksheet xmlns="http://schemas.openxmlformats.org/spreadsheetml/2006/main">
  <sheetPr codeName="shRegistered">
    <tabColor rgb="007F5A18"/>
    <outlinePr summaryBelow="1" summaryRight="1"/>
    <pageSetUpPr/>
  </sheetPr>
  <dimension ref="B1:M33"/>
  <sheetViews>
    <sheetView showGridLines="0" workbookViewId="0">
      <selection activeCell="A1" sqref="A1"/>
    </sheetView>
  </sheetViews>
  <sheetFormatPr baseColWidth="8" defaultRowHeight="15"/>
  <cols>
    <col width="2" customWidth="1" min="1" max="1"/>
    <col width="1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1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9">
        <f>PersonA</f>
        <v/>
      </c>
      <c r="G4" s="29">
        <f>PersonB</f>
        <v/>
      </c>
    </row>
    <row r="5">
      <c r="B5" s="21" t="inlineStr">
        <is>
          <t>Plan</t>
        </is>
      </c>
      <c r="C5" s="21" t="inlineStr">
        <is>
          <t>Contributed</t>
        </is>
      </c>
      <c r="D5" s="21" t="inlineStr">
        <is>
          <t>Your room</t>
        </is>
      </c>
      <c r="E5" s="21" t="inlineStr">
        <is>
          <t>Left</t>
        </is>
      </c>
      <c r="G5" s="21" t="inlineStr">
        <is>
          <t>Contributed</t>
        </is>
      </c>
      <c r="H5" s="21" t="inlineStr">
        <is>
          <t>Your room</t>
        </is>
      </c>
      <c r="I5" s="21"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30"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30"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30"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30"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1" t="n">
        <v>2024</v>
      </c>
      <c r="L13" s="30" t="n">
        <v>68500</v>
      </c>
      <c r="M13" s="30" t="n">
        <v>73200</v>
      </c>
    </row>
    <row r="14" ht="20" customHeight="1">
      <c r="B14" s="6" t="inlineStr">
        <is>
          <t xml:space="preserve">  TFSA dollar limit by year</t>
        </is>
      </c>
      <c r="G14" s="6" t="inlineStr">
        <is>
          <t xml:space="preserve">  RRSP dollar limit by year</t>
        </is>
      </c>
      <c r="K14" s="31" t="n">
        <v>2025</v>
      </c>
      <c r="L14" s="30" t="n">
        <v>71300</v>
      </c>
      <c r="M14" s="30" t="n">
        <v>81200</v>
      </c>
    </row>
    <row r="15">
      <c r="B15" s="3" t="inlineStr">
        <is>
          <t>Year</t>
        </is>
      </c>
      <c r="C15" s="12" t="inlineStr">
        <is>
          <t>Limit</t>
        </is>
      </c>
      <c r="G15" s="3" t="inlineStr">
        <is>
          <t>Year</t>
        </is>
      </c>
      <c r="H15" s="12" t="inlineStr">
        <is>
          <t>Limit</t>
        </is>
      </c>
      <c r="K15" s="31" t="n">
        <v>2026</v>
      </c>
      <c r="L15" s="30" t="n">
        <v>74600</v>
      </c>
      <c r="M15" s="30" t="n">
        <v>85000</v>
      </c>
    </row>
    <row r="16">
      <c r="B16" s="31" t="n">
        <v>2009</v>
      </c>
      <c r="C16" s="30" t="n">
        <v>5000</v>
      </c>
      <c r="G16" s="31" t="n">
        <v>2020</v>
      </c>
      <c r="H16" s="30" t="n">
        <v>27230</v>
      </c>
    </row>
    <row r="17">
      <c r="B17" s="31" t="n">
        <v>2010</v>
      </c>
      <c r="C17" s="30" t="n">
        <v>5000</v>
      </c>
      <c r="G17" s="31" t="n">
        <v>2021</v>
      </c>
      <c r="H17" s="30" t="n">
        <v>27830</v>
      </c>
      <c r="K17" s="9" t="inlineStr">
        <is>
          <t>Figures published by the CRA and checked in September 2026. Confirm against canada.ca or your CRA account before you rely on them.</t>
        </is>
      </c>
    </row>
    <row r="18">
      <c r="B18" s="31" t="n">
        <v>2011</v>
      </c>
      <c r="C18" s="30" t="n">
        <v>5000</v>
      </c>
      <c r="G18" s="31" t="n">
        <v>2022</v>
      </c>
      <c r="H18" s="30" t="n">
        <v>29210</v>
      </c>
    </row>
    <row r="19">
      <c r="B19" s="31" t="n">
        <v>2012</v>
      </c>
      <c r="C19" s="30" t="n">
        <v>5000</v>
      </c>
      <c r="G19" s="31" t="n">
        <v>2023</v>
      </c>
      <c r="H19" s="30" t="n">
        <v>30780</v>
      </c>
    </row>
    <row r="20">
      <c r="B20" s="31" t="n">
        <v>2013</v>
      </c>
      <c r="C20" s="30" t="n">
        <v>5500</v>
      </c>
      <c r="G20" s="31" t="n">
        <v>2024</v>
      </c>
      <c r="H20" s="30" t="n">
        <v>31560</v>
      </c>
    </row>
    <row r="21">
      <c r="B21" s="31" t="n">
        <v>2014</v>
      </c>
      <c r="C21" s="30" t="n">
        <v>5500</v>
      </c>
      <c r="G21" s="31" t="n">
        <v>2025</v>
      </c>
      <c r="H21" s="30" t="n">
        <v>32490</v>
      </c>
    </row>
    <row r="22">
      <c r="B22" s="31" t="n">
        <v>2015</v>
      </c>
      <c r="C22" s="30" t="n">
        <v>10000</v>
      </c>
      <c r="G22" s="31" t="n">
        <v>2026</v>
      </c>
      <c r="H22" s="30" t="n">
        <v>33810</v>
      </c>
    </row>
    <row r="23">
      <c r="B23" s="31" t="n">
        <v>2016</v>
      </c>
      <c r="C23" s="30" t="n">
        <v>5500</v>
      </c>
      <c r="G23" s="31" t="n">
        <v>2027</v>
      </c>
      <c r="H23" s="30" t="n">
        <v>35390</v>
      </c>
    </row>
    <row r="24">
      <c r="B24" s="31" t="n">
        <v>2017</v>
      </c>
      <c r="C24" s="30" t="n">
        <v>5500</v>
      </c>
    </row>
    <row r="25">
      <c r="B25" s="31" t="n">
        <v>2018</v>
      </c>
      <c r="C25" s="30" t="n">
        <v>5500</v>
      </c>
      <c r="G25" s="9" t="inlineStr">
        <is>
          <t>Your RRSP room is the lesser of 18% of last year's earned income and the dollar limit, plus carry-forward, minus any pension adjustment.</t>
        </is>
      </c>
    </row>
    <row r="26">
      <c r="B26" s="31" t="n">
        <v>2019</v>
      </c>
      <c r="C26" s="30" t="n">
        <v>6000</v>
      </c>
    </row>
    <row r="27">
      <c r="B27" s="31" t="n">
        <v>2020</v>
      </c>
      <c r="C27" s="30" t="n">
        <v>6000</v>
      </c>
    </row>
    <row r="28">
      <c r="B28" s="31" t="n">
        <v>2021</v>
      </c>
      <c r="C28" s="30" t="n">
        <v>6000</v>
      </c>
    </row>
    <row r="29">
      <c r="B29" s="31" t="n">
        <v>2022</v>
      </c>
      <c r="C29" s="30" t="n">
        <v>6000</v>
      </c>
    </row>
    <row r="30">
      <c r="B30" s="31" t="n">
        <v>2023</v>
      </c>
      <c r="C30" s="30" t="n">
        <v>6500</v>
      </c>
    </row>
    <row r="31">
      <c r="B31" s="31" t="n">
        <v>2024</v>
      </c>
      <c r="C31" s="30" t="n">
        <v>7000</v>
      </c>
    </row>
    <row r="32">
      <c r="B32" s="31" t="n">
        <v>2025</v>
      </c>
      <c r="C32" s="30" t="n">
        <v>7000</v>
      </c>
    </row>
    <row r="33">
      <c r="B33" s="31" t="n">
        <v>2026</v>
      </c>
      <c r="C33" s="30" t="n">
        <v>7000</v>
      </c>
    </row>
  </sheetData>
  <mergeCells count="7">
    <mergeCell ref="G14:I14"/>
    <mergeCell ref="B11:I12"/>
    <mergeCell ref="C4:E4"/>
    <mergeCell ref="G4:I4"/>
    <mergeCell ref="K17:M20"/>
    <mergeCell ref="G25:I27"/>
    <mergeCell ref="B14:E14"/>
  </mergeCells>
  <pageMargins left="0.75" right="0.75" top="1" bottom="1" header="0.5" footer="0.5"/>
</worksheet>
</file>

<file path=xl/worksheets/sheet11.xml><?xml version="1.0" encoding="utf-8"?>
<worksheet xmlns="http://schemas.openxmlformats.org/spreadsheetml/2006/main">
  <sheetPr codeName="shFormats">
    <outlinePr summaryBelow="1" summaryRight="1"/>
    <pageSetUpPr/>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2" t="inlineStr">
        <is>
          <t>Couple</t>
        </is>
      </c>
      <c r="E5" s="9" t="inlineStr">
        <is>
          <t>Single for one person, Couple for two.</t>
        </is>
      </c>
    </row>
    <row r="6">
      <c r="B6" s="7" t="inlineStr">
        <is>
          <t>Person A</t>
        </is>
      </c>
      <c r="C6" s="32" t="inlineStr">
        <is>
          <t>Alex</t>
        </is>
      </c>
      <c r="E6" s="9" t="inlineStr">
        <is>
          <t>Shown everywhere as the first person.</t>
        </is>
      </c>
    </row>
    <row r="7">
      <c r="B7" s="7" t="inlineStr">
        <is>
          <t>Person B</t>
        </is>
      </c>
      <c r="C7" s="32" t="inlineStr">
        <is>
          <t>Sam</t>
        </is>
      </c>
      <c r="E7" s="9" t="inlineStr">
        <is>
          <t>Only used in Couple mode.</t>
        </is>
      </c>
    </row>
    <row r="8">
      <c r="B8" s="7" t="inlineStr">
        <is>
          <t>Person A share of joint costs</t>
        </is>
      </c>
      <c r="C8" s="33" t="n">
        <v>0.5</v>
      </c>
      <c r="E8" s="9" t="inlineStr">
        <is>
          <t>Used for transactions whose Owner is Joint. A category can override it.</t>
        </is>
      </c>
    </row>
    <row r="9">
      <c r="B9" s="7" t="inlineStr">
        <is>
          <t>Province or territory</t>
        </is>
      </c>
      <c r="C9" s="32" t="inlineStr">
        <is>
          <t>ON</t>
        </is>
      </c>
      <c r="E9" s="9" t="inlineStr">
        <is>
          <t>Used for the notes on the Tax summary sheet.</t>
        </is>
      </c>
    </row>
    <row r="10">
      <c r="B10" s="7" t="inlineStr">
        <is>
          <t>Setup completed</t>
        </is>
      </c>
      <c r="C10" s="32" t="inlineStr">
        <is>
          <t>No</t>
        </is>
      </c>
      <c r="E10" s="9" t="inlineStr">
        <is>
          <t>Set to Yes by the setup wizard.</t>
        </is>
      </c>
    </row>
    <row r="11">
      <c r="B11" s="7" t="inlineStr">
        <is>
          <t>Transfer match window (days)</t>
        </is>
      </c>
      <c r="C11" s="32" t="n">
        <v>4</v>
      </c>
      <c r="E11" s="9" t="inlineStr">
        <is>
          <t>How far apart the two sides of a transfer can be.</t>
        </is>
      </c>
    </row>
    <row r="12">
      <c r="B12" s="7" t="inlineStr">
        <is>
          <t>Skip duplicates on import</t>
        </is>
      </c>
      <c r="C12" s="32" t="inlineStr">
        <is>
          <t>Yes</t>
        </is>
      </c>
      <c r="E12" s="9" t="inlineStr">
        <is>
          <t>Re-importing an overlapping statement adds only the new rows.</t>
        </is>
      </c>
    </row>
    <row r="13">
      <c r="B13" s="7" t="inlineStr">
        <is>
          <t>Currency</t>
        </is>
      </c>
      <c r="C13" s="32" t="inlineStr">
        <is>
          <t>CAD</t>
        </is>
      </c>
      <c r="E13" s="9" t="inlineStr">
        <is>
          <t>Everything is treated as Canadian dollars.</t>
        </is>
      </c>
    </row>
    <row r="14">
      <c r="B14" s="7" t="inlineStr">
        <is>
          <t>Version</t>
        </is>
      </c>
      <c r="C14" s="32" t="inlineStr">
        <is>
          <t>1.0.0</t>
        </is>
      </c>
      <c r="E14" s="9" t="inlineStr">
        <is>
          <t>Workbook version.</t>
        </is>
      </c>
    </row>
    <row r="16" ht="20" customHeight="1">
      <c r="B16" s="6" t="inlineStr">
        <is>
          <t xml:space="preserve">  Privacy</t>
        </is>
      </c>
    </row>
    <row r="17">
      <c r="B17" s="27"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ageMargins left="0.75" right="0.75" top="1" bottom="1" header="0.5" footer="0.5"/>
</worksheet>
</file>

<file path=xl/worksheets/sheet14.xml><?xml version="1.0" encoding="utf-8"?>
<worksheet xmlns="http://schemas.openxmlformats.org/spreadsheetml/2006/main">
  <sheetPr codeName="shHelp">
    <outlinePr summaryBelow="1" summaryRight="1"/>
    <pageSetUpPr/>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7" t="inlineStr">
        <is>
          <t>1. Enable macros when Excel asks - the import, categorising and buttons need them. If you downloaded this file, right-click it, choose Properties and tick Unblock first.</t>
        </is>
      </c>
    </row>
    <row r="6" ht="30" customHeight="1">
      <c r="C6" s="27" t="inlineStr">
        <is>
          <t>2. Press "Setup wizard" on the Dashboard: it asks who the workbook is for, your names, how joint costs are split and your province, then offers to delete the sample data.</t>
        </is>
      </c>
    </row>
    <row r="7" ht="30" customHeight="1">
      <c r="C7" s="27" t="inlineStr">
        <is>
          <t>3. List your accounts on the Accounts sheet - one row per bank or card account. Fill in "File Name Contains" with a snippet of the file name your bank produces so imports find the right account by themselves.</t>
        </is>
      </c>
    </row>
    <row r="8" ht="15" customHeight="1">
      <c r="C8" s="27" t="inlineStr">
        <is>
          <t>4. Download a CSV from each bank and press "Import statements".</t>
        </is>
      </c>
    </row>
    <row r="10" ht="20" customHeight="1">
      <c r="B10" s="6" t="inlineStr">
        <is>
          <t xml:space="preserve">  Importing</t>
        </is>
      </c>
    </row>
    <row r="11" ht="30" customHeight="1">
      <c r="C11" s="27" t="inlineStr">
        <is>
          <t>The importer reads CSV files. Excel and PDF statements are not supported - every Canadian bank offers a CSV download from the transaction list.</t>
        </is>
      </c>
    </row>
    <row r="12" ht="30" customHeight="1">
      <c r="C12" s="27" t="inlineStr">
        <is>
          <t>It recognises the layout from the file's own header line, shows you the first few rows it parsed, and asks you to confirm before anything is written.</t>
        </is>
      </c>
    </row>
    <row r="13" ht="30" customHeight="1">
      <c r="C13" s="27" t="inlineStr">
        <is>
          <t>Money leaving an account is stored as a negative number and money arriving as a positive one, whichever way your bank writes it.</t>
        </is>
      </c>
    </row>
    <row r="14" ht="30" customHeight="1">
      <c r="C14" s="27" t="inlineStr">
        <is>
          <t>Re-importing a statement that overlaps one you already loaded adds only the new rows. Two identical purchases on the same day are still kept as two.</t>
        </is>
      </c>
    </row>
    <row r="15" ht="30" customHeight="1">
      <c r="C15" s="27"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7" t="inlineStr">
        <is>
          <t>Rules turn merchant names into categories. They run in Priority order and the first match wins, so specific rules should have a lower number.</t>
        </is>
      </c>
    </row>
    <row r="19" ht="30" customHeight="1">
      <c r="C19" s="27" t="inlineStr">
        <is>
          <t>Anything the rules cannot place lands in Uncategorized and is highlighted in red. Press "Needs a category" to filter to just those rows.</t>
        </is>
      </c>
    </row>
    <row r="20" ht="30" customHeight="1">
      <c r="C20" s="27" t="inlineStr">
        <is>
          <t>Select a row and press "Teach a rule" to create a rule from it. From then on every matching transaction is categorised automatically.</t>
        </is>
      </c>
    </row>
    <row r="21" ht="15" customHeight="1">
      <c r="C21" s="27" t="inlineStr">
        <is>
          <t>A category you type in by hand is marked Manual and is never overwritten by the rules.</t>
        </is>
      </c>
    </row>
    <row r="22" ht="30" customHeight="1">
      <c r="C22" s="27"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7" t="inlineStr">
        <is>
          <t>Set Household mode to Couple in the setup wizard or on the Settings sheet.</t>
        </is>
      </c>
    </row>
    <row r="26" ht="30" customHeight="1">
      <c r="C26" s="27" t="inlineStr">
        <is>
          <t>Every transaction has an Owner: one of you, or Joint. Joint transactions are divided using the household split, which a category can override in "Joint Split A" on the Categories sheet.</t>
        </is>
      </c>
    </row>
    <row r="27" ht="30" customHeight="1">
      <c r="C27" s="27" t="inlineStr">
        <is>
          <t>"Paid By" is worked out from the account the money left, so it is possible to pay for something that is not (all) yours.</t>
        </is>
      </c>
    </row>
    <row r="28" ht="30" customHeight="1">
      <c r="C28" s="27" t="inlineStr">
        <is>
          <t>The Household sheet compares what each of you paid from your own accounts with your fair share, and says who owes whom.</t>
        </is>
      </c>
    </row>
    <row r="29" ht="30" customHeight="1">
      <c r="C29" s="27" t="inlineStr">
        <is>
          <t>The View selector on the Dashboard switches every number between the whole household and one person's share.</t>
        </is>
      </c>
    </row>
    <row r="31" ht="20" customHeight="1">
      <c r="B31" s="6" t="inlineStr">
        <is>
          <t xml:space="preserve">  Canadian bits</t>
        </is>
      </c>
    </row>
    <row r="32" ht="30" customHeight="1">
      <c r="C32" s="27" t="inlineStr">
        <is>
          <t>Categories cover the things a Canadian household actually pays: hydro, Presto/Compass/OPUS, LCBO/SAQ, property tax, daycare, RRSP/TFSA/FHSA/RESP, OSAP, and CRA payments and refunds.</t>
        </is>
      </c>
    </row>
    <row r="33" ht="30" customHeight="1">
      <c r="C33" s="27" t="inlineStr">
        <is>
          <t>Deposits like the Canada Child Benefit, the GST/HST credit and the Canada Carbon Rebate are recognised as income, not as a random transfer.</t>
        </is>
      </c>
    </row>
    <row r="34" ht="30" customHeight="1">
      <c r="C34" s="27" t="inlineStr">
        <is>
          <t>The Tax summary sheet totals everything tagged as medical, donations, child care, tuition, professional dues and so on, for the tax year of the report month, split per person.</t>
        </is>
      </c>
    </row>
    <row r="35" ht="30" customHeight="1">
      <c r="C35" s="27" t="inlineStr">
        <is>
          <t>The Registered plans sheet tracks RRSP/TFSA/FHSA/RESP contributions per person against the room you enter, and lists the published annual limits.</t>
        </is>
      </c>
    </row>
    <row r="36" ht="30" customHeight="1">
      <c r="C36" s="27" t="inlineStr">
        <is>
          <t>None of this is tax advice: confirm your own contribution room and what you can claim with the CRA or your accountant.</t>
        </is>
      </c>
    </row>
    <row r="38" ht="20" customHeight="1">
      <c r="B38" s="6" t="inlineStr">
        <is>
          <t xml:space="preserve">  Keyboard shortcuts</t>
        </is>
      </c>
    </row>
    <row r="39" ht="15" customHeight="1">
      <c r="C39" s="27" t="inlineStr">
        <is>
          <t>Ctrl+Shift+I - import statements</t>
        </is>
      </c>
    </row>
    <row r="40" ht="15" customHeight="1">
      <c r="C40" s="27" t="inlineStr">
        <is>
          <t>Ctrl+Shift+R - apply rules to uncategorised rows</t>
        </is>
      </c>
    </row>
    <row r="41" ht="15" customHeight="1">
      <c r="C41" s="27" t="inlineStr">
        <is>
          <t>Ctrl+Shift+T - teach a rule from the selected row</t>
        </is>
      </c>
    </row>
    <row r="42" ht="15" customHeight="1">
      <c r="C42" s="27" t="inlineStr">
        <is>
          <t>Ctrl+Shift+U - show rows that still need a category</t>
        </is>
      </c>
    </row>
    <row r="44" ht="20" customHeight="1">
      <c r="B44" s="6" t="inlineStr">
        <is>
          <t xml:space="preserve">  If something looks wrong</t>
        </is>
      </c>
    </row>
    <row r="45" ht="15" customHeight="1">
      <c r="C45" s="27" t="inlineStr">
        <is>
          <t>Numbers stale? Press Refresh on the Dashboard, or Ctrl+Alt+F9.</t>
        </is>
      </c>
    </row>
    <row r="46" ht="15" customHeight="1">
      <c r="C46" s="27" t="inlineStr">
        <is>
          <t>A calculated column overwritten by accident? Press "Rebuild formulas" on the Transactions sheet.</t>
        </is>
      </c>
    </row>
    <row r="47" ht="30" customHeight="1">
      <c r="C47" s="27" t="inlineStr">
        <is>
          <t>Buttons missing? They are drawn when the file opens with macros enabled. Close and reopen, or run modUI.EnsureButtons from the macro list.</t>
        </is>
      </c>
    </row>
    <row r="48" ht="30" customHeight="1">
      <c r="C48" s="27" t="inlineStr">
        <is>
          <t>An import mapped the wrong columns? Adjust that row on the Bank Formats sheet and import again - duplicates will be skipped.</t>
        </is>
      </c>
    </row>
    <row r="49" ht="30" customHeight="1">
      <c r="C49" s="27"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ageMargins left="0.75" right="0.75" top="1" bottom="1" header="0.5" footer="0.5"/>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4" t="inlineStr">
        <is>
          <t>Engine: lists and formula templates. Please do not delete this sheet - the macros and the drop-downs depend on it.</t>
        </is>
      </c>
    </row>
    <row r="2">
      <c r="AD2" s="34"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2026-09-01T15:48:07Z</dcterms:created>
  <dcterms:modified xsi:type="dcterms:W3CDTF">2026-09-01T15:48:08Z</dcterms:modified>
</cp:coreProperties>
</file>