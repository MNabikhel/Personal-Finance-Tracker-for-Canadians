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bookViews>
    <workbookView visibility="visible" minimized="0" showHorizontalScroll="1" showVerticalScroll="1" showSheetTabs="1" tabRatio="600" firstSheet="0" activeTab="0" autoFilterDateGrouping="1"/>
  </bookViews>
  <sheets>
    <sheet name="Dashboard" sheetId="1" state="visible" r:id="rId1"/>
    <sheet name="Transactions" sheetId="2" state="visible" r:id="rId2"/>
    <sheet name="Accounts" sheetId="3" state="visible" r:id="rId3"/>
    <sheet name="Categories" sheetId="4" state="visible" r:id="rId4"/>
    <sheet name="Rules" sheetId="5" state="visible" r:id="rId5"/>
    <sheet name="Budget" sheetId="6" state="visible" r:id="rId6"/>
    <sheet name="Reports" sheetId="7" state="visible" r:id="rId7"/>
    <sheet name="Household" sheetId="8" state="visible" r:id="rId8"/>
    <sheet name="Tax Summary" sheetId="9" state="visible" r:id="rId9"/>
    <sheet name="Registered Plans" sheetId="10" state="visible" r:id="rId10"/>
    <sheet name="Settings" sheetId="11" state="visible" r:id="rId11"/>
    <sheet name="Help" sheetId="12" state="visible" r:id="rId12"/>
    <sheet name="Engine" sheetId="13" state="hidden" r:id="rId13"/>
  </sheets>
  <definedNames>
    <definedName name="HouseholdMode">Settings!$C$5</definedName>
    <definedName name="PersonA">Settings!$C$6</definedName>
    <definedName name="PersonB">Settings!$C$7</definedName>
    <definedName name="DefaultSplitA">Settings!$C$8</definedName>
    <definedName name="Province">Settings!$C$9</definedName>
    <definedName name="Configured">Settings!$C$10</definedName>
    <definedName name="TransferWindowDays">Settings!$C$11</definedName>
    <definedName name="SkipDuplicates">Settings!$C$12</definedName>
    <definedName name="Currency">Settings!$C$13</definedName>
    <definedName name="AppVersion">Settings!$C$14</definedName>
    <definedName name="ReportMonth">Dashboard!$C$6</definedName>
    <definedName name="ReportView">Dashboard!$F$6</definedName>
    <definedName name="ButtonAnchor">Dashboard!$B$3</definedName>
    <definedName name="TxnButtonAnchor">Transactions!$B$3</definedName>
    <definedName name="TopMerchants">Dashboard!$B$32:$C$41</definedName>
    <definedName name="CoupleBlock">Dashboard!$B$43:$I$53</definedName>
    <definedName name="MonthList">Engine!$D$3:$D$38</definedName>
    <definedName name="ViewList">Engine!$F$3:$F$5</definedName>
    <definedName name="HouseholdOnly">Engine!$F$3</definedName>
    <definedName name="OwnerList">Engine!$H$3:$H$5</definedName>
    <definedName name="TypeList">Engine!$J$3:$J$6</definedName>
    <definedName name="YesNoList">Engine!$L$3:$L$4</definedName>
    <definedName name="AccountTypeList">Engine!$N$3:$N$8</definedName>
    <definedName name="RuleFieldList">Engine!$P$3:$P$6</definedName>
    <definedName name="RuleTestList">Engine!$R$3:$R$8</definedName>
    <definedName name="RuleFlowList">Engine!$T$3:$T$5</definedName>
    <definedName name="DelimiterList">Engine!$V$3:$V$6</definedName>
    <definedName name="AmountModeList">Engine!$X$3:$X$5</definedName>
    <definedName name="DateFormatList">Engine!$Z$3:$Z$9</definedName>
    <definedName name="ProvinceList">Engine!$AB$3:$AB$15</definedName>
    <definedName name="LedgerRows">Engine!$AD$3</definedName>
    <definedName name="TaxTagList">Engine!$AF$3:$AF$17</definedName>
    <definedName name="GroupList">Engine!$AH$3:$AH$16</definedName>
    <definedName name="TaxYear">'Tax Summary'!$C$3</definedName>
    <definedName name="CategoryList">=tblCategories[Category]</definedName>
    <definedName name="AccountList">=tblAccounts[Account]</definedName>
    <definedName name="_xlnm.Print_Area" localSheetId="0">'Dashboard'!$B$1:$I$53</definedName>
    <definedName name="_xlnm.Print_Titles" localSheetId="1">'Transactions'!$6:$6</definedName>
    <definedName name="_xlnm.Print_Area" localSheetId="1">'Transactions'!$B$1:$M$530</definedName>
    <definedName name="_xlnm.Print_Titles" localSheetId="2">'Accounts'!$4:$4</definedName>
    <definedName name="_xlnm.Print_Area" localSheetId="2">'Accounts'!$B$1:$I$12</definedName>
    <definedName name="_xlnm.Print_Titles" localSheetId="3">'Categories'!$4:$4</definedName>
    <definedName name="_xlnm.Print_Area" localSheetId="3">'Categories'!$B$1:$J$96</definedName>
    <definedName name="_xlnm.Print_Titles" localSheetId="4">'Rules'!$4:$4</definedName>
    <definedName name="_xlnm.Print_Area" localSheetId="4">'Rules'!$B$1:$M$198</definedName>
    <definedName name="_xlnm.Print_Titles" localSheetId="5">'Budget'!$5:$5</definedName>
    <definedName name="_xlnm.Print_Area" localSheetId="5">'Budget'!$B$1:$J$125</definedName>
    <definedName name="_xlnm.Print_Titles" localSheetId="6">'Reports'!$4:$4</definedName>
    <definedName name="_xlnm.Print_Area" localSheetId="6">'Reports'!$B$1:$O$148</definedName>
    <definedName name="_xlnm.Print_Area" localSheetId="7">'Household'!$B$1:$G$24</definedName>
    <definedName name="_xlnm.Print_Titles" localSheetId="8">'Tax Summary'!$5:$5</definedName>
    <definedName name="_xlnm.Print_Area" localSheetId="8">'Tax Summary'!$B$1:$F$24</definedName>
    <definedName name="_xlnm.Print_Area" localSheetId="9">'Registered Plans'!$B$1:$M$33</definedName>
    <definedName name="_xlnm.Print_Area" localSheetId="10">'Settings'!$B$1:$E$19</definedName>
    <definedName name="_xlnm.Print_Area" localSheetId="11">'Help'!$B$1:$C$45</definedName>
  </definedNames>
  <calcPr calcId="124519" fullCalcOnLoad="1"/>
</workbook>
</file>

<file path=xl/styles.xml><?xml version="1.0" encoding="utf-8"?>
<styleSheet xmlns="http://schemas.openxmlformats.org/spreadsheetml/2006/main">
  <numFmts count="4">
    <numFmt numFmtId="164" formatCode="#,##0.00;[Red]-#,##0.00"/>
    <numFmt numFmtId="165" formatCode="0.0%"/>
    <numFmt numFmtId="166" formatCode="yyyy-mm-dd"/>
    <numFmt numFmtId="167" formatCode="#,##0;[Red]-#,##0"/>
  </numFmts>
  <fonts count="12">
    <font>
      <name val="Calibri"/>
      <family val="2"/>
      <color theme="1"/>
      <sz val="11"/>
      <scheme val="minor"/>
    </font>
    <font>
      <name val="Calibri"/>
      <b val="1"/>
      <color rgb="00C41E3A"/>
      <sz val="20"/>
    </font>
    <font>
      <name val="Calibri"/>
      <i val="1"/>
      <color rgb="006B7280"/>
      <sz val="10"/>
    </font>
    <font>
      <name val="Calibri"/>
      <b val="1"/>
      <color rgb="001F2933"/>
      <sz val="11"/>
    </font>
    <font>
      <name val="Calibri"/>
      <color rgb="001F2933"/>
      <sz val="11"/>
    </font>
    <font>
      <name val="Calibri"/>
      <b val="1"/>
      <color rgb="001F2933"/>
      <sz val="14"/>
    </font>
    <font>
      <name val="Calibri"/>
      <b val="1"/>
      <color rgb="00FFFFFF"/>
      <sz val="12"/>
    </font>
    <font>
      <name val="Calibri"/>
      <color rgb="006B7280"/>
      <sz val="9"/>
    </font>
    <font>
      <b val="1"/>
      <color rgb="000F6E5C"/>
      <sz val="12"/>
    </font>
    <font>
      <b val="1"/>
      <color rgb="00FFFFFF"/>
    </font>
    <font>
      <b val="1"/>
      <color rgb="000F6E5C"/>
    </font>
    <font>
      <b val="1"/>
      <color rgb="001F2933"/>
    </font>
  </fonts>
  <fills count="4">
    <fill>
      <patternFill/>
    </fill>
    <fill>
      <patternFill patternType="gray125"/>
    </fill>
    <fill>
      <patternFill patternType="solid">
        <fgColor rgb="00FFF3CD"/>
      </patternFill>
    </fill>
    <fill>
      <patternFill patternType="solid">
        <fgColor rgb="00C41E3A"/>
      </patternFill>
    </fill>
  </fills>
  <borders count="2">
    <border>
      <left/>
      <right/>
      <top/>
      <bottom/>
      <diagonal/>
    </border>
    <border>
      <left style="thin">
        <color rgb="00D9D9E3"/>
      </left>
      <right style="thin">
        <color rgb="00D9D9E3"/>
      </right>
      <top style="thin">
        <color rgb="00D9D9E3"/>
      </top>
      <bottom style="thin">
        <color rgb="00D9D9E3"/>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3" fontId="5" fillId="0" borderId="0" applyAlignment="1" pivotButton="0" quotePrefix="0" xfId="0">
      <alignment horizontal="center" vertical="center"/>
    </xf>
    <xf numFmtId="0" fontId="6" fillId="3" borderId="0" applyAlignment="1" pivotButton="0" quotePrefix="0" xfId="0">
      <alignment horizontal="left" vertical="center"/>
    </xf>
    <xf numFmtId="0" fontId="4" fillId="0" borderId="0" pivotButton="0" quotePrefix="0" xfId="0"/>
    <xf numFmtId="164" fontId="5" fillId="0" borderId="0" applyAlignment="1" pivotButton="0" quotePrefix="0" xfId="0">
      <alignment horizontal="right" vertical="center"/>
    </xf>
    <xf numFmtId="0" fontId="7" fillId="0" borderId="0" applyAlignment="1" pivotButton="0" quotePrefix="0" xfId="0">
      <alignment vertical="center" wrapText="1"/>
    </xf>
    <xf numFmtId="3" fontId="5" fillId="0" borderId="0" applyAlignment="1" pivotButton="0" quotePrefix="0" xfId="0">
      <alignment horizontal="right" vertical="center"/>
    </xf>
    <xf numFmtId="165" fontId="5" fillId="0" borderId="0" applyAlignment="1" pivotButton="0" quotePrefix="0" xfId="0">
      <alignment horizontal="right" vertical="center"/>
    </xf>
    <xf numFmtId="0" fontId="3" fillId="0" borderId="0" applyAlignment="1" pivotButton="0" quotePrefix="0" xfId="0">
      <alignment horizontal="right" vertical="center"/>
    </xf>
    <xf numFmtId="164" fontId="0" fillId="0" borderId="0" applyAlignment="1" pivotButton="0" quotePrefix="0" xfId="0">
      <alignment horizontal="right" vertical="center"/>
    </xf>
    <xf numFmtId="165" fontId="0" fillId="0" borderId="0" applyAlignment="1" pivotButton="0" quotePrefix="0" xfId="0">
      <alignment horizontal="right" vertical="center"/>
    </xf>
    <xf numFmtId="164" fontId="3" fillId="0" borderId="0" applyAlignment="1" pivotButton="0" quotePrefix="0" xfId="0">
      <alignment horizontal="right" vertical="center"/>
    </xf>
    <xf numFmtId="0" fontId="8" fillId="0" borderId="0" pivotButton="0" quotePrefix="0" xfId="0"/>
    <xf numFmtId="0" fontId="9" fillId="3" borderId="0" pivotButton="0" quotePrefix="0" xfId="0"/>
    <xf numFmtId="166" fontId="0" fillId="0" borderId="0" pivotButton="0" quotePrefix="0" xfId="0"/>
    <xf numFmtId="164" fontId="0" fillId="0" borderId="0" pivotButton="0" quotePrefix="0" xfId="0"/>
    <xf numFmtId="9" fontId="0" fillId="0" borderId="0" pivotButton="0" quotePrefix="0" xfId="0"/>
    <xf numFmtId="0" fontId="10" fillId="0" borderId="0" applyAlignment="1" pivotButton="0" quotePrefix="0" xfId="0">
      <alignment horizontal="center" vertical="center"/>
    </xf>
    <xf numFmtId="165" fontId="0" fillId="0" borderId="0" pivotButton="0" quotePrefix="0" xfId="0"/>
    <xf numFmtId="0" fontId="9" fillId="3" borderId="0" applyAlignment="1" pivotButton="0" quotePrefix="0" xfId="0">
      <alignment horizontal="center" vertical="center"/>
    </xf>
    <xf numFmtId="3" fontId="0" fillId="0" borderId="0" applyAlignment="1" pivotButton="0" quotePrefix="0" xfId="0">
      <alignment horizontal="right" vertical="center"/>
    </xf>
    <xf numFmtId="3" fontId="3" fillId="0" borderId="0" applyAlignment="1" pivotButton="0" quotePrefix="0" xfId="0">
      <alignment horizontal="right" vertical="center"/>
    </xf>
    <xf numFmtId="0" fontId="4" fillId="0" borderId="0" applyAlignment="1" pivotButton="0" quotePrefix="0" xfId="0">
      <alignment vertical="center" wrapText="1"/>
    </xf>
    <xf numFmtId="1" fontId="10" fillId="0" borderId="0" applyAlignment="1" pivotButton="0" quotePrefix="0" xfId="0">
      <alignment horizontal="center" vertical="center"/>
    </xf>
    <xf numFmtId="0" fontId="3" fillId="0" borderId="0" applyAlignment="1" pivotButton="0" quotePrefix="0" xfId="0">
      <alignment horizontal="center" vertical="center"/>
    </xf>
    <xf numFmtId="167" fontId="0" fillId="0" borderId="0" applyAlignment="1" pivotButton="0" quotePrefix="0" xfId="0">
      <alignment horizontal="right" vertical="center"/>
    </xf>
    <xf numFmtId="1" fontId="0" fillId="0" borderId="0" pivotButton="0" quotePrefix="0" xfId="0"/>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7" fillId="0" borderId="0" pivotButton="0" quotePrefix="0" xfId="0"/>
  </cellXfs>
  <cellStyles count="1">
    <cellStyle name="Normal" xfId="0" builtinId="0" hidden="0"/>
  </cellStyles>
  <dxfs count="3">
    <dxf>
      <font>
        <b val="1"/>
        <color rgb="001B7F4B"/>
      </font>
    </dxf>
    <dxf>
      <fill>
        <patternFill patternType="solid">
          <fgColor rgb="00FDE8E8"/>
        </patternFill>
      </fill>
    </dxf>
    <dxf>
      <font>
        <b val="1"/>
        <color rgb="008E142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Money in and money out</a:t>
            </a:r>
          </a:p>
        </rich>
      </tx>
    </title>
    <plotArea>
      <barChart>
        <barDir val="col"/>
        <grouping val="clustered"/>
        <ser>
          <idx val="0"/>
          <order val="0"/>
          <tx>
            <strRef>
              <f>'Reports'!B5</f>
            </strRef>
          </tx>
          <spPr>
            <a:ln>
              <a:prstDash val="solid"/>
            </a:ln>
          </spPr>
          <cat>
            <numRef>
              <f>'Reports'!$C$4:$N$4</f>
            </numRef>
          </cat>
          <val>
            <numRef>
              <f>'Reports'!$C$5:$N$5</f>
            </numRef>
          </val>
        </ser>
        <ser>
          <idx val="1"/>
          <order val="1"/>
          <tx>
            <strRef>
              <f>'Reports'!B6</f>
            </strRef>
          </tx>
          <spPr>
            <a:ln>
              <a:prstDash val="solid"/>
            </a:ln>
          </spPr>
          <cat>
            <numRef>
              <f>'Reports'!$C$4:$N$4</f>
            </numRef>
          </cat>
          <val>
            <numRef>
              <f>'Reports'!$C$6:$N$6</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Net cash flow</a:t>
            </a:r>
          </a:p>
        </rich>
      </tx>
    </title>
    <plotArea>
      <lineChart>
        <grouping val="standard"/>
        <ser>
          <idx val="0"/>
          <order val="0"/>
          <tx>
            <strRef>
              <f>'Reports'!B8</f>
            </strRef>
          </tx>
          <spPr>
            <a:ln>
              <a:prstDash val="solid"/>
            </a:ln>
          </spPr>
          <marker>
            <symbol val="none"/>
            <spPr>
              <a:ln>
                <a:prstDash val="solid"/>
              </a:ln>
            </spPr>
          </marker>
          <cat>
            <numRef>
              <f>'Reports'!$C$4:$N$4</f>
            </numRef>
          </cat>
          <val>
            <numRef>
              <f>'Reports'!$C$8:$N$8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Where the money went</a:t>
            </a:r>
          </a:p>
        </rich>
      </tx>
    </title>
    <plotArea>
      <doughnutChart>
        <varyColors val="1"/>
        <ser>
          <idx val="0"/>
          <order val="0"/>
          <tx>
            <strRef>
              <f>'Dashboard'!C16</f>
            </strRef>
          </tx>
          <spPr>
            <a:ln>
              <a:prstDash val="solid"/>
            </a:ln>
          </spPr>
          <cat>
            <numRef>
              <f>'Dashboard'!$B$17:$B$28</f>
            </numRef>
          </cat>
          <val>
            <numRef>
              <f>'Dashboard'!$C$17:$C$28</f>
            </numRef>
          </val>
        </ser>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2</row>
      <rowOff>0</rowOff>
    </from>
    <ext cx="6120000" cy="270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18</row>
      <rowOff>0</rowOff>
    </from>
    <ext cx="6120000" cy="270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34</row>
      <rowOff>0</rowOff>
    </from>
    <ext cx="6120000" cy="306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tblTxn" displayName="tblTxn" ref="B6:Y530" headerRowCount="1">
  <autoFilter ref="B6:Y530"/>
  <tableColumns count="24">
    <tableColumn id="2" name="Txn ID">
      <calculatedColumnFormula>IF($C7="","","T"&amp;TEXT(ROW()-ROW(tblTxn[[#Headers],[Txn ID]]),"000000"))</calculatedColumnFormula>
    </tableColumn>
    <tableColumn id="3" name="Date"/>
    <tableColumn id="4" name="Month">
      <calculatedColumnFormula>IF($C7="","",TEXT($C7,"yyyy-mm"))</calculatedColumnFormula>
    </tableColumn>
    <tableColumn id="5" name="Account"/>
    <tableColumn id="6" name="Paid By">
      <calculatedColumnFormula>IF($C7="","",IFERROR(INDEX(tblAccounts[Owner],MATCH($E7,tblAccounts[Account],0)),"Joint"))</calculatedColumnFormula>
    </tableColumn>
    <tableColumn id="7" name="Owner">
      <calculatedColumnFormula>IF($C7="","",IF(HouseholdMode="Couple",IFERROR(IF(INDEX(tblCategories[Default Owner],MATCH($K7,tblCategories[Category],0))="",$F7,INDEX(tblCategories[Default Owner],MATCH($K7,tblCategories[Category],0))),$F7),$F7))</calculatedColumnFormula>
    </tableColumn>
    <tableColumn id="8" name="Description"/>
    <tableColumn id="9" name="Merchant">
      <calculatedColumnFormula>IF($H7="","",$H7)</calculatedColumnFormula>
    </tableColumn>
    <tableColumn id="10" name="Amount"/>
    <tableColumn id="11" name="Category">
      <calculatedColumnFormula>IF($H7="","",IFERROR(INDEX(tblRules[Category],SUMPRODUCT(MIN((1-((tblRules[Enabled]&lt;&gt;"No")*(tblRules[Pattern]&lt;&gt;"")*(tblRules[Category]&lt;&gt;"")*((tblRules[Flow]="Any")+(tblRules[Flow]="")+((tblRules[Flow]="Money out")*($J7&lt;0))+((tblRules[Flow]="Money in")*($J7&gt;0)))*(((tblRules[Look In]="Account")*ISNUMBER(SEARCH(tblRules[Pattern],$E7)))+((tblRules[Look In]&lt;&gt;"Account")*(((tblRules[Test]="Word")*ISNUMBER(SEARCH(" "&amp;tblRules[Pattern]&amp;" "," "&amp;$H7&amp;" ")))+((tblRules[Test]&lt;&gt;"Word")*ISNUMBER(SEARCH(tblRules[Pattern],$H7))))))&gt;0))*1E+9+ROW(tblRules[Pattern])))-ROW(tblRules[[#Headers],[Pattern]])),"Uncategorized"))</calculatedColumnFormula>
    </tableColumn>
    <tableColumn id="12" name="Group">
      <calculatedColumnFormula>IF($C7="","",IFERROR(INDEX(tblCategories[Group],MATCH($K7,tblCategories[Category],0)),"Other"))</calculatedColumnFormula>
    </tableColumn>
    <tableColumn id="13" name="Type">
      <calculatedColumnFormula>IF($C7="","",IFERROR(INDEX(tblCategories[Type],MATCH($K7,tblCategories[Category],0)),IF($J7&gt;0,"Income","Expense")))</calculatedColumnFormula>
    </tableColumn>
    <tableColumn id="14" name="Essential">
      <calculatedColumnFormula>IF($C7="","",IFERROR(INDEX(tblCategories[Essential],MATCH($K7,tblCategories[Category],0)),"No"))</calculatedColumnFormula>
    </tableColumn>
    <tableColumn id="15" name="Tax Tag">
      <calculatedColumnFormula>IF($C7="","",IFERROR(INDEX(tblCategories[Tax Tag],MATCH($K7,tblCategories[Category],0)),""))</calculatedColumnFormula>
    </tableColumn>
    <tableColumn id="16" name="Split A %">
      <calculatedColumnFormula>IF($C7="","",IF($G7=PersonA,1,IF($G7=PersonB,0,IFERROR(INDEX(tblCategories[Joint Split A],MATCH($K7,tblCategories[Category],0)),DefaultSplitA))))</calculatedColumnFormula>
    </tableColumn>
    <tableColumn id="17" name="Share A">
      <calculatedColumnFormula>IF($C7="","",ROUND($J7*N($P7),2))</calculatedColumnFormula>
    </tableColumn>
    <tableColumn id="18" name="Share B">
      <calculatedColumnFormula>IF($C7="","",ROUND($J7-N($Q7),2))</calculatedColumnFormula>
    </tableColumn>
    <tableColumn id="19" name="Reimbursable"/>
    <tableColumn id="20" name="Notes"/>
    <tableColumn id="21" name="Source File"/>
    <tableColumn id="22" name="Batch"/>
    <tableColumn id="23" name="Match Key"/>
    <tableColumn id="24" name="Tagged By">
      <calculatedColumnFormula>IF($C7="","",IFERROR(IF(_xlfn.ISFORMULA($K7),"Rule","Manual"),""))</calculatedColumnFormula>
    </tableColumn>
    <tableColumn id="25" name="View Amount">
      <calculatedColumnFormula>IF($C7="","",IF(ReportView=PersonA,N($Q7),IF(ReportView=PersonB,N($R7),$J7)))</calculatedColumnFormula>
    </tableColumn>
  </tableColumns>
  <tableStyleInfo name="TableStyleMedium3" showFirstColumn="0" showLastColumn="0" showRowStripes="1" showColumnStripes="0"/>
</table>
</file>

<file path=xl/tables/table2.xml><?xml version="1.0" encoding="utf-8"?>
<table xmlns="http://schemas.openxmlformats.org/spreadsheetml/2006/main" id="2" name="tblAccounts" displayName="tblAccounts" ref="B4:I12" headerRowCount="1">
  <autoFilter ref="B4:I12"/>
  <tableColumns count="8">
    <tableColumn id="2" name="Account"/>
    <tableColumn id="3" name="Institution"/>
    <tableColumn id="4" name="Type"/>
    <tableColumn id="5" name="Owner"/>
    <tableColumn id="6" name="Bank Format"/>
    <tableColumn id="7" name="File Name Contains"/>
    <tableColumn id="8" name="Include in Household"/>
    <tableColumn id="9" name="Notes"/>
  </tableColumns>
  <tableStyleInfo name="TableStyleMedium3" showFirstColumn="0" showLastColumn="0" showRowStripes="1" showColumnStripes="0"/>
</table>
</file>

<file path=xl/tables/table3.xml><?xml version="1.0" encoding="utf-8"?>
<table xmlns="http://schemas.openxmlformats.org/spreadsheetml/2006/main" id="3" name="tblCategories" displayName="tblCategories" ref="B4:J96" headerRowCount="1">
  <autoFilter ref="B4:J96"/>
  <tableColumns count="9">
    <tableColumn id="2" name="Category"/>
    <tableColumn id="3" name="Group"/>
    <tableColumn id="4" name="Type"/>
    <tableColumn id="5" name="Essential"/>
    <tableColumn id="6" name="Tax Tag"/>
    <tableColumn id="7" name="Monthly Budget"/>
    <tableColumn id="8" name="Default Owner"/>
    <tableColumn id="9" name="Joint Split A"/>
    <tableColumn id="10" name="Notes"/>
  </tableColumns>
  <tableStyleInfo name="TableStyleMedium3" showFirstColumn="0" showLastColumn="0" showRowStripes="1" showColumnStripes="0"/>
</table>
</file>

<file path=xl/tables/table4.xml><?xml version="1.0" encoding="utf-8"?>
<table xmlns="http://schemas.openxmlformats.org/spreadsheetml/2006/main" id="4" name="tblRules" displayName="tblRules" ref="B4:M198" headerRowCount="1">
  <autoFilter ref="B4:M198"/>
  <tableColumns count="12">
    <tableColumn id="2" name="Priority"/>
    <tableColumn id="3" name="Enabled"/>
    <tableColumn id="4" name="Look In"/>
    <tableColumn id="5" name="Test"/>
    <tableColumn id="6" name="Pattern"/>
    <tableColumn id="7" name="Min Amount"/>
    <tableColumn id="8" name="Max Amount"/>
    <tableColumn id="9" name="Flow"/>
    <tableColumn id="10" name="Category"/>
    <tableColumn id="11" name="Set Owner"/>
    <tableColumn id="12" name="Hits"/>
    <tableColumn id="13" name="Notes"/>
  </tableColumns>
  <tableStyleInfo name="TableStyleMedium3" showFirstColumn="0" showLastColumn="0" showRowStripes="1" showColumnStripes="0"/>
</table>
</file>

<file path=xl/tables/table5.xml><?xml version="1.0" encoding="utf-8"?>
<table xmlns="http://schemas.openxmlformats.org/spreadsheetml/2006/main" id="5" name="tblTemplates" displayName="tblTemplates" ref="A3:B13" headerRowCount="1">
  <autoFilter ref="A3:B13"/>
  <tableColumns count="2">
    <tableColumn id="1" name="Column"/>
    <tableColumn id="2" name="Formula (R1C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13.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Dashboard">
    <tabColor rgb="00C41E3A"/>
    <outlinePr summaryBelow="1" summaryRight="1"/>
    <pageSetUpPr fitToPage="1"/>
  </sheetPr>
  <dimension ref="B1:I5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5" customWidth="1" min="3" max="3"/>
    <col width="2" customWidth="1" min="4" max="4"/>
    <col width="26" customWidth="1" min="5" max="5"/>
    <col width="15" customWidth="1" min="6" max="6"/>
    <col width="2" customWidth="1" min="7" max="7"/>
    <col width="22" customWidth="1" min="8" max="8"/>
    <col width="13" customWidth="1" min="9" max="9"/>
    <col width="2"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s>
  <sheetData>
    <row r="1" ht="28" customHeight="1">
      <c r="B1" s="1" t="inlineStr">
        <is>
          <t>Canadian Finance Tracker</t>
        </is>
      </c>
    </row>
    <row r="2">
      <c r="B2" s="2" t="inlineStr">
        <is>
          <t>Type your transactions on the Transactions sheet, then read your month here. Everything stays in this file - nothing is uploaded.</t>
        </is>
      </c>
    </row>
    <row r="3" ht="22" customHeight="1"/>
    <row r="4" ht="22" customHeight="1"/>
    <row r="6">
      <c r="B6" s="3" t="inlineStr">
        <is>
          <t>Report month</t>
        </is>
      </c>
      <c r="C6" s="4" t="inlineStr">
        <is>
          <t>2026-08</t>
        </is>
      </c>
      <c r="E6" s="3" t="inlineStr">
        <is>
          <t>View</t>
        </is>
      </c>
      <c r="F6" s="4" t="inlineStr">
        <is>
          <t>Household</t>
        </is>
      </c>
      <c r="H6" s="3" t="inlineStr">
        <is>
          <t>Needs a category</t>
        </is>
      </c>
      <c r="I6" s="5">
        <f>COUNTIF(tblTxn[Category],"Uncategorized")</f>
        <v/>
      </c>
    </row>
    <row r="8" ht="20" customHeight="1">
      <c r="B8" s="6" t="inlineStr">
        <is>
          <t xml:space="preserve">  This month at a glance</t>
        </is>
      </c>
    </row>
    <row r="9">
      <c r="B9" s="7" t="inlineStr">
        <is>
          <t>Money in</t>
        </is>
      </c>
      <c r="C9" s="8">
        <f>SUMIFS(tblTxn[View Amount],tblTxn[Month],ReportMonth,tblTxn[Type],"Income")</f>
        <v/>
      </c>
      <c r="E9" s="7" t="inlineStr">
        <is>
          <t>Essential spending</t>
        </is>
      </c>
      <c r="F9" s="8">
        <f>-SUMIFS(tblTxn[View Amount],tblTxn[Month],ReportMonth,tblTxn[Type],"Expense",tblTxn[Essential],"Yes")</f>
        <v/>
      </c>
      <c r="H9" s="9" t="inlineStr">
        <is>
          <t>Uncategorized rows distort every number on this page. Filter the Transactions sheet to them and pick a category from the drop-down.</t>
        </is>
      </c>
    </row>
    <row r="10">
      <c r="B10" s="7" t="inlineStr">
        <is>
          <t>Money out</t>
        </is>
      </c>
      <c r="C10" s="8">
        <f>-SUMIFS(tblTxn[View Amount],tblTxn[Month],ReportMonth,tblTxn[Type],"Expense")</f>
        <v/>
      </c>
      <c r="E10" s="7" t="inlineStr">
        <is>
          <t>Discretionary spending</t>
        </is>
      </c>
      <c r="F10" s="8">
        <f>C10-F9</f>
        <v/>
      </c>
    </row>
    <row r="11">
      <c r="B11" s="7" t="inlineStr">
        <is>
          <t>Saved &amp; invested</t>
        </is>
      </c>
      <c r="C11" s="8">
        <f>-SUMIFS(tblTxn[View Amount],tblTxn[Month],ReportMonth,tblTxn[Type],"Saving")</f>
        <v/>
      </c>
      <c r="E11" s="7" t="inlineStr">
        <is>
          <t>Average spend per day</t>
        </is>
      </c>
      <c r="F11" s="8">
        <f>IFERROR(C10/DAY(EOMONTH(DATE(VALUE(LEFT(ReportMonth,4)),VALUE(RIGHT(ReportMonth,2)),1),0)),"")</f>
        <v/>
      </c>
    </row>
    <row r="12">
      <c r="B12" s="7" t="inlineStr">
        <is>
          <t>Net cash flow</t>
        </is>
      </c>
      <c r="C12" s="8">
        <f>C9-C10-C11</f>
        <v/>
      </c>
      <c r="E12" s="7" t="inlineStr">
        <is>
          <t>Transactions this month</t>
        </is>
      </c>
      <c r="F12" s="10">
        <f>COUNTIFS(tblTxn[Month],ReportMonth)</f>
        <v/>
      </c>
    </row>
    <row r="13">
      <c r="B13" s="7" t="inlineStr">
        <is>
          <t>Savings rate</t>
        </is>
      </c>
      <c r="C13" s="11">
        <f>IFERROR((C9-C10)/C9,"")</f>
        <v/>
      </c>
      <c r="E13" s="7" t="inlineStr">
        <is>
          <t>Left in monthly budget</t>
        </is>
      </c>
      <c r="F13" s="8">
        <f>IF(SUM(tblCategories[Monthly Budget])=0,"",SUM(tblCategories[Monthly Budget])-C10)</f>
        <v/>
      </c>
    </row>
    <row r="15" ht="20" customHeight="1">
      <c r="B15" s="6" t="inlineStr">
        <is>
          <t xml:space="preserve">  Where the money went</t>
        </is>
      </c>
    </row>
    <row r="16">
      <c r="B16" s="3" t="inlineStr">
        <is>
          <t>Group</t>
        </is>
      </c>
      <c r="C16" s="12" t="inlineStr">
        <is>
          <t>This month</t>
        </is>
      </c>
      <c r="E16" s="12" t="inlineStr">
        <is>
          <t>12-month average</t>
        </is>
      </c>
    </row>
    <row r="17">
      <c r="B17" s="7" t="inlineStr">
        <is>
          <t>Housing</t>
        </is>
      </c>
      <c r="C17" s="13">
        <f>-SUMIFS(tblTxn[View Amount],tblTxn[Month],ReportMonth,tblTxn[Group],$B17)</f>
        <v/>
      </c>
      <c r="E17" s="13">
        <f>-SUMIFS(tblTxn[View Amount],tblTxn[Group],$B17,tblTxn[Month],"&gt;="&amp;TEXT(EDATE(DATE(VALUE(LEFT(ReportMonth,4)),VALUE(RIGHT(ReportMonth,2)),1),-11),"yyyy-mm"),tblTxn[Month],"&lt;="&amp;ReportMonth)/12</f>
        <v/>
      </c>
    </row>
    <row r="18">
      <c r="B18" s="7" t="inlineStr">
        <is>
          <t>Utilities</t>
        </is>
      </c>
      <c r="C18" s="13">
        <f>-SUMIFS(tblTxn[View Amount],tblTxn[Month],ReportMonth,tblTxn[Group],$B18)</f>
        <v/>
      </c>
      <c r="E18" s="13">
        <f>-SUMIFS(tblTxn[View Amount],tblTxn[Group],$B18,tblTxn[Month],"&gt;="&amp;TEXT(EDATE(DATE(VALUE(LEFT(ReportMonth,4)),VALUE(RIGHT(ReportMonth,2)),1),-11),"yyyy-mm"),tblTxn[Month],"&lt;="&amp;ReportMonth)/12</f>
        <v/>
      </c>
    </row>
    <row r="19">
      <c r="B19" s="7" t="inlineStr">
        <is>
          <t>Food</t>
        </is>
      </c>
      <c r="C19" s="13">
        <f>-SUMIFS(tblTxn[View Amount],tblTxn[Month],ReportMonth,tblTxn[Group],$B19)</f>
        <v/>
      </c>
      <c r="E19" s="13">
        <f>-SUMIFS(tblTxn[View Amount],tblTxn[Group],$B19,tblTxn[Month],"&gt;="&amp;TEXT(EDATE(DATE(VALUE(LEFT(ReportMonth,4)),VALUE(RIGHT(ReportMonth,2)),1),-11),"yyyy-mm"),tblTxn[Month],"&lt;="&amp;ReportMonth)/12</f>
        <v/>
      </c>
    </row>
    <row r="20">
      <c r="B20" s="7" t="inlineStr">
        <is>
          <t>Transportation</t>
        </is>
      </c>
      <c r="C20" s="13">
        <f>-SUMIFS(tblTxn[View Amount],tblTxn[Month],ReportMonth,tblTxn[Group],$B20)</f>
        <v/>
      </c>
      <c r="E20" s="13">
        <f>-SUMIFS(tblTxn[View Amount],tblTxn[Group],$B20,tblTxn[Month],"&gt;="&amp;TEXT(EDATE(DATE(VALUE(LEFT(ReportMonth,4)),VALUE(RIGHT(ReportMonth,2)),1),-11),"yyyy-mm"),tblTxn[Month],"&lt;="&amp;ReportMonth)/12</f>
        <v/>
      </c>
    </row>
    <row r="21">
      <c r="B21" s="7" t="inlineStr">
        <is>
          <t>Health</t>
        </is>
      </c>
      <c r="C21" s="13">
        <f>-SUMIFS(tblTxn[View Amount],tblTxn[Month],ReportMonth,tblTxn[Group],$B21)</f>
        <v/>
      </c>
      <c r="E21" s="13">
        <f>-SUMIFS(tblTxn[View Amount],tblTxn[Group],$B21,tblTxn[Month],"&gt;="&amp;TEXT(EDATE(DATE(VALUE(LEFT(ReportMonth,4)),VALUE(RIGHT(ReportMonth,2)),1),-11),"yyyy-mm"),tblTxn[Month],"&lt;="&amp;ReportMonth)/12</f>
        <v/>
      </c>
    </row>
    <row r="22">
      <c r="B22" s="7" t="inlineStr">
        <is>
          <t>Family</t>
        </is>
      </c>
      <c r="C22" s="13">
        <f>-SUMIFS(tblTxn[View Amount],tblTxn[Month],ReportMonth,tblTxn[Group],$B22)</f>
        <v/>
      </c>
      <c r="E22" s="13">
        <f>-SUMIFS(tblTxn[View Amount],tblTxn[Group],$B22,tblTxn[Month],"&gt;="&amp;TEXT(EDATE(DATE(VALUE(LEFT(ReportMonth,4)),VALUE(RIGHT(ReportMonth,2)),1),-11),"yyyy-mm"),tblTxn[Month],"&lt;="&amp;ReportMonth)/12</f>
        <v/>
      </c>
    </row>
    <row r="23">
      <c r="B23" s="7" t="inlineStr">
        <is>
          <t>Education</t>
        </is>
      </c>
      <c r="C23" s="13">
        <f>-SUMIFS(tblTxn[View Amount],tblTxn[Month],ReportMonth,tblTxn[Group],$B23)</f>
        <v/>
      </c>
      <c r="E23" s="13">
        <f>-SUMIFS(tblTxn[View Amount],tblTxn[Group],$B23,tblTxn[Month],"&gt;="&amp;TEXT(EDATE(DATE(VALUE(LEFT(ReportMonth,4)),VALUE(RIGHT(ReportMonth,2)),1),-11),"yyyy-mm"),tblTxn[Month],"&lt;="&amp;ReportMonth)/12</f>
        <v/>
      </c>
    </row>
    <row r="24">
      <c r="B24" s="7" t="inlineStr">
        <is>
          <t>Personal</t>
        </is>
      </c>
      <c r="C24" s="13">
        <f>-SUMIFS(tblTxn[View Amount],tblTxn[Month],ReportMonth,tblTxn[Group],$B24)</f>
        <v/>
      </c>
      <c r="E24" s="13">
        <f>-SUMIFS(tblTxn[View Amount],tblTxn[Group],$B24,tblTxn[Month],"&gt;="&amp;TEXT(EDATE(DATE(VALUE(LEFT(ReportMonth,4)),VALUE(RIGHT(ReportMonth,2)),1),-11),"yyyy-mm"),tblTxn[Month],"&lt;="&amp;ReportMonth)/12</f>
        <v/>
      </c>
    </row>
    <row r="25">
      <c r="B25" s="7" t="inlineStr">
        <is>
          <t>Travel</t>
        </is>
      </c>
      <c r="C25" s="13">
        <f>-SUMIFS(tblTxn[View Amount],tblTxn[Month],ReportMonth,tblTxn[Group],$B25)</f>
        <v/>
      </c>
      <c r="E25" s="13">
        <f>-SUMIFS(tblTxn[View Amount],tblTxn[Group],$B25,tblTxn[Month],"&gt;="&amp;TEXT(EDATE(DATE(VALUE(LEFT(ReportMonth,4)),VALUE(RIGHT(ReportMonth,2)),1),-11),"yyyy-mm"),tblTxn[Month],"&lt;="&amp;ReportMonth)/12</f>
        <v/>
      </c>
    </row>
    <row r="26">
      <c r="B26" s="7" t="inlineStr">
        <is>
          <t>Financial</t>
        </is>
      </c>
      <c r="C26" s="13">
        <f>-SUMIFS(tblTxn[View Amount],tblTxn[Month],ReportMonth,tblTxn[Group],$B26)</f>
        <v/>
      </c>
      <c r="E26" s="13">
        <f>-SUMIFS(tblTxn[View Amount],tblTxn[Group],$B26,tblTxn[Month],"&gt;="&amp;TEXT(EDATE(DATE(VALUE(LEFT(ReportMonth,4)),VALUE(RIGHT(ReportMonth,2)),1),-11),"yyyy-mm"),tblTxn[Month],"&lt;="&amp;ReportMonth)/12</f>
        <v/>
      </c>
    </row>
    <row r="27">
      <c r="B27" s="7" t="inlineStr">
        <is>
          <t>Saving</t>
        </is>
      </c>
      <c r="C27" s="13">
        <f>-SUMIFS(tblTxn[View Amount],tblTxn[Month],ReportMonth,tblTxn[Group],$B27)</f>
        <v/>
      </c>
      <c r="E27" s="13">
        <f>-SUMIFS(tblTxn[View Amount],tblTxn[Group],$B27,tblTxn[Month],"&gt;="&amp;TEXT(EDATE(DATE(VALUE(LEFT(ReportMonth,4)),VALUE(RIGHT(ReportMonth,2)),1),-11),"yyyy-mm"),tblTxn[Month],"&lt;="&amp;ReportMonth)/12</f>
        <v/>
      </c>
    </row>
    <row r="28">
      <c r="B28" s="7" t="inlineStr">
        <is>
          <t>Other</t>
        </is>
      </c>
      <c r="C28" s="13">
        <f>-SUMIFS(tblTxn[View Amount],tblTxn[Month],ReportMonth,tblTxn[Group],$B28)</f>
        <v/>
      </c>
      <c r="E28" s="13">
        <f>-SUMIFS(tblTxn[View Amount],tblTxn[Group],$B28,tblTxn[Month],"&gt;="&amp;TEXT(EDATE(DATE(VALUE(LEFT(ReportMonth,4)),VALUE(RIGHT(ReportMonth,2)),1),-11),"yyyy-mm"),tblTxn[Month],"&lt;="&amp;ReportMonth)/12</f>
        <v/>
      </c>
    </row>
    <row r="30" ht="20" customHeight="1">
      <c r="B30" s="6" t="inlineStr">
        <is>
          <t xml:space="preserve">  Biggest categories this month</t>
        </is>
      </c>
    </row>
    <row r="31">
      <c r="B31" s="3" t="inlineStr">
        <is>
          <t>Category</t>
        </is>
      </c>
      <c r="C31" s="12" t="inlineStr">
        <is>
          <t>Spent or saved</t>
        </is>
      </c>
      <c r="E31" s="12" t="inlineStr">
        <is>
          <t>Share of the month</t>
        </is>
      </c>
    </row>
    <row r="32">
      <c r="B32" s="7">
        <f>IFERROR(IF(LARGE(Reports!$Q$29:$Q$148,1)&lt;0,"",INDEX(Reports!$B$29:$B$148,MATCH(LARGE(Reports!$Q$29:$Q$148,1),Reports!$Q$29:$Q$148,0))),"")</f>
        <v/>
      </c>
      <c r="C32" s="13">
        <f>IFERROR(IF(LARGE(Reports!$Q$29:$Q$148,1)&lt;0,"",INDEX(Reports!$N$29:$N$148,MATCH(LARGE(Reports!$Q$29:$Q$148,1),Reports!$Q$29:$Q$148,0))),"")</f>
        <v/>
      </c>
      <c r="E32" s="14">
        <f>IFERROR(IF(C32="","",C32/(C10+C11)),"")</f>
        <v/>
      </c>
      <c r="H32" s="9" t="inlineStr">
        <is>
          <t>Spending and saving categories, ranked. The share is of everything that left this month: money out plus money saved.</t>
        </is>
      </c>
    </row>
    <row r="33">
      <c r="B33" s="7">
        <f>IFERROR(IF(LARGE(Reports!$Q$29:$Q$148,2)&lt;0,"",INDEX(Reports!$B$29:$B$148,MATCH(LARGE(Reports!$Q$29:$Q$148,2),Reports!$Q$29:$Q$148,0))),"")</f>
        <v/>
      </c>
      <c r="C33" s="13">
        <f>IFERROR(IF(LARGE(Reports!$Q$29:$Q$148,2)&lt;0,"",INDEX(Reports!$N$29:$N$148,MATCH(LARGE(Reports!$Q$29:$Q$148,2),Reports!$Q$29:$Q$148,0))),"")</f>
        <v/>
      </c>
      <c r="E33" s="14">
        <f>IFERROR(IF(C33="","",C33/(C10+C11)),"")</f>
        <v/>
      </c>
    </row>
    <row r="34">
      <c r="B34" s="7">
        <f>IFERROR(IF(LARGE(Reports!$Q$29:$Q$148,3)&lt;0,"",INDEX(Reports!$B$29:$B$148,MATCH(LARGE(Reports!$Q$29:$Q$148,3),Reports!$Q$29:$Q$148,0))),"")</f>
        <v/>
      </c>
      <c r="C34" s="13">
        <f>IFERROR(IF(LARGE(Reports!$Q$29:$Q$148,3)&lt;0,"",INDEX(Reports!$N$29:$N$148,MATCH(LARGE(Reports!$Q$29:$Q$148,3),Reports!$Q$29:$Q$148,0))),"")</f>
        <v/>
      </c>
      <c r="E34" s="14">
        <f>IFERROR(IF(C34="","",C34/(C10+C11)),"")</f>
        <v/>
      </c>
    </row>
    <row r="35">
      <c r="B35" s="7">
        <f>IFERROR(IF(LARGE(Reports!$Q$29:$Q$148,4)&lt;0,"",INDEX(Reports!$B$29:$B$148,MATCH(LARGE(Reports!$Q$29:$Q$148,4),Reports!$Q$29:$Q$148,0))),"")</f>
        <v/>
      </c>
      <c r="C35" s="13">
        <f>IFERROR(IF(LARGE(Reports!$Q$29:$Q$148,4)&lt;0,"",INDEX(Reports!$N$29:$N$148,MATCH(LARGE(Reports!$Q$29:$Q$148,4),Reports!$Q$29:$Q$148,0))),"")</f>
        <v/>
      </c>
      <c r="E35" s="14">
        <f>IFERROR(IF(C35="","",C35/(C10+C11)),"")</f>
        <v/>
      </c>
    </row>
    <row r="36">
      <c r="B36" s="7">
        <f>IFERROR(IF(LARGE(Reports!$Q$29:$Q$148,5)&lt;0,"",INDEX(Reports!$B$29:$B$148,MATCH(LARGE(Reports!$Q$29:$Q$148,5),Reports!$Q$29:$Q$148,0))),"")</f>
        <v/>
      </c>
      <c r="C36" s="13">
        <f>IFERROR(IF(LARGE(Reports!$Q$29:$Q$148,5)&lt;0,"",INDEX(Reports!$N$29:$N$148,MATCH(LARGE(Reports!$Q$29:$Q$148,5),Reports!$Q$29:$Q$148,0))),"")</f>
        <v/>
      </c>
      <c r="E36" s="14">
        <f>IFERROR(IF(C36="","",C36/(C10+C11)),"")</f>
        <v/>
      </c>
    </row>
    <row r="37">
      <c r="B37" s="7">
        <f>IFERROR(IF(LARGE(Reports!$Q$29:$Q$148,6)&lt;0,"",INDEX(Reports!$B$29:$B$148,MATCH(LARGE(Reports!$Q$29:$Q$148,6),Reports!$Q$29:$Q$148,0))),"")</f>
        <v/>
      </c>
      <c r="C37" s="13">
        <f>IFERROR(IF(LARGE(Reports!$Q$29:$Q$148,6)&lt;0,"",INDEX(Reports!$N$29:$N$148,MATCH(LARGE(Reports!$Q$29:$Q$148,6),Reports!$Q$29:$Q$148,0))),"")</f>
        <v/>
      </c>
      <c r="E37" s="14">
        <f>IFERROR(IF(C37="","",C37/(C10+C11)),"")</f>
        <v/>
      </c>
    </row>
    <row r="38">
      <c r="B38" s="7">
        <f>IFERROR(IF(LARGE(Reports!$Q$29:$Q$148,7)&lt;0,"",INDEX(Reports!$B$29:$B$148,MATCH(LARGE(Reports!$Q$29:$Q$148,7),Reports!$Q$29:$Q$148,0))),"")</f>
        <v/>
      </c>
      <c r="C38" s="13">
        <f>IFERROR(IF(LARGE(Reports!$Q$29:$Q$148,7)&lt;0,"",INDEX(Reports!$N$29:$N$148,MATCH(LARGE(Reports!$Q$29:$Q$148,7),Reports!$Q$29:$Q$148,0))),"")</f>
        <v/>
      </c>
      <c r="E38" s="14">
        <f>IFERROR(IF(C38="","",C38/(C10+C11)),"")</f>
        <v/>
      </c>
    </row>
    <row r="39">
      <c r="B39" s="7">
        <f>IFERROR(IF(LARGE(Reports!$Q$29:$Q$148,8)&lt;0,"",INDEX(Reports!$B$29:$B$148,MATCH(LARGE(Reports!$Q$29:$Q$148,8),Reports!$Q$29:$Q$148,0))),"")</f>
        <v/>
      </c>
      <c r="C39" s="13">
        <f>IFERROR(IF(LARGE(Reports!$Q$29:$Q$148,8)&lt;0,"",INDEX(Reports!$N$29:$N$148,MATCH(LARGE(Reports!$Q$29:$Q$148,8),Reports!$Q$29:$Q$148,0))),"")</f>
        <v/>
      </c>
      <c r="E39" s="14">
        <f>IFERROR(IF(C39="","",C39/(C10+C11)),"")</f>
        <v/>
      </c>
    </row>
    <row r="40">
      <c r="B40" s="7">
        <f>IFERROR(IF(LARGE(Reports!$Q$29:$Q$148,9)&lt;0,"",INDEX(Reports!$B$29:$B$148,MATCH(LARGE(Reports!$Q$29:$Q$148,9),Reports!$Q$29:$Q$148,0))),"")</f>
        <v/>
      </c>
      <c r="C40" s="13">
        <f>IFERROR(IF(LARGE(Reports!$Q$29:$Q$148,9)&lt;0,"",INDEX(Reports!$N$29:$N$148,MATCH(LARGE(Reports!$Q$29:$Q$148,9),Reports!$Q$29:$Q$148,0))),"")</f>
        <v/>
      </c>
      <c r="E40" s="14">
        <f>IFERROR(IF(C40="","",C40/(C10+C11)),"")</f>
        <v/>
      </c>
    </row>
    <row r="41">
      <c r="B41" s="7">
        <f>IFERROR(IF(LARGE(Reports!$Q$29:$Q$148,10)&lt;0,"",INDEX(Reports!$B$29:$B$148,MATCH(LARGE(Reports!$Q$29:$Q$148,10),Reports!$Q$29:$Q$148,0))),"")</f>
        <v/>
      </c>
      <c r="C41" s="13">
        <f>IFERROR(IF(LARGE(Reports!$Q$29:$Q$148,10)&lt;0,"",INDEX(Reports!$N$29:$N$148,MATCH(LARGE(Reports!$Q$29:$Q$148,10),Reports!$Q$29:$Q$148,0))),"")</f>
        <v/>
      </c>
      <c r="E41" s="14">
        <f>IFERROR(IF(C41="","",C41/(C10+C11)),"")</f>
        <v/>
      </c>
    </row>
    <row r="43" ht="20" customHeight="1">
      <c r="B43" s="6" t="inlineStr">
        <is>
          <t xml:space="preserve">  Couple view (selected month)</t>
        </is>
      </c>
    </row>
    <row r="44">
      <c r="B44" s="3" t="inlineStr"/>
      <c r="C44" s="12">
        <f>PersonA</f>
        <v/>
      </c>
      <c r="D44" s="3" t="inlineStr"/>
      <c r="E44" s="12">
        <f>PersonB</f>
        <v/>
      </c>
    </row>
    <row r="45">
      <c r="B45" s="7" t="inlineStr">
        <is>
          <t>Paid from own accounts</t>
        </is>
      </c>
      <c r="C45" s="13">
        <f>-SUMIFS(tblTxn[Amount],tblTxn[Month],ReportMonth,tblTxn[Type],"Expense",tblTxn[Paid By],PersonA)</f>
        <v/>
      </c>
      <c r="E45" s="13">
        <f>-SUMIFS(tblTxn[Amount],tblTxn[Month],ReportMonth,tblTxn[Type],"Expense",tblTxn[Paid By],PersonB)</f>
        <v/>
      </c>
    </row>
    <row r="46">
      <c r="B46" s="7" t="inlineStr">
        <is>
          <t>Fair share of that spending</t>
        </is>
      </c>
      <c r="C46" s="13">
        <f>-(SUMIFS(tblTxn[Share A],tblTxn[Month],ReportMonth,tblTxn[Type],"Expense",tblTxn[Paid By],PersonA)+SUMIFS(tblTxn[Share A],tblTxn[Month],ReportMonth,tblTxn[Type],"Expense",tblTxn[Paid By],PersonB))</f>
        <v/>
      </c>
      <c r="E46" s="13">
        <f>-(SUMIFS(tblTxn[Share B],tblTxn[Month],ReportMonth,tblTxn[Type],"Expense",tblTxn[Paid By],PersonA)+SUMIFS(tblTxn[Share B],tblTxn[Month],ReportMonth,tblTxn[Type],"Expense",tblTxn[Paid By],PersonB))</f>
        <v/>
      </c>
    </row>
    <row r="47">
      <c r="B47" s="3" t="inlineStr">
        <is>
          <t>Balance (paid minus share)</t>
        </is>
      </c>
      <c r="C47" s="15">
        <f>C45-C46</f>
        <v/>
      </c>
      <c r="E47" s="15">
        <f>E45-E46</f>
        <v/>
      </c>
    </row>
    <row r="49">
      <c r="B49" s="3" t="inlineStr">
        <is>
          <t>Settlement</t>
        </is>
      </c>
      <c r="C49" s="16">
        <f>IF(ROUND(C47,2)&gt;0,PersonB&amp;" owes "&amp;PersonA&amp;" "&amp;TEXT(ROUND(C47,2),"$#,##0.00"),IF(ROUND(C47,2)&lt;0,PersonA&amp;" owes "&amp;PersonB&amp;" "&amp;TEXT(-ROUND(C47,2),"$#,##0.00"),"Even for this month"))</f>
        <v/>
      </c>
    </row>
    <row r="51">
      <c r="B51" s="9" t="inlineStr">
        <is>
          <t>Only spending paid from personal accounts is settled - joint accounts are assumed to be funded per the household split already. Change who an expense is for with the Owner column on the Transactions sheet.</t>
        </is>
      </c>
    </row>
    <row r="52"/>
    <row r="53"/>
  </sheetData>
  <mergeCells count="8">
    <mergeCell ref="B51:I53"/>
    <mergeCell ref="B30:I30"/>
    <mergeCell ref="H32:I36"/>
    <mergeCell ref="B15:I15"/>
    <mergeCell ref="C49:I49"/>
    <mergeCell ref="H9:I13"/>
    <mergeCell ref="B8:I8"/>
    <mergeCell ref="B43:I43"/>
  </mergeCells>
  <conditionalFormatting sqref="C17:C28">
    <cfRule type="dataBar" priority="1">
      <dataBar>
        <cfvo type="num" val="0"/>
        <cfvo type="max"/>
        <color rgb="00C41E3A"/>
      </dataBar>
    </cfRule>
  </conditionalFormatting>
  <dataValidations count="2">
    <dataValidation sqref="C6" showDropDown="0" showInputMessage="1" showErrorMessage="0" allowBlank="1" prompt="Pick a month to report on" type="list">
      <formula1>=MonthList</formula1>
    </dataValidation>
    <dataValidation sqref="F6" showDropDown="0" showInputMessage="1" showErrorMessage="0" allowBlank="1" prompt="Household, or one person's share" type="list">
      <formula1>=ViewList</formula1>
    </dataValidation>
  </dataValidations>
  <printOptions horizontalCentered="1"/>
  <pageMargins left="0.75" right="0.75" top="1" bottom="1" header="0.5" footer="0.5"/>
  <pageSetup orientation="portrait" fitToHeight="0" fitToWidth="1"/>
  <drawing xmlns:r="http://schemas.openxmlformats.org/officeDocument/2006/relationships" r:id="rId1"/>
</worksheet>
</file>

<file path=xl/worksheets/sheet2.xml><?xml version="1.0" encoding="utf-8"?>
<worksheet xmlns="http://schemas.openxmlformats.org/spreadsheetml/2006/main">
  <sheetPr codeName="shTransactions">
    <tabColor rgb="002F5597"/>
    <outlinePr summaryBelow="1" summaryRight="1"/>
    <pageSetUpPr fitToPage="1"/>
  </sheetPr>
  <dimension ref="B1:Y20005"/>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11" customWidth="1" min="3" max="3"/>
    <col width="9" customWidth="1" min="4" max="4"/>
    <col width="22" customWidth="1" min="5" max="5"/>
    <col width="12" customWidth="1" min="6" max="6"/>
    <col width="12" customWidth="1" min="7" max="7"/>
    <col width="46" customWidth="1" min="8" max="8"/>
    <col hidden="1" width="24" customWidth="1" min="9" max="9"/>
    <col width="12" customWidth="1" min="10" max="10"/>
    <col width="24" customWidth="1" min="11" max="11"/>
    <col width="14" customWidth="1" min="12" max="12"/>
    <col width="10" customWidth="1" min="13" max="13"/>
    <col width="10" customWidth="1" min="14" max="14"/>
    <col width="18" customWidth="1" min="15" max="15"/>
    <col width="9" customWidth="1" min="16" max="16"/>
    <col width="12" customWidth="1" min="17" max="17"/>
    <col width="12" customWidth="1" min="18" max="18"/>
    <col width="12" customWidth="1" min="19" max="19"/>
    <col width="24" customWidth="1" min="20" max="20"/>
    <col hidden="1" width="22" customWidth="1" min="21" max="21"/>
    <col hidden="1" width="18" customWidth="1" min="22" max="22"/>
    <col hidden="1" width="12" customWidth="1" min="23" max="23"/>
    <col width="12" customWidth="1" min="24" max="24"/>
    <col hidden="1" width="12" customWidth="1" min="25" max="25"/>
  </cols>
  <sheetData>
    <row r="1">
      <c r="B1" s="1" t="inlineStr">
        <is>
          <t>Transactions</t>
        </is>
      </c>
    </row>
    <row r="2">
      <c r="B2" s="2" t="inlineStr">
        <is>
          <t>One row per transaction. Money out is negative, money in is positive. Type the Date, Account, Description and Amount; everything else fills itself in, and can be typed over.</t>
        </is>
      </c>
    </row>
    <row r="3" ht="22" customHeight="1"/>
    <row r="4" ht="22" customHeight="1"/>
    <row r="6">
      <c r="B6" s="17" t="inlineStr">
        <is>
          <t>Txn ID</t>
        </is>
      </c>
      <c r="C6" s="17" t="inlineStr">
        <is>
          <t>Date</t>
        </is>
      </c>
      <c r="D6" s="17" t="inlineStr">
        <is>
          <t>Month</t>
        </is>
      </c>
      <c r="E6" s="17" t="inlineStr">
        <is>
          <t>Account</t>
        </is>
      </c>
      <c r="F6" s="17" t="inlineStr">
        <is>
          <t>Paid By</t>
        </is>
      </c>
      <c r="G6" s="17" t="inlineStr">
        <is>
          <t>Owner</t>
        </is>
      </c>
      <c r="H6" s="17" t="inlineStr">
        <is>
          <t>Description</t>
        </is>
      </c>
      <c r="I6" s="17" t="inlineStr">
        <is>
          <t>Merchant</t>
        </is>
      </c>
      <c r="J6" s="17" t="inlineStr">
        <is>
          <t>Amount</t>
        </is>
      </c>
      <c r="K6" s="17" t="inlineStr">
        <is>
          <t>Category</t>
        </is>
      </c>
      <c r="L6" s="17" t="inlineStr">
        <is>
          <t>Group</t>
        </is>
      </c>
      <c r="M6" s="17" t="inlineStr">
        <is>
          <t>Type</t>
        </is>
      </c>
      <c r="N6" s="17" t="inlineStr">
        <is>
          <t>Essential</t>
        </is>
      </c>
      <c r="O6" s="17" t="inlineStr">
        <is>
          <t>Tax Tag</t>
        </is>
      </c>
      <c r="P6" s="17" t="inlineStr">
        <is>
          <t>Split A %</t>
        </is>
      </c>
      <c r="Q6" s="17" t="inlineStr">
        <is>
          <t>Share A</t>
        </is>
      </c>
      <c r="R6" s="17" t="inlineStr">
        <is>
          <t>Share B</t>
        </is>
      </c>
      <c r="S6" s="17" t="inlineStr">
        <is>
          <t>Reimbursable</t>
        </is>
      </c>
      <c r="T6" s="17" t="inlineStr">
        <is>
          <t>Notes</t>
        </is>
      </c>
      <c r="U6" s="17" t="inlineStr">
        <is>
          <t>Source File</t>
        </is>
      </c>
      <c r="V6" s="17" t="inlineStr">
        <is>
          <t>Batch</t>
        </is>
      </c>
      <c r="W6" s="17" t="inlineStr">
        <is>
          <t>Match Key</t>
        </is>
      </c>
      <c r="X6" s="17" t="inlineStr">
        <is>
          <t>Tagged By</t>
        </is>
      </c>
      <c r="Y6" s="17" t="inlineStr">
        <is>
          <t>View Amount</t>
        </is>
      </c>
    </row>
    <row r="7">
      <c r="B7">
        <f>IF($C7="","","T"&amp;TEXT(ROW()-ROW(tblTxn[[#Headers],[Txn ID]]),"000000"))</f>
        <v/>
      </c>
      <c r="C7" s="18" t="n">
        <v>46082</v>
      </c>
      <c r="D7">
        <f>IF($C7="","",TEXT($C7,"yyyy-mm"))</f>
        <v/>
      </c>
      <c r="E7" t="inlineStr">
        <is>
          <t>BMO Joint Chequing</t>
        </is>
      </c>
      <c r="F7">
        <f>IF($C7="","",IFERROR(INDEX(tblAccounts[Owner],MATCH($E7,tblAccounts[Account],0)),"Joint"))</f>
        <v/>
      </c>
      <c r="G7">
        <f>IF($C7="","",IF(HouseholdMode="Couple",IFERROR(IF(INDEX(tblCategories[Default Owner],MATCH($K7,tblCategories[Category],0))="",$F7,INDEX(tblCategories[Default Owner],MATCH($K7,tblCategories[Category],0))),$F7),$F7))</f>
        <v/>
      </c>
      <c r="H7" t="inlineStr">
        <is>
          <t>RENT PAYMENT 84 BROADVIEW AVE</t>
        </is>
      </c>
      <c r="I7">
        <f>IF($H7="","",$H7)</f>
        <v/>
      </c>
      <c r="J7" s="19" t="n">
        <v>-2350</v>
      </c>
      <c r="K7">
        <f>IF($H7="","",IFERROR(INDEX(tblRules[Category],SUMPRODUCT(MIN((1-((tblRules[Enabled]&lt;&gt;"No")*(tblRules[Pattern]&lt;&gt;"")*(tblRules[Category]&lt;&gt;"")*((tblRules[Flow]="Any")+(tblRules[Flow]="")+((tblRules[Flow]="Money out")*($J7&lt;0))+((tblRules[Flow]="Money in")*($J7&gt;0)))*(((tblRules[Look In]="Account")*ISNUMBER(SEARCH(tblRules[Pattern],$E7)))+((tblRules[Look In]&lt;&gt;"Account")*(((tblRules[Test]="Word")*ISNUMBER(SEARCH(" "&amp;tblRules[Pattern]&amp;" "," "&amp;$H7&amp;" ")))+((tblRules[Test]&lt;&gt;"Word")*ISNUMBER(SEARCH(tblRules[Pattern],$H7))))))&gt;0))*1E+9+ROW(tblRules[Pattern])))-ROW(tblRules[[#Headers],[Pattern]])),"Uncategorized"))</f>
        <v/>
      </c>
      <c r="L7">
        <f>IF($C7="","",IFERROR(INDEX(tblCategories[Group],MATCH($K7,tblCategories[Category],0)),"Other"))</f>
        <v/>
      </c>
      <c r="M7">
        <f>IF($C7="","",IFERROR(INDEX(tblCategories[Type],MATCH($K7,tblCategories[Category],0)),IF($J7&gt;0,"Income","Expense")))</f>
        <v/>
      </c>
      <c r="N7">
        <f>IF($C7="","",IFERROR(INDEX(tblCategories[Essential],MATCH($K7,tblCategories[Category],0)),"No"))</f>
        <v/>
      </c>
      <c r="O7">
        <f>IF($C7="","",IFERROR(INDEX(tblCategories[Tax Tag],MATCH($K7,tblCategories[Category],0)),""))</f>
        <v/>
      </c>
      <c r="P7" s="20">
        <f>IF($C7="","",IF($G7=PersonA,1,IF($G7=PersonB,0,IFERROR(INDEX(tblCategories[Joint Split A],MATCH($K7,tblCategories[Category],0)),DefaultSplitA))))</f>
        <v/>
      </c>
      <c r="Q7" s="19">
        <f>IF($C7="","",ROUND($J7*N($P7),2))</f>
        <v/>
      </c>
      <c r="R7" s="19">
        <f>IF($C7="","",ROUND($J7-N($Q7),2))</f>
        <v/>
      </c>
      <c r="U7" t="inlineStr">
        <is>
          <t>sample-data</t>
        </is>
      </c>
      <c r="V7" t="inlineStr">
        <is>
          <t>SAMPLE</t>
        </is>
      </c>
      <c r="W7" t="inlineStr">
        <is>
          <t>9C39F83E</t>
        </is>
      </c>
      <c r="X7">
        <f>IF($C7="","",IFERROR(IF(_xlfn.ISFORMULA($K7),"Rule","Manual"),""))</f>
        <v/>
      </c>
      <c r="Y7" s="19">
        <f>IF($C7="","",IF(ReportView=PersonA,N($Q7),IF(ReportView=PersonB,N($R7),$J7)))</f>
        <v/>
      </c>
    </row>
    <row r="8">
      <c r="B8">
        <f>IF($C8="","","T"&amp;TEXT(ROW()-ROW(tblTxn[[#Headers],[Txn ID]]),"000000"))</f>
        <v/>
      </c>
      <c r="C8" s="18" t="n">
        <v>46084</v>
      </c>
      <c r="D8">
        <f>IF($C8="","",TEXT($C8,"yyyy-mm"))</f>
        <v/>
      </c>
      <c r="E8" t="inlineStr">
        <is>
          <t>Amex Cobalt (Joint)</t>
        </is>
      </c>
      <c r="F8">
        <f>IF($C8="","",IFERROR(INDEX(tblAccounts[Owner],MATCH($E8,tblAccounts[Account],0)),"Joint"))</f>
        <v/>
      </c>
      <c r="G8">
        <f>IF($C8="","",IF(HouseholdMode="Couple",IFERROR(IF(INDEX(tblCategories[Default Owner],MATCH($K8,tblCategories[Category],0))="",$F8,INDEX(tblCategories[Default Owner],MATCH($K8,tblCategories[Category],0))),$F8),$F8))</f>
        <v/>
      </c>
      <c r="H8" t="inlineStr">
        <is>
          <t>IDP PURCHASE - 4612 CANADIAN TIRE #2196 ON</t>
        </is>
      </c>
      <c r="I8">
        <f>IF($H8="","",$H8)</f>
        <v/>
      </c>
      <c r="J8" s="19" t="n">
        <v>-97.88</v>
      </c>
      <c r="K8">
        <f>IF($H8="","",IFERROR(INDEX(tblRules[Category],SUMPRODUCT(MIN((1-((tblRules[Enabled]&lt;&gt;"No")*(tblRules[Pattern]&lt;&gt;"")*(tblRules[Category]&lt;&gt;"")*((tblRules[Flow]="Any")+(tblRules[Flow]="")+((tblRules[Flow]="Money out")*($J8&lt;0))+((tblRules[Flow]="Money in")*($J8&gt;0)))*(((tblRules[Look In]="Account")*ISNUMBER(SEARCH(tblRules[Pattern],$E8)))+((tblRules[Look In]&lt;&gt;"Account")*(((tblRules[Test]="Word")*ISNUMBER(SEARCH(" "&amp;tblRules[Pattern]&amp;" "," "&amp;$H8&amp;" ")))+((tblRules[Test]&lt;&gt;"Word")*ISNUMBER(SEARCH(tblRules[Pattern],$H8))))))&gt;0))*1E+9+ROW(tblRules[Pattern])))-ROW(tblRules[[#Headers],[Pattern]])),"Uncategorized"))</f>
        <v/>
      </c>
      <c r="L8">
        <f>IF($C8="","",IFERROR(INDEX(tblCategories[Group],MATCH($K8,tblCategories[Category],0)),"Other"))</f>
        <v/>
      </c>
      <c r="M8">
        <f>IF($C8="","",IFERROR(INDEX(tblCategories[Type],MATCH($K8,tblCategories[Category],0)),IF($J8&gt;0,"Income","Expense")))</f>
        <v/>
      </c>
      <c r="N8">
        <f>IF($C8="","",IFERROR(INDEX(tblCategories[Essential],MATCH($K8,tblCategories[Category],0)),"No"))</f>
        <v/>
      </c>
      <c r="O8">
        <f>IF($C8="","",IFERROR(INDEX(tblCategories[Tax Tag],MATCH($K8,tblCategories[Category],0)),""))</f>
        <v/>
      </c>
      <c r="P8" s="20">
        <f>IF($C8="","",IF($G8=PersonA,1,IF($G8=PersonB,0,IFERROR(INDEX(tblCategories[Joint Split A],MATCH($K8,tblCategories[Category],0)),DefaultSplitA))))</f>
        <v/>
      </c>
      <c r="Q8" s="19">
        <f>IF($C8="","",ROUND($J8*N($P8),2))</f>
        <v/>
      </c>
      <c r="R8" s="19">
        <f>IF($C8="","",ROUND($J8-N($Q8),2))</f>
        <v/>
      </c>
      <c r="U8" t="inlineStr">
        <is>
          <t>sample-data</t>
        </is>
      </c>
      <c r="V8" t="inlineStr">
        <is>
          <t>SAMPLE</t>
        </is>
      </c>
      <c r="W8" t="inlineStr">
        <is>
          <t>45F839FC</t>
        </is>
      </c>
      <c r="X8">
        <f>IF($C8="","",IFERROR(IF(_xlfn.ISFORMULA($K8),"Rule","Manual"),""))</f>
        <v/>
      </c>
      <c r="Y8" s="19">
        <f>IF($C8="","",IF(ReportView=PersonA,N($Q8),IF(ReportView=PersonB,N($R8),$J8)))</f>
        <v/>
      </c>
    </row>
    <row r="9">
      <c r="B9">
        <f>IF($C9="","","T"&amp;TEXT(ROW()-ROW(tblTxn[[#Headers],[Txn ID]]),"000000"))</f>
        <v/>
      </c>
      <c r="C9" s="18" t="n">
        <v>46084</v>
      </c>
      <c r="D9">
        <f>IF($C9="","",TEXT($C9,"yyyy-mm"))</f>
        <v/>
      </c>
      <c r="E9" t="inlineStr">
        <is>
          <t>BMO Joint Chequing</t>
        </is>
      </c>
      <c r="F9">
        <f>IF($C9="","",IFERROR(INDEX(tblAccounts[Owner],MATCH($E9,tblAccounts[Account],0)),"Joint"))</f>
        <v/>
      </c>
      <c r="G9">
        <f>IF($C9="","",IF(HouseholdMode="Couple",IFERROR(IF(INDEX(tblCategories[Default Owner],MATCH($K9,tblCategories[Category],0))="",$F9,INDEX(tblCategories[Default Owner],MATCH($K9,tblCategories[Category],0))),$F9),$F9))</f>
        <v/>
      </c>
      <c r="H9" t="inlineStr">
        <is>
          <t>GOODLIFE CLUBS PREAUTHORIZED DEBIT</t>
        </is>
      </c>
      <c r="I9">
        <f>IF($H9="","",$H9)</f>
        <v/>
      </c>
      <c r="J9" s="19" t="n">
        <v>-54.22</v>
      </c>
      <c r="K9">
        <f>IF($H9="","",IFERROR(INDEX(tblRules[Category],SUMPRODUCT(MIN((1-((tblRules[Enabled]&lt;&gt;"No")*(tblRules[Pattern]&lt;&gt;"")*(tblRules[Category]&lt;&gt;"")*((tblRules[Flow]="Any")+(tblRules[Flow]="")+((tblRules[Flow]="Money out")*($J9&lt;0))+((tblRules[Flow]="Money in")*($J9&gt;0)))*(((tblRules[Look In]="Account")*ISNUMBER(SEARCH(tblRules[Pattern],$E9)))+((tblRules[Look In]&lt;&gt;"Account")*(((tblRules[Test]="Word")*ISNUMBER(SEARCH(" "&amp;tblRules[Pattern]&amp;" "," "&amp;$H9&amp;" ")))+((tblRules[Test]&lt;&gt;"Word")*ISNUMBER(SEARCH(tblRules[Pattern],$H9))))))&gt;0))*1E+9+ROW(tblRules[Pattern])))-ROW(tblRules[[#Headers],[Pattern]])),"Uncategorized"))</f>
        <v/>
      </c>
      <c r="L9">
        <f>IF($C9="","",IFERROR(INDEX(tblCategories[Group],MATCH($K9,tblCategories[Category],0)),"Other"))</f>
        <v/>
      </c>
      <c r="M9">
        <f>IF($C9="","",IFERROR(INDEX(tblCategories[Type],MATCH($K9,tblCategories[Category],0)),IF($J9&gt;0,"Income","Expense")))</f>
        <v/>
      </c>
      <c r="N9">
        <f>IF($C9="","",IFERROR(INDEX(tblCategories[Essential],MATCH($K9,tblCategories[Category],0)),"No"))</f>
        <v/>
      </c>
      <c r="O9">
        <f>IF($C9="","",IFERROR(INDEX(tblCategories[Tax Tag],MATCH($K9,tblCategories[Category],0)),""))</f>
        <v/>
      </c>
      <c r="P9" s="20">
        <f>IF($C9="","",IF($G9=PersonA,1,IF($G9=PersonB,0,IFERROR(INDEX(tblCategories[Joint Split A],MATCH($K9,tblCategories[Category],0)),DefaultSplitA))))</f>
        <v/>
      </c>
      <c r="Q9" s="19">
        <f>IF($C9="","",ROUND($J9*N($P9),2))</f>
        <v/>
      </c>
      <c r="R9" s="19">
        <f>IF($C9="","",ROUND($J9-N($Q9),2))</f>
        <v/>
      </c>
      <c r="U9" t="inlineStr">
        <is>
          <t>sample-data</t>
        </is>
      </c>
      <c r="V9" t="inlineStr">
        <is>
          <t>SAMPLE</t>
        </is>
      </c>
      <c r="W9" t="inlineStr">
        <is>
          <t>B1B6FD37</t>
        </is>
      </c>
      <c r="X9">
        <f>IF($C9="","",IFERROR(IF(_xlfn.ISFORMULA($K9),"Rule","Manual"),""))</f>
        <v/>
      </c>
      <c r="Y9" s="19">
        <f>IF($C9="","",IF(ReportView=PersonA,N($Q9),IF(ReportView=PersonB,N($R9),$J9)))</f>
        <v/>
      </c>
    </row>
    <row r="10">
      <c r="B10">
        <f>IF($C10="","","T"&amp;TEXT(ROW()-ROW(tblTxn[[#Headers],[Txn ID]]),"000000"))</f>
        <v/>
      </c>
      <c r="C10" s="18" t="n">
        <v>46084</v>
      </c>
      <c r="D10">
        <f>IF($C10="","",TEXT($C10,"yyyy-mm"))</f>
        <v/>
      </c>
      <c r="E10" t="inlineStr">
        <is>
          <t>Tangerine Chequing (Sam)</t>
        </is>
      </c>
      <c r="F10">
        <f>IF($C10="","",IFERROR(INDEX(tblAccounts[Owner],MATCH($E10,tblAccounts[Account],0)),"Joint"))</f>
        <v/>
      </c>
      <c r="G10">
        <f>IF($C10="","",IF(HouseholdMode="Couple",IFERROR(IF(INDEX(tblCategories[Default Owner],MATCH($K10,tblCategories[Category],0))="",$F10,INDEX(tblCategories[Default Owner],MATCH($K10,tblCategories[Category],0))),$F10),$F10))</f>
        <v/>
      </c>
      <c r="H10" t="inlineStr">
        <is>
          <t>IDP PURCHASE - 6527 LCBO/RAO #4079 TORONTO ON</t>
        </is>
      </c>
      <c r="I10">
        <f>IF($H10="","",$H10)</f>
        <v/>
      </c>
      <c r="J10" s="19" t="n">
        <v>-28.27</v>
      </c>
      <c r="K10">
        <f>IF($H10="","",IFERROR(INDEX(tblRules[Category],SUMPRODUCT(MIN((1-((tblRules[Enabled]&lt;&gt;"No")*(tblRules[Pattern]&lt;&gt;"")*(tblRules[Category]&lt;&gt;"")*((tblRules[Flow]="Any")+(tblRules[Flow]="")+((tblRules[Flow]="Money out")*($J10&lt;0))+((tblRules[Flow]="Money in")*($J10&gt;0)))*(((tblRules[Look In]="Account")*ISNUMBER(SEARCH(tblRules[Pattern],$E10)))+((tblRules[Look In]&lt;&gt;"Account")*(((tblRules[Test]="Word")*ISNUMBER(SEARCH(" "&amp;tblRules[Pattern]&amp;" "," "&amp;$H10&amp;" ")))+((tblRules[Test]&lt;&gt;"Word")*ISNUMBER(SEARCH(tblRules[Pattern],$H10))))))&gt;0))*1E+9+ROW(tblRules[Pattern])))-ROW(tblRules[[#Headers],[Pattern]])),"Uncategorized"))</f>
        <v/>
      </c>
      <c r="L10">
        <f>IF($C10="","",IFERROR(INDEX(tblCategories[Group],MATCH($K10,tblCategories[Category],0)),"Other"))</f>
        <v/>
      </c>
      <c r="M10">
        <f>IF($C10="","",IFERROR(INDEX(tblCategories[Type],MATCH($K10,tblCategories[Category],0)),IF($J10&gt;0,"Income","Expense")))</f>
        <v/>
      </c>
      <c r="N10">
        <f>IF($C10="","",IFERROR(INDEX(tblCategories[Essential],MATCH($K10,tblCategories[Category],0)),"No"))</f>
        <v/>
      </c>
      <c r="O10">
        <f>IF($C10="","",IFERROR(INDEX(tblCategories[Tax Tag],MATCH($K10,tblCategories[Category],0)),""))</f>
        <v/>
      </c>
      <c r="P10" s="20">
        <f>IF($C10="","",IF($G10=PersonA,1,IF($G10=PersonB,0,IFERROR(INDEX(tblCategories[Joint Split A],MATCH($K10,tblCategories[Category],0)),DefaultSplitA))))</f>
        <v/>
      </c>
      <c r="Q10" s="19">
        <f>IF($C10="","",ROUND($J10*N($P10),2))</f>
        <v/>
      </c>
      <c r="R10" s="19">
        <f>IF($C10="","",ROUND($J10-N($Q10),2))</f>
        <v/>
      </c>
      <c r="U10" t="inlineStr">
        <is>
          <t>sample-data</t>
        </is>
      </c>
      <c r="V10" t="inlineStr">
        <is>
          <t>SAMPLE</t>
        </is>
      </c>
      <c r="W10" t="inlineStr">
        <is>
          <t>91FBDF2B</t>
        </is>
      </c>
      <c r="X10">
        <f>IF($C10="","",IFERROR(IF(_xlfn.ISFORMULA($K10),"Rule","Manual"),""))</f>
        <v/>
      </c>
      <c r="Y10" s="19">
        <f>IF($C10="","",IF(ReportView=PersonA,N($Q10),IF(ReportView=PersonB,N($R10),$J10)))</f>
        <v/>
      </c>
    </row>
    <row r="11">
      <c r="B11">
        <f>IF($C11="","","T"&amp;TEXT(ROW()-ROW(tblTxn[[#Headers],[Txn ID]]),"000000"))</f>
        <v/>
      </c>
      <c r="C11" s="18" t="n">
        <v>46086</v>
      </c>
      <c r="D11">
        <f>IF($C11="","",TEXT($C11,"yyyy-mm"))</f>
        <v/>
      </c>
      <c r="E11" t="inlineStr">
        <is>
          <t>Amex Cobalt (Joint)</t>
        </is>
      </c>
      <c r="F11">
        <f>IF($C11="","",IFERROR(INDEX(tblAccounts[Owner],MATCH($E11,tblAccounts[Account],0)),"Joint"))</f>
        <v/>
      </c>
      <c r="G11">
        <f>IF($C11="","",IF(HouseholdMode="Couple",IFERROR(IF(INDEX(tblCategories[Default Owner],MATCH($K11,tblCategories[Category],0))="",$F11,INDEX(tblCategories[Default Owner],MATCH($K11,tblCategories[Category],0))),$F11),$F11))</f>
        <v/>
      </c>
      <c r="H11" t="inlineStr">
        <is>
          <t>IDP PURCHASE - 8060 TIM HORTONS #3324 TORONTO ON</t>
        </is>
      </c>
      <c r="I11">
        <f>IF($H11="","",$H11)</f>
        <v/>
      </c>
      <c r="J11" s="19" t="n">
        <v>-5.8</v>
      </c>
      <c r="K11">
        <f>IF($H11="","",IFERROR(INDEX(tblRules[Category],SUMPRODUCT(MIN((1-((tblRules[Enabled]&lt;&gt;"No")*(tblRules[Pattern]&lt;&gt;"")*(tblRules[Category]&lt;&gt;"")*((tblRules[Flow]="Any")+(tblRules[Flow]="")+((tblRules[Flow]="Money out")*($J11&lt;0))+((tblRules[Flow]="Money in")*($J11&gt;0)))*(((tblRules[Look In]="Account")*ISNUMBER(SEARCH(tblRules[Pattern],$E11)))+((tblRules[Look In]&lt;&gt;"Account")*(((tblRules[Test]="Word")*ISNUMBER(SEARCH(" "&amp;tblRules[Pattern]&amp;" "," "&amp;$H11&amp;" ")))+((tblRules[Test]&lt;&gt;"Word")*ISNUMBER(SEARCH(tblRules[Pattern],$H11))))))&gt;0))*1E+9+ROW(tblRules[Pattern])))-ROW(tblRules[[#Headers],[Pattern]])),"Uncategorized"))</f>
        <v/>
      </c>
      <c r="L11">
        <f>IF($C11="","",IFERROR(INDEX(tblCategories[Group],MATCH($K11,tblCategories[Category],0)),"Other"))</f>
        <v/>
      </c>
      <c r="M11">
        <f>IF($C11="","",IFERROR(INDEX(tblCategories[Type],MATCH($K11,tblCategories[Category],0)),IF($J11&gt;0,"Income","Expense")))</f>
        <v/>
      </c>
      <c r="N11">
        <f>IF($C11="","",IFERROR(INDEX(tblCategories[Essential],MATCH($K11,tblCategories[Category],0)),"No"))</f>
        <v/>
      </c>
      <c r="O11">
        <f>IF($C11="","",IFERROR(INDEX(tblCategories[Tax Tag],MATCH($K11,tblCategories[Category],0)),""))</f>
        <v/>
      </c>
      <c r="P11" s="20">
        <f>IF($C11="","",IF($G11=PersonA,1,IF($G11=PersonB,0,IFERROR(INDEX(tblCategories[Joint Split A],MATCH($K11,tblCategories[Category],0)),DefaultSplitA))))</f>
        <v/>
      </c>
      <c r="Q11" s="19">
        <f>IF($C11="","",ROUND($J11*N($P11),2))</f>
        <v/>
      </c>
      <c r="R11" s="19">
        <f>IF($C11="","",ROUND($J11-N($Q11),2))</f>
        <v/>
      </c>
      <c r="U11" t="inlineStr">
        <is>
          <t>sample-data</t>
        </is>
      </c>
      <c r="V11" t="inlineStr">
        <is>
          <t>SAMPLE</t>
        </is>
      </c>
      <c r="W11" t="inlineStr">
        <is>
          <t>76E83383</t>
        </is>
      </c>
      <c r="X11">
        <f>IF($C11="","",IFERROR(IF(_xlfn.ISFORMULA($K11),"Rule","Manual"),""))</f>
        <v/>
      </c>
      <c r="Y11" s="19">
        <f>IF($C11="","",IF(ReportView=PersonA,N($Q11),IF(ReportView=PersonB,N($R11),$J11)))</f>
        <v/>
      </c>
    </row>
    <row r="12">
      <c r="B12">
        <f>IF($C12="","","T"&amp;TEXT(ROW()-ROW(tblTxn[[#Headers],[Txn ID]]),"000000"))</f>
        <v/>
      </c>
      <c r="C12" s="18" t="n">
        <v>46086</v>
      </c>
      <c r="D12">
        <f>IF($C12="","",TEXT($C12,"yyyy-mm"))</f>
        <v/>
      </c>
      <c r="E12" t="inlineStr">
        <is>
          <t>BMO Joint Chequing</t>
        </is>
      </c>
      <c r="F12">
        <f>IF($C12="","",IFERROR(INDEX(tblAccounts[Owner],MATCH($E12,tblAccounts[Account],0)),"Joint"))</f>
        <v/>
      </c>
      <c r="G12">
        <f>IF($C12="","",IF(HouseholdMode="Couple",IFERROR(IF(INDEX(tblCategories[Default Owner],MATCH($K12,tblCategories[Category],0))="",$F12,INDEX(tblCategories[Default Owner],MATCH($K12,tblCategories[Category],0))),$F12),$F12))</f>
        <v/>
      </c>
      <c r="H12" t="inlineStr">
        <is>
          <t>BELAIRDIRECT INSURANCE PREAUTHORIZED DEBIT</t>
        </is>
      </c>
      <c r="I12">
        <f>IF($H12="","",$H12)</f>
        <v/>
      </c>
      <c r="J12" s="19" t="n">
        <v>-168</v>
      </c>
      <c r="K12">
        <f>IF($H12="","",IFERROR(INDEX(tblRules[Category],SUMPRODUCT(MIN((1-((tblRules[Enabled]&lt;&gt;"No")*(tblRules[Pattern]&lt;&gt;"")*(tblRules[Category]&lt;&gt;"")*((tblRules[Flow]="Any")+(tblRules[Flow]="")+((tblRules[Flow]="Money out")*($J12&lt;0))+((tblRules[Flow]="Money in")*($J12&gt;0)))*(((tblRules[Look In]="Account")*ISNUMBER(SEARCH(tblRules[Pattern],$E12)))+((tblRules[Look In]&lt;&gt;"Account")*(((tblRules[Test]="Word")*ISNUMBER(SEARCH(" "&amp;tblRules[Pattern]&amp;" "," "&amp;$H12&amp;" ")))+((tblRules[Test]&lt;&gt;"Word")*ISNUMBER(SEARCH(tblRules[Pattern],$H12))))))&gt;0))*1E+9+ROW(tblRules[Pattern])))-ROW(tblRules[[#Headers],[Pattern]])),"Uncategorized"))</f>
        <v/>
      </c>
      <c r="L12">
        <f>IF($C12="","",IFERROR(INDEX(tblCategories[Group],MATCH($K12,tblCategories[Category],0)),"Other"))</f>
        <v/>
      </c>
      <c r="M12">
        <f>IF($C12="","",IFERROR(INDEX(tblCategories[Type],MATCH($K12,tblCategories[Category],0)),IF($J12&gt;0,"Income","Expense")))</f>
        <v/>
      </c>
      <c r="N12">
        <f>IF($C12="","",IFERROR(INDEX(tblCategories[Essential],MATCH($K12,tblCategories[Category],0)),"No"))</f>
        <v/>
      </c>
      <c r="O12">
        <f>IF($C12="","",IFERROR(INDEX(tblCategories[Tax Tag],MATCH($K12,tblCategories[Category],0)),""))</f>
        <v/>
      </c>
      <c r="P12" s="20">
        <f>IF($C12="","",IF($G12=PersonA,1,IF($G12=PersonB,0,IFERROR(INDEX(tblCategories[Joint Split A],MATCH($K12,tblCategories[Category],0)),DefaultSplitA))))</f>
        <v/>
      </c>
      <c r="Q12" s="19">
        <f>IF($C12="","",ROUND($J12*N($P12),2))</f>
        <v/>
      </c>
      <c r="R12" s="19">
        <f>IF($C12="","",ROUND($J12-N($Q12),2))</f>
        <v/>
      </c>
      <c r="U12" t="inlineStr">
        <is>
          <t>sample-data</t>
        </is>
      </c>
      <c r="V12" t="inlineStr">
        <is>
          <t>SAMPLE</t>
        </is>
      </c>
      <c r="W12" t="inlineStr">
        <is>
          <t>7EA841BF</t>
        </is>
      </c>
      <c r="X12">
        <f>IF($C12="","",IFERROR(IF(_xlfn.ISFORMULA($K12),"Rule","Manual"),""))</f>
        <v/>
      </c>
      <c r="Y12" s="19">
        <f>IF($C12="","",IF(ReportView=PersonA,N($Q12),IF(ReportView=PersonB,N($R12),$J12)))</f>
        <v/>
      </c>
    </row>
    <row r="13">
      <c r="B13">
        <f>IF($C13="","","T"&amp;TEXT(ROW()-ROW(tblTxn[[#Headers],[Txn ID]]),"000000"))</f>
        <v/>
      </c>
      <c r="C13" s="18" t="n">
        <v>46086</v>
      </c>
      <c r="D13">
        <f>IF($C13="","",TEXT($C13,"yyyy-mm"))</f>
        <v/>
      </c>
      <c r="E13" t="inlineStr">
        <is>
          <t>BMO Joint Chequing</t>
        </is>
      </c>
      <c r="F13">
        <f>IF($C13="","",IFERROR(INDEX(tblAccounts[Owner],MATCH($E13,tblAccounts[Account],0)),"Joint"))</f>
        <v/>
      </c>
      <c r="G13">
        <f>IF($C13="","",IF(HouseholdMode="Couple",IFERROR(IF(INDEX(tblCategories[Default Owner],MATCH($K13,tblCategories[Category],0))="",$F13,INDEX(tblCategories[Default Owner],MATCH($K13,tblCategories[Category],0))),$F13),$F13))</f>
        <v/>
      </c>
      <c r="H13" t="inlineStr">
        <is>
          <t>LITTLE MAPLE DAYCARE PREAUTHORIZED DEBIT</t>
        </is>
      </c>
      <c r="I13">
        <f>IF($H13="","",$H13)</f>
        <v/>
      </c>
      <c r="J13" s="19" t="n">
        <v>-880</v>
      </c>
      <c r="K13">
        <f>IF($H13="","",IFERROR(INDEX(tblRules[Category],SUMPRODUCT(MIN((1-((tblRules[Enabled]&lt;&gt;"No")*(tblRules[Pattern]&lt;&gt;"")*(tblRules[Category]&lt;&gt;"")*((tblRules[Flow]="Any")+(tblRules[Flow]="")+((tblRules[Flow]="Money out")*($J13&lt;0))+((tblRules[Flow]="Money in")*($J13&gt;0)))*(((tblRules[Look In]="Account")*ISNUMBER(SEARCH(tblRules[Pattern],$E13)))+((tblRules[Look In]&lt;&gt;"Account")*(((tblRules[Test]="Word")*ISNUMBER(SEARCH(" "&amp;tblRules[Pattern]&amp;" "," "&amp;$H13&amp;" ")))+((tblRules[Test]&lt;&gt;"Word")*ISNUMBER(SEARCH(tblRules[Pattern],$H13))))))&gt;0))*1E+9+ROW(tblRules[Pattern])))-ROW(tblRules[[#Headers],[Pattern]])),"Uncategorized"))</f>
        <v/>
      </c>
      <c r="L13">
        <f>IF($C13="","",IFERROR(INDEX(tblCategories[Group],MATCH($K13,tblCategories[Category],0)),"Other"))</f>
        <v/>
      </c>
      <c r="M13">
        <f>IF($C13="","",IFERROR(INDEX(tblCategories[Type],MATCH($K13,tblCategories[Category],0)),IF($J13&gt;0,"Income","Expense")))</f>
        <v/>
      </c>
      <c r="N13">
        <f>IF($C13="","",IFERROR(INDEX(tblCategories[Essential],MATCH($K13,tblCategories[Category],0)),"No"))</f>
        <v/>
      </c>
      <c r="O13">
        <f>IF($C13="","",IFERROR(INDEX(tblCategories[Tax Tag],MATCH($K13,tblCategories[Category],0)),""))</f>
        <v/>
      </c>
      <c r="P13" s="20">
        <f>IF($C13="","",IF($G13=PersonA,1,IF($G13=PersonB,0,IFERROR(INDEX(tblCategories[Joint Split A],MATCH($K13,tblCategories[Category],0)),DefaultSplitA))))</f>
        <v/>
      </c>
      <c r="Q13" s="19">
        <f>IF($C13="","",ROUND($J13*N($P13),2))</f>
        <v/>
      </c>
      <c r="R13" s="19">
        <f>IF($C13="","",ROUND($J13-N($Q13),2))</f>
        <v/>
      </c>
      <c r="U13" t="inlineStr">
        <is>
          <t>sample-data</t>
        </is>
      </c>
      <c r="V13" t="inlineStr">
        <is>
          <t>SAMPLE</t>
        </is>
      </c>
      <c r="W13" t="inlineStr">
        <is>
          <t>856EE728</t>
        </is>
      </c>
      <c r="X13">
        <f>IF($C13="","",IFERROR(IF(_xlfn.ISFORMULA($K13),"Rule","Manual"),""))</f>
        <v/>
      </c>
      <c r="Y13" s="19">
        <f>IF($C13="","",IF(ReportView=PersonA,N($Q13),IF(ReportView=PersonB,N($R13),$J13)))</f>
        <v/>
      </c>
    </row>
    <row r="14">
      <c r="B14">
        <f>IF($C14="","","T"&amp;TEXT(ROW()-ROW(tblTxn[[#Headers],[Txn ID]]),"000000"))</f>
        <v/>
      </c>
      <c r="C14" s="18" t="n">
        <v>46087</v>
      </c>
      <c r="D14">
        <f>IF($C14="","",TEXT($C14,"yyyy-mm"))</f>
        <v/>
      </c>
      <c r="E14" t="inlineStr">
        <is>
          <t>Amex Cobalt (Joint)</t>
        </is>
      </c>
      <c r="F14">
        <f>IF($C14="","",IFERROR(INDEX(tblAccounts[Owner],MATCH($E14,tblAccounts[Account],0)),"Joint"))</f>
        <v/>
      </c>
      <c r="G14">
        <f>IF($C14="","",IF(HouseholdMode="Couple",IFERROR(IF(INDEX(tblCategories[Default Owner],MATCH($K14,tblCategories[Category],0))="",$F14,INDEX(tblCategories[Default Owner],MATCH($K14,tblCategories[Category],0))),$F14),$F14))</f>
        <v/>
      </c>
      <c r="H14" t="inlineStr">
        <is>
          <t>IDP PURCHASE - 5260 SWISS CHALET #1631 ON</t>
        </is>
      </c>
      <c r="I14">
        <f>IF($H14="","",$H14)</f>
        <v/>
      </c>
      <c r="J14" s="19" t="n">
        <v>-56.99</v>
      </c>
      <c r="K14">
        <f>IF($H14="","",IFERROR(INDEX(tblRules[Category],SUMPRODUCT(MIN((1-((tblRules[Enabled]&lt;&gt;"No")*(tblRules[Pattern]&lt;&gt;"")*(tblRules[Category]&lt;&gt;"")*((tblRules[Flow]="Any")+(tblRules[Flow]="")+((tblRules[Flow]="Money out")*($J14&lt;0))+((tblRules[Flow]="Money in")*($J14&gt;0)))*(((tblRules[Look In]="Account")*ISNUMBER(SEARCH(tblRules[Pattern],$E14)))+((tblRules[Look In]&lt;&gt;"Account")*(((tblRules[Test]="Word")*ISNUMBER(SEARCH(" "&amp;tblRules[Pattern]&amp;" "," "&amp;$H14&amp;" ")))+((tblRules[Test]&lt;&gt;"Word")*ISNUMBER(SEARCH(tblRules[Pattern],$H14))))))&gt;0))*1E+9+ROW(tblRules[Pattern])))-ROW(tblRules[[#Headers],[Pattern]])),"Uncategorized"))</f>
        <v/>
      </c>
      <c r="L14">
        <f>IF($C14="","",IFERROR(INDEX(tblCategories[Group],MATCH($K14,tblCategories[Category],0)),"Other"))</f>
        <v/>
      </c>
      <c r="M14">
        <f>IF($C14="","",IFERROR(INDEX(tblCategories[Type],MATCH($K14,tblCategories[Category],0)),IF($J14&gt;0,"Income","Expense")))</f>
        <v/>
      </c>
      <c r="N14">
        <f>IF($C14="","",IFERROR(INDEX(tblCategories[Essential],MATCH($K14,tblCategories[Category],0)),"No"))</f>
        <v/>
      </c>
      <c r="O14">
        <f>IF($C14="","",IFERROR(INDEX(tblCategories[Tax Tag],MATCH($K14,tblCategories[Category],0)),""))</f>
        <v/>
      </c>
      <c r="P14" s="20">
        <f>IF($C14="","",IF($G14=PersonA,1,IF($G14=PersonB,0,IFERROR(INDEX(tblCategories[Joint Split A],MATCH($K14,tblCategories[Category],0)),DefaultSplitA))))</f>
        <v/>
      </c>
      <c r="Q14" s="19">
        <f>IF($C14="","",ROUND($J14*N($P14),2))</f>
        <v/>
      </c>
      <c r="R14" s="19">
        <f>IF($C14="","",ROUND($J14-N($Q14),2))</f>
        <v/>
      </c>
      <c r="U14" t="inlineStr">
        <is>
          <t>sample-data</t>
        </is>
      </c>
      <c r="V14" t="inlineStr">
        <is>
          <t>SAMPLE</t>
        </is>
      </c>
      <c r="W14" t="inlineStr">
        <is>
          <t>573803B2</t>
        </is>
      </c>
      <c r="X14">
        <f>IF($C14="","",IFERROR(IF(_xlfn.ISFORMULA($K14),"Rule","Manual"),""))</f>
        <v/>
      </c>
      <c r="Y14" s="19">
        <f>IF($C14="","",IF(ReportView=PersonA,N($Q14),IF(ReportView=PersonB,N($R14),$J14)))</f>
        <v/>
      </c>
    </row>
    <row r="15">
      <c r="B15">
        <f>IF($C15="","","T"&amp;TEXT(ROW()-ROW(tblTxn[[#Headers],[Txn ID]]),"000000"))</f>
        <v/>
      </c>
      <c r="C15" s="18" t="n">
        <v>46087</v>
      </c>
      <c r="D15">
        <f>IF($C15="","",TEXT($C15,"yyyy-mm"))</f>
        <v/>
      </c>
      <c r="E15" t="inlineStr">
        <is>
          <t>BMO Joint Chequing</t>
        </is>
      </c>
      <c r="F15">
        <f>IF($C15="","",IFERROR(INDEX(tblAccounts[Owner],MATCH($E15,tblAccounts[Account],0)),"Joint"))</f>
        <v/>
      </c>
      <c r="G15">
        <f>IF($C15="","",IF(HouseholdMode="Couple",IFERROR(IF(INDEX(tblCategories[Default Owner],MATCH($K15,tblCategories[Category],0))="",$F15,INDEX(tblCategories[Default Owner],MATCH($K15,tblCategories[Category],0))),$F15),$F15))</f>
        <v/>
      </c>
      <c r="H15" t="inlineStr">
        <is>
          <t>SUN LIFE ASSURANCE MISC PAYMENT</t>
        </is>
      </c>
      <c r="I15">
        <f>IF($H15="","",$H15)</f>
        <v/>
      </c>
      <c r="J15" s="19" t="n">
        <v>-74.5</v>
      </c>
      <c r="K15">
        <f>IF($H15="","",IFERROR(INDEX(tblRules[Category],SUMPRODUCT(MIN((1-((tblRules[Enabled]&lt;&gt;"No")*(tblRules[Pattern]&lt;&gt;"")*(tblRules[Category]&lt;&gt;"")*((tblRules[Flow]="Any")+(tblRules[Flow]="")+((tblRules[Flow]="Money out")*($J15&lt;0))+((tblRules[Flow]="Money in")*($J15&gt;0)))*(((tblRules[Look In]="Account")*ISNUMBER(SEARCH(tblRules[Pattern],$E15)))+((tblRules[Look In]&lt;&gt;"Account")*(((tblRules[Test]="Word")*ISNUMBER(SEARCH(" "&amp;tblRules[Pattern]&amp;" "," "&amp;$H15&amp;" ")))+((tblRules[Test]&lt;&gt;"Word")*ISNUMBER(SEARCH(tblRules[Pattern],$H15))))))&gt;0))*1E+9+ROW(tblRules[Pattern])))-ROW(tblRules[[#Headers],[Pattern]])),"Uncategorized"))</f>
        <v/>
      </c>
      <c r="L15">
        <f>IF($C15="","",IFERROR(INDEX(tblCategories[Group],MATCH($K15,tblCategories[Category],0)),"Other"))</f>
        <v/>
      </c>
      <c r="M15">
        <f>IF($C15="","",IFERROR(INDEX(tblCategories[Type],MATCH($K15,tblCategories[Category],0)),IF($J15&gt;0,"Income","Expense")))</f>
        <v/>
      </c>
      <c r="N15">
        <f>IF($C15="","",IFERROR(INDEX(tblCategories[Essential],MATCH($K15,tblCategories[Category],0)),"No"))</f>
        <v/>
      </c>
      <c r="O15">
        <f>IF($C15="","",IFERROR(INDEX(tblCategories[Tax Tag],MATCH($K15,tblCategories[Category],0)),""))</f>
        <v/>
      </c>
      <c r="P15" s="20">
        <f>IF($C15="","",IF($G15=PersonA,1,IF($G15=PersonB,0,IFERROR(INDEX(tblCategories[Joint Split A],MATCH($K15,tblCategories[Category],0)),DefaultSplitA))))</f>
        <v/>
      </c>
      <c r="Q15" s="19">
        <f>IF($C15="","",ROUND($J15*N($P15),2))</f>
        <v/>
      </c>
      <c r="R15" s="19">
        <f>IF($C15="","",ROUND($J15-N($Q15),2))</f>
        <v/>
      </c>
      <c r="U15" t="inlineStr">
        <is>
          <t>sample-data</t>
        </is>
      </c>
      <c r="V15" t="inlineStr">
        <is>
          <t>SAMPLE</t>
        </is>
      </c>
      <c r="W15" t="inlineStr">
        <is>
          <t>7B77744A</t>
        </is>
      </c>
      <c r="X15">
        <f>IF($C15="","",IFERROR(IF(_xlfn.ISFORMULA($K15),"Rule","Manual"),""))</f>
        <v/>
      </c>
      <c r="Y15" s="19">
        <f>IF($C15="","",IF(ReportView=PersonA,N($Q15),IF(ReportView=PersonB,N($R15),$J15)))</f>
        <v/>
      </c>
    </row>
    <row r="16">
      <c r="B16">
        <f>IF($C16="","","T"&amp;TEXT(ROW()-ROW(tblTxn[[#Headers],[Txn ID]]),"000000"))</f>
        <v/>
      </c>
      <c r="C16" s="18" t="n">
        <v>46088</v>
      </c>
      <c r="D16">
        <f>IF($C16="","",TEXT($C16,"yyyy-mm"))</f>
        <v/>
      </c>
      <c r="E16" t="inlineStr">
        <is>
          <t>Amex Cobalt (Joint)</t>
        </is>
      </c>
      <c r="F16">
        <f>IF($C16="","",IFERROR(INDEX(tblAccounts[Owner],MATCH($E16,tblAccounts[Account],0)),"Joint"))</f>
        <v/>
      </c>
      <c r="G16">
        <f>IF($C16="","",IF(HouseholdMode="Couple",IFERROR(IF(INDEX(tblCategories[Default Owner],MATCH($K16,tblCategories[Category],0))="",$F16,INDEX(tblCategories[Default Owner],MATCH($K16,tblCategories[Category],0))),$F16),$F16))</f>
        <v/>
      </c>
      <c r="H16" t="inlineStr">
        <is>
          <t>IDP PURCHASE - 5650 TIM HORTONS #1246 TORONTO ON</t>
        </is>
      </c>
      <c r="I16">
        <f>IF($H16="","",$H16)</f>
        <v/>
      </c>
      <c r="J16" s="19" t="n">
        <v>-4.17</v>
      </c>
      <c r="K16">
        <f>IF($H16="","",IFERROR(INDEX(tblRules[Category],SUMPRODUCT(MIN((1-((tblRules[Enabled]&lt;&gt;"No")*(tblRules[Pattern]&lt;&gt;"")*(tblRules[Category]&lt;&gt;"")*((tblRules[Flow]="Any")+(tblRules[Flow]="")+((tblRules[Flow]="Money out")*($J16&lt;0))+((tblRules[Flow]="Money in")*($J16&gt;0)))*(((tblRules[Look In]="Account")*ISNUMBER(SEARCH(tblRules[Pattern],$E16)))+((tblRules[Look In]&lt;&gt;"Account")*(((tblRules[Test]="Word")*ISNUMBER(SEARCH(" "&amp;tblRules[Pattern]&amp;" "," "&amp;$H16&amp;" ")))+((tblRules[Test]&lt;&gt;"Word")*ISNUMBER(SEARCH(tblRules[Pattern],$H16))))))&gt;0))*1E+9+ROW(tblRules[Pattern])))-ROW(tblRules[[#Headers],[Pattern]])),"Uncategorized"))</f>
        <v/>
      </c>
      <c r="L16">
        <f>IF($C16="","",IFERROR(INDEX(tblCategories[Group],MATCH($K16,tblCategories[Category],0)),"Other"))</f>
        <v/>
      </c>
      <c r="M16">
        <f>IF($C16="","",IFERROR(INDEX(tblCategories[Type],MATCH($K16,tblCategories[Category],0)),IF($J16&gt;0,"Income","Expense")))</f>
        <v/>
      </c>
      <c r="N16">
        <f>IF($C16="","",IFERROR(INDEX(tblCategories[Essential],MATCH($K16,tblCategories[Category],0)),"No"))</f>
        <v/>
      </c>
      <c r="O16">
        <f>IF($C16="","",IFERROR(INDEX(tblCategories[Tax Tag],MATCH($K16,tblCategories[Category],0)),""))</f>
        <v/>
      </c>
      <c r="P16" s="20">
        <f>IF($C16="","",IF($G16=PersonA,1,IF($G16=PersonB,0,IFERROR(INDEX(tblCategories[Joint Split A],MATCH($K16,tblCategories[Category],0)),DefaultSplitA))))</f>
        <v/>
      </c>
      <c r="Q16" s="19">
        <f>IF($C16="","",ROUND($J16*N($P16),2))</f>
        <v/>
      </c>
      <c r="R16" s="19">
        <f>IF($C16="","",ROUND($J16-N($Q16),2))</f>
        <v/>
      </c>
      <c r="U16" t="inlineStr">
        <is>
          <t>sample-data</t>
        </is>
      </c>
      <c r="V16" t="inlineStr">
        <is>
          <t>SAMPLE</t>
        </is>
      </c>
      <c r="W16" t="inlineStr">
        <is>
          <t>003ECA6D</t>
        </is>
      </c>
      <c r="X16">
        <f>IF($C16="","",IFERROR(IF(_xlfn.ISFORMULA($K16),"Rule","Manual"),""))</f>
        <v/>
      </c>
      <c r="Y16" s="19">
        <f>IF($C16="","",IF(ReportView=PersonA,N($Q16),IF(ReportView=PersonB,N($R16),$J16)))</f>
        <v/>
      </c>
    </row>
    <row r="17">
      <c r="B17">
        <f>IF($C17="","","T"&amp;TEXT(ROW()-ROW(tblTxn[[#Headers],[Txn ID]]),"000000"))</f>
        <v/>
      </c>
      <c r="C17" s="18" t="n">
        <v>46089</v>
      </c>
      <c r="D17">
        <f>IF($C17="","",TEXT($C17,"yyyy-mm"))</f>
        <v/>
      </c>
      <c r="E17" t="inlineStr">
        <is>
          <t>BMO Joint Chequing</t>
        </is>
      </c>
      <c r="F17">
        <f>IF($C17="","",IFERROR(INDEX(tblAccounts[Owner],MATCH($E17,tblAccounts[Account],0)),"Joint"))</f>
        <v/>
      </c>
      <c r="G17">
        <f>IF($C17="","",IF(HouseholdMode="Couple",IFERROR(IF(INDEX(tblCategories[Default Owner],MATCH($K17,tblCategories[Category],0))="",$F17,INDEX(tblCategories[Default Owner],MATCH($K17,tblCategories[Category],0))),$F17),$F17))</f>
        <v/>
      </c>
      <c r="H17" t="inlineStr">
        <is>
          <t>TORONTO HYDRO BILL PAYMENT</t>
        </is>
      </c>
      <c r="I17">
        <f>IF($H17="","",$H17)</f>
        <v/>
      </c>
      <c r="J17" s="19" t="n">
        <v>-97.76000000000001</v>
      </c>
      <c r="K17">
        <f>IF($H17="","",IFERROR(INDEX(tblRules[Category],SUMPRODUCT(MIN((1-((tblRules[Enabled]&lt;&gt;"No")*(tblRules[Pattern]&lt;&gt;"")*(tblRules[Category]&lt;&gt;"")*((tblRules[Flow]="Any")+(tblRules[Flow]="")+((tblRules[Flow]="Money out")*($J17&lt;0))+((tblRules[Flow]="Money in")*($J17&gt;0)))*(((tblRules[Look In]="Account")*ISNUMBER(SEARCH(tblRules[Pattern],$E17)))+((tblRules[Look In]&lt;&gt;"Account")*(((tblRules[Test]="Word")*ISNUMBER(SEARCH(" "&amp;tblRules[Pattern]&amp;" "," "&amp;$H17&amp;" ")))+((tblRules[Test]&lt;&gt;"Word")*ISNUMBER(SEARCH(tblRules[Pattern],$H17))))))&gt;0))*1E+9+ROW(tblRules[Pattern])))-ROW(tblRules[[#Headers],[Pattern]])),"Uncategorized"))</f>
        <v/>
      </c>
      <c r="L17">
        <f>IF($C17="","",IFERROR(INDEX(tblCategories[Group],MATCH($K17,tblCategories[Category],0)),"Other"))</f>
        <v/>
      </c>
      <c r="M17">
        <f>IF($C17="","",IFERROR(INDEX(tblCategories[Type],MATCH($K17,tblCategories[Category],0)),IF($J17&gt;0,"Income","Expense")))</f>
        <v/>
      </c>
      <c r="N17">
        <f>IF($C17="","",IFERROR(INDEX(tblCategories[Essential],MATCH($K17,tblCategories[Category],0)),"No"))</f>
        <v/>
      </c>
      <c r="O17">
        <f>IF($C17="","",IFERROR(INDEX(tblCategories[Tax Tag],MATCH($K17,tblCategories[Category],0)),""))</f>
        <v/>
      </c>
      <c r="P17" s="20">
        <f>IF($C17="","",IF($G17=PersonA,1,IF($G17=PersonB,0,IFERROR(INDEX(tblCategories[Joint Split A],MATCH($K17,tblCategories[Category],0)),DefaultSplitA))))</f>
        <v/>
      </c>
      <c r="Q17" s="19">
        <f>IF($C17="","",ROUND($J17*N($P17),2))</f>
        <v/>
      </c>
      <c r="R17" s="19">
        <f>IF($C17="","",ROUND($J17-N($Q17),2))</f>
        <v/>
      </c>
      <c r="U17" t="inlineStr">
        <is>
          <t>sample-data</t>
        </is>
      </c>
      <c r="V17" t="inlineStr">
        <is>
          <t>SAMPLE</t>
        </is>
      </c>
      <c r="W17" t="inlineStr">
        <is>
          <t>5C2C6966</t>
        </is>
      </c>
      <c r="X17">
        <f>IF($C17="","",IFERROR(IF(_xlfn.ISFORMULA($K17),"Rule","Manual"),""))</f>
        <v/>
      </c>
      <c r="Y17" s="19">
        <f>IF($C17="","",IF(ReportView=PersonA,N($Q17),IF(ReportView=PersonB,N($R17),$J17)))</f>
        <v/>
      </c>
    </row>
    <row r="18">
      <c r="B18">
        <f>IF($C18="","","T"&amp;TEXT(ROW()-ROW(tblTxn[[#Headers],[Txn ID]]),"000000"))</f>
        <v/>
      </c>
      <c r="C18" s="18" t="n">
        <v>46090</v>
      </c>
      <c r="D18">
        <f>IF($C18="","",TEXT($C18,"yyyy-mm"))</f>
        <v/>
      </c>
      <c r="E18" t="inlineStr">
        <is>
          <t>Amex Cobalt (Joint)</t>
        </is>
      </c>
      <c r="F18">
        <f>IF($C18="","",IFERROR(INDEX(tblAccounts[Owner],MATCH($E18,tblAccounts[Account],0)),"Joint"))</f>
        <v/>
      </c>
      <c r="G18">
        <f>IF($C18="","",IF(HouseholdMode="Couple",IFERROR(IF(INDEX(tblCategories[Default Owner],MATCH($K18,tblCategories[Category],0))="",$F18,INDEX(tblCategories[Default Owner],MATCH($K18,tblCategories[Category],0))),$F18),$F18))</f>
        <v/>
      </c>
      <c r="H18" t="inlineStr">
        <is>
          <t>IDP PURCHASE - 5119 WINNERS #3424 ON</t>
        </is>
      </c>
      <c r="I18">
        <f>IF($H18="","",$H18)</f>
        <v/>
      </c>
      <c r="J18" s="19" t="n">
        <v>-48.55</v>
      </c>
      <c r="K18">
        <f>IF($H18="","",IFERROR(INDEX(tblRules[Category],SUMPRODUCT(MIN((1-((tblRules[Enabled]&lt;&gt;"No")*(tblRules[Pattern]&lt;&gt;"")*(tblRules[Category]&lt;&gt;"")*((tblRules[Flow]="Any")+(tblRules[Flow]="")+((tblRules[Flow]="Money out")*($J18&lt;0))+((tblRules[Flow]="Money in")*($J18&gt;0)))*(((tblRules[Look In]="Account")*ISNUMBER(SEARCH(tblRules[Pattern],$E18)))+((tblRules[Look In]&lt;&gt;"Account")*(((tblRules[Test]="Word")*ISNUMBER(SEARCH(" "&amp;tblRules[Pattern]&amp;" "," "&amp;$H18&amp;" ")))+((tblRules[Test]&lt;&gt;"Word")*ISNUMBER(SEARCH(tblRules[Pattern],$H18))))))&gt;0))*1E+9+ROW(tblRules[Pattern])))-ROW(tblRules[[#Headers],[Pattern]])),"Uncategorized"))</f>
        <v/>
      </c>
      <c r="L18">
        <f>IF($C18="","",IFERROR(INDEX(tblCategories[Group],MATCH($K18,tblCategories[Category],0)),"Other"))</f>
        <v/>
      </c>
      <c r="M18">
        <f>IF($C18="","",IFERROR(INDEX(tblCategories[Type],MATCH($K18,tblCategories[Category],0)),IF($J18&gt;0,"Income","Expense")))</f>
        <v/>
      </c>
      <c r="N18">
        <f>IF($C18="","",IFERROR(INDEX(tblCategories[Essential],MATCH($K18,tblCategories[Category],0)),"No"))</f>
        <v/>
      </c>
      <c r="O18">
        <f>IF($C18="","",IFERROR(INDEX(tblCategories[Tax Tag],MATCH($K18,tblCategories[Category],0)),""))</f>
        <v/>
      </c>
      <c r="P18" s="20">
        <f>IF($C18="","",IF($G18=PersonA,1,IF($G18=PersonB,0,IFERROR(INDEX(tblCategories[Joint Split A],MATCH($K18,tblCategories[Category],0)),DefaultSplitA))))</f>
        <v/>
      </c>
      <c r="Q18" s="19">
        <f>IF($C18="","",ROUND($J18*N($P18),2))</f>
        <v/>
      </c>
      <c r="R18" s="19">
        <f>IF($C18="","",ROUND($J18-N($Q18),2))</f>
        <v/>
      </c>
      <c r="U18" t="inlineStr">
        <is>
          <t>sample-data</t>
        </is>
      </c>
      <c r="V18" t="inlineStr">
        <is>
          <t>SAMPLE</t>
        </is>
      </c>
      <c r="W18" t="inlineStr">
        <is>
          <t>44D69BE1</t>
        </is>
      </c>
      <c r="X18">
        <f>IF($C18="","",IFERROR(IF(_xlfn.ISFORMULA($K18),"Rule","Manual"),""))</f>
        <v/>
      </c>
      <c r="Y18" s="19">
        <f>IF($C18="","",IF(ReportView=PersonA,N($Q18),IF(ReportView=PersonB,N($R18),$J18)))</f>
        <v/>
      </c>
    </row>
    <row r="19">
      <c r="B19">
        <f>IF($C19="","","T"&amp;TEXT(ROW()-ROW(tblTxn[[#Headers],[Txn ID]]),"000000"))</f>
        <v/>
      </c>
      <c r="C19" s="18" t="n">
        <v>46090</v>
      </c>
      <c r="D19">
        <f>IF($C19="","",TEXT($C19,"yyyy-mm"))</f>
        <v/>
      </c>
      <c r="E19" t="inlineStr">
        <is>
          <t>BMO Joint Chequing</t>
        </is>
      </c>
      <c r="F19">
        <f>IF($C19="","",IFERROR(INDEX(tblAccounts[Owner],MATCH($E19,tblAccounts[Account],0)),"Joint"))</f>
        <v/>
      </c>
      <c r="G19">
        <f>IF($C19="","",IF(HouseholdMode="Couple",IFERROR(IF(INDEX(tblCategories[Default Owner],MATCH($K19,tblCategories[Category],0))="",$F19,INDEX(tblCategories[Default Owner],MATCH($K19,tblCategories[Category],0))),$F19),$F19))</f>
        <v/>
      </c>
      <c r="H19" t="inlineStr">
        <is>
          <t>ENBRIDGE GAS PREAUTHORIZED DEBIT</t>
        </is>
      </c>
      <c r="I19">
        <f>IF($H19="","",$H19)</f>
        <v/>
      </c>
      <c r="J19" s="19" t="n">
        <v>-115.2</v>
      </c>
      <c r="K19">
        <f>IF($H19="","",IFERROR(INDEX(tblRules[Category],SUMPRODUCT(MIN((1-((tblRules[Enabled]&lt;&gt;"No")*(tblRules[Pattern]&lt;&gt;"")*(tblRules[Category]&lt;&gt;"")*((tblRules[Flow]="Any")+(tblRules[Flow]="")+((tblRules[Flow]="Money out")*($J19&lt;0))+((tblRules[Flow]="Money in")*($J19&gt;0)))*(((tblRules[Look In]="Account")*ISNUMBER(SEARCH(tblRules[Pattern],$E19)))+((tblRules[Look In]&lt;&gt;"Account")*(((tblRules[Test]="Word")*ISNUMBER(SEARCH(" "&amp;tblRules[Pattern]&amp;" "," "&amp;$H19&amp;" ")))+((tblRules[Test]&lt;&gt;"Word")*ISNUMBER(SEARCH(tblRules[Pattern],$H19))))))&gt;0))*1E+9+ROW(tblRules[Pattern])))-ROW(tblRules[[#Headers],[Pattern]])),"Uncategorized"))</f>
        <v/>
      </c>
      <c r="L19">
        <f>IF($C19="","",IFERROR(INDEX(tblCategories[Group],MATCH($K19,tblCategories[Category],0)),"Other"))</f>
        <v/>
      </c>
      <c r="M19">
        <f>IF($C19="","",IFERROR(INDEX(tblCategories[Type],MATCH($K19,tblCategories[Category],0)),IF($J19&gt;0,"Income","Expense")))</f>
        <v/>
      </c>
      <c r="N19">
        <f>IF($C19="","",IFERROR(INDEX(tblCategories[Essential],MATCH($K19,tblCategories[Category],0)),"No"))</f>
        <v/>
      </c>
      <c r="O19">
        <f>IF($C19="","",IFERROR(INDEX(tblCategories[Tax Tag],MATCH($K19,tblCategories[Category],0)),""))</f>
        <v/>
      </c>
      <c r="P19" s="20">
        <f>IF($C19="","",IF($G19=PersonA,1,IF($G19=PersonB,0,IFERROR(INDEX(tblCategories[Joint Split A],MATCH($K19,tblCategories[Category],0)),DefaultSplitA))))</f>
        <v/>
      </c>
      <c r="Q19" s="19">
        <f>IF($C19="","",ROUND($J19*N($P19),2))</f>
        <v/>
      </c>
      <c r="R19" s="19">
        <f>IF($C19="","",ROUND($J19-N($Q19),2))</f>
        <v/>
      </c>
      <c r="U19" t="inlineStr">
        <is>
          <t>sample-data</t>
        </is>
      </c>
      <c r="V19" t="inlineStr">
        <is>
          <t>SAMPLE</t>
        </is>
      </c>
      <c r="W19" t="inlineStr">
        <is>
          <t>2B87EBAA</t>
        </is>
      </c>
      <c r="X19">
        <f>IF($C19="","",IFERROR(IF(_xlfn.ISFORMULA($K19),"Rule","Manual"),""))</f>
        <v/>
      </c>
      <c r="Y19" s="19">
        <f>IF($C19="","",IF(ReportView=PersonA,N($Q19),IF(ReportView=PersonB,N($R19),$J19)))</f>
        <v/>
      </c>
    </row>
    <row r="20">
      <c r="B20">
        <f>IF($C20="","","T"&amp;TEXT(ROW()-ROW(tblTxn[[#Headers],[Txn ID]]),"000000"))</f>
        <v/>
      </c>
      <c r="C20" s="18" t="n">
        <v>46091</v>
      </c>
      <c r="D20">
        <f>IF($C20="","",TEXT($C20,"yyyy-mm"))</f>
        <v/>
      </c>
      <c r="E20" t="inlineStr">
        <is>
          <t>BMO Joint Chequing</t>
        </is>
      </c>
      <c r="F20">
        <f>IF($C20="","",IFERROR(INDEX(tblAccounts[Owner],MATCH($E20,tblAccounts[Account],0)),"Joint"))</f>
        <v/>
      </c>
      <c r="G20">
        <f>IF($C20="","",IF(HouseholdMode="Couple",IFERROR(IF(INDEX(tblCategories[Default Owner],MATCH($K20,tblCategories[Category],0))="",$F20,INDEX(tblCategories[Default Owner],MATCH($K20,tblCategories[Category],0))),$F20),$F20))</f>
        <v/>
      </c>
      <c r="H20" t="inlineStr">
        <is>
          <t>PRESTO FARE/TRANSIT TORONTO ON</t>
        </is>
      </c>
      <c r="I20">
        <f>IF($H20="","",$H20)</f>
        <v/>
      </c>
      <c r="J20" s="19" t="n">
        <v>-101.66</v>
      </c>
      <c r="K20">
        <f>IF($H20="","",IFERROR(INDEX(tblRules[Category],SUMPRODUCT(MIN((1-((tblRules[Enabled]&lt;&gt;"No")*(tblRules[Pattern]&lt;&gt;"")*(tblRules[Category]&lt;&gt;"")*((tblRules[Flow]="Any")+(tblRules[Flow]="")+((tblRules[Flow]="Money out")*($J20&lt;0))+((tblRules[Flow]="Money in")*($J20&gt;0)))*(((tblRules[Look In]="Account")*ISNUMBER(SEARCH(tblRules[Pattern],$E20)))+((tblRules[Look In]&lt;&gt;"Account")*(((tblRules[Test]="Word")*ISNUMBER(SEARCH(" "&amp;tblRules[Pattern]&amp;" "," "&amp;$H20&amp;" ")))+((tblRules[Test]&lt;&gt;"Word")*ISNUMBER(SEARCH(tblRules[Pattern],$H20))))))&gt;0))*1E+9+ROW(tblRules[Pattern])))-ROW(tblRules[[#Headers],[Pattern]])),"Uncategorized"))</f>
        <v/>
      </c>
      <c r="L20">
        <f>IF($C20="","",IFERROR(INDEX(tblCategories[Group],MATCH($K20,tblCategories[Category],0)),"Other"))</f>
        <v/>
      </c>
      <c r="M20">
        <f>IF($C20="","",IFERROR(INDEX(tblCategories[Type],MATCH($K20,tblCategories[Category],0)),IF($J20&gt;0,"Income","Expense")))</f>
        <v/>
      </c>
      <c r="N20">
        <f>IF($C20="","",IFERROR(INDEX(tblCategories[Essential],MATCH($K20,tblCategories[Category],0)),"No"))</f>
        <v/>
      </c>
      <c r="O20">
        <f>IF($C20="","",IFERROR(INDEX(tblCategories[Tax Tag],MATCH($K20,tblCategories[Category],0)),""))</f>
        <v/>
      </c>
      <c r="P20" s="20">
        <f>IF($C20="","",IF($G20=PersonA,1,IF($G20=PersonB,0,IFERROR(INDEX(tblCategories[Joint Split A],MATCH($K20,tblCategories[Category],0)),DefaultSplitA))))</f>
        <v/>
      </c>
      <c r="Q20" s="19">
        <f>IF($C20="","",ROUND($J20*N($P20),2))</f>
        <v/>
      </c>
      <c r="R20" s="19">
        <f>IF($C20="","",ROUND($J20-N($Q20),2))</f>
        <v/>
      </c>
      <c r="U20" t="inlineStr">
        <is>
          <t>sample-data</t>
        </is>
      </c>
      <c r="V20" t="inlineStr">
        <is>
          <t>SAMPLE</t>
        </is>
      </c>
      <c r="W20" t="inlineStr">
        <is>
          <t>EDF66153</t>
        </is>
      </c>
      <c r="X20">
        <f>IF($C20="","",IFERROR(IF(_xlfn.ISFORMULA($K20),"Rule","Manual"),""))</f>
        <v/>
      </c>
      <c r="Y20" s="19">
        <f>IF($C20="","",IF(ReportView=PersonA,N($Q20),IF(ReportView=PersonB,N($R20),$J20)))</f>
        <v/>
      </c>
    </row>
    <row r="21">
      <c r="B21">
        <f>IF($C21="","","T"&amp;TEXT(ROW()-ROW(tblTxn[[#Headers],[Txn ID]]),"000000"))</f>
        <v/>
      </c>
      <c r="C21" s="18" t="n">
        <v>46092</v>
      </c>
      <c r="D21">
        <f>IF($C21="","",TEXT($C21,"yyyy-mm"))</f>
        <v/>
      </c>
      <c r="E21" t="inlineStr">
        <is>
          <t>RBC Chequing (Alex)</t>
        </is>
      </c>
      <c r="F21">
        <f>IF($C21="","",IFERROR(INDEX(tblAccounts[Owner],MATCH($E21,tblAccounts[Account],0)),"Joint"))</f>
        <v/>
      </c>
      <c r="G21">
        <f>IF($C21="","",IF(HouseholdMode="Couple",IFERROR(IF(INDEX(tblCategories[Default Owner],MATCH($K21,tblCategories[Category],0))="",$F21,INDEX(tblCategories[Default Owner],MATCH($K21,tblCategories[Category],0))),$F21),$F21))</f>
        <v/>
      </c>
      <c r="H21" t="inlineStr">
        <is>
          <t>ATM WITHDRAWAL 100 QUEEN ST W</t>
        </is>
      </c>
      <c r="I21">
        <f>IF($H21="","",$H21)</f>
        <v/>
      </c>
      <c r="J21" s="19" t="n">
        <v>-60</v>
      </c>
      <c r="K21">
        <f>IF($H21="","",IFERROR(INDEX(tblRules[Category],SUMPRODUCT(MIN((1-((tblRules[Enabled]&lt;&gt;"No")*(tblRules[Pattern]&lt;&gt;"")*(tblRules[Category]&lt;&gt;"")*((tblRules[Flow]="Any")+(tblRules[Flow]="")+((tblRules[Flow]="Money out")*($J21&lt;0))+((tblRules[Flow]="Money in")*($J21&gt;0)))*(((tblRules[Look In]="Account")*ISNUMBER(SEARCH(tblRules[Pattern],$E21)))+((tblRules[Look In]&lt;&gt;"Account")*(((tblRules[Test]="Word")*ISNUMBER(SEARCH(" "&amp;tblRules[Pattern]&amp;" "," "&amp;$H21&amp;" ")))+((tblRules[Test]&lt;&gt;"Word")*ISNUMBER(SEARCH(tblRules[Pattern],$H21))))))&gt;0))*1E+9+ROW(tblRules[Pattern])))-ROW(tblRules[[#Headers],[Pattern]])),"Uncategorized"))</f>
        <v/>
      </c>
      <c r="L21">
        <f>IF($C21="","",IFERROR(INDEX(tblCategories[Group],MATCH($K21,tblCategories[Category],0)),"Other"))</f>
        <v/>
      </c>
      <c r="M21">
        <f>IF($C21="","",IFERROR(INDEX(tblCategories[Type],MATCH($K21,tblCategories[Category],0)),IF($J21&gt;0,"Income","Expense")))</f>
        <v/>
      </c>
      <c r="N21">
        <f>IF($C21="","",IFERROR(INDEX(tblCategories[Essential],MATCH($K21,tblCategories[Category],0)),"No"))</f>
        <v/>
      </c>
      <c r="O21">
        <f>IF($C21="","",IFERROR(INDEX(tblCategories[Tax Tag],MATCH($K21,tblCategories[Category],0)),""))</f>
        <v/>
      </c>
      <c r="P21" s="20">
        <f>IF($C21="","",IF($G21=PersonA,1,IF($G21=PersonB,0,IFERROR(INDEX(tblCategories[Joint Split A],MATCH($K21,tblCategories[Category],0)),DefaultSplitA))))</f>
        <v/>
      </c>
      <c r="Q21" s="19">
        <f>IF($C21="","",ROUND($J21*N($P21),2))</f>
        <v/>
      </c>
      <c r="R21" s="19">
        <f>IF($C21="","",ROUND($J21-N($Q21),2))</f>
        <v/>
      </c>
      <c r="U21" t="inlineStr">
        <is>
          <t>sample-data</t>
        </is>
      </c>
      <c r="V21" t="inlineStr">
        <is>
          <t>SAMPLE</t>
        </is>
      </c>
      <c r="W21" t="inlineStr">
        <is>
          <t>DC435EEB</t>
        </is>
      </c>
      <c r="X21">
        <f>IF($C21="","",IFERROR(IF(_xlfn.ISFORMULA($K21),"Rule","Manual"),""))</f>
        <v/>
      </c>
      <c r="Y21" s="19">
        <f>IF($C21="","",IF(ReportView=PersonA,N($Q21),IF(ReportView=PersonB,N($R21),$J21)))</f>
        <v/>
      </c>
    </row>
    <row r="22">
      <c r="B22">
        <f>IF($C22="","","T"&amp;TEXT(ROW()-ROW(tblTxn[[#Headers],[Txn ID]]),"000000"))</f>
        <v/>
      </c>
      <c r="C22" s="18" t="n">
        <v>46093</v>
      </c>
      <c r="D22">
        <f>IF($C22="","",TEXT($C22,"yyyy-mm"))</f>
        <v/>
      </c>
      <c r="E22" t="inlineStr">
        <is>
          <t>BMO Joint Chequing</t>
        </is>
      </c>
      <c r="F22">
        <f>IF($C22="","",IFERROR(INDEX(tblAccounts[Owner],MATCH($E22,tblAccounts[Account],0)),"Joint"))</f>
        <v/>
      </c>
      <c r="G22">
        <f>IF($C22="","",IF(HouseholdMode="Couple",IFERROR(IF(INDEX(tblCategories[Default Owner],MATCH($K22,tblCategories[Category],0))="",$F22,INDEX(tblCategories[Default Owner],MATCH($K22,tblCategories[Category],0))),$F22),$F22))</f>
        <v/>
      </c>
      <c r="H22" t="inlineStr">
        <is>
          <t>IDP PURCHASE - 5127 LOBLAWS #4861 TORONTO ON</t>
        </is>
      </c>
      <c r="I22">
        <f>IF($H22="","",$H22)</f>
        <v/>
      </c>
      <c r="J22" s="19" t="n">
        <v>-99.09</v>
      </c>
      <c r="K22">
        <f>IF($H22="","",IFERROR(INDEX(tblRules[Category],SUMPRODUCT(MIN((1-((tblRules[Enabled]&lt;&gt;"No")*(tblRules[Pattern]&lt;&gt;"")*(tblRules[Category]&lt;&gt;"")*((tblRules[Flow]="Any")+(tblRules[Flow]="")+((tblRules[Flow]="Money out")*($J22&lt;0))+((tblRules[Flow]="Money in")*($J22&gt;0)))*(((tblRules[Look In]="Account")*ISNUMBER(SEARCH(tblRules[Pattern],$E22)))+((tblRules[Look In]&lt;&gt;"Account")*(((tblRules[Test]="Word")*ISNUMBER(SEARCH(" "&amp;tblRules[Pattern]&amp;" "," "&amp;$H22&amp;" ")))+((tblRules[Test]&lt;&gt;"Word")*ISNUMBER(SEARCH(tblRules[Pattern],$H22))))))&gt;0))*1E+9+ROW(tblRules[Pattern])))-ROW(tblRules[[#Headers],[Pattern]])),"Uncategorized"))</f>
        <v/>
      </c>
      <c r="L22">
        <f>IF($C22="","",IFERROR(INDEX(tblCategories[Group],MATCH($K22,tblCategories[Category],0)),"Other"))</f>
        <v/>
      </c>
      <c r="M22">
        <f>IF($C22="","",IFERROR(INDEX(tblCategories[Type],MATCH($K22,tblCategories[Category],0)),IF($J22&gt;0,"Income","Expense")))</f>
        <v/>
      </c>
      <c r="N22">
        <f>IF($C22="","",IFERROR(INDEX(tblCategories[Essential],MATCH($K22,tblCategories[Category],0)),"No"))</f>
        <v/>
      </c>
      <c r="O22">
        <f>IF($C22="","",IFERROR(INDEX(tblCategories[Tax Tag],MATCH($K22,tblCategories[Category],0)),""))</f>
        <v/>
      </c>
      <c r="P22" s="20">
        <f>IF($C22="","",IF($G22=PersonA,1,IF($G22=PersonB,0,IFERROR(INDEX(tblCategories[Joint Split A],MATCH($K22,tblCategories[Category],0)),DefaultSplitA))))</f>
        <v/>
      </c>
      <c r="Q22" s="19">
        <f>IF($C22="","",ROUND($J22*N($P22),2))</f>
        <v/>
      </c>
      <c r="R22" s="19">
        <f>IF($C22="","",ROUND($J22-N($Q22),2))</f>
        <v/>
      </c>
      <c r="U22" t="inlineStr">
        <is>
          <t>sample-data</t>
        </is>
      </c>
      <c r="V22" t="inlineStr">
        <is>
          <t>SAMPLE</t>
        </is>
      </c>
      <c r="W22" t="inlineStr">
        <is>
          <t>CB24109B</t>
        </is>
      </c>
      <c r="X22">
        <f>IF($C22="","",IFERROR(IF(_xlfn.ISFORMULA($K22),"Rule","Manual"),""))</f>
        <v/>
      </c>
      <c r="Y22" s="19">
        <f>IF($C22="","",IF(ReportView=PersonA,N($Q22),IF(ReportView=PersonB,N($R22),$J22)))</f>
        <v/>
      </c>
    </row>
    <row r="23">
      <c r="B23">
        <f>IF($C23="","","T"&amp;TEXT(ROW()-ROW(tblTxn[[#Headers],[Txn ID]]),"000000"))</f>
        <v/>
      </c>
      <c r="C23" s="18" t="n">
        <v>46093</v>
      </c>
      <c r="D23">
        <f>IF($C23="","",TEXT($C23,"yyyy-mm"))</f>
        <v/>
      </c>
      <c r="E23" t="inlineStr">
        <is>
          <t>BMO Joint Chequing</t>
        </is>
      </c>
      <c r="F23">
        <f>IF($C23="","",IFERROR(INDEX(tblAccounts[Owner],MATCH($E23,tblAccounts[Account],0)),"Joint"))</f>
        <v/>
      </c>
      <c r="G23">
        <f>IF($C23="","",IF(HouseholdMode="Couple",IFERROR(IF(INDEX(tblCategories[Default Owner],MATCH($K23,tblCategories[Category],0))="",$F23,INDEX(tblCategories[Default Owner],MATCH($K23,tblCategories[Category],0))),$F23),$F23))</f>
        <v/>
      </c>
      <c r="H23" t="inlineStr">
        <is>
          <t>ROGERS PREAUTHORIZED PAYMENT</t>
        </is>
      </c>
      <c r="I23">
        <f>IF($H23="","",$H23)</f>
        <v/>
      </c>
      <c r="J23" s="19" t="n">
        <v>-89.98999999999999</v>
      </c>
      <c r="K23">
        <f>IF($H23="","",IFERROR(INDEX(tblRules[Category],SUMPRODUCT(MIN((1-((tblRules[Enabled]&lt;&gt;"No")*(tblRules[Pattern]&lt;&gt;"")*(tblRules[Category]&lt;&gt;"")*((tblRules[Flow]="Any")+(tblRules[Flow]="")+((tblRules[Flow]="Money out")*($J23&lt;0))+((tblRules[Flow]="Money in")*($J23&gt;0)))*(((tblRules[Look In]="Account")*ISNUMBER(SEARCH(tblRules[Pattern],$E23)))+((tblRules[Look In]&lt;&gt;"Account")*(((tblRules[Test]="Word")*ISNUMBER(SEARCH(" "&amp;tblRules[Pattern]&amp;" "," "&amp;$H23&amp;" ")))+((tblRules[Test]&lt;&gt;"Word")*ISNUMBER(SEARCH(tblRules[Pattern],$H23))))))&gt;0))*1E+9+ROW(tblRules[Pattern])))-ROW(tblRules[[#Headers],[Pattern]])),"Uncategorized"))</f>
        <v/>
      </c>
      <c r="L23">
        <f>IF($C23="","",IFERROR(INDEX(tblCategories[Group],MATCH($K23,tblCategories[Category],0)),"Other"))</f>
        <v/>
      </c>
      <c r="M23">
        <f>IF($C23="","",IFERROR(INDEX(tblCategories[Type],MATCH($K23,tblCategories[Category],0)),IF($J23&gt;0,"Income","Expense")))</f>
        <v/>
      </c>
      <c r="N23">
        <f>IF($C23="","",IFERROR(INDEX(tblCategories[Essential],MATCH($K23,tblCategories[Category],0)),"No"))</f>
        <v/>
      </c>
      <c r="O23">
        <f>IF($C23="","",IFERROR(INDEX(tblCategories[Tax Tag],MATCH($K23,tblCategories[Category],0)),""))</f>
        <v/>
      </c>
      <c r="P23" s="20">
        <f>IF($C23="","",IF($G23=PersonA,1,IF($G23=PersonB,0,IFERROR(INDEX(tblCategories[Joint Split A],MATCH($K23,tblCategories[Category],0)),DefaultSplitA))))</f>
        <v/>
      </c>
      <c r="Q23" s="19">
        <f>IF($C23="","",ROUND($J23*N($P23),2))</f>
        <v/>
      </c>
      <c r="R23" s="19">
        <f>IF($C23="","",ROUND($J23-N($Q23),2))</f>
        <v/>
      </c>
      <c r="U23" t="inlineStr">
        <is>
          <t>sample-data</t>
        </is>
      </c>
      <c r="V23" t="inlineStr">
        <is>
          <t>SAMPLE</t>
        </is>
      </c>
      <c r="W23" t="inlineStr">
        <is>
          <t>92F026D7</t>
        </is>
      </c>
      <c r="X23">
        <f>IF($C23="","",IFERROR(IF(_xlfn.ISFORMULA($K23),"Rule","Manual"),""))</f>
        <v/>
      </c>
      <c r="Y23" s="19">
        <f>IF($C23="","",IF(ReportView=PersonA,N($Q23),IF(ReportView=PersonB,N($R23),$J23)))</f>
        <v/>
      </c>
    </row>
    <row r="24">
      <c r="B24">
        <f>IF($C24="","","T"&amp;TEXT(ROW()-ROW(tblTxn[[#Headers],[Txn ID]]),"000000"))</f>
        <v/>
      </c>
      <c r="C24" s="18" t="n">
        <v>46094</v>
      </c>
      <c r="D24">
        <f>IF($C24="","",TEXT($C24,"yyyy-mm"))</f>
        <v/>
      </c>
      <c r="E24" t="inlineStr">
        <is>
          <t>Amex Cobalt (Joint)</t>
        </is>
      </c>
      <c r="F24">
        <f>IF($C24="","",IFERROR(INDEX(tblAccounts[Owner],MATCH($E24,tblAccounts[Account],0)),"Joint"))</f>
        <v/>
      </c>
      <c r="G24">
        <f>IF($C24="","",IF(HouseholdMode="Couple",IFERROR(IF(INDEX(tblCategories[Default Owner],MATCH($K24,tblCategories[Category],0))="",$F24,INDEX(tblCategories[Default Owner],MATCH($K24,tblCategories[Category],0))),$F24),$F24))</f>
        <v/>
      </c>
      <c r="H24" t="inlineStr">
        <is>
          <t>IDP PURCHASE - 2615 LOBLAWS #3980 TORONTO ON</t>
        </is>
      </c>
      <c r="I24">
        <f>IF($H24="","",$H24)</f>
        <v/>
      </c>
      <c r="J24" s="19" t="n">
        <v>-48.14</v>
      </c>
      <c r="K24">
        <f>IF($H24="","",IFERROR(INDEX(tblRules[Category],SUMPRODUCT(MIN((1-((tblRules[Enabled]&lt;&gt;"No")*(tblRules[Pattern]&lt;&gt;"")*(tblRules[Category]&lt;&gt;"")*((tblRules[Flow]="Any")+(tblRules[Flow]="")+((tblRules[Flow]="Money out")*($J24&lt;0))+((tblRules[Flow]="Money in")*($J24&gt;0)))*(((tblRules[Look In]="Account")*ISNUMBER(SEARCH(tblRules[Pattern],$E24)))+((tblRules[Look In]&lt;&gt;"Account")*(((tblRules[Test]="Word")*ISNUMBER(SEARCH(" "&amp;tblRules[Pattern]&amp;" "," "&amp;$H24&amp;" ")))+((tblRules[Test]&lt;&gt;"Word")*ISNUMBER(SEARCH(tblRules[Pattern],$H24))))))&gt;0))*1E+9+ROW(tblRules[Pattern])))-ROW(tblRules[[#Headers],[Pattern]])),"Uncategorized"))</f>
        <v/>
      </c>
      <c r="L24">
        <f>IF($C24="","",IFERROR(INDEX(tblCategories[Group],MATCH($K24,tblCategories[Category],0)),"Other"))</f>
        <v/>
      </c>
      <c r="M24">
        <f>IF($C24="","",IFERROR(INDEX(tblCategories[Type],MATCH($K24,tblCategories[Category],0)),IF($J24&gt;0,"Income","Expense")))</f>
        <v/>
      </c>
      <c r="N24">
        <f>IF($C24="","",IFERROR(INDEX(tblCategories[Essential],MATCH($K24,tblCategories[Category],0)),"No"))</f>
        <v/>
      </c>
      <c r="O24">
        <f>IF($C24="","",IFERROR(INDEX(tblCategories[Tax Tag],MATCH($K24,tblCategories[Category],0)),""))</f>
        <v/>
      </c>
      <c r="P24" s="20">
        <f>IF($C24="","",IF($G24=PersonA,1,IF($G24=PersonB,0,IFERROR(INDEX(tblCategories[Joint Split A],MATCH($K24,tblCategories[Category],0)),DefaultSplitA))))</f>
        <v/>
      </c>
      <c r="Q24" s="19">
        <f>IF($C24="","",ROUND($J24*N($P24),2))</f>
        <v/>
      </c>
      <c r="R24" s="19">
        <f>IF($C24="","",ROUND($J24-N($Q24),2))</f>
        <v/>
      </c>
      <c r="U24" t="inlineStr">
        <is>
          <t>sample-data</t>
        </is>
      </c>
      <c r="V24" t="inlineStr">
        <is>
          <t>SAMPLE</t>
        </is>
      </c>
      <c r="W24" t="inlineStr">
        <is>
          <t>A7C49FC5</t>
        </is>
      </c>
      <c r="X24">
        <f>IF($C24="","",IFERROR(IF(_xlfn.ISFORMULA($K24),"Rule","Manual"),""))</f>
        <v/>
      </c>
      <c r="Y24" s="19">
        <f>IF($C24="","",IF(ReportView=PersonA,N($Q24),IF(ReportView=PersonB,N($R24),$J24)))</f>
        <v/>
      </c>
    </row>
    <row r="25">
      <c r="B25">
        <f>IF($C25="","","T"&amp;TEXT(ROW()-ROW(tblTxn[[#Headers],[Txn ID]]),"000000"))</f>
        <v/>
      </c>
      <c r="C25" s="18" t="n">
        <v>46094</v>
      </c>
      <c r="D25">
        <f>IF($C25="","",TEXT($C25,"yyyy-mm"))</f>
        <v/>
      </c>
      <c r="E25" t="inlineStr">
        <is>
          <t>Amex Cobalt (Joint)</t>
        </is>
      </c>
      <c r="F25">
        <f>IF($C25="","",IFERROR(INDEX(tblAccounts[Owner],MATCH($E25,tblAccounts[Account],0)),"Joint"))</f>
        <v/>
      </c>
      <c r="G25">
        <f>IF($C25="","",IF(HouseholdMode="Couple",IFERROR(IF(INDEX(tblCategories[Default Owner],MATCH($K25,tblCategories[Category],0))="",$F25,INDEX(tblCategories[Default Owner],MATCH($K25,tblCategories[Category],0))),$F25),$F25))</f>
        <v/>
      </c>
      <c r="H25" t="inlineStr">
        <is>
          <t>IDP PURCHASE - 7276 PETRO-CANADA #2067 ON</t>
        </is>
      </c>
      <c r="I25">
        <f>IF($H25="","",$H25)</f>
        <v/>
      </c>
      <c r="J25" s="19" t="n">
        <v>-53.54</v>
      </c>
      <c r="K25">
        <f>IF($H25="","",IFERROR(INDEX(tblRules[Category],SUMPRODUCT(MIN((1-((tblRules[Enabled]&lt;&gt;"No")*(tblRules[Pattern]&lt;&gt;"")*(tblRules[Category]&lt;&gt;"")*((tblRules[Flow]="Any")+(tblRules[Flow]="")+((tblRules[Flow]="Money out")*($J25&lt;0))+((tblRules[Flow]="Money in")*($J25&gt;0)))*(((tblRules[Look In]="Account")*ISNUMBER(SEARCH(tblRules[Pattern],$E25)))+((tblRules[Look In]&lt;&gt;"Account")*(((tblRules[Test]="Word")*ISNUMBER(SEARCH(" "&amp;tblRules[Pattern]&amp;" "," "&amp;$H25&amp;" ")))+((tblRules[Test]&lt;&gt;"Word")*ISNUMBER(SEARCH(tblRules[Pattern],$H25))))))&gt;0))*1E+9+ROW(tblRules[Pattern])))-ROW(tblRules[[#Headers],[Pattern]])),"Uncategorized"))</f>
        <v/>
      </c>
      <c r="L25">
        <f>IF($C25="","",IFERROR(INDEX(tblCategories[Group],MATCH($K25,tblCategories[Category],0)),"Other"))</f>
        <v/>
      </c>
      <c r="M25">
        <f>IF($C25="","",IFERROR(INDEX(tblCategories[Type],MATCH($K25,tblCategories[Category],0)),IF($J25&gt;0,"Income","Expense")))</f>
        <v/>
      </c>
      <c r="N25">
        <f>IF($C25="","",IFERROR(INDEX(tblCategories[Essential],MATCH($K25,tblCategories[Category],0)),"No"))</f>
        <v/>
      </c>
      <c r="O25">
        <f>IF($C25="","",IFERROR(INDEX(tblCategories[Tax Tag],MATCH($K25,tblCategories[Category],0)),""))</f>
        <v/>
      </c>
      <c r="P25" s="20">
        <f>IF($C25="","",IF($G25=PersonA,1,IF($G25=PersonB,0,IFERROR(INDEX(tblCategories[Joint Split A],MATCH($K25,tblCategories[Category],0)),DefaultSplitA))))</f>
        <v/>
      </c>
      <c r="Q25" s="19">
        <f>IF($C25="","",ROUND($J25*N($P25),2))</f>
        <v/>
      </c>
      <c r="R25" s="19">
        <f>IF($C25="","",ROUND($J25-N($Q25),2))</f>
        <v/>
      </c>
      <c r="U25" t="inlineStr">
        <is>
          <t>sample-data</t>
        </is>
      </c>
      <c r="V25" t="inlineStr">
        <is>
          <t>SAMPLE</t>
        </is>
      </c>
      <c r="W25" t="inlineStr">
        <is>
          <t>6F771E42</t>
        </is>
      </c>
      <c r="X25">
        <f>IF($C25="","",IFERROR(IF(_xlfn.ISFORMULA($K25),"Rule","Manual"),""))</f>
        <v/>
      </c>
      <c r="Y25" s="19">
        <f>IF($C25="","",IF(ReportView=PersonA,N($Q25),IF(ReportView=PersonB,N($R25),$J25)))</f>
        <v/>
      </c>
    </row>
    <row r="26">
      <c r="B26">
        <f>IF($C26="","","T"&amp;TEXT(ROW()-ROW(tblTxn[[#Headers],[Txn ID]]),"000000"))</f>
        <v/>
      </c>
      <c r="C26" s="18" t="n">
        <v>46094</v>
      </c>
      <c r="D26">
        <f>IF($C26="","",TEXT($C26,"yyyy-mm"))</f>
        <v/>
      </c>
      <c r="E26" t="inlineStr">
        <is>
          <t>BMO Joint Chequing</t>
        </is>
      </c>
      <c r="F26">
        <f>IF($C26="","",IFERROR(INDEX(tblAccounts[Owner],MATCH($E26,tblAccounts[Account],0)),"Joint"))</f>
        <v/>
      </c>
      <c r="G26">
        <f>IF($C26="","",IF(HouseholdMode="Couple",IFERROR(IF(INDEX(tblCategories[Default Owner],MATCH($K26,tblCategories[Category],0))="",$F26,INDEX(tblCategories[Default Owner],MATCH($K26,tblCategories[Category],0))),$F26),$F26))</f>
        <v/>
      </c>
      <c r="H26" t="inlineStr">
        <is>
          <t>IDP PURCHASE - 4876 SHOPPERS DRUG MART #562 ON</t>
        </is>
      </c>
      <c r="I26">
        <f>IF($H26="","",$H26)</f>
        <v/>
      </c>
      <c r="J26" s="19" t="n">
        <v>-29.03</v>
      </c>
      <c r="K26">
        <f>IF($H26="","",IFERROR(INDEX(tblRules[Category],SUMPRODUCT(MIN((1-((tblRules[Enabled]&lt;&gt;"No")*(tblRules[Pattern]&lt;&gt;"")*(tblRules[Category]&lt;&gt;"")*((tblRules[Flow]="Any")+(tblRules[Flow]="")+((tblRules[Flow]="Money out")*($J26&lt;0))+((tblRules[Flow]="Money in")*($J26&gt;0)))*(((tblRules[Look In]="Account")*ISNUMBER(SEARCH(tblRules[Pattern],$E26)))+((tblRules[Look In]&lt;&gt;"Account")*(((tblRules[Test]="Word")*ISNUMBER(SEARCH(" "&amp;tblRules[Pattern]&amp;" "," "&amp;$H26&amp;" ")))+((tblRules[Test]&lt;&gt;"Word")*ISNUMBER(SEARCH(tblRules[Pattern],$H26))))))&gt;0))*1E+9+ROW(tblRules[Pattern])))-ROW(tblRules[[#Headers],[Pattern]])),"Uncategorized"))</f>
        <v/>
      </c>
      <c r="L26">
        <f>IF($C26="","",IFERROR(INDEX(tblCategories[Group],MATCH($K26,tblCategories[Category],0)),"Other"))</f>
        <v/>
      </c>
      <c r="M26">
        <f>IF($C26="","",IFERROR(INDEX(tblCategories[Type],MATCH($K26,tblCategories[Category],0)),IF($J26&gt;0,"Income","Expense")))</f>
        <v/>
      </c>
      <c r="N26">
        <f>IF($C26="","",IFERROR(INDEX(tblCategories[Essential],MATCH($K26,tblCategories[Category],0)),"No"))</f>
        <v/>
      </c>
      <c r="O26">
        <f>IF($C26="","",IFERROR(INDEX(tblCategories[Tax Tag],MATCH($K26,tblCategories[Category],0)),""))</f>
        <v/>
      </c>
      <c r="P26" s="20">
        <f>IF($C26="","",IF($G26=PersonA,1,IF($G26=PersonB,0,IFERROR(INDEX(tblCategories[Joint Split A],MATCH($K26,tblCategories[Category],0)),DefaultSplitA))))</f>
        <v/>
      </c>
      <c r="Q26" s="19">
        <f>IF($C26="","",ROUND($J26*N($P26),2))</f>
        <v/>
      </c>
      <c r="R26" s="19">
        <f>IF($C26="","",ROUND($J26-N($Q26),2))</f>
        <v/>
      </c>
      <c r="U26" t="inlineStr">
        <is>
          <t>sample-data</t>
        </is>
      </c>
      <c r="V26" t="inlineStr">
        <is>
          <t>SAMPLE</t>
        </is>
      </c>
      <c r="W26" t="inlineStr">
        <is>
          <t>A1C6DE70</t>
        </is>
      </c>
      <c r="X26">
        <f>IF($C26="","",IFERROR(IF(_xlfn.ISFORMULA($K26),"Rule","Manual"),""))</f>
        <v/>
      </c>
      <c r="Y26" s="19">
        <f>IF($C26="","",IF(ReportView=PersonA,N($Q26),IF(ReportView=PersonB,N($R26),$J26)))</f>
        <v/>
      </c>
    </row>
    <row r="27">
      <c r="B27">
        <f>IF($C27="","","T"&amp;TEXT(ROW()-ROW(tblTxn[[#Headers],[Txn ID]]),"000000"))</f>
        <v/>
      </c>
      <c r="C27" s="18" t="n">
        <v>46095</v>
      </c>
      <c r="D27">
        <f>IF($C27="","",TEXT($C27,"yyyy-mm"))</f>
        <v/>
      </c>
      <c r="E27" t="inlineStr">
        <is>
          <t>BMO Joint Chequing</t>
        </is>
      </c>
      <c r="F27">
        <f>IF($C27="","",IFERROR(INDEX(tblAccounts[Owner],MATCH($E27,tblAccounts[Account],0)),"Joint"))</f>
        <v/>
      </c>
      <c r="G27">
        <f>IF($C27="","",IF(HouseholdMode="Couple",IFERROR(IF(INDEX(tblCategories[Default Owner],MATCH($K27,tblCategories[Category],0))="",$F27,INDEX(tblCategories[Default Owner],MATCH($K27,tblCategories[Category],0))),$F27),$F27))</f>
        <v/>
      </c>
      <c r="H27" t="inlineStr">
        <is>
          <t>FREEDOM MOBILE PREAUTHORIZED DEBIT</t>
        </is>
      </c>
      <c r="I27">
        <f>IF($H27="","",$H27)</f>
        <v/>
      </c>
      <c r="J27" s="19" t="n">
        <v>-45</v>
      </c>
      <c r="K27">
        <f>IF($H27="","",IFERROR(INDEX(tblRules[Category],SUMPRODUCT(MIN((1-((tblRules[Enabled]&lt;&gt;"No")*(tblRules[Pattern]&lt;&gt;"")*(tblRules[Category]&lt;&gt;"")*((tblRules[Flow]="Any")+(tblRules[Flow]="")+((tblRules[Flow]="Money out")*($J27&lt;0))+((tblRules[Flow]="Money in")*($J27&gt;0)))*(((tblRules[Look In]="Account")*ISNUMBER(SEARCH(tblRules[Pattern],$E27)))+((tblRules[Look In]&lt;&gt;"Account")*(((tblRules[Test]="Word")*ISNUMBER(SEARCH(" "&amp;tblRules[Pattern]&amp;" "," "&amp;$H27&amp;" ")))+((tblRules[Test]&lt;&gt;"Word")*ISNUMBER(SEARCH(tblRules[Pattern],$H27))))))&gt;0))*1E+9+ROW(tblRules[Pattern])))-ROW(tblRules[[#Headers],[Pattern]])),"Uncategorized"))</f>
        <v/>
      </c>
      <c r="L27">
        <f>IF($C27="","",IFERROR(INDEX(tblCategories[Group],MATCH($K27,tblCategories[Category],0)),"Other"))</f>
        <v/>
      </c>
      <c r="M27">
        <f>IF($C27="","",IFERROR(INDEX(tblCategories[Type],MATCH($K27,tblCategories[Category],0)),IF($J27&gt;0,"Income","Expense")))</f>
        <v/>
      </c>
      <c r="N27">
        <f>IF($C27="","",IFERROR(INDEX(tblCategories[Essential],MATCH($K27,tblCategories[Category],0)),"No"))</f>
        <v/>
      </c>
      <c r="O27">
        <f>IF($C27="","",IFERROR(INDEX(tblCategories[Tax Tag],MATCH($K27,tblCategories[Category],0)),""))</f>
        <v/>
      </c>
      <c r="P27" s="20">
        <f>IF($C27="","",IF($G27=PersonA,1,IF($G27=PersonB,0,IFERROR(INDEX(tblCategories[Joint Split A],MATCH($K27,tblCategories[Category],0)),DefaultSplitA))))</f>
        <v/>
      </c>
      <c r="Q27" s="19">
        <f>IF($C27="","",ROUND($J27*N($P27),2))</f>
        <v/>
      </c>
      <c r="R27" s="19">
        <f>IF($C27="","",ROUND($J27-N($Q27),2))</f>
        <v/>
      </c>
      <c r="U27" t="inlineStr">
        <is>
          <t>sample-data</t>
        </is>
      </c>
      <c r="V27" t="inlineStr">
        <is>
          <t>SAMPLE</t>
        </is>
      </c>
      <c r="W27" t="inlineStr">
        <is>
          <t>C6C28793</t>
        </is>
      </c>
      <c r="X27">
        <f>IF($C27="","",IFERROR(IF(_xlfn.ISFORMULA($K27),"Rule","Manual"),""))</f>
        <v/>
      </c>
      <c r="Y27" s="19">
        <f>IF($C27="","",IF(ReportView=PersonA,N($Q27),IF(ReportView=PersonB,N($R27),$J27)))</f>
        <v/>
      </c>
    </row>
    <row r="28">
      <c r="B28">
        <f>IF($C28="","","T"&amp;TEXT(ROW()-ROW(tblTxn[[#Headers],[Txn ID]]),"000000"))</f>
        <v/>
      </c>
      <c r="C28" s="18" t="n">
        <v>46096</v>
      </c>
      <c r="D28">
        <f>IF($C28="","",TEXT($C28,"yyyy-mm"))</f>
        <v/>
      </c>
      <c r="E28" t="inlineStr">
        <is>
          <t>Amex Cobalt (Joint)</t>
        </is>
      </c>
      <c r="F28">
        <f>IF($C28="","",IFERROR(INDEX(tblAccounts[Owner],MATCH($E28,tblAccounts[Account],0)),"Joint"))</f>
        <v/>
      </c>
      <c r="G28">
        <f>IF($C28="","",IF(HouseholdMode="Couple",IFERROR(IF(INDEX(tblCategories[Default Owner],MATCH($K28,tblCategories[Category],0))="",$F28,INDEX(tblCategories[Default Owner],MATCH($K28,tblCategories[Category],0))),$F28),$F28))</f>
        <v/>
      </c>
      <c r="H28" t="inlineStr">
        <is>
          <t>IDP PURCHASE - 7091 HOME DEPOT #3943 ON</t>
        </is>
      </c>
      <c r="I28">
        <f>IF($H28="","",$H28)</f>
        <v/>
      </c>
      <c r="J28" s="19" t="n">
        <v>-173.56</v>
      </c>
      <c r="K28">
        <f>IF($H28="","",IFERROR(INDEX(tblRules[Category],SUMPRODUCT(MIN((1-((tblRules[Enabled]&lt;&gt;"No")*(tblRules[Pattern]&lt;&gt;"")*(tblRules[Category]&lt;&gt;"")*((tblRules[Flow]="Any")+(tblRules[Flow]="")+((tblRules[Flow]="Money out")*($J28&lt;0))+((tblRules[Flow]="Money in")*($J28&gt;0)))*(((tblRules[Look In]="Account")*ISNUMBER(SEARCH(tblRules[Pattern],$E28)))+((tblRules[Look In]&lt;&gt;"Account")*(((tblRules[Test]="Word")*ISNUMBER(SEARCH(" "&amp;tblRules[Pattern]&amp;" "," "&amp;$H28&amp;" ")))+((tblRules[Test]&lt;&gt;"Word")*ISNUMBER(SEARCH(tblRules[Pattern],$H28))))))&gt;0))*1E+9+ROW(tblRules[Pattern])))-ROW(tblRules[[#Headers],[Pattern]])),"Uncategorized"))</f>
        <v/>
      </c>
      <c r="L28">
        <f>IF($C28="","",IFERROR(INDEX(tblCategories[Group],MATCH($K28,tblCategories[Category],0)),"Other"))</f>
        <v/>
      </c>
      <c r="M28">
        <f>IF($C28="","",IFERROR(INDEX(tblCategories[Type],MATCH($K28,tblCategories[Category],0)),IF($J28&gt;0,"Income","Expense")))</f>
        <v/>
      </c>
      <c r="N28">
        <f>IF($C28="","",IFERROR(INDEX(tblCategories[Essential],MATCH($K28,tblCategories[Category],0)),"No"))</f>
        <v/>
      </c>
      <c r="O28">
        <f>IF($C28="","",IFERROR(INDEX(tblCategories[Tax Tag],MATCH($K28,tblCategories[Category],0)),""))</f>
        <v/>
      </c>
      <c r="P28" s="20">
        <f>IF($C28="","",IF($G28=PersonA,1,IF($G28=PersonB,0,IFERROR(INDEX(tblCategories[Joint Split A],MATCH($K28,tblCategories[Category],0)),DefaultSplitA))))</f>
        <v/>
      </c>
      <c r="Q28" s="19">
        <f>IF($C28="","",ROUND($J28*N($P28),2))</f>
        <v/>
      </c>
      <c r="R28" s="19">
        <f>IF($C28="","",ROUND($J28-N($Q28),2))</f>
        <v/>
      </c>
      <c r="U28" t="inlineStr">
        <is>
          <t>sample-data</t>
        </is>
      </c>
      <c r="V28" t="inlineStr">
        <is>
          <t>SAMPLE</t>
        </is>
      </c>
      <c r="W28" t="inlineStr">
        <is>
          <t>66B2B16E</t>
        </is>
      </c>
      <c r="X28">
        <f>IF($C28="","",IFERROR(IF(_xlfn.ISFORMULA($K28),"Rule","Manual"),""))</f>
        <v/>
      </c>
      <c r="Y28" s="19">
        <f>IF($C28="","",IF(ReportView=PersonA,N($Q28),IF(ReportView=PersonB,N($R28),$J28)))</f>
        <v/>
      </c>
    </row>
    <row r="29">
      <c r="B29">
        <f>IF($C29="","","T"&amp;TEXT(ROW()-ROW(tblTxn[[#Headers],[Txn ID]]),"000000"))</f>
        <v/>
      </c>
      <c r="C29" s="18" t="n">
        <v>46096</v>
      </c>
      <c r="D29">
        <f>IF($C29="","",TEXT($C29,"yyyy-mm"))</f>
        <v/>
      </c>
      <c r="E29" t="inlineStr">
        <is>
          <t>Amex Cobalt (Joint)</t>
        </is>
      </c>
      <c r="F29">
        <f>IF($C29="","",IFERROR(INDEX(tblAccounts[Owner],MATCH($E29,tblAccounts[Account],0)),"Joint"))</f>
        <v/>
      </c>
      <c r="G29">
        <f>IF($C29="","",IF(HouseholdMode="Couple",IFERROR(IF(INDEX(tblCategories[Default Owner],MATCH($K29,tblCategories[Category],0))="",$F29,INDEX(tblCategories[Default Owner],MATCH($K29,tblCategories[Category],0))),$F29),$F29))</f>
        <v/>
      </c>
      <c r="H29" t="inlineStr">
        <is>
          <t>IDP PURCHASE - 8549 PETRO-CANADA #289 ON</t>
        </is>
      </c>
      <c r="I29">
        <f>IF($H29="","",$H29)</f>
        <v/>
      </c>
      <c r="J29" s="19" t="n">
        <v>-78.09</v>
      </c>
      <c r="K29">
        <f>IF($H29="","",IFERROR(INDEX(tblRules[Category],SUMPRODUCT(MIN((1-((tblRules[Enabled]&lt;&gt;"No")*(tblRules[Pattern]&lt;&gt;"")*(tblRules[Category]&lt;&gt;"")*((tblRules[Flow]="Any")+(tblRules[Flow]="")+((tblRules[Flow]="Money out")*($J29&lt;0))+((tblRules[Flow]="Money in")*($J29&gt;0)))*(((tblRules[Look In]="Account")*ISNUMBER(SEARCH(tblRules[Pattern],$E29)))+((tblRules[Look In]&lt;&gt;"Account")*(((tblRules[Test]="Word")*ISNUMBER(SEARCH(" "&amp;tblRules[Pattern]&amp;" "," "&amp;$H29&amp;" ")))+((tblRules[Test]&lt;&gt;"Word")*ISNUMBER(SEARCH(tblRules[Pattern],$H29))))))&gt;0))*1E+9+ROW(tblRules[Pattern])))-ROW(tblRules[[#Headers],[Pattern]])),"Uncategorized"))</f>
        <v/>
      </c>
      <c r="L29">
        <f>IF($C29="","",IFERROR(INDEX(tblCategories[Group],MATCH($K29,tblCategories[Category],0)),"Other"))</f>
        <v/>
      </c>
      <c r="M29">
        <f>IF($C29="","",IFERROR(INDEX(tblCategories[Type],MATCH($K29,tblCategories[Category],0)),IF($J29&gt;0,"Income","Expense")))</f>
        <v/>
      </c>
      <c r="N29">
        <f>IF($C29="","",IFERROR(INDEX(tblCategories[Essential],MATCH($K29,tblCategories[Category],0)),"No"))</f>
        <v/>
      </c>
      <c r="O29">
        <f>IF($C29="","",IFERROR(INDEX(tblCategories[Tax Tag],MATCH($K29,tblCategories[Category],0)),""))</f>
        <v/>
      </c>
      <c r="P29" s="20">
        <f>IF($C29="","",IF($G29=PersonA,1,IF($G29=PersonB,0,IFERROR(INDEX(tblCategories[Joint Split A],MATCH($K29,tblCategories[Category],0)),DefaultSplitA))))</f>
        <v/>
      </c>
      <c r="Q29" s="19">
        <f>IF($C29="","",ROUND($J29*N($P29),2))</f>
        <v/>
      </c>
      <c r="R29" s="19">
        <f>IF($C29="","",ROUND($J29-N($Q29),2))</f>
        <v/>
      </c>
      <c r="U29" t="inlineStr">
        <is>
          <t>sample-data</t>
        </is>
      </c>
      <c r="V29" t="inlineStr">
        <is>
          <t>SAMPLE</t>
        </is>
      </c>
      <c r="W29" t="inlineStr">
        <is>
          <t>B9C20C75</t>
        </is>
      </c>
      <c r="X29">
        <f>IF($C29="","",IFERROR(IF(_xlfn.ISFORMULA($K29),"Rule","Manual"),""))</f>
        <v/>
      </c>
      <c r="Y29" s="19">
        <f>IF($C29="","",IF(ReportView=PersonA,N($Q29),IF(ReportView=PersonB,N($R29),$J29)))</f>
        <v/>
      </c>
    </row>
    <row r="30">
      <c r="B30">
        <f>IF($C30="","","T"&amp;TEXT(ROW()-ROW(tblTxn[[#Headers],[Txn ID]]),"000000"))</f>
        <v/>
      </c>
      <c r="C30" s="18" t="n">
        <v>46096</v>
      </c>
      <c r="D30">
        <f>IF($C30="","",TEXT($C30,"yyyy-mm"))</f>
        <v/>
      </c>
      <c r="E30" t="inlineStr">
        <is>
          <t>RBC Chequing (Alex)</t>
        </is>
      </c>
      <c r="F30">
        <f>IF($C30="","",IFERROR(INDEX(tblAccounts[Owner],MATCH($E30,tblAccounts[Account],0)),"Joint"))</f>
        <v/>
      </c>
      <c r="G30">
        <f>IF($C30="","",IF(HouseholdMode="Couple",IFERROR(IF(INDEX(tblCategories[Default Owner],MATCH($K30,tblCategories[Category],0))="",$F30,INDEX(tblCategories[Default Owner],MATCH($K30,tblCategories[Category],0))),$F30),$F30))</f>
        <v/>
      </c>
      <c r="H30" t="inlineStr">
        <is>
          <t>PAYROLL DEPOSIT NORTHWIND LOGISTICS</t>
        </is>
      </c>
      <c r="I30">
        <f>IF($H30="","",$H30)</f>
        <v/>
      </c>
      <c r="J30" s="19" t="n">
        <v>2483.18</v>
      </c>
      <c r="K30">
        <f>IF($H30="","",IFERROR(INDEX(tblRules[Category],SUMPRODUCT(MIN((1-((tblRules[Enabled]&lt;&gt;"No")*(tblRules[Pattern]&lt;&gt;"")*(tblRules[Category]&lt;&gt;"")*((tblRules[Flow]="Any")+(tblRules[Flow]="")+((tblRules[Flow]="Money out")*($J30&lt;0))+((tblRules[Flow]="Money in")*($J30&gt;0)))*(((tblRules[Look In]="Account")*ISNUMBER(SEARCH(tblRules[Pattern],$E30)))+((tblRules[Look In]&lt;&gt;"Account")*(((tblRules[Test]="Word")*ISNUMBER(SEARCH(" "&amp;tblRules[Pattern]&amp;" "," "&amp;$H30&amp;" ")))+((tblRules[Test]&lt;&gt;"Word")*ISNUMBER(SEARCH(tblRules[Pattern],$H30))))))&gt;0))*1E+9+ROW(tblRules[Pattern])))-ROW(tblRules[[#Headers],[Pattern]])),"Uncategorized"))</f>
        <v/>
      </c>
      <c r="L30">
        <f>IF($C30="","",IFERROR(INDEX(tblCategories[Group],MATCH($K30,tblCategories[Category],0)),"Other"))</f>
        <v/>
      </c>
      <c r="M30">
        <f>IF($C30="","",IFERROR(INDEX(tblCategories[Type],MATCH($K30,tblCategories[Category],0)),IF($J30&gt;0,"Income","Expense")))</f>
        <v/>
      </c>
      <c r="N30">
        <f>IF($C30="","",IFERROR(INDEX(tblCategories[Essential],MATCH($K30,tblCategories[Category],0)),"No"))</f>
        <v/>
      </c>
      <c r="O30">
        <f>IF($C30="","",IFERROR(INDEX(tblCategories[Tax Tag],MATCH($K30,tblCategories[Category],0)),""))</f>
        <v/>
      </c>
      <c r="P30" s="20">
        <f>IF($C30="","",IF($G30=PersonA,1,IF($G30=PersonB,0,IFERROR(INDEX(tblCategories[Joint Split A],MATCH($K30,tblCategories[Category],0)),DefaultSplitA))))</f>
        <v/>
      </c>
      <c r="Q30" s="19">
        <f>IF($C30="","",ROUND($J30*N($P30),2))</f>
        <v/>
      </c>
      <c r="R30" s="19">
        <f>IF($C30="","",ROUND($J30-N($Q30),2))</f>
        <v/>
      </c>
      <c r="U30" t="inlineStr">
        <is>
          <t>sample-data</t>
        </is>
      </c>
      <c r="V30" t="inlineStr">
        <is>
          <t>SAMPLE</t>
        </is>
      </c>
      <c r="W30" t="inlineStr">
        <is>
          <t>B8DB5E19</t>
        </is>
      </c>
      <c r="X30">
        <f>IF($C30="","",IFERROR(IF(_xlfn.ISFORMULA($K30),"Rule","Manual"),""))</f>
        <v/>
      </c>
      <c r="Y30" s="19">
        <f>IF($C30="","",IF(ReportView=PersonA,N($Q30),IF(ReportView=PersonB,N($R30),$J30)))</f>
        <v/>
      </c>
    </row>
    <row r="31">
      <c r="B31">
        <f>IF($C31="","","T"&amp;TEXT(ROW()-ROW(tblTxn[[#Headers],[Txn ID]]),"000000"))</f>
        <v/>
      </c>
      <c r="C31" s="18" t="n">
        <v>46096</v>
      </c>
      <c r="D31">
        <f>IF($C31="","",TEXT($C31,"yyyy-mm"))</f>
        <v/>
      </c>
      <c r="E31" t="inlineStr">
        <is>
          <t>Tangerine Chequing (Sam)</t>
        </is>
      </c>
      <c r="F31">
        <f>IF($C31="","",IFERROR(INDEX(tblAccounts[Owner],MATCH($E31,tblAccounts[Account],0)),"Joint"))</f>
        <v/>
      </c>
      <c r="G31">
        <f>IF($C31="","",IF(HouseholdMode="Couple",IFERROR(IF(INDEX(tblCategories[Default Owner],MATCH($K31,tblCategories[Category],0))="",$F31,INDEX(tblCategories[Default Owner],MATCH($K31,tblCategories[Category],0))),$F31),$F31))</f>
        <v/>
      </c>
      <c r="H31" t="inlineStr">
        <is>
          <t>IDP PURCHASE - 2389 TIM HORTONS #273 TORONTO ON</t>
        </is>
      </c>
      <c r="I31">
        <f>IF($H31="","",$H31)</f>
        <v/>
      </c>
      <c r="J31" s="19" t="n">
        <v>-12.65</v>
      </c>
      <c r="K31">
        <f>IF($H31="","",IFERROR(INDEX(tblRules[Category],SUMPRODUCT(MIN((1-((tblRules[Enabled]&lt;&gt;"No")*(tblRules[Pattern]&lt;&gt;"")*(tblRules[Category]&lt;&gt;"")*((tblRules[Flow]="Any")+(tblRules[Flow]="")+((tblRules[Flow]="Money out")*($J31&lt;0))+((tblRules[Flow]="Money in")*($J31&gt;0)))*(((tblRules[Look In]="Account")*ISNUMBER(SEARCH(tblRules[Pattern],$E31)))+((tblRules[Look In]&lt;&gt;"Account")*(((tblRules[Test]="Word")*ISNUMBER(SEARCH(" "&amp;tblRules[Pattern]&amp;" "," "&amp;$H31&amp;" ")))+((tblRules[Test]&lt;&gt;"Word")*ISNUMBER(SEARCH(tblRules[Pattern],$H31))))))&gt;0))*1E+9+ROW(tblRules[Pattern])))-ROW(tblRules[[#Headers],[Pattern]])),"Uncategorized"))</f>
        <v/>
      </c>
      <c r="L31">
        <f>IF($C31="","",IFERROR(INDEX(tblCategories[Group],MATCH($K31,tblCategories[Category],0)),"Other"))</f>
        <v/>
      </c>
      <c r="M31">
        <f>IF($C31="","",IFERROR(INDEX(tblCategories[Type],MATCH($K31,tblCategories[Category],0)),IF($J31&gt;0,"Income","Expense")))</f>
        <v/>
      </c>
      <c r="N31">
        <f>IF($C31="","",IFERROR(INDEX(tblCategories[Essential],MATCH($K31,tblCategories[Category],0)),"No"))</f>
        <v/>
      </c>
      <c r="O31">
        <f>IF($C31="","",IFERROR(INDEX(tblCategories[Tax Tag],MATCH($K31,tblCategories[Category],0)),""))</f>
        <v/>
      </c>
      <c r="P31" s="20">
        <f>IF($C31="","",IF($G31=PersonA,1,IF($G31=PersonB,0,IFERROR(INDEX(tblCategories[Joint Split A],MATCH($K31,tblCategories[Category],0)),DefaultSplitA))))</f>
        <v/>
      </c>
      <c r="Q31" s="19">
        <f>IF($C31="","",ROUND($J31*N($P31),2))</f>
        <v/>
      </c>
      <c r="R31" s="19">
        <f>IF($C31="","",ROUND($J31-N($Q31),2))</f>
        <v/>
      </c>
      <c r="U31" t="inlineStr">
        <is>
          <t>sample-data</t>
        </is>
      </c>
      <c r="V31" t="inlineStr">
        <is>
          <t>SAMPLE</t>
        </is>
      </c>
      <c r="W31" t="inlineStr">
        <is>
          <t>DB3ABC63</t>
        </is>
      </c>
      <c r="X31">
        <f>IF($C31="","",IFERROR(IF(_xlfn.ISFORMULA($K31),"Rule","Manual"),""))</f>
        <v/>
      </c>
      <c r="Y31" s="19">
        <f>IF($C31="","",IF(ReportView=PersonA,N($Q31),IF(ReportView=PersonB,N($R31),$J31)))</f>
        <v/>
      </c>
    </row>
    <row r="32">
      <c r="B32">
        <f>IF($C32="","","T"&amp;TEXT(ROW()-ROW(tblTxn[[#Headers],[Txn ID]]),"000000"))</f>
        <v/>
      </c>
      <c r="C32" s="18" t="n">
        <v>46096</v>
      </c>
      <c r="D32">
        <f>IF($C32="","",TEXT($C32,"yyyy-mm"))</f>
        <v/>
      </c>
      <c r="E32" t="inlineStr">
        <is>
          <t>Tangerine Chequing (Sam)</t>
        </is>
      </c>
      <c r="F32">
        <f>IF($C32="","",IFERROR(INDEX(tblAccounts[Owner],MATCH($E32,tblAccounts[Account],0)),"Joint"))</f>
        <v/>
      </c>
      <c r="G32">
        <f>IF($C32="","",IF(HouseholdMode="Couple",IFERROR(IF(INDEX(tblCategories[Default Owner],MATCH($K32,tblCategories[Category],0))="",$F32,INDEX(tblCategories[Default Owner],MATCH($K32,tblCategories[Category],0))),$F32),$F32))</f>
        <v/>
      </c>
      <c r="H32" t="inlineStr">
        <is>
          <t>PAYROLL DEPOSIT MAPLE HEALTH GROUP</t>
        </is>
      </c>
      <c r="I32">
        <f>IF($H32="","",$H32)</f>
        <v/>
      </c>
      <c r="J32" s="19" t="n">
        <v>2004.44</v>
      </c>
      <c r="K32">
        <f>IF($H32="","",IFERROR(INDEX(tblRules[Category],SUMPRODUCT(MIN((1-((tblRules[Enabled]&lt;&gt;"No")*(tblRules[Pattern]&lt;&gt;"")*(tblRules[Category]&lt;&gt;"")*((tblRules[Flow]="Any")+(tblRules[Flow]="")+((tblRules[Flow]="Money out")*($J32&lt;0))+((tblRules[Flow]="Money in")*($J32&gt;0)))*(((tblRules[Look In]="Account")*ISNUMBER(SEARCH(tblRules[Pattern],$E32)))+((tblRules[Look In]&lt;&gt;"Account")*(((tblRules[Test]="Word")*ISNUMBER(SEARCH(" "&amp;tblRules[Pattern]&amp;" "," "&amp;$H32&amp;" ")))+((tblRules[Test]&lt;&gt;"Word")*ISNUMBER(SEARCH(tblRules[Pattern],$H32))))))&gt;0))*1E+9+ROW(tblRules[Pattern])))-ROW(tblRules[[#Headers],[Pattern]])),"Uncategorized"))</f>
        <v/>
      </c>
      <c r="L32">
        <f>IF($C32="","",IFERROR(INDEX(tblCategories[Group],MATCH($K32,tblCategories[Category],0)),"Other"))</f>
        <v/>
      </c>
      <c r="M32">
        <f>IF($C32="","",IFERROR(INDEX(tblCategories[Type],MATCH($K32,tblCategories[Category],0)),IF($J32&gt;0,"Income","Expense")))</f>
        <v/>
      </c>
      <c r="N32">
        <f>IF($C32="","",IFERROR(INDEX(tblCategories[Essential],MATCH($K32,tblCategories[Category],0)),"No"))</f>
        <v/>
      </c>
      <c r="O32">
        <f>IF($C32="","",IFERROR(INDEX(tblCategories[Tax Tag],MATCH($K32,tblCategories[Category],0)),""))</f>
        <v/>
      </c>
      <c r="P32" s="20">
        <f>IF($C32="","",IF($G32=PersonA,1,IF($G32=PersonB,0,IFERROR(INDEX(tblCategories[Joint Split A],MATCH($K32,tblCategories[Category],0)),DefaultSplitA))))</f>
        <v/>
      </c>
      <c r="Q32" s="19">
        <f>IF($C32="","",ROUND($J32*N($P32),2))</f>
        <v/>
      </c>
      <c r="R32" s="19">
        <f>IF($C32="","",ROUND($J32-N($Q32),2))</f>
        <v/>
      </c>
      <c r="U32" t="inlineStr">
        <is>
          <t>sample-data</t>
        </is>
      </c>
      <c r="V32" t="inlineStr">
        <is>
          <t>SAMPLE</t>
        </is>
      </c>
      <c r="W32" t="inlineStr">
        <is>
          <t>92BB606A</t>
        </is>
      </c>
      <c r="X32">
        <f>IF($C32="","",IFERROR(IF(_xlfn.ISFORMULA($K32),"Rule","Manual"),""))</f>
        <v/>
      </c>
      <c r="Y32" s="19">
        <f>IF($C32="","",IF(ReportView=PersonA,N($Q32),IF(ReportView=PersonB,N($R32),$J32)))</f>
        <v/>
      </c>
    </row>
    <row r="33">
      <c r="B33">
        <f>IF($C33="","","T"&amp;TEXT(ROW()-ROW(tblTxn[[#Headers],[Txn ID]]),"000000"))</f>
        <v/>
      </c>
      <c r="C33" s="18" t="n">
        <v>46097</v>
      </c>
      <c r="D33">
        <f>IF($C33="","",TEXT($C33,"yyyy-mm"))</f>
        <v/>
      </c>
      <c r="E33" t="inlineStr">
        <is>
          <t>BMO Joint Chequing</t>
        </is>
      </c>
      <c r="F33">
        <f>IF($C33="","",IFERROR(INDEX(tblAccounts[Owner],MATCH($E33,tblAccounts[Account],0)),"Joint"))</f>
        <v/>
      </c>
      <c r="G33">
        <f>IF($C33="","",IF(HouseholdMode="Couple",IFERROR(IF(INDEX(tblCategories[Default Owner],MATCH($K33,tblCategories[Category],0))="",$F33,INDEX(tblCategories[Default Owner],MATCH($K33,tblCategories[Category],0))),$F33),$F33))</f>
        <v/>
      </c>
      <c r="H33" t="inlineStr">
        <is>
          <t>NETFLIX.COM MISC PAYMENT</t>
        </is>
      </c>
      <c r="I33">
        <f>IF($H33="","",$H33)</f>
        <v/>
      </c>
      <c r="J33" s="19" t="n">
        <v>-22.99</v>
      </c>
      <c r="K33">
        <f>IF($H33="","",IFERROR(INDEX(tblRules[Category],SUMPRODUCT(MIN((1-((tblRules[Enabled]&lt;&gt;"No")*(tblRules[Pattern]&lt;&gt;"")*(tblRules[Category]&lt;&gt;"")*((tblRules[Flow]="Any")+(tblRules[Flow]="")+((tblRules[Flow]="Money out")*($J33&lt;0))+((tblRules[Flow]="Money in")*($J33&gt;0)))*(((tblRules[Look In]="Account")*ISNUMBER(SEARCH(tblRules[Pattern],$E33)))+((tblRules[Look In]&lt;&gt;"Account")*(((tblRules[Test]="Word")*ISNUMBER(SEARCH(" "&amp;tblRules[Pattern]&amp;" "," "&amp;$H33&amp;" ")))+((tblRules[Test]&lt;&gt;"Word")*ISNUMBER(SEARCH(tblRules[Pattern],$H33))))))&gt;0))*1E+9+ROW(tblRules[Pattern])))-ROW(tblRules[[#Headers],[Pattern]])),"Uncategorized"))</f>
        <v/>
      </c>
      <c r="L33">
        <f>IF($C33="","",IFERROR(INDEX(tblCategories[Group],MATCH($K33,tblCategories[Category],0)),"Other"))</f>
        <v/>
      </c>
      <c r="M33">
        <f>IF($C33="","",IFERROR(INDEX(tblCategories[Type],MATCH($K33,tblCategories[Category],0)),IF($J33&gt;0,"Income","Expense")))</f>
        <v/>
      </c>
      <c r="N33">
        <f>IF($C33="","",IFERROR(INDEX(tblCategories[Essential],MATCH($K33,tblCategories[Category],0)),"No"))</f>
        <v/>
      </c>
      <c r="O33">
        <f>IF($C33="","",IFERROR(INDEX(tblCategories[Tax Tag],MATCH($K33,tblCategories[Category],0)),""))</f>
        <v/>
      </c>
      <c r="P33" s="20">
        <f>IF($C33="","",IF($G33=PersonA,1,IF($G33=PersonB,0,IFERROR(INDEX(tblCategories[Joint Split A],MATCH($K33,tblCategories[Category],0)),DefaultSplitA))))</f>
        <v/>
      </c>
      <c r="Q33" s="19">
        <f>IF($C33="","",ROUND($J33*N($P33),2))</f>
        <v/>
      </c>
      <c r="R33" s="19">
        <f>IF($C33="","",ROUND($J33-N($Q33),2))</f>
        <v/>
      </c>
      <c r="U33" t="inlineStr">
        <is>
          <t>sample-data</t>
        </is>
      </c>
      <c r="V33" t="inlineStr">
        <is>
          <t>SAMPLE</t>
        </is>
      </c>
      <c r="W33" t="inlineStr">
        <is>
          <t>FAD8A7CD</t>
        </is>
      </c>
      <c r="X33">
        <f>IF($C33="","",IFERROR(IF(_xlfn.ISFORMULA($K33),"Rule","Manual"),""))</f>
        <v/>
      </c>
      <c r="Y33" s="19">
        <f>IF($C33="","",IF(ReportView=PersonA,N($Q33),IF(ReportView=PersonB,N($R33),$J33)))</f>
        <v/>
      </c>
    </row>
    <row r="34">
      <c r="B34">
        <f>IF($C34="","","T"&amp;TEXT(ROW()-ROW(tblTxn[[#Headers],[Txn ID]]),"000000"))</f>
        <v/>
      </c>
      <c r="C34" s="18" t="n">
        <v>46097</v>
      </c>
      <c r="D34">
        <f>IF($C34="","",TEXT($C34,"yyyy-mm"))</f>
        <v/>
      </c>
      <c r="E34" t="inlineStr">
        <is>
          <t>RBC Chequing (Alex)</t>
        </is>
      </c>
      <c r="F34">
        <f>IF($C34="","",IFERROR(INDEX(tblAccounts[Owner],MATCH($E34,tblAccounts[Account],0)),"Joint"))</f>
        <v/>
      </c>
      <c r="G34">
        <f>IF($C34="","",IF(HouseholdMode="Couple",IFERROR(IF(INDEX(tblCategories[Default Owner],MATCH($K34,tblCategories[Category],0))="",$F34,INDEX(tblCategories[Default Owner],MATCH($K34,tblCategories[Category],0))),$F34),$F34))</f>
        <v/>
      </c>
      <c r="H34" t="inlineStr">
        <is>
          <t>IDP PURCHASE - 5938 PIZZA NOVA #4381 ON</t>
        </is>
      </c>
      <c r="I34">
        <f>IF($H34="","",$H34)</f>
        <v/>
      </c>
      <c r="J34" s="19" t="n">
        <v>-40.1</v>
      </c>
      <c r="K34">
        <f>IF($H34="","",IFERROR(INDEX(tblRules[Category],SUMPRODUCT(MIN((1-((tblRules[Enabled]&lt;&gt;"No")*(tblRules[Pattern]&lt;&gt;"")*(tblRules[Category]&lt;&gt;"")*((tblRules[Flow]="Any")+(tblRules[Flow]="")+((tblRules[Flow]="Money out")*($J34&lt;0))+((tblRules[Flow]="Money in")*($J34&gt;0)))*(((tblRules[Look In]="Account")*ISNUMBER(SEARCH(tblRules[Pattern],$E34)))+((tblRules[Look In]&lt;&gt;"Account")*(((tblRules[Test]="Word")*ISNUMBER(SEARCH(" "&amp;tblRules[Pattern]&amp;" "," "&amp;$H34&amp;" ")))+((tblRules[Test]&lt;&gt;"Word")*ISNUMBER(SEARCH(tblRules[Pattern],$H34))))))&gt;0))*1E+9+ROW(tblRules[Pattern])))-ROW(tblRules[[#Headers],[Pattern]])),"Uncategorized"))</f>
        <v/>
      </c>
      <c r="L34">
        <f>IF($C34="","",IFERROR(INDEX(tblCategories[Group],MATCH($K34,tblCategories[Category],0)),"Other"))</f>
        <v/>
      </c>
      <c r="M34">
        <f>IF($C34="","",IFERROR(INDEX(tblCategories[Type],MATCH($K34,tblCategories[Category],0)),IF($J34&gt;0,"Income","Expense")))</f>
        <v/>
      </c>
      <c r="N34">
        <f>IF($C34="","",IFERROR(INDEX(tblCategories[Essential],MATCH($K34,tblCategories[Category],0)),"No"))</f>
        <v/>
      </c>
      <c r="O34">
        <f>IF($C34="","",IFERROR(INDEX(tblCategories[Tax Tag],MATCH($K34,tblCategories[Category],0)),""))</f>
        <v/>
      </c>
      <c r="P34" s="20">
        <f>IF($C34="","",IF($G34=PersonA,1,IF($G34=PersonB,0,IFERROR(INDEX(tblCategories[Joint Split A],MATCH($K34,tblCategories[Category],0)),DefaultSplitA))))</f>
        <v/>
      </c>
      <c r="Q34" s="19">
        <f>IF($C34="","",ROUND($J34*N($P34),2))</f>
        <v/>
      </c>
      <c r="R34" s="19">
        <f>IF($C34="","",ROUND($J34-N($Q34),2))</f>
        <v/>
      </c>
      <c r="U34" t="inlineStr">
        <is>
          <t>sample-data</t>
        </is>
      </c>
      <c r="V34" t="inlineStr">
        <is>
          <t>SAMPLE</t>
        </is>
      </c>
      <c r="W34" t="inlineStr">
        <is>
          <t>9C778E99</t>
        </is>
      </c>
      <c r="X34">
        <f>IF($C34="","",IFERROR(IF(_xlfn.ISFORMULA($K34),"Rule","Manual"),""))</f>
        <v/>
      </c>
      <c r="Y34" s="19">
        <f>IF($C34="","",IF(ReportView=PersonA,N($Q34),IF(ReportView=PersonB,N($R34),$J34)))</f>
        <v/>
      </c>
    </row>
    <row r="35">
      <c r="B35">
        <f>IF($C35="","","T"&amp;TEXT(ROW()-ROW(tblTxn[[#Headers],[Txn ID]]),"000000"))</f>
        <v/>
      </c>
      <c r="C35" s="18" t="n">
        <v>46097</v>
      </c>
      <c r="D35">
        <f>IF($C35="","",TEXT($C35,"yyyy-mm"))</f>
        <v/>
      </c>
      <c r="E35" t="inlineStr">
        <is>
          <t>RBC Chequing (Alex)</t>
        </is>
      </c>
      <c r="F35">
        <f>IF($C35="","",IFERROR(INDEX(tblAccounts[Owner],MATCH($E35,tblAccounts[Account],0)),"Joint"))</f>
        <v/>
      </c>
      <c r="G35">
        <f>IF($C35="","",IF(HouseholdMode="Couple",IFERROR(IF(INDEX(tblCategories[Default Owner],MATCH($K35,tblCategories[Category],0))="",$F35,INDEX(tblCategories[Default Owner],MATCH($K35,tblCategories[Category],0))),$F35),$F35))</f>
        <v/>
      </c>
      <c r="H35" t="inlineStr">
        <is>
          <t>TRANSFER TO RRSP WEALTHSIMPLE</t>
        </is>
      </c>
      <c r="I35">
        <f>IF($H35="","",$H35)</f>
        <v/>
      </c>
      <c r="J35" s="19" t="n">
        <v>-450</v>
      </c>
      <c r="K35">
        <f>IF($H35="","",IFERROR(INDEX(tblRules[Category],SUMPRODUCT(MIN((1-((tblRules[Enabled]&lt;&gt;"No")*(tblRules[Pattern]&lt;&gt;"")*(tblRules[Category]&lt;&gt;"")*((tblRules[Flow]="Any")+(tblRules[Flow]="")+((tblRules[Flow]="Money out")*($J35&lt;0))+((tblRules[Flow]="Money in")*($J35&gt;0)))*(((tblRules[Look In]="Account")*ISNUMBER(SEARCH(tblRules[Pattern],$E35)))+((tblRules[Look In]&lt;&gt;"Account")*(((tblRules[Test]="Word")*ISNUMBER(SEARCH(" "&amp;tblRules[Pattern]&amp;" "," "&amp;$H35&amp;" ")))+((tblRules[Test]&lt;&gt;"Word")*ISNUMBER(SEARCH(tblRules[Pattern],$H35))))))&gt;0))*1E+9+ROW(tblRules[Pattern])))-ROW(tblRules[[#Headers],[Pattern]])),"Uncategorized"))</f>
        <v/>
      </c>
      <c r="L35">
        <f>IF($C35="","",IFERROR(INDEX(tblCategories[Group],MATCH($K35,tblCategories[Category],0)),"Other"))</f>
        <v/>
      </c>
      <c r="M35">
        <f>IF($C35="","",IFERROR(INDEX(tblCategories[Type],MATCH($K35,tblCategories[Category],0)),IF($J35&gt;0,"Income","Expense")))</f>
        <v/>
      </c>
      <c r="N35">
        <f>IF($C35="","",IFERROR(INDEX(tblCategories[Essential],MATCH($K35,tblCategories[Category],0)),"No"))</f>
        <v/>
      </c>
      <c r="O35">
        <f>IF($C35="","",IFERROR(INDEX(tblCategories[Tax Tag],MATCH($K35,tblCategories[Category],0)),""))</f>
        <v/>
      </c>
      <c r="P35" s="20">
        <f>IF($C35="","",IF($G35=PersonA,1,IF($G35=PersonB,0,IFERROR(INDEX(tblCategories[Joint Split A],MATCH($K35,tblCategories[Category],0)),DefaultSplitA))))</f>
        <v/>
      </c>
      <c r="Q35" s="19">
        <f>IF($C35="","",ROUND($J35*N($P35),2))</f>
        <v/>
      </c>
      <c r="R35" s="19">
        <f>IF($C35="","",ROUND($J35-N($Q35),2))</f>
        <v/>
      </c>
      <c r="U35" t="inlineStr">
        <is>
          <t>sample-data</t>
        </is>
      </c>
      <c r="V35" t="inlineStr">
        <is>
          <t>SAMPLE</t>
        </is>
      </c>
      <c r="W35" t="inlineStr">
        <is>
          <t>3FF5090B</t>
        </is>
      </c>
      <c r="X35">
        <f>IF($C35="","",IFERROR(IF(_xlfn.ISFORMULA($K35),"Rule","Manual"),""))</f>
        <v/>
      </c>
      <c r="Y35" s="19">
        <f>IF($C35="","",IF(ReportView=PersonA,N($Q35),IF(ReportView=PersonB,N($R35),$J35)))</f>
        <v/>
      </c>
    </row>
    <row r="36">
      <c r="B36">
        <f>IF($C36="","","T"&amp;TEXT(ROW()-ROW(tblTxn[[#Headers],[Txn ID]]),"000000"))</f>
        <v/>
      </c>
      <c r="C36" s="18" t="n">
        <v>46097</v>
      </c>
      <c r="D36">
        <f>IF($C36="","",TEXT($C36,"yyyy-mm"))</f>
        <v/>
      </c>
      <c r="E36" t="inlineStr">
        <is>
          <t>Tangerine Chequing (Sam)</t>
        </is>
      </c>
      <c r="F36">
        <f>IF($C36="","",IFERROR(INDEX(tblAccounts[Owner],MATCH($E36,tblAccounts[Account],0)),"Joint"))</f>
        <v/>
      </c>
      <c r="G36">
        <f>IF($C36="","",IF(HouseholdMode="Couple",IFERROR(IF(INDEX(tblCategories[Default Owner],MATCH($K36,tblCategories[Category],0))="",$F36,INDEX(tblCategories[Default Owner],MATCH($K36,tblCategories[Category],0))),$F36),$F36))</f>
        <v/>
      </c>
      <c r="H36" t="inlineStr">
        <is>
          <t>TFSA CONTRIBUTION TANGERINE INVESTMENT</t>
        </is>
      </c>
      <c r="I36">
        <f>IF($H36="","",$H36)</f>
        <v/>
      </c>
      <c r="J36" s="19" t="n">
        <v>-350</v>
      </c>
      <c r="K36">
        <f>IF($H36="","",IFERROR(INDEX(tblRules[Category],SUMPRODUCT(MIN((1-((tblRules[Enabled]&lt;&gt;"No")*(tblRules[Pattern]&lt;&gt;"")*(tblRules[Category]&lt;&gt;"")*((tblRules[Flow]="Any")+(tblRules[Flow]="")+((tblRules[Flow]="Money out")*($J36&lt;0))+((tblRules[Flow]="Money in")*($J36&gt;0)))*(((tblRules[Look In]="Account")*ISNUMBER(SEARCH(tblRules[Pattern],$E36)))+((tblRules[Look In]&lt;&gt;"Account")*(((tblRules[Test]="Word")*ISNUMBER(SEARCH(" "&amp;tblRules[Pattern]&amp;" "," "&amp;$H36&amp;" ")))+((tblRules[Test]&lt;&gt;"Word")*ISNUMBER(SEARCH(tblRules[Pattern],$H36))))))&gt;0))*1E+9+ROW(tblRules[Pattern])))-ROW(tblRules[[#Headers],[Pattern]])),"Uncategorized"))</f>
        <v/>
      </c>
      <c r="L36">
        <f>IF($C36="","",IFERROR(INDEX(tblCategories[Group],MATCH($K36,tblCategories[Category],0)),"Other"))</f>
        <v/>
      </c>
      <c r="M36">
        <f>IF($C36="","",IFERROR(INDEX(tblCategories[Type],MATCH($K36,tblCategories[Category],0)),IF($J36&gt;0,"Income","Expense")))</f>
        <v/>
      </c>
      <c r="N36">
        <f>IF($C36="","",IFERROR(INDEX(tblCategories[Essential],MATCH($K36,tblCategories[Category],0)),"No"))</f>
        <v/>
      </c>
      <c r="O36">
        <f>IF($C36="","",IFERROR(INDEX(tblCategories[Tax Tag],MATCH($K36,tblCategories[Category],0)),""))</f>
        <v/>
      </c>
      <c r="P36" s="20">
        <f>IF($C36="","",IF($G36=PersonA,1,IF($G36=PersonB,0,IFERROR(INDEX(tblCategories[Joint Split A],MATCH($K36,tblCategories[Category],0)),DefaultSplitA))))</f>
        <v/>
      </c>
      <c r="Q36" s="19">
        <f>IF($C36="","",ROUND($J36*N($P36),2))</f>
        <v/>
      </c>
      <c r="R36" s="19">
        <f>IF($C36="","",ROUND($J36-N($Q36),2))</f>
        <v/>
      </c>
      <c r="U36" t="inlineStr">
        <is>
          <t>sample-data</t>
        </is>
      </c>
      <c r="V36" t="inlineStr">
        <is>
          <t>SAMPLE</t>
        </is>
      </c>
      <c r="W36" t="inlineStr">
        <is>
          <t>CC6135DD</t>
        </is>
      </c>
      <c r="X36">
        <f>IF($C36="","",IFERROR(IF(_xlfn.ISFORMULA($K36),"Rule","Manual"),""))</f>
        <v/>
      </c>
      <c r="Y36" s="19">
        <f>IF($C36="","",IF(ReportView=PersonA,N($Q36),IF(ReportView=PersonB,N($R36),$J36)))</f>
        <v/>
      </c>
    </row>
    <row r="37">
      <c r="B37">
        <f>IF($C37="","","T"&amp;TEXT(ROW()-ROW(tblTxn[[#Headers],[Txn ID]]),"000000"))</f>
        <v/>
      </c>
      <c r="C37" s="18" t="n">
        <v>46098</v>
      </c>
      <c r="D37">
        <f>IF($C37="","",TEXT($C37,"yyyy-mm"))</f>
        <v/>
      </c>
      <c r="E37" t="inlineStr">
        <is>
          <t>BMO Joint Chequing</t>
        </is>
      </c>
      <c r="F37">
        <f>IF($C37="","",IFERROR(INDEX(tblAccounts[Owner],MATCH($E37,tblAccounts[Account],0)),"Joint"))</f>
        <v/>
      </c>
      <c r="G37">
        <f>IF($C37="","",IF(HouseholdMode="Couple",IFERROR(IF(INDEX(tblCategories[Default Owner],MATCH($K37,tblCategories[Category],0))="",$F37,INDEX(tblCategories[Default Owner],MATCH($K37,tblCategories[Category],0))),$F37),$F37))</f>
        <v/>
      </c>
      <c r="H37" t="inlineStr">
        <is>
          <t>SPOTIFY P2C5 MISC PAYMENT</t>
        </is>
      </c>
      <c r="I37">
        <f>IF($H37="","",$H37)</f>
        <v/>
      </c>
      <c r="J37" s="19" t="n">
        <v>-16.99</v>
      </c>
      <c r="K37">
        <f>IF($H37="","",IFERROR(INDEX(tblRules[Category],SUMPRODUCT(MIN((1-((tblRules[Enabled]&lt;&gt;"No")*(tblRules[Pattern]&lt;&gt;"")*(tblRules[Category]&lt;&gt;"")*((tblRules[Flow]="Any")+(tblRules[Flow]="")+((tblRules[Flow]="Money out")*($J37&lt;0))+((tblRules[Flow]="Money in")*($J37&gt;0)))*(((tblRules[Look In]="Account")*ISNUMBER(SEARCH(tblRules[Pattern],$E37)))+((tblRules[Look In]&lt;&gt;"Account")*(((tblRules[Test]="Word")*ISNUMBER(SEARCH(" "&amp;tblRules[Pattern]&amp;" "," "&amp;$H37&amp;" ")))+((tblRules[Test]&lt;&gt;"Word")*ISNUMBER(SEARCH(tblRules[Pattern],$H37))))))&gt;0))*1E+9+ROW(tblRules[Pattern])))-ROW(tblRules[[#Headers],[Pattern]])),"Uncategorized"))</f>
        <v/>
      </c>
      <c r="L37">
        <f>IF($C37="","",IFERROR(INDEX(tblCategories[Group],MATCH($K37,tblCategories[Category],0)),"Other"))</f>
        <v/>
      </c>
      <c r="M37">
        <f>IF($C37="","",IFERROR(INDEX(tblCategories[Type],MATCH($K37,tblCategories[Category],0)),IF($J37&gt;0,"Income","Expense")))</f>
        <v/>
      </c>
      <c r="N37">
        <f>IF($C37="","",IFERROR(INDEX(tblCategories[Essential],MATCH($K37,tblCategories[Category],0)),"No"))</f>
        <v/>
      </c>
      <c r="O37">
        <f>IF($C37="","",IFERROR(INDEX(tblCategories[Tax Tag],MATCH($K37,tblCategories[Category],0)),""))</f>
        <v/>
      </c>
      <c r="P37" s="20">
        <f>IF($C37="","",IF($G37=PersonA,1,IF($G37=PersonB,0,IFERROR(INDEX(tblCategories[Joint Split A],MATCH($K37,tblCategories[Category],0)),DefaultSplitA))))</f>
        <v/>
      </c>
      <c r="Q37" s="19">
        <f>IF($C37="","",ROUND($J37*N($P37),2))</f>
        <v/>
      </c>
      <c r="R37" s="19">
        <f>IF($C37="","",ROUND($J37-N($Q37),2))</f>
        <v/>
      </c>
      <c r="U37" t="inlineStr">
        <is>
          <t>sample-data</t>
        </is>
      </c>
      <c r="V37" t="inlineStr">
        <is>
          <t>SAMPLE</t>
        </is>
      </c>
      <c r="W37" t="inlineStr">
        <is>
          <t>D84F7BE8</t>
        </is>
      </c>
      <c r="X37">
        <f>IF($C37="","",IFERROR(IF(_xlfn.ISFORMULA($K37),"Rule","Manual"),""))</f>
        <v/>
      </c>
      <c r="Y37" s="19">
        <f>IF($C37="","",IF(ReportView=PersonA,N($Q37),IF(ReportView=PersonB,N($R37),$J37)))</f>
        <v/>
      </c>
    </row>
    <row r="38">
      <c r="B38">
        <f>IF($C38="","","T"&amp;TEXT(ROW()-ROW(tblTxn[[#Headers],[Txn ID]]),"000000"))</f>
        <v/>
      </c>
      <c r="C38" s="18" t="n">
        <v>46099</v>
      </c>
      <c r="D38">
        <f>IF($C38="","",TEXT($C38,"yyyy-mm"))</f>
        <v/>
      </c>
      <c r="E38" t="inlineStr">
        <is>
          <t>BMO Joint Chequing</t>
        </is>
      </c>
      <c r="F38">
        <f>IF($C38="","",IFERROR(INDEX(tblAccounts[Owner],MATCH($E38,tblAccounts[Account],0)),"Joint"))</f>
        <v/>
      </c>
      <c r="G38">
        <f>IF($C38="","",IF(HouseholdMode="Couple",IFERROR(IF(INDEX(tblCategories[Default Owner],MATCH($K38,tblCategories[Category],0))="",$F38,INDEX(tblCategories[Default Owner],MATCH($K38,tblCategories[Category],0))),$F38),$F38))</f>
        <v/>
      </c>
      <c r="H38" t="inlineStr">
        <is>
          <t>RESP CONTRIBUTION CST SAVINGS</t>
        </is>
      </c>
      <c r="I38">
        <f>IF($H38="","",$H38)</f>
        <v/>
      </c>
      <c r="J38" s="19" t="n">
        <v>-208.33</v>
      </c>
      <c r="K38">
        <f>IF($H38="","",IFERROR(INDEX(tblRules[Category],SUMPRODUCT(MIN((1-((tblRules[Enabled]&lt;&gt;"No")*(tblRules[Pattern]&lt;&gt;"")*(tblRules[Category]&lt;&gt;"")*((tblRules[Flow]="Any")+(tblRules[Flow]="")+((tblRules[Flow]="Money out")*($J38&lt;0))+((tblRules[Flow]="Money in")*($J38&gt;0)))*(((tblRules[Look In]="Account")*ISNUMBER(SEARCH(tblRules[Pattern],$E38)))+((tblRules[Look In]&lt;&gt;"Account")*(((tblRules[Test]="Word")*ISNUMBER(SEARCH(" "&amp;tblRules[Pattern]&amp;" "," "&amp;$H38&amp;" ")))+((tblRules[Test]&lt;&gt;"Word")*ISNUMBER(SEARCH(tblRules[Pattern],$H38))))))&gt;0))*1E+9+ROW(tblRules[Pattern])))-ROW(tblRules[[#Headers],[Pattern]])),"Uncategorized"))</f>
        <v/>
      </c>
      <c r="L38">
        <f>IF($C38="","",IFERROR(INDEX(tblCategories[Group],MATCH($K38,tblCategories[Category],0)),"Other"))</f>
        <v/>
      </c>
      <c r="M38">
        <f>IF($C38="","",IFERROR(INDEX(tblCategories[Type],MATCH($K38,tblCategories[Category],0)),IF($J38&gt;0,"Income","Expense")))</f>
        <v/>
      </c>
      <c r="N38">
        <f>IF($C38="","",IFERROR(INDEX(tblCategories[Essential],MATCH($K38,tblCategories[Category],0)),"No"))</f>
        <v/>
      </c>
      <c r="O38">
        <f>IF($C38="","",IFERROR(INDEX(tblCategories[Tax Tag],MATCH($K38,tblCategories[Category],0)),""))</f>
        <v/>
      </c>
      <c r="P38" s="20">
        <f>IF($C38="","",IF($G38=PersonA,1,IF($G38=PersonB,0,IFERROR(INDEX(tblCategories[Joint Split A],MATCH($K38,tblCategories[Category],0)),DefaultSplitA))))</f>
        <v/>
      </c>
      <c r="Q38" s="19">
        <f>IF($C38="","",ROUND($J38*N($P38),2))</f>
        <v/>
      </c>
      <c r="R38" s="19">
        <f>IF($C38="","",ROUND($J38-N($Q38),2))</f>
        <v/>
      </c>
      <c r="U38" t="inlineStr">
        <is>
          <t>sample-data</t>
        </is>
      </c>
      <c r="V38" t="inlineStr">
        <is>
          <t>SAMPLE</t>
        </is>
      </c>
      <c r="W38" t="inlineStr">
        <is>
          <t>081E4143</t>
        </is>
      </c>
      <c r="X38">
        <f>IF($C38="","",IFERROR(IF(_xlfn.ISFORMULA($K38),"Rule","Manual"),""))</f>
        <v/>
      </c>
      <c r="Y38" s="19">
        <f>IF($C38="","",IF(ReportView=PersonA,N($Q38),IF(ReportView=PersonB,N($R38),$J38)))</f>
        <v/>
      </c>
    </row>
    <row r="39">
      <c r="B39">
        <f>IF($C39="","","T"&amp;TEXT(ROW()-ROW(tblTxn[[#Headers],[Txn ID]]),"000000"))</f>
        <v/>
      </c>
      <c r="C39" s="18" t="n">
        <v>46101</v>
      </c>
      <c r="D39">
        <f>IF($C39="","",TEXT($C39,"yyyy-mm"))</f>
        <v/>
      </c>
      <c r="E39" t="inlineStr">
        <is>
          <t>Amex Cobalt (Joint)</t>
        </is>
      </c>
      <c r="F39">
        <f>IF($C39="","",IFERROR(INDEX(tblAccounts[Owner],MATCH($E39,tblAccounts[Account],0)),"Joint"))</f>
        <v/>
      </c>
      <c r="G39">
        <f>IF($C39="","",IF(HouseholdMode="Couple",IFERROR(IF(INDEX(tblCategories[Default Owner],MATCH($K39,tblCategories[Category],0))="",$F39,INDEX(tblCategories[Default Owner],MATCH($K39,tblCategories[Category],0))),$F39),$F39))</f>
        <v/>
      </c>
      <c r="H39" t="inlineStr">
        <is>
          <t>IDP PURCHASE - 5887 STARBUCKS #2436 TORONTO ON</t>
        </is>
      </c>
      <c r="I39">
        <f>IF($H39="","",$H39)</f>
        <v/>
      </c>
      <c r="J39" s="19" t="n">
        <v>-9.49</v>
      </c>
      <c r="K39">
        <f>IF($H39="","",IFERROR(INDEX(tblRules[Category],SUMPRODUCT(MIN((1-((tblRules[Enabled]&lt;&gt;"No")*(tblRules[Pattern]&lt;&gt;"")*(tblRules[Category]&lt;&gt;"")*((tblRules[Flow]="Any")+(tblRules[Flow]="")+((tblRules[Flow]="Money out")*($J39&lt;0))+((tblRules[Flow]="Money in")*($J39&gt;0)))*(((tblRules[Look In]="Account")*ISNUMBER(SEARCH(tblRules[Pattern],$E39)))+((tblRules[Look In]&lt;&gt;"Account")*(((tblRules[Test]="Word")*ISNUMBER(SEARCH(" "&amp;tblRules[Pattern]&amp;" "," "&amp;$H39&amp;" ")))+((tblRules[Test]&lt;&gt;"Word")*ISNUMBER(SEARCH(tblRules[Pattern],$H39))))))&gt;0))*1E+9+ROW(tblRules[Pattern])))-ROW(tblRules[[#Headers],[Pattern]])),"Uncategorized"))</f>
        <v/>
      </c>
      <c r="L39">
        <f>IF($C39="","",IFERROR(INDEX(tblCategories[Group],MATCH($K39,tblCategories[Category],0)),"Other"))</f>
        <v/>
      </c>
      <c r="M39">
        <f>IF($C39="","",IFERROR(INDEX(tblCategories[Type],MATCH($K39,tblCategories[Category],0)),IF($J39&gt;0,"Income","Expense")))</f>
        <v/>
      </c>
      <c r="N39">
        <f>IF($C39="","",IFERROR(INDEX(tblCategories[Essential],MATCH($K39,tblCategories[Category],0)),"No"))</f>
        <v/>
      </c>
      <c r="O39">
        <f>IF($C39="","",IFERROR(INDEX(tblCategories[Tax Tag],MATCH($K39,tblCategories[Category],0)),""))</f>
        <v/>
      </c>
      <c r="P39" s="20">
        <f>IF($C39="","",IF($G39=PersonA,1,IF($G39=PersonB,0,IFERROR(INDEX(tblCategories[Joint Split A],MATCH($K39,tblCategories[Category],0)),DefaultSplitA))))</f>
        <v/>
      </c>
      <c r="Q39" s="19">
        <f>IF($C39="","",ROUND($J39*N($P39),2))</f>
        <v/>
      </c>
      <c r="R39" s="19">
        <f>IF($C39="","",ROUND($J39-N($Q39),2))</f>
        <v/>
      </c>
      <c r="U39" t="inlineStr">
        <is>
          <t>sample-data</t>
        </is>
      </c>
      <c r="V39" t="inlineStr">
        <is>
          <t>SAMPLE</t>
        </is>
      </c>
      <c r="W39" t="inlineStr">
        <is>
          <t>11EB6985</t>
        </is>
      </c>
      <c r="X39">
        <f>IF($C39="","",IFERROR(IF(_xlfn.ISFORMULA($K39),"Rule","Manual"),""))</f>
        <v/>
      </c>
      <c r="Y39" s="19">
        <f>IF($C39="","",IF(ReportView=PersonA,N($Q39),IF(ReportView=PersonB,N($R39),$J39)))</f>
        <v/>
      </c>
    </row>
    <row r="40">
      <c r="B40">
        <f>IF($C40="","","T"&amp;TEXT(ROW()-ROW(tblTxn[[#Headers],[Txn ID]]),"000000"))</f>
        <v/>
      </c>
      <c r="C40" s="18" t="n">
        <v>46101</v>
      </c>
      <c r="D40">
        <f>IF($C40="","",TEXT($C40,"yyyy-mm"))</f>
        <v/>
      </c>
      <c r="E40" t="inlineStr">
        <is>
          <t>BMO Joint Chequing</t>
        </is>
      </c>
      <c r="F40">
        <f>IF($C40="","",IFERROR(INDEX(tblAccounts[Owner],MATCH($E40,tblAccounts[Account],0)),"Joint"))</f>
        <v/>
      </c>
      <c r="G40">
        <f>IF($C40="","",IF(HouseholdMode="Couple",IFERROR(IF(INDEX(tblCategories[Default Owner],MATCH($K40,tblCategories[Category],0))="",$F40,INDEX(tblCategories[Default Owner],MATCH($K40,tblCategories[Category],0))),$F40),$F40))</f>
        <v/>
      </c>
      <c r="H40" t="inlineStr">
        <is>
          <t>CANADA FED / FED CCB DEPOSIT</t>
        </is>
      </c>
      <c r="I40">
        <f>IF($H40="","",$H40)</f>
        <v/>
      </c>
      <c r="J40" s="19" t="n">
        <v>619.75</v>
      </c>
      <c r="K40">
        <f>IF($H40="","",IFERROR(INDEX(tblRules[Category],SUMPRODUCT(MIN((1-((tblRules[Enabled]&lt;&gt;"No")*(tblRules[Pattern]&lt;&gt;"")*(tblRules[Category]&lt;&gt;"")*((tblRules[Flow]="Any")+(tblRules[Flow]="")+((tblRules[Flow]="Money out")*($J40&lt;0))+((tblRules[Flow]="Money in")*($J40&gt;0)))*(((tblRules[Look In]="Account")*ISNUMBER(SEARCH(tblRules[Pattern],$E40)))+((tblRules[Look In]&lt;&gt;"Account")*(((tblRules[Test]="Word")*ISNUMBER(SEARCH(" "&amp;tblRules[Pattern]&amp;" "," "&amp;$H40&amp;" ")))+((tblRules[Test]&lt;&gt;"Word")*ISNUMBER(SEARCH(tblRules[Pattern],$H40))))))&gt;0))*1E+9+ROW(tblRules[Pattern])))-ROW(tblRules[[#Headers],[Pattern]])),"Uncategorized"))</f>
        <v/>
      </c>
      <c r="L40">
        <f>IF($C40="","",IFERROR(INDEX(tblCategories[Group],MATCH($K40,tblCategories[Category],0)),"Other"))</f>
        <v/>
      </c>
      <c r="M40">
        <f>IF($C40="","",IFERROR(INDEX(tblCategories[Type],MATCH($K40,tblCategories[Category],0)),IF($J40&gt;0,"Income","Expense")))</f>
        <v/>
      </c>
      <c r="N40">
        <f>IF($C40="","",IFERROR(INDEX(tblCategories[Essential],MATCH($K40,tblCategories[Category],0)),"No"))</f>
        <v/>
      </c>
      <c r="O40">
        <f>IF($C40="","",IFERROR(INDEX(tblCategories[Tax Tag],MATCH($K40,tblCategories[Category],0)),""))</f>
        <v/>
      </c>
      <c r="P40" s="20">
        <f>IF($C40="","",IF($G40=PersonA,1,IF($G40=PersonB,0,IFERROR(INDEX(tblCategories[Joint Split A],MATCH($K40,tblCategories[Category],0)),DefaultSplitA))))</f>
        <v/>
      </c>
      <c r="Q40" s="19">
        <f>IF($C40="","",ROUND($J40*N($P40),2))</f>
        <v/>
      </c>
      <c r="R40" s="19">
        <f>IF($C40="","",ROUND($J40-N($Q40),2))</f>
        <v/>
      </c>
      <c r="U40" t="inlineStr">
        <is>
          <t>sample-data</t>
        </is>
      </c>
      <c r="V40" t="inlineStr">
        <is>
          <t>SAMPLE</t>
        </is>
      </c>
      <c r="W40" t="inlineStr">
        <is>
          <t>C9C65697</t>
        </is>
      </c>
      <c r="X40">
        <f>IF($C40="","",IFERROR(IF(_xlfn.ISFORMULA($K40),"Rule","Manual"),""))</f>
        <v/>
      </c>
      <c r="Y40" s="19">
        <f>IF($C40="","",IF(ReportView=PersonA,N($Q40),IF(ReportView=PersonB,N($R40),$J40)))</f>
        <v/>
      </c>
    </row>
    <row r="41">
      <c r="B41">
        <f>IF($C41="","","T"&amp;TEXT(ROW()-ROW(tblTxn[[#Headers],[Txn ID]]),"000000"))</f>
        <v/>
      </c>
      <c r="C41" s="18" t="n">
        <v>46102</v>
      </c>
      <c r="D41">
        <f>IF($C41="","",TEXT($C41,"yyyy-mm"))</f>
        <v/>
      </c>
      <c r="E41" t="inlineStr">
        <is>
          <t>Amex Cobalt (Joint)</t>
        </is>
      </c>
      <c r="F41">
        <f>IF($C41="","",IFERROR(INDEX(tblAccounts[Owner],MATCH($E41,tblAccounts[Account],0)),"Joint"))</f>
        <v/>
      </c>
      <c r="G41">
        <f>IF($C41="","",IF(HouseholdMode="Couple",IFERROR(IF(INDEX(tblCategories[Default Owner],MATCH($K41,tblCategories[Category],0))="",$F41,INDEX(tblCategories[Default Owner],MATCH($K41,tblCategories[Category],0))),$F41),$F41))</f>
        <v/>
      </c>
      <c r="H41" t="inlineStr">
        <is>
          <t>IDP PURCHASE - 9397 TIM HORTONS #3834 TORONTO ON</t>
        </is>
      </c>
      <c r="I41">
        <f>IF($H41="","",$H41)</f>
        <v/>
      </c>
      <c r="J41" s="19" t="n">
        <v>-6.1</v>
      </c>
      <c r="K41">
        <f>IF($H41="","",IFERROR(INDEX(tblRules[Category],SUMPRODUCT(MIN((1-((tblRules[Enabled]&lt;&gt;"No")*(tblRules[Pattern]&lt;&gt;"")*(tblRules[Category]&lt;&gt;"")*((tblRules[Flow]="Any")+(tblRules[Flow]="")+((tblRules[Flow]="Money out")*($J41&lt;0))+((tblRules[Flow]="Money in")*($J41&gt;0)))*(((tblRules[Look In]="Account")*ISNUMBER(SEARCH(tblRules[Pattern],$E41)))+((tblRules[Look In]&lt;&gt;"Account")*(((tblRules[Test]="Word")*ISNUMBER(SEARCH(" "&amp;tblRules[Pattern]&amp;" "," "&amp;$H41&amp;" ")))+((tblRules[Test]&lt;&gt;"Word")*ISNUMBER(SEARCH(tblRules[Pattern],$H41))))))&gt;0))*1E+9+ROW(tblRules[Pattern])))-ROW(tblRules[[#Headers],[Pattern]])),"Uncategorized"))</f>
        <v/>
      </c>
      <c r="L41">
        <f>IF($C41="","",IFERROR(INDEX(tblCategories[Group],MATCH($K41,tblCategories[Category],0)),"Other"))</f>
        <v/>
      </c>
      <c r="M41">
        <f>IF($C41="","",IFERROR(INDEX(tblCategories[Type],MATCH($K41,tblCategories[Category],0)),IF($J41&gt;0,"Income","Expense")))</f>
        <v/>
      </c>
      <c r="N41">
        <f>IF($C41="","",IFERROR(INDEX(tblCategories[Essential],MATCH($K41,tblCategories[Category],0)),"No"))</f>
        <v/>
      </c>
      <c r="O41">
        <f>IF($C41="","",IFERROR(INDEX(tblCategories[Tax Tag],MATCH($K41,tblCategories[Category],0)),""))</f>
        <v/>
      </c>
      <c r="P41" s="20">
        <f>IF($C41="","",IF($G41=PersonA,1,IF($G41=PersonB,0,IFERROR(INDEX(tblCategories[Joint Split A],MATCH($K41,tblCategories[Category],0)),DefaultSplitA))))</f>
        <v/>
      </c>
      <c r="Q41" s="19">
        <f>IF($C41="","",ROUND($J41*N($P41),2))</f>
        <v/>
      </c>
      <c r="R41" s="19">
        <f>IF($C41="","",ROUND($J41-N($Q41),2))</f>
        <v/>
      </c>
      <c r="U41" t="inlineStr">
        <is>
          <t>sample-data</t>
        </is>
      </c>
      <c r="V41" t="inlineStr">
        <is>
          <t>SAMPLE</t>
        </is>
      </c>
      <c r="W41" t="inlineStr">
        <is>
          <t>096D38B1</t>
        </is>
      </c>
      <c r="X41">
        <f>IF($C41="","",IFERROR(IF(_xlfn.ISFORMULA($K41),"Rule","Manual"),""))</f>
        <v/>
      </c>
      <c r="Y41" s="19">
        <f>IF($C41="","",IF(ReportView=PersonA,N($Q41),IF(ReportView=PersonB,N($R41),$J41)))</f>
        <v/>
      </c>
    </row>
    <row r="42">
      <c r="B42">
        <f>IF($C42="","","T"&amp;TEXT(ROW()-ROW(tblTxn[[#Headers],[Txn ID]]),"000000"))</f>
        <v/>
      </c>
      <c r="C42" s="18" t="n">
        <v>46103</v>
      </c>
      <c r="D42">
        <f>IF($C42="","",TEXT($C42,"yyyy-mm"))</f>
        <v/>
      </c>
      <c r="E42" t="inlineStr">
        <is>
          <t>RBC Chequing (Alex)</t>
        </is>
      </c>
      <c r="F42">
        <f>IF($C42="","",IFERROR(INDEX(tblAccounts[Owner],MATCH($E42,tblAccounts[Account],0)),"Joint"))</f>
        <v/>
      </c>
      <c r="G42">
        <f>IF($C42="","",IF(HouseholdMode="Couple",IFERROR(IF(INDEX(tblCategories[Default Owner],MATCH($K42,tblCategories[Category],0))="",$F42,INDEX(tblCategories[Default Owner],MATCH($K42,tblCategories[Category],0))),$F42),$F42))</f>
        <v/>
      </c>
      <c r="H42" t="inlineStr">
        <is>
          <t>AMZ*UBER EATS TORONTO ON</t>
        </is>
      </c>
      <c r="I42">
        <f>IF($H42="","",$H42)</f>
        <v/>
      </c>
      <c r="J42" s="19" t="n">
        <v>-62.31</v>
      </c>
      <c r="K42">
        <f>IF($H42="","",IFERROR(INDEX(tblRules[Category],SUMPRODUCT(MIN((1-((tblRules[Enabled]&lt;&gt;"No")*(tblRules[Pattern]&lt;&gt;"")*(tblRules[Category]&lt;&gt;"")*((tblRules[Flow]="Any")+(tblRules[Flow]="")+((tblRules[Flow]="Money out")*($J42&lt;0))+((tblRules[Flow]="Money in")*($J42&gt;0)))*(((tblRules[Look In]="Account")*ISNUMBER(SEARCH(tblRules[Pattern],$E42)))+((tblRules[Look In]&lt;&gt;"Account")*(((tblRules[Test]="Word")*ISNUMBER(SEARCH(" "&amp;tblRules[Pattern]&amp;" "," "&amp;$H42&amp;" ")))+((tblRules[Test]&lt;&gt;"Word")*ISNUMBER(SEARCH(tblRules[Pattern],$H42))))))&gt;0))*1E+9+ROW(tblRules[Pattern])))-ROW(tblRules[[#Headers],[Pattern]])),"Uncategorized"))</f>
        <v/>
      </c>
      <c r="L42">
        <f>IF($C42="","",IFERROR(INDEX(tblCategories[Group],MATCH($K42,tblCategories[Category],0)),"Other"))</f>
        <v/>
      </c>
      <c r="M42">
        <f>IF($C42="","",IFERROR(INDEX(tblCategories[Type],MATCH($K42,tblCategories[Category],0)),IF($J42&gt;0,"Income","Expense")))</f>
        <v/>
      </c>
      <c r="N42">
        <f>IF($C42="","",IFERROR(INDEX(tblCategories[Essential],MATCH($K42,tblCategories[Category],0)),"No"))</f>
        <v/>
      </c>
      <c r="O42">
        <f>IF($C42="","",IFERROR(INDEX(tblCategories[Tax Tag],MATCH($K42,tblCategories[Category],0)),""))</f>
        <v/>
      </c>
      <c r="P42" s="20">
        <f>IF($C42="","",IF($G42=PersonA,1,IF($G42=PersonB,0,IFERROR(INDEX(tblCategories[Joint Split A],MATCH($K42,tblCategories[Category],0)),DefaultSplitA))))</f>
        <v/>
      </c>
      <c r="Q42" s="19">
        <f>IF($C42="","",ROUND($J42*N($P42),2))</f>
        <v/>
      </c>
      <c r="R42" s="19">
        <f>IF($C42="","",ROUND($J42-N($Q42),2))</f>
        <v/>
      </c>
      <c r="U42" t="inlineStr">
        <is>
          <t>sample-data</t>
        </is>
      </c>
      <c r="V42" t="inlineStr">
        <is>
          <t>SAMPLE</t>
        </is>
      </c>
      <c r="W42" t="inlineStr">
        <is>
          <t>DCD0CCC4</t>
        </is>
      </c>
      <c r="X42">
        <f>IF($C42="","",IFERROR(IF(_xlfn.ISFORMULA($K42),"Rule","Manual"),""))</f>
        <v/>
      </c>
      <c r="Y42" s="19">
        <f>IF($C42="","",IF(ReportView=PersonA,N($Q42),IF(ReportView=PersonB,N($R42),$J42)))</f>
        <v/>
      </c>
    </row>
    <row r="43">
      <c r="B43">
        <f>IF($C43="","","T"&amp;TEXT(ROW()-ROW(tblTxn[[#Headers],[Txn ID]]),"000000"))</f>
        <v/>
      </c>
      <c r="C43" s="18" t="n">
        <v>46104</v>
      </c>
      <c r="D43">
        <f>IF($C43="","",TEXT($C43,"yyyy-mm"))</f>
        <v/>
      </c>
      <c r="E43" t="inlineStr">
        <is>
          <t>Amex Cobalt (Joint)</t>
        </is>
      </c>
      <c r="F43">
        <f>IF($C43="","",IFERROR(INDEX(tblAccounts[Owner],MATCH($E43,tblAccounts[Account],0)),"Joint"))</f>
        <v/>
      </c>
      <c r="G43">
        <f>IF($C43="","",IF(HouseholdMode="Couple",IFERROR(IF(INDEX(tblCategories[Default Owner],MATCH($K43,tblCategories[Category],0))="",$F43,INDEX(tblCategories[Default Owner],MATCH($K43,tblCategories[Category],0))),$F43),$F43))</f>
        <v/>
      </c>
      <c r="H43" t="inlineStr">
        <is>
          <t>UBER TRIP HELP.UBER.COM ON</t>
        </is>
      </c>
      <c r="I43">
        <f>IF($H43="","",$H43)</f>
        <v/>
      </c>
      <c r="J43" s="19" t="n">
        <v>-23.59</v>
      </c>
      <c r="K43">
        <f>IF($H43="","",IFERROR(INDEX(tblRules[Category],SUMPRODUCT(MIN((1-((tblRules[Enabled]&lt;&gt;"No")*(tblRules[Pattern]&lt;&gt;"")*(tblRules[Category]&lt;&gt;"")*((tblRules[Flow]="Any")+(tblRules[Flow]="")+((tblRules[Flow]="Money out")*($J43&lt;0))+((tblRules[Flow]="Money in")*($J43&gt;0)))*(((tblRules[Look In]="Account")*ISNUMBER(SEARCH(tblRules[Pattern],$E43)))+((tblRules[Look In]&lt;&gt;"Account")*(((tblRules[Test]="Word")*ISNUMBER(SEARCH(" "&amp;tblRules[Pattern]&amp;" "," "&amp;$H43&amp;" ")))+((tblRules[Test]&lt;&gt;"Word")*ISNUMBER(SEARCH(tblRules[Pattern],$H43))))))&gt;0))*1E+9+ROW(tblRules[Pattern])))-ROW(tblRules[[#Headers],[Pattern]])),"Uncategorized"))</f>
        <v/>
      </c>
      <c r="L43">
        <f>IF($C43="","",IFERROR(INDEX(tblCategories[Group],MATCH($K43,tblCategories[Category],0)),"Other"))</f>
        <v/>
      </c>
      <c r="M43">
        <f>IF($C43="","",IFERROR(INDEX(tblCategories[Type],MATCH($K43,tblCategories[Category],0)),IF($J43&gt;0,"Income","Expense")))</f>
        <v/>
      </c>
      <c r="N43">
        <f>IF($C43="","",IFERROR(INDEX(tblCategories[Essential],MATCH($K43,tblCategories[Category],0)),"No"))</f>
        <v/>
      </c>
      <c r="O43">
        <f>IF($C43="","",IFERROR(INDEX(tblCategories[Tax Tag],MATCH($K43,tblCategories[Category],0)),""))</f>
        <v/>
      </c>
      <c r="P43" s="20">
        <f>IF($C43="","",IF($G43=PersonA,1,IF($G43=PersonB,0,IFERROR(INDEX(tblCategories[Joint Split A],MATCH($K43,tblCategories[Category],0)),DefaultSplitA))))</f>
        <v/>
      </c>
      <c r="Q43" s="19">
        <f>IF($C43="","",ROUND($J43*N($P43),2))</f>
        <v/>
      </c>
      <c r="R43" s="19">
        <f>IF($C43="","",ROUND($J43-N($Q43),2))</f>
        <v/>
      </c>
      <c r="U43" t="inlineStr">
        <is>
          <t>sample-data</t>
        </is>
      </c>
      <c r="V43" t="inlineStr">
        <is>
          <t>SAMPLE</t>
        </is>
      </c>
      <c r="W43" t="inlineStr">
        <is>
          <t>B48ED9BA</t>
        </is>
      </c>
      <c r="X43">
        <f>IF($C43="","",IFERROR(IF(_xlfn.ISFORMULA($K43),"Rule","Manual"),""))</f>
        <v/>
      </c>
      <c r="Y43" s="19">
        <f>IF($C43="","",IF(ReportView=PersonA,N($Q43),IF(ReportView=PersonB,N($R43),$J43)))</f>
        <v/>
      </c>
    </row>
    <row r="44">
      <c r="B44">
        <f>IF($C44="","","T"&amp;TEXT(ROW()-ROW(tblTxn[[#Headers],[Txn ID]]),"000000"))</f>
        <v/>
      </c>
      <c r="C44" s="18" t="n">
        <v>46104</v>
      </c>
      <c r="D44">
        <f>IF($C44="","",TEXT($C44,"yyyy-mm"))</f>
        <v/>
      </c>
      <c r="E44" t="inlineStr">
        <is>
          <t>BMO Joint Chequing</t>
        </is>
      </c>
      <c r="F44">
        <f>IF($C44="","",IFERROR(INDEX(tblAccounts[Owner],MATCH($E44,tblAccounts[Account],0)),"Joint"))</f>
        <v/>
      </c>
      <c r="G44">
        <f>IF($C44="","",IF(HouseholdMode="Couple",IFERROR(IF(INDEX(tblCategories[Default Owner],MATCH($K44,tblCategories[Category],0))="",$F44,INDEX(tblCategories[Default Owner],MATCH($K44,tblCategories[Category],0))),$F44),$F44))</f>
        <v/>
      </c>
      <c r="H44" t="inlineStr">
        <is>
          <t>IDP PURCHASE - 7937 NO FRILLS #3233 TORONTO ON</t>
        </is>
      </c>
      <c r="I44">
        <f>IF($H44="","",$H44)</f>
        <v/>
      </c>
      <c r="J44" s="19" t="n">
        <v>-87.06999999999999</v>
      </c>
      <c r="K44">
        <f>IF($H44="","",IFERROR(INDEX(tblRules[Category],SUMPRODUCT(MIN((1-((tblRules[Enabled]&lt;&gt;"No")*(tblRules[Pattern]&lt;&gt;"")*(tblRules[Category]&lt;&gt;"")*((tblRules[Flow]="Any")+(tblRules[Flow]="")+((tblRules[Flow]="Money out")*($J44&lt;0))+((tblRules[Flow]="Money in")*($J44&gt;0)))*(((tblRules[Look In]="Account")*ISNUMBER(SEARCH(tblRules[Pattern],$E44)))+((tblRules[Look In]&lt;&gt;"Account")*(((tblRules[Test]="Word")*ISNUMBER(SEARCH(" "&amp;tblRules[Pattern]&amp;" "," "&amp;$H44&amp;" ")))+((tblRules[Test]&lt;&gt;"Word")*ISNUMBER(SEARCH(tblRules[Pattern],$H44))))))&gt;0))*1E+9+ROW(tblRules[Pattern])))-ROW(tblRules[[#Headers],[Pattern]])),"Uncategorized"))</f>
        <v/>
      </c>
      <c r="L44">
        <f>IF($C44="","",IFERROR(INDEX(tblCategories[Group],MATCH($K44,tblCategories[Category],0)),"Other"))</f>
        <v/>
      </c>
      <c r="M44">
        <f>IF($C44="","",IFERROR(INDEX(tblCategories[Type],MATCH($K44,tblCategories[Category],0)),IF($J44&gt;0,"Income","Expense")))</f>
        <v/>
      </c>
      <c r="N44">
        <f>IF($C44="","",IFERROR(INDEX(tblCategories[Essential],MATCH($K44,tblCategories[Category],0)),"No"))</f>
        <v/>
      </c>
      <c r="O44">
        <f>IF($C44="","",IFERROR(INDEX(tblCategories[Tax Tag],MATCH($K44,tblCategories[Category],0)),""))</f>
        <v/>
      </c>
      <c r="P44" s="20">
        <f>IF($C44="","",IF($G44=PersonA,1,IF($G44=PersonB,0,IFERROR(INDEX(tblCategories[Joint Split A],MATCH($K44,tblCategories[Category],0)),DefaultSplitA))))</f>
        <v/>
      </c>
      <c r="Q44" s="19">
        <f>IF($C44="","",ROUND($J44*N($P44),2))</f>
        <v/>
      </c>
      <c r="R44" s="19">
        <f>IF($C44="","",ROUND($J44-N($Q44),2))</f>
        <v/>
      </c>
      <c r="U44" t="inlineStr">
        <is>
          <t>sample-data</t>
        </is>
      </c>
      <c r="V44" t="inlineStr">
        <is>
          <t>SAMPLE</t>
        </is>
      </c>
      <c r="W44" t="inlineStr">
        <is>
          <t>1902A53E</t>
        </is>
      </c>
      <c r="X44">
        <f>IF($C44="","",IFERROR(IF(_xlfn.ISFORMULA($K44),"Rule","Manual"),""))</f>
        <v/>
      </c>
      <c r="Y44" s="19">
        <f>IF($C44="","",IF(ReportView=PersonA,N($Q44),IF(ReportView=PersonB,N($R44),$J44)))</f>
        <v/>
      </c>
    </row>
    <row r="45">
      <c r="B45">
        <f>IF($C45="","","T"&amp;TEXT(ROW()-ROW(tblTxn[[#Headers],[Txn ID]]),"000000"))</f>
        <v/>
      </c>
      <c r="C45" s="18" t="n">
        <v>46104</v>
      </c>
      <c r="D45">
        <f>IF($C45="","",TEXT($C45,"yyyy-mm"))</f>
        <v/>
      </c>
      <c r="E45" t="inlineStr">
        <is>
          <t>BMO Joint Chequing</t>
        </is>
      </c>
      <c r="F45">
        <f>IF($C45="","",IFERROR(INDEX(tblAccounts[Owner],MATCH($E45,tblAccounts[Account],0)),"Joint"))</f>
        <v/>
      </c>
      <c r="G45">
        <f>IF($C45="","",IF(HouseholdMode="Couple",IFERROR(IF(INDEX(tblCategories[Default Owner],MATCH($K45,tblCategories[Category],0))="",$F45,INDEX(tblCategories[Default Owner],MATCH($K45,tblCategories[Category],0))),$F45),$F45))</f>
        <v/>
      </c>
      <c r="H45" t="inlineStr">
        <is>
          <t>IDP PURCHASE - 8188 STARBUCKS #2156 TORONTO ON</t>
        </is>
      </c>
      <c r="I45">
        <f>IF($H45="","",$H45)</f>
        <v/>
      </c>
      <c r="J45" s="19" t="n">
        <v>-11.8</v>
      </c>
      <c r="K45">
        <f>IF($H45="","",IFERROR(INDEX(tblRules[Category],SUMPRODUCT(MIN((1-((tblRules[Enabled]&lt;&gt;"No")*(tblRules[Pattern]&lt;&gt;"")*(tblRules[Category]&lt;&gt;"")*((tblRules[Flow]="Any")+(tblRules[Flow]="")+((tblRules[Flow]="Money out")*($J45&lt;0))+((tblRules[Flow]="Money in")*($J45&gt;0)))*(((tblRules[Look In]="Account")*ISNUMBER(SEARCH(tblRules[Pattern],$E45)))+((tblRules[Look In]&lt;&gt;"Account")*(((tblRules[Test]="Word")*ISNUMBER(SEARCH(" "&amp;tblRules[Pattern]&amp;" "," "&amp;$H45&amp;" ")))+((tblRules[Test]&lt;&gt;"Word")*ISNUMBER(SEARCH(tblRules[Pattern],$H45))))))&gt;0))*1E+9+ROW(tblRules[Pattern])))-ROW(tblRules[[#Headers],[Pattern]])),"Uncategorized"))</f>
        <v/>
      </c>
      <c r="L45">
        <f>IF($C45="","",IFERROR(INDEX(tblCategories[Group],MATCH($K45,tblCategories[Category],0)),"Other"))</f>
        <v/>
      </c>
      <c r="M45">
        <f>IF($C45="","",IFERROR(INDEX(tblCategories[Type],MATCH($K45,tblCategories[Category],0)),IF($J45&gt;0,"Income","Expense")))</f>
        <v/>
      </c>
      <c r="N45">
        <f>IF($C45="","",IFERROR(INDEX(tblCategories[Essential],MATCH($K45,tblCategories[Category],0)),"No"))</f>
        <v/>
      </c>
      <c r="O45">
        <f>IF($C45="","",IFERROR(INDEX(tblCategories[Tax Tag],MATCH($K45,tblCategories[Category],0)),""))</f>
        <v/>
      </c>
      <c r="P45" s="20">
        <f>IF($C45="","",IF($G45=PersonA,1,IF($G45=PersonB,0,IFERROR(INDEX(tblCategories[Joint Split A],MATCH($K45,tblCategories[Category],0)),DefaultSplitA))))</f>
        <v/>
      </c>
      <c r="Q45" s="19">
        <f>IF($C45="","",ROUND($J45*N($P45),2))</f>
        <v/>
      </c>
      <c r="R45" s="19">
        <f>IF($C45="","",ROUND($J45-N($Q45),2))</f>
        <v/>
      </c>
      <c r="U45" t="inlineStr">
        <is>
          <t>sample-data</t>
        </is>
      </c>
      <c r="V45" t="inlineStr">
        <is>
          <t>SAMPLE</t>
        </is>
      </c>
      <c r="W45" t="inlineStr">
        <is>
          <t>5F94F691</t>
        </is>
      </c>
      <c r="X45">
        <f>IF($C45="","",IFERROR(IF(_xlfn.ISFORMULA($K45),"Rule","Manual"),""))</f>
        <v/>
      </c>
      <c r="Y45" s="19">
        <f>IF($C45="","",IF(ReportView=PersonA,N($Q45),IF(ReportView=PersonB,N($R45),$J45)))</f>
        <v/>
      </c>
    </row>
    <row r="46">
      <c r="B46">
        <f>IF($C46="","","T"&amp;TEXT(ROW()-ROW(tblTxn[[#Headers],[Txn ID]]),"000000"))</f>
        <v/>
      </c>
      <c r="C46" s="18" t="n">
        <v>46104</v>
      </c>
      <c r="D46">
        <f>IF($C46="","",TEXT($C46,"yyyy-mm"))</f>
        <v/>
      </c>
      <c r="E46" t="inlineStr">
        <is>
          <t>Tangerine Chequing (Sam)</t>
        </is>
      </c>
      <c r="F46">
        <f>IF($C46="","",IFERROR(INDEX(tblAccounts[Owner],MATCH($E46,tblAccounts[Account],0)),"Joint"))</f>
        <v/>
      </c>
      <c r="G46">
        <f>IF($C46="","",IF(HouseholdMode="Couple",IFERROR(IF(INDEX(tblCategories[Default Owner],MATCH($K46,tblCategories[Category],0))="",$F46,INDEX(tblCategories[Default Owner],MATCH($K46,tblCategories[Category],0))),$F46),$F46))</f>
        <v/>
      </c>
      <c r="H46" t="inlineStr">
        <is>
          <t>IDP PURCHASE - 6662 INDIGO #862 ON</t>
        </is>
      </c>
      <c r="I46">
        <f>IF($H46="","",$H46)</f>
        <v/>
      </c>
      <c r="J46" s="19" t="n">
        <v>-27.38</v>
      </c>
      <c r="K46">
        <f>IF($H46="","",IFERROR(INDEX(tblRules[Category],SUMPRODUCT(MIN((1-((tblRules[Enabled]&lt;&gt;"No")*(tblRules[Pattern]&lt;&gt;"")*(tblRules[Category]&lt;&gt;"")*((tblRules[Flow]="Any")+(tblRules[Flow]="")+((tblRules[Flow]="Money out")*($J46&lt;0))+((tblRules[Flow]="Money in")*($J46&gt;0)))*(((tblRules[Look In]="Account")*ISNUMBER(SEARCH(tblRules[Pattern],$E46)))+((tblRules[Look In]&lt;&gt;"Account")*(((tblRules[Test]="Word")*ISNUMBER(SEARCH(" "&amp;tblRules[Pattern]&amp;" "," "&amp;$H46&amp;" ")))+((tblRules[Test]&lt;&gt;"Word")*ISNUMBER(SEARCH(tblRules[Pattern],$H46))))))&gt;0))*1E+9+ROW(tblRules[Pattern])))-ROW(tblRules[[#Headers],[Pattern]])),"Uncategorized"))</f>
        <v/>
      </c>
      <c r="L46">
        <f>IF($C46="","",IFERROR(INDEX(tblCategories[Group],MATCH($K46,tblCategories[Category],0)),"Other"))</f>
        <v/>
      </c>
      <c r="M46">
        <f>IF($C46="","",IFERROR(INDEX(tblCategories[Type],MATCH($K46,tblCategories[Category],0)),IF($J46&gt;0,"Income","Expense")))</f>
        <v/>
      </c>
      <c r="N46">
        <f>IF($C46="","",IFERROR(INDEX(tblCategories[Essential],MATCH($K46,tblCategories[Category],0)),"No"))</f>
        <v/>
      </c>
      <c r="O46">
        <f>IF($C46="","",IFERROR(INDEX(tblCategories[Tax Tag],MATCH($K46,tblCategories[Category],0)),""))</f>
        <v/>
      </c>
      <c r="P46" s="20">
        <f>IF($C46="","",IF($G46=PersonA,1,IF($G46=PersonB,0,IFERROR(INDEX(tblCategories[Joint Split A],MATCH($K46,tblCategories[Category],0)),DefaultSplitA))))</f>
        <v/>
      </c>
      <c r="Q46" s="19">
        <f>IF($C46="","",ROUND($J46*N($P46),2))</f>
        <v/>
      </c>
      <c r="R46" s="19">
        <f>IF($C46="","",ROUND($J46-N($Q46),2))</f>
        <v/>
      </c>
      <c r="U46" t="inlineStr">
        <is>
          <t>sample-data</t>
        </is>
      </c>
      <c r="V46" t="inlineStr">
        <is>
          <t>SAMPLE</t>
        </is>
      </c>
      <c r="W46" t="inlineStr">
        <is>
          <t>3553EF52</t>
        </is>
      </c>
      <c r="X46">
        <f>IF($C46="","",IFERROR(IF(_xlfn.ISFORMULA($K46),"Rule","Manual"),""))</f>
        <v/>
      </c>
      <c r="Y46" s="19">
        <f>IF($C46="","",IF(ReportView=PersonA,N($Q46),IF(ReportView=PersonB,N($R46),$J46)))</f>
        <v/>
      </c>
    </row>
    <row r="47">
      <c r="B47">
        <f>IF($C47="","","T"&amp;TEXT(ROW()-ROW(tblTxn[[#Headers],[Txn ID]]),"000000"))</f>
        <v/>
      </c>
      <c r="C47" s="18" t="n">
        <v>46106</v>
      </c>
      <c r="D47">
        <f>IF($C47="","",TEXT($C47,"yyyy-mm"))</f>
        <v/>
      </c>
      <c r="E47" t="inlineStr">
        <is>
          <t>Amex Cobalt (Joint)</t>
        </is>
      </c>
      <c r="F47">
        <f>IF($C47="","",IFERROR(INDEX(tblAccounts[Owner],MATCH($E47,tblAccounts[Account],0)),"Joint"))</f>
        <v/>
      </c>
      <c r="G47">
        <f>IF($C47="","",IF(HouseholdMode="Couple",IFERROR(IF(INDEX(tblCategories[Default Owner],MATCH($K47,tblCategories[Category],0))="",$F47,INDEX(tblCategories[Default Owner],MATCH($K47,tblCategories[Category],0))),$F47),$F47))</f>
        <v/>
      </c>
      <c r="H47" t="inlineStr">
        <is>
          <t>AMZ*UBER EATS TORONTO ON</t>
        </is>
      </c>
      <c r="I47">
        <f>IF($H47="","",$H47)</f>
        <v/>
      </c>
      <c r="J47" s="19" t="n">
        <v>-48.98</v>
      </c>
      <c r="K47">
        <f>IF($H47="","",IFERROR(INDEX(tblRules[Category],SUMPRODUCT(MIN((1-((tblRules[Enabled]&lt;&gt;"No")*(tblRules[Pattern]&lt;&gt;"")*(tblRules[Category]&lt;&gt;"")*((tblRules[Flow]="Any")+(tblRules[Flow]="")+((tblRules[Flow]="Money out")*($J47&lt;0))+((tblRules[Flow]="Money in")*($J47&gt;0)))*(((tblRules[Look In]="Account")*ISNUMBER(SEARCH(tblRules[Pattern],$E47)))+((tblRules[Look In]&lt;&gt;"Account")*(((tblRules[Test]="Word")*ISNUMBER(SEARCH(" "&amp;tblRules[Pattern]&amp;" "," "&amp;$H47&amp;" ")))+((tblRules[Test]&lt;&gt;"Word")*ISNUMBER(SEARCH(tblRules[Pattern],$H47))))))&gt;0))*1E+9+ROW(tblRules[Pattern])))-ROW(tblRules[[#Headers],[Pattern]])),"Uncategorized"))</f>
        <v/>
      </c>
      <c r="L47">
        <f>IF($C47="","",IFERROR(INDEX(tblCategories[Group],MATCH($K47,tblCategories[Category],0)),"Other"))</f>
        <v/>
      </c>
      <c r="M47">
        <f>IF($C47="","",IFERROR(INDEX(tblCategories[Type],MATCH($K47,tblCategories[Category],0)),IF($J47&gt;0,"Income","Expense")))</f>
        <v/>
      </c>
      <c r="N47">
        <f>IF($C47="","",IFERROR(INDEX(tblCategories[Essential],MATCH($K47,tblCategories[Category],0)),"No"))</f>
        <v/>
      </c>
      <c r="O47">
        <f>IF($C47="","",IFERROR(INDEX(tblCategories[Tax Tag],MATCH($K47,tblCategories[Category],0)),""))</f>
        <v/>
      </c>
      <c r="P47" s="20">
        <f>IF($C47="","",IF($G47=PersonA,1,IF($G47=PersonB,0,IFERROR(INDEX(tblCategories[Joint Split A],MATCH($K47,tblCategories[Category],0)),DefaultSplitA))))</f>
        <v/>
      </c>
      <c r="Q47" s="19">
        <f>IF($C47="","",ROUND($J47*N($P47),2))</f>
        <v/>
      </c>
      <c r="R47" s="19">
        <f>IF($C47="","",ROUND($J47-N($Q47),2))</f>
        <v/>
      </c>
      <c r="U47" t="inlineStr">
        <is>
          <t>sample-data</t>
        </is>
      </c>
      <c r="V47" t="inlineStr">
        <is>
          <t>SAMPLE</t>
        </is>
      </c>
      <c r="W47" t="inlineStr">
        <is>
          <t>0AEF51D7</t>
        </is>
      </c>
      <c r="X47">
        <f>IF($C47="","",IFERROR(IF(_xlfn.ISFORMULA($K47),"Rule","Manual"),""))</f>
        <v/>
      </c>
      <c r="Y47" s="19">
        <f>IF($C47="","",IF(ReportView=PersonA,N($Q47),IF(ReportView=PersonB,N($R47),$J47)))</f>
        <v/>
      </c>
    </row>
    <row r="48">
      <c r="B48">
        <f>IF($C48="","","T"&amp;TEXT(ROW()-ROW(tblTxn[[#Headers],[Txn ID]]),"000000"))</f>
        <v/>
      </c>
      <c r="C48" s="18" t="n">
        <v>46107</v>
      </c>
      <c r="D48">
        <f>IF($C48="","",TEXT($C48,"yyyy-mm"))</f>
        <v/>
      </c>
      <c r="E48" t="inlineStr">
        <is>
          <t>Amex Cobalt (Joint)</t>
        </is>
      </c>
      <c r="F48">
        <f>IF($C48="","",IFERROR(INDEX(tblAccounts[Owner],MATCH($E48,tblAccounts[Account],0)),"Joint"))</f>
        <v/>
      </c>
      <c r="G48">
        <f>IF($C48="","",IF(HouseholdMode="Couple",IFERROR(IF(INDEX(tblCategories[Default Owner],MATCH($K48,tblCategories[Category],0))="",$F48,INDEX(tblCategories[Default Owner],MATCH($K48,tblCategories[Category],0))),$F48),$F48))</f>
        <v/>
      </c>
      <c r="H48" t="inlineStr">
        <is>
          <t>PAYMENT - THANK YOU / PAIEMENT - MERCI</t>
        </is>
      </c>
      <c r="I48">
        <f>IF($H48="","",$H48)</f>
        <v/>
      </c>
      <c r="J48" s="19" t="n">
        <v>866.79</v>
      </c>
      <c r="K48">
        <f>IF($H48="","",IFERROR(INDEX(tblRules[Category],SUMPRODUCT(MIN((1-((tblRules[Enabled]&lt;&gt;"No")*(tblRules[Pattern]&lt;&gt;"")*(tblRules[Category]&lt;&gt;"")*((tblRules[Flow]="Any")+(tblRules[Flow]="")+((tblRules[Flow]="Money out")*($J48&lt;0))+((tblRules[Flow]="Money in")*($J48&gt;0)))*(((tblRules[Look In]="Account")*ISNUMBER(SEARCH(tblRules[Pattern],$E48)))+((tblRules[Look In]&lt;&gt;"Account")*(((tblRules[Test]="Word")*ISNUMBER(SEARCH(" "&amp;tblRules[Pattern]&amp;" "," "&amp;$H48&amp;" ")))+((tblRules[Test]&lt;&gt;"Word")*ISNUMBER(SEARCH(tblRules[Pattern],$H48))))))&gt;0))*1E+9+ROW(tblRules[Pattern])))-ROW(tblRules[[#Headers],[Pattern]])),"Uncategorized"))</f>
        <v/>
      </c>
      <c r="L48">
        <f>IF($C48="","",IFERROR(INDEX(tblCategories[Group],MATCH($K48,tblCategories[Category],0)),"Other"))</f>
        <v/>
      </c>
      <c r="M48">
        <f>IF($C48="","",IFERROR(INDEX(tblCategories[Type],MATCH($K48,tblCategories[Category],0)),IF($J48&gt;0,"Income","Expense")))</f>
        <v/>
      </c>
      <c r="N48">
        <f>IF($C48="","",IFERROR(INDEX(tblCategories[Essential],MATCH($K48,tblCategories[Category],0)),"No"))</f>
        <v/>
      </c>
      <c r="O48">
        <f>IF($C48="","",IFERROR(INDEX(tblCategories[Tax Tag],MATCH($K48,tblCategories[Category],0)),""))</f>
        <v/>
      </c>
      <c r="P48" s="20">
        <f>IF($C48="","",IF($G48=PersonA,1,IF($G48=PersonB,0,IFERROR(INDEX(tblCategories[Joint Split A],MATCH($K48,tblCategories[Category],0)),DefaultSplitA))))</f>
        <v/>
      </c>
      <c r="Q48" s="19">
        <f>IF($C48="","",ROUND($J48*N($P48),2))</f>
        <v/>
      </c>
      <c r="R48" s="19">
        <f>IF($C48="","",ROUND($J48-N($Q48),2))</f>
        <v/>
      </c>
      <c r="U48" t="inlineStr">
        <is>
          <t>sample-data</t>
        </is>
      </c>
      <c r="V48" t="inlineStr">
        <is>
          <t>SAMPLE</t>
        </is>
      </c>
      <c r="W48" t="inlineStr">
        <is>
          <t>BAED0728</t>
        </is>
      </c>
      <c r="X48">
        <f>IF($C48="","",IFERROR(IF(_xlfn.ISFORMULA($K48),"Rule","Manual"),""))</f>
        <v/>
      </c>
      <c r="Y48" s="19">
        <f>IF($C48="","",IF(ReportView=PersonA,N($Q48),IF(ReportView=PersonB,N($R48),$J48)))</f>
        <v/>
      </c>
    </row>
    <row r="49">
      <c r="B49">
        <f>IF($C49="","","T"&amp;TEXT(ROW()-ROW(tblTxn[[#Headers],[Txn ID]]),"000000"))</f>
        <v/>
      </c>
      <c r="C49" s="18" t="n">
        <v>46107</v>
      </c>
      <c r="D49">
        <f>IF($C49="","",TEXT($C49,"yyyy-mm"))</f>
        <v/>
      </c>
      <c r="E49" t="inlineStr">
        <is>
          <t>BMO Joint Chequing</t>
        </is>
      </c>
      <c r="F49">
        <f>IF($C49="","",IFERROR(INDEX(tblAccounts[Owner],MATCH($E49,tblAccounts[Account],0)),"Joint"))</f>
        <v/>
      </c>
      <c r="G49">
        <f>IF($C49="","",IF(HouseholdMode="Couple",IFERROR(IF(INDEX(tblCategories[Default Owner],MATCH($K49,tblCategories[Category],0))="",$F49,INDEX(tblCategories[Default Owner],MATCH($K49,tblCategories[Category],0))),$F49),$F49))</f>
        <v/>
      </c>
      <c r="H49" t="inlineStr">
        <is>
          <t>AMEX CREDIT CARD/LOC PAY</t>
        </is>
      </c>
      <c r="I49">
        <f>IF($H49="","",$H49)</f>
        <v/>
      </c>
      <c r="J49" s="19" t="n">
        <v>-866.79</v>
      </c>
      <c r="K49">
        <f>IF($H49="","",IFERROR(INDEX(tblRules[Category],SUMPRODUCT(MIN((1-((tblRules[Enabled]&lt;&gt;"No")*(tblRules[Pattern]&lt;&gt;"")*(tblRules[Category]&lt;&gt;"")*((tblRules[Flow]="Any")+(tblRules[Flow]="")+((tblRules[Flow]="Money out")*($J49&lt;0))+((tblRules[Flow]="Money in")*($J49&gt;0)))*(((tblRules[Look In]="Account")*ISNUMBER(SEARCH(tblRules[Pattern],$E49)))+((tblRules[Look In]&lt;&gt;"Account")*(((tblRules[Test]="Word")*ISNUMBER(SEARCH(" "&amp;tblRules[Pattern]&amp;" "," "&amp;$H49&amp;" ")))+((tblRules[Test]&lt;&gt;"Word")*ISNUMBER(SEARCH(tblRules[Pattern],$H49))))))&gt;0))*1E+9+ROW(tblRules[Pattern])))-ROW(tblRules[[#Headers],[Pattern]])),"Uncategorized"))</f>
        <v/>
      </c>
      <c r="L49">
        <f>IF($C49="","",IFERROR(INDEX(tblCategories[Group],MATCH($K49,tblCategories[Category],0)),"Other"))</f>
        <v/>
      </c>
      <c r="M49">
        <f>IF($C49="","",IFERROR(INDEX(tblCategories[Type],MATCH($K49,tblCategories[Category],0)),IF($J49&gt;0,"Income","Expense")))</f>
        <v/>
      </c>
      <c r="N49">
        <f>IF($C49="","",IFERROR(INDEX(tblCategories[Essential],MATCH($K49,tblCategories[Category],0)),"No"))</f>
        <v/>
      </c>
      <c r="O49">
        <f>IF($C49="","",IFERROR(INDEX(tblCategories[Tax Tag],MATCH($K49,tblCategories[Category],0)),""))</f>
        <v/>
      </c>
      <c r="P49" s="20">
        <f>IF($C49="","",IF($G49=PersonA,1,IF($G49=PersonB,0,IFERROR(INDEX(tblCategories[Joint Split A],MATCH($K49,tblCategories[Category],0)),DefaultSplitA))))</f>
        <v/>
      </c>
      <c r="Q49" s="19">
        <f>IF($C49="","",ROUND($J49*N($P49),2))</f>
        <v/>
      </c>
      <c r="R49" s="19">
        <f>IF($C49="","",ROUND($J49-N($Q49),2))</f>
        <v/>
      </c>
      <c r="U49" t="inlineStr">
        <is>
          <t>sample-data</t>
        </is>
      </c>
      <c r="V49" t="inlineStr">
        <is>
          <t>SAMPLE</t>
        </is>
      </c>
      <c r="W49" t="inlineStr">
        <is>
          <t>3B6CE19C</t>
        </is>
      </c>
      <c r="X49">
        <f>IF($C49="","",IFERROR(IF(_xlfn.ISFORMULA($K49),"Rule","Manual"),""))</f>
        <v/>
      </c>
      <c r="Y49" s="19">
        <f>IF($C49="","",IF(ReportView=PersonA,N($Q49),IF(ReportView=PersonB,N($R49),$J49)))</f>
        <v/>
      </c>
    </row>
    <row r="50">
      <c r="B50">
        <f>IF($C50="","","T"&amp;TEXT(ROW()-ROW(tblTxn[[#Headers],[Txn ID]]),"000000"))</f>
        <v/>
      </c>
      <c r="C50" s="18" t="n">
        <v>46107</v>
      </c>
      <c r="D50">
        <f>IF($C50="","",TEXT($C50,"yyyy-mm"))</f>
        <v/>
      </c>
      <c r="E50" t="inlineStr">
        <is>
          <t>BMO Joint Chequing</t>
        </is>
      </c>
      <c r="F50">
        <f>IF($C50="","",IFERROR(INDEX(tblAccounts[Owner],MATCH($E50,tblAccounts[Account],0)),"Joint"))</f>
        <v/>
      </c>
      <c r="G50">
        <f>IF($C50="","",IF(HouseholdMode="Couple",IFERROR(IF(INDEX(tblCategories[Default Owner],MATCH($K50,tblCategories[Category],0))="",$F50,INDEX(tblCategories[Default Owner],MATCH($K50,tblCategories[Category],0))),$F50),$F50))</f>
        <v/>
      </c>
      <c r="H50" t="inlineStr">
        <is>
          <t>IDP PURCHASE - 7521 LOBLAWS #2833 TORONTO ON</t>
        </is>
      </c>
      <c r="I50">
        <f>IF($H50="","",$H50)</f>
        <v/>
      </c>
      <c r="J50" s="19" t="n">
        <v>-80.23</v>
      </c>
      <c r="K50">
        <f>IF($H50="","",IFERROR(INDEX(tblRules[Category],SUMPRODUCT(MIN((1-((tblRules[Enabled]&lt;&gt;"No")*(tblRules[Pattern]&lt;&gt;"")*(tblRules[Category]&lt;&gt;"")*((tblRules[Flow]="Any")+(tblRules[Flow]="")+((tblRules[Flow]="Money out")*($J50&lt;0))+((tblRules[Flow]="Money in")*($J50&gt;0)))*(((tblRules[Look In]="Account")*ISNUMBER(SEARCH(tblRules[Pattern],$E50)))+((tblRules[Look In]&lt;&gt;"Account")*(((tblRules[Test]="Word")*ISNUMBER(SEARCH(" "&amp;tblRules[Pattern]&amp;" "," "&amp;$H50&amp;" ")))+((tblRules[Test]&lt;&gt;"Word")*ISNUMBER(SEARCH(tblRules[Pattern],$H50))))))&gt;0))*1E+9+ROW(tblRules[Pattern])))-ROW(tblRules[[#Headers],[Pattern]])),"Uncategorized"))</f>
        <v/>
      </c>
      <c r="L50">
        <f>IF($C50="","",IFERROR(INDEX(tblCategories[Group],MATCH($K50,tblCategories[Category],0)),"Other"))</f>
        <v/>
      </c>
      <c r="M50">
        <f>IF($C50="","",IFERROR(INDEX(tblCategories[Type],MATCH($K50,tblCategories[Category],0)),IF($J50&gt;0,"Income","Expense")))</f>
        <v/>
      </c>
      <c r="N50">
        <f>IF($C50="","",IFERROR(INDEX(tblCategories[Essential],MATCH($K50,tblCategories[Category],0)),"No"))</f>
        <v/>
      </c>
      <c r="O50">
        <f>IF($C50="","",IFERROR(INDEX(tblCategories[Tax Tag],MATCH($K50,tblCategories[Category],0)),""))</f>
        <v/>
      </c>
      <c r="P50" s="20">
        <f>IF($C50="","",IF($G50=PersonA,1,IF($G50=PersonB,0,IFERROR(INDEX(tblCategories[Joint Split A],MATCH($K50,tblCategories[Category],0)),DefaultSplitA))))</f>
        <v/>
      </c>
      <c r="Q50" s="19">
        <f>IF($C50="","",ROUND($J50*N($P50),2))</f>
        <v/>
      </c>
      <c r="R50" s="19">
        <f>IF($C50="","",ROUND($J50-N($Q50),2))</f>
        <v/>
      </c>
      <c r="U50" t="inlineStr">
        <is>
          <t>sample-data</t>
        </is>
      </c>
      <c r="V50" t="inlineStr">
        <is>
          <t>SAMPLE</t>
        </is>
      </c>
      <c r="W50" t="inlineStr">
        <is>
          <t>907239B1</t>
        </is>
      </c>
      <c r="X50">
        <f>IF($C50="","",IFERROR(IF(_xlfn.ISFORMULA($K50),"Rule","Manual"),""))</f>
        <v/>
      </c>
      <c r="Y50" s="19">
        <f>IF($C50="","",IF(ReportView=PersonA,N($Q50),IF(ReportView=PersonB,N($R50),$J50)))</f>
        <v/>
      </c>
    </row>
    <row r="51">
      <c r="B51">
        <f>IF($C51="","","T"&amp;TEXT(ROW()-ROW(tblTxn[[#Headers],[Txn ID]]),"000000"))</f>
        <v/>
      </c>
      <c r="C51" s="18" t="n">
        <v>46107</v>
      </c>
      <c r="D51">
        <f>IF($C51="","",TEXT($C51,"yyyy-mm"))</f>
        <v/>
      </c>
      <c r="E51" t="inlineStr">
        <is>
          <t>BMO Joint Chequing</t>
        </is>
      </c>
      <c r="F51">
        <f>IF($C51="","",IFERROR(INDEX(tblAccounts[Owner],MATCH($E51,tblAccounts[Account],0)),"Joint"))</f>
        <v/>
      </c>
      <c r="G51">
        <f>IF($C51="","",IF(HouseholdMode="Couple",IFERROR(IF(INDEX(tblCategories[Default Owner],MATCH($K51,tblCategories[Category],0))="",$F51,INDEX(tblCategories[Default Owner],MATCH($K51,tblCategories[Category],0))),$F51),$F51))</f>
        <v/>
      </c>
      <c r="H51" t="inlineStr">
        <is>
          <t>IDP PURCHASE - 8337 NO FRILLS #127 TORONTO ON</t>
        </is>
      </c>
      <c r="I51">
        <f>IF($H51="","",$H51)</f>
        <v/>
      </c>
      <c r="J51" s="19" t="n">
        <v>-86.27</v>
      </c>
      <c r="K51">
        <f>IF($H51="","",IFERROR(INDEX(tblRules[Category],SUMPRODUCT(MIN((1-((tblRules[Enabled]&lt;&gt;"No")*(tblRules[Pattern]&lt;&gt;"")*(tblRules[Category]&lt;&gt;"")*((tblRules[Flow]="Any")+(tblRules[Flow]="")+((tblRules[Flow]="Money out")*($J51&lt;0))+((tblRules[Flow]="Money in")*($J51&gt;0)))*(((tblRules[Look In]="Account")*ISNUMBER(SEARCH(tblRules[Pattern],$E51)))+((tblRules[Look In]&lt;&gt;"Account")*(((tblRules[Test]="Word")*ISNUMBER(SEARCH(" "&amp;tblRules[Pattern]&amp;" "," "&amp;$H51&amp;" ")))+((tblRules[Test]&lt;&gt;"Word")*ISNUMBER(SEARCH(tblRules[Pattern],$H51))))))&gt;0))*1E+9+ROW(tblRules[Pattern])))-ROW(tblRules[[#Headers],[Pattern]])),"Uncategorized"))</f>
        <v/>
      </c>
      <c r="L51">
        <f>IF($C51="","",IFERROR(INDEX(tblCategories[Group],MATCH($K51,tblCategories[Category],0)),"Other"))</f>
        <v/>
      </c>
      <c r="M51">
        <f>IF($C51="","",IFERROR(INDEX(tblCategories[Type],MATCH($K51,tblCategories[Category],0)),IF($J51&gt;0,"Income","Expense")))</f>
        <v/>
      </c>
      <c r="N51">
        <f>IF($C51="","",IFERROR(INDEX(tblCategories[Essential],MATCH($K51,tblCategories[Category],0)),"No"))</f>
        <v/>
      </c>
      <c r="O51">
        <f>IF($C51="","",IFERROR(INDEX(tblCategories[Tax Tag],MATCH($K51,tblCategories[Category],0)),""))</f>
        <v/>
      </c>
      <c r="P51" s="20">
        <f>IF($C51="","",IF($G51=PersonA,1,IF($G51=PersonB,0,IFERROR(INDEX(tblCategories[Joint Split A],MATCH($K51,tblCategories[Category],0)),DefaultSplitA))))</f>
        <v/>
      </c>
      <c r="Q51" s="19">
        <f>IF($C51="","",ROUND($J51*N($P51),2))</f>
        <v/>
      </c>
      <c r="R51" s="19">
        <f>IF($C51="","",ROUND($J51-N($Q51),2))</f>
        <v/>
      </c>
      <c r="U51" t="inlineStr">
        <is>
          <t>sample-data</t>
        </is>
      </c>
      <c r="V51" t="inlineStr">
        <is>
          <t>SAMPLE</t>
        </is>
      </c>
      <c r="W51" t="inlineStr">
        <is>
          <t>80CFD556</t>
        </is>
      </c>
      <c r="X51">
        <f>IF($C51="","",IFERROR(IF(_xlfn.ISFORMULA($K51),"Rule","Manual"),""))</f>
        <v/>
      </c>
      <c r="Y51" s="19">
        <f>IF($C51="","",IF(ReportView=PersonA,N($Q51),IF(ReportView=PersonB,N($R51),$J51)))</f>
        <v/>
      </c>
    </row>
    <row r="52">
      <c r="B52">
        <f>IF($C52="","","T"&amp;TEXT(ROW()-ROW(tblTxn[[#Headers],[Txn ID]]),"000000"))</f>
        <v/>
      </c>
      <c r="C52" s="18" t="n">
        <v>46108</v>
      </c>
      <c r="D52">
        <f>IF($C52="","",TEXT($C52,"yyyy-mm"))</f>
        <v/>
      </c>
      <c r="E52" t="inlineStr">
        <is>
          <t>Amex Cobalt (Joint)</t>
        </is>
      </c>
      <c r="F52">
        <f>IF($C52="","",IFERROR(INDEX(tblAccounts[Owner],MATCH($E52,tblAccounts[Account],0)),"Joint"))</f>
        <v/>
      </c>
      <c r="G52">
        <f>IF($C52="","",IF(HouseholdMode="Couple",IFERROR(IF(INDEX(tblCategories[Default Owner],MATCH($K52,tblCategories[Category],0))="",$F52,INDEX(tblCategories[Default Owner],MATCH($K52,tblCategories[Category],0))),$F52),$F52))</f>
        <v/>
      </c>
      <c r="H52" t="inlineStr">
        <is>
          <t>IDP PURCHASE - 1778 DOLLARAMA #4979 ON</t>
        </is>
      </c>
      <c r="I52">
        <f>IF($H52="","",$H52)</f>
        <v/>
      </c>
      <c r="J52" s="19" t="n">
        <v>-26.34</v>
      </c>
      <c r="K52">
        <f>IF($H52="","",IFERROR(INDEX(tblRules[Category],SUMPRODUCT(MIN((1-((tblRules[Enabled]&lt;&gt;"No")*(tblRules[Pattern]&lt;&gt;"")*(tblRules[Category]&lt;&gt;"")*((tblRules[Flow]="Any")+(tblRules[Flow]="")+((tblRules[Flow]="Money out")*($J52&lt;0))+((tblRules[Flow]="Money in")*($J52&gt;0)))*(((tblRules[Look In]="Account")*ISNUMBER(SEARCH(tblRules[Pattern],$E52)))+((tblRules[Look In]&lt;&gt;"Account")*(((tblRules[Test]="Word")*ISNUMBER(SEARCH(" "&amp;tblRules[Pattern]&amp;" "," "&amp;$H52&amp;" ")))+((tblRules[Test]&lt;&gt;"Word")*ISNUMBER(SEARCH(tblRules[Pattern],$H52))))))&gt;0))*1E+9+ROW(tblRules[Pattern])))-ROW(tblRules[[#Headers],[Pattern]])),"Uncategorized"))</f>
        <v/>
      </c>
      <c r="L52">
        <f>IF($C52="","",IFERROR(INDEX(tblCategories[Group],MATCH($K52,tblCategories[Category],0)),"Other"))</f>
        <v/>
      </c>
      <c r="M52">
        <f>IF($C52="","",IFERROR(INDEX(tblCategories[Type],MATCH($K52,tblCategories[Category],0)),IF($J52&gt;0,"Income","Expense")))</f>
        <v/>
      </c>
      <c r="N52">
        <f>IF($C52="","",IFERROR(INDEX(tblCategories[Essential],MATCH($K52,tblCategories[Category],0)),"No"))</f>
        <v/>
      </c>
      <c r="O52">
        <f>IF($C52="","",IFERROR(INDEX(tblCategories[Tax Tag],MATCH($K52,tblCategories[Category],0)),""))</f>
        <v/>
      </c>
      <c r="P52" s="20">
        <f>IF($C52="","",IF($G52=PersonA,1,IF($G52=PersonB,0,IFERROR(INDEX(tblCategories[Joint Split A],MATCH($K52,tblCategories[Category],0)),DefaultSplitA))))</f>
        <v/>
      </c>
      <c r="Q52" s="19">
        <f>IF($C52="","",ROUND($J52*N($P52),2))</f>
        <v/>
      </c>
      <c r="R52" s="19">
        <f>IF($C52="","",ROUND($J52-N($Q52),2))</f>
        <v/>
      </c>
      <c r="U52" t="inlineStr">
        <is>
          <t>sample-data</t>
        </is>
      </c>
      <c r="V52" t="inlineStr">
        <is>
          <t>SAMPLE</t>
        </is>
      </c>
      <c r="W52" t="inlineStr">
        <is>
          <t>28DD01C4</t>
        </is>
      </c>
      <c r="X52">
        <f>IF($C52="","",IFERROR(IF(_xlfn.ISFORMULA($K52),"Rule","Manual"),""))</f>
        <v/>
      </c>
      <c r="Y52" s="19">
        <f>IF($C52="","",IF(ReportView=PersonA,N($Q52),IF(ReportView=PersonB,N($R52),$J52)))</f>
        <v/>
      </c>
    </row>
    <row r="53">
      <c r="B53">
        <f>IF($C53="","","T"&amp;TEXT(ROW()-ROW(tblTxn[[#Headers],[Txn ID]]),"000000"))</f>
        <v/>
      </c>
      <c r="C53" s="18" t="n">
        <v>46108</v>
      </c>
      <c r="D53">
        <f>IF($C53="","",TEXT($C53,"yyyy-mm"))</f>
        <v/>
      </c>
      <c r="E53" t="inlineStr">
        <is>
          <t>BMO Joint Chequing</t>
        </is>
      </c>
      <c r="F53">
        <f>IF($C53="","",IFERROR(INDEX(tblAccounts[Owner],MATCH($E53,tblAccounts[Account],0)),"Joint"))</f>
        <v/>
      </c>
      <c r="G53">
        <f>IF($C53="","",IF(HouseholdMode="Couple",IFERROR(IF(INDEX(tblCategories[Default Owner],MATCH($K53,tblCategories[Category],0))="",$F53,INDEX(tblCategories[Default Owner],MATCH($K53,tblCategories[Category],0))),$F53),$F53))</f>
        <v/>
      </c>
      <c r="H53" t="inlineStr">
        <is>
          <t>IDP PURCHASE - 3252 TIM HORTONS #3210 TORONTO ON</t>
        </is>
      </c>
      <c r="I53">
        <f>IF($H53="","",$H53)</f>
        <v/>
      </c>
      <c r="J53" s="19" t="n">
        <v>-5.5</v>
      </c>
      <c r="K53">
        <f>IF($H53="","",IFERROR(INDEX(tblRules[Category],SUMPRODUCT(MIN((1-((tblRules[Enabled]&lt;&gt;"No")*(tblRules[Pattern]&lt;&gt;"")*(tblRules[Category]&lt;&gt;"")*((tblRules[Flow]="Any")+(tblRules[Flow]="")+((tblRules[Flow]="Money out")*($J53&lt;0))+((tblRules[Flow]="Money in")*($J53&gt;0)))*(((tblRules[Look In]="Account")*ISNUMBER(SEARCH(tblRules[Pattern],$E53)))+((tblRules[Look In]&lt;&gt;"Account")*(((tblRules[Test]="Word")*ISNUMBER(SEARCH(" "&amp;tblRules[Pattern]&amp;" "," "&amp;$H53&amp;" ")))+((tblRules[Test]&lt;&gt;"Word")*ISNUMBER(SEARCH(tblRules[Pattern],$H53))))))&gt;0))*1E+9+ROW(tblRules[Pattern])))-ROW(tblRules[[#Headers],[Pattern]])),"Uncategorized"))</f>
        <v/>
      </c>
      <c r="L53">
        <f>IF($C53="","",IFERROR(INDEX(tblCategories[Group],MATCH($K53,tblCategories[Category],0)),"Other"))</f>
        <v/>
      </c>
      <c r="M53">
        <f>IF($C53="","",IFERROR(INDEX(tblCategories[Type],MATCH($K53,tblCategories[Category],0)),IF($J53&gt;0,"Income","Expense")))</f>
        <v/>
      </c>
      <c r="N53">
        <f>IF($C53="","",IFERROR(INDEX(tblCategories[Essential],MATCH($K53,tblCategories[Category],0)),"No"))</f>
        <v/>
      </c>
      <c r="O53">
        <f>IF($C53="","",IFERROR(INDEX(tblCategories[Tax Tag],MATCH($K53,tblCategories[Category],0)),""))</f>
        <v/>
      </c>
      <c r="P53" s="20">
        <f>IF($C53="","",IF($G53=PersonA,1,IF($G53=PersonB,0,IFERROR(INDEX(tblCategories[Joint Split A],MATCH($K53,tblCategories[Category],0)),DefaultSplitA))))</f>
        <v/>
      </c>
      <c r="Q53" s="19">
        <f>IF($C53="","",ROUND($J53*N($P53),2))</f>
        <v/>
      </c>
      <c r="R53" s="19">
        <f>IF($C53="","",ROUND($J53-N($Q53),2))</f>
        <v/>
      </c>
      <c r="U53" t="inlineStr">
        <is>
          <t>sample-data</t>
        </is>
      </c>
      <c r="V53" t="inlineStr">
        <is>
          <t>SAMPLE</t>
        </is>
      </c>
      <c r="W53" t="inlineStr">
        <is>
          <t>EE7DF4FD</t>
        </is>
      </c>
      <c r="X53">
        <f>IF($C53="","",IFERROR(IF(_xlfn.ISFORMULA($K53),"Rule","Manual"),""))</f>
        <v/>
      </c>
      <c r="Y53" s="19">
        <f>IF($C53="","",IF(ReportView=PersonA,N($Q53),IF(ReportView=PersonB,N($R53),$J53)))</f>
        <v/>
      </c>
    </row>
    <row r="54">
      <c r="B54">
        <f>IF($C54="","","T"&amp;TEXT(ROW()-ROW(tblTxn[[#Headers],[Txn ID]]),"000000"))</f>
        <v/>
      </c>
      <c r="C54" s="18" t="n">
        <v>46109</v>
      </c>
      <c r="D54">
        <f>IF($C54="","",TEXT($C54,"yyyy-mm"))</f>
        <v/>
      </c>
      <c r="E54" t="inlineStr">
        <is>
          <t>Amex Cobalt (Joint)</t>
        </is>
      </c>
      <c r="F54">
        <f>IF($C54="","",IFERROR(INDEX(tblAccounts[Owner],MATCH($E54,tblAccounts[Account],0)),"Joint"))</f>
        <v/>
      </c>
      <c r="G54">
        <f>IF($C54="","",IF(HouseholdMode="Couple",IFERROR(IF(INDEX(tblCategories[Default Owner],MATCH($K54,tblCategories[Category],0))="",$F54,INDEX(tblCategories[Default Owner],MATCH($K54,tblCategories[Category],0))),$F54),$F54))</f>
        <v/>
      </c>
      <c r="H54" t="inlineStr">
        <is>
          <t>IDP PURCHASE - 9291 COSTCO WHOLESALE #3266 ON</t>
        </is>
      </c>
      <c r="I54">
        <f>IF($H54="","",$H54)</f>
        <v/>
      </c>
      <c r="J54" s="19" t="n">
        <v>-175.12</v>
      </c>
      <c r="K54">
        <f>IF($H54="","",IFERROR(INDEX(tblRules[Category],SUMPRODUCT(MIN((1-((tblRules[Enabled]&lt;&gt;"No")*(tblRules[Pattern]&lt;&gt;"")*(tblRules[Category]&lt;&gt;"")*((tblRules[Flow]="Any")+(tblRules[Flow]="")+((tblRules[Flow]="Money out")*($J54&lt;0))+((tblRules[Flow]="Money in")*($J54&gt;0)))*(((tblRules[Look In]="Account")*ISNUMBER(SEARCH(tblRules[Pattern],$E54)))+((tblRules[Look In]&lt;&gt;"Account")*(((tblRules[Test]="Word")*ISNUMBER(SEARCH(" "&amp;tblRules[Pattern]&amp;" "," "&amp;$H54&amp;" ")))+((tblRules[Test]&lt;&gt;"Word")*ISNUMBER(SEARCH(tblRules[Pattern],$H54))))))&gt;0))*1E+9+ROW(tblRules[Pattern])))-ROW(tblRules[[#Headers],[Pattern]])),"Uncategorized"))</f>
        <v/>
      </c>
      <c r="L54">
        <f>IF($C54="","",IFERROR(INDEX(tblCategories[Group],MATCH($K54,tblCategories[Category],0)),"Other"))</f>
        <v/>
      </c>
      <c r="M54">
        <f>IF($C54="","",IFERROR(INDEX(tblCategories[Type],MATCH($K54,tblCategories[Category],0)),IF($J54&gt;0,"Income","Expense")))</f>
        <v/>
      </c>
      <c r="N54">
        <f>IF($C54="","",IFERROR(INDEX(tblCategories[Essential],MATCH($K54,tblCategories[Category],0)),"No"))</f>
        <v/>
      </c>
      <c r="O54">
        <f>IF($C54="","",IFERROR(INDEX(tblCategories[Tax Tag],MATCH($K54,tblCategories[Category],0)),""))</f>
        <v/>
      </c>
      <c r="P54" s="20">
        <f>IF($C54="","",IF($G54=PersonA,1,IF($G54=PersonB,0,IFERROR(INDEX(tblCategories[Joint Split A],MATCH($K54,tblCategories[Category],0)),DefaultSplitA))))</f>
        <v/>
      </c>
      <c r="Q54" s="19">
        <f>IF($C54="","",ROUND($J54*N($P54),2))</f>
        <v/>
      </c>
      <c r="R54" s="19">
        <f>IF($C54="","",ROUND($J54-N($Q54),2))</f>
        <v/>
      </c>
      <c r="U54" t="inlineStr">
        <is>
          <t>sample-data</t>
        </is>
      </c>
      <c r="V54" t="inlineStr">
        <is>
          <t>SAMPLE</t>
        </is>
      </c>
      <c r="W54" t="inlineStr">
        <is>
          <t>7E3BE56E</t>
        </is>
      </c>
      <c r="X54">
        <f>IF($C54="","",IFERROR(IF(_xlfn.ISFORMULA($K54),"Rule","Manual"),""))</f>
        <v/>
      </c>
      <c r="Y54" s="19">
        <f>IF($C54="","",IF(ReportView=PersonA,N($Q54),IF(ReportView=PersonB,N($R54),$J54)))</f>
        <v/>
      </c>
    </row>
    <row r="55">
      <c r="B55">
        <f>IF($C55="","","T"&amp;TEXT(ROW()-ROW(tblTxn[[#Headers],[Txn ID]]),"000000"))</f>
        <v/>
      </c>
      <c r="C55" s="18" t="n">
        <v>46109</v>
      </c>
      <c r="D55">
        <f>IF($C55="","",TEXT($C55,"yyyy-mm"))</f>
        <v/>
      </c>
      <c r="E55" t="inlineStr">
        <is>
          <t>RBC Chequing (Alex)</t>
        </is>
      </c>
      <c r="F55">
        <f>IF($C55="","",IFERROR(INDEX(tblAccounts[Owner],MATCH($E55,tblAccounts[Account],0)),"Joint"))</f>
        <v/>
      </c>
      <c r="G55">
        <f>IF($C55="","",IF(HouseholdMode="Couple",IFERROR(IF(INDEX(tblCategories[Default Owner],MATCH($K55,tblCategories[Category],0))="",$F55,INDEX(tblCategories[Default Owner],MATCH($K55,tblCategories[Category],0))),$F55),$F55))</f>
        <v/>
      </c>
      <c r="H55" t="inlineStr">
        <is>
          <t>MONTHLY ACCOUNT FEE</t>
        </is>
      </c>
      <c r="I55">
        <f>IF($H55="","",$H55)</f>
        <v/>
      </c>
      <c r="J55" s="19" t="n">
        <v>-11.95</v>
      </c>
      <c r="K55">
        <f>IF($H55="","",IFERROR(INDEX(tblRules[Category],SUMPRODUCT(MIN((1-((tblRules[Enabled]&lt;&gt;"No")*(tblRules[Pattern]&lt;&gt;"")*(tblRules[Category]&lt;&gt;"")*((tblRules[Flow]="Any")+(tblRules[Flow]="")+((tblRules[Flow]="Money out")*($J55&lt;0))+((tblRules[Flow]="Money in")*($J55&gt;0)))*(((tblRules[Look In]="Account")*ISNUMBER(SEARCH(tblRules[Pattern],$E55)))+((tblRules[Look In]&lt;&gt;"Account")*(((tblRules[Test]="Word")*ISNUMBER(SEARCH(" "&amp;tblRules[Pattern]&amp;" "," "&amp;$H55&amp;" ")))+((tblRules[Test]&lt;&gt;"Word")*ISNUMBER(SEARCH(tblRules[Pattern],$H55))))))&gt;0))*1E+9+ROW(tblRules[Pattern])))-ROW(tblRules[[#Headers],[Pattern]])),"Uncategorized"))</f>
        <v/>
      </c>
      <c r="L55">
        <f>IF($C55="","",IFERROR(INDEX(tblCategories[Group],MATCH($K55,tblCategories[Category],0)),"Other"))</f>
        <v/>
      </c>
      <c r="M55">
        <f>IF($C55="","",IFERROR(INDEX(tblCategories[Type],MATCH($K55,tblCategories[Category],0)),IF($J55&gt;0,"Income","Expense")))</f>
        <v/>
      </c>
      <c r="N55">
        <f>IF($C55="","",IFERROR(INDEX(tblCategories[Essential],MATCH($K55,tblCategories[Category],0)),"No"))</f>
        <v/>
      </c>
      <c r="O55">
        <f>IF($C55="","",IFERROR(INDEX(tblCategories[Tax Tag],MATCH($K55,tblCategories[Category],0)),""))</f>
        <v/>
      </c>
      <c r="P55" s="20">
        <f>IF($C55="","",IF($G55=PersonA,1,IF($G55=PersonB,0,IFERROR(INDEX(tblCategories[Joint Split A],MATCH($K55,tblCategories[Category],0)),DefaultSplitA))))</f>
        <v/>
      </c>
      <c r="Q55" s="19">
        <f>IF($C55="","",ROUND($J55*N($P55),2))</f>
        <v/>
      </c>
      <c r="R55" s="19">
        <f>IF($C55="","",ROUND($J55-N($Q55),2))</f>
        <v/>
      </c>
      <c r="U55" t="inlineStr">
        <is>
          <t>sample-data</t>
        </is>
      </c>
      <c r="V55" t="inlineStr">
        <is>
          <t>SAMPLE</t>
        </is>
      </c>
      <c r="W55" t="inlineStr">
        <is>
          <t>F2DAA363</t>
        </is>
      </c>
      <c r="X55">
        <f>IF($C55="","",IFERROR(IF(_xlfn.ISFORMULA($K55),"Rule","Manual"),""))</f>
        <v/>
      </c>
      <c r="Y55" s="19">
        <f>IF($C55="","",IF(ReportView=PersonA,N($Q55),IF(ReportView=PersonB,N($R55),$J55)))</f>
        <v/>
      </c>
    </row>
    <row r="56">
      <c r="B56">
        <f>IF($C56="","","T"&amp;TEXT(ROW()-ROW(tblTxn[[#Headers],[Txn ID]]),"000000"))</f>
        <v/>
      </c>
      <c r="C56" s="18" t="n">
        <v>46110</v>
      </c>
      <c r="D56">
        <f>IF($C56="","",TEXT($C56,"yyyy-mm"))</f>
        <v/>
      </c>
      <c r="E56" t="inlineStr">
        <is>
          <t>Amex Cobalt (Joint)</t>
        </is>
      </c>
      <c r="F56">
        <f>IF($C56="","",IFERROR(INDEX(tblAccounts[Owner],MATCH($E56,tblAccounts[Account],0)),"Joint"))</f>
        <v/>
      </c>
      <c r="G56">
        <f>IF($C56="","",IF(HouseholdMode="Couple",IFERROR(IF(INDEX(tblCategories[Default Owner],MATCH($K56,tblCategories[Category],0))="",$F56,INDEX(tblCategories[Default Owner],MATCH($K56,tblCategories[Category],0))),$F56),$F56))</f>
        <v/>
      </c>
      <c r="H56" t="inlineStr">
        <is>
          <t>IDP PURCHASE - 5384 TIM HORTONS #2233 TORONTO ON</t>
        </is>
      </c>
      <c r="I56">
        <f>IF($H56="","",$H56)</f>
        <v/>
      </c>
      <c r="J56" s="19" t="n">
        <v>-10.45</v>
      </c>
      <c r="K56">
        <f>IF($H56="","",IFERROR(INDEX(tblRules[Category],SUMPRODUCT(MIN((1-((tblRules[Enabled]&lt;&gt;"No")*(tblRules[Pattern]&lt;&gt;"")*(tblRules[Category]&lt;&gt;"")*((tblRules[Flow]="Any")+(tblRules[Flow]="")+((tblRules[Flow]="Money out")*($J56&lt;0))+((tblRules[Flow]="Money in")*($J56&gt;0)))*(((tblRules[Look In]="Account")*ISNUMBER(SEARCH(tblRules[Pattern],$E56)))+((tblRules[Look In]&lt;&gt;"Account")*(((tblRules[Test]="Word")*ISNUMBER(SEARCH(" "&amp;tblRules[Pattern]&amp;" "," "&amp;$H56&amp;" ")))+((tblRules[Test]&lt;&gt;"Word")*ISNUMBER(SEARCH(tblRules[Pattern],$H56))))))&gt;0))*1E+9+ROW(tblRules[Pattern])))-ROW(tblRules[[#Headers],[Pattern]])),"Uncategorized"))</f>
        <v/>
      </c>
      <c r="L56">
        <f>IF($C56="","",IFERROR(INDEX(tblCategories[Group],MATCH($K56,tblCategories[Category],0)),"Other"))</f>
        <v/>
      </c>
      <c r="M56">
        <f>IF($C56="","",IFERROR(INDEX(tblCategories[Type],MATCH($K56,tblCategories[Category],0)),IF($J56&gt;0,"Income","Expense")))</f>
        <v/>
      </c>
      <c r="N56">
        <f>IF($C56="","",IFERROR(INDEX(tblCategories[Essential],MATCH($K56,tblCategories[Category],0)),"No"))</f>
        <v/>
      </c>
      <c r="O56">
        <f>IF($C56="","",IFERROR(INDEX(tblCategories[Tax Tag],MATCH($K56,tblCategories[Category],0)),""))</f>
        <v/>
      </c>
      <c r="P56" s="20">
        <f>IF($C56="","",IF($G56=PersonA,1,IF($G56=PersonB,0,IFERROR(INDEX(tblCategories[Joint Split A],MATCH($K56,tblCategories[Category],0)),DefaultSplitA))))</f>
        <v/>
      </c>
      <c r="Q56" s="19">
        <f>IF($C56="","",ROUND($J56*N($P56),2))</f>
        <v/>
      </c>
      <c r="R56" s="19">
        <f>IF($C56="","",ROUND($J56-N($Q56),2))</f>
        <v/>
      </c>
      <c r="U56" t="inlineStr">
        <is>
          <t>sample-data</t>
        </is>
      </c>
      <c r="V56" t="inlineStr">
        <is>
          <t>SAMPLE</t>
        </is>
      </c>
      <c r="W56" t="inlineStr">
        <is>
          <t>E31D6B4C</t>
        </is>
      </c>
      <c r="X56">
        <f>IF($C56="","",IFERROR(IF(_xlfn.ISFORMULA($K56),"Rule","Manual"),""))</f>
        <v/>
      </c>
      <c r="Y56" s="19">
        <f>IF($C56="","",IF(ReportView=PersonA,N($Q56),IF(ReportView=PersonB,N($R56),$J56)))</f>
        <v/>
      </c>
    </row>
    <row r="57">
      <c r="B57">
        <f>IF($C57="","","T"&amp;TEXT(ROW()-ROW(tblTxn[[#Headers],[Txn ID]]),"000000"))</f>
        <v/>
      </c>
      <c r="C57" s="18" t="n">
        <v>46111</v>
      </c>
      <c r="D57">
        <f>IF($C57="","",TEXT($C57,"yyyy-mm"))</f>
        <v/>
      </c>
      <c r="E57" t="inlineStr">
        <is>
          <t>RBC Chequing (Alex)</t>
        </is>
      </c>
      <c r="F57">
        <f>IF($C57="","",IFERROR(INDEX(tblAccounts[Owner],MATCH($E57,tblAccounts[Account],0)),"Joint"))</f>
        <v/>
      </c>
      <c r="G57">
        <f>IF($C57="","",IF(HouseholdMode="Couple",IFERROR(IF(INDEX(tblCategories[Default Owner],MATCH($K57,tblCategories[Category],0))="",$F57,INDEX(tblCategories[Default Owner],MATCH($K57,tblCategories[Category],0))),$F57),$F57))</f>
        <v/>
      </c>
      <c r="H57" t="inlineStr">
        <is>
          <t>PAYROLL DEPOSIT NORTHWIND LOGISTICS</t>
        </is>
      </c>
      <c r="I57">
        <f>IF($H57="","",$H57)</f>
        <v/>
      </c>
      <c r="J57" s="19" t="n">
        <v>2427.18</v>
      </c>
      <c r="K57">
        <f>IF($H57="","",IFERROR(INDEX(tblRules[Category],SUMPRODUCT(MIN((1-((tblRules[Enabled]&lt;&gt;"No")*(tblRules[Pattern]&lt;&gt;"")*(tblRules[Category]&lt;&gt;"")*((tblRules[Flow]="Any")+(tblRules[Flow]="")+((tblRules[Flow]="Money out")*($J57&lt;0))+((tblRules[Flow]="Money in")*($J57&gt;0)))*(((tblRules[Look In]="Account")*ISNUMBER(SEARCH(tblRules[Pattern],$E57)))+((tblRules[Look In]&lt;&gt;"Account")*(((tblRules[Test]="Word")*ISNUMBER(SEARCH(" "&amp;tblRules[Pattern]&amp;" "," "&amp;$H57&amp;" ")))+((tblRules[Test]&lt;&gt;"Word")*ISNUMBER(SEARCH(tblRules[Pattern],$H57))))))&gt;0))*1E+9+ROW(tblRules[Pattern])))-ROW(tblRules[[#Headers],[Pattern]])),"Uncategorized"))</f>
        <v/>
      </c>
      <c r="L57">
        <f>IF($C57="","",IFERROR(INDEX(tblCategories[Group],MATCH($K57,tblCategories[Category],0)),"Other"))</f>
        <v/>
      </c>
      <c r="M57">
        <f>IF($C57="","",IFERROR(INDEX(tblCategories[Type],MATCH($K57,tblCategories[Category],0)),IF($J57&gt;0,"Income","Expense")))</f>
        <v/>
      </c>
      <c r="N57">
        <f>IF($C57="","",IFERROR(INDEX(tblCategories[Essential],MATCH($K57,tblCategories[Category],0)),"No"))</f>
        <v/>
      </c>
      <c r="O57">
        <f>IF($C57="","",IFERROR(INDEX(tblCategories[Tax Tag],MATCH($K57,tblCategories[Category],0)),""))</f>
        <v/>
      </c>
      <c r="P57" s="20">
        <f>IF($C57="","",IF($G57=PersonA,1,IF($G57=PersonB,0,IFERROR(INDEX(tblCategories[Joint Split A],MATCH($K57,tblCategories[Category],0)),DefaultSplitA))))</f>
        <v/>
      </c>
      <c r="Q57" s="19">
        <f>IF($C57="","",ROUND($J57*N($P57),2))</f>
        <v/>
      </c>
      <c r="R57" s="19">
        <f>IF($C57="","",ROUND($J57-N($Q57),2))</f>
        <v/>
      </c>
      <c r="U57" t="inlineStr">
        <is>
          <t>sample-data</t>
        </is>
      </c>
      <c r="V57" t="inlineStr">
        <is>
          <t>SAMPLE</t>
        </is>
      </c>
      <c r="W57" t="inlineStr">
        <is>
          <t>E3237452</t>
        </is>
      </c>
      <c r="X57">
        <f>IF($C57="","",IFERROR(IF(_xlfn.ISFORMULA($K57),"Rule","Manual"),""))</f>
        <v/>
      </c>
      <c r="Y57" s="19">
        <f>IF($C57="","",IF(ReportView=PersonA,N($Q57),IF(ReportView=PersonB,N($R57),$J57)))</f>
        <v/>
      </c>
    </row>
    <row r="58">
      <c r="B58">
        <f>IF($C58="","","T"&amp;TEXT(ROW()-ROW(tblTxn[[#Headers],[Txn ID]]),"000000"))</f>
        <v/>
      </c>
      <c r="C58" s="18" t="n">
        <v>46111</v>
      </c>
      <c r="D58">
        <f>IF($C58="","",TEXT($C58,"yyyy-mm"))</f>
        <v/>
      </c>
      <c r="E58" t="inlineStr">
        <is>
          <t>Tangerine Chequing (Sam)</t>
        </is>
      </c>
      <c r="F58">
        <f>IF($C58="","",IFERROR(INDEX(tblAccounts[Owner],MATCH($E58,tblAccounts[Account],0)),"Joint"))</f>
        <v/>
      </c>
      <c r="G58">
        <f>IF($C58="","",IF(HouseholdMode="Couple",IFERROR(IF(INDEX(tblCategories[Default Owner],MATCH($K58,tblCategories[Category],0))="",$F58,INDEX(tblCategories[Default Owner],MATCH($K58,tblCategories[Category],0))),$F58),$F58))</f>
        <v/>
      </c>
      <c r="H58" t="inlineStr">
        <is>
          <t>PAYROLL DEPOSIT MAPLE HEALTH GROUP</t>
        </is>
      </c>
      <c r="I58">
        <f>IF($H58="","",$H58)</f>
        <v/>
      </c>
      <c r="J58" s="19" t="n">
        <v>2008.44</v>
      </c>
      <c r="K58">
        <f>IF($H58="","",IFERROR(INDEX(tblRules[Category],SUMPRODUCT(MIN((1-((tblRules[Enabled]&lt;&gt;"No")*(tblRules[Pattern]&lt;&gt;"")*(tblRules[Category]&lt;&gt;"")*((tblRules[Flow]="Any")+(tblRules[Flow]="")+((tblRules[Flow]="Money out")*($J58&lt;0))+((tblRules[Flow]="Money in")*($J58&gt;0)))*(((tblRules[Look In]="Account")*ISNUMBER(SEARCH(tblRules[Pattern],$E58)))+((tblRules[Look In]&lt;&gt;"Account")*(((tblRules[Test]="Word")*ISNUMBER(SEARCH(" "&amp;tblRules[Pattern]&amp;" "," "&amp;$H58&amp;" ")))+((tblRules[Test]&lt;&gt;"Word")*ISNUMBER(SEARCH(tblRules[Pattern],$H58))))))&gt;0))*1E+9+ROW(tblRules[Pattern])))-ROW(tblRules[[#Headers],[Pattern]])),"Uncategorized"))</f>
        <v/>
      </c>
      <c r="L58">
        <f>IF($C58="","",IFERROR(INDEX(tblCategories[Group],MATCH($K58,tblCategories[Category],0)),"Other"))</f>
        <v/>
      </c>
      <c r="M58">
        <f>IF($C58="","",IFERROR(INDEX(tblCategories[Type],MATCH($K58,tblCategories[Category],0)),IF($J58&gt;0,"Income","Expense")))</f>
        <v/>
      </c>
      <c r="N58">
        <f>IF($C58="","",IFERROR(INDEX(tblCategories[Essential],MATCH($K58,tblCategories[Category],0)),"No"))</f>
        <v/>
      </c>
      <c r="O58">
        <f>IF($C58="","",IFERROR(INDEX(tblCategories[Tax Tag],MATCH($K58,tblCategories[Category],0)),""))</f>
        <v/>
      </c>
      <c r="P58" s="20">
        <f>IF($C58="","",IF($G58=PersonA,1,IF($G58=PersonB,0,IFERROR(INDEX(tblCategories[Joint Split A],MATCH($K58,tblCategories[Category],0)),DefaultSplitA))))</f>
        <v/>
      </c>
      <c r="Q58" s="19">
        <f>IF($C58="","",ROUND($J58*N($P58),2))</f>
        <v/>
      </c>
      <c r="R58" s="19">
        <f>IF($C58="","",ROUND($J58-N($Q58),2))</f>
        <v/>
      </c>
      <c r="U58" t="inlineStr">
        <is>
          <t>sample-data</t>
        </is>
      </c>
      <c r="V58" t="inlineStr">
        <is>
          <t>SAMPLE</t>
        </is>
      </c>
      <c r="W58" t="inlineStr">
        <is>
          <t>4A9B4625</t>
        </is>
      </c>
      <c r="X58">
        <f>IF($C58="","",IFERROR(IF(_xlfn.ISFORMULA($K58),"Rule","Manual"),""))</f>
        <v/>
      </c>
      <c r="Y58" s="19">
        <f>IF($C58="","",IF(ReportView=PersonA,N($Q58),IF(ReportView=PersonB,N($R58),$J58)))</f>
        <v/>
      </c>
    </row>
    <row r="59">
      <c r="B59">
        <f>IF($C59="","","T"&amp;TEXT(ROW()-ROW(tblTxn[[#Headers],[Txn ID]]),"000000"))</f>
        <v/>
      </c>
      <c r="C59" s="18" t="n">
        <v>46112</v>
      </c>
      <c r="D59">
        <f>IF($C59="","",TEXT($C59,"yyyy-mm"))</f>
        <v/>
      </c>
      <c r="E59" t="inlineStr">
        <is>
          <t>RBC Chequing (Alex)</t>
        </is>
      </c>
      <c r="F59">
        <f>IF($C59="","",IFERROR(INDEX(tblAccounts[Owner],MATCH($E59,tblAccounts[Account],0)),"Joint"))</f>
        <v/>
      </c>
      <c r="G59">
        <f>IF($C59="","",IF(HouseholdMode="Couple",IFERROR(IF(INDEX(tblCategories[Default Owner],MATCH($K59,tblCategories[Category],0))="",$F59,INDEX(tblCategories[Default Owner],MATCH($K59,tblCategories[Category],0))),$F59),$F59))</f>
        <v/>
      </c>
      <c r="H59" t="inlineStr">
        <is>
          <t>UBER TRIP HELP.UBER.COM ON</t>
        </is>
      </c>
      <c r="I59">
        <f>IF($H59="","",$H59)</f>
        <v/>
      </c>
      <c r="J59" s="19" t="n">
        <v>-39.98</v>
      </c>
      <c r="K59">
        <f>IF($H59="","",IFERROR(INDEX(tblRules[Category],SUMPRODUCT(MIN((1-((tblRules[Enabled]&lt;&gt;"No")*(tblRules[Pattern]&lt;&gt;"")*(tblRules[Category]&lt;&gt;"")*((tblRules[Flow]="Any")+(tblRules[Flow]="")+((tblRules[Flow]="Money out")*($J59&lt;0))+((tblRules[Flow]="Money in")*($J59&gt;0)))*(((tblRules[Look In]="Account")*ISNUMBER(SEARCH(tblRules[Pattern],$E59)))+((tblRules[Look In]&lt;&gt;"Account")*(((tblRules[Test]="Word")*ISNUMBER(SEARCH(" "&amp;tblRules[Pattern]&amp;" "," "&amp;$H59&amp;" ")))+((tblRules[Test]&lt;&gt;"Word")*ISNUMBER(SEARCH(tblRules[Pattern],$H59))))))&gt;0))*1E+9+ROW(tblRules[Pattern])))-ROW(tblRules[[#Headers],[Pattern]])),"Uncategorized"))</f>
        <v/>
      </c>
      <c r="L59">
        <f>IF($C59="","",IFERROR(INDEX(tblCategories[Group],MATCH($K59,tblCategories[Category],0)),"Other"))</f>
        <v/>
      </c>
      <c r="M59">
        <f>IF($C59="","",IFERROR(INDEX(tblCategories[Type],MATCH($K59,tblCategories[Category],0)),IF($J59&gt;0,"Income","Expense")))</f>
        <v/>
      </c>
      <c r="N59">
        <f>IF($C59="","",IFERROR(INDEX(tblCategories[Essential],MATCH($K59,tblCategories[Category],0)),"No"))</f>
        <v/>
      </c>
      <c r="O59">
        <f>IF($C59="","",IFERROR(INDEX(tblCategories[Tax Tag],MATCH($K59,tblCategories[Category],0)),""))</f>
        <v/>
      </c>
      <c r="P59" s="20">
        <f>IF($C59="","",IF($G59=PersonA,1,IF($G59=PersonB,0,IFERROR(INDEX(tblCategories[Joint Split A],MATCH($K59,tblCategories[Category],0)),DefaultSplitA))))</f>
        <v/>
      </c>
      <c r="Q59" s="19">
        <f>IF($C59="","",ROUND($J59*N($P59),2))</f>
        <v/>
      </c>
      <c r="R59" s="19">
        <f>IF($C59="","",ROUND($J59-N($Q59),2))</f>
        <v/>
      </c>
      <c r="U59" t="inlineStr">
        <is>
          <t>sample-data</t>
        </is>
      </c>
      <c r="V59" t="inlineStr">
        <is>
          <t>SAMPLE</t>
        </is>
      </c>
      <c r="W59" t="inlineStr">
        <is>
          <t>6999329A</t>
        </is>
      </c>
      <c r="X59">
        <f>IF($C59="","",IFERROR(IF(_xlfn.ISFORMULA($K59),"Rule","Manual"),""))</f>
        <v/>
      </c>
      <c r="Y59" s="19">
        <f>IF($C59="","",IF(ReportView=PersonA,N($Q59),IF(ReportView=PersonB,N($R59),$J59)))</f>
        <v/>
      </c>
    </row>
    <row r="60">
      <c r="B60">
        <f>IF($C60="","","T"&amp;TEXT(ROW()-ROW(tblTxn[[#Headers],[Txn ID]]),"000000"))</f>
        <v/>
      </c>
      <c r="C60" s="18" t="n">
        <v>46113</v>
      </c>
      <c r="D60">
        <f>IF($C60="","",TEXT($C60,"yyyy-mm"))</f>
        <v/>
      </c>
      <c r="E60" t="inlineStr">
        <is>
          <t>BMO Joint Chequing</t>
        </is>
      </c>
      <c r="F60">
        <f>IF($C60="","",IFERROR(INDEX(tblAccounts[Owner],MATCH($E60,tblAccounts[Account],0)),"Joint"))</f>
        <v/>
      </c>
      <c r="G60">
        <f>IF($C60="","",IF(HouseholdMode="Couple",IFERROR(IF(INDEX(tblCategories[Default Owner],MATCH($K60,tblCategories[Category],0))="",$F60,INDEX(tblCategories[Default Owner],MATCH($K60,tblCategories[Category],0))),$F60),$F60))</f>
        <v/>
      </c>
      <c r="H60" t="inlineStr">
        <is>
          <t>IDP PURCHASE - 7377 LCBO/RAO #4250 TORONTO ON</t>
        </is>
      </c>
      <c r="I60">
        <f>IF($H60="","",$H60)</f>
        <v/>
      </c>
      <c r="J60" s="19" t="n">
        <v>-67.98</v>
      </c>
      <c r="K60">
        <f>IF($H60="","",IFERROR(INDEX(tblRules[Category],SUMPRODUCT(MIN((1-((tblRules[Enabled]&lt;&gt;"No")*(tblRules[Pattern]&lt;&gt;"")*(tblRules[Category]&lt;&gt;"")*((tblRules[Flow]="Any")+(tblRules[Flow]="")+((tblRules[Flow]="Money out")*($J60&lt;0))+((tblRules[Flow]="Money in")*($J60&gt;0)))*(((tblRules[Look In]="Account")*ISNUMBER(SEARCH(tblRules[Pattern],$E60)))+((tblRules[Look In]&lt;&gt;"Account")*(((tblRules[Test]="Word")*ISNUMBER(SEARCH(" "&amp;tblRules[Pattern]&amp;" "," "&amp;$H60&amp;" ")))+((tblRules[Test]&lt;&gt;"Word")*ISNUMBER(SEARCH(tblRules[Pattern],$H60))))))&gt;0))*1E+9+ROW(tblRules[Pattern])))-ROW(tblRules[[#Headers],[Pattern]])),"Uncategorized"))</f>
        <v/>
      </c>
      <c r="L60">
        <f>IF($C60="","",IFERROR(INDEX(tblCategories[Group],MATCH($K60,tblCategories[Category],0)),"Other"))</f>
        <v/>
      </c>
      <c r="M60">
        <f>IF($C60="","",IFERROR(INDEX(tblCategories[Type],MATCH($K60,tblCategories[Category],0)),IF($J60&gt;0,"Income","Expense")))</f>
        <v/>
      </c>
      <c r="N60">
        <f>IF($C60="","",IFERROR(INDEX(tblCategories[Essential],MATCH($K60,tblCategories[Category],0)),"No"))</f>
        <v/>
      </c>
      <c r="O60">
        <f>IF($C60="","",IFERROR(INDEX(tblCategories[Tax Tag],MATCH($K60,tblCategories[Category],0)),""))</f>
        <v/>
      </c>
      <c r="P60" s="20">
        <f>IF($C60="","",IF($G60=PersonA,1,IF($G60=PersonB,0,IFERROR(INDEX(tblCategories[Joint Split A],MATCH($K60,tblCategories[Category],0)),DefaultSplitA))))</f>
        <v/>
      </c>
      <c r="Q60" s="19">
        <f>IF($C60="","",ROUND($J60*N($P60),2))</f>
        <v/>
      </c>
      <c r="R60" s="19">
        <f>IF($C60="","",ROUND($J60-N($Q60),2))</f>
        <v/>
      </c>
      <c r="U60" t="inlineStr">
        <is>
          <t>sample-data</t>
        </is>
      </c>
      <c r="V60" t="inlineStr">
        <is>
          <t>SAMPLE</t>
        </is>
      </c>
      <c r="W60" t="inlineStr">
        <is>
          <t>D09196E7</t>
        </is>
      </c>
      <c r="X60">
        <f>IF($C60="","",IFERROR(IF(_xlfn.ISFORMULA($K60),"Rule","Manual"),""))</f>
        <v/>
      </c>
      <c r="Y60" s="19">
        <f>IF($C60="","",IF(ReportView=PersonA,N($Q60),IF(ReportView=PersonB,N($R60),$J60)))</f>
        <v/>
      </c>
    </row>
    <row r="61">
      <c r="B61">
        <f>IF($C61="","","T"&amp;TEXT(ROW()-ROW(tblTxn[[#Headers],[Txn ID]]),"000000"))</f>
        <v/>
      </c>
      <c r="C61" s="18" t="n">
        <v>46113</v>
      </c>
      <c r="D61">
        <f>IF($C61="","",TEXT($C61,"yyyy-mm"))</f>
        <v/>
      </c>
      <c r="E61" t="inlineStr">
        <is>
          <t>BMO Joint Chequing</t>
        </is>
      </c>
      <c r="F61">
        <f>IF($C61="","",IFERROR(INDEX(tblAccounts[Owner],MATCH($E61,tblAccounts[Account],0)),"Joint"))</f>
        <v/>
      </c>
      <c r="G61">
        <f>IF($C61="","",IF(HouseholdMode="Couple",IFERROR(IF(INDEX(tblCategories[Default Owner],MATCH($K61,tblCategories[Category],0))="",$F61,INDEX(tblCategories[Default Owner],MATCH($K61,tblCategories[Category],0))),$F61),$F61))</f>
        <v/>
      </c>
      <c r="H61" t="inlineStr">
        <is>
          <t>RENT PAYMENT 84 BROADVIEW AVE</t>
        </is>
      </c>
      <c r="I61">
        <f>IF($H61="","",$H61)</f>
        <v/>
      </c>
      <c r="J61" s="19" t="n">
        <v>-2350</v>
      </c>
      <c r="K61">
        <f>IF($H61="","",IFERROR(INDEX(tblRules[Category],SUMPRODUCT(MIN((1-((tblRules[Enabled]&lt;&gt;"No")*(tblRules[Pattern]&lt;&gt;"")*(tblRules[Category]&lt;&gt;"")*((tblRules[Flow]="Any")+(tblRules[Flow]="")+((tblRules[Flow]="Money out")*($J61&lt;0))+((tblRules[Flow]="Money in")*($J61&gt;0)))*(((tblRules[Look In]="Account")*ISNUMBER(SEARCH(tblRules[Pattern],$E61)))+((tblRules[Look In]&lt;&gt;"Account")*(((tblRules[Test]="Word")*ISNUMBER(SEARCH(" "&amp;tblRules[Pattern]&amp;" "," "&amp;$H61&amp;" ")))+((tblRules[Test]&lt;&gt;"Word")*ISNUMBER(SEARCH(tblRules[Pattern],$H61))))))&gt;0))*1E+9+ROW(tblRules[Pattern])))-ROW(tblRules[[#Headers],[Pattern]])),"Uncategorized"))</f>
        <v/>
      </c>
      <c r="L61">
        <f>IF($C61="","",IFERROR(INDEX(tblCategories[Group],MATCH($K61,tblCategories[Category],0)),"Other"))</f>
        <v/>
      </c>
      <c r="M61">
        <f>IF($C61="","",IFERROR(INDEX(tblCategories[Type],MATCH($K61,tblCategories[Category],0)),IF($J61&gt;0,"Income","Expense")))</f>
        <v/>
      </c>
      <c r="N61">
        <f>IF($C61="","",IFERROR(INDEX(tblCategories[Essential],MATCH($K61,tblCategories[Category],0)),"No"))</f>
        <v/>
      </c>
      <c r="O61">
        <f>IF($C61="","",IFERROR(INDEX(tblCategories[Tax Tag],MATCH($K61,tblCategories[Category],0)),""))</f>
        <v/>
      </c>
      <c r="P61" s="20">
        <f>IF($C61="","",IF($G61=PersonA,1,IF($G61=PersonB,0,IFERROR(INDEX(tblCategories[Joint Split A],MATCH($K61,tblCategories[Category],0)),DefaultSplitA))))</f>
        <v/>
      </c>
      <c r="Q61" s="19">
        <f>IF($C61="","",ROUND($J61*N($P61),2))</f>
        <v/>
      </c>
      <c r="R61" s="19">
        <f>IF($C61="","",ROUND($J61-N($Q61),2))</f>
        <v/>
      </c>
      <c r="U61" t="inlineStr">
        <is>
          <t>sample-data</t>
        </is>
      </c>
      <c r="V61" t="inlineStr">
        <is>
          <t>SAMPLE</t>
        </is>
      </c>
      <c r="W61" t="inlineStr">
        <is>
          <t>2758B5DF</t>
        </is>
      </c>
      <c r="X61">
        <f>IF($C61="","",IFERROR(IF(_xlfn.ISFORMULA($K61),"Rule","Manual"),""))</f>
        <v/>
      </c>
      <c r="Y61" s="19">
        <f>IF($C61="","",IF(ReportView=PersonA,N($Q61),IF(ReportView=PersonB,N($R61),$J61)))</f>
        <v/>
      </c>
    </row>
    <row r="62">
      <c r="B62">
        <f>IF($C62="","","T"&amp;TEXT(ROW()-ROW(tblTxn[[#Headers],[Txn ID]]),"000000"))</f>
        <v/>
      </c>
      <c r="C62" s="18" t="n">
        <v>46115</v>
      </c>
      <c r="D62">
        <f>IF($C62="","",TEXT($C62,"yyyy-mm"))</f>
        <v/>
      </c>
      <c r="E62" t="inlineStr">
        <is>
          <t>BMO Joint Chequing</t>
        </is>
      </c>
      <c r="F62">
        <f>IF($C62="","",IFERROR(INDEX(tblAccounts[Owner],MATCH($E62,tblAccounts[Account],0)),"Joint"))</f>
        <v/>
      </c>
      <c r="G62">
        <f>IF($C62="","",IF(HouseholdMode="Couple",IFERROR(IF(INDEX(tblCategories[Default Owner],MATCH($K62,tblCategories[Category],0))="",$F62,INDEX(tblCategories[Default Owner],MATCH($K62,tblCategories[Category],0))),$F62),$F62))</f>
        <v/>
      </c>
      <c r="H62" t="inlineStr">
        <is>
          <t>GOODLIFE CLUBS PREAUTHORIZED DEBIT</t>
        </is>
      </c>
      <c r="I62">
        <f>IF($H62="","",$H62)</f>
        <v/>
      </c>
      <c r="J62" s="19" t="n">
        <v>-54.22</v>
      </c>
      <c r="K62">
        <f>IF($H62="","",IFERROR(INDEX(tblRules[Category],SUMPRODUCT(MIN((1-((tblRules[Enabled]&lt;&gt;"No")*(tblRules[Pattern]&lt;&gt;"")*(tblRules[Category]&lt;&gt;"")*((tblRules[Flow]="Any")+(tblRules[Flow]="")+((tblRules[Flow]="Money out")*($J62&lt;0))+((tblRules[Flow]="Money in")*($J62&gt;0)))*(((tblRules[Look In]="Account")*ISNUMBER(SEARCH(tblRules[Pattern],$E62)))+((tblRules[Look In]&lt;&gt;"Account")*(((tblRules[Test]="Word")*ISNUMBER(SEARCH(" "&amp;tblRules[Pattern]&amp;" "," "&amp;$H62&amp;" ")))+((tblRules[Test]&lt;&gt;"Word")*ISNUMBER(SEARCH(tblRules[Pattern],$H62))))))&gt;0))*1E+9+ROW(tblRules[Pattern])))-ROW(tblRules[[#Headers],[Pattern]])),"Uncategorized"))</f>
        <v/>
      </c>
      <c r="L62">
        <f>IF($C62="","",IFERROR(INDEX(tblCategories[Group],MATCH($K62,tblCategories[Category],0)),"Other"))</f>
        <v/>
      </c>
      <c r="M62">
        <f>IF($C62="","",IFERROR(INDEX(tblCategories[Type],MATCH($K62,tblCategories[Category],0)),IF($J62&gt;0,"Income","Expense")))</f>
        <v/>
      </c>
      <c r="N62">
        <f>IF($C62="","",IFERROR(INDEX(tblCategories[Essential],MATCH($K62,tblCategories[Category],0)),"No"))</f>
        <v/>
      </c>
      <c r="O62">
        <f>IF($C62="","",IFERROR(INDEX(tblCategories[Tax Tag],MATCH($K62,tblCategories[Category],0)),""))</f>
        <v/>
      </c>
      <c r="P62" s="20">
        <f>IF($C62="","",IF($G62=PersonA,1,IF($G62=PersonB,0,IFERROR(INDEX(tblCategories[Joint Split A],MATCH($K62,tblCategories[Category],0)),DefaultSplitA))))</f>
        <v/>
      </c>
      <c r="Q62" s="19">
        <f>IF($C62="","",ROUND($J62*N($P62),2))</f>
        <v/>
      </c>
      <c r="R62" s="19">
        <f>IF($C62="","",ROUND($J62-N($Q62),2))</f>
        <v/>
      </c>
      <c r="U62" t="inlineStr">
        <is>
          <t>sample-data</t>
        </is>
      </c>
      <c r="V62" t="inlineStr">
        <is>
          <t>SAMPLE</t>
        </is>
      </c>
      <c r="W62" t="inlineStr">
        <is>
          <t>4F56D8B8</t>
        </is>
      </c>
      <c r="X62">
        <f>IF($C62="","",IFERROR(IF(_xlfn.ISFORMULA($K62),"Rule","Manual"),""))</f>
        <v/>
      </c>
      <c r="Y62" s="19">
        <f>IF($C62="","",IF(ReportView=PersonA,N($Q62),IF(ReportView=PersonB,N($R62),$J62)))</f>
        <v/>
      </c>
    </row>
    <row r="63">
      <c r="B63">
        <f>IF($C63="","","T"&amp;TEXT(ROW()-ROW(tblTxn[[#Headers],[Txn ID]]),"000000"))</f>
        <v/>
      </c>
      <c r="C63" s="18" t="n">
        <v>46115</v>
      </c>
      <c r="D63">
        <f>IF($C63="","",TEXT($C63,"yyyy-mm"))</f>
        <v/>
      </c>
      <c r="E63" t="inlineStr">
        <is>
          <t>BMO Joint Chequing</t>
        </is>
      </c>
      <c r="F63">
        <f>IF($C63="","",IFERROR(INDEX(tblAccounts[Owner],MATCH($E63,tblAccounts[Account],0)),"Joint"))</f>
        <v/>
      </c>
      <c r="G63">
        <f>IF($C63="","",IF(HouseholdMode="Couple",IFERROR(IF(INDEX(tblCategories[Default Owner],MATCH($K63,tblCategories[Category],0))="",$F63,INDEX(tblCategories[Default Owner],MATCH($K63,tblCategories[Category],0))),$F63),$F63))</f>
        <v/>
      </c>
      <c r="H63" t="inlineStr">
        <is>
          <t>IDP PURCHASE - 2112 LOBLAWS #716 TORONTO ON</t>
        </is>
      </c>
      <c r="I63">
        <f>IF($H63="","",$H63)</f>
        <v/>
      </c>
      <c r="J63" s="19" t="n">
        <v>-150.96</v>
      </c>
      <c r="K63">
        <f>IF($H63="","",IFERROR(INDEX(tblRules[Category],SUMPRODUCT(MIN((1-((tblRules[Enabled]&lt;&gt;"No")*(tblRules[Pattern]&lt;&gt;"")*(tblRules[Category]&lt;&gt;"")*((tblRules[Flow]="Any")+(tblRules[Flow]="")+((tblRules[Flow]="Money out")*($J63&lt;0))+((tblRules[Flow]="Money in")*($J63&gt;0)))*(((tblRules[Look In]="Account")*ISNUMBER(SEARCH(tblRules[Pattern],$E63)))+((tblRules[Look In]&lt;&gt;"Account")*(((tblRules[Test]="Word")*ISNUMBER(SEARCH(" "&amp;tblRules[Pattern]&amp;" "," "&amp;$H63&amp;" ")))+((tblRules[Test]&lt;&gt;"Word")*ISNUMBER(SEARCH(tblRules[Pattern],$H63))))))&gt;0))*1E+9+ROW(tblRules[Pattern])))-ROW(tblRules[[#Headers],[Pattern]])),"Uncategorized"))</f>
        <v/>
      </c>
      <c r="L63">
        <f>IF($C63="","",IFERROR(INDEX(tblCategories[Group],MATCH($K63,tblCategories[Category],0)),"Other"))</f>
        <v/>
      </c>
      <c r="M63">
        <f>IF($C63="","",IFERROR(INDEX(tblCategories[Type],MATCH($K63,tblCategories[Category],0)),IF($J63&gt;0,"Income","Expense")))</f>
        <v/>
      </c>
      <c r="N63">
        <f>IF($C63="","",IFERROR(INDEX(tblCategories[Essential],MATCH($K63,tblCategories[Category],0)),"No"))</f>
        <v/>
      </c>
      <c r="O63">
        <f>IF($C63="","",IFERROR(INDEX(tblCategories[Tax Tag],MATCH($K63,tblCategories[Category],0)),""))</f>
        <v/>
      </c>
      <c r="P63" s="20">
        <f>IF($C63="","",IF($G63=PersonA,1,IF($G63=PersonB,0,IFERROR(INDEX(tblCategories[Joint Split A],MATCH($K63,tblCategories[Category],0)),DefaultSplitA))))</f>
        <v/>
      </c>
      <c r="Q63" s="19">
        <f>IF($C63="","",ROUND($J63*N($P63),2))</f>
        <v/>
      </c>
      <c r="R63" s="19">
        <f>IF($C63="","",ROUND($J63-N($Q63),2))</f>
        <v/>
      </c>
      <c r="U63" t="inlineStr">
        <is>
          <t>sample-data</t>
        </is>
      </c>
      <c r="V63" t="inlineStr">
        <is>
          <t>SAMPLE</t>
        </is>
      </c>
      <c r="W63" t="inlineStr">
        <is>
          <t>E4222C50</t>
        </is>
      </c>
      <c r="X63">
        <f>IF($C63="","",IFERROR(IF(_xlfn.ISFORMULA($K63),"Rule","Manual"),""))</f>
        <v/>
      </c>
      <c r="Y63" s="19">
        <f>IF($C63="","",IF(ReportView=PersonA,N($Q63),IF(ReportView=PersonB,N($R63),$J63)))</f>
        <v/>
      </c>
    </row>
    <row r="64">
      <c r="B64">
        <f>IF($C64="","","T"&amp;TEXT(ROW()-ROW(tblTxn[[#Headers],[Txn ID]]),"000000"))</f>
        <v/>
      </c>
      <c r="C64" s="18" t="n">
        <v>46116</v>
      </c>
      <c r="D64">
        <f>IF($C64="","",TEXT($C64,"yyyy-mm"))</f>
        <v/>
      </c>
      <c r="E64" t="inlineStr">
        <is>
          <t>Amex Cobalt (Joint)</t>
        </is>
      </c>
      <c r="F64">
        <f>IF($C64="","",IFERROR(INDEX(tblAccounts[Owner],MATCH($E64,tblAccounts[Account],0)),"Joint"))</f>
        <v/>
      </c>
      <c r="G64">
        <f>IF($C64="","",IF(HouseholdMode="Couple",IFERROR(IF(INDEX(tblCategories[Default Owner],MATCH($K64,tblCategories[Category],0))="",$F64,INDEX(tblCategories[Default Owner],MATCH($K64,tblCategories[Category],0))),$F64),$F64))</f>
        <v/>
      </c>
      <c r="H64" t="inlineStr">
        <is>
          <t>IDP PURCHASE - 2705 SHOPPERS DRUG MART #4068 ON</t>
        </is>
      </c>
      <c r="I64">
        <f>IF($H64="","",$H64)</f>
        <v/>
      </c>
      <c r="J64" s="19" t="n">
        <v>-20.36</v>
      </c>
      <c r="K64">
        <f>IF($H64="","",IFERROR(INDEX(tblRules[Category],SUMPRODUCT(MIN((1-((tblRules[Enabled]&lt;&gt;"No")*(tblRules[Pattern]&lt;&gt;"")*(tblRules[Category]&lt;&gt;"")*((tblRules[Flow]="Any")+(tblRules[Flow]="")+((tblRules[Flow]="Money out")*($J64&lt;0))+((tblRules[Flow]="Money in")*($J64&gt;0)))*(((tblRules[Look In]="Account")*ISNUMBER(SEARCH(tblRules[Pattern],$E64)))+((tblRules[Look In]&lt;&gt;"Account")*(((tblRules[Test]="Word")*ISNUMBER(SEARCH(" "&amp;tblRules[Pattern]&amp;" "," "&amp;$H64&amp;" ")))+((tblRules[Test]&lt;&gt;"Word")*ISNUMBER(SEARCH(tblRules[Pattern],$H64))))))&gt;0))*1E+9+ROW(tblRules[Pattern])))-ROW(tblRules[[#Headers],[Pattern]])),"Uncategorized"))</f>
        <v/>
      </c>
      <c r="L64">
        <f>IF($C64="","",IFERROR(INDEX(tblCategories[Group],MATCH($K64,tblCategories[Category],0)),"Other"))</f>
        <v/>
      </c>
      <c r="M64">
        <f>IF($C64="","",IFERROR(INDEX(tblCategories[Type],MATCH($K64,tblCategories[Category],0)),IF($J64&gt;0,"Income","Expense")))</f>
        <v/>
      </c>
      <c r="N64">
        <f>IF($C64="","",IFERROR(INDEX(tblCategories[Essential],MATCH($K64,tblCategories[Category],0)),"No"))</f>
        <v/>
      </c>
      <c r="O64">
        <f>IF($C64="","",IFERROR(INDEX(tblCategories[Tax Tag],MATCH($K64,tblCategories[Category],0)),""))</f>
        <v/>
      </c>
      <c r="P64" s="20">
        <f>IF($C64="","",IF($G64=PersonA,1,IF($G64=PersonB,0,IFERROR(INDEX(tblCategories[Joint Split A],MATCH($K64,tblCategories[Category],0)),DefaultSplitA))))</f>
        <v/>
      </c>
      <c r="Q64" s="19">
        <f>IF($C64="","",ROUND($J64*N($P64),2))</f>
        <v/>
      </c>
      <c r="R64" s="19">
        <f>IF($C64="","",ROUND($J64-N($Q64),2))</f>
        <v/>
      </c>
      <c r="U64" t="inlineStr">
        <is>
          <t>sample-data</t>
        </is>
      </c>
      <c r="V64" t="inlineStr">
        <is>
          <t>SAMPLE</t>
        </is>
      </c>
      <c r="W64" t="inlineStr">
        <is>
          <t>935F91DF</t>
        </is>
      </c>
      <c r="X64">
        <f>IF($C64="","",IFERROR(IF(_xlfn.ISFORMULA($K64),"Rule","Manual"),""))</f>
        <v/>
      </c>
      <c r="Y64" s="19">
        <f>IF($C64="","",IF(ReportView=PersonA,N($Q64),IF(ReportView=PersonB,N($R64),$J64)))</f>
        <v/>
      </c>
    </row>
    <row r="65">
      <c r="B65">
        <f>IF($C65="","","T"&amp;TEXT(ROW()-ROW(tblTxn[[#Headers],[Txn ID]]),"000000"))</f>
        <v/>
      </c>
      <c r="C65" s="18" t="n">
        <v>46116</v>
      </c>
      <c r="D65">
        <f>IF($C65="","",TEXT($C65,"yyyy-mm"))</f>
        <v/>
      </c>
      <c r="E65" t="inlineStr">
        <is>
          <t>Tangerine Chequing (Sam)</t>
        </is>
      </c>
      <c r="F65">
        <f>IF($C65="","",IFERROR(INDEX(tblAccounts[Owner],MATCH($E65,tblAccounts[Account],0)),"Joint"))</f>
        <v/>
      </c>
      <c r="G65">
        <f>IF($C65="","",IF(HouseholdMode="Couple",IFERROR(IF(INDEX(tblCategories[Default Owner],MATCH($K65,tblCategories[Category],0))="",$F65,INDEX(tblCategories[Default Owner],MATCH($K65,tblCategories[Category],0))),$F65),$F65))</f>
        <v/>
      </c>
      <c r="H65" t="inlineStr">
        <is>
          <t>PRESTO FARE/TRANSIT TORONTO ON</t>
        </is>
      </c>
      <c r="I65">
        <f>IF($H65="","",$H65)</f>
        <v/>
      </c>
      <c r="J65" s="19" t="n">
        <v>-132.05</v>
      </c>
      <c r="K65">
        <f>IF($H65="","",IFERROR(INDEX(tblRules[Category],SUMPRODUCT(MIN((1-((tblRules[Enabled]&lt;&gt;"No")*(tblRules[Pattern]&lt;&gt;"")*(tblRules[Category]&lt;&gt;"")*((tblRules[Flow]="Any")+(tblRules[Flow]="")+((tblRules[Flow]="Money out")*($J65&lt;0))+((tblRules[Flow]="Money in")*($J65&gt;0)))*(((tblRules[Look In]="Account")*ISNUMBER(SEARCH(tblRules[Pattern],$E65)))+((tblRules[Look In]&lt;&gt;"Account")*(((tblRules[Test]="Word")*ISNUMBER(SEARCH(" "&amp;tblRules[Pattern]&amp;" "," "&amp;$H65&amp;" ")))+((tblRules[Test]&lt;&gt;"Word")*ISNUMBER(SEARCH(tblRules[Pattern],$H65))))))&gt;0))*1E+9+ROW(tblRules[Pattern])))-ROW(tblRules[[#Headers],[Pattern]])),"Uncategorized"))</f>
        <v/>
      </c>
      <c r="L65">
        <f>IF($C65="","",IFERROR(INDEX(tblCategories[Group],MATCH($K65,tblCategories[Category],0)),"Other"))</f>
        <v/>
      </c>
      <c r="M65">
        <f>IF($C65="","",IFERROR(INDEX(tblCategories[Type],MATCH($K65,tblCategories[Category],0)),IF($J65&gt;0,"Income","Expense")))</f>
        <v/>
      </c>
      <c r="N65">
        <f>IF($C65="","",IFERROR(INDEX(tblCategories[Essential],MATCH($K65,tblCategories[Category],0)),"No"))</f>
        <v/>
      </c>
      <c r="O65">
        <f>IF($C65="","",IFERROR(INDEX(tblCategories[Tax Tag],MATCH($K65,tblCategories[Category],0)),""))</f>
        <v/>
      </c>
      <c r="P65" s="20">
        <f>IF($C65="","",IF($G65=PersonA,1,IF($G65=PersonB,0,IFERROR(INDEX(tblCategories[Joint Split A],MATCH($K65,tblCategories[Category],0)),DefaultSplitA))))</f>
        <v/>
      </c>
      <c r="Q65" s="19">
        <f>IF($C65="","",ROUND($J65*N($P65),2))</f>
        <v/>
      </c>
      <c r="R65" s="19">
        <f>IF($C65="","",ROUND($J65-N($Q65),2))</f>
        <v/>
      </c>
      <c r="U65" t="inlineStr">
        <is>
          <t>sample-data</t>
        </is>
      </c>
      <c r="V65" t="inlineStr">
        <is>
          <t>SAMPLE</t>
        </is>
      </c>
      <c r="W65" t="inlineStr">
        <is>
          <t>8F858B7F</t>
        </is>
      </c>
      <c r="X65">
        <f>IF($C65="","",IFERROR(IF(_xlfn.ISFORMULA($K65),"Rule","Manual"),""))</f>
        <v/>
      </c>
      <c r="Y65" s="19">
        <f>IF($C65="","",IF(ReportView=PersonA,N($Q65),IF(ReportView=PersonB,N($R65),$J65)))</f>
        <v/>
      </c>
    </row>
    <row r="66">
      <c r="B66">
        <f>IF($C66="","","T"&amp;TEXT(ROW()-ROW(tblTxn[[#Headers],[Txn ID]]),"000000"))</f>
        <v/>
      </c>
      <c r="C66" s="18" t="n">
        <v>46117</v>
      </c>
      <c r="D66">
        <f>IF($C66="","",TEXT($C66,"yyyy-mm"))</f>
        <v/>
      </c>
      <c r="E66" t="inlineStr">
        <is>
          <t>BMO Joint Chequing</t>
        </is>
      </c>
      <c r="F66">
        <f>IF($C66="","",IFERROR(INDEX(tblAccounts[Owner],MATCH($E66,tblAccounts[Account],0)),"Joint"))</f>
        <v/>
      </c>
      <c r="G66">
        <f>IF($C66="","",IF(HouseholdMode="Couple",IFERROR(IF(INDEX(tblCategories[Default Owner],MATCH($K66,tblCategories[Category],0))="",$F66,INDEX(tblCategories[Default Owner],MATCH($K66,tblCategories[Category],0))),$F66),$F66))</f>
        <v/>
      </c>
      <c r="H66" t="inlineStr">
        <is>
          <t>BELAIRDIRECT INSURANCE PREAUTHORIZED DEBIT</t>
        </is>
      </c>
      <c r="I66">
        <f>IF($H66="","",$H66)</f>
        <v/>
      </c>
      <c r="J66" s="19" t="n">
        <v>-168</v>
      </c>
      <c r="K66">
        <f>IF($H66="","",IFERROR(INDEX(tblRules[Category],SUMPRODUCT(MIN((1-((tblRules[Enabled]&lt;&gt;"No")*(tblRules[Pattern]&lt;&gt;"")*(tblRules[Category]&lt;&gt;"")*((tblRules[Flow]="Any")+(tblRules[Flow]="")+((tblRules[Flow]="Money out")*($J66&lt;0))+((tblRules[Flow]="Money in")*($J66&gt;0)))*(((tblRules[Look In]="Account")*ISNUMBER(SEARCH(tblRules[Pattern],$E66)))+((tblRules[Look In]&lt;&gt;"Account")*(((tblRules[Test]="Word")*ISNUMBER(SEARCH(" "&amp;tblRules[Pattern]&amp;" "," "&amp;$H66&amp;" ")))+((tblRules[Test]&lt;&gt;"Word")*ISNUMBER(SEARCH(tblRules[Pattern],$H66))))))&gt;0))*1E+9+ROW(tblRules[Pattern])))-ROW(tblRules[[#Headers],[Pattern]])),"Uncategorized"))</f>
        <v/>
      </c>
      <c r="L66">
        <f>IF($C66="","",IFERROR(INDEX(tblCategories[Group],MATCH($K66,tblCategories[Category],0)),"Other"))</f>
        <v/>
      </c>
      <c r="M66">
        <f>IF($C66="","",IFERROR(INDEX(tblCategories[Type],MATCH($K66,tblCategories[Category],0)),IF($J66&gt;0,"Income","Expense")))</f>
        <v/>
      </c>
      <c r="N66">
        <f>IF($C66="","",IFERROR(INDEX(tblCategories[Essential],MATCH($K66,tblCategories[Category],0)),"No"))</f>
        <v/>
      </c>
      <c r="O66">
        <f>IF($C66="","",IFERROR(INDEX(tblCategories[Tax Tag],MATCH($K66,tblCategories[Category],0)),""))</f>
        <v/>
      </c>
      <c r="P66" s="20">
        <f>IF($C66="","",IF($G66=PersonA,1,IF($G66=PersonB,0,IFERROR(INDEX(tblCategories[Joint Split A],MATCH($K66,tblCategories[Category],0)),DefaultSplitA))))</f>
        <v/>
      </c>
      <c r="Q66" s="19">
        <f>IF($C66="","",ROUND($J66*N($P66),2))</f>
        <v/>
      </c>
      <c r="R66" s="19">
        <f>IF($C66="","",ROUND($J66-N($Q66),2))</f>
        <v/>
      </c>
      <c r="U66" t="inlineStr">
        <is>
          <t>sample-data</t>
        </is>
      </c>
      <c r="V66" t="inlineStr">
        <is>
          <t>SAMPLE</t>
        </is>
      </c>
      <c r="W66" t="inlineStr">
        <is>
          <t>3E407F02</t>
        </is>
      </c>
      <c r="X66">
        <f>IF($C66="","",IFERROR(IF(_xlfn.ISFORMULA($K66),"Rule","Manual"),""))</f>
        <v/>
      </c>
      <c r="Y66" s="19">
        <f>IF($C66="","",IF(ReportView=PersonA,N($Q66),IF(ReportView=PersonB,N($R66),$J66)))</f>
        <v/>
      </c>
    </row>
    <row r="67">
      <c r="B67">
        <f>IF($C67="","","T"&amp;TEXT(ROW()-ROW(tblTxn[[#Headers],[Txn ID]]),"000000"))</f>
        <v/>
      </c>
      <c r="C67" s="18" t="n">
        <v>46117</v>
      </c>
      <c r="D67">
        <f>IF($C67="","",TEXT($C67,"yyyy-mm"))</f>
        <v/>
      </c>
      <c r="E67" t="inlineStr">
        <is>
          <t>BMO Joint Chequing</t>
        </is>
      </c>
      <c r="F67">
        <f>IF($C67="","",IFERROR(INDEX(tblAccounts[Owner],MATCH($E67,tblAccounts[Account],0)),"Joint"))</f>
        <v/>
      </c>
      <c r="G67">
        <f>IF($C67="","",IF(HouseholdMode="Couple",IFERROR(IF(INDEX(tblCategories[Default Owner],MATCH($K67,tblCategories[Category],0))="",$F67,INDEX(tblCategories[Default Owner],MATCH($K67,tblCategories[Category],0))),$F67),$F67))</f>
        <v/>
      </c>
      <c r="H67" t="inlineStr">
        <is>
          <t>LITTLE MAPLE DAYCARE PREAUTHORIZED DEBIT</t>
        </is>
      </c>
      <c r="I67">
        <f>IF($H67="","",$H67)</f>
        <v/>
      </c>
      <c r="J67" s="19" t="n">
        <v>-880</v>
      </c>
      <c r="K67">
        <f>IF($H67="","",IFERROR(INDEX(tblRules[Category],SUMPRODUCT(MIN((1-((tblRules[Enabled]&lt;&gt;"No")*(tblRules[Pattern]&lt;&gt;"")*(tblRules[Category]&lt;&gt;"")*((tblRules[Flow]="Any")+(tblRules[Flow]="")+((tblRules[Flow]="Money out")*($J67&lt;0))+((tblRules[Flow]="Money in")*($J67&gt;0)))*(((tblRules[Look In]="Account")*ISNUMBER(SEARCH(tblRules[Pattern],$E67)))+((tblRules[Look In]&lt;&gt;"Account")*(((tblRules[Test]="Word")*ISNUMBER(SEARCH(" "&amp;tblRules[Pattern]&amp;" "," "&amp;$H67&amp;" ")))+((tblRules[Test]&lt;&gt;"Word")*ISNUMBER(SEARCH(tblRules[Pattern],$H67))))))&gt;0))*1E+9+ROW(tblRules[Pattern])))-ROW(tblRules[[#Headers],[Pattern]])),"Uncategorized"))</f>
        <v/>
      </c>
      <c r="L67">
        <f>IF($C67="","",IFERROR(INDEX(tblCategories[Group],MATCH($K67,tblCategories[Category],0)),"Other"))</f>
        <v/>
      </c>
      <c r="M67">
        <f>IF($C67="","",IFERROR(INDEX(tblCategories[Type],MATCH($K67,tblCategories[Category],0)),IF($J67&gt;0,"Income","Expense")))</f>
        <v/>
      </c>
      <c r="N67">
        <f>IF($C67="","",IFERROR(INDEX(tblCategories[Essential],MATCH($K67,tblCategories[Category],0)),"No"))</f>
        <v/>
      </c>
      <c r="O67">
        <f>IF($C67="","",IFERROR(INDEX(tblCategories[Tax Tag],MATCH($K67,tblCategories[Category],0)),""))</f>
        <v/>
      </c>
      <c r="P67" s="20">
        <f>IF($C67="","",IF($G67=PersonA,1,IF($G67=PersonB,0,IFERROR(INDEX(tblCategories[Joint Split A],MATCH($K67,tblCategories[Category],0)),DefaultSplitA))))</f>
        <v/>
      </c>
      <c r="Q67" s="19">
        <f>IF($C67="","",ROUND($J67*N($P67),2))</f>
        <v/>
      </c>
      <c r="R67" s="19">
        <f>IF($C67="","",ROUND($J67-N($Q67),2))</f>
        <v/>
      </c>
      <c r="U67" t="inlineStr">
        <is>
          <t>sample-data</t>
        </is>
      </c>
      <c r="V67" t="inlineStr">
        <is>
          <t>SAMPLE</t>
        </is>
      </c>
      <c r="W67" t="inlineStr">
        <is>
          <t>61AAEF89</t>
        </is>
      </c>
      <c r="X67">
        <f>IF($C67="","",IFERROR(IF(_xlfn.ISFORMULA($K67),"Rule","Manual"),""))</f>
        <v/>
      </c>
      <c r="Y67" s="19">
        <f>IF($C67="","",IF(ReportView=PersonA,N($Q67),IF(ReportView=PersonB,N($R67),$J67)))</f>
        <v/>
      </c>
    </row>
    <row r="68">
      <c r="B68">
        <f>IF($C68="","","T"&amp;TEXT(ROW()-ROW(tblTxn[[#Headers],[Txn ID]]),"000000"))</f>
        <v/>
      </c>
      <c r="C68" s="18" t="n">
        <v>46118</v>
      </c>
      <c r="D68">
        <f>IF($C68="","",TEXT($C68,"yyyy-mm"))</f>
        <v/>
      </c>
      <c r="E68" t="inlineStr">
        <is>
          <t>BMO Joint Chequing</t>
        </is>
      </c>
      <c r="F68">
        <f>IF($C68="","",IFERROR(INDEX(tblAccounts[Owner],MATCH($E68,tblAccounts[Account],0)),"Joint"))</f>
        <v/>
      </c>
      <c r="G68">
        <f>IF($C68="","",IF(HouseholdMode="Couple",IFERROR(IF(INDEX(tblCategories[Default Owner],MATCH($K68,tblCategories[Category],0))="",$F68,INDEX(tblCategories[Default Owner],MATCH($K68,tblCategories[Category],0))),$F68),$F68))</f>
        <v/>
      </c>
      <c r="H68" t="inlineStr">
        <is>
          <t>SUN LIFE ASSURANCE MISC PAYMENT</t>
        </is>
      </c>
      <c r="I68">
        <f>IF($H68="","",$H68)</f>
        <v/>
      </c>
      <c r="J68" s="19" t="n">
        <v>-74.5</v>
      </c>
      <c r="K68">
        <f>IF($H68="","",IFERROR(INDEX(tblRules[Category],SUMPRODUCT(MIN((1-((tblRules[Enabled]&lt;&gt;"No")*(tblRules[Pattern]&lt;&gt;"")*(tblRules[Category]&lt;&gt;"")*((tblRules[Flow]="Any")+(tblRules[Flow]="")+((tblRules[Flow]="Money out")*($J68&lt;0))+((tblRules[Flow]="Money in")*($J68&gt;0)))*(((tblRules[Look In]="Account")*ISNUMBER(SEARCH(tblRules[Pattern],$E68)))+((tblRules[Look In]&lt;&gt;"Account")*(((tblRules[Test]="Word")*ISNUMBER(SEARCH(" "&amp;tblRules[Pattern]&amp;" "," "&amp;$H68&amp;" ")))+((tblRules[Test]&lt;&gt;"Word")*ISNUMBER(SEARCH(tblRules[Pattern],$H68))))))&gt;0))*1E+9+ROW(tblRules[Pattern])))-ROW(tblRules[[#Headers],[Pattern]])),"Uncategorized"))</f>
        <v/>
      </c>
      <c r="L68">
        <f>IF($C68="","",IFERROR(INDEX(tblCategories[Group],MATCH($K68,tblCategories[Category],0)),"Other"))</f>
        <v/>
      </c>
      <c r="M68">
        <f>IF($C68="","",IFERROR(INDEX(tblCategories[Type],MATCH($K68,tblCategories[Category],0)),IF($J68&gt;0,"Income","Expense")))</f>
        <v/>
      </c>
      <c r="N68">
        <f>IF($C68="","",IFERROR(INDEX(tblCategories[Essential],MATCH($K68,tblCategories[Category],0)),"No"))</f>
        <v/>
      </c>
      <c r="O68">
        <f>IF($C68="","",IFERROR(INDEX(tblCategories[Tax Tag],MATCH($K68,tblCategories[Category],0)),""))</f>
        <v/>
      </c>
      <c r="P68" s="20">
        <f>IF($C68="","",IF($G68=PersonA,1,IF($G68=PersonB,0,IFERROR(INDEX(tblCategories[Joint Split A],MATCH($K68,tblCategories[Category],0)),DefaultSplitA))))</f>
        <v/>
      </c>
      <c r="Q68" s="19">
        <f>IF($C68="","",ROUND($J68*N($P68),2))</f>
        <v/>
      </c>
      <c r="R68" s="19">
        <f>IF($C68="","",ROUND($J68-N($Q68),2))</f>
        <v/>
      </c>
      <c r="U68" t="inlineStr">
        <is>
          <t>sample-data</t>
        </is>
      </c>
      <c r="V68" t="inlineStr">
        <is>
          <t>SAMPLE</t>
        </is>
      </c>
      <c r="W68" t="inlineStr">
        <is>
          <t>85FB1923</t>
        </is>
      </c>
      <c r="X68">
        <f>IF($C68="","",IFERROR(IF(_xlfn.ISFORMULA($K68),"Rule","Manual"),""))</f>
        <v/>
      </c>
      <c r="Y68" s="19">
        <f>IF($C68="","",IF(ReportView=PersonA,N($Q68),IF(ReportView=PersonB,N($R68),$J68)))</f>
        <v/>
      </c>
    </row>
    <row r="69">
      <c r="B69">
        <f>IF($C69="","","T"&amp;TEXT(ROW()-ROW(tblTxn[[#Headers],[Txn ID]]),"000000"))</f>
        <v/>
      </c>
      <c r="C69" s="18" t="n">
        <v>46118</v>
      </c>
      <c r="D69">
        <f>IF($C69="","",TEXT($C69,"yyyy-mm"))</f>
        <v/>
      </c>
      <c r="E69" t="inlineStr">
        <is>
          <t>Tangerine Chequing (Sam)</t>
        </is>
      </c>
      <c r="F69">
        <f>IF($C69="","",IFERROR(INDEX(tblAccounts[Owner],MATCH($E69,tblAccounts[Account],0)),"Joint"))</f>
        <v/>
      </c>
      <c r="G69">
        <f>IF($C69="","",IF(HouseholdMode="Couple",IFERROR(IF(INDEX(tblCategories[Default Owner],MATCH($K69,tblCategories[Category],0))="",$F69,INDEX(tblCategories[Default Owner],MATCH($K69,tblCategories[Category],0))),$F69),$F69))</f>
        <v/>
      </c>
      <c r="H69" t="inlineStr">
        <is>
          <t>IDP PURCHASE - 9782 COSTCO WHOLESALE #418 ON</t>
        </is>
      </c>
      <c r="I69">
        <f>IF($H69="","",$H69)</f>
        <v/>
      </c>
      <c r="J69" s="19" t="n">
        <v>-106.21</v>
      </c>
      <c r="K69">
        <f>IF($H69="","",IFERROR(INDEX(tblRules[Category],SUMPRODUCT(MIN((1-((tblRules[Enabled]&lt;&gt;"No")*(tblRules[Pattern]&lt;&gt;"")*(tblRules[Category]&lt;&gt;"")*((tblRules[Flow]="Any")+(tblRules[Flow]="")+((tblRules[Flow]="Money out")*($J69&lt;0))+((tblRules[Flow]="Money in")*($J69&gt;0)))*(((tblRules[Look In]="Account")*ISNUMBER(SEARCH(tblRules[Pattern],$E69)))+((tblRules[Look In]&lt;&gt;"Account")*(((tblRules[Test]="Word")*ISNUMBER(SEARCH(" "&amp;tblRules[Pattern]&amp;" "," "&amp;$H69&amp;" ")))+((tblRules[Test]&lt;&gt;"Word")*ISNUMBER(SEARCH(tblRules[Pattern],$H69))))))&gt;0))*1E+9+ROW(tblRules[Pattern])))-ROW(tblRules[[#Headers],[Pattern]])),"Uncategorized"))</f>
        <v/>
      </c>
      <c r="L69">
        <f>IF($C69="","",IFERROR(INDEX(tblCategories[Group],MATCH($K69,tblCategories[Category],0)),"Other"))</f>
        <v/>
      </c>
      <c r="M69">
        <f>IF($C69="","",IFERROR(INDEX(tblCategories[Type],MATCH($K69,tblCategories[Category],0)),IF($J69&gt;0,"Income","Expense")))</f>
        <v/>
      </c>
      <c r="N69">
        <f>IF($C69="","",IFERROR(INDEX(tblCategories[Essential],MATCH($K69,tblCategories[Category],0)),"No"))</f>
        <v/>
      </c>
      <c r="O69">
        <f>IF($C69="","",IFERROR(INDEX(tblCategories[Tax Tag],MATCH($K69,tblCategories[Category],0)),""))</f>
        <v/>
      </c>
      <c r="P69" s="20">
        <f>IF($C69="","",IF($G69=PersonA,1,IF($G69=PersonB,0,IFERROR(INDEX(tblCategories[Joint Split A],MATCH($K69,tblCategories[Category],0)),DefaultSplitA))))</f>
        <v/>
      </c>
      <c r="Q69" s="19">
        <f>IF($C69="","",ROUND($J69*N($P69),2))</f>
        <v/>
      </c>
      <c r="R69" s="19">
        <f>IF($C69="","",ROUND($J69-N($Q69),2))</f>
        <v/>
      </c>
      <c r="U69" t="inlineStr">
        <is>
          <t>sample-data</t>
        </is>
      </c>
      <c r="V69" t="inlineStr">
        <is>
          <t>SAMPLE</t>
        </is>
      </c>
      <c r="W69" t="inlineStr">
        <is>
          <t>0274D9C6</t>
        </is>
      </c>
      <c r="X69">
        <f>IF($C69="","",IFERROR(IF(_xlfn.ISFORMULA($K69),"Rule","Manual"),""))</f>
        <v/>
      </c>
      <c r="Y69" s="19">
        <f>IF($C69="","",IF(ReportView=PersonA,N($Q69),IF(ReportView=PersonB,N($R69),$J69)))</f>
        <v/>
      </c>
    </row>
    <row r="70">
      <c r="B70">
        <f>IF($C70="","","T"&amp;TEXT(ROW()-ROW(tblTxn[[#Headers],[Txn ID]]),"000000"))</f>
        <v/>
      </c>
      <c r="C70" s="18" t="n">
        <v>46119</v>
      </c>
      <c r="D70">
        <f>IF($C70="","",TEXT($C70,"yyyy-mm"))</f>
        <v/>
      </c>
      <c r="E70" t="inlineStr">
        <is>
          <t>BMO Joint Chequing</t>
        </is>
      </c>
      <c r="F70">
        <f>IF($C70="","",IFERROR(INDEX(tblAccounts[Owner],MATCH($E70,tblAccounts[Account],0)),"Joint"))</f>
        <v/>
      </c>
      <c r="G70">
        <f>IF($C70="","",IF(HouseholdMode="Couple",IFERROR(IF(INDEX(tblCategories[Default Owner],MATCH($K70,tblCategories[Category],0))="",$F70,INDEX(tblCategories[Default Owner],MATCH($K70,tblCategories[Category],0))),$F70),$F70))</f>
        <v/>
      </c>
      <c r="H70" t="inlineStr">
        <is>
          <t>IDP PURCHASE - 5361 NO FRILLS #3049 TORONTO ON</t>
        </is>
      </c>
      <c r="I70">
        <f>IF($H70="","",$H70)</f>
        <v/>
      </c>
      <c r="J70" s="19" t="n">
        <v>-67.65000000000001</v>
      </c>
      <c r="K70">
        <f>IF($H70="","",IFERROR(INDEX(tblRules[Category],SUMPRODUCT(MIN((1-((tblRules[Enabled]&lt;&gt;"No")*(tblRules[Pattern]&lt;&gt;"")*(tblRules[Category]&lt;&gt;"")*((tblRules[Flow]="Any")+(tblRules[Flow]="")+((tblRules[Flow]="Money out")*($J70&lt;0))+((tblRules[Flow]="Money in")*($J70&gt;0)))*(((tblRules[Look In]="Account")*ISNUMBER(SEARCH(tblRules[Pattern],$E70)))+((tblRules[Look In]&lt;&gt;"Account")*(((tblRules[Test]="Word")*ISNUMBER(SEARCH(" "&amp;tblRules[Pattern]&amp;" "," "&amp;$H70&amp;" ")))+((tblRules[Test]&lt;&gt;"Word")*ISNUMBER(SEARCH(tblRules[Pattern],$H70))))))&gt;0))*1E+9+ROW(tblRules[Pattern])))-ROW(tblRules[[#Headers],[Pattern]])),"Uncategorized"))</f>
        <v/>
      </c>
      <c r="L70">
        <f>IF($C70="","",IFERROR(INDEX(tblCategories[Group],MATCH($K70,tblCategories[Category],0)),"Other"))</f>
        <v/>
      </c>
      <c r="M70">
        <f>IF($C70="","",IFERROR(INDEX(tblCategories[Type],MATCH($K70,tblCategories[Category],0)),IF($J70&gt;0,"Income","Expense")))</f>
        <v/>
      </c>
      <c r="N70">
        <f>IF($C70="","",IFERROR(INDEX(tblCategories[Essential],MATCH($K70,tblCategories[Category],0)),"No"))</f>
        <v/>
      </c>
      <c r="O70">
        <f>IF($C70="","",IFERROR(INDEX(tblCategories[Tax Tag],MATCH($K70,tblCategories[Category],0)),""))</f>
        <v/>
      </c>
      <c r="P70" s="20">
        <f>IF($C70="","",IF($G70=PersonA,1,IF($G70=PersonB,0,IFERROR(INDEX(tblCategories[Joint Split A],MATCH($K70,tblCategories[Category],0)),DefaultSplitA))))</f>
        <v/>
      </c>
      <c r="Q70" s="19">
        <f>IF($C70="","",ROUND($J70*N($P70),2))</f>
        <v/>
      </c>
      <c r="R70" s="19">
        <f>IF($C70="","",ROUND($J70-N($Q70),2))</f>
        <v/>
      </c>
      <c r="U70" t="inlineStr">
        <is>
          <t>sample-data</t>
        </is>
      </c>
      <c r="V70" t="inlineStr">
        <is>
          <t>SAMPLE</t>
        </is>
      </c>
      <c r="W70" t="inlineStr">
        <is>
          <t>A4715D51</t>
        </is>
      </c>
      <c r="X70">
        <f>IF($C70="","",IFERROR(IF(_xlfn.ISFORMULA($K70),"Rule","Manual"),""))</f>
        <v/>
      </c>
      <c r="Y70" s="19">
        <f>IF($C70="","",IF(ReportView=PersonA,N($Q70),IF(ReportView=PersonB,N($R70),$J70)))</f>
        <v/>
      </c>
    </row>
    <row r="71">
      <c r="B71">
        <f>IF($C71="","","T"&amp;TEXT(ROW()-ROW(tblTxn[[#Headers],[Txn ID]]),"000000"))</f>
        <v/>
      </c>
      <c r="C71" s="18" t="n">
        <v>46119</v>
      </c>
      <c r="D71">
        <f>IF($C71="","",TEXT($C71,"yyyy-mm"))</f>
        <v/>
      </c>
      <c r="E71" t="inlineStr">
        <is>
          <t>Tangerine Chequing (Sam)</t>
        </is>
      </c>
      <c r="F71">
        <f>IF($C71="","",IFERROR(INDEX(tblAccounts[Owner],MATCH($E71,tblAccounts[Account],0)),"Joint"))</f>
        <v/>
      </c>
      <c r="G71">
        <f>IF($C71="","",IF(HouseholdMode="Couple",IFERROR(IF(INDEX(tblCategories[Default Owner],MATCH($K71,tblCategories[Category],0))="",$F71,INDEX(tblCategories[Default Owner],MATCH($K71,tblCategories[Category],0))),$F71),$F71))</f>
        <v/>
      </c>
      <c r="H71" t="inlineStr">
        <is>
          <t>IDP PURCHASE - 2098 PIZZA NOVA #2251 ON</t>
        </is>
      </c>
      <c r="I71">
        <f>IF($H71="","",$H71)</f>
        <v/>
      </c>
      <c r="J71" s="19" t="n">
        <v>-26.4</v>
      </c>
      <c r="K71">
        <f>IF($H71="","",IFERROR(INDEX(tblRules[Category],SUMPRODUCT(MIN((1-((tblRules[Enabled]&lt;&gt;"No")*(tblRules[Pattern]&lt;&gt;"")*(tblRules[Category]&lt;&gt;"")*((tblRules[Flow]="Any")+(tblRules[Flow]="")+((tblRules[Flow]="Money out")*($J71&lt;0))+((tblRules[Flow]="Money in")*($J71&gt;0)))*(((tblRules[Look In]="Account")*ISNUMBER(SEARCH(tblRules[Pattern],$E71)))+((tblRules[Look In]&lt;&gt;"Account")*(((tblRules[Test]="Word")*ISNUMBER(SEARCH(" "&amp;tblRules[Pattern]&amp;" "," "&amp;$H71&amp;" ")))+((tblRules[Test]&lt;&gt;"Word")*ISNUMBER(SEARCH(tblRules[Pattern],$H71))))))&gt;0))*1E+9+ROW(tblRules[Pattern])))-ROW(tblRules[[#Headers],[Pattern]])),"Uncategorized"))</f>
        <v/>
      </c>
      <c r="L71">
        <f>IF($C71="","",IFERROR(INDEX(tblCategories[Group],MATCH($K71,tblCategories[Category],0)),"Other"))</f>
        <v/>
      </c>
      <c r="M71">
        <f>IF($C71="","",IFERROR(INDEX(tblCategories[Type],MATCH($K71,tblCategories[Category],0)),IF($J71&gt;0,"Income","Expense")))</f>
        <v/>
      </c>
      <c r="N71">
        <f>IF($C71="","",IFERROR(INDEX(tblCategories[Essential],MATCH($K71,tblCategories[Category],0)),"No"))</f>
        <v/>
      </c>
      <c r="O71">
        <f>IF($C71="","",IFERROR(INDEX(tblCategories[Tax Tag],MATCH($K71,tblCategories[Category],0)),""))</f>
        <v/>
      </c>
      <c r="P71" s="20">
        <f>IF($C71="","",IF($G71=PersonA,1,IF($G71=PersonB,0,IFERROR(INDEX(tblCategories[Joint Split A],MATCH($K71,tblCategories[Category],0)),DefaultSplitA))))</f>
        <v/>
      </c>
      <c r="Q71" s="19">
        <f>IF($C71="","",ROUND($J71*N($P71),2))</f>
        <v/>
      </c>
      <c r="R71" s="19">
        <f>IF($C71="","",ROUND($J71-N($Q71),2))</f>
        <v/>
      </c>
      <c r="U71" t="inlineStr">
        <is>
          <t>sample-data</t>
        </is>
      </c>
      <c r="V71" t="inlineStr">
        <is>
          <t>SAMPLE</t>
        </is>
      </c>
      <c r="W71" t="inlineStr">
        <is>
          <t>402A7A6E</t>
        </is>
      </c>
      <c r="X71">
        <f>IF($C71="","",IFERROR(IF(_xlfn.ISFORMULA($K71),"Rule","Manual"),""))</f>
        <v/>
      </c>
      <c r="Y71" s="19">
        <f>IF($C71="","",IF(ReportView=PersonA,N($Q71),IF(ReportView=PersonB,N($R71),$J71)))</f>
        <v/>
      </c>
    </row>
    <row r="72">
      <c r="B72">
        <f>IF($C72="","","T"&amp;TEXT(ROW()-ROW(tblTxn[[#Headers],[Txn ID]]),"000000"))</f>
        <v/>
      </c>
      <c r="C72" s="18" t="n">
        <v>46120</v>
      </c>
      <c r="D72">
        <f>IF($C72="","",TEXT($C72,"yyyy-mm"))</f>
        <v/>
      </c>
      <c r="E72" t="inlineStr">
        <is>
          <t>BMO Joint Chequing</t>
        </is>
      </c>
      <c r="F72">
        <f>IF($C72="","",IFERROR(INDEX(tblAccounts[Owner],MATCH($E72,tblAccounts[Account],0)),"Joint"))</f>
        <v/>
      </c>
      <c r="G72">
        <f>IF($C72="","",IF(HouseholdMode="Couple",IFERROR(IF(INDEX(tblCategories[Default Owner],MATCH($K72,tblCategories[Category],0))="",$F72,INDEX(tblCategories[Default Owner],MATCH($K72,tblCategories[Category],0))),$F72),$F72))</f>
        <v/>
      </c>
      <c r="H72" t="inlineStr">
        <is>
          <t>TORONTO HYDRO BILL PAYMENT</t>
        </is>
      </c>
      <c r="I72">
        <f>IF($H72="","",$H72)</f>
        <v/>
      </c>
      <c r="J72" s="19" t="n">
        <v>-115.27</v>
      </c>
      <c r="K72">
        <f>IF($H72="","",IFERROR(INDEX(tblRules[Category],SUMPRODUCT(MIN((1-((tblRules[Enabled]&lt;&gt;"No")*(tblRules[Pattern]&lt;&gt;"")*(tblRules[Category]&lt;&gt;"")*((tblRules[Flow]="Any")+(tblRules[Flow]="")+((tblRules[Flow]="Money out")*($J72&lt;0))+((tblRules[Flow]="Money in")*($J72&gt;0)))*(((tblRules[Look In]="Account")*ISNUMBER(SEARCH(tblRules[Pattern],$E72)))+((tblRules[Look In]&lt;&gt;"Account")*(((tblRules[Test]="Word")*ISNUMBER(SEARCH(" "&amp;tblRules[Pattern]&amp;" "," "&amp;$H72&amp;" ")))+((tblRules[Test]&lt;&gt;"Word")*ISNUMBER(SEARCH(tblRules[Pattern],$H72))))))&gt;0))*1E+9+ROW(tblRules[Pattern])))-ROW(tblRules[[#Headers],[Pattern]])),"Uncategorized"))</f>
        <v/>
      </c>
      <c r="L72">
        <f>IF($C72="","",IFERROR(INDEX(tblCategories[Group],MATCH($K72,tblCategories[Category],0)),"Other"))</f>
        <v/>
      </c>
      <c r="M72">
        <f>IF($C72="","",IFERROR(INDEX(tblCategories[Type],MATCH($K72,tblCategories[Category],0)),IF($J72&gt;0,"Income","Expense")))</f>
        <v/>
      </c>
      <c r="N72">
        <f>IF($C72="","",IFERROR(INDEX(tblCategories[Essential],MATCH($K72,tblCategories[Category],0)),"No"))</f>
        <v/>
      </c>
      <c r="O72">
        <f>IF($C72="","",IFERROR(INDEX(tblCategories[Tax Tag],MATCH($K72,tblCategories[Category],0)),""))</f>
        <v/>
      </c>
      <c r="P72" s="20">
        <f>IF($C72="","",IF($G72=PersonA,1,IF($G72=PersonB,0,IFERROR(INDEX(tblCategories[Joint Split A],MATCH($K72,tblCategories[Category],0)),DefaultSplitA))))</f>
        <v/>
      </c>
      <c r="Q72" s="19">
        <f>IF($C72="","",ROUND($J72*N($P72),2))</f>
        <v/>
      </c>
      <c r="R72" s="19">
        <f>IF($C72="","",ROUND($J72-N($Q72),2))</f>
        <v/>
      </c>
      <c r="U72" t="inlineStr">
        <is>
          <t>sample-data</t>
        </is>
      </c>
      <c r="V72" t="inlineStr">
        <is>
          <t>SAMPLE</t>
        </is>
      </c>
      <c r="W72" t="inlineStr">
        <is>
          <t>55409A0A</t>
        </is>
      </c>
      <c r="X72">
        <f>IF($C72="","",IFERROR(IF(_xlfn.ISFORMULA($K72),"Rule","Manual"),""))</f>
        <v/>
      </c>
      <c r="Y72" s="19">
        <f>IF($C72="","",IF(ReportView=PersonA,N($Q72),IF(ReportView=PersonB,N($R72),$J72)))</f>
        <v/>
      </c>
    </row>
    <row r="73">
      <c r="B73">
        <f>IF($C73="","","T"&amp;TEXT(ROW()-ROW(tblTxn[[#Headers],[Txn ID]]),"000000"))</f>
        <v/>
      </c>
      <c r="C73" s="18" t="n">
        <v>46120</v>
      </c>
      <c r="D73">
        <f>IF($C73="","",TEXT($C73,"yyyy-mm"))</f>
        <v/>
      </c>
      <c r="E73" t="inlineStr">
        <is>
          <t>RBC Chequing (Alex)</t>
        </is>
      </c>
      <c r="F73">
        <f>IF($C73="","",IFERROR(INDEX(tblAccounts[Owner],MATCH($E73,tblAccounts[Account],0)),"Joint"))</f>
        <v/>
      </c>
      <c r="G73">
        <f>IF($C73="","",IF(HouseholdMode="Couple",IFERROR(IF(INDEX(tblCategories[Default Owner],MATCH($K73,tblCategories[Category],0))="",$F73,INDEX(tblCategories[Default Owner],MATCH($K73,tblCategories[Category],0))),$F73),$F73))</f>
        <v/>
      </c>
      <c r="H73" t="inlineStr">
        <is>
          <t>AMZ*UBER EATS TORONTO ON</t>
        </is>
      </c>
      <c r="I73">
        <f>IF($H73="","",$H73)</f>
        <v/>
      </c>
      <c r="J73" s="19" t="n">
        <v>-58.8</v>
      </c>
      <c r="K73">
        <f>IF($H73="","",IFERROR(INDEX(tblRules[Category],SUMPRODUCT(MIN((1-((tblRules[Enabled]&lt;&gt;"No")*(tblRules[Pattern]&lt;&gt;"")*(tblRules[Category]&lt;&gt;"")*((tblRules[Flow]="Any")+(tblRules[Flow]="")+((tblRules[Flow]="Money out")*($J73&lt;0))+((tblRules[Flow]="Money in")*($J73&gt;0)))*(((tblRules[Look In]="Account")*ISNUMBER(SEARCH(tblRules[Pattern],$E73)))+((tblRules[Look In]&lt;&gt;"Account")*(((tblRules[Test]="Word")*ISNUMBER(SEARCH(" "&amp;tblRules[Pattern]&amp;" "," "&amp;$H73&amp;" ")))+((tblRules[Test]&lt;&gt;"Word")*ISNUMBER(SEARCH(tblRules[Pattern],$H73))))))&gt;0))*1E+9+ROW(tblRules[Pattern])))-ROW(tblRules[[#Headers],[Pattern]])),"Uncategorized"))</f>
        <v/>
      </c>
      <c r="L73">
        <f>IF($C73="","",IFERROR(INDEX(tblCategories[Group],MATCH($K73,tblCategories[Category],0)),"Other"))</f>
        <v/>
      </c>
      <c r="M73">
        <f>IF($C73="","",IFERROR(INDEX(tblCategories[Type],MATCH($K73,tblCategories[Category],0)),IF($J73&gt;0,"Income","Expense")))</f>
        <v/>
      </c>
      <c r="N73">
        <f>IF($C73="","",IFERROR(INDEX(tblCategories[Essential],MATCH($K73,tblCategories[Category],0)),"No"))</f>
        <v/>
      </c>
      <c r="O73">
        <f>IF($C73="","",IFERROR(INDEX(tblCategories[Tax Tag],MATCH($K73,tblCategories[Category],0)),""))</f>
        <v/>
      </c>
      <c r="P73" s="20">
        <f>IF($C73="","",IF($G73=PersonA,1,IF($G73=PersonB,0,IFERROR(INDEX(tblCategories[Joint Split A],MATCH($K73,tblCategories[Category],0)),DefaultSplitA))))</f>
        <v/>
      </c>
      <c r="Q73" s="19">
        <f>IF($C73="","",ROUND($J73*N($P73),2))</f>
        <v/>
      </c>
      <c r="R73" s="19">
        <f>IF($C73="","",ROUND($J73-N($Q73),2))</f>
        <v/>
      </c>
      <c r="U73" t="inlineStr">
        <is>
          <t>sample-data</t>
        </is>
      </c>
      <c r="V73" t="inlineStr">
        <is>
          <t>SAMPLE</t>
        </is>
      </c>
      <c r="W73" t="inlineStr">
        <is>
          <t>ECCC1CCE</t>
        </is>
      </c>
      <c r="X73">
        <f>IF($C73="","",IFERROR(IF(_xlfn.ISFORMULA($K73),"Rule","Manual"),""))</f>
        <v/>
      </c>
      <c r="Y73" s="19">
        <f>IF($C73="","",IF(ReportView=PersonA,N($Q73),IF(ReportView=PersonB,N($R73),$J73)))</f>
        <v/>
      </c>
    </row>
    <row r="74">
      <c r="B74">
        <f>IF($C74="","","T"&amp;TEXT(ROW()-ROW(tblTxn[[#Headers],[Txn ID]]),"000000"))</f>
        <v/>
      </c>
      <c r="C74" s="18" t="n">
        <v>46121</v>
      </c>
      <c r="D74">
        <f>IF($C74="","",TEXT($C74,"yyyy-mm"))</f>
        <v/>
      </c>
      <c r="E74" t="inlineStr">
        <is>
          <t>BMO Joint Chequing</t>
        </is>
      </c>
      <c r="F74">
        <f>IF($C74="","",IFERROR(INDEX(tblAccounts[Owner],MATCH($E74,tblAccounts[Account],0)),"Joint"))</f>
        <v/>
      </c>
      <c r="G74">
        <f>IF($C74="","",IF(HouseholdMode="Couple",IFERROR(IF(INDEX(tblCategories[Default Owner],MATCH($K74,tblCategories[Category],0))="",$F74,INDEX(tblCategories[Default Owner],MATCH($K74,tblCategories[Category],0))),$F74),$F74))</f>
        <v/>
      </c>
      <c r="H74" t="inlineStr">
        <is>
          <t>BROADVIEW DENTAL CENTRE</t>
        </is>
      </c>
      <c r="I74">
        <f>IF($H74="","",$H74)</f>
        <v/>
      </c>
      <c r="J74" s="19" t="n">
        <v>-287.45</v>
      </c>
      <c r="K74">
        <f>IF($H74="","",IFERROR(INDEX(tblRules[Category],SUMPRODUCT(MIN((1-((tblRules[Enabled]&lt;&gt;"No")*(tblRules[Pattern]&lt;&gt;"")*(tblRules[Category]&lt;&gt;"")*((tblRules[Flow]="Any")+(tblRules[Flow]="")+((tblRules[Flow]="Money out")*($J74&lt;0))+((tblRules[Flow]="Money in")*($J74&gt;0)))*(((tblRules[Look In]="Account")*ISNUMBER(SEARCH(tblRules[Pattern],$E74)))+((tblRules[Look In]&lt;&gt;"Account")*(((tblRules[Test]="Word")*ISNUMBER(SEARCH(" "&amp;tblRules[Pattern]&amp;" "," "&amp;$H74&amp;" ")))+((tblRules[Test]&lt;&gt;"Word")*ISNUMBER(SEARCH(tblRules[Pattern],$H74))))))&gt;0))*1E+9+ROW(tblRules[Pattern])))-ROW(tblRules[[#Headers],[Pattern]])),"Uncategorized"))</f>
        <v/>
      </c>
      <c r="L74">
        <f>IF($C74="","",IFERROR(INDEX(tblCategories[Group],MATCH($K74,tblCategories[Category],0)),"Other"))</f>
        <v/>
      </c>
      <c r="M74">
        <f>IF($C74="","",IFERROR(INDEX(tblCategories[Type],MATCH($K74,tblCategories[Category],0)),IF($J74&gt;0,"Income","Expense")))</f>
        <v/>
      </c>
      <c r="N74">
        <f>IF($C74="","",IFERROR(INDEX(tblCategories[Essential],MATCH($K74,tblCategories[Category],0)),"No"))</f>
        <v/>
      </c>
      <c r="O74">
        <f>IF($C74="","",IFERROR(INDEX(tblCategories[Tax Tag],MATCH($K74,tblCategories[Category],0)),""))</f>
        <v/>
      </c>
      <c r="P74" s="20">
        <f>IF($C74="","",IF($G74=PersonA,1,IF($G74=PersonB,0,IFERROR(INDEX(tblCategories[Joint Split A],MATCH($K74,tblCategories[Category],0)),DefaultSplitA))))</f>
        <v/>
      </c>
      <c r="Q74" s="19">
        <f>IF($C74="","",ROUND($J74*N($P74),2))</f>
        <v/>
      </c>
      <c r="R74" s="19">
        <f>IF($C74="","",ROUND($J74-N($Q74),2))</f>
        <v/>
      </c>
      <c r="U74" t="inlineStr">
        <is>
          <t>sample-data</t>
        </is>
      </c>
      <c r="V74" t="inlineStr">
        <is>
          <t>SAMPLE</t>
        </is>
      </c>
      <c r="W74" t="inlineStr">
        <is>
          <t>532967EF</t>
        </is>
      </c>
      <c r="X74">
        <f>IF($C74="","",IFERROR(IF(_xlfn.ISFORMULA($K74),"Rule","Manual"),""))</f>
        <v/>
      </c>
      <c r="Y74" s="19">
        <f>IF($C74="","",IF(ReportView=PersonA,N($Q74),IF(ReportView=PersonB,N($R74),$J74)))</f>
        <v/>
      </c>
    </row>
    <row r="75">
      <c r="B75">
        <f>IF($C75="","","T"&amp;TEXT(ROW()-ROW(tblTxn[[#Headers],[Txn ID]]),"000000"))</f>
        <v/>
      </c>
      <c r="C75" s="18" t="n">
        <v>46121</v>
      </c>
      <c r="D75">
        <f>IF($C75="","",TEXT($C75,"yyyy-mm"))</f>
        <v/>
      </c>
      <c r="E75" t="inlineStr">
        <is>
          <t>BMO Joint Chequing</t>
        </is>
      </c>
      <c r="F75">
        <f>IF($C75="","",IFERROR(INDEX(tblAccounts[Owner],MATCH($E75,tblAccounts[Account],0)),"Joint"))</f>
        <v/>
      </c>
      <c r="G75">
        <f>IF($C75="","",IF(HouseholdMode="Couple",IFERROR(IF(INDEX(tblCategories[Default Owner],MATCH($K75,tblCategories[Category],0))="",$F75,INDEX(tblCategories[Default Owner],MATCH($K75,tblCategories[Category],0))),$F75),$F75))</f>
        <v/>
      </c>
      <c r="H75" t="inlineStr">
        <is>
          <t>ENBRIDGE GAS PREAUTHORIZED DEBIT</t>
        </is>
      </c>
      <c r="I75">
        <f>IF($H75="","",$H75)</f>
        <v/>
      </c>
      <c r="J75" s="19" t="n">
        <v>-63.39</v>
      </c>
      <c r="K75">
        <f>IF($H75="","",IFERROR(INDEX(tblRules[Category],SUMPRODUCT(MIN((1-((tblRules[Enabled]&lt;&gt;"No")*(tblRules[Pattern]&lt;&gt;"")*(tblRules[Category]&lt;&gt;"")*((tblRules[Flow]="Any")+(tblRules[Flow]="")+((tblRules[Flow]="Money out")*($J75&lt;0))+((tblRules[Flow]="Money in")*($J75&gt;0)))*(((tblRules[Look In]="Account")*ISNUMBER(SEARCH(tblRules[Pattern],$E75)))+((tblRules[Look In]&lt;&gt;"Account")*(((tblRules[Test]="Word")*ISNUMBER(SEARCH(" "&amp;tblRules[Pattern]&amp;" "," "&amp;$H75&amp;" ")))+((tblRules[Test]&lt;&gt;"Word")*ISNUMBER(SEARCH(tblRules[Pattern],$H75))))))&gt;0))*1E+9+ROW(tblRules[Pattern])))-ROW(tblRules[[#Headers],[Pattern]])),"Uncategorized"))</f>
        <v/>
      </c>
      <c r="L75">
        <f>IF($C75="","",IFERROR(INDEX(tblCategories[Group],MATCH($K75,tblCategories[Category],0)),"Other"))</f>
        <v/>
      </c>
      <c r="M75">
        <f>IF($C75="","",IFERROR(INDEX(tblCategories[Type],MATCH($K75,tblCategories[Category],0)),IF($J75&gt;0,"Income","Expense")))</f>
        <v/>
      </c>
      <c r="N75">
        <f>IF($C75="","",IFERROR(INDEX(tblCategories[Essential],MATCH($K75,tblCategories[Category],0)),"No"))</f>
        <v/>
      </c>
      <c r="O75">
        <f>IF($C75="","",IFERROR(INDEX(tblCategories[Tax Tag],MATCH($K75,tblCategories[Category],0)),""))</f>
        <v/>
      </c>
      <c r="P75" s="20">
        <f>IF($C75="","",IF($G75=PersonA,1,IF($G75=PersonB,0,IFERROR(INDEX(tblCategories[Joint Split A],MATCH($K75,tblCategories[Category],0)),DefaultSplitA))))</f>
        <v/>
      </c>
      <c r="Q75" s="19">
        <f>IF($C75="","",ROUND($J75*N($P75),2))</f>
        <v/>
      </c>
      <c r="R75" s="19">
        <f>IF($C75="","",ROUND($J75-N($Q75),2))</f>
        <v/>
      </c>
      <c r="U75" t="inlineStr">
        <is>
          <t>sample-data</t>
        </is>
      </c>
      <c r="V75" t="inlineStr">
        <is>
          <t>SAMPLE</t>
        </is>
      </c>
      <c r="W75" t="inlineStr">
        <is>
          <t>3343AFED</t>
        </is>
      </c>
      <c r="X75">
        <f>IF($C75="","",IFERROR(IF(_xlfn.ISFORMULA($K75),"Rule","Manual"),""))</f>
        <v/>
      </c>
      <c r="Y75" s="19">
        <f>IF($C75="","",IF(ReportView=PersonA,N($Q75),IF(ReportView=PersonB,N($R75),$J75)))</f>
        <v/>
      </c>
    </row>
    <row r="76">
      <c r="B76">
        <f>IF($C76="","","T"&amp;TEXT(ROW()-ROW(tblTxn[[#Headers],[Txn ID]]),"000000"))</f>
        <v/>
      </c>
      <c r="C76" s="18" t="n">
        <v>46123</v>
      </c>
      <c r="D76">
        <f>IF($C76="","",TEXT($C76,"yyyy-mm"))</f>
        <v/>
      </c>
      <c r="E76" t="inlineStr">
        <is>
          <t>RBC Chequing (Alex)</t>
        </is>
      </c>
      <c r="F76">
        <f>IF($C76="","",IFERROR(INDEX(tblAccounts[Owner],MATCH($E76,tblAccounts[Account],0)),"Joint"))</f>
        <v/>
      </c>
      <c r="G76">
        <f>IF($C76="","",IF(HouseholdMode="Couple",IFERROR(IF(INDEX(tblCategories[Default Owner],MATCH($K76,tblCategories[Category],0))="",$F76,INDEX(tblCategories[Default Owner],MATCH($K76,tblCategories[Category],0))),$F76),$F76))</f>
        <v/>
      </c>
      <c r="H76" t="inlineStr">
        <is>
          <t>ATM WITHDRAWAL 100 QUEEN ST W</t>
        </is>
      </c>
      <c r="I76">
        <f>IF($H76="","",$H76)</f>
        <v/>
      </c>
      <c r="J76" s="19" t="n">
        <v>-60</v>
      </c>
      <c r="K76">
        <f>IF($H76="","",IFERROR(INDEX(tblRules[Category],SUMPRODUCT(MIN((1-((tblRules[Enabled]&lt;&gt;"No")*(tblRules[Pattern]&lt;&gt;"")*(tblRules[Category]&lt;&gt;"")*((tblRules[Flow]="Any")+(tblRules[Flow]="")+((tblRules[Flow]="Money out")*($J76&lt;0))+((tblRules[Flow]="Money in")*($J76&gt;0)))*(((tblRules[Look In]="Account")*ISNUMBER(SEARCH(tblRules[Pattern],$E76)))+((tblRules[Look In]&lt;&gt;"Account")*(((tblRules[Test]="Word")*ISNUMBER(SEARCH(" "&amp;tblRules[Pattern]&amp;" "," "&amp;$H76&amp;" ")))+((tblRules[Test]&lt;&gt;"Word")*ISNUMBER(SEARCH(tblRules[Pattern],$H76))))))&gt;0))*1E+9+ROW(tblRules[Pattern])))-ROW(tblRules[[#Headers],[Pattern]])),"Uncategorized"))</f>
        <v/>
      </c>
      <c r="L76">
        <f>IF($C76="","",IFERROR(INDEX(tblCategories[Group],MATCH($K76,tblCategories[Category],0)),"Other"))</f>
        <v/>
      </c>
      <c r="M76">
        <f>IF($C76="","",IFERROR(INDEX(tblCategories[Type],MATCH($K76,tblCategories[Category],0)),IF($J76&gt;0,"Income","Expense")))</f>
        <v/>
      </c>
      <c r="N76">
        <f>IF($C76="","",IFERROR(INDEX(tblCategories[Essential],MATCH($K76,tblCategories[Category],0)),"No"))</f>
        <v/>
      </c>
      <c r="O76">
        <f>IF($C76="","",IFERROR(INDEX(tblCategories[Tax Tag],MATCH($K76,tblCategories[Category],0)),""))</f>
        <v/>
      </c>
      <c r="P76" s="20">
        <f>IF($C76="","",IF($G76=PersonA,1,IF($G76=PersonB,0,IFERROR(INDEX(tblCategories[Joint Split A],MATCH($K76,tblCategories[Category],0)),DefaultSplitA))))</f>
        <v/>
      </c>
      <c r="Q76" s="19">
        <f>IF($C76="","",ROUND($J76*N($P76),2))</f>
        <v/>
      </c>
      <c r="R76" s="19">
        <f>IF($C76="","",ROUND($J76-N($Q76),2))</f>
        <v/>
      </c>
      <c r="U76" t="inlineStr">
        <is>
          <t>sample-data</t>
        </is>
      </c>
      <c r="V76" t="inlineStr">
        <is>
          <t>SAMPLE</t>
        </is>
      </c>
      <c r="W76" t="inlineStr">
        <is>
          <t>4B21B3A2</t>
        </is>
      </c>
      <c r="X76">
        <f>IF($C76="","",IFERROR(IF(_xlfn.ISFORMULA($K76),"Rule","Manual"),""))</f>
        <v/>
      </c>
      <c r="Y76" s="19">
        <f>IF($C76="","",IF(ReportView=PersonA,N($Q76),IF(ReportView=PersonB,N($R76),$J76)))</f>
        <v/>
      </c>
    </row>
    <row r="77">
      <c r="B77">
        <f>IF($C77="","","T"&amp;TEXT(ROW()-ROW(tblTxn[[#Headers],[Txn ID]]),"000000"))</f>
        <v/>
      </c>
      <c r="C77" s="18" t="n">
        <v>46124</v>
      </c>
      <c r="D77">
        <f>IF($C77="","",TEXT($C77,"yyyy-mm"))</f>
        <v/>
      </c>
      <c r="E77" t="inlineStr">
        <is>
          <t>Amex Cobalt (Joint)</t>
        </is>
      </c>
      <c r="F77">
        <f>IF($C77="","",IFERROR(INDEX(tblAccounts[Owner],MATCH($E77,tblAccounts[Account],0)),"Joint"))</f>
        <v/>
      </c>
      <c r="G77">
        <f>IF($C77="","",IF(HouseholdMode="Couple",IFERROR(IF(INDEX(tblCategories[Default Owner],MATCH($K77,tblCategories[Category],0))="",$F77,INDEX(tblCategories[Default Owner],MATCH($K77,tblCategories[Category],0))),$F77),$F77))</f>
        <v/>
      </c>
      <c r="H77" t="inlineStr">
        <is>
          <t>IDP PURCHASE - 3622 SWISS CHALET #4773 ON</t>
        </is>
      </c>
      <c r="I77">
        <f>IF($H77="","",$H77)</f>
        <v/>
      </c>
      <c r="J77" s="19" t="n">
        <v>-28.26</v>
      </c>
      <c r="K77">
        <f>IF($H77="","",IFERROR(INDEX(tblRules[Category],SUMPRODUCT(MIN((1-((tblRules[Enabled]&lt;&gt;"No")*(tblRules[Pattern]&lt;&gt;"")*(tblRules[Category]&lt;&gt;"")*((tblRules[Flow]="Any")+(tblRules[Flow]="")+((tblRules[Flow]="Money out")*($J77&lt;0))+((tblRules[Flow]="Money in")*($J77&gt;0)))*(((tblRules[Look In]="Account")*ISNUMBER(SEARCH(tblRules[Pattern],$E77)))+((tblRules[Look In]&lt;&gt;"Account")*(((tblRules[Test]="Word")*ISNUMBER(SEARCH(" "&amp;tblRules[Pattern]&amp;" "," "&amp;$H77&amp;" ")))+((tblRules[Test]&lt;&gt;"Word")*ISNUMBER(SEARCH(tblRules[Pattern],$H77))))))&gt;0))*1E+9+ROW(tblRules[Pattern])))-ROW(tblRules[[#Headers],[Pattern]])),"Uncategorized"))</f>
        <v/>
      </c>
      <c r="L77">
        <f>IF($C77="","",IFERROR(INDEX(tblCategories[Group],MATCH($K77,tblCategories[Category],0)),"Other"))</f>
        <v/>
      </c>
      <c r="M77">
        <f>IF($C77="","",IFERROR(INDEX(tblCategories[Type],MATCH($K77,tblCategories[Category],0)),IF($J77&gt;0,"Income","Expense")))</f>
        <v/>
      </c>
      <c r="N77">
        <f>IF($C77="","",IFERROR(INDEX(tblCategories[Essential],MATCH($K77,tblCategories[Category],0)),"No"))</f>
        <v/>
      </c>
      <c r="O77">
        <f>IF($C77="","",IFERROR(INDEX(tblCategories[Tax Tag],MATCH($K77,tblCategories[Category],0)),""))</f>
        <v/>
      </c>
      <c r="P77" s="20">
        <f>IF($C77="","",IF($G77=PersonA,1,IF($G77=PersonB,0,IFERROR(INDEX(tblCategories[Joint Split A],MATCH($K77,tblCategories[Category],0)),DefaultSplitA))))</f>
        <v/>
      </c>
      <c r="Q77" s="19">
        <f>IF($C77="","",ROUND($J77*N($P77),2))</f>
        <v/>
      </c>
      <c r="R77" s="19">
        <f>IF($C77="","",ROUND($J77-N($Q77),2))</f>
        <v/>
      </c>
      <c r="U77" t="inlineStr">
        <is>
          <t>sample-data</t>
        </is>
      </c>
      <c r="V77" t="inlineStr">
        <is>
          <t>SAMPLE</t>
        </is>
      </c>
      <c r="W77" t="inlineStr">
        <is>
          <t>F53568FD</t>
        </is>
      </c>
      <c r="X77">
        <f>IF($C77="","",IFERROR(IF(_xlfn.ISFORMULA($K77),"Rule","Manual"),""))</f>
        <v/>
      </c>
      <c r="Y77" s="19">
        <f>IF($C77="","",IF(ReportView=PersonA,N($Q77),IF(ReportView=PersonB,N($R77),$J77)))</f>
        <v/>
      </c>
    </row>
    <row r="78">
      <c r="B78">
        <f>IF($C78="","","T"&amp;TEXT(ROW()-ROW(tblTxn[[#Headers],[Txn ID]]),"000000"))</f>
        <v/>
      </c>
      <c r="C78" s="18" t="n">
        <v>46124</v>
      </c>
      <c r="D78">
        <f>IF($C78="","",TEXT($C78,"yyyy-mm"))</f>
        <v/>
      </c>
      <c r="E78" t="inlineStr">
        <is>
          <t>BMO Joint Chequing</t>
        </is>
      </c>
      <c r="F78">
        <f>IF($C78="","",IFERROR(INDEX(tblAccounts[Owner],MATCH($E78,tblAccounts[Account],0)),"Joint"))</f>
        <v/>
      </c>
      <c r="G78">
        <f>IF($C78="","",IF(HouseholdMode="Couple",IFERROR(IF(INDEX(tblCategories[Default Owner],MATCH($K78,tblCategories[Category],0))="",$F78,INDEX(tblCategories[Default Owner],MATCH($K78,tblCategories[Category],0))),$F78),$F78))</f>
        <v/>
      </c>
      <c r="H78" t="inlineStr">
        <is>
          <t>ROGERS PREAUTHORIZED PAYMENT</t>
        </is>
      </c>
      <c r="I78">
        <f>IF($H78="","",$H78)</f>
        <v/>
      </c>
      <c r="J78" s="19" t="n">
        <v>-89.98999999999999</v>
      </c>
      <c r="K78">
        <f>IF($H78="","",IFERROR(INDEX(tblRules[Category],SUMPRODUCT(MIN((1-((tblRules[Enabled]&lt;&gt;"No")*(tblRules[Pattern]&lt;&gt;"")*(tblRules[Category]&lt;&gt;"")*((tblRules[Flow]="Any")+(tblRules[Flow]="")+((tblRules[Flow]="Money out")*($J78&lt;0))+((tblRules[Flow]="Money in")*($J78&gt;0)))*(((tblRules[Look In]="Account")*ISNUMBER(SEARCH(tblRules[Pattern],$E78)))+((tblRules[Look In]&lt;&gt;"Account")*(((tblRules[Test]="Word")*ISNUMBER(SEARCH(" "&amp;tblRules[Pattern]&amp;" "," "&amp;$H78&amp;" ")))+((tblRules[Test]&lt;&gt;"Word")*ISNUMBER(SEARCH(tblRules[Pattern],$H78))))))&gt;0))*1E+9+ROW(tblRules[Pattern])))-ROW(tblRules[[#Headers],[Pattern]])),"Uncategorized"))</f>
        <v/>
      </c>
      <c r="L78">
        <f>IF($C78="","",IFERROR(INDEX(tblCategories[Group],MATCH($K78,tblCategories[Category],0)),"Other"))</f>
        <v/>
      </c>
      <c r="M78">
        <f>IF($C78="","",IFERROR(INDEX(tblCategories[Type],MATCH($K78,tblCategories[Category],0)),IF($J78&gt;0,"Income","Expense")))</f>
        <v/>
      </c>
      <c r="N78">
        <f>IF($C78="","",IFERROR(INDEX(tblCategories[Essential],MATCH($K78,tblCategories[Category],0)),"No"))</f>
        <v/>
      </c>
      <c r="O78">
        <f>IF($C78="","",IFERROR(INDEX(tblCategories[Tax Tag],MATCH($K78,tblCategories[Category],0)),""))</f>
        <v/>
      </c>
      <c r="P78" s="20">
        <f>IF($C78="","",IF($G78=PersonA,1,IF($G78=PersonB,0,IFERROR(INDEX(tblCategories[Joint Split A],MATCH($K78,tblCategories[Category],0)),DefaultSplitA))))</f>
        <v/>
      </c>
      <c r="Q78" s="19">
        <f>IF($C78="","",ROUND($J78*N($P78),2))</f>
        <v/>
      </c>
      <c r="R78" s="19">
        <f>IF($C78="","",ROUND($J78-N($Q78),2))</f>
        <v/>
      </c>
      <c r="U78" t="inlineStr">
        <is>
          <t>sample-data</t>
        </is>
      </c>
      <c r="V78" t="inlineStr">
        <is>
          <t>SAMPLE</t>
        </is>
      </c>
      <c r="W78" t="inlineStr">
        <is>
          <t>7660958C</t>
        </is>
      </c>
      <c r="X78">
        <f>IF($C78="","",IFERROR(IF(_xlfn.ISFORMULA($K78),"Rule","Manual"),""))</f>
        <v/>
      </c>
      <c r="Y78" s="19">
        <f>IF($C78="","",IF(ReportView=PersonA,N($Q78),IF(ReportView=PersonB,N($R78),$J78)))</f>
        <v/>
      </c>
    </row>
    <row r="79">
      <c r="B79">
        <f>IF($C79="","","T"&amp;TEXT(ROW()-ROW(tblTxn[[#Headers],[Txn ID]]),"000000"))</f>
        <v/>
      </c>
      <c r="C79" s="18" t="n">
        <v>46126</v>
      </c>
      <c r="D79">
        <f>IF($C79="","",TEXT($C79,"yyyy-mm"))</f>
        <v/>
      </c>
      <c r="E79" t="inlineStr">
        <is>
          <t>Amex Cobalt (Joint)</t>
        </is>
      </c>
      <c r="F79">
        <f>IF($C79="","",IFERROR(INDEX(tblAccounts[Owner],MATCH($E79,tblAccounts[Account],0)),"Joint"))</f>
        <v/>
      </c>
      <c r="G79">
        <f>IF($C79="","",IF(HouseholdMode="Couple",IFERROR(IF(INDEX(tblCategories[Default Owner],MATCH($K79,tblCategories[Category],0))="",$F79,INDEX(tblCategories[Default Owner],MATCH($K79,tblCategories[Category],0))),$F79),$F79))</f>
        <v/>
      </c>
      <c r="H79" t="inlineStr">
        <is>
          <t>UBER TRIP HELP.UBER.COM ON</t>
        </is>
      </c>
      <c r="I79">
        <f>IF($H79="","",$H79)</f>
        <v/>
      </c>
      <c r="J79" s="19" t="n">
        <v>-19.53</v>
      </c>
      <c r="K79">
        <f>IF($H79="","",IFERROR(INDEX(tblRules[Category],SUMPRODUCT(MIN((1-((tblRules[Enabled]&lt;&gt;"No")*(tblRules[Pattern]&lt;&gt;"")*(tblRules[Category]&lt;&gt;"")*((tblRules[Flow]="Any")+(tblRules[Flow]="")+((tblRules[Flow]="Money out")*($J79&lt;0))+((tblRules[Flow]="Money in")*($J79&gt;0)))*(((tblRules[Look In]="Account")*ISNUMBER(SEARCH(tblRules[Pattern],$E79)))+((tblRules[Look In]&lt;&gt;"Account")*(((tblRules[Test]="Word")*ISNUMBER(SEARCH(" "&amp;tblRules[Pattern]&amp;" "," "&amp;$H79&amp;" ")))+((tblRules[Test]&lt;&gt;"Word")*ISNUMBER(SEARCH(tblRules[Pattern],$H79))))))&gt;0))*1E+9+ROW(tblRules[Pattern])))-ROW(tblRules[[#Headers],[Pattern]])),"Uncategorized"))</f>
        <v/>
      </c>
      <c r="L79">
        <f>IF($C79="","",IFERROR(INDEX(tblCategories[Group],MATCH($K79,tblCategories[Category],0)),"Other"))</f>
        <v/>
      </c>
      <c r="M79">
        <f>IF($C79="","",IFERROR(INDEX(tblCategories[Type],MATCH($K79,tblCategories[Category],0)),IF($J79&gt;0,"Income","Expense")))</f>
        <v/>
      </c>
      <c r="N79">
        <f>IF($C79="","",IFERROR(INDEX(tblCategories[Essential],MATCH($K79,tblCategories[Category],0)),"No"))</f>
        <v/>
      </c>
      <c r="O79">
        <f>IF($C79="","",IFERROR(INDEX(tblCategories[Tax Tag],MATCH($K79,tblCategories[Category],0)),""))</f>
        <v/>
      </c>
      <c r="P79" s="20">
        <f>IF($C79="","",IF($G79=PersonA,1,IF($G79=PersonB,0,IFERROR(INDEX(tblCategories[Joint Split A],MATCH($K79,tblCategories[Category],0)),DefaultSplitA))))</f>
        <v/>
      </c>
      <c r="Q79" s="19">
        <f>IF($C79="","",ROUND($J79*N($P79),2))</f>
        <v/>
      </c>
      <c r="R79" s="19">
        <f>IF($C79="","",ROUND($J79-N($Q79),2))</f>
        <v/>
      </c>
      <c r="U79" t="inlineStr">
        <is>
          <t>sample-data</t>
        </is>
      </c>
      <c r="V79" t="inlineStr">
        <is>
          <t>SAMPLE</t>
        </is>
      </c>
      <c r="W79" t="inlineStr">
        <is>
          <t>2B51BEE4</t>
        </is>
      </c>
      <c r="X79">
        <f>IF($C79="","",IFERROR(IF(_xlfn.ISFORMULA($K79),"Rule","Manual"),""))</f>
        <v/>
      </c>
      <c r="Y79" s="19">
        <f>IF($C79="","",IF(ReportView=PersonA,N($Q79),IF(ReportView=PersonB,N($R79),$J79)))</f>
        <v/>
      </c>
    </row>
    <row r="80">
      <c r="B80">
        <f>IF($C80="","","T"&amp;TEXT(ROW()-ROW(tblTxn[[#Headers],[Txn ID]]),"000000"))</f>
        <v/>
      </c>
      <c r="C80" s="18" t="n">
        <v>46126</v>
      </c>
      <c r="D80">
        <f>IF($C80="","",TEXT($C80,"yyyy-mm"))</f>
        <v/>
      </c>
      <c r="E80" t="inlineStr">
        <is>
          <t>BMO Joint Chequing</t>
        </is>
      </c>
      <c r="F80">
        <f>IF($C80="","",IFERROR(INDEX(tblAccounts[Owner],MATCH($E80,tblAccounts[Account],0)),"Joint"))</f>
        <v/>
      </c>
      <c r="G80">
        <f>IF($C80="","",IF(HouseholdMode="Couple",IFERROR(IF(INDEX(tblCategories[Default Owner],MATCH($K80,tblCategories[Category],0))="",$F80,INDEX(tblCategories[Default Owner],MATCH($K80,tblCategories[Category],0))),$F80),$F80))</f>
        <v/>
      </c>
      <c r="H80" t="inlineStr">
        <is>
          <t>FREEDOM MOBILE PREAUTHORIZED DEBIT</t>
        </is>
      </c>
      <c r="I80">
        <f>IF($H80="","",$H80)</f>
        <v/>
      </c>
      <c r="J80" s="19" t="n">
        <v>-45</v>
      </c>
      <c r="K80">
        <f>IF($H80="","",IFERROR(INDEX(tblRules[Category],SUMPRODUCT(MIN((1-((tblRules[Enabled]&lt;&gt;"No")*(tblRules[Pattern]&lt;&gt;"")*(tblRules[Category]&lt;&gt;"")*((tblRules[Flow]="Any")+(tblRules[Flow]="")+((tblRules[Flow]="Money out")*($J80&lt;0))+((tblRules[Flow]="Money in")*($J80&gt;0)))*(((tblRules[Look In]="Account")*ISNUMBER(SEARCH(tblRules[Pattern],$E80)))+((tblRules[Look In]&lt;&gt;"Account")*(((tblRules[Test]="Word")*ISNUMBER(SEARCH(" "&amp;tblRules[Pattern]&amp;" "," "&amp;$H80&amp;" ")))+((tblRules[Test]&lt;&gt;"Word")*ISNUMBER(SEARCH(tblRules[Pattern],$H80))))))&gt;0))*1E+9+ROW(tblRules[Pattern])))-ROW(tblRules[[#Headers],[Pattern]])),"Uncategorized"))</f>
        <v/>
      </c>
      <c r="L80">
        <f>IF($C80="","",IFERROR(INDEX(tblCategories[Group],MATCH($K80,tblCategories[Category],0)),"Other"))</f>
        <v/>
      </c>
      <c r="M80">
        <f>IF($C80="","",IFERROR(INDEX(tblCategories[Type],MATCH($K80,tblCategories[Category],0)),IF($J80&gt;0,"Income","Expense")))</f>
        <v/>
      </c>
      <c r="N80">
        <f>IF($C80="","",IFERROR(INDEX(tblCategories[Essential],MATCH($K80,tblCategories[Category],0)),"No"))</f>
        <v/>
      </c>
      <c r="O80">
        <f>IF($C80="","",IFERROR(INDEX(tblCategories[Tax Tag],MATCH($K80,tblCategories[Category],0)),""))</f>
        <v/>
      </c>
      <c r="P80" s="20">
        <f>IF($C80="","",IF($G80=PersonA,1,IF($G80=PersonB,0,IFERROR(INDEX(tblCategories[Joint Split A],MATCH($K80,tblCategories[Category],0)),DefaultSplitA))))</f>
        <v/>
      </c>
      <c r="Q80" s="19">
        <f>IF($C80="","",ROUND($J80*N($P80),2))</f>
        <v/>
      </c>
      <c r="R80" s="19">
        <f>IF($C80="","",ROUND($J80-N($Q80),2))</f>
        <v/>
      </c>
      <c r="U80" t="inlineStr">
        <is>
          <t>sample-data</t>
        </is>
      </c>
      <c r="V80" t="inlineStr">
        <is>
          <t>SAMPLE</t>
        </is>
      </c>
      <c r="W80" t="inlineStr">
        <is>
          <t>8551F514</t>
        </is>
      </c>
      <c r="X80">
        <f>IF($C80="","",IFERROR(IF(_xlfn.ISFORMULA($K80),"Rule","Manual"),""))</f>
        <v/>
      </c>
      <c r="Y80" s="19">
        <f>IF($C80="","",IF(ReportView=PersonA,N($Q80),IF(ReportView=PersonB,N($R80),$J80)))</f>
        <v/>
      </c>
    </row>
    <row r="81">
      <c r="B81">
        <f>IF($C81="","","T"&amp;TEXT(ROW()-ROW(tblTxn[[#Headers],[Txn ID]]),"000000"))</f>
        <v/>
      </c>
      <c r="C81" s="18" t="n">
        <v>46126</v>
      </c>
      <c r="D81">
        <f>IF($C81="","",TEXT($C81,"yyyy-mm"))</f>
        <v/>
      </c>
      <c r="E81" t="inlineStr">
        <is>
          <t>Tangerine Chequing (Sam)</t>
        </is>
      </c>
      <c r="F81">
        <f>IF($C81="","",IFERROR(INDEX(tblAccounts[Owner],MATCH($E81,tblAccounts[Account],0)),"Joint"))</f>
        <v/>
      </c>
      <c r="G81">
        <f>IF($C81="","",IF(HouseholdMode="Couple",IFERROR(IF(INDEX(tblCategories[Default Owner],MATCH($K81,tblCategories[Category],0))="",$F81,INDEX(tblCategories[Default Owner],MATCH($K81,tblCategories[Category],0))),$F81),$F81))</f>
        <v/>
      </c>
      <c r="H81" t="inlineStr">
        <is>
          <t>IDP PURCHASE - 7092 TIM HORTONS #2884 TORONTO ON</t>
        </is>
      </c>
      <c r="I81">
        <f>IF($H81="","",$H81)</f>
        <v/>
      </c>
      <c r="J81" s="19" t="n">
        <v>-8.279999999999999</v>
      </c>
      <c r="K81">
        <f>IF($H81="","",IFERROR(INDEX(tblRules[Category],SUMPRODUCT(MIN((1-((tblRules[Enabled]&lt;&gt;"No")*(tblRules[Pattern]&lt;&gt;"")*(tblRules[Category]&lt;&gt;"")*((tblRules[Flow]="Any")+(tblRules[Flow]="")+((tblRules[Flow]="Money out")*($J81&lt;0))+((tblRules[Flow]="Money in")*($J81&gt;0)))*(((tblRules[Look In]="Account")*ISNUMBER(SEARCH(tblRules[Pattern],$E81)))+((tblRules[Look In]&lt;&gt;"Account")*(((tblRules[Test]="Word")*ISNUMBER(SEARCH(" "&amp;tblRules[Pattern]&amp;" "," "&amp;$H81&amp;" ")))+((tblRules[Test]&lt;&gt;"Word")*ISNUMBER(SEARCH(tblRules[Pattern],$H81))))))&gt;0))*1E+9+ROW(tblRules[Pattern])))-ROW(tblRules[[#Headers],[Pattern]])),"Uncategorized"))</f>
        <v/>
      </c>
      <c r="L81">
        <f>IF($C81="","",IFERROR(INDEX(tblCategories[Group],MATCH($K81,tblCategories[Category],0)),"Other"))</f>
        <v/>
      </c>
      <c r="M81">
        <f>IF($C81="","",IFERROR(INDEX(tblCategories[Type],MATCH($K81,tblCategories[Category],0)),IF($J81&gt;0,"Income","Expense")))</f>
        <v/>
      </c>
      <c r="N81">
        <f>IF($C81="","",IFERROR(INDEX(tblCategories[Essential],MATCH($K81,tblCategories[Category],0)),"No"))</f>
        <v/>
      </c>
      <c r="O81">
        <f>IF($C81="","",IFERROR(INDEX(tblCategories[Tax Tag],MATCH($K81,tblCategories[Category],0)),""))</f>
        <v/>
      </c>
      <c r="P81" s="20">
        <f>IF($C81="","",IF($G81=PersonA,1,IF($G81=PersonB,0,IFERROR(INDEX(tblCategories[Joint Split A],MATCH($K81,tblCategories[Category],0)),DefaultSplitA))))</f>
        <v/>
      </c>
      <c r="Q81" s="19">
        <f>IF($C81="","",ROUND($J81*N($P81),2))</f>
        <v/>
      </c>
      <c r="R81" s="19">
        <f>IF($C81="","",ROUND($J81-N($Q81),2))</f>
        <v/>
      </c>
      <c r="U81" t="inlineStr">
        <is>
          <t>sample-data</t>
        </is>
      </c>
      <c r="V81" t="inlineStr">
        <is>
          <t>SAMPLE</t>
        </is>
      </c>
      <c r="W81" t="inlineStr">
        <is>
          <t>5181CA1D</t>
        </is>
      </c>
      <c r="X81">
        <f>IF($C81="","",IFERROR(IF(_xlfn.ISFORMULA($K81),"Rule","Manual"),""))</f>
        <v/>
      </c>
      <c r="Y81" s="19">
        <f>IF($C81="","",IF(ReportView=PersonA,N($Q81),IF(ReportView=PersonB,N($R81),$J81)))</f>
        <v/>
      </c>
    </row>
    <row r="82">
      <c r="B82">
        <f>IF($C82="","","T"&amp;TEXT(ROW()-ROW(tblTxn[[#Headers],[Txn ID]]),"000000"))</f>
        <v/>
      </c>
      <c r="C82" s="18" t="n">
        <v>46127</v>
      </c>
      <c r="D82">
        <f>IF($C82="","",TEXT($C82,"yyyy-mm"))</f>
        <v/>
      </c>
      <c r="E82" t="inlineStr">
        <is>
          <t>RBC Chequing (Alex)</t>
        </is>
      </c>
      <c r="F82">
        <f>IF($C82="","",IFERROR(INDEX(tblAccounts[Owner],MATCH($E82,tblAccounts[Account],0)),"Joint"))</f>
        <v/>
      </c>
      <c r="G82">
        <f>IF($C82="","",IF(HouseholdMode="Couple",IFERROR(IF(INDEX(tblCategories[Default Owner],MATCH($K82,tblCategories[Category],0))="",$F82,INDEX(tblCategories[Default Owner],MATCH($K82,tblCategories[Category],0))),$F82),$F82))</f>
        <v/>
      </c>
      <c r="H82" t="inlineStr">
        <is>
          <t>PAYROLL DEPOSIT NORTHWIND LOGISTICS</t>
        </is>
      </c>
      <c r="I82">
        <f>IF($H82="","",$H82)</f>
        <v/>
      </c>
      <c r="J82" s="19" t="n">
        <v>2503.18</v>
      </c>
      <c r="K82">
        <f>IF($H82="","",IFERROR(INDEX(tblRules[Category],SUMPRODUCT(MIN((1-((tblRules[Enabled]&lt;&gt;"No")*(tblRules[Pattern]&lt;&gt;"")*(tblRules[Category]&lt;&gt;"")*((tblRules[Flow]="Any")+(tblRules[Flow]="")+((tblRules[Flow]="Money out")*($J82&lt;0))+((tblRules[Flow]="Money in")*($J82&gt;0)))*(((tblRules[Look In]="Account")*ISNUMBER(SEARCH(tblRules[Pattern],$E82)))+((tblRules[Look In]&lt;&gt;"Account")*(((tblRules[Test]="Word")*ISNUMBER(SEARCH(" "&amp;tblRules[Pattern]&amp;" "," "&amp;$H82&amp;" ")))+((tblRules[Test]&lt;&gt;"Word")*ISNUMBER(SEARCH(tblRules[Pattern],$H82))))))&gt;0))*1E+9+ROW(tblRules[Pattern])))-ROW(tblRules[[#Headers],[Pattern]])),"Uncategorized"))</f>
        <v/>
      </c>
      <c r="L82">
        <f>IF($C82="","",IFERROR(INDEX(tblCategories[Group],MATCH($K82,tblCategories[Category],0)),"Other"))</f>
        <v/>
      </c>
      <c r="M82">
        <f>IF($C82="","",IFERROR(INDEX(tblCategories[Type],MATCH($K82,tblCategories[Category],0)),IF($J82&gt;0,"Income","Expense")))</f>
        <v/>
      </c>
      <c r="N82">
        <f>IF($C82="","",IFERROR(INDEX(tblCategories[Essential],MATCH($K82,tblCategories[Category],0)),"No"))</f>
        <v/>
      </c>
      <c r="O82">
        <f>IF($C82="","",IFERROR(INDEX(tblCategories[Tax Tag],MATCH($K82,tblCategories[Category],0)),""))</f>
        <v/>
      </c>
      <c r="P82" s="20">
        <f>IF($C82="","",IF($G82=PersonA,1,IF($G82=PersonB,0,IFERROR(INDEX(tblCategories[Joint Split A],MATCH($K82,tblCategories[Category],0)),DefaultSplitA))))</f>
        <v/>
      </c>
      <c r="Q82" s="19">
        <f>IF($C82="","",ROUND($J82*N($P82),2))</f>
        <v/>
      </c>
      <c r="R82" s="19">
        <f>IF($C82="","",ROUND($J82-N($Q82),2))</f>
        <v/>
      </c>
      <c r="U82" t="inlineStr">
        <is>
          <t>sample-data</t>
        </is>
      </c>
      <c r="V82" t="inlineStr">
        <is>
          <t>SAMPLE</t>
        </is>
      </c>
      <c r="W82" t="inlineStr">
        <is>
          <t>5D9D41AB</t>
        </is>
      </c>
      <c r="X82">
        <f>IF($C82="","",IFERROR(IF(_xlfn.ISFORMULA($K82),"Rule","Manual"),""))</f>
        <v/>
      </c>
      <c r="Y82" s="19">
        <f>IF($C82="","",IF(ReportView=PersonA,N($Q82),IF(ReportView=PersonB,N($R82),$J82)))</f>
        <v/>
      </c>
    </row>
    <row r="83">
      <c r="B83">
        <f>IF($C83="","","T"&amp;TEXT(ROW()-ROW(tblTxn[[#Headers],[Txn ID]]),"000000"))</f>
        <v/>
      </c>
      <c r="C83" s="18" t="n">
        <v>46127</v>
      </c>
      <c r="D83">
        <f>IF($C83="","",TEXT($C83,"yyyy-mm"))</f>
        <v/>
      </c>
      <c r="E83" t="inlineStr">
        <is>
          <t>Tangerine Chequing (Sam)</t>
        </is>
      </c>
      <c r="F83">
        <f>IF($C83="","",IFERROR(INDEX(tblAccounts[Owner],MATCH($E83,tblAccounts[Account],0)),"Joint"))</f>
        <v/>
      </c>
      <c r="G83">
        <f>IF($C83="","",IF(HouseholdMode="Couple",IFERROR(IF(INDEX(tblCategories[Default Owner],MATCH($K83,tblCategories[Category],0))="",$F83,INDEX(tblCategories[Default Owner],MATCH($K83,tblCategories[Category],0))),$F83),$F83))</f>
        <v/>
      </c>
      <c r="H83" t="inlineStr">
        <is>
          <t>PAYROLL DEPOSIT MAPLE HEALTH GROUP</t>
        </is>
      </c>
      <c r="I83">
        <f>IF($H83="","",$H83)</f>
        <v/>
      </c>
      <c r="J83" s="19" t="n">
        <v>1971.44</v>
      </c>
      <c r="K83">
        <f>IF($H83="","",IFERROR(INDEX(tblRules[Category],SUMPRODUCT(MIN((1-((tblRules[Enabled]&lt;&gt;"No")*(tblRules[Pattern]&lt;&gt;"")*(tblRules[Category]&lt;&gt;"")*((tblRules[Flow]="Any")+(tblRules[Flow]="")+((tblRules[Flow]="Money out")*($J83&lt;0))+((tblRules[Flow]="Money in")*($J83&gt;0)))*(((tblRules[Look In]="Account")*ISNUMBER(SEARCH(tblRules[Pattern],$E83)))+((tblRules[Look In]&lt;&gt;"Account")*(((tblRules[Test]="Word")*ISNUMBER(SEARCH(" "&amp;tblRules[Pattern]&amp;" "," "&amp;$H83&amp;" ")))+((tblRules[Test]&lt;&gt;"Word")*ISNUMBER(SEARCH(tblRules[Pattern],$H83))))))&gt;0))*1E+9+ROW(tblRules[Pattern])))-ROW(tblRules[[#Headers],[Pattern]])),"Uncategorized"))</f>
        <v/>
      </c>
      <c r="L83">
        <f>IF($C83="","",IFERROR(INDEX(tblCategories[Group],MATCH($K83,tblCategories[Category],0)),"Other"))</f>
        <v/>
      </c>
      <c r="M83">
        <f>IF($C83="","",IFERROR(INDEX(tblCategories[Type],MATCH($K83,tblCategories[Category],0)),IF($J83&gt;0,"Income","Expense")))</f>
        <v/>
      </c>
      <c r="N83">
        <f>IF($C83="","",IFERROR(INDEX(tblCategories[Essential],MATCH($K83,tblCategories[Category],0)),"No"))</f>
        <v/>
      </c>
      <c r="O83">
        <f>IF($C83="","",IFERROR(INDEX(tblCategories[Tax Tag],MATCH($K83,tblCategories[Category],0)),""))</f>
        <v/>
      </c>
      <c r="P83" s="20">
        <f>IF($C83="","",IF($G83=PersonA,1,IF($G83=PersonB,0,IFERROR(INDEX(tblCategories[Joint Split A],MATCH($K83,tblCategories[Category],0)),DefaultSplitA))))</f>
        <v/>
      </c>
      <c r="Q83" s="19">
        <f>IF($C83="","",ROUND($J83*N($P83),2))</f>
        <v/>
      </c>
      <c r="R83" s="19">
        <f>IF($C83="","",ROUND($J83-N($Q83),2))</f>
        <v/>
      </c>
      <c r="U83" t="inlineStr">
        <is>
          <t>sample-data</t>
        </is>
      </c>
      <c r="V83" t="inlineStr">
        <is>
          <t>SAMPLE</t>
        </is>
      </c>
      <c r="W83" t="inlineStr">
        <is>
          <t>7CE0FABF</t>
        </is>
      </c>
      <c r="X83">
        <f>IF($C83="","",IFERROR(IF(_xlfn.ISFORMULA($K83),"Rule","Manual"),""))</f>
        <v/>
      </c>
      <c r="Y83" s="19">
        <f>IF($C83="","",IF(ReportView=PersonA,N($Q83),IF(ReportView=PersonB,N($R83),$J83)))</f>
        <v/>
      </c>
    </row>
    <row r="84">
      <c r="B84">
        <f>IF($C84="","","T"&amp;TEXT(ROW()-ROW(tblTxn[[#Headers],[Txn ID]]),"000000"))</f>
        <v/>
      </c>
      <c r="C84" s="18" t="n">
        <v>46128</v>
      </c>
      <c r="D84">
        <f>IF($C84="","",TEXT($C84,"yyyy-mm"))</f>
        <v/>
      </c>
      <c r="E84" t="inlineStr">
        <is>
          <t>BMO Joint Chequing</t>
        </is>
      </c>
      <c r="F84">
        <f>IF($C84="","",IFERROR(INDEX(tblAccounts[Owner],MATCH($E84,tblAccounts[Account],0)),"Joint"))</f>
        <v/>
      </c>
      <c r="G84">
        <f>IF($C84="","",IF(HouseholdMode="Couple",IFERROR(IF(INDEX(tblCategories[Default Owner],MATCH($K84,tblCategories[Category],0))="",$F84,INDEX(tblCategories[Default Owner],MATCH($K84,tblCategories[Category],0))),$F84),$F84))</f>
        <v/>
      </c>
      <c r="H84" t="inlineStr">
        <is>
          <t>NETFLIX.COM MISC PAYMENT</t>
        </is>
      </c>
      <c r="I84">
        <f>IF($H84="","",$H84)</f>
        <v/>
      </c>
      <c r="J84" s="19" t="n">
        <v>-22.99</v>
      </c>
      <c r="K84">
        <f>IF($H84="","",IFERROR(INDEX(tblRules[Category],SUMPRODUCT(MIN((1-((tblRules[Enabled]&lt;&gt;"No")*(tblRules[Pattern]&lt;&gt;"")*(tblRules[Category]&lt;&gt;"")*((tblRules[Flow]="Any")+(tblRules[Flow]="")+((tblRules[Flow]="Money out")*($J84&lt;0))+((tblRules[Flow]="Money in")*($J84&gt;0)))*(((tblRules[Look In]="Account")*ISNUMBER(SEARCH(tblRules[Pattern],$E84)))+((tblRules[Look In]&lt;&gt;"Account")*(((tblRules[Test]="Word")*ISNUMBER(SEARCH(" "&amp;tblRules[Pattern]&amp;" "," "&amp;$H84&amp;" ")))+((tblRules[Test]&lt;&gt;"Word")*ISNUMBER(SEARCH(tblRules[Pattern],$H84))))))&gt;0))*1E+9+ROW(tblRules[Pattern])))-ROW(tblRules[[#Headers],[Pattern]])),"Uncategorized"))</f>
        <v/>
      </c>
      <c r="L84">
        <f>IF($C84="","",IFERROR(INDEX(tblCategories[Group],MATCH($K84,tblCategories[Category],0)),"Other"))</f>
        <v/>
      </c>
      <c r="M84">
        <f>IF($C84="","",IFERROR(INDEX(tblCategories[Type],MATCH($K84,tblCategories[Category],0)),IF($J84&gt;0,"Income","Expense")))</f>
        <v/>
      </c>
      <c r="N84">
        <f>IF($C84="","",IFERROR(INDEX(tblCategories[Essential],MATCH($K84,tblCategories[Category],0)),"No"))</f>
        <v/>
      </c>
      <c r="O84">
        <f>IF($C84="","",IFERROR(INDEX(tblCategories[Tax Tag],MATCH($K84,tblCategories[Category],0)),""))</f>
        <v/>
      </c>
      <c r="P84" s="20">
        <f>IF($C84="","",IF($G84=PersonA,1,IF($G84=PersonB,0,IFERROR(INDEX(tblCategories[Joint Split A],MATCH($K84,tblCategories[Category],0)),DefaultSplitA))))</f>
        <v/>
      </c>
      <c r="Q84" s="19">
        <f>IF($C84="","",ROUND($J84*N($P84),2))</f>
        <v/>
      </c>
      <c r="R84" s="19">
        <f>IF($C84="","",ROUND($J84-N($Q84),2))</f>
        <v/>
      </c>
      <c r="U84" t="inlineStr">
        <is>
          <t>sample-data</t>
        </is>
      </c>
      <c r="V84" t="inlineStr">
        <is>
          <t>SAMPLE</t>
        </is>
      </c>
      <c r="W84" t="inlineStr">
        <is>
          <t>46288ECA</t>
        </is>
      </c>
      <c r="X84">
        <f>IF($C84="","",IFERROR(IF(_xlfn.ISFORMULA($K84),"Rule","Manual"),""))</f>
        <v/>
      </c>
      <c r="Y84" s="19">
        <f>IF($C84="","",IF(ReportView=PersonA,N($Q84),IF(ReportView=PersonB,N($R84),$J84)))</f>
        <v/>
      </c>
    </row>
    <row r="85">
      <c r="B85">
        <f>IF($C85="","","T"&amp;TEXT(ROW()-ROW(tblTxn[[#Headers],[Txn ID]]),"000000"))</f>
        <v/>
      </c>
      <c r="C85" s="18" t="n">
        <v>46128</v>
      </c>
      <c r="D85">
        <f>IF($C85="","",TEXT($C85,"yyyy-mm"))</f>
        <v/>
      </c>
      <c r="E85" t="inlineStr">
        <is>
          <t>RBC Chequing (Alex)</t>
        </is>
      </c>
      <c r="F85">
        <f>IF($C85="","",IFERROR(INDEX(tblAccounts[Owner],MATCH($E85,tblAccounts[Account],0)),"Joint"))</f>
        <v/>
      </c>
      <c r="G85">
        <f>IF($C85="","",IF(HouseholdMode="Couple",IFERROR(IF(INDEX(tblCategories[Default Owner],MATCH($K85,tblCategories[Category],0))="",$F85,INDEX(tblCategories[Default Owner],MATCH($K85,tblCategories[Category],0))),$F85),$F85))</f>
        <v/>
      </c>
      <c r="H85" t="inlineStr">
        <is>
          <t>IDP PURCHASE - 3448 LOBLAWS #1133 TORONTO ON</t>
        </is>
      </c>
      <c r="I85">
        <f>IF($H85="","",$H85)</f>
        <v/>
      </c>
      <c r="J85" s="19" t="n">
        <v>-98.23999999999999</v>
      </c>
      <c r="K85">
        <f>IF($H85="","",IFERROR(INDEX(tblRules[Category],SUMPRODUCT(MIN((1-((tblRules[Enabled]&lt;&gt;"No")*(tblRules[Pattern]&lt;&gt;"")*(tblRules[Category]&lt;&gt;"")*((tblRules[Flow]="Any")+(tblRules[Flow]="")+((tblRules[Flow]="Money out")*($J85&lt;0))+((tblRules[Flow]="Money in")*($J85&gt;0)))*(((tblRules[Look In]="Account")*ISNUMBER(SEARCH(tblRules[Pattern],$E85)))+((tblRules[Look In]&lt;&gt;"Account")*(((tblRules[Test]="Word")*ISNUMBER(SEARCH(" "&amp;tblRules[Pattern]&amp;" "," "&amp;$H85&amp;" ")))+((tblRules[Test]&lt;&gt;"Word")*ISNUMBER(SEARCH(tblRules[Pattern],$H85))))))&gt;0))*1E+9+ROW(tblRules[Pattern])))-ROW(tblRules[[#Headers],[Pattern]])),"Uncategorized"))</f>
        <v/>
      </c>
      <c r="L85">
        <f>IF($C85="","",IFERROR(INDEX(tblCategories[Group],MATCH($K85,tblCategories[Category],0)),"Other"))</f>
        <v/>
      </c>
      <c r="M85">
        <f>IF($C85="","",IFERROR(INDEX(tblCategories[Type],MATCH($K85,tblCategories[Category],0)),IF($J85&gt;0,"Income","Expense")))</f>
        <v/>
      </c>
      <c r="N85">
        <f>IF($C85="","",IFERROR(INDEX(tblCategories[Essential],MATCH($K85,tblCategories[Category],0)),"No"))</f>
        <v/>
      </c>
      <c r="O85">
        <f>IF($C85="","",IFERROR(INDEX(tblCategories[Tax Tag],MATCH($K85,tblCategories[Category],0)),""))</f>
        <v/>
      </c>
      <c r="P85" s="20">
        <f>IF($C85="","",IF($G85=PersonA,1,IF($G85=PersonB,0,IFERROR(INDEX(tblCategories[Joint Split A],MATCH($K85,tblCategories[Category],0)),DefaultSplitA))))</f>
        <v/>
      </c>
      <c r="Q85" s="19">
        <f>IF($C85="","",ROUND($J85*N($P85),2))</f>
        <v/>
      </c>
      <c r="R85" s="19">
        <f>IF($C85="","",ROUND($J85-N($Q85),2))</f>
        <v/>
      </c>
      <c r="U85" t="inlineStr">
        <is>
          <t>sample-data</t>
        </is>
      </c>
      <c r="V85" t="inlineStr">
        <is>
          <t>SAMPLE</t>
        </is>
      </c>
      <c r="W85" t="inlineStr">
        <is>
          <t>443ACCFB</t>
        </is>
      </c>
      <c r="X85">
        <f>IF($C85="","",IFERROR(IF(_xlfn.ISFORMULA($K85),"Rule","Manual"),""))</f>
        <v/>
      </c>
      <c r="Y85" s="19">
        <f>IF($C85="","",IF(ReportView=PersonA,N($Q85),IF(ReportView=PersonB,N($R85),$J85)))</f>
        <v/>
      </c>
    </row>
    <row r="86">
      <c r="B86">
        <f>IF($C86="","","T"&amp;TEXT(ROW()-ROW(tblTxn[[#Headers],[Txn ID]]),"000000"))</f>
        <v/>
      </c>
      <c r="C86" s="18" t="n">
        <v>46128</v>
      </c>
      <c r="D86">
        <f>IF($C86="","",TEXT($C86,"yyyy-mm"))</f>
        <v/>
      </c>
      <c r="E86" t="inlineStr">
        <is>
          <t>RBC Chequing (Alex)</t>
        </is>
      </c>
      <c r="F86">
        <f>IF($C86="","",IFERROR(INDEX(tblAccounts[Owner],MATCH($E86,tblAccounts[Account],0)),"Joint"))</f>
        <v/>
      </c>
      <c r="G86">
        <f>IF($C86="","",IF(HouseholdMode="Couple",IFERROR(IF(INDEX(tblCategories[Default Owner],MATCH($K86,tblCategories[Category],0))="",$F86,INDEX(tblCategories[Default Owner],MATCH($K86,tblCategories[Category],0))),$F86),$F86))</f>
        <v/>
      </c>
      <c r="H86" t="inlineStr">
        <is>
          <t>TRANSFER TO RRSP WEALTHSIMPLE</t>
        </is>
      </c>
      <c r="I86">
        <f>IF($H86="","",$H86)</f>
        <v/>
      </c>
      <c r="J86" s="19" t="n">
        <v>-450</v>
      </c>
      <c r="K86">
        <f>IF($H86="","",IFERROR(INDEX(tblRules[Category],SUMPRODUCT(MIN((1-((tblRules[Enabled]&lt;&gt;"No")*(tblRules[Pattern]&lt;&gt;"")*(tblRules[Category]&lt;&gt;"")*((tblRules[Flow]="Any")+(tblRules[Flow]="")+((tblRules[Flow]="Money out")*($J86&lt;0))+((tblRules[Flow]="Money in")*($J86&gt;0)))*(((tblRules[Look In]="Account")*ISNUMBER(SEARCH(tblRules[Pattern],$E86)))+((tblRules[Look In]&lt;&gt;"Account")*(((tblRules[Test]="Word")*ISNUMBER(SEARCH(" "&amp;tblRules[Pattern]&amp;" "," "&amp;$H86&amp;" ")))+((tblRules[Test]&lt;&gt;"Word")*ISNUMBER(SEARCH(tblRules[Pattern],$H86))))))&gt;0))*1E+9+ROW(tblRules[Pattern])))-ROW(tblRules[[#Headers],[Pattern]])),"Uncategorized"))</f>
        <v/>
      </c>
      <c r="L86">
        <f>IF($C86="","",IFERROR(INDEX(tblCategories[Group],MATCH($K86,tblCategories[Category],0)),"Other"))</f>
        <v/>
      </c>
      <c r="M86">
        <f>IF($C86="","",IFERROR(INDEX(tblCategories[Type],MATCH($K86,tblCategories[Category],0)),IF($J86&gt;0,"Income","Expense")))</f>
        <v/>
      </c>
      <c r="N86">
        <f>IF($C86="","",IFERROR(INDEX(tblCategories[Essential],MATCH($K86,tblCategories[Category],0)),"No"))</f>
        <v/>
      </c>
      <c r="O86">
        <f>IF($C86="","",IFERROR(INDEX(tblCategories[Tax Tag],MATCH($K86,tblCategories[Category],0)),""))</f>
        <v/>
      </c>
      <c r="P86" s="20">
        <f>IF($C86="","",IF($G86=PersonA,1,IF($G86=PersonB,0,IFERROR(INDEX(tblCategories[Joint Split A],MATCH($K86,tblCategories[Category],0)),DefaultSplitA))))</f>
        <v/>
      </c>
      <c r="Q86" s="19">
        <f>IF($C86="","",ROUND($J86*N($P86),2))</f>
        <v/>
      </c>
      <c r="R86" s="19">
        <f>IF($C86="","",ROUND($J86-N($Q86),2))</f>
        <v/>
      </c>
      <c r="U86" t="inlineStr">
        <is>
          <t>sample-data</t>
        </is>
      </c>
      <c r="V86" t="inlineStr">
        <is>
          <t>SAMPLE</t>
        </is>
      </c>
      <c r="W86" t="inlineStr">
        <is>
          <t>847B0EC4</t>
        </is>
      </c>
      <c r="X86">
        <f>IF($C86="","",IFERROR(IF(_xlfn.ISFORMULA($K86),"Rule","Manual"),""))</f>
        <v/>
      </c>
      <c r="Y86" s="19">
        <f>IF($C86="","",IF(ReportView=PersonA,N($Q86),IF(ReportView=PersonB,N($R86),$J86)))</f>
        <v/>
      </c>
    </row>
    <row r="87">
      <c r="B87">
        <f>IF($C87="","","T"&amp;TEXT(ROW()-ROW(tblTxn[[#Headers],[Txn ID]]),"000000"))</f>
        <v/>
      </c>
      <c r="C87" s="18" t="n">
        <v>46128</v>
      </c>
      <c r="D87">
        <f>IF($C87="","",TEXT($C87,"yyyy-mm"))</f>
        <v/>
      </c>
      <c r="E87" t="inlineStr">
        <is>
          <t>Tangerine Chequing (Sam)</t>
        </is>
      </c>
      <c r="F87">
        <f>IF($C87="","",IFERROR(INDEX(tblAccounts[Owner],MATCH($E87,tblAccounts[Account],0)),"Joint"))</f>
        <v/>
      </c>
      <c r="G87">
        <f>IF($C87="","",IF(HouseholdMode="Couple",IFERROR(IF(INDEX(tblCategories[Default Owner],MATCH($K87,tblCategories[Category],0))="",$F87,INDEX(tblCategories[Default Owner],MATCH($K87,tblCategories[Category],0))),$F87),$F87))</f>
        <v/>
      </c>
      <c r="H87" t="inlineStr">
        <is>
          <t>IDP PURCHASE - 3380 PETRO-CANADA #4548 ON</t>
        </is>
      </c>
      <c r="I87">
        <f>IF($H87="","",$H87)</f>
        <v/>
      </c>
      <c r="J87" s="19" t="n">
        <v>-92.78</v>
      </c>
      <c r="K87">
        <f>IF($H87="","",IFERROR(INDEX(tblRules[Category],SUMPRODUCT(MIN((1-((tblRules[Enabled]&lt;&gt;"No")*(tblRules[Pattern]&lt;&gt;"")*(tblRules[Category]&lt;&gt;"")*((tblRules[Flow]="Any")+(tblRules[Flow]="")+((tblRules[Flow]="Money out")*($J87&lt;0))+((tblRules[Flow]="Money in")*($J87&gt;0)))*(((tblRules[Look In]="Account")*ISNUMBER(SEARCH(tblRules[Pattern],$E87)))+((tblRules[Look In]&lt;&gt;"Account")*(((tblRules[Test]="Word")*ISNUMBER(SEARCH(" "&amp;tblRules[Pattern]&amp;" "," "&amp;$H87&amp;" ")))+((tblRules[Test]&lt;&gt;"Word")*ISNUMBER(SEARCH(tblRules[Pattern],$H87))))))&gt;0))*1E+9+ROW(tblRules[Pattern])))-ROW(tblRules[[#Headers],[Pattern]])),"Uncategorized"))</f>
        <v/>
      </c>
      <c r="L87">
        <f>IF($C87="","",IFERROR(INDEX(tblCategories[Group],MATCH($K87,tblCategories[Category],0)),"Other"))</f>
        <v/>
      </c>
      <c r="M87">
        <f>IF($C87="","",IFERROR(INDEX(tblCategories[Type],MATCH($K87,tblCategories[Category],0)),IF($J87&gt;0,"Income","Expense")))</f>
        <v/>
      </c>
      <c r="N87">
        <f>IF($C87="","",IFERROR(INDEX(tblCategories[Essential],MATCH($K87,tblCategories[Category],0)),"No"))</f>
        <v/>
      </c>
      <c r="O87">
        <f>IF($C87="","",IFERROR(INDEX(tblCategories[Tax Tag],MATCH($K87,tblCategories[Category],0)),""))</f>
        <v/>
      </c>
      <c r="P87" s="20">
        <f>IF($C87="","",IF($G87=PersonA,1,IF($G87=PersonB,0,IFERROR(INDEX(tblCategories[Joint Split A],MATCH($K87,tblCategories[Category],0)),DefaultSplitA))))</f>
        <v/>
      </c>
      <c r="Q87" s="19">
        <f>IF($C87="","",ROUND($J87*N($P87),2))</f>
        <v/>
      </c>
      <c r="R87" s="19">
        <f>IF($C87="","",ROUND($J87-N($Q87),2))</f>
        <v/>
      </c>
      <c r="U87" t="inlineStr">
        <is>
          <t>sample-data</t>
        </is>
      </c>
      <c r="V87" t="inlineStr">
        <is>
          <t>SAMPLE</t>
        </is>
      </c>
      <c r="W87" t="inlineStr">
        <is>
          <t>77609341</t>
        </is>
      </c>
      <c r="X87">
        <f>IF($C87="","",IFERROR(IF(_xlfn.ISFORMULA($K87),"Rule","Manual"),""))</f>
        <v/>
      </c>
      <c r="Y87" s="19">
        <f>IF($C87="","",IF(ReportView=PersonA,N($Q87),IF(ReportView=PersonB,N($R87),$J87)))</f>
        <v/>
      </c>
    </row>
    <row r="88">
      <c r="B88">
        <f>IF($C88="","","T"&amp;TEXT(ROW()-ROW(tblTxn[[#Headers],[Txn ID]]),"000000"))</f>
        <v/>
      </c>
      <c r="C88" s="18" t="n">
        <v>46128</v>
      </c>
      <c r="D88">
        <f>IF($C88="","",TEXT($C88,"yyyy-mm"))</f>
        <v/>
      </c>
      <c r="E88" t="inlineStr">
        <is>
          <t>Tangerine Chequing (Sam)</t>
        </is>
      </c>
      <c r="F88">
        <f>IF($C88="","",IFERROR(INDEX(tblAccounts[Owner],MATCH($E88,tblAccounts[Account],0)),"Joint"))</f>
        <v/>
      </c>
      <c r="G88">
        <f>IF($C88="","",IF(HouseholdMode="Couple",IFERROR(IF(INDEX(tblCategories[Default Owner],MATCH($K88,tblCategories[Category],0))="",$F88,INDEX(tblCategories[Default Owner],MATCH($K88,tblCategories[Category],0))),$F88),$F88))</f>
        <v/>
      </c>
      <c r="H88" t="inlineStr">
        <is>
          <t>TFSA CONTRIBUTION TANGERINE INVESTMENT</t>
        </is>
      </c>
      <c r="I88">
        <f>IF($H88="","",$H88)</f>
        <v/>
      </c>
      <c r="J88" s="19" t="n">
        <v>-350</v>
      </c>
      <c r="K88">
        <f>IF($H88="","",IFERROR(INDEX(tblRules[Category],SUMPRODUCT(MIN((1-((tblRules[Enabled]&lt;&gt;"No")*(tblRules[Pattern]&lt;&gt;"")*(tblRules[Category]&lt;&gt;"")*((tblRules[Flow]="Any")+(tblRules[Flow]="")+((tblRules[Flow]="Money out")*($J88&lt;0))+((tblRules[Flow]="Money in")*($J88&gt;0)))*(((tblRules[Look In]="Account")*ISNUMBER(SEARCH(tblRules[Pattern],$E88)))+((tblRules[Look In]&lt;&gt;"Account")*(((tblRules[Test]="Word")*ISNUMBER(SEARCH(" "&amp;tblRules[Pattern]&amp;" "," "&amp;$H88&amp;" ")))+((tblRules[Test]&lt;&gt;"Word")*ISNUMBER(SEARCH(tblRules[Pattern],$H88))))))&gt;0))*1E+9+ROW(tblRules[Pattern])))-ROW(tblRules[[#Headers],[Pattern]])),"Uncategorized"))</f>
        <v/>
      </c>
      <c r="L88">
        <f>IF($C88="","",IFERROR(INDEX(tblCategories[Group],MATCH($K88,tblCategories[Category],0)),"Other"))</f>
        <v/>
      </c>
      <c r="M88">
        <f>IF($C88="","",IFERROR(INDEX(tblCategories[Type],MATCH($K88,tblCategories[Category],0)),IF($J88&gt;0,"Income","Expense")))</f>
        <v/>
      </c>
      <c r="N88">
        <f>IF($C88="","",IFERROR(INDEX(tblCategories[Essential],MATCH($K88,tblCategories[Category],0)),"No"))</f>
        <v/>
      </c>
      <c r="O88">
        <f>IF($C88="","",IFERROR(INDEX(tblCategories[Tax Tag],MATCH($K88,tblCategories[Category],0)),""))</f>
        <v/>
      </c>
      <c r="P88" s="20">
        <f>IF($C88="","",IF($G88=PersonA,1,IF($G88=PersonB,0,IFERROR(INDEX(tblCategories[Joint Split A],MATCH($K88,tblCategories[Category],0)),DefaultSplitA))))</f>
        <v/>
      </c>
      <c r="Q88" s="19">
        <f>IF($C88="","",ROUND($J88*N($P88),2))</f>
        <v/>
      </c>
      <c r="R88" s="19">
        <f>IF($C88="","",ROUND($J88-N($Q88),2))</f>
        <v/>
      </c>
      <c r="U88" t="inlineStr">
        <is>
          <t>sample-data</t>
        </is>
      </c>
      <c r="V88" t="inlineStr">
        <is>
          <t>SAMPLE</t>
        </is>
      </c>
      <c r="W88" t="inlineStr">
        <is>
          <t>6DCE52A4</t>
        </is>
      </c>
      <c r="X88">
        <f>IF($C88="","",IFERROR(IF(_xlfn.ISFORMULA($K88),"Rule","Manual"),""))</f>
        <v/>
      </c>
      <c r="Y88" s="19">
        <f>IF($C88="","",IF(ReportView=PersonA,N($Q88),IF(ReportView=PersonB,N($R88),$J88)))</f>
        <v/>
      </c>
    </row>
    <row r="89">
      <c r="B89">
        <f>IF($C89="","","T"&amp;TEXT(ROW()-ROW(tblTxn[[#Headers],[Txn ID]]),"000000"))</f>
        <v/>
      </c>
      <c r="C89" s="18" t="n">
        <v>46129</v>
      </c>
      <c r="D89">
        <f>IF($C89="","",TEXT($C89,"yyyy-mm"))</f>
        <v/>
      </c>
      <c r="E89" t="inlineStr">
        <is>
          <t>Amex Cobalt (Joint)</t>
        </is>
      </c>
      <c r="F89">
        <f>IF($C89="","",IFERROR(INDEX(tblAccounts[Owner],MATCH($E89,tblAccounts[Account],0)),"Joint"))</f>
        <v/>
      </c>
      <c r="G89">
        <f>IF($C89="","",IF(HouseholdMode="Couple",IFERROR(IF(INDEX(tblCategories[Default Owner],MATCH($K89,tblCategories[Category],0))="",$F89,INDEX(tblCategories[Default Owner],MATCH($K89,tblCategories[Category],0))),$F89),$F89))</f>
        <v/>
      </c>
      <c r="H89" t="inlineStr">
        <is>
          <t>IDP PURCHASE - 4829 TIM HORTONS #2200 TORONTO ON</t>
        </is>
      </c>
      <c r="I89">
        <f>IF($H89="","",$H89)</f>
        <v/>
      </c>
      <c r="J89" s="19" t="n">
        <v>-13.49</v>
      </c>
      <c r="K89">
        <f>IF($H89="","",IFERROR(INDEX(tblRules[Category],SUMPRODUCT(MIN((1-((tblRules[Enabled]&lt;&gt;"No")*(tblRules[Pattern]&lt;&gt;"")*(tblRules[Category]&lt;&gt;"")*((tblRules[Flow]="Any")+(tblRules[Flow]="")+((tblRules[Flow]="Money out")*($J89&lt;0))+((tblRules[Flow]="Money in")*($J89&gt;0)))*(((tblRules[Look In]="Account")*ISNUMBER(SEARCH(tblRules[Pattern],$E89)))+((tblRules[Look In]&lt;&gt;"Account")*(((tblRules[Test]="Word")*ISNUMBER(SEARCH(" "&amp;tblRules[Pattern]&amp;" "," "&amp;$H89&amp;" ")))+((tblRules[Test]&lt;&gt;"Word")*ISNUMBER(SEARCH(tblRules[Pattern],$H89))))))&gt;0))*1E+9+ROW(tblRules[Pattern])))-ROW(tblRules[[#Headers],[Pattern]])),"Uncategorized"))</f>
        <v/>
      </c>
      <c r="L89">
        <f>IF($C89="","",IFERROR(INDEX(tblCategories[Group],MATCH($K89,tblCategories[Category],0)),"Other"))</f>
        <v/>
      </c>
      <c r="M89">
        <f>IF($C89="","",IFERROR(INDEX(tblCategories[Type],MATCH($K89,tblCategories[Category],0)),IF($J89&gt;0,"Income","Expense")))</f>
        <v/>
      </c>
      <c r="N89">
        <f>IF($C89="","",IFERROR(INDEX(tblCategories[Essential],MATCH($K89,tblCategories[Category],0)),"No"))</f>
        <v/>
      </c>
      <c r="O89">
        <f>IF($C89="","",IFERROR(INDEX(tblCategories[Tax Tag],MATCH($K89,tblCategories[Category],0)),""))</f>
        <v/>
      </c>
      <c r="P89" s="20">
        <f>IF($C89="","",IF($G89=PersonA,1,IF($G89=PersonB,0,IFERROR(INDEX(tblCategories[Joint Split A],MATCH($K89,tblCategories[Category],0)),DefaultSplitA))))</f>
        <v/>
      </c>
      <c r="Q89" s="19">
        <f>IF($C89="","",ROUND($J89*N($P89),2))</f>
        <v/>
      </c>
      <c r="R89" s="19">
        <f>IF($C89="","",ROUND($J89-N($Q89),2))</f>
        <v/>
      </c>
      <c r="U89" t="inlineStr">
        <is>
          <t>sample-data</t>
        </is>
      </c>
      <c r="V89" t="inlineStr">
        <is>
          <t>SAMPLE</t>
        </is>
      </c>
      <c r="W89" t="inlineStr">
        <is>
          <t>E97D3F02</t>
        </is>
      </c>
      <c r="X89">
        <f>IF($C89="","",IFERROR(IF(_xlfn.ISFORMULA($K89),"Rule","Manual"),""))</f>
        <v/>
      </c>
      <c r="Y89" s="19">
        <f>IF($C89="","",IF(ReportView=PersonA,N($Q89),IF(ReportView=PersonB,N($R89),$J89)))</f>
        <v/>
      </c>
    </row>
    <row r="90">
      <c r="B90">
        <f>IF($C90="","","T"&amp;TEXT(ROW()-ROW(tblTxn[[#Headers],[Txn ID]]),"000000"))</f>
        <v/>
      </c>
      <c r="C90" s="18" t="n">
        <v>46129</v>
      </c>
      <c r="D90">
        <f>IF($C90="","",TEXT($C90,"yyyy-mm"))</f>
        <v/>
      </c>
      <c r="E90" t="inlineStr">
        <is>
          <t>BMO Joint Chequing</t>
        </is>
      </c>
      <c r="F90">
        <f>IF($C90="","",IFERROR(INDEX(tblAccounts[Owner],MATCH($E90,tblAccounts[Account],0)),"Joint"))</f>
        <v/>
      </c>
      <c r="G90">
        <f>IF($C90="","",IF(HouseholdMode="Couple",IFERROR(IF(INDEX(tblCategories[Default Owner],MATCH($K90,tblCategories[Category],0))="",$F90,INDEX(tblCategories[Default Owner],MATCH($K90,tblCategories[Category],0))),$F90),$F90))</f>
        <v/>
      </c>
      <c r="H90" t="inlineStr">
        <is>
          <t>SPOTIFY P2C5 MISC PAYMENT</t>
        </is>
      </c>
      <c r="I90">
        <f>IF($H90="","",$H90)</f>
        <v/>
      </c>
      <c r="J90" s="19" t="n">
        <v>-16.99</v>
      </c>
      <c r="K90">
        <f>IF($H90="","",IFERROR(INDEX(tblRules[Category],SUMPRODUCT(MIN((1-((tblRules[Enabled]&lt;&gt;"No")*(tblRules[Pattern]&lt;&gt;"")*(tblRules[Category]&lt;&gt;"")*((tblRules[Flow]="Any")+(tblRules[Flow]="")+((tblRules[Flow]="Money out")*($J90&lt;0))+((tblRules[Flow]="Money in")*($J90&gt;0)))*(((tblRules[Look In]="Account")*ISNUMBER(SEARCH(tblRules[Pattern],$E90)))+((tblRules[Look In]&lt;&gt;"Account")*(((tblRules[Test]="Word")*ISNUMBER(SEARCH(" "&amp;tblRules[Pattern]&amp;" "," "&amp;$H90&amp;" ")))+((tblRules[Test]&lt;&gt;"Word")*ISNUMBER(SEARCH(tblRules[Pattern],$H90))))))&gt;0))*1E+9+ROW(tblRules[Pattern])))-ROW(tblRules[[#Headers],[Pattern]])),"Uncategorized"))</f>
        <v/>
      </c>
      <c r="L90">
        <f>IF($C90="","",IFERROR(INDEX(tblCategories[Group],MATCH($K90,tblCategories[Category],0)),"Other"))</f>
        <v/>
      </c>
      <c r="M90">
        <f>IF($C90="","",IFERROR(INDEX(tblCategories[Type],MATCH($K90,tblCategories[Category],0)),IF($J90&gt;0,"Income","Expense")))</f>
        <v/>
      </c>
      <c r="N90">
        <f>IF($C90="","",IFERROR(INDEX(tblCategories[Essential],MATCH($K90,tblCategories[Category],0)),"No"))</f>
        <v/>
      </c>
      <c r="O90">
        <f>IF($C90="","",IFERROR(INDEX(tblCategories[Tax Tag],MATCH($K90,tblCategories[Category],0)),""))</f>
        <v/>
      </c>
      <c r="P90" s="20">
        <f>IF($C90="","",IF($G90=PersonA,1,IF($G90=PersonB,0,IFERROR(INDEX(tblCategories[Joint Split A],MATCH($K90,tblCategories[Category],0)),DefaultSplitA))))</f>
        <v/>
      </c>
      <c r="Q90" s="19">
        <f>IF($C90="","",ROUND($J90*N($P90),2))</f>
        <v/>
      </c>
      <c r="R90" s="19">
        <f>IF($C90="","",ROUND($J90-N($Q90),2))</f>
        <v/>
      </c>
      <c r="U90" t="inlineStr">
        <is>
          <t>sample-data</t>
        </is>
      </c>
      <c r="V90" t="inlineStr">
        <is>
          <t>SAMPLE</t>
        </is>
      </c>
      <c r="W90" t="inlineStr">
        <is>
          <t>320170F5</t>
        </is>
      </c>
      <c r="X90">
        <f>IF($C90="","",IFERROR(IF(_xlfn.ISFORMULA($K90),"Rule","Manual"),""))</f>
        <v/>
      </c>
      <c r="Y90" s="19">
        <f>IF($C90="","",IF(ReportView=PersonA,N($Q90),IF(ReportView=PersonB,N($R90),$J90)))</f>
        <v/>
      </c>
    </row>
    <row r="91">
      <c r="B91">
        <f>IF($C91="","","T"&amp;TEXT(ROW()-ROW(tblTxn[[#Headers],[Txn ID]]),"000000"))</f>
        <v/>
      </c>
      <c r="C91" s="18" t="n">
        <v>46130</v>
      </c>
      <c r="D91">
        <f>IF($C91="","",TEXT($C91,"yyyy-mm"))</f>
        <v/>
      </c>
      <c r="E91" t="inlineStr">
        <is>
          <t>BMO Joint Chequing</t>
        </is>
      </c>
      <c r="F91">
        <f>IF($C91="","",IFERROR(INDEX(tblAccounts[Owner],MATCH($E91,tblAccounts[Account],0)),"Joint"))</f>
        <v/>
      </c>
      <c r="G91">
        <f>IF($C91="","",IF(HouseholdMode="Couple",IFERROR(IF(INDEX(tblCategories[Default Owner],MATCH($K91,tblCategories[Category],0))="",$F91,INDEX(tblCategories[Default Owner],MATCH($K91,tblCategories[Category],0))),$F91),$F91))</f>
        <v/>
      </c>
      <c r="H91" t="inlineStr">
        <is>
          <t>IDP PURCHASE - 8989 LOBLAWS #1520 TORONTO ON</t>
        </is>
      </c>
      <c r="I91">
        <f>IF($H91="","",$H91)</f>
        <v/>
      </c>
      <c r="J91" s="19" t="n">
        <v>-136.21</v>
      </c>
      <c r="K91">
        <f>IF($H91="","",IFERROR(INDEX(tblRules[Category],SUMPRODUCT(MIN((1-((tblRules[Enabled]&lt;&gt;"No")*(tblRules[Pattern]&lt;&gt;"")*(tblRules[Category]&lt;&gt;"")*((tblRules[Flow]="Any")+(tblRules[Flow]="")+((tblRules[Flow]="Money out")*($J91&lt;0))+((tblRules[Flow]="Money in")*($J91&gt;0)))*(((tblRules[Look In]="Account")*ISNUMBER(SEARCH(tblRules[Pattern],$E91)))+((tblRules[Look In]&lt;&gt;"Account")*(((tblRules[Test]="Word")*ISNUMBER(SEARCH(" "&amp;tblRules[Pattern]&amp;" "," "&amp;$H91&amp;" ")))+((tblRules[Test]&lt;&gt;"Word")*ISNUMBER(SEARCH(tblRules[Pattern],$H91))))))&gt;0))*1E+9+ROW(tblRules[Pattern])))-ROW(tblRules[[#Headers],[Pattern]])),"Uncategorized"))</f>
        <v/>
      </c>
      <c r="L91">
        <f>IF($C91="","",IFERROR(INDEX(tblCategories[Group],MATCH($K91,tblCategories[Category],0)),"Other"))</f>
        <v/>
      </c>
      <c r="M91">
        <f>IF($C91="","",IFERROR(INDEX(tblCategories[Type],MATCH($K91,tblCategories[Category],0)),IF($J91&gt;0,"Income","Expense")))</f>
        <v/>
      </c>
      <c r="N91">
        <f>IF($C91="","",IFERROR(INDEX(tblCategories[Essential],MATCH($K91,tblCategories[Category],0)),"No"))</f>
        <v/>
      </c>
      <c r="O91">
        <f>IF($C91="","",IFERROR(INDEX(tblCategories[Tax Tag],MATCH($K91,tblCategories[Category],0)),""))</f>
        <v/>
      </c>
      <c r="P91" s="20">
        <f>IF($C91="","",IF($G91=PersonA,1,IF($G91=PersonB,0,IFERROR(INDEX(tblCategories[Joint Split A],MATCH($K91,tblCategories[Category],0)),DefaultSplitA))))</f>
        <v/>
      </c>
      <c r="Q91" s="19">
        <f>IF($C91="","",ROUND($J91*N($P91),2))</f>
        <v/>
      </c>
      <c r="R91" s="19">
        <f>IF($C91="","",ROUND($J91-N($Q91),2))</f>
        <v/>
      </c>
      <c r="U91" t="inlineStr">
        <is>
          <t>sample-data</t>
        </is>
      </c>
      <c r="V91" t="inlineStr">
        <is>
          <t>SAMPLE</t>
        </is>
      </c>
      <c r="W91" t="inlineStr">
        <is>
          <t>40F37FEA</t>
        </is>
      </c>
      <c r="X91">
        <f>IF($C91="","",IFERROR(IF(_xlfn.ISFORMULA($K91),"Rule","Manual"),""))</f>
        <v/>
      </c>
      <c r="Y91" s="19">
        <f>IF($C91="","",IF(ReportView=PersonA,N($Q91),IF(ReportView=PersonB,N($R91),$J91)))</f>
        <v/>
      </c>
    </row>
    <row r="92">
      <c r="B92">
        <f>IF($C92="","","T"&amp;TEXT(ROW()-ROW(tblTxn[[#Headers],[Txn ID]]),"000000"))</f>
        <v/>
      </c>
      <c r="C92" s="18" t="n">
        <v>46130</v>
      </c>
      <c r="D92">
        <f>IF($C92="","",TEXT($C92,"yyyy-mm"))</f>
        <v/>
      </c>
      <c r="E92" t="inlineStr">
        <is>
          <t>BMO Joint Chequing</t>
        </is>
      </c>
      <c r="F92">
        <f>IF($C92="","",IFERROR(INDEX(tblAccounts[Owner],MATCH($E92,tblAccounts[Account],0)),"Joint"))</f>
        <v/>
      </c>
      <c r="G92">
        <f>IF($C92="","",IF(HouseholdMode="Couple",IFERROR(IF(INDEX(tblCategories[Default Owner],MATCH($K92,tblCategories[Category],0))="",$F92,INDEX(tblCategories[Default Owner],MATCH($K92,tblCategories[Category],0))),$F92),$F92))</f>
        <v/>
      </c>
      <c r="H92" t="inlineStr">
        <is>
          <t>RESP CONTRIBUTION CST SAVINGS</t>
        </is>
      </c>
      <c r="I92">
        <f>IF($H92="","",$H92)</f>
        <v/>
      </c>
      <c r="J92" s="19" t="n">
        <v>-208.33</v>
      </c>
      <c r="K92">
        <f>IF($H92="","",IFERROR(INDEX(tblRules[Category],SUMPRODUCT(MIN((1-((tblRules[Enabled]&lt;&gt;"No")*(tblRules[Pattern]&lt;&gt;"")*(tblRules[Category]&lt;&gt;"")*((tblRules[Flow]="Any")+(tblRules[Flow]="")+((tblRules[Flow]="Money out")*($J92&lt;0))+((tblRules[Flow]="Money in")*($J92&gt;0)))*(((tblRules[Look In]="Account")*ISNUMBER(SEARCH(tblRules[Pattern],$E92)))+((tblRules[Look In]&lt;&gt;"Account")*(((tblRules[Test]="Word")*ISNUMBER(SEARCH(" "&amp;tblRules[Pattern]&amp;" "," "&amp;$H92&amp;" ")))+((tblRules[Test]&lt;&gt;"Word")*ISNUMBER(SEARCH(tblRules[Pattern],$H92))))))&gt;0))*1E+9+ROW(tblRules[Pattern])))-ROW(tblRules[[#Headers],[Pattern]])),"Uncategorized"))</f>
        <v/>
      </c>
      <c r="L92">
        <f>IF($C92="","",IFERROR(INDEX(tblCategories[Group],MATCH($K92,tblCategories[Category],0)),"Other"))</f>
        <v/>
      </c>
      <c r="M92">
        <f>IF($C92="","",IFERROR(INDEX(tblCategories[Type],MATCH($K92,tblCategories[Category],0)),IF($J92&gt;0,"Income","Expense")))</f>
        <v/>
      </c>
      <c r="N92">
        <f>IF($C92="","",IFERROR(INDEX(tblCategories[Essential],MATCH($K92,tblCategories[Category],0)),"No"))</f>
        <v/>
      </c>
      <c r="O92">
        <f>IF($C92="","",IFERROR(INDEX(tblCategories[Tax Tag],MATCH($K92,tblCategories[Category],0)),""))</f>
        <v/>
      </c>
      <c r="P92" s="20">
        <f>IF($C92="","",IF($G92=PersonA,1,IF($G92=PersonB,0,IFERROR(INDEX(tblCategories[Joint Split A],MATCH($K92,tblCategories[Category],0)),DefaultSplitA))))</f>
        <v/>
      </c>
      <c r="Q92" s="19">
        <f>IF($C92="","",ROUND($J92*N($P92),2))</f>
        <v/>
      </c>
      <c r="R92" s="19">
        <f>IF($C92="","",ROUND($J92-N($Q92),2))</f>
        <v/>
      </c>
      <c r="U92" t="inlineStr">
        <is>
          <t>sample-data</t>
        </is>
      </c>
      <c r="V92" t="inlineStr">
        <is>
          <t>SAMPLE</t>
        </is>
      </c>
      <c r="W92" t="inlineStr">
        <is>
          <t>AF56FDA0</t>
        </is>
      </c>
      <c r="X92">
        <f>IF($C92="","",IFERROR(IF(_xlfn.ISFORMULA($K92),"Rule","Manual"),""))</f>
        <v/>
      </c>
      <c r="Y92" s="19">
        <f>IF($C92="","",IF(ReportView=PersonA,N($Q92),IF(ReportView=PersonB,N($R92),$J92)))</f>
        <v/>
      </c>
    </row>
    <row r="93">
      <c r="B93">
        <f>IF($C93="","","T"&amp;TEXT(ROW()-ROW(tblTxn[[#Headers],[Txn ID]]),"000000"))</f>
        <v/>
      </c>
      <c r="C93" s="18" t="n">
        <v>46130</v>
      </c>
      <c r="D93">
        <f>IF($C93="","",TEXT($C93,"yyyy-mm"))</f>
        <v/>
      </c>
      <c r="E93" t="inlineStr">
        <is>
          <t>Tangerine Chequing (Sam)</t>
        </is>
      </c>
      <c r="F93">
        <f>IF($C93="","",IFERROR(INDEX(tblAccounts[Owner],MATCH($E93,tblAccounts[Account],0)),"Joint"))</f>
        <v/>
      </c>
      <c r="G93">
        <f>IF($C93="","",IF(HouseholdMode="Couple",IFERROR(IF(INDEX(tblCategories[Default Owner],MATCH($K93,tblCategories[Category],0))="",$F93,INDEX(tblCategories[Default Owner],MATCH($K93,tblCategories[Category],0))),$F93),$F93))</f>
        <v/>
      </c>
      <c r="H93" t="inlineStr">
        <is>
          <t>IDP PURCHASE - 9571 STARBUCKS #1487 TORONTO ON</t>
        </is>
      </c>
      <c r="I93">
        <f>IF($H93="","",$H93)</f>
        <v/>
      </c>
      <c r="J93" s="19" t="n">
        <v>-11.39</v>
      </c>
      <c r="K93">
        <f>IF($H93="","",IFERROR(INDEX(tblRules[Category],SUMPRODUCT(MIN((1-((tblRules[Enabled]&lt;&gt;"No")*(tblRules[Pattern]&lt;&gt;"")*(tblRules[Category]&lt;&gt;"")*((tblRules[Flow]="Any")+(tblRules[Flow]="")+((tblRules[Flow]="Money out")*($J93&lt;0))+((tblRules[Flow]="Money in")*($J93&gt;0)))*(((tblRules[Look In]="Account")*ISNUMBER(SEARCH(tblRules[Pattern],$E93)))+((tblRules[Look In]&lt;&gt;"Account")*(((tblRules[Test]="Word")*ISNUMBER(SEARCH(" "&amp;tblRules[Pattern]&amp;" "," "&amp;$H93&amp;" ")))+((tblRules[Test]&lt;&gt;"Word")*ISNUMBER(SEARCH(tblRules[Pattern],$H93))))))&gt;0))*1E+9+ROW(tblRules[Pattern])))-ROW(tblRules[[#Headers],[Pattern]])),"Uncategorized"))</f>
        <v/>
      </c>
      <c r="L93">
        <f>IF($C93="","",IFERROR(INDEX(tblCategories[Group],MATCH($K93,tblCategories[Category],0)),"Other"))</f>
        <v/>
      </c>
      <c r="M93">
        <f>IF($C93="","",IFERROR(INDEX(tblCategories[Type],MATCH($K93,tblCategories[Category],0)),IF($J93&gt;0,"Income","Expense")))</f>
        <v/>
      </c>
      <c r="N93">
        <f>IF($C93="","",IFERROR(INDEX(tblCategories[Essential],MATCH($K93,tblCategories[Category],0)),"No"))</f>
        <v/>
      </c>
      <c r="O93">
        <f>IF($C93="","",IFERROR(INDEX(tblCategories[Tax Tag],MATCH($K93,tblCategories[Category],0)),""))</f>
        <v/>
      </c>
      <c r="P93" s="20">
        <f>IF($C93="","",IF($G93=PersonA,1,IF($G93=PersonB,0,IFERROR(INDEX(tblCategories[Joint Split A],MATCH($K93,tblCategories[Category],0)),DefaultSplitA))))</f>
        <v/>
      </c>
      <c r="Q93" s="19">
        <f>IF($C93="","",ROUND($J93*N($P93),2))</f>
        <v/>
      </c>
      <c r="R93" s="19">
        <f>IF($C93="","",ROUND($J93-N($Q93),2))</f>
        <v/>
      </c>
      <c r="U93" t="inlineStr">
        <is>
          <t>sample-data</t>
        </is>
      </c>
      <c r="V93" t="inlineStr">
        <is>
          <t>SAMPLE</t>
        </is>
      </c>
      <c r="W93" t="inlineStr">
        <is>
          <t>EE36F6E2</t>
        </is>
      </c>
      <c r="X93">
        <f>IF($C93="","",IFERROR(IF(_xlfn.ISFORMULA($K93),"Rule","Manual"),""))</f>
        <v/>
      </c>
      <c r="Y93" s="19">
        <f>IF($C93="","",IF(ReportView=PersonA,N($Q93),IF(ReportView=PersonB,N($R93),$J93)))</f>
        <v/>
      </c>
    </row>
    <row r="94">
      <c r="B94">
        <f>IF($C94="","","T"&amp;TEXT(ROW()-ROW(tblTxn[[#Headers],[Txn ID]]),"000000"))</f>
        <v/>
      </c>
      <c r="C94" s="18" t="n">
        <v>46131</v>
      </c>
      <c r="D94">
        <f>IF($C94="","",TEXT($C94,"yyyy-mm"))</f>
        <v/>
      </c>
      <c r="E94" t="inlineStr">
        <is>
          <t>Tangerine Chequing (Sam)</t>
        </is>
      </c>
      <c r="F94">
        <f>IF($C94="","",IFERROR(INDEX(tblAccounts[Owner],MATCH($E94,tblAccounts[Account],0)),"Joint"))</f>
        <v/>
      </c>
      <c r="G94">
        <f>IF($C94="","",IF(HouseholdMode="Couple",IFERROR(IF(INDEX(tblCategories[Default Owner],MATCH($K94,tblCategories[Category],0))="",$F94,INDEX(tblCategories[Default Owner],MATCH($K94,tblCategories[Category],0))),$F94),$F94))</f>
        <v/>
      </c>
      <c r="H94" t="inlineStr">
        <is>
          <t>IDP PURCHASE - 7303 TIM HORTONS #2375 TORONTO ON</t>
        </is>
      </c>
      <c r="I94">
        <f>IF($H94="","",$H94)</f>
        <v/>
      </c>
      <c r="J94" s="19" t="n">
        <v>-3.97</v>
      </c>
      <c r="K94">
        <f>IF($H94="","",IFERROR(INDEX(tblRules[Category],SUMPRODUCT(MIN((1-((tblRules[Enabled]&lt;&gt;"No")*(tblRules[Pattern]&lt;&gt;"")*(tblRules[Category]&lt;&gt;"")*((tblRules[Flow]="Any")+(tblRules[Flow]="")+((tblRules[Flow]="Money out")*($J94&lt;0))+((tblRules[Flow]="Money in")*($J94&gt;0)))*(((tblRules[Look In]="Account")*ISNUMBER(SEARCH(tblRules[Pattern],$E94)))+((tblRules[Look In]&lt;&gt;"Account")*(((tblRules[Test]="Word")*ISNUMBER(SEARCH(" "&amp;tblRules[Pattern]&amp;" "," "&amp;$H94&amp;" ")))+((tblRules[Test]&lt;&gt;"Word")*ISNUMBER(SEARCH(tblRules[Pattern],$H94))))))&gt;0))*1E+9+ROW(tblRules[Pattern])))-ROW(tblRules[[#Headers],[Pattern]])),"Uncategorized"))</f>
        <v/>
      </c>
      <c r="L94">
        <f>IF($C94="","",IFERROR(INDEX(tblCategories[Group],MATCH($K94,tblCategories[Category],0)),"Other"))</f>
        <v/>
      </c>
      <c r="M94">
        <f>IF($C94="","",IFERROR(INDEX(tblCategories[Type],MATCH($K94,tblCategories[Category],0)),IF($J94&gt;0,"Income","Expense")))</f>
        <v/>
      </c>
      <c r="N94">
        <f>IF($C94="","",IFERROR(INDEX(tblCategories[Essential],MATCH($K94,tblCategories[Category],0)),"No"))</f>
        <v/>
      </c>
      <c r="O94">
        <f>IF($C94="","",IFERROR(INDEX(tblCategories[Tax Tag],MATCH($K94,tblCategories[Category],0)),""))</f>
        <v/>
      </c>
      <c r="P94" s="20">
        <f>IF($C94="","",IF($G94=PersonA,1,IF($G94=PersonB,0,IFERROR(INDEX(tblCategories[Joint Split A],MATCH($K94,tblCategories[Category],0)),DefaultSplitA))))</f>
        <v/>
      </c>
      <c r="Q94" s="19">
        <f>IF($C94="","",ROUND($J94*N($P94),2))</f>
        <v/>
      </c>
      <c r="R94" s="19">
        <f>IF($C94="","",ROUND($J94-N($Q94),2))</f>
        <v/>
      </c>
      <c r="U94" t="inlineStr">
        <is>
          <t>sample-data</t>
        </is>
      </c>
      <c r="V94" t="inlineStr">
        <is>
          <t>SAMPLE</t>
        </is>
      </c>
      <c r="W94" t="inlineStr">
        <is>
          <t>94799509</t>
        </is>
      </c>
      <c r="X94">
        <f>IF($C94="","",IFERROR(IF(_xlfn.ISFORMULA($K94),"Rule","Manual"),""))</f>
        <v/>
      </c>
      <c r="Y94" s="19">
        <f>IF($C94="","",IF(ReportView=PersonA,N($Q94),IF(ReportView=PersonB,N($R94),$J94)))</f>
        <v/>
      </c>
    </row>
    <row r="95">
      <c r="B95">
        <f>IF($C95="","","T"&amp;TEXT(ROW()-ROW(tblTxn[[#Headers],[Txn ID]]),"000000"))</f>
        <v/>
      </c>
      <c r="C95" s="18" t="n">
        <v>46132</v>
      </c>
      <c r="D95">
        <f>IF($C95="","",TEXT($C95,"yyyy-mm"))</f>
        <v/>
      </c>
      <c r="E95" t="inlineStr">
        <is>
          <t>BMO Joint Chequing</t>
        </is>
      </c>
      <c r="F95">
        <f>IF($C95="","",IFERROR(INDEX(tblAccounts[Owner],MATCH($E95,tblAccounts[Account],0)),"Joint"))</f>
        <v/>
      </c>
      <c r="G95">
        <f>IF($C95="","",IF(HouseholdMode="Couple",IFERROR(IF(INDEX(tblCategories[Default Owner],MATCH($K95,tblCategories[Category],0))="",$F95,INDEX(tblCategories[Default Owner],MATCH($K95,tblCategories[Category],0))),$F95),$F95))</f>
        <v/>
      </c>
      <c r="H95" t="inlineStr">
        <is>
          <t>CANADA FED / FED CCB DEPOSIT</t>
        </is>
      </c>
      <c r="I95">
        <f>IF($H95="","",$H95)</f>
        <v/>
      </c>
      <c r="J95" s="19" t="n">
        <v>619.75</v>
      </c>
      <c r="K95">
        <f>IF($H95="","",IFERROR(INDEX(tblRules[Category],SUMPRODUCT(MIN((1-((tblRules[Enabled]&lt;&gt;"No")*(tblRules[Pattern]&lt;&gt;"")*(tblRules[Category]&lt;&gt;"")*((tblRules[Flow]="Any")+(tblRules[Flow]="")+((tblRules[Flow]="Money out")*($J95&lt;0))+((tblRules[Flow]="Money in")*($J95&gt;0)))*(((tblRules[Look In]="Account")*ISNUMBER(SEARCH(tblRules[Pattern],$E95)))+((tblRules[Look In]&lt;&gt;"Account")*(((tblRules[Test]="Word")*ISNUMBER(SEARCH(" "&amp;tblRules[Pattern]&amp;" "," "&amp;$H95&amp;" ")))+((tblRules[Test]&lt;&gt;"Word")*ISNUMBER(SEARCH(tblRules[Pattern],$H95))))))&gt;0))*1E+9+ROW(tblRules[Pattern])))-ROW(tblRules[[#Headers],[Pattern]])),"Uncategorized"))</f>
        <v/>
      </c>
      <c r="L95">
        <f>IF($C95="","",IFERROR(INDEX(tblCategories[Group],MATCH($K95,tblCategories[Category],0)),"Other"))</f>
        <v/>
      </c>
      <c r="M95">
        <f>IF($C95="","",IFERROR(INDEX(tblCategories[Type],MATCH($K95,tblCategories[Category],0)),IF($J95&gt;0,"Income","Expense")))</f>
        <v/>
      </c>
      <c r="N95">
        <f>IF($C95="","",IFERROR(INDEX(tblCategories[Essential],MATCH($K95,tblCategories[Category],0)),"No"))</f>
        <v/>
      </c>
      <c r="O95">
        <f>IF($C95="","",IFERROR(INDEX(tblCategories[Tax Tag],MATCH($K95,tblCategories[Category],0)),""))</f>
        <v/>
      </c>
      <c r="P95" s="20">
        <f>IF($C95="","",IF($G95=PersonA,1,IF($G95=PersonB,0,IFERROR(INDEX(tblCategories[Joint Split A],MATCH($K95,tblCategories[Category],0)),DefaultSplitA))))</f>
        <v/>
      </c>
      <c r="Q95" s="19">
        <f>IF($C95="","",ROUND($J95*N($P95),2))</f>
        <v/>
      </c>
      <c r="R95" s="19">
        <f>IF($C95="","",ROUND($J95-N($Q95),2))</f>
        <v/>
      </c>
      <c r="U95" t="inlineStr">
        <is>
          <t>sample-data</t>
        </is>
      </c>
      <c r="V95" t="inlineStr">
        <is>
          <t>SAMPLE</t>
        </is>
      </c>
      <c r="W95" t="inlineStr">
        <is>
          <t>E7E8A298</t>
        </is>
      </c>
      <c r="X95">
        <f>IF($C95="","",IFERROR(IF(_xlfn.ISFORMULA($K95),"Rule","Manual"),""))</f>
        <v/>
      </c>
      <c r="Y95" s="19">
        <f>IF($C95="","",IF(ReportView=PersonA,N($Q95),IF(ReportView=PersonB,N($R95),$J95)))</f>
        <v/>
      </c>
    </row>
    <row r="96">
      <c r="B96">
        <f>IF($C96="","","T"&amp;TEXT(ROW()-ROW(tblTxn[[#Headers],[Txn ID]]),"000000"))</f>
        <v/>
      </c>
      <c r="C96" s="18" t="n">
        <v>46132</v>
      </c>
      <c r="D96">
        <f>IF($C96="","",TEXT($C96,"yyyy-mm"))</f>
        <v/>
      </c>
      <c r="E96" t="inlineStr">
        <is>
          <t>RBC Chequing (Alex)</t>
        </is>
      </c>
      <c r="F96">
        <f>IF($C96="","",IFERROR(INDEX(tblAccounts[Owner],MATCH($E96,tblAccounts[Account],0)),"Joint"))</f>
        <v/>
      </c>
      <c r="G96">
        <f>IF($C96="","",IF(HouseholdMode="Couple",IFERROR(IF(INDEX(tblCategories[Default Owner],MATCH($K96,tblCategories[Category],0))="",$F96,INDEX(tblCategories[Default Owner],MATCH($K96,tblCategories[Category],0))),$F96),$F96))</f>
        <v/>
      </c>
      <c r="H96" t="inlineStr">
        <is>
          <t>AMZ*UBER EATS TORONTO ON</t>
        </is>
      </c>
      <c r="I96">
        <f>IF($H96="","",$H96)</f>
        <v/>
      </c>
      <c r="J96" s="19" t="n">
        <v>-41.33</v>
      </c>
      <c r="K96">
        <f>IF($H96="","",IFERROR(INDEX(tblRules[Category],SUMPRODUCT(MIN((1-((tblRules[Enabled]&lt;&gt;"No")*(tblRules[Pattern]&lt;&gt;"")*(tblRules[Category]&lt;&gt;"")*((tblRules[Flow]="Any")+(tblRules[Flow]="")+((tblRules[Flow]="Money out")*($J96&lt;0))+((tblRules[Flow]="Money in")*($J96&gt;0)))*(((tblRules[Look In]="Account")*ISNUMBER(SEARCH(tblRules[Pattern],$E96)))+((tblRules[Look In]&lt;&gt;"Account")*(((tblRules[Test]="Word")*ISNUMBER(SEARCH(" "&amp;tblRules[Pattern]&amp;" "," "&amp;$H96&amp;" ")))+((tblRules[Test]&lt;&gt;"Word")*ISNUMBER(SEARCH(tblRules[Pattern],$H96))))))&gt;0))*1E+9+ROW(tblRules[Pattern])))-ROW(tblRules[[#Headers],[Pattern]])),"Uncategorized"))</f>
        <v/>
      </c>
      <c r="L96">
        <f>IF($C96="","",IFERROR(INDEX(tblCategories[Group],MATCH($K96,tblCategories[Category],0)),"Other"))</f>
        <v/>
      </c>
      <c r="M96">
        <f>IF($C96="","",IFERROR(INDEX(tblCategories[Type],MATCH($K96,tblCategories[Category],0)),IF($J96&gt;0,"Income","Expense")))</f>
        <v/>
      </c>
      <c r="N96">
        <f>IF($C96="","",IFERROR(INDEX(tblCategories[Essential],MATCH($K96,tblCategories[Category],0)),"No"))</f>
        <v/>
      </c>
      <c r="O96">
        <f>IF($C96="","",IFERROR(INDEX(tblCategories[Tax Tag],MATCH($K96,tblCategories[Category],0)),""))</f>
        <v/>
      </c>
      <c r="P96" s="20">
        <f>IF($C96="","",IF($G96=PersonA,1,IF($G96=PersonB,0,IFERROR(INDEX(tblCategories[Joint Split A],MATCH($K96,tblCategories[Category],0)),DefaultSplitA))))</f>
        <v/>
      </c>
      <c r="Q96" s="19">
        <f>IF($C96="","",ROUND($J96*N($P96),2))</f>
        <v/>
      </c>
      <c r="R96" s="19">
        <f>IF($C96="","",ROUND($J96-N($Q96),2))</f>
        <v/>
      </c>
      <c r="U96" t="inlineStr">
        <is>
          <t>sample-data</t>
        </is>
      </c>
      <c r="V96" t="inlineStr">
        <is>
          <t>SAMPLE</t>
        </is>
      </c>
      <c r="W96" t="inlineStr">
        <is>
          <t>191B0CC0</t>
        </is>
      </c>
      <c r="X96">
        <f>IF($C96="","",IFERROR(IF(_xlfn.ISFORMULA($K96),"Rule","Manual"),""))</f>
        <v/>
      </c>
      <c r="Y96" s="19">
        <f>IF($C96="","",IF(ReportView=PersonA,N($Q96),IF(ReportView=PersonB,N($R96),$J96)))</f>
        <v/>
      </c>
    </row>
    <row r="97">
      <c r="B97">
        <f>IF($C97="","","T"&amp;TEXT(ROW()-ROW(tblTxn[[#Headers],[Txn ID]]),"000000"))</f>
        <v/>
      </c>
      <c r="C97" s="18" t="n">
        <v>46132</v>
      </c>
      <c r="D97">
        <f>IF($C97="","",TEXT($C97,"yyyy-mm"))</f>
        <v/>
      </c>
      <c r="E97" t="inlineStr">
        <is>
          <t>Tangerine Chequing (Sam)</t>
        </is>
      </c>
      <c r="F97">
        <f>IF($C97="","",IFERROR(INDEX(tblAccounts[Owner],MATCH($E97,tblAccounts[Account],0)),"Joint"))</f>
        <v/>
      </c>
      <c r="G97">
        <f>IF($C97="","",IF(HouseholdMode="Couple",IFERROR(IF(INDEX(tblCategories[Default Owner],MATCH($K97,tblCategories[Category],0))="",$F97,INDEX(tblCategories[Default Owner],MATCH($K97,tblCategories[Category],0))),$F97),$F97))</f>
        <v/>
      </c>
      <c r="H97" t="inlineStr">
        <is>
          <t>IDP PURCHASE - 5488 NO FRILLS #3161 TORONTO ON</t>
        </is>
      </c>
      <c r="I97">
        <f>IF($H97="","",$H97)</f>
        <v/>
      </c>
      <c r="J97" s="19" t="n">
        <v>-110.34</v>
      </c>
      <c r="K97">
        <f>IF($H97="","",IFERROR(INDEX(tblRules[Category],SUMPRODUCT(MIN((1-((tblRules[Enabled]&lt;&gt;"No")*(tblRules[Pattern]&lt;&gt;"")*(tblRules[Category]&lt;&gt;"")*((tblRules[Flow]="Any")+(tblRules[Flow]="")+((tblRules[Flow]="Money out")*($J97&lt;0))+((tblRules[Flow]="Money in")*($J97&gt;0)))*(((tblRules[Look In]="Account")*ISNUMBER(SEARCH(tblRules[Pattern],$E97)))+((tblRules[Look In]&lt;&gt;"Account")*(((tblRules[Test]="Word")*ISNUMBER(SEARCH(" "&amp;tblRules[Pattern]&amp;" "," "&amp;$H97&amp;" ")))+((tblRules[Test]&lt;&gt;"Word")*ISNUMBER(SEARCH(tblRules[Pattern],$H97))))))&gt;0))*1E+9+ROW(tblRules[Pattern])))-ROW(tblRules[[#Headers],[Pattern]])),"Uncategorized"))</f>
        <v/>
      </c>
      <c r="L97">
        <f>IF($C97="","",IFERROR(INDEX(tblCategories[Group],MATCH($K97,tblCategories[Category],0)),"Other"))</f>
        <v/>
      </c>
      <c r="M97">
        <f>IF($C97="","",IFERROR(INDEX(tblCategories[Type],MATCH($K97,tblCategories[Category],0)),IF($J97&gt;0,"Income","Expense")))</f>
        <v/>
      </c>
      <c r="N97">
        <f>IF($C97="","",IFERROR(INDEX(tblCategories[Essential],MATCH($K97,tblCategories[Category],0)),"No"))</f>
        <v/>
      </c>
      <c r="O97">
        <f>IF($C97="","",IFERROR(INDEX(tblCategories[Tax Tag],MATCH($K97,tblCategories[Category],0)),""))</f>
        <v/>
      </c>
      <c r="P97" s="20">
        <f>IF($C97="","",IF($G97=PersonA,1,IF($G97=PersonB,0,IFERROR(INDEX(tblCategories[Joint Split A],MATCH($K97,tblCategories[Category],0)),DefaultSplitA))))</f>
        <v/>
      </c>
      <c r="Q97" s="19">
        <f>IF($C97="","",ROUND($J97*N($P97),2))</f>
        <v/>
      </c>
      <c r="R97" s="19">
        <f>IF($C97="","",ROUND($J97-N($Q97),2))</f>
        <v/>
      </c>
      <c r="U97" t="inlineStr">
        <is>
          <t>sample-data</t>
        </is>
      </c>
      <c r="V97" t="inlineStr">
        <is>
          <t>SAMPLE</t>
        </is>
      </c>
      <c r="W97" t="inlineStr">
        <is>
          <t>BBA0363F</t>
        </is>
      </c>
      <c r="X97">
        <f>IF($C97="","",IFERROR(IF(_xlfn.ISFORMULA($K97),"Rule","Manual"),""))</f>
        <v/>
      </c>
      <c r="Y97" s="19">
        <f>IF($C97="","",IF(ReportView=PersonA,N($Q97),IF(ReportView=PersonB,N($R97),$J97)))</f>
        <v/>
      </c>
    </row>
    <row r="98">
      <c r="B98">
        <f>IF($C98="","","T"&amp;TEXT(ROW()-ROW(tblTxn[[#Headers],[Txn ID]]),"000000"))</f>
        <v/>
      </c>
      <c r="C98" s="18" t="n">
        <v>46133</v>
      </c>
      <c r="D98">
        <f>IF($C98="","",TEXT($C98,"yyyy-mm"))</f>
        <v/>
      </c>
      <c r="E98" t="inlineStr">
        <is>
          <t>Tangerine Chequing (Sam)</t>
        </is>
      </c>
      <c r="F98">
        <f>IF($C98="","",IFERROR(INDEX(tblAccounts[Owner],MATCH($E98,tblAccounts[Account],0)),"Joint"))</f>
        <v/>
      </c>
      <c r="G98">
        <f>IF($C98="","",IF(HouseholdMode="Couple",IFERROR(IF(INDEX(tblCategories[Default Owner],MATCH($K98,tblCategories[Category],0))="",$F98,INDEX(tblCategories[Default Owner],MATCH($K98,tblCategories[Category],0))),$F98),$F98))</f>
        <v/>
      </c>
      <c r="H98" t="inlineStr">
        <is>
          <t>UBER TRIP HELP.UBER.COM ON</t>
        </is>
      </c>
      <c r="I98">
        <f>IF($H98="","",$H98)</f>
        <v/>
      </c>
      <c r="J98" s="19" t="n">
        <v>-25.55</v>
      </c>
      <c r="K98">
        <f>IF($H98="","",IFERROR(INDEX(tblRules[Category],SUMPRODUCT(MIN((1-((tblRules[Enabled]&lt;&gt;"No")*(tblRules[Pattern]&lt;&gt;"")*(tblRules[Category]&lt;&gt;"")*((tblRules[Flow]="Any")+(tblRules[Flow]="")+((tblRules[Flow]="Money out")*($J98&lt;0))+((tblRules[Flow]="Money in")*($J98&gt;0)))*(((tblRules[Look In]="Account")*ISNUMBER(SEARCH(tblRules[Pattern],$E98)))+((tblRules[Look In]&lt;&gt;"Account")*(((tblRules[Test]="Word")*ISNUMBER(SEARCH(" "&amp;tblRules[Pattern]&amp;" "," "&amp;$H98&amp;" ")))+((tblRules[Test]&lt;&gt;"Word")*ISNUMBER(SEARCH(tblRules[Pattern],$H98))))))&gt;0))*1E+9+ROW(tblRules[Pattern])))-ROW(tblRules[[#Headers],[Pattern]])),"Uncategorized"))</f>
        <v/>
      </c>
      <c r="L98">
        <f>IF($C98="","",IFERROR(INDEX(tblCategories[Group],MATCH($K98,tblCategories[Category],0)),"Other"))</f>
        <v/>
      </c>
      <c r="M98">
        <f>IF($C98="","",IFERROR(INDEX(tblCategories[Type],MATCH($K98,tblCategories[Category],0)),IF($J98&gt;0,"Income","Expense")))</f>
        <v/>
      </c>
      <c r="N98">
        <f>IF($C98="","",IFERROR(INDEX(tblCategories[Essential],MATCH($K98,tblCategories[Category],0)),"No"))</f>
        <v/>
      </c>
      <c r="O98">
        <f>IF($C98="","",IFERROR(INDEX(tblCategories[Tax Tag],MATCH($K98,tblCategories[Category],0)),""))</f>
        <v/>
      </c>
      <c r="P98" s="20">
        <f>IF($C98="","",IF($G98=PersonA,1,IF($G98=PersonB,0,IFERROR(INDEX(tblCategories[Joint Split A],MATCH($K98,tblCategories[Category],0)),DefaultSplitA))))</f>
        <v/>
      </c>
      <c r="Q98" s="19">
        <f>IF($C98="","",ROUND($J98*N($P98),2))</f>
        <v/>
      </c>
      <c r="R98" s="19">
        <f>IF($C98="","",ROUND($J98-N($Q98),2))</f>
        <v/>
      </c>
      <c r="U98" t="inlineStr">
        <is>
          <t>sample-data</t>
        </is>
      </c>
      <c r="V98" t="inlineStr">
        <is>
          <t>SAMPLE</t>
        </is>
      </c>
      <c r="W98" t="inlineStr">
        <is>
          <t>F1AC1E85</t>
        </is>
      </c>
      <c r="X98">
        <f>IF($C98="","",IFERROR(IF(_xlfn.ISFORMULA($K98),"Rule","Manual"),""))</f>
        <v/>
      </c>
      <c r="Y98" s="19">
        <f>IF($C98="","",IF(ReportView=PersonA,N($Q98),IF(ReportView=PersonB,N($R98),$J98)))</f>
        <v/>
      </c>
    </row>
    <row r="99">
      <c r="B99">
        <f>IF($C99="","","T"&amp;TEXT(ROW()-ROW(tblTxn[[#Headers],[Txn ID]]),"000000"))</f>
        <v/>
      </c>
      <c r="C99" s="18" t="n">
        <v>46134</v>
      </c>
      <c r="D99">
        <f>IF($C99="","",TEXT($C99,"yyyy-mm"))</f>
        <v/>
      </c>
      <c r="E99" t="inlineStr">
        <is>
          <t>Amex Cobalt (Joint)</t>
        </is>
      </c>
      <c r="F99">
        <f>IF($C99="","",IFERROR(INDEX(tblAccounts[Owner],MATCH($E99,tblAccounts[Account],0)),"Joint"))</f>
        <v/>
      </c>
      <c r="G99">
        <f>IF($C99="","",IF(HouseholdMode="Couple",IFERROR(IF(INDEX(tblCategories[Default Owner],MATCH($K99,tblCategories[Category],0))="",$F99,INDEX(tblCategories[Default Owner],MATCH($K99,tblCategories[Category],0))),$F99),$F99))</f>
        <v/>
      </c>
      <c r="H99" t="inlineStr">
        <is>
          <t>IDP PURCHASE - 3187 HOME DEPOT #2882 ON</t>
        </is>
      </c>
      <c r="I99">
        <f>IF($H99="","",$H99)</f>
        <v/>
      </c>
      <c r="J99" s="19" t="n">
        <v>-66.15000000000001</v>
      </c>
      <c r="K99">
        <f>IF($H99="","",IFERROR(INDEX(tblRules[Category],SUMPRODUCT(MIN((1-((tblRules[Enabled]&lt;&gt;"No")*(tblRules[Pattern]&lt;&gt;"")*(tblRules[Category]&lt;&gt;"")*((tblRules[Flow]="Any")+(tblRules[Flow]="")+((tblRules[Flow]="Money out")*($J99&lt;0))+((tblRules[Flow]="Money in")*($J99&gt;0)))*(((tblRules[Look In]="Account")*ISNUMBER(SEARCH(tblRules[Pattern],$E99)))+((tblRules[Look In]&lt;&gt;"Account")*(((tblRules[Test]="Word")*ISNUMBER(SEARCH(" "&amp;tblRules[Pattern]&amp;" "," "&amp;$H99&amp;" ")))+((tblRules[Test]&lt;&gt;"Word")*ISNUMBER(SEARCH(tblRules[Pattern],$H99))))))&gt;0))*1E+9+ROW(tblRules[Pattern])))-ROW(tblRules[[#Headers],[Pattern]])),"Uncategorized"))</f>
        <v/>
      </c>
      <c r="L99">
        <f>IF($C99="","",IFERROR(INDEX(tblCategories[Group],MATCH($K99,tblCategories[Category],0)),"Other"))</f>
        <v/>
      </c>
      <c r="M99">
        <f>IF($C99="","",IFERROR(INDEX(tblCategories[Type],MATCH($K99,tblCategories[Category],0)),IF($J99&gt;0,"Income","Expense")))</f>
        <v/>
      </c>
      <c r="N99">
        <f>IF($C99="","",IFERROR(INDEX(tblCategories[Essential],MATCH($K99,tblCategories[Category],0)),"No"))</f>
        <v/>
      </c>
      <c r="O99">
        <f>IF($C99="","",IFERROR(INDEX(tblCategories[Tax Tag],MATCH($K99,tblCategories[Category],0)),""))</f>
        <v/>
      </c>
      <c r="P99" s="20">
        <f>IF($C99="","",IF($G99=PersonA,1,IF($G99=PersonB,0,IFERROR(INDEX(tblCategories[Joint Split A],MATCH($K99,tblCategories[Category],0)),DefaultSplitA))))</f>
        <v/>
      </c>
      <c r="Q99" s="19">
        <f>IF($C99="","",ROUND($J99*N($P99),2))</f>
        <v/>
      </c>
      <c r="R99" s="19">
        <f>IF($C99="","",ROUND($J99-N($Q99),2))</f>
        <v/>
      </c>
      <c r="U99" t="inlineStr">
        <is>
          <t>sample-data</t>
        </is>
      </c>
      <c r="V99" t="inlineStr">
        <is>
          <t>SAMPLE</t>
        </is>
      </c>
      <c r="W99" t="inlineStr">
        <is>
          <t>8D46B61C</t>
        </is>
      </c>
      <c r="X99">
        <f>IF($C99="","",IFERROR(IF(_xlfn.ISFORMULA($K99),"Rule","Manual"),""))</f>
        <v/>
      </c>
      <c r="Y99" s="19">
        <f>IF($C99="","",IF(ReportView=PersonA,N($Q99),IF(ReportView=PersonB,N($R99),$J99)))</f>
        <v/>
      </c>
    </row>
    <row r="100">
      <c r="B100">
        <f>IF($C100="","","T"&amp;TEXT(ROW()-ROW(tblTxn[[#Headers],[Txn ID]]),"000000"))</f>
        <v/>
      </c>
      <c r="C100" s="18" t="n">
        <v>46134</v>
      </c>
      <c r="D100">
        <f>IF($C100="","",TEXT($C100,"yyyy-mm"))</f>
        <v/>
      </c>
      <c r="E100" t="inlineStr">
        <is>
          <t>Tangerine Chequing (Sam)</t>
        </is>
      </c>
      <c r="F100">
        <f>IF($C100="","",IFERROR(INDEX(tblAccounts[Owner],MATCH($E100,tblAccounts[Account],0)),"Joint"))</f>
        <v/>
      </c>
      <c r="G100">
        <f>IF($C100="","",IF(HouseholdMode="Couple",IFERROR(IF(INDEX(tblCategories[Default Owner],MATCH($K100,tblCategories[Category],0))="",$F100,INDEX(tblCategories[Default Owner],MATCH($K100,tblCategories[Category],0))),$F100),$F100))</f>
        <v/>
      </c>
      <c r="H100" t="inlineStr">
        <is>
          <t>DONATION UNITED WAY MISC PAYMENT</t>
        </is>
      </c>
      <c r="I100">
        <f>IF($H100="","",$H100)</f>
        <v/>
      </c>
      <c r="J100" s="19" t="n">
        <v>-50</v>
      </c>
      <c r="K100">
        <f>IF($H100="","",IFERROR(INDEX(tblRules[Category],SUMPRODUCT(MIN((1-((tblRules[Enabled]&lt;&gt;"No")*(tblRules[Pattern]&lt;&gt;"")*(tblRules[Category]&lt;&gt;"")*((tblRules[Flow]="Any")+(tblRules[Flow]="")+((tblRules[Flow]="Money out")*($J100&lt;0))+((tblRules[Flow]="Money in")*($J100&gt;0)))*(((tblRules[Look In]="Account")*ISNUMBER(SEARCH(tblRules[Pattern],$E100)))+((tblRules[Look In]&lt;&gt;"Account")*(((tblRules[Test]="Word")*ISNUMBER(SEARCH(" "&amp;tblRules[Pattern]&amp;" "," "&amp;$H100&amp;" ")))+((tblRules[Test]&lt;&gt;"Word")*ISNUMBER(SEARCH(tblRules[Pattern],$H100))))))&gt;0))*1E+9+ROW(tblRules[Pattern])))-ROW(tblRules[[#Headers],[Pattern]])),"Uncategorized"))</f>
        <v/>
      </c>
      <c r="L100">
        <f>IF($C100="","",IFERROR(INDEX(tblCategories[Group],MATCH($K100,tblCategories[Category],0)),"Other"))</f>
        <v/>
      </c>
      <c r="M100">
        <f>IF($C100="","",IFERROR(INDEX(tblCategories[Type],MATCH($K100,tblCategories[Category],0)),IF($J100&gt;0,"Income","Expense")))</f>
        <v/>
      </c>
      <c r="N100">
        <f>IF($C100="","",IFERROR(INDEX(tblCategories[Essential],MATCH($K100,tblCategories[Category],0)),"No"))</f>
        <v/>
      </c>
      <c r="O100">
        <f>IF($C100="","",IFERROR(INDEX(tblCategories[Tax Tag],MATCH($K100,tblCategories[Category],0)),""))</f>
        <v/>
      </c>
      <c r="P100" s="20">
        <f>IF($C100="","",IF($G100=PersonA,1,IF($G100=PersonB,0,IFERROR(INDEX(tblCategories[Joint Split A],MATCH($K100,tblCategories[Category],0)),DefaultSplitA))))</f>
        <v/>
      </c>
      <c r="Q100" s="19">
        <f>IF($C100="","",ROUND($J100*N($P100),2))</f>
        <v/>
      </c>
      <c r="R100" s="19">
        <f>IF($C100="","",ROUND($J100-N($Q100),2))</f>
        <v/>
      </c>
      <c r="U100" t="inlineStr">
        <is>
          <t>sample-data</t>
        </is>
      </c>
      <c r="V100" t="inlineStr">
        <is>
          <t>SAMPLE</t>
        </is>
      </c>
      <c r="W100" t="inlineStr">
        <is>
          <t>300E7D76</t>
        </is>
      </c>
      <c r="X100">
        <f>IF($C100="","",IFERROR(IF(_xlfn.ISFORMULA($K100),"Rule","Manual"),""))</f>
        <v/>
      </c>
      <c r="Y100" s="19">
        <f>IF($C100="","",IF(ReportView=PersonA,N($Q100),IF(ReportView=PersonB,N($R100),$J100)))</f>
        <v/>
      </c>
    </row>
    <row r="101">
      <c r="B101">
        <f>IF($C101="","","T"&amp;TEXT(ROW()-ROW(tblTxn[[#Headers],[Txn ID]]),"000000"))</f>
        <v/>
      </c>
      <c r="C101" s="18" t="n">
        <v>46135</v>
      </c>
      <c r="D101">
        <f>IF($C101="","",TEXT($C101,"yyyy-mm"))</f>
        <v/>
      </c>
      <c r="E101" t="inlineStr">
        <is>
          <t>Amex Cobalt (Joint)</t>
        </is>
      </c>
      <c r="F101">
        <f>IF($C101="","",IFERROR(INDEX(tblAccounts[Owner],MATCH($E101,tblAccounts[Account],0)),"Joint"))</f>
        <v/>
      </c>
      <c r="G101">
        <f>IF($C101="","",IF(HouseholdMode="Couple",IFERROR(IF(INDEX(tblCategories[Default Owner],MATCH($K101,tblCategories[Category],0))="",$F101,INDEX(tblCategories[Default Owner],MATCH($K101,tblCategories[Category],0))),$F101),$F101))</f>
        <v/>
      </c>
      <c r="H101" t="inlineStr">
        <is>
          <t>IDP PURCHASE - 8318 WINNERS #643 ON</t>
        </is>
      </c>
      <c r="I101">
        <f>IF($H101="","",$H101)</f>
        <v/>
      </c>
      <c r="J101" s="19" t="n">
        <v>-54.4</v>
      </c>
      <c r="K101">
        <f>IF($H101="","",IFERROR(INDEX(tblRules[Category],SUMPRODUCT(MIN((1-((tblRules[Enabled]&lt;&gt;"No")*(tblRules[Pattern]&lt;&gt;"")*(tblRules[Category]&lt;&gt;"")*((tblRules[Flow]="Any")+(tblRules[Flow]="")+((tblRules[Flow]="Money out")*($J101&lt;0))+((tblRules[Flow]="Money in")*($J101&gt;0)))*(((tblRules[Look In]="Account")*ISNUMBER(SEARCH(tblRules[Pattern],$E101)))+((tblRules[Look In]&lt;&gt;"Account")*(((tblRules[Test]="Word")*ISNUMBER(SEARCH(" "&amp;tblRules[Pattern]&amp;" "," "&amp;$H101&amp;" ")))+((tblRules[Test]&lt;&gt;"Word")*ISNUMBER(SEARCH(tblRules[Pattern],$H101))))))&gt;0))*1E+9+ROW(tblRules[Pattern])))-ROW(tblRules[[#Headers],[Pattern]])),"Uncategorized"))</f>
        <v/>
      </c>
      <c r="L101">
        <f>IF($C101="","",IFERROR(INDEX(tblCategories[Group],MATCH($K101,tblCategories[Category],0)),"Other"))</f>
        <v/>
      </c>
      <c r="M101">
        <f>IF($C101="","",IFERROR(INDEX(tblCategories[Type],MATCH($K101,tblCategories[Category],0)),IF($J101&gt;0,"Income","Expense")))</f>
        <v/>
      </c>
      <c r="N101">
        <f>IF($C101="","",IFERROR(INDEX(tblCategories[Essential],MATCH($K101,tblCategories[Category],0)),"No"))</f>
        <v/>
      </c>
      <c r="O101">
        <f>IF($C101="","",IFERROR(INDEX(tblCategories[Tax Tag],MATCH($K101,tblCategories[Category],0)),""))</f>
        <v/>
      </c>
      <c r="P101" s="20">
        <f>IF($C101="","",IF($G101=PersonA,1,IF($G101=PersonB,0,IFERROR(INDEX(tblCategories[Joint Split A],MATCH($K101,tblCategories[Category],0)),DefaultSplitA))))</f>
        <v/>
      </c>
      <c r="Q101" s="19">
        <f>IF($C101="","",ROUND($J101*N($P101),2))</f>
        <v/>
      </c>
      <c r="R101" s="19">
        <f>IF($C101="","",ROUND($J101-N($Q101),2))</f>
        <v/>
      </c>
      <c r="U101" t="inlineStr">
        <is>
          <t>sample-data</t>
        </is>
      </c>
      <c r="V101" t="inlineStr">
        <is>
          <t>SAMPLE</t>
        </is>
      </c>
      <c r="W101" t="inlineStr">
        <is>
          <t>CAD2F7A9</t>
        </is>
      </c>
      <c r="X101">
        <f>IF($C101="","",IFERROR(IF(_xlfn.ISFORMULA($K101),"Rule","Manual"),""))</f>
        <v/>
      </c>
      <c r="Y101" s="19">
        <f>IF($C101="","",IF(ReportView=PersonA,N($Q101),IF(ReportView=PersonB,N($R101),$J101)))</f>
        <v/>
      </c>
    </row>
    <row r="102">
      <c r="B102">
        <f>IF($C102="","","T"&amp;TEXT(ROW()-ROW(tblTxn[[#Headers],[Txn ID]]),"000000"))</f>
        <v/>
      </c>
      <c r="C102" s="18" t="n">
        <v>46135</v>
      </c>
      <c r="D102">
        <f>IF($C102="","",TEXT($C102,"yyyy-mm"))</f>
        <v/>
      </c>
      <c r="E102" t="inlineStr">
        <is>
          <t>Tangerine Chequing (Sam)</t>
        </is>
      </c>
      <c r="F102">
        <f>IF($C102="","",IFERROR(INDEX(tblAccounts[Owner],MATCH($E102,tblAccounts[Account],0)),"Joint"))</f>
        <v/>
      </c>
      <c r="G102">
        <f>IF($C102="","",IF(HouseholdMode="Couple",IFERROR(IF(INDEX(tblCategories[Default Owner],MATCH($K102,tblCategories[Category],0))="",$F102,INDEX(tblCategories[Default Owner],MATCH($K102,tblCategories[Category],0))),$F102),$F102))</f>
        <v/>
      </c>
      <c r="H102" t="inlineStr">
        <is>
          <t>IDP PURCHASE - 6646 STARBUCKS #4636 TORONTO ON</t>
        </is>
      </c>
      <c r="I102">
        <f>IF($H102="","",$H102)</f>
        <v/>
      </c>
      <c r="J102" s="19" t="n">
        <v>-11.81</v>
      </c>
      <c r="K102">
        <f>IF($H102="","",IFERROR(INDEX(tblRules[Category],SUMPRODUCT(MIN((1-((tblRules[Enabled]&lt;&gt;"No")*(tblRules[Pattern]&lt;&gt;"")*(tblRules[Category]&lt;&gt;"")*((tblRules[Flow]="Any")+(tblRules[Flow]="")+((tblRules[Flow]="Money out")*($J102&lt;0))+((tblRules[Flow]="Money in")*($J102&gt;0)))*(((tblRules[Look In]="Account")*ISNUMBER(SEARCH(tblRules[Pattern],$E102)))+((tblRules[Look In]&lt;&gt;"Account")*(((tblRules[Test]="Word")*ISNUMBER(SEARCH(" "&amp;tblRules[Pattern]&amp;" "," "&amp;$H102&amp;" ")))+((tblRules[Test]&lt;&gt;"Word")*ISNUMBER(SEARCH(tblRules[Pattern],$H102))))))&gt;0))*1E+9+ROW(tblRules[Pattern])))-ROW(tblRules[[#Headers],[Pattern]])),"Uncategorized"))</f>
        <v/>
      </c>
      <c r="L102">
        <f>IF($C102="","",IFERROR(INDEX(tblCategories[Group],MATCH($K102,tblCategories[Category],0)),"Other"))</f>
        <v/>
      </c>
      <c r="M102">
        <f>IF($C102="","",IFERROR(INDEX(tblCategories[Type],MATCH($K102,tblCategories[Category],0)),IF($J102&gt;0,"Income","Expense")))</f>
        <v/>
      </c>
      <c r="N102">
        <f>IF($C102="","",IFERROR(INDEX(tblCategories[Essential],MATCH($K102,tblCategories[Category],0)),"No"))</f>
        <v/>
      </c>
      <c r="O102">
        <f>IF($C102="","",IFERROR(INDEX(tblCategories[Tax Tag],MATCH($K102,tblCategories[Category],0)),""))</f>
        <v/>
      </c>
      <c r="P102" s="20">
        <f>IF($C102="","",IF($G102=PersonA,1,IF($G102=PersonB,0,IFERROR(INDEX(tblCategories[Joint Split A],MATCH($K102,tblCategories[Category],0)),DefaultSplitA))))</f>
        <v/>
      </c>
      <c r="Q102" s="19">
        <f>IF($C102="","",ROUND($J102*N($P102),2))</f>
        <v/>
      </c>
      <c r="R102" s="19">
        <f>IF($C102="","",ROUND($J102-N($Q102),2))</f>
        <v/>
      </c>
      <c r="U102" t="inlineStr">
        <is>
          <t>sample-data</t>
        </is>
      </c>
      <c r="V102" t="inlineStr">
        <is>
          <t>SAMPLE</t>
        </is>
      </c>
      <c r="W102" t="inlineStr">
        <is>
          <t>95A87BA4</t>
        </is>
      </c>
      <c r="X102">
        <f>IF($C102="","",IFERROR(IF(_xlfn.ISFORMULA($K102),"Rule","Manual"),""))</f>
        <v/>
      </c>
      <c r="Y102" s="19">
        <f>IF($C102="","",IF(ReportView=PersonA,N($Q102),IF(ReportView=PersonB,N($R102),$J102)))</f>
        <v/>
      </c>
    </row>
    <row r="103">
      <c r="B103">
        <f>IF($C103="","","T"&amp;TEXT(ROW()-ROW(tblTxn[[#Headers],[Txn ID]]),"000000"))</f>
        <v/>
      </c>
      <c r="C103" s="18" t="n">
        <v>46137</v>
      </c>
      <c r="D103">
        <f>IF($C103="","",TEXT($C103,"yyyy-mm"))</f>
        <v/>
      </c>
      <c r="E103" t="inlineStr">
        <is>
          <t>Amex Cobalt (Joint)</t>
        </is>
      </c>
      <c r="F103">
        <f>IF($C103="","",IFERROR(INDEX(tblAccounts[Owner],MATCH($E103,tblAccounts[Account],0)),"Joint"))</f>
        <v/>
      </c>
      <c r="G103">
        <f>IF($C103="","",IF(HouseholdMode="Couple",IFERROR(IF(INDEX(tblCategories[Default Owner],MATCH($K103,tblCategories[Category],0))="",$F103,INDEX(tblCategories[Default Owner],MATCH($K103,tblCategories[Category],0))),$F103),$F103))</f>
        <v/>
      </c>
      <c r="H103" t="inlineStr">
        <is>
          <t>IDP PURCHASE - 9263 PETRO-CANADA #1040 ON</t>
        </is>
      </c>
      <c r="I103">
        <f>IF($H103="","",$H103)</f>
        <v/>
      </c>
      <c r="J103" s="19" t="n">
        <v>-88.06</v>
      </c>
      <c r="K103">
        <f>IF($H103="","",IFERROR(INDEX(tblRules[Category],SUMPRODUCT(MIN((1-((tblRules[Enabled]&lt;&gt;"No")*(tblRules[Pattern]&lt;&gt;"")*(tblRules[Category]&lt;&gt;"")*((tblRules[Flow]="Any")+(tblRules[Flow]="")+((tblRules[Flow]="Money out")*($J103&lt;0))+((tblRules[Flow]="Money in")*($J103&gt;0)))*(((tblRules[Look In]="Account")*ISNUMBER(SEARCH(tblRules[Pattern],$E103)))+((tblRules[Look In]&lt;&gt;"Account")*(((tblRules[Test]="Word")*ISNUMBER(SEARCH(" "&amp;tblRules[Pattern]&amp;" "," "&amp;$H103&amp;" ")))+((tblRules[Test]&lt;&gt;"Word")*ISNUMBER(SEARCH(tblRules[Pattern],$H103))))))&gt;0))*1E+9+ROW(tblRules[Pattern])))-ROW(tblRules[[#Headers],[Pattern]])),"Uncategorized"))</f>
        <v/>
      </c>
      <c r="L103">
        <f>IF($C103="","",IFERROR(INDEX(tblCategories[Group],MATCH($K103,tblCategories[Category],0)),"Other"))</f>
        <v/>
      </c>
      <c r="M103">
        <f>IF($C103="","",IFERROR(INDEX(tblCategories[Type],MATCH($K103,tblCategories[Category],0)),IF($J103&gt;0,"Income","Expense")))</f>
        <v/>
      </c>
      <c r="N103">
        <f>IF($C103="","",IFERROR(INDEX(tblCategories[Essential],MATCH($K103,tblCategories[Category],0)),"No"))</f>
        <v/>
      </c>
      <c r="O103">
        <f>IF($C103="","",IFERROR(INDEX(tblCategories[Tax Tag],MATCH($K103,tblCategories[Category],0)),""))</f>
        <v/>
      </c>
      <c r="P103" s="20">
        <f>IF($C103="","",IF($G103=PersonA,1,IF($G103=PersonB,0,IFERROR(INDEX(tblCategories[Joint Split A],MATCH($K103,tblCategories[Category],0)),DefaultSplitA))))</f>
        <v/>
      </c>
      <c r="Q103" s="19">
        <f>IF($C103="","",ROUND($J103*N($P103),2))</f>
        <v/>
      </c>
      <c r="R103" s="19">
        <f>IF($C103="","",ROUND($J103-N($Q103),2))</f>
        <v/>
      </c>
      <c r="U103" t="inlineStr">
        <is>
          <t>sample-data</t>
        </is>
      </c>
      <c r="V103" t="inlineStr">
        <is>
          <t>SAMPLE</t>
        </is>
      </c>
      <c r="W103" t="inlineStr">
        <is>
          <t>712DBF9F</t>
        </is>
      </c>
      <c r="X103">
        <f>IF($C103="","",IFERROR(IF(_xlfn.ISFORMULA($K103),"Rule","Manual"),""))</f>
        <v/>
      </c>
      <c r="Y103" s="19">
        <f>IF($C103="","",IF(ReportView=PersonA,N($Q103),IF(ReportView=PersonB,N($R103),$J103)))</f>
        <v/>
      </c>
    </row>
    <row r="104">
      <c r="B104">
        <f>IF($C104="","","T"&amp;TEXT(ROW()-ROW(tblTxn[[#Headers],[Txn ID]]),"000000"))</f>
        <v/>
      </c>
      <c r="C104" s="18" t="n">
        <v>46137</v>
      </c>
      <c r="D104">
        <f>IF($C104="","",TEXT($C104,"yyyy-mm"))</f>
        <v/>
      </c>
      <c r="E104" t="inlineStr">
        <is>
          <t>Tangerine Chequing (Sam)</t>
        </is>
      </c>
      <c r="F104">
        <f>IF($C104="","",IFERROR(INDEX(tblAccounts[Owner],MATCH($E104,tblAccounts[Account],0)),"Joint"))</f>
        <v/>
      </c>
      <c r="G104">
        <f>IF($C104="","",IF(HouseholdMode="Couple",IFERROR(IF(INDEX(tblCategories[Default Owner],MATCH($K104,tblCategories[Category],0))="",$F104,INDEX(tblCategories[Default Owner],MATCH($K104,tblCategories[Category],0))),$F104),$F104))</f>
        <v/>
      </c>
      <c r="H104" t="inlineStr">
        <is>
          <t>IDP PURCHASE - 2137 TIM HORTONS #1731 TORONTO ON</t>
        </is>
      </c>
      <c r="I104">
        <f>IF($H104="","",$H104)</f>
        <v/>
      </c>
      <c r="J104" s="19" t="n">
        <v>-8.029999999999999</v>
      </c>
      <c r="K104">
        <f>IF($H104="","",IFERROR(INDEX(tblRules[Category],SUMPRODUCT(MIN((1-((tblRules[Enabled]&lt;&gt;"No")*(tblRules[Pattern]&lt;&gt;"")*(tblRules[Category]&lt;&gt;"")*((tblRules[Flow]="Any")+(tblRules[Flow]="")+((tblRules[Flow]="Money out")*($J104&lt;0))+((tblRules[Flow]="Money in")*($J104&gt;0)))*(((tblRules[Look In]="Account")*ISNUMBER(SEARCH(tblRules[Pattern],$E104)))+((tblRules[Look In]&lt;&gt;"Account")*(((tblRules[Test]="Word")*ISNUMBER(SEARCH(" "&amp;tblRules[Pattern]&amp;" "," "&amp;$H104&amp;" ")))+((tblRules[Test]&lt;&gt;"Word")*ISNUMBER(SEARCH(tblRules[Pattern],$H104))))))&gt;0))*1E+9+ROW(tblRules[Pattern])))-ROW(tblRules[[#Headers],[Pattern]])),"Uncategorized"))</f>
        <v/>
      </c>
      <c r="L104">
        <f>IF($C104="","",IFERROR(INDEX(tblCategories[Group],MATCH($K104,tblCategories[Category],0)),"Other"))</f>
        <v/>
      </c>
      <c r="M104">
        <f>IF($C104="","",IFERROR(INDEX(tblCategories[Type],MATCH($K104,tblCategories[Category],0)),IF($J104&gt;0,"Income","Expense")))</f>
        <v/>
      </c>
      <c r="N104">
        <f>IF($C104="","",IFERROR(INDEX(tblCategories[Essential],MATCH($K104,tblCategories[Category],0)),"No"))</f>
        <v/>
      </c>
      <c r="O104">
        <f>IF($C104="","",IFERROR(INDEX(tblCategories[Tax Tag],MATCH($K104,tblCategories[Category],0)),""))</f>
        <v/>
      </c>
      <c r="P104" s="20">
        <f>IF($C104="","",IF($G104=PersonA,1,IF($G104=PersonB,0,IFERROR(INDEX(tblCategories[Joint Split A],MATCH($K104,tblCategories[Category],0)),DefaultSplitA))))</f>
        <v/>
      </c>
      <c r="Q104" s="19">
        <f>IF($C104="","",ROUND($J104*N($P104),2))</f>
        <v/>
      </c>
      <c r="R104" s="19">
        <f>IF($C104="","",ROUND($J104-N($Q104),2))</f>
        <v/>
      </c>
      <c r="U104" t="inlineStr">
        <is>
          <t>sample-data</t>
        </is>
      </c>
      <c r="V104" t="inlineStr">
        <is>
          <t>SAMPLE</t>
        </is>
      </c>
      <c r="W104" t="inlineStr">
        <is>
          <t>6141954F</t>
        </is>
      </c>
      <c r="X104">
        <f>IF($C104="","",IFERROR(IF(_xlfn.ISFORMULA($K104),"Rule","Manual"),""))</f>
        <v/>
      </c>
      <c r="Y104" s="19">
        <f>IF($C104="","",IF(ReportView=PersonA,N($Q104),IF(ReportView=PersonB,N($R104),$J104)))</f>
        <v/>
      </c>
    </row>
    <row r="105">
      <c r="B105">
        <f>IF($C105="","","T"&amp;TEXT(ROW()-ROW(tblTxn[[#Headers],[Txn ID]]),"000000"))</f>
        <v/>
      </c>
      <c r="C105" s="18" t="n">
        <v>46138</v>
      </c>
      <c r="D105">
        <f>IF($C105="","",TEXT($C105,"yyyy-mm"))</f>
        <v/>
      </c>
      <c r="E105" t="inlineStr">
        <is>
          <t>Amex Cobalt (Joint)</t>
        </is>
      </c>
      <c r="F105">
        <f>IF($C105="","",IFERROR(INDEX(tblAccounts[Owner],MATCH($E105,tblAccounts[Account],0)),"Joint"))</f>
        <v/>
      </c>
      <c r="G105">
        <f>IF($C105="","",IF(HouseholdMode="Couple",IFERROR(IF(INDEX(tblCategories[Default Owner],MATCH($K105,tblCategories[Category],0))="",$F105,INDEX(tblCategories[Default Owner],MATCH($K105,tblCategories[Category],0))),$F105),$F105))</f>
        <v/>
      </c>
      <c r="H105" t="inlineStr">
        <is>
          <t>IDP PURCHASE - 3855 TIM HORTONS #1090 TORONTO ON</t>
        </is>
      </c>
      <c r="I105">
        <f>IF($H105="","",$H105)</f>
        <v/>
      </c>
      <c r="J105" s="19" t="n">
        <v>-7.3</v>
      </c>
      <c r="K105">
        <f>IF($H105="","",IFERROR(INDEX(tblRules[Category],SUMPRODUCT(MIN((1-((tblRules[Enabled]&lt;&gt;"No")*(tblRules[Pattern]&lt;&gt;"")*(tblRules[Category]&lt;&gt;"")*((tblRules[Flow]="Any")+(tblRules[Flow]="")+((tblRules[Flow]="Money out")*($J105&lt;0))+((tblRules[Flow]="Money in")*($J105&gt;0)))*(((tblRules[Look In]="Account")*ISNUMBER(SEARCH(tblRules[Pattern],$E105)))+((tblRules[Look In]&lt;&gt;"Account")*(((tblRules[Test]="Word")*ISNUMBER(SEARCH(" "&amp;tblRules[Pattern]&amp;" "," "&amp;$H105&amp;" ")))+((tblRules[Test]&lt;&gt;"Word")*ISNUMBER(SEARCH(tblRules[Pattern],$H105))))))&gt;0))*1E+9+ROW(tblRules[Pattern])))-ROW(tblRules[[#Headers],[Pattern]])),"Uncategorized"))</f>
        <v/>
      </c>
      <c r="L105">
        <f>IF($C105="","",IFERROR(INDEX(tblCategories[Group],MATCH($K105,tblCategories[Category],0)),"Other"))</f>
        <v/>
      </c>
      <c r="M105">
        <f>IF($C105="","",IFERROR(INDEX(tblCategories[Type],MATCH($K105,tblCategories[Category],0)),IF($J105&gt;0,"Income","Expense")))</f>
        <v/>
      </c>
      <c r="N105">
        <f>IF($C105="","",IFERROR(INDEX(tblCategories[Essential],MATCH($K105,tblCategories[Category],0)),"No"))</f>
        <v/>
      </c>
      <c r="O105">
        <f>IF($C105="","",IFERROR(INDEX(tblCategories[Tax Tag],MATCH($K105,tblCategories[Category],0)),""))</f>
        <v/>
      </c>
      <c r="P105" s="20">
        <f>IF($C105="","",IF($G105=PersonA,1,IF($G105=PersonB,0,IFERROR(INDEX(tblCategories[Joint Split A],MATCH($K105,tblCategories[Category],0)),DefaultSplitA))))</f>
        <v/>
      </c>
      <c r="Q105" s="19">
        <f>IF($C105="","",ROUND($J105*N($P105),2))</f>
        <v/>
      </c>
      <c r="R105" s="19">
        <f>IF($C105="","",ROUND($J105-N($Q105),2))</f>
        <v/>
      </c>
      <c r="U105" t="inlineStr">
        <is>
          <t>sample-data</t>
        </is>
      </c>
      <c r="V105" t="inlineStr">
        <is>
          <t>SAMPLE</t>
        </is>
      </c>
      <c r="W105" t="inlineStr">
        <is>
          <t>188FE549</t>
        </is>
      </c>
      <c r="X105">
        <f>IF($C105="","",IFERROR(IF(_xlfn.ISFORMULA($K105),"Rule","Manual"),""))</f>
        <v/>
      </c>
      <c r="Y105" s="19">
        <f>IF($C105="","",IF(ReportView=PersonA,N($Q105),IF(ReportView=PersonB,N($R105),$J105)))</f>
        <v/>
      </c>
    </row>
    <row r="106">
      <c r="B106">
        <f>IF($C106="","","T"&amp;TEXT(ROW()-ROW(tblTxn[[#Headers],[Txn ID]]),"000000"))</f>
        <v/>
      </c>
      <c r="C106" s="18" t="n">
        <v>46138</v>
      </c>
      <c r="D106">
        <f>IF($C106="","",TEXT($C106,"yyyy-mm"))</f>
        <v/>
      </c>
      <c r="E106" t="inlineStr">
        <is>
          <t>Amex Cobalt (Joint)</t>
        </is>
      </c>
      <c r="F106">
        <f>IF($C106="","",IFERROR(INDEX(tblAccounts[Owner],MATCH($E106,tblAccounts[Account],0)),"Joint"))</f>
        <v/>
      </c>
      <c r="G106">
        <f>IF($C106="","",IF(HouseholdMode="Couple",IFERROR(IF(INDEX(tblCategories[Default Owner],MATCH($K106,tblCategories[Category],0))="",$F106,INDEX(tblCategories[Default Owner],MATCH($K106,tblCategories[Category],0))),$F106),$F106))</f>
        <v/>
      </c>
      <c r="H106" t="inlineStr">
        <is>
          <t>PAYMENT - THANK YOU / PAIEMENT - MERCI</t>
        </is>
      </c>
      <c r="I106">
        <f>IF($H106="","",$H106)</f>
        <v/>
      </c>
      <c r="J106" s="19" t="n">
        <v>311.68</v>
      </c>
      <c r="K106">
        <f>IF($H106="","",IFERROR(INDEX(tblRules[Category],SUMPRODUCT(MIN((1-((tblRules[Enabled]&lt;&gt;"No")*(tblRules[Pattern]&lt;&gt;"")*(tblRules[Category]&lt;&gt;"")*((tblRules[Flow]="Any")+(tblRules[Flow]="")+((tblRules[Flow]="Money out")*($J106&lt;0))+((tblRules[Flow]="Money in")*($J106&gt;0)))*(((tblRules[Look In]="Account")*ISNUMBER(SEARCH(tblRules[Pattern],$E106)))+((tblRules[Look In]&lt;&gt;"Account")*(((tblRules[Test]="Word")*ISNUMBER(SEARCH(" "&amp;tblRules[Pattern]&amp;" "," "&amp;$H106&amp;" ")))+((tblRules[Test]&lt;&gt;"Word")*ISNUMBER(SEARCH(tblRules[Pattern],$H106))))))&gt;0))*1E+9+ROW(tblRules[Pattern])))-ROW(tblRules[[#Headers],[Pattern]])),"Uncategorized"))</f>
        <v/>
      </c>
      <c r="L106">
        <f>IF($C106="","",IFERROR(INDEX(tblCategories[Group],MATCH($K106,tblCategories[Category],0)),"Other"))</f>
        <v/>
      </c>
      <c r="M106">
        <f>IF($C106="","",IFERROR(INDEX(tblCategories[Type],MATCH($K106,tblCategories[Category],0)),IF($J106&gt;0,"Income","Expense")))</f>
        <v/>
      </c>
      <c r="N106">
        <f>IF($C106="","",IFERROR(INDEX(tblCategories[Essential],MATCH($K106,tblCategories[Category],0)),"No"))</f>
        <v/>
      </c>
      <c r="O106">
        <f>IF($C106="","",IFERROR(INDEX(tblCategories[Tax Tag],MATCH($K106,tblCategories[Category],0)),""))</f>
        <v/>
      </c>
      <c r="P106" s="20">
        <f>IF($C106="","",IF($G106=PersonA,1,IF($G106=PersonB,0,IFERROR(INDEX(tblCategories[Joint Split A],MATCH($K106,tblCategories[Category],0)),DefaultSplitA))))</f>
        <v/>
      </c>
      <c r="Q106" s="19">
        <f>IF($C106="","",ROUND($J106*N($P106),2))</f>
        <v/>
      </c>
      <c r="R106" s="19">
        <f>IF($C106="","",ROUND($J106-N($Q106),2))</f>
        <v/>
      </c>
      <c r="U106" t="inlineStr">
        <is>
          <t>sample-data</t>
        </is>
      </c>
      <c r="V106" t="inlineStr">
        <is>
          <t>SAMPLE</t>
        </is>
      </c>
      <c r="W106" t="inlineStr">
        <is>
          <t>1E0FB992</t>
        </is>
      </c>
      <c r="X106">
        <f>IF($C106="","",IFERROR(IF(_xlfn.ISFORMULA($K106),"Rule","Manual"),""))</f>
        <v/>
      </c>
      <c r="Y106" s="19">
        <f>IF($C106="","",IF(ReportView=PersonA,N($Q106),IF(ReportView=PersonB,N($R106),$J106)))</f>
        <v/>
      </c>
    </row>
    <row r="107">
      <c r="B107">
        <f>IF($C107="","","T"&amp;TEXT(ROW()-ROW(tblTxn[[#Headers],[Txn ID]]),"000000"))</f>
        <v/>
      </c>
      <c r="C107" s="18" t="n">
        <v>46138</v>
      </c>
      <c r="D107">
        <f>IF($C107="","",TEXT($C107,"yyyy-mm"))</f>
        <v/>
      </c>
      <c r="E107" t="inlineStr">
        <is>
          <t>BMO Joint Chequing</t>
        </is>
      </c>
      <c r="F107">
        <f>IF($C107="","",IFERROR(INDEX(tblAccounts[Owner],MATCH($E107,tblAccounts[Account],0)),"Joint"))</f>
        <v/>
      </c>
      <c r="G107">
        <f>IF($C107="","",IF(HouseholdMode="Couple",IFERROR(IF(INDEX(tblCategories[Default Owner],MATCH($K107,tblCategories[Category],0))="",$F107,INDEX(tblCategories[Default Owner],MATCH($K107,tblCategories[Category],0))),$F107),$F107))</f>
        <v/>
      </c>
      <c r="H107" t="inlineStr">
        <is>
          <t>AMEX CREDIT CARD/LOC PAY</t>
        </is>
      </c>
      <c r="I107">
        <f>IF($H107="","",$H107)</f>
        <v/>
      </c>
      <c r="J107" s="19" t="n">
        <v>-311.68</v>
      </c>
      <c r="K107">
        <f>IF($H107="","",IFERROR(INDEX(tblRules[Category],SUMPRODUCT(MIN((1-((tblRules[Enabled]&lt;&gt;"No")*(tblRules[Pattern]&lt;&gt;"")*(tblRules[Category]&lt;&gt;"")*((tblRules[Flow]="Any")+(tblRules[Flow]="")+((tblRules[Flow]="Money out")*($J107&lt;0))+((tblRules[Flow]="Money in")*($J107&gt;0)))*(((tblRules[Look In]="Account")*ISNUMBER(SEARCH(tblRules[Pattern],$E107)))+((tblRules[Look In]&lt;&gt;"Account")*(((tblRules[Test]="Word")*ISNUMBER(SEARCH(" "&amp;tblRules[Pattern]&amp;" "," "&amp;$H107&amp;" ")))+((tblRules[Test]&lt;&gt;"Word")*ISNUMBER(SEARCH(tblRules[Pattern],$H107))))))&gt;0))*1E+9+ROW(tblRules[Pattern])))-ROW(tblRules[[#Headers],[Pattern]])),"Uncategorized"))</f>
        <v/>
      </c>
      <c r="L107">
        <f>IF($C107="","",IFERROR(INDEX(tblCategories[Group],MATCH($K107,tblCategories[Category],0)),"Other"))</f>
        <v/>
      </c>
      <c r="M107">
        <f>IF($C107="","",IFERROR(INDEX(tblCategories[Type],MATCH($K107,tblCategories[Category],0)),IF($J107&gt;0,"Income","Expense")))</f>
        <v/>
      </c>
      <c r="N107">
        <f>IF($C107="","",IFERROR(INDEX(tblCategories[Essential],MATCH($K107,tblCategories[Category],0)),"No"))</f>
        <v/>
      </c>
      <c r="O107">
        <f>IF($C107="","",IFERROR(INDEX(tblCategories[Tax Tag],MATCH($K107,tblCategories[Category],0)),""))</f>
        <v/>
      </c>
      <c r="P107" s="20">
        <f>IF($C107="","",IF($G107=PersonA,1,IF($G107=PersonB,0,IFERROR(INDEX(tblCategories[Joint Split A],MATCH($K107,tblCategories[Category],0)),DefaultSplitA))))</f>
        <v/>
      </c>
      <c r="Q107" s="19">
        <f>IF($C107="","",ROUND($J107*N($P107),2))</f>
        <v/>
      </c>
      <c r="R107" s="19">
        <f>IF($C107="","",ROUND($J107-N($Q107),2))</f>
        <v/>
      </c>
      <c r="U107" t="inlineStr">
        <is>
          <t>sample-data</t>
        </is>
      </c>
      <c r="V107" t="inlineStr">
        <is>
          <t>SAMPLE</t>
        </is>
      </c>
      <c r="W107" t="inlineStr">
        <is>
          <t>BC32EC28</t>
        </is>
      </c>
      <c r="X107">
        <f>IF($C107="","",IFERROR(IF(_xlfn.ISFORMULA($K107),"Rule","Manual"),""))</f>
        <v/>
      </c>
      <c r="Y107" s="19">
        <f>IF($C107="","",IF(ReportView=PersonA,N($Q107),IF(ReportView=PersonB,N($R107),$J107)))</f>
        <v/>
      </c>
    </row>
    <row r="108">
      <c r="B108">
        <f>IF($C108="","","T"&amp;TEXT(ROW()-ROW(tblTxn[[#Headers],[Txn ID]]),"000000"))</f>
        <v/>
      </c>
      <c r="C108" s="18" t="n">
        <v>46138</v>
      </c>
      <c r="D108">
        <f>IF($C108="","",TEXT($C108,"yyyy-mm"))</f>
        <v/>
      </c>
      <c r="E108" t="inlineStr">
        <is>
          <t>BMO Joint Chequing</t>
        </is>
      </c>
      <c r="F108">
        <f>IF($C108="","",IFERROR(INDEX(tblAccounts[Owner],MATCH($E108,tblAccounts[Account],0)),"Joint"))</f>
        <v/>
      </c>
      <c r="G108">
        <f>IF($C108="","",IF(HouseholdMode="Couple",IFERROR(IF(INDEX(tblCategories[Default Owner],MATCH($K108,tblCategories[Category],0))="",$F108,INDEX(tblCategories[Default Owner],MATCH($K108,tblCategories[Category],0))),$F108),$F108))</f>
        <v/>
      </c>
      <c r="H108" t="inlineStr">
        <is>
          <t>IDP PURCHASE - 7454 INDIGO #435 ON</t>
        </is>
      </c>
      <c r="I108">
        <f>IF($H108="","",$H108)</f>
        <v/>
      </c>
      <c r="J108" s="19" t="n">
        <v>-18.96</v>
      </c>
      <c r="K108">
        <f>IF($H108="","",IFERROR(INDEX(tblRules[Category],SUMPRODUCT(MIN((1-((tblRules[Enabled]&lt;&gt;"No")*(tblRules[Pattern]&lt;&gt;"")*(tblRules[Category]&lt;&gt;"")*((tblRules[Flow]="Any")+(tblRules[Flow]="")+((tblRules[Flow]="Money out")*($J108&lt;0))+((tblRules[Flow]="Money in")*($J108&gt;0)))*(((tblRules[Look In]="Account")*ISNUMBER(SEARCH(tblRules[Pattern],$E108)))+((tblRules[Look In]&lt;&gt;"Account")*(((tblRules[Test]="Word")*ISNUMBER(SEARCH(" "&amp;tblRules[Pattern]&amp;" "," "&amp;$H108&amp;" ")))+((tblRules[Test]&lt;&gt;"Word")*ISNUMBER(SEARCH(tblRules[Pattern],$H108))))))&gt;0))*1E+9+ROW(tblRules[Pattern])))-ROW(tblRules[[#Headers],[Pattern]])),"Uncategorized"))</f>
        <v/>
      </c>
      <c r="L108">
        <f>IF($C108="","",IFERROR(INDEX(tblCategories[Group],MATCH($K108,tblCategories[Category],0)),"Other"))</f>
        <v/>
      </c>
      <c r="M108">
        <f>IF($C108="","",IFERROR(INDEX(tblCategories[Type],MATCH($K108,tblCategories[Category],0)),IF($J108&gt;0,"Income","Expense")))</f>
        <v/>
      </c>
      <c r="N108">
        <f>IF($C108="","",IFERROR(INDEX(tblCategories[Essential],MATCH($K108,tblCategories[Category],0)),"No"))</f>
        <v/>
      </c>
      <c r="O108">
        <f>IF($C108="","",IFERROR(INDEX(tblCategories[Tax Tag],MATCH($K108,tblCategories[Category],0)),""))</f>
        <v/>
      </c>
      <c r="P108" s="20">
        <f>IF($C108="","",IF($G108=PersonA,1,IF($G108=PersonB,0,IFERROR(INDEX(tblCategories[Joint Split A],MATCH($K108,tblCategories[Category],0)),DefaultSplitA))))</f>
        <v/>
      </c>
      <c r="Q108" s="19">
        <f>IF($C108="","",ROUND($J108*N($P108),2))</f>
        <v/>
      </c>
      <c r="R108" s="19">
        <f>IF($C108="","",ROUND($J108-N($Q108),2))</f>
        <v/>
      </c>
      <c r="U108" t="inlineStr">
        <is>
          <t>sample-data</t>
        </is>
      </c>
      <c r="V108" t="inlineStr">
        <is>
          <t>SAMPLE</t>
        </is>
      </c>
      <c r="W108" t="inlineStr">
        <is>
          <t>94B85775</t>
        </is>
      </c>
      <c r="X108">
        <f>IF($C108="","",IFERROR(IF(_xlfn.ISFORMULA($K108),"Rule","Manual"),""))</f>
        <v/>
      </c>
      <c r="Y108" s="19">
        <f>IF($C108="","",IF(ReportView=PersonA,N($Q108),IF(ReportView=PersonB,N($R108),$J108)))</f>
        <v/>
      </c>
    </row>
    <row r="109">
      <c r="B109">
        <f>IF($C109="","","T"&amp;TEXT(ROW()-ROW(tblTxn[[#Headers],[Txn ID]]),"000000"))</f>
        <v/>
      </c>
      <c r="C109" s="18" t="n">
        <v>46140</v>
      </c>
      <c r="D109">
        <f>IF($C109="","",TEXT($C109,"yyyy-mm"))</f>
        <v/>
      </c>
      <c r="E109" t="inlineStr">
        <is>
          <t>RBC Chequing (Alex)</t>
        </is>
      </c>
      <c r="F109">
        <f>IF($C109="","",IFERROR(INDEX(tblAccounts[Owner],MATCH($E109,tblAccounts[Account],0)),"Joint"))</f>
        <v/>
      </c>
      <c r="G109">
        <f>IF($C109="","",IF(HouseholdMode="Couple",IFERROR(IF(INDEX(tblCategories[Default Owner],MATCH($K109,tblCategories[Category],0))="",$F109,INDEX(tblCategories[Default Owner],MATCH($K109,tblCategories[Category],0))),$F109),$F109))</f>
        <v/>
      </c>
      <c r="H109" t="inlineStr">
        <is>
          <t>MONTHLY ACCOUNT FEE</t>
        </is>
      </c>
      <c r="I109">
        <f>IF($H109="","",$H109)</f>
        <v/>
      </c>
      <c r="J109" s="19" t="n">
        <v>-11.95</v>
      </c>
      <c r="K109">
        <f>IF($H109="","",IFERROR(INDEX(tblRules[Category],SUMPRODUCT(MIN((1-((tblRules[Enabled]&lt;&gt;"No")*(tblRules[Pattern]&lt;&gt;"")*(tblRules[Category]&lt;&gt;"")*((tblRules[Flow]="Any")+(tblRules[Flow]="")+((tblRules[Flow]="Money out")*($J109&lt;0))+((tblRules[Flow]="Money in")*($J109&gt;0)))*(((tblRules[Look In]="Account")*ISNUMBER(SEARCH(tblRules[Pattern],$E109)))+((tblRules[Look In]&lt;&gt;"Account")*(((tblRules[Test]="Word")*ISNUMBER(SEARCH(" "&amp;tblRules[Pattern]&amp;" "," "&amp;$H109&amp;" ")))+((tblRules[Test]&lt;&gt;"Word")*ISNUMBER(SEARCH(tblRules[Pattern],$H109))))))&gt;0))*1E+9+ROW(tblRules[Pattern])))-ROW(tblRules[[#Headers],[Pattern]])),"Uncategorized"))</f>
        <v/>
      </c>
      <c r="L109">
        <f>IF($C109="","",IFERROR(INDEX(tblCategories[Group],MATCH($K109,tblCategories[Category],0)),"Other"))</f>
        <v/>
      </c>
      <c r="M109">
        <f>IF($C109="","",IFERROR(INDEX(tblCategories[Type],MATCH($K109,tblCategories[Category],0)),IF($J109&gt;0,"Income","Expense")))</f>
        <v/>
      </c>
      <c r="N109">
        <f>IF($C109="","",IFERROR(INDEX(tblCategories[Essential],MATCH($K109,tblCategories[Category],0)),"No"))</f>
        <v/>
      </c>
      <c r="O109">
        <f>IF($C109="","",IFERROR(INDEX(tblCategories[Tax Tag],MATCH($K109,tblCategories[Category],0)),""))</f>
        <v/>
      </c>
      <c r="P109" s="20">
        <f>IF($C109="","",IF($G109=PersonA,1,IF($G109=PersonB,0,IFERROR(INDEX(tblCategories[Joint Split A],MATCH($K109,tblCategories[Category],0)),DefaultSplitA))))</f>
        <v/>
      </c>
      <c r="Q109" s="19">
        <f>IF($C109="","",ROUND($J109*N($P109),2))</f>
        <v/>
      </c>
      <c r="R109" s="19">
        <f>IF($C109="","",ROUND($J109-N($Q109),2))</f>
        <v/>
      </c>
      <c r="U109" t="inlineStr">
        <is>
          <t>sample-data</t>
        </is>
      </c>
      <c r="V109" t="inlineStr">
        <is>
          <t>SAMPLE</t>
        </is>
      </c>
      <c r="W109" t="inlineStr">
        <is>
          <t>29D41772</t>
        </is>
      </c>
      <c r="X109">
        <f>IF($C109="","",IFERROR(IF(_xlfn.ISFORMULA($K109),"Rule","Manual"),""))</f>
        <v/>
      </c>
      <c r="Y109" s="19">
        <f>IF($C109="","",IF(ReportView=PersonA,N($Q109),IF(ReportView=PersonB,N($R109),$J109)))</f>
        <v/>
      </c>
    </row>
    <row r="110">
      <c r="B110">
        <f>IF($C110="","","T"&amp;TEXT(ROW()-ROW(tblTxn[[#Headers],[Txn ID]]),"000000"))</f>
        <v/>
      </c>
      <c r="C110" s="18" t="n">
        <v>46140</v>
      </c>
      <c r="D110">
        <f>IF($C110="","",TEXT($C110,"yyyy-mm"))</f>
        <v/>
      </c>
      <c r="E110" t="inlineStr">
        <is>
          <t>Tangerine Chequing (Sam)</t>
        </is>
      </c>
      <c r="F110">
        <f>IF($C110="","",IFERROR(INDEX(tblAccounts[Owner],MATCH($E110,tblAccounts[Account],0)),"Joint"))</f>
        <v/>
      </c>
      <c r="G110">
        <f>IF($C110="","",IF(HouseholdMode="Couple",IFERROR(IF(INDEX(tblCategories[Default Owner],MATCH($K110,tblCategories[Category],0))="",$F110,INDEX(tblCategories[Default Owner],MATCH($K110,tblCategories[Category],0))),$F110),$F110))</f>
        <v/>
      </c>
      <c r="H110" t="inlineStr">
        <is>
          <t>IDP PURCHASE - 6546 TIM HORTONS #1997 TORONTO ON</t>
        </is>
      </c>
      <c r="I110">
        <f>IF($H110="","",$H110)</f>
        <v/>
      </c>
      <c r="J110" s="19" t="n">
        <v>-3.81</v>
      </c>
      <c r="K110">
        <f>IF($H110="","",IFERROR(INDEX(tblRules[Category],SUMPRODUCT(MIN((1-((tblRules[Enabled]&lt;&gt;"No")*(tblRules[Pattern]&lt;&gt;"")*(tblRules[Category]&lt;&gt;"")*((tblRules[Flow]="Any")+(tblRules[Flow]="")+((tblRules[Flow]="Money out")*($J110&lt;0))+((tblRules[Flow]="Money in")*($J110&gt;0)))*(((tblRules[Look In]="Account")*ISNUMBER(SEARCH(tblRules[Pattern],$E110)))+((tblRules[Look In]&lt;&gt;"Account")*(((tblRules[Test]="Word")*ISNUMBER(SEARCH(" "&amp;tblRules[Pattern]&amp;" "," "&amp;$H110&amp;" ")))+((tblRules[Test]&lt;&gt;"Word")*ISNUMBER(SEARCH(tblRules[Pattern],$H110))))))&gt;0))*1E+9+ROW(tblRules[Pattern])))-ROW(tblRules[[#Headers],[Pattern]])),"Uncategorized"))</f>
        <v/>
      </c>
      <c r="L110">
        <f>IF($C110="","",IFERROR(INDEX(tblCategories[Group],MATCH($K110,tblCategories[Category],0)),"Other"))</f>
        <v/>
      </c>
      <c r="M110">
        <f>IF($C110="","",IFERROR(INDEX(tblCategories[Type],MATCH($K110,tblCategories[Category],0)),IF($J110&gt;0,"Income","Expense")))</f>
        <v/>
      </c>
      <c r="N110">
        <f>IF($C110="","",IFERROR(INDEX(tblCategories[Essential],MATCH($K110,tblCategories[Category],0)),"No"))</f>
        <v/>
      </c>
      <c r="O110">
        <f>IF($C110="","",IFERROR(INDEX(tblCategories[Tax Tag],MATCH($K110,tblCategories[Category],0)),""))</f>
        <v/>
      </c>
      <c r="P110" s="20">
        <f>IF($C110="","",IF($G110=PersonA,1,IF($G110=PersonB,0,IFERROR(INDEX(tblCategories[Joint Split A],MATCH($K110,tblCategories[Category],0)),DefaultSplitA))))</f>
        <v/>
      </c>
      <c r="Q110" s="19">
        <f>IF($C110="","",ROUND($J110*N($P110),2))</f>
        <v/>
      </c>
      <c r="R110" s="19">
        <f>IF($C110="","",ROUND($J110-N($Q110),2))</f>
        <v/>
      </c>
      <c r="U110" t="inlineStr">
        <is>
          <t>sample-data</t>
        </is>
      </c>
      <c r="V110" t="inlineStr">
        <is>
          <t>SAMPLE</t>
        </is>
      </c>
      <c r="W110" t="inlineStr">
        <is>
          <t>0596F90F</t>
        </is>
      </c>
      <c r="X110">
        <f>IF($C110="","",IFERROR(IF(_xlfn.ISFORMULA($K110),"Rule","Manual"),""))</f>
        <v/>
      </c>
      <c r="Y110" s="19">
        <f>IF($C110="","",IF(ReportView=PersonA,N($Q110),IF(ReportView=PersonB,N($R110),$J110)))</f>
        <v/>
      </c>
    </row>
    <row r="111">
      <c r="B111">
        <f>IF($C111="","","T"&amp;TEXT(ROW()-ROW(tblTxn[[#Headers],[Txn ID]]),"000000"))</f>
        <v/>
      </c>
      <c r="C111" s="18" t="n">
        <v>46140</v>
      </c>
      <c r="D111">
        <f>IF($C111="","",TEXT($C111,"yyyy-mm"))</f>
        <v/>
      </c>
      <c r="E111" t="inlineStr">
        <is>
          <t>Tangerine Chequing (Sam)</t>
        </is>
      </c>
      <c r="F111">
        <f>IF($C111="","",IFERROR(INDEX(tblAccounts[Owner],MATCH($E111,tblAccounts[Account],0)),"Joint"))</f>
        <v/>
      </c>
      <c r="G111">
        <f>IF($C111="","",IF(HouseholdMode="Couple",IFERROR(IF(INDEX(tblCategories[Default Owner],MATCH($K111,tblCategories[Category],0))="",$F111,INDEX(tblCategories[Default Owner],MATCH($K111,tblCategories[Category],0))),$F111),$F111))</f>
        <v/>
      </c>
      <c r="H111" t="inlineStr">
        <is>
          <t>IDP PURCHASE - 9118 CANADIAN TIRE #1782 ON</t>
        </is>
      </c>
      <c r="I111">
        <f>IF($H111="","",$H111)</f>
        <v/>
      </c>
      <c r="J111" s="19" t="n">
        <v>-31.04</v>
      </c>
      <c r="K111">
        <f>IF($H111="","",IFERROR(INDEX(tblRules[Category],SUMPRODUCT(MIN((1-((tblRules[Enabled]&lt;&gt;"No")*(tblRules[Pattern]&lt;&gt;"")*(tblRules[Category]&lt;&gt;"")*((tblRules[Flow]="Any")+(tblRules[Flow]="")+((tblRules[Flow]="Money out")*($J111&lt;0))+((tblRules[Flow]="Money in")*($J111&gt;0)))*(((tblRules[Look In]="Account")*ISNUMBER(SEARCH(tblRules[Pattern],$E111)))+((tblRules[Look In]&lt;&gt;"Account")*(((tblRules[Test]="Word")*ISNUMBER(SEARCH(" "&amp;tblRules[Pattern]&amp;" "," "&amp;$H111&amp;" ")))+((tblRules[Test]&lt;&gt;"Word")*ISNUMBER(SEARCH(tblRules[Pattern],$H111))))))&gt;0))*1E+9+ROW(tblRules[Pattern])))-ROW(tblRules[[#Headers],[Pattern]])),"Uncategorized"))</f>
        <v/>
      </c>
      <c r="L111">
        <f>IF($C111="","",IFERROR(INDEX(tblCategories[Group],MATCH($K111,tblCategories[Category],0)),"Other"))</f>
        <v/>
      </c>
      <c r="M111">
        <f>IF($C111="","",IFERROR(INDEX(tblCategories[Type],MATCH($K111,tblCategories[Category],0)),IF($J111&gt;0,"Income","Expense")))</f>
        <v/>
      </c>
      <c r="N111">
        <f>IF($C111="","",IFERROR(INDEX(tblCategories[Essential],MATCH($K111,tblCategories[Category],0)),"No"))</f>
        <v/>
      </c>
      <c r="O111">
        <f>IF($C111="","",IFERROR(INDEX(tblCategories[Tax Tag],MATCH($K111,tblCategories[Category],0)),""))</f>
        <v/>
      </c>
      <c r="P111" s="20">
        <f>IF($C111="","",IF($G111=PersonA,1,IF($G111=PersonB,0,IFERROR(INDEX(tblCategories[Joint Split A],MATCH($K111,tblCategories[Category],0)),DefaultSplitA))))</f>
        <v/>
      </c>
      <c r="Q111" s="19">
        <f>IF($C111="","",ROUND($J111*N($P111),2))</f>
        <v/>
      </c>
      <c r="R111" s="19">
        <f>IF($C111="","",ROUND($J111-N($Q111),2))</f>
        <v/>
      </c>
      <c r="U111" t="inlineStr">
        <is>
          <t>sample-data</t>
        </is>
      </c>
      <c r="V111" t="inlineStr">
        <is>
          <t>SAMPLE</t>
        </is>
      </c>
      <c r="W111" t="inlineStr">
        <is>
          <t>3DE52412</t>
        </is>
      </c>
      <c r="X111">
        <f>IF($C111="","",IFERROR(IF(_xlfn.ISFORMULA($K111),"Rule","Manual"),""))</f>
        <v/>
      </c>
      <c r="Y111" s="19">
        <f>IF($C111="","",IF(ReportView=PersonA,N($Q111),IF(ReportView=PersonB,N($R111),$J111)))</f>
        <v/>
      </c>
    </row>
    <row r="112">
      <c r="B112">
        <f>IF($C112="","","T"&amp;TEXT(ROW()-ROW(tblTxn[[#Headers],[Txn ID]]),"000000"))</f>
        <v/>
      </c>
      <c r="C112" s="18" t="n">
        <v>46142</v>
      </c>
      <c r="D112">
        <f>IF($C112="","",TEXT($C112,"yyyy-mm"))</f>
        <v/>
      </c>
      <c r="E112" t="inlineStr">
        <is>
          <t>Amex Cobalt (Joint)</t>
        </is>
      </c>
      <c r="F112">
        <f>IF($C112="","",IFERROR(INDEX(tblAccounts[Owner],MATCH($E112,tblAccounts[Account],0)),"Joint"))</f>
        <v/>
      </c>
      <c r="G112">
        <f>IF($C112="","",IF(HouseholdMode="Couple",IFERROR(IF(INDEX(tblCategories[Default Owner],MATCH($K112,tblCategories[Category],0))="",$F112,INDEX(tblCategories[Default Owner],MATCH($K112,tblCategories[Category],0))),$F112),$F112))</f>
        <v/>
      </c>
      <c r="H112" t="inlineStr">
        <is>
          <t>IDP PURCHASE - 7780 DOLLARAMA #4892 ON</t>
        </is>
      </c>
      <c r="I112">
        <f>IF($H112="","",$H112)</f>
        <v/>
      </c>
      <c r="J112" s="19" t="n">
        <v>-14.13</v>
      </c>
      <c r="K112">
        <f>IF($H112="","",IFERROR(INDEX(tblRules[Category],SUMPRODUCT(MIN((1-((tblRules[Enabled]&lt;&gt;"No")*(tblRules[Pattern]&lt;&gt;"")*(tblRules[Category]&lt;&gt;"")*((tblRules[Flow]="Any")+(tblRules[Flow]="")+((tblRules[Flow]="Money out")*($J112&lt;0))+((tblRules[Flow]="Money in")*($J112&gt;0)))*(((tblRules[Look In]="Account")*ISNUMBER(SEARCH(tblRules[Pattern],$E112)))+((tblRules[Look In]&lt;&gt;"Account")*(((tblRules[Test]="Word")*ISNUMBER(SEARCH(" "&amp;tblRules[Pattern]&amp;" "," "&amp;$H112&amp;" ")))+((tblRules[Test]&lt;&gt;"Word")*ISNUMBER(SEARCH(tblRules[Pattern],$H112))))))&gt;0))*1E+9+ROW(tblRules[Pattern])))-ROW(tblRules[[#Headers],[Pattern]])),"Uncategorized"))</f>
        <v/>
      </c>
      <c r="L112">
        <f>IF($C112="","",IFERROR(INDEX(tblCategories[Group],MATCH($K112,tblCategories[Category],0)),"Other"))</f>
        <v/>
      </c>
      <c r="M112">
        <f>IF($C112="","",IFERROR(INDEX(tblCategories[Type],MATCH($K112,tblCategories[Category],0)),IF($J112&gt;0,"Income","Expense")))</f>
        <v/>
      </c>
      <c r="N112">
        <f>IF($C112="","",IFERROR(INDEX(tblCategories[Essential],MATCH($K112,tblCategories[Category],0)),"No"))</f>
        <v/>
      </c>
      <c r="O112">
        <f>IF($C112="","",IFERROR(INDEX(tblCategories[Tax Tag],MATCH($K112,tblCategories[Category],0)),""))</f>
        <v/>
      </c>
      <c r="P112" s="20">
        <f>IF($C112="","",IF($G112=PersonA,1,IF($G112=PersonB,0,IFERROR(INDEX(tblCategories[Joint Split A],MATCH($K112,tblCategories[Category],0)),DefaultSplitA))))</f>
        <v/>
      </c>
      <c r="Q112" s="19">
        <f>IF($C112="","",ROUND($J112*N($P112),2))</f>
        <v/>
      </c>
      <c r="R112" s="19">
        <f>IF($C112="","",ROUND($J112-N($Q112),2))</f>
        <v/>
      </c>
      <c r="U112" t="inlineStr">
        <is>
          <t>sample-data</t>
        </is>
      </c>
      <c r="V112" t="inlineStr">
        <is>
          <t>SAMPLE</t>
        </is>
      </c>
      <c r="W112" t="inlineStr">
        <is>
          <t>0F9CA5E0</t>
        </is>
      </c>
      <c r="X112">
        <f>IF($C112="","",IFERROR(IF(_xlfn.ISFORMULA($K112),"Rule","Manual"),""))</f>
        <v/>
      </c>
      <c r="Y112" s="19">
        <f>IF($C112="","",IF(ReportView=PersonA,N($Q112),IF(ReportView=PersonB,N($R112),$J112)))</f>
        <v/>
      </c>
    </row>
    <row r="113">
      <c r="B113">
        <f>IF($C113="","","T"&amp;TEXT(ROW()-ROW(tblTxn[[#Headers],[Txn ID]]),"000000"))</f>
        <v/>
      </c>
      <c r="C113" s="18" t="n">
        <v>46142</v>
      </c>
      <c r="D113">
        <f>IF($C113="","",TEXT($C113,"yyyy-mm"))</f>
        <v/>
      </c>
      <c r="E113" t="inlineStr">
        <is>
          <t>RBC Chequing (Alex)</t>
        </is>
      </c>
      <c r="F113">
        <f>IF($C113="","",IFERROR(INDEX(tblAccounts[Owner],MATCH($E113,tblAccounts[Account],0)),"Joint"))</f>
        <v/>
      </c>
      <c r="G113">
        <f>IF($C113="","",IF(HouseholdMode="Couple",IFERROR(IF(INDEX(tblCategories[Default Owner],MATCH($K113,tblCategories[Category],0))="",$F113,INDEX(tblCategories[Default Owner],MATCH($K113,tblCategories[Category],0))),$F113),$F113))</f>
        <v/>
      </c>
      <c r="H113" t="inlineStr">
        <is>
          <t>PAYROLL DEPOSIT NORTHWIND LOGISTICS</t>
        </is>
      </c>
      <c r="I113">
        <f>IF($H113="","",$H113)</f>
        <v/>
      </c>
      <c r="J113" s="19" t="n">
        <v>2464.18</v>
      </c>
      <c r="K113">
        <f>IF($H113="","",IFERROR(INDEX(tblRules[Category],SUMPRODUCT(MIN((1-((tblRules[Enabled]&lt;&gt;"No")*(tblRules[Pattern]&lt;&gt;"")*(tblRules[Category]&lt;&gt;"")*((tblRules[Flow]="Any")+(tblRules[Flow]="")+((tblRules[Flow]="Money out")*($J113&lt;0))+((tblRules[Flow]="Money in")*($J113&gt;0)))*(((tblRules[Look In]="Account")*ISNUMBER(SEARCH(tblRules[Pattern],$E113)))+((tblRules[Look In]&lt;&gt;"Account")*(((tblRules[Test]="Word")*ISNUMBER(SEARCH(" "&amp;tblRules[Pattern]&amp;" "," "&amp;$H113&amp;" ")))+((tblRules[Test]&lt;&gt;"Word")*ISNUMBER(SEARCH(tblRules[Pattern],$H113))))))&gt;0))*1E+9+ROW(tblRules[Pattern])))-ROW(tblRules[[#Headers],[Pattern]])),"Uncategorized"))</f>
        <v/>
      </c>
      <c r="L113">
        <f>IF($C113="","",IFERROR(INDEX(tblCategories[Group],MATCH($K113,tblCategories[Category],0)),"Other"))</f>
        <v/>
      </c>
      <c r="M113">
        <f>IF($C113="","",IFERROR(INDEX(tblCategories[Type],MATCH($K113,tblCategories[Category],0)),IF($J113&gt;0,"Income","Expense")))</f>
        <v/>
      </c>
      <c r="N113">
        <f>IF($C113="","",IFERROR(INDEX(tblCategories[Essential],MATCH($K113,tblCategories[Category],0)),"No"))</f>
        <v/>
      </c>
      <c r="O113">
        <f>IF($C113="","",IFERROR(INDEX(tblCategories[Tax Tag],MATCH($K113,tblCategories[Category],0)),""))</f>
        <v/>
      </c>
      <c r="P113" s="20">
        <f>IF($C113="","",IF($G113=PersonA,1,IF($G113=PersonB,0,IFERROR(INDEX(tblCategories[Joint Split A],MATCH($K113,tblCategories[Category],0)),DefaultSplitA))))</f>
        <v/>
      </c>
      <c r="Q113" s="19">
        <f>IF($C113="","",ROUND($J113*N($P113),2))</f>
        <v/>
      </c>
      <c r="R113" s="19">
        <f>IF($C113="","",ROUND($J113-N($Q113),2))</f>
        <v/>
      </c>
      <c r="U113" t="inlineStr">
        <is>
          <t>sample-data</t>
        </is>
      </c>
      <c r="V113" t="inlineStr">
        <is>
          <t>SAMPLE</t>
        </is>
      </c>
      <c r="W113" t="inlineStr">
        <is>
          <t>DD153032</t>
        </is>
      </c>
      <c r="X113">
        <f>IF($C113="","",IFERROR(IF(_xlfn.ISFORMULA($K113),"Rule","Manual"),""))</f>
        <v/>
      </c>
      <c r="Y113" s="19">
        <f>IF($C113="","",IF(ReportView=PersonA,N($Q113),IF(ReportView=PersonB,N($R113),$J113)))</f>
        <v/>
      </c>
    </row>
    <row r="114">
      <c r="B114">
        <f>IF($C114="","","T"&amp;TEXT(ROW()-ROW(tblTxn[[#Headers],[Txn ID]]),"000000"))</f>
        <v/>
      </c>
      <c r="C114" s="18" t="n">
        <v>46142</v>
      </c>
      <c r="D114">
        <f>IF($C114="","",TEXT($C114,"yyyy-mm"))</f>
        <v/>
      </c>
      <c r="E114" t="inlineStr">
        <is>
          <t>Tangerine Chequing (Sam)</t>
        </is>
      </c>
      <c r="F114">
        <f>IF($C114="","",IFERROR(INDEX(tblAccounts[Owner],MATCH($E114,tblAccounts[Account],0)),"Joint"))</f>
        <v/>
      </c>
      <c r="G114">
        <f>IF($C114="","",IF(HouseholdMode="Couple",IFERROR(IF(INDEX(tblCategories[Default Owner],MATCH($K114,tblCategories[Category],0))="",$F114,INDEX(tblCategories[Default Owner],MATCH($K114,tblCategories[Category],0))),$F114),$F114))</f>
        <v/>
      </c>
      <c r="H114" t="inlineStr">
        <is>
          <t>PAYROLL DEPOSIT MAPLE HEALTH GROUP</t>
        </is>
      </c>
      <c r="I114">
        <f>IF($H114="","",$H114)</f>
        <v/>
      </c>
      <c r="J114" s="19" t="n">
        <v>2009.44</v>
      </c>
      <c r="K114">
        <f>IF($H114="","",IFERROR(INDEX(tblRules[Category],SUMPRODUCT(MIN((1-((tblRules[Enabled]&lt;&gt;"No")*(tblRules[Pattern]&lt;&gt;"")*(tblRules[Category]&lt;&gt;"")*((tblRules[Flow]="Any")+(tblRules[Flow]="")+((tblRules[Flow]="Money out")*($J114&lt;0))+((tblRules[Flow]="Money in")*($J114&gt;0)))*(((tblRules[Look In]="Account")*ISNUMBER(SEARCH(tblRules[Pattern],$E114)))+((tblRules[Look In]&lt;&gt;"Account")*(((tblRules[Test]="Word")*ISNUMBER(SEARCH(" "&amp;tblRules[Pattern]&amp;" "," "&amp;$H114&amp;" ")))+((tblRules[Test]&lt;&gt;"Word")*ISNUMBER(SEARCH(tblRules[Pattern],$H114))))))&gt;0))*1E+9+ROW(tblRules[Pattern])))-ROW(tblRules[[#Headers],[Pattern]])),"Uncategorized"))</f>
        <v/>
      </c>
      <c r="L114">
        <f>IF($C114="","",IFERROR(INDEX(tblCategories[Group],MATCH($K114,tblCategories[Category],0)),"Other"))</f>
        <v/>
      </c>
      <c r="M114">
        <f>IF($C114="","",IFERROR(INDEX(tblCategories[Type],MATCH($K114,tblCategories[Category],0)),IF($J114&gt;0,"Income","Expense")))</f>
        <v/>
      </c>
      <c r="N114">
        <f>IF($C114="","",IFERROR(INDEX(tblCategories[Essential],MATCH($K114,tblCategories[Category],0)),"No"))</f>
        <v/>
      </c>
      <c r="O114">
        <f>IF($C114="","",IFERROR(INDEX(tblCategories[Tax Tag],MATCH($K114,tblCategories[Category],0)),""))</f>
        <v/>
      </c>
      <c r="P114" s="20">
        <f>IF($C114="","",IF($G114=PersonA,1,IF($G114=PersonB,0,IFERROR(INDEX(tblCategories[Joint Split A],MATCH($K114,tblCategories[Category],0)),DefaultSplitA))))</f>
        <v/>
      </c>
      <c r="Q114" s="19">
        <f>IF($C114="","",ROUND($J114*N($P114),2))</f>
        <v/>
      </c>
      <c r="R114" s="19">
        <f>IF($C114="","",ROUND($J114-N($Q114),2))</f>
        <v/>
      </c>
      <c r="U114" t="inlineStr">
        <is>
          <t>sample-data</t>
        </is>
      </c>
      <c r="V114" t="inlineStr">
        <is>
          <t>SAMPLE</t>
        </is>
      </c>
      <c r="W114" t="inlineStr">
        <is>
          <t>C8F210AB</t>
        </is>
      </c>
      <c r="X114">
        <f>IF($C114="","",IFERROR(IF(_xlfn.ISFORMULA($K114),"Rule","Manual"),""))</f>
        <v/>
      </c>
      <c r="Y114" s="19">
        <f>IF($C114="","",IF(ReportView=PersonA,N($Q114),IF(ReportView=PersonB,N($R114),$J114)))</f>
        <v/>
      </c>
    </row>
    <row r="115">
      <c r="B115">
        <f>IF($C115="","","T"&amp;TEXT(ROW()-ROW(tblTxn[[#Headers],[Txn ID]]),"000000"))</f>
        <v/>
      </c>
      <c r="C115" s="18" t="n">
        <v>46143</v>
      </c>
      <c r="D115">
        <f>IF($C115="","",TEXT($C115,"yyyy-mm"))</f>
        <v/>
      </c>
      <c r="E115" t="inlineStr">
        <is>
          <t>BMO Joint Chequing</t>
        </is>
      </c>
      <c r="F115">
        <f>IF($C115="","",IFERROR(INDEX(tblAccounts[Owner],MATCH($E115,tblAccounts[Account],0)),"Joint"))</f>
        <v/>
      </c>
      <c r="G115">
        <f>IF($C115="","",IF(HouseholdMode="Couple",IFERROR(IF(INDEX(tblCategories[Default Owner],MATCH($K115,tblCategories[Category],0))="",$F115,INDEX(tblCategories[Default Owner],MATCH($K115,tblCategories[Category],0))),$F115),$F115))</f>
        <v/>
      </c>
      <c r="H115" t="inlineStr">
        <is>
          <t>RENT PAYMENT 84 BROADVIEW AVE</t>
        </is>
      </c>
      <c r="I115">
        <f>IF($H115="","",$H115)</f>
        <v/>
      </c>
      <c r="J115" s="19" t="n">
        <v>-2350</v>
      </c>
      <c r="K115">
        <f>IF($H115="","",IFERROR(INDEX(tblRules[Category],SUMPRODUCT(MIN((1-((tblRules[Enabled]&lt;&gt;"No")*(tblRules[Pattern]&lt;&gt;"")*(tblRules[Category]&lt;&gt;"")*((tblRules[Flow]="Any")+(tblRules[Flow]="")+((tblRules[Flow]="Money out")*($J115&lt;0))+((tblRules[Flow]="Money in")*($J115&gt;0)))*(((tblRules[Look In]="Account")*ISNUMBER(SEARCH(tblRules[Pattern],$E115)))+((tblRules[Look In]&lt;&gt;"Account")*(((tblRules[Test]="Word")*ISNUMBER(SEARCH(" "&amp;tblRules[Pattern]&amp;" "," "&amp;$H115&amp;" ")))+((tblRules[Test]&lt;&gt;"Word")*ISNUMBER(SEARCH(tblRules[Pattern],$H115))))))&gt;0))*1E+9+ROW(tblRules[Pattern])))-ROW(tblRules[[#Headers],[Pattern]])),"Uncategorized"))</f>
        <v/>
      </c>
      <c r="L115">
        <f>IF($C115="","",IFERROR(INDEX(tblCategories[Group],MATCH($K115,tblCategories[Category],0)),"Other"))</f>
        <v/>
      </c>
      <c r="M115">
        <f>IF($C115="","",IFERROR(INDEX(tblCategories[Type],MATCH($K115,tblCategories[Category],0)),IF($J115&gt;0,"Income","Expense")))</f>
        <v/>
      </c>
      <c r="N115">
        <f>IF($C115="","",IFERROR(INDEX(tblCategories[Essential],MATCH($K115,tblCategories[Category],0)),"No"))</f>
        <v/>
      </c>
      <c r="O115">
        <f>IF($C115="","",IFERROR(INDEX(tblCategories[Tax Tag],MATCH($K115,tblCategories[Category],0)),""))</f>
        <v/>
      </c>
      <c r="P115" s="20">
        <f>IF($C115="","",IF($G115=PersonA,1,IF($G115=PersonB,0,IFERROR(INDEX(tblCategories[Joint Split A],MATCH($K115,tblCategories[Category],0)),DefaultSplitA))))</f>
        <v/>
      </c>
      <c r="Q115" s="19">
        <f>IF($C115="","",ROUND($J115*N($P115),2))</f>
        <v/>
      </c>
      <c r="R115" s="19">
        <f>IF($C115="","",ROUND($J115-N($Q115),2))</f>
        <v/>
      </c>
      <c r="U115" t="inlineStr">
        <is>
          <t>sample-data</t>
        </is>
      </c>
      <c r="V115" t="inlineStr">
        <is>
          <t>SAMPLE</t>
        </is>
      </c>
      <c r="W115" t="inlineStr">
        <is>
          <t>7CC854A8</t>
        </is>
      </c>
      <c r="X115">
        <f>IF($C115="","",IFERROR(IF(_xlfn.ISFORMULA($K115),"Rule","Manual"),""))</f>
        <v/>
      </c>
      <c r="Y115" s="19">
        <f>IF($C115="","",IF(ReportView=PersonA,N($Q115),IF(ReportView=PersonB,N($R115),$J115)))</f>
        <v/>
      </c>
    </row>
    <row r="116">
      <c r="B116">
        <f>IF($C116="","","T"&amp;TEXT(ROW()-ROW(tblTxn[[#Headers],[Txn ID]]),"000000"))</f>
        <v/>
      </c>
      <c r="C116" s="18" t="n">
        <v>46144</v>
      </c>
      <c r="D116">
        <f>IF($C116="","",TEXT($C116,"yyyy-mm"))</f>
        <v/>
      </c>
      <c r="E116" t="inlineStr">
        <is>
          <t>Amex Cobalt (Joint)</t>
        </is>
      </c>
      <c r="F116">
        <f>IF($C116="","",IFERROR(INDEX(tblAccounts[Owner],MATCH($E116,tblAccounts[Account],0)),"Joint"))</f>
        <v/>
      </c>
      <c r="G116">
        <f>IF($C116="","",IF(HouseholdMode="Couple",IFERROR(IF(INDEX(tblCategories[Default Owner],MATCH($K116,tblCategories[Category],0))="",$F116,INDEX(tblCategories[Default Owner],MATCH($K116,tblCategories[Category],0))),$F116),$F116))</f>
        <v/>
      </c>
      <c r="H116" t="inlineStr">
        <is>
          <t>IDP PURCHASE - 2585 PETRO-CANADA #2477 ON</t>
        </is>
      </c>
      <c r="I116">
        <f>IF($H116="","",$H116)</f>
        <v/>
      </c>
      <c r="J116" s="19" t="n">
        <v>-52.57</v>
      </c>
      <c r="K116">
        <f>IF($H116="","",IFERROR(INDEX(tblRules[Category],SUMPRODUCT(MIN((1-((tblRules[Enabled]&lt;&gt;"No")*(tblRules[Pattern]&lt;&gt;"")*(tblRules[Category]&lt;&gt;"")*((tblRules[Flow]="Any")+(tblRules[Flow]="")+((tblRules[Flow]="Money out")*($J116&lt;0))+((tblRules[Flow]="Money in")*($J116&gt;0)))*(((tblRules[Look In]="Account")*ISNUMBER(SEARCH(tblRules[Pattern],$E116)))+((tblRules[Look In]&lt;&gt;"Account")*(((tblRules[Test]="Word")*ISNUMBER(SEARCH(" "&amp;tblRules[Pattern]&amp;" "," "&amp;$H116&amp;" ")))+((tblRules[Test]&lt;&gt;"Word")*ISNUMBER(SEARCH(tblRules[Pattern],$H116))))))&gt;0))*1E+9+ROW(tblRules[Pattern])))-ROW(tblRules[[#Headers],[Pattern]])),"Uncategorized"))</f>
        <v/>
      </c>
      <c r="L116">
        <f>IF($C116="","",IFERROR(INDEX(tblCategories[Group],MATCH($K116,tblCategories[Category],0)),"Other"))</f>
        <v/>
      </c>
      <c r="M116">
        <f>IF($C116="","",IFERROR(INDEX(tblCategories[Type],MATCH($K116,tblCategories[Category],0)),IF($J116&gt;0,"Income","Expense")))</f>
        <v/>
      </c>
      <c r="N116">
        <f>IF($C116="","",IFERROR(INDEX(tblCategories[Essential],MATCH($K116,tblCategories[Category],0)),"No"))</f>
        <v/>
      </c>
      <c r="O116">
        <f>IF($C116="","",IFERROR(INDEX(tblCategories[Tax Tag],MATCH($K116,tblCategories[Category],0)),""))</f>
        <v/>
      </c>
      <c r="P116" s="20">
        <f>IF($C116="","",IF($G116=PersonA,1,IF($G116=PersonB,0,IFERROR(INDEX(tblCategories[Joint Split A],MATCH($K116,tblCategories[Category],0)),DefaultSplitA))))</f>
        <v/>
      </c>
      <c r="Q116" s="19">
        <f>IF($C116="","",ROUND($J116*N($P116),2))</f>
        <v/>
      </c>
      <c r="R116" s="19">
        <f>IF($C116="","",ROUND($J116-N($Q116),2))</f>
        <v/>
      </c>
      <c r="U116" t="inlineStr">
        <is>
          <t>sample-data</t>
        </is>
      </c>
      <c r="V116" t="inlineStr">
        <is>
          <t>SAMPLE</t>
        </is>
      </c>
      <c r="W116" t="inlineStr">
        <is>
          <t>76BA0FE3</t>
        </is>
      </c>
      <c r="X116">
        <f>IF($C116="","",IFERROR(IF(_xlfn.ISFORMULA($K116),"Rule","Manual"),""))</f>
        <v/>
      </c>
      <c r="Y116" s="19">
        <f>IF($C116="","",IF(ReportView=PersonA,N($Q116),IF(ReportView=PersonB,N($R116),$J116)))</f>
        <v/>
      </c>
    </row>
    <row r="117">
      <c r="B117">
        <f>IF($C117="","","T"&amp;TEXT(ROW()-ROW(tblTxn[[#Headers],[Txn ID]]),"000000"))</f>
        <v/>
      </c>
      <c r="C117" s="18" t="n">
        <v>46144</v>
      </c>
      <c r="D117">
        <f>IF($C117="","",TEXT($C117,"yyyy-mm"))</f>
        <v/>
      </c>
      <c r="E117" t="inlineStr">
        <is>
          <t>BMO Joint Chequing</t>
        </is>
      </c>
      <c r="F117">
        <f>IF($C117="","",IFERROR(INDEX(tblAccounts[Owner],MATCH($E117,tblAccounts[Account],0)),"Joint"))</f>
        <v/>
      </c>
      <c r="G117">
        <f>IF($C117="","",IF(HouseholdMode="Couple",IFERROR(IF(INDEX(tblCategories[Default Owner],MATCH($K117,tblCategories[Category],0))="",$F117,INDEX(tblCategories[Default Owner],MATCH($K117,tblCategories[Category],0))),$F117),$F117))</f>
        <v/>
      </c>
      <c r="H117" t="inlineStr">
        <is>
          <t>IDP PURCHASE - 1244 SHOPPERS DRUG MART #2923 ON</t>
        </is>
      </c>
      <c r="I117">
        <f>IF($H117="","",$H117)</f>
        <v/>
      </c>
      <c r="J117" s="19" t="n">
        <v>-74.79000000000001</v>
      </c>
      <c r="K117">
        <f>IF($H117="","",IFERROR(INDEX(tblRules[Category],SUMPRODUCT(MIN((1-((tblRules[Enabled]&lt;&gt;"No")*(tblRules[Pattern]&lt;&gt;"")*(tblRules[Category]&lt;&gt;"")*((tblRules[Flow]="Any")+(tblRules[Flow]="")+((tblRules[Flow]="Money out")*($J117&lt;0))+((tblRules[Flow]="Money in")*($J117&gt;0)))*(((tblRules[Look In]="Account")*ISNUMBER(SEARCH(tblRules[Pattern],$E117)))+((tblRules[Look In]&lt;&gt;"Account")*(((tblRules[Test]="Word")*ISNUMBER(SEARCH(" "&amp;tblRules[Pattern]&amp;" "," "&amp;$H117&amp;" ")))+((tblRules[Test]&lt;&gt;"Word")*ISNUMBER(SEARCH(tblRules[Pattern],$H117))))))&gt;0))*1E+9+ROW(tblRules[Pattern])))-ROW(tblRules[[#Headers],[Pattern]])),"Uncategorized"))</f>
        <v/>
      </c>
      <c r="L117">
        <f>IF($C117="","",IFERROR(INDEX(tblCategories[Group],MATCH($K117,tblCategories[Category],0)),"Other"))</f>
        <v/>
      </c>
      <c r="M117">
        <f>IF($C117="","",IFERROR(INDEX(tblCategories[Type],MATCH($K117,tblCategories[Category],0)),IF($J117&gt;0,"Income","Expense")))</f>
        <v/>
      </c>
      <c r="N117">
        <f>IF($C117="","",IFERROR(INDEX(tblCategories[Essential],MATCH($K117,tblCategories[Category],0)),"No"))</f>
        <v/>
      </c>
      <c r="O117">
        <f>IF($C117="","",IFERROR(INDEX(tblCategories[Tax Tag],MATCH($K117,tblCategories[Category],0)),""))</f>
        <v/>
      </c>
      <c r="P117" s="20">
        <f>IF($C117="","",IF($G117=PersonA,1,IF($G117=PersonB,0,IFERROR(INDEX(tblCategories[Joint Split A],MATCH($K117,tblCategories[Category],0)),DefaultSplitA))))</f>
        <v/>
      </c>
      <c r="Q117" s="19">
        <f>IF($C117="","",ROUND($J117*N($P117),2))</f>
        <v/>
      </c>
      <c r="R117" s="19">
        <f>IF($C117="","",ROUND($J117-N($Q117),2))</f>
        <v/>
      </c>
      <c r="U117" t="inlineStr">
        <is>
          <t>sample-data</t>
        </is>
      </c>
      <c r="V117" t="inlineStr">
        <is>
          <t>SAMPLE</t>
        </is>
      </c>
      <c r="W117" t="inlineStr">
        <is>
          <t>49425F9A</t>
        </is>
      </c>
      <c r="X117">
        <f>IF($C117="","",IFERROR(IF(_xlfn.ISFORMULA($K117),"Rule","Manual"),""))</f>
        <v/>
      </c>
      <c r="Y117" s="19">
        <f>IF($C117="","",IF(ReportView=PersonA,N($Q117),IF(ReportView=PersonB,N($R117),$J117)))</f>
        <v/>
      </c>
    </row>
    <row r="118">
      <c r="B118">
        <f>IF($C118="","","T"&amp;TEXT(ROW()-ROW(tblTxn[[#Headers],[Txn ID]]),"000000"))</f>
        <v/>
      </c>
      <c r="C118" s="18" t="n">
        <v>46144</v>
      </c>
      <c r="D118">
        <f>IF($C118="","",TEXT($C118,"yyyy-mm"))</f>
        <v/>
      </c>
      <c r="E118" t="inlineStr">
        <is>
          <t>BMO Joint Chequing</t>
        </is>
      </c>
      <c r="F118">
        <f>IF($C118="","",IFERROR(INDEX(tblAccounts[Owner],MATCH($E118,tblAccounts[Account],0)),"Joint"))</f>
        <v/>
      </c>
      <c r="G118">
        <f>IF($C118="","",IF(HouseholdMode="Couple",IFERROR(IF(INDEX(tblCategories[Default Owner],MATCH($K118,tblCategories[Category],0))="",$F118,INDEX(tblCategories[Default Owner],MATCH($K118,tblCategories[Category],0))),$F118),$F118))</f>
        <v/>
      </c>
      <c r="H118" t="inlineStr">
        <is>
          <t>IDP PURCHASE - 8027 LOBLAWS #3287 TORONTO ON</t>
        </is>
      </c>
      <c r="I118">
        <f>IF($H118="","",$H118)</f>
        <v/>
      </c>
      <c r="J118" s="19" t="n">
        <v>-61.37</v>
      </c>
      <c r="K118">
        <f>IF($H118="","",IFERROR(INDEX(tblRules[Category],SUMPRODUCT(MIN((1-((tblRules[Enabled]&lt;&gt;"No")*(tblRules[Pattern]&lt;&gt;"")*(tblRules[Category]&lt;&gt;"")*((tblRules[Flow]="Any")+(tblRules[Flow]="")+((tblRules[Flow]="Money out")*($J118&lt;0))+((tblRules[Flow]="Money in")*($J118&gt;0)))*(((tblRules[Look In]="Account")*ISNUMBER(SEARCH(tblRules[Pattern],$E118)))+((tblRules[Look In]&lt;&gt;"Account")*(((tblRules[Test]="Word")*ISNUMBER(SEARCH(" "&amp;tblRules[Pattern]&amp;" "," "&amp;$H118&amp;" ")))+((tblRules[Test]&lt;&gt;"Word")*ISNUMBER(SEARCH(tblRules[Pattern],$H118))))))&gt;0))*1E+9+ROW(tblRules[Pattern])))-ROW(tblRules[[#Headers],[Pattern]])),"Uncategorized"))</f>
        <v/>
      </c>
      <c r="L118">
        <f>IF($C118="","",IFERROR(INDEX(tblCategories[Group],MATCH($K118,tblCategories[Category],0)),"Other"))</f>
        <v/>
      </c>
      <c r="M118">
        <f>IF($C118="","",IFERROR(INDEX(tblCategories[Type],MATCH($K118,tblCategories[Category],0)),IF($J118&gt;0,"Income","Expense")))</f>
        <v/>
      </c>
      <c r="N118">
        <f>IF($C118="","",IFERROR(INDEX(tblCategories[Essential],MATCH($K118,tblCategories[Category],0)),"No"))</f>
        <v/>
      </c>
      <c r="O118">
        <f>IF($C118="","",IFERROR(INDEX(tblCategories[Tax Tag],MATCH($K118,tblCategories[Category],0)),""))</f>
        <v/>
      </c>
      <c r="P118" s="20">
        <f>IF($C118="","",IF($G118=PersonA,1,IF($G118=PersonB,0,IFERROR(INDEX(tblCategories[Joint Split A],MATCH($K118,tblCategories[Category],0)),DefaultSplitA))))</f>
        <v/>
      </c>
      <c r="Q118" s="19">
        <f>IF($C118="","",ROUND($J118*N($P118),2))</f>
        <v/>
      </c>
      <c r="R118" s="19">
        <f>IF($C118="","",ROUND($J118-N($Q118),2))</f>
        <v/>
      </c>
      <c r="U118" t="inlineStr">
        <is>
          <t>sample-data</t>
        </is>
      </c>
      <c r="V118" t="inlineStr">
        <is>
          <t>SAMPLE</t>
        </is>
      </c>
      <c r="W118" t="inlineStr">
        <is>
          <t>7D9534D5</t>
        </is>
      </c>
      <c r="X118">
        <f>IF($C118="","",IFERROR(IF(_xlfn.ISFORMULA($K118),"Rule","Manual"),""))</f>
        <v/>
      </c>
      <c r="Y118" s="19">
        <f>IF($C118="","",IF(ReportView=PersonA,N($Q118),IF(ReportView=PersonB,N($R118),$J118)))</f>
        <v/>
      </c>
    </row>
    <row r="119">
      <c r="B119">
        <f>IF($C119="","","T"&amp;TEXT(ROW()-ROW(tblTxn[[#Headers],[Txn ID]]),"000000"))</f>
        <v/>
      </c>
      <c r="C119" s="18" t="n">
        <v>46145</v>
      </c>
      <c r="D119">
        <f>IF($C119="","",TEXT($C119,"yyyy-mm"))</f>
        <v/>
      </c>
      <c r="E119" t="inlineStr">
        <is>
          <t>BMO Joint Chequing</t>
        </is>
      </c>
      <c r="F119">
        <f>IF($C119="","",IFERROR(INDEX(tblAccounts[Owner],MATCH($E119,tblAccounts[Account],0)),"Joint"))</f>
        <v/>
      </c>
      <c r="G119">
        <f>IF($C119="","",IF(HouseholdMode="Couple",IFERROR(IF(INDEX(tblCategories[Default Owner],MATCH($K119,tblCategories[Category],0))="",$F119,INDEX(tblCategories[Default Owner],MATCH($K119,tblCategories[Category],0))),$F119),$F119))</f>
        <v/>
      </c>
      <c r="H119" t="inlineStr">
        <is>
          <t>GOODLIFE CLUBS PREAUTHORIZED DEBIT</t>
        </is>
      </c>
      <c r="I119">
        <f>IF($H119="","",$H119)</f>
        <v/>
      </c>
      <c r="J119" s="19" t="n">
        <v>-54.22</v>
      </c>
      <c r="K119">
        <f>IF($H119="","",IFERROR(INDEX(tblRules[Category],SUMPRODUCT(MIN((1-((tblRules[Enabled]&lt;&gt;"No")*(tblRules[Pattern]&lt;&gt;"")*(tblRules[Category]&lt;&gt;"")*((tblRules[Flow]="Any")+(tblRules[Flow]="")+((tblRules[Flow]="Money out")*($J119&lt;0))+((tblRules[Flow]="Money in")*($J119&gt;0)))*(((tblRules[Look In]="Account")*ISNUMBER(SEARCH(tblRules[Pattern],$E119)))+((tblRules[Look In]&lt;&gt;"Account")*(((tblRules[Test]="Word")*ISNUMBER(SEARCH(" "&amp;tblRules[Pattern]&amp;" "," "&amp;$H119&amp;" ")))+((tblRules[Test]&lt;&gt;"Word")*ISNUMBER(SEARCH(tblRules[Pattern],$H119))))))&gt;0))*1E+9+ROW(tblRules[Pattern])))-ROW(tblRules[[#Headers],[Pattern]])),"Uncategorized"))</f>
        <v/>
      </c>
      <c r="L119">
        <f>IF($C119="","",IFERROR(INDEX(tblCategories[Group],MATCH($K119,tblCategories[Category],0)),"Other"))</f>
        <v/>
      </c>
      <c r="M119">
        <f>IF($C119="","",IFERROR(INDEX(tblCategories[Type],MATCH($K119,tblCategories[Category],0)),IF($J119&gt;0,"Income","Expense")))</f>
        <v/>
      </c>
      <c r="N119">
        <f>IF($C119="","",IFERROR(INDEX(tblCategories[Essential],MATCH($K119,tblCategories[Category],0)),"No"))</f>
        <v/>
      </c>
      <c r="O119">
        <f>IF($C119="","",IFERROR(INDEX(tblCategories[Tax Tag],MATCH($K119,tblCategories[Category],0)),""))</f>
        <v/>
      </c>
      <c r="P119" s="20">
        <f>IF($C119="","",IF($G119=PersonA,1,IF($G119=PersonB,0,IFERROR(INDEX(tblCategories[Joint Split A],MATCH($K119,tblCategories[Category],0)),DefaultSplitA))))</f>
        <v/>
      </c>
      <c r="Q119" s="19">
        <f>IF($C119="","",ROUND($J119*N($P119),2))</f>
        <v/>
      </c>
      <c r="R119" s="19">
        <f>IF($C119="","",ROUND($J119-N($Q119),2))</f>
        <v/>
      </c>
      <c r="U119" t="inlineStr">
        <is>
          <t>sample-data</t>
        </is>
      </c>
      <c r="V119" t="inlineStr">
        <is>
          <t>SAMPLE</t>
        </is>
      </c>
      <c r="W119" t="inlineStr">
        <is>
          <t>B9C399DD</t>
        </is>
      </c>
      <c r="X119">
        <f>IF($C119="","",IFERROR(IF(_xlfn.ISFORMULA($K119),"Rule","Manual"),""))</f>
        <v/>
      </c>
      <c r="Y119" s="19">
        <f>IF($C119="","",IF(ReportView=PersonA,N($Q119),IF(ReportView=PersonB,N($R119),$J119)))</f>
        <v/>
      </c>
    </row>
    <row r="120">
      <c r="B120">
        <f>IF($C120="","","T"&amp;TEXT(ROW()-ROW(tblTxn[[#Headers],[Txn ID]]),"000000"))</f>
        <v/>
      </c>
      <c r="C120" s="18" t="n">
        <v>46145</v>
      </c>
      <c r="D120">
        <f>IF($C120="","",TEXT($C120,"yyyy-mm"))</f>
        <v/>
      </c>
      <c r="E120" t="inlineStr">
        <is>
          <t>Tangerine Chequing (Sam)</t>
        </is>
      </c>
      <c r="F120">
        <f>IF($C120="","",IFERROR(INDEX(tblAccounts[Owner],MATCH($E120,tblAccounts[Account],0)),"Joint"))</f>
        <v/>
      </c>
      <c r="G120">
        <f>IF($C120="","",IF(HouseholdMode="Couple",IFERROR(IF(INDEX(tblCategories[Default Owner],MATCH($K120,tblCategories[Category],0))="",$F120,INDEX(tblCategories[Default Owner],MATCH($K120,tblCategories[Category],0))),$F120),$F120))</f>
        <v/>
      </c>
      <c r="H120" t="inlineStr">
        <is>
          <t>IDP PURCHASE - 2329 LCBO/RAO #4358 TORONTO ON</t>
        </is>
      </c>
      <c r="I120">
        <f>IF($H120="","",$H120)</f>
        <v/>
      </c>
      <c r="J120" s="19" t="n">
        <v>-52.37</v>
      </c>
      <c r="K120">
        <f>IF($H120="","",IFERROR(INDEX(tblRules[Category],SUMPRODUCT(MIN((1-((tblRules[Enabled]&lt;&gt;"No")*(tblRules[Pattern]&lt;&gt;"")*(tblRules[Category]&lt;&gt;"")*((tblRules[Flow]="Any")+(tblRules[Flow]="")+((tblRules[Flow]="Money out")*($J120&lt;0))+((tblRules[Flow]="Money in")*($J120&gt;0)))*(((tblRules[Look In]="Account")*ISNUMBER(SEARCH(tblRules[Pattern],$E120)))+((tblRules[Look In]&lt;&gt;"Account")*(((tblRules[Test]="Word")*ISNUMBER(SEARCH(" "&amp;tblRules[Pattern]&amp;" "," "&amp;$H120&amp;" ")))+((tblRules[Test]&lt;&gt;"Word")*ISNUMBER(SEARCH(tblRules[Pattern],$H120))))))&gt;0))*1E+9+ROW(tblRules[Pattern])))-ROW(tblRules[[#Headers],[Pattern]])),"Uncategorized"))</f>
        <v/>
      </c>
      <c r="L120">
        <f>IF($C120="","",IFERROR(INDEX(tblCategories[Group],MATCH($K120,tblCategories[Category],0)),"Other"))</f>
        <v/>
      </c>
      <c r="M120">
        <f>IF($C120="","",IFERROR(INDEX(tblCategories[Type],MATCH($K120,tblCategories[Category],0)),IF($J120&gt;0,"Income","Expense")))</f>
        <v/>
      </c>
      <c r="N120">
        <f>IF($C120="","",IFERROR(INDEX(tblCategories[Essential],MATCH($K120,tblCategories[Category],0)),"No"))</f>
        <v/>
      </c>
      <c r="O120">
        <f>IF($C120="","",IFERROR(INDEX(tblCategories[Tax Tag],MATCH($K120,tblCategories[Category],0)),""))</f>
        <v/>
      </c>
      <c r="P120" s="20">
        <f>IF($C120="","",IF($G120=PersonA,1,IF($G120=PersonB,0,IFERROR(INDEX(tblCategories[Joint Split A],MATCH($K120,tblCategories[Category],0)),DefaultSplitA))))</f>
        <v/>
      </c>
      <c r="Q120" s="19">
        <f>IF($C120="","",ROUND($J120*N($P120),2))</f>
        <v/>
      </c>
      <c r="R120" s="19">
        <f>IF($C120="","",ROUND($J120-N($Q120),2))</f>
        <v/>
      </c>
      <c r="U120" t="inlineStr">
        <is>
          <t>sample-data</t>
        </is>
      </c>
      <c r="V120" t="inlineStr">
        <is>
          <t>SAMPLE</t>
        </is>
      </c>
      <c r="W120" t="inlineStr">
        <is>
          <t>228FAEAB</t>
        </is>
      </c>
      <c r="X120">
        <f>IF($C120="","",IFERROR(IF(_xlfn.ISFORMULA($K120),"Rule","Manual"),""))</f>
        <v/>
      </c>
      <c r="Y120" s="19">
        <f>IF($C120="","",IF(ReportView=PersonA,N($Q120),IF(ReportView=PersonB,N($R120),$J120)))</f>
        <v/>
      </c>
    </row>
    <row r="121">
      <c r="B121">
        <f>IF($C121="","","T"&amp;TEXT(ROW()-ROW(tblTxn[[#Headers],[Txn ID]]),"000000"))</f>
        <v/>
      </c>
      <c r="C121" s="18" t="n">
        <v>46146</v>
      </c>
      <c r="D121">
        <f>IF($C121="","",TEXT($C121,"yyyy-mm"))</f>
        <v/>
      </c>
      <c r="E121" t="inlineStr">
        <is>
          <t>Amex Cobalt (Joint)</t>
        </is>
      </c>
      <c r="F121">
        <f>IF($C121="","",IFERROR(INDEX(tblAccounts[Owner],MATCH($E121,tblAccounts[Account],0)),"Joint"))</f>
        <v/>
      </c>
      <c r="G121">
        <f>IF($C121="","",IF(HouseholdMode="Couple",IFERROR(IF(INDEX(tblCategories[Default Owner],MATCH($K121,tblCategories[Category],0))="",$F121,INDEX(tblCategories[Default Owner],MATCH($K121,tblCategories[Category],0))),$F121),$F121))</f>
        <v/>
      </c>
      <c r="H121" t="inlineStr">
        <is>
          <t>IDP PURCHASE - 2930 COSTCO WHOLESALE #4267 ON</t>
        </is>
      </c>
      <c r="I121">
        <f>IF($H121="","",$H121)</f>
        <v/>
      </c>
      <c r="J121" s="19" t="n">
        <v>-142.27</v>
      </c>
      <c r="K121">
        <f>IF($H121="","",IFERROR(INDEX(tblRules[Category],SUMPRODUCT(MIN((1-((tblRules[Enabled]&lt;&gt;"No")*(tblRules[Pattern]&lt;&gt;"")*(tblRules[Category]&lt;&gt;"")*((tblRules[Flow]="Any")+(tblRules[Flow]="")+((tblRules[Flow]="Money out")*($J121&lt;0))+((tblRules[Flow]="Money in")*($J121&gt;0)))*(((tblRules[Look In]="Account")*ISNUMBER(SEARCH(tblRules[Pattern],$E121)))+((tblRules[Look In]&lt;&gt;"Account")*(((tblRules[Test]="Word")*ISNUMBER(SEARCH(" "&amp;tblRules[Pattern]&amp;" "," "&amp;$H121&amp;" ")))+((tblRules[Test]&lt;&gt;"Word")*ISNUMBER(SEARCH(tblRules[Pattern],$H121))))))&gt;0))*1E+9+ROW(tblRules[Pattern])))-ROW(tblRules[[#Headers],[Pattern]])),"Uncategorized"))</f>
        <v/>
      </c>
      <c r="L121">
        <f>IF($C121="","",IFERROR(INDEX(tblCategories[Group],MATCH($K121,tblCategories[Category],0)),"Other"))</f>
        <v/>
      </c>
      <c r="M121">
        <f>IF($C121="","",IFERROR(INDEX(tblCategories[Type],MATCH($K121,tblCategories[Category],0)),IF($J121&gt;0,"Income","Expense")))</f>
        <v/>
      </c>
      <c r="N121">
        <f>IF($C121="","",IFERROR(INDEX(tblCategories[Essential],MATCH($K121,tblCategories[Category],0)),"No"))</f>
        <v/>
      </c>
      <c r="O121">
        <f>IF($C121="","",IFERROR(INDEX(tblCategories[Tax Tag],MATCH($K121,tblCategories[Category],0)),""))</f>
        <v/>
      </c>
      <c r="P121" s="20">
        <f>IF($C121="","",IF($G121=PersonA,1,IF($G121=PersonB,0,IFERROR(INDEX(tblCategories[Joint Split A],MATCH($K121,tblCategories[Category],0)),DefaultSplitA))))</f>
        <v/>
      </c>
      <c r="Q121" s="19">
        <f>IF($C121="","",ROUND($J121*N($P121),2))</f>
        <v/>
      </c>
      <c r="R121" s="19">
        <f>IF($C121="","",ROUND($J121-N($Q121),2))</f>
        <v/>
      </c>
      <c r="U121" t="inlineStr">
        <is>
          <t>sample-data</t>
        </is>
      </c>
      <c r="V121" t="inlineStr">
        <is>
          <t>SAMPLE</t>
        </is>
      </c>
      <c r="W121" t="inlineStr">
        <is>
          <t>680C413B</t>
        </is>
      </c>
      <c r="X121">
        <f>IF($C121="","",IFERROR(IF(_xlfn.ISFORMULA($K121),"Rule","Manual"),""))</f>
        <v/>
      </c>
      <c r="Y121" s="19">
        <f>IF($C121="","",IF(ReportView=PersonA,N($Q121),IF(ReportView=PersonB,N($R121),$J121)))</f>
        <v/>
      </c>
    </row>
    <row r="122">
      <c r="B122">
        <f>IF($C122="","","T"&amp;TEXT(ROW()-ROW(tblTxn[[#Headers],[Txn ID]]),"000000"))</f>
        <v/>
      </c>
      <c r="C122" s="18" t="n">
        <v>46146</v>
      </c>
      <c r="D122">
        <f>IF($C122="","",TEXT($C122,"yyyy-mm"))</f>
        <v/>
      </c>
      <c r="E122" t="inlineStr">
        <is>
          <t>Tangerine Chequing (Sam)</t>
        </is>
      </c>
      <c r="F122">
        <f>IF($C122="","",IFERROR(INDEX(tblAccounts[Owner],MATCH($E122,tblAccounts[Account],0)),"Joint"))</f>
        <v/>
      </c>
      <c r="G122">
        <f>IF($C122="","",IF(HouseholdMode="Couple",IFERROR(IF(INDEX(tblCategories[Default Owner],MATCH($K122,tblCategories[Category],0))="",$F122,INDEX(tblCategories[Default Owner],MATCH($K122,tblCategories[Category],0))),$F122),$F122))</f>
        <v/>
      </c>
      <c r="H122" t="inlineStr">
        <is>
          <t>IDP PURCHASE - 6152 PIZZA NOVA #941 ON</t>
        </is>
      </c>
      <c r="I122">
        <f>IF($H122="","",$H122)</f>
        <v/>
      </c>
      <c r="J122" s="19" t="n">
        <v>-18.32</v>
      </c>
      <c r="K122">
        <f>IF($H122="","",IFERROR(INDEX(tblRules[Category],SUMPRODUCT(MIN((1-((tblRules[Enabled]&lt;&gt;"No")*(tblRules[Pattern]&lt;&gt;"")*(tblRules[Category]&lt;&gt;"")*((tblRules[Flow]="Any")+(tblRules[Flow]="")+((tblRules[Flow]="Money out")*($J122&lt;0))+((tblRules[Flow]="Money in")*($J122&gt;0)))*(((tblRules[Look In]="Account")*ISNUMBER(SEARCH(tblRules[Pattern],$E122)))+((tblRules[Look In]&lt;&gt;"Account")*(((tblRules[Test]="Word")*ISNUMBER(SEARCH(" "&amp;tblRules[Pattern]&amp;" "," "&amp;$H122&amp;" ")))+((tblRules[Test]&lt;&gt;"Word")*ISNUMBER(SEARCH(tblRules[Pattern],$H122))))))&gt;0))*1E+9+ROW(tblRules[Pattern])))-ROW(tblRules[[#Headers],[Pattern]])),"Uncategorized"))</f>
        <v/>
      </c>
      <c r="L122">
        <f>IF($C122="","",IFERROR(INDEX(tblCategories[Group],MATCH($K122,tblCategories[Category],0)),"Other"))</f>
        <v/>
      </c>
      <c r="M122">
        <f>IF($C122="","",IFERROR(INDEX(tblCategories[Type],MATCH($K122,tblCategories[Category],0)),IF($J122&gt;0,"Income","Expense")))</f>
        <v/>
      </c>
      <c r="N122">
        <f>IF($C122="","",IFERROR(INDEX(tblCategories[Essential],MATCH($K122,tblCategories[Category],0)),"No"))</f>
        <v/>
      </c>
      <c r="O122">
        <f>IF($C122="","",IFERROR(INDEX(tblCategories[Tax Tag],MATCH($K122,tblCategories[Category],0)),""))</f>
        <v/>
      </c>
      <c r="P122" s="20">
        <f>IF($C122="","",IF($G122=PersonA,1,IF($G122=PersonB,0,IFERROR(INDEX(tblCategories[Joint Split A],MATCH($K122,tblCategories[Category],0)),DefaultSplitA))))</f>
        <v/>
      </c>
      <c r="Q122" s="19">
        <f>IF($C122="","",ROUND($J122*N($P122),2))</f>
        <v/>
      </c>
      <c r="R122" s="19">
        <f>IF($C122="","",ROUND($J122-N($Q122),2))</f>
        <v/>
      </c>
      <c r="U122" t="inlineStr">
        <is>
          <t>sample-data</t>
        </is>
      </c>
      <c r="V122" t="inlineStr">
        <is>
          <t>SAMPLE</t>
        </is>
      </c>
      <c r="W122" t="inlineStr">
        <is>
          <t>F6927587</t>
        </is>
      </c>
      <c r="X122">
        <f>IF($C122="","",IFERROR(IF(_xlfn.ISFORMULA($K122),"Rule","Manual"),""))</f>
        <v/>
      </c>
      <c r="Y122" s="19">
        <f>IF($C122="","",IF(ReportView=PersonA,N($Q122),IF(ReportView=PersonB,N($R122),$J122)))</f>
        <v/>
      </c>
    </row>
    <row r="123">
      <c r="B123">
        <f>IF($C123="","","T"&amp;TEXT(ROW()-ROW(tblTxn[[#Headers],[Txn ID]]),"000000"))</f>
        <v/>
      </c>
      <c r="C123" s="18" t="n">
        <v>46147</v>
      </c>
      <c r="D123">
        <f>IF($C123="","",TEXT($C123,"yyyy-mm"))</f>
        <v/>
      </c>
      <c r="E123" t="inlineStr">
        <is>
          <t>BMO Joint Chequing</t>
        </is>
      </c>
      <c r="F123">
        <f>IF($C123="","",IFERROR(INDEX(tblAccounts[Owner],MATCH($E123,tblAccounts[Account],0)),"Joint"))</f>
        <v/>
      </c>
      <c r="G123">
        <f>IF($C123="","",IF(HouseholdMode="Couple",IFERROR(IF(INDEX(tblCategories[Default Owner],MATCH($K123,tblCategories[Category],0))="",$F123,INDEX(tblCategories[Default Owner],MATCH($K123,tblCategories[Category],0))),$F123),$F123))</f>
        <v/>
      </c>
      <c r="H123" t="inlineStr">
        <is>
          <t>BELAIRDIRECT INSURANCE PREAUTHORIZED DEBIT</t>
        </is>
      </c>
      <c r="I123">
        <f>IF($H123="","",$H123)</f>
        <v/>
      </c>
      <c r="J123" s="19" t="n">
        <v>-168</v>
      </c>
      <c r="K123">
        <f>IF($H123="","",IFERROR(INDEX(tblRules[Category],SUMPRODUCT(MIN((1-((tblRules[Enabled]&lt;&gt;"No")*(tblRules[Pattern]&lt;&gt;"")*(tblRules[Category]&lt;&gt;"")*((tblRules[Flow]="Any")+(tblRules[Flow]="")+((tblRules[Flow]="Money out")*($J123&lt;0))+((tblRules[Flow]="Money in")*($J123&gt;0)))*(((tblRules[Look In]="Account")*ISNUMBER(SEARCH(tblRules[Pattern],$E123)))+((tblRules[Look In]&lt;&gt;"Account")*(((tblRules[Test]="Word")*ISNUMBER(SEARCH(" "&amp;tblRules[Pattern]&amp;" "," "&amp;$H123&amp;" ")))+((tblRules[Test]&lt;&gt;"Word")*ISNUMBER(SEARCH(tblRules[Pattern],$H123))))))&gt;0))*1E+9+ROW(tblRules[Pattern])))-ROW(tblRules[[#Headers],[Pattern]])),"Uncategorized"))</f>
        <v/>
      </c>
      <c r="L123">
        <f>IF($C123="","",IFERROR(INDEX(tblCategories[Group],MATCH($K123,tblCategories[Category],0)),"Other"))</f>
        <v/>
      </c>
      <c r="M123">
        <f>IF($C123="","",IFERROR(INDEX(tblCategories[Type],MATCH($K123,tblCategories[Category],0)),IF($J123&gt;0,"Income","Expense")))</f>
        <v/>
      </c>
      <c r="N123">
        <f>IF($C123="","",IFERROR(INDEX(tblCategories[Essential],MATCH($K123,tblCategories[Category],0)),"No"))</f>
        <v/>
      </c>
      <c r="O123">
        <f>IF($C123="","",IFERROR(INDEX(tblCategories[Tax Tag],MATCH($K123,tblCategories[Category],0)),""))</f>
        <v/>
      </c>
      <c r="P123" s="20">
        <f>IF($C123="","",IF($G123=PersonA,1,IF($G123=PersonB,0,IFERROR(INDEX(tblCategories[Joint Split A],MATCH($K123,tblCategories[Category],0)),DefaultSplitA))))</f>
        <v/>
      </c>
      <c r="Q123" s="19">
        <f>IF($C123="","",ROUND($J123*N($P123),2))</f>
        <v/>
      </c>
      <c r="R123" s="19">
        <f>IF($C123="","",ROUND($J123-N($Q123),2))</f>
        <v/>
      </c>
      <c r="U123" t="inlineStr">
        <is>
          <t>sample-data</t>
        </is>
      </c>
      <c r="V123" t="inlineStr">
        <is>
          <t>SAMPLE</t>
        </is>
      </c>
      <c r="W123" t="inlineStr">
        <is>
          <t>CA74FA11</t>
        </is>
      </c>
      <c r="X123">
        <f>IF($C123="","",IFERROR(IF(_xlfn.ISFORMULA($K123),"Rule","Manual"),""))</f>
        <v/>
      </c>
      <c r="Y123" s="19">
        <f>IF($C123="","",IF(ReportView=PersonA,N($Q123),IF(ReportView=PersonB,N($R123),$J123)))</f>
        <v/>
      </c>
    </row>
    <row r="124">
      <c r="B124">
        <f>IF($C124="","","T"&amp;TEXT(ROW()-ROW(tblTxn[[#Headers],[Txn ID]]),"000000"))</f>
        <v/>
      </c>
      <c r="C124" s="18" t="n">
        <v>46147</v>
      </c>
      <c r="D124">
        <f>IF($C124="","",TEXT($C124,"yyyy-mm"))</f>
        <v/>
      </c>
      <c r="E124" t="inlineStr">
        <is>
          <t>BMO Joint Chequing</t>
        </is>
      </c>
      <c r="F124">
        <f>IF($C124="","",IFERROR(INDEX(tblAccounts[Owner],MATCH($E124,tblAccounts[Account],0)),"Joint"))</f>
        <v/>
      </c>
      <c r="G124">
        <f>IF($C124="","",IF(HouseholdMode="Couple",IFERROR(IF(INDEX(tblCategories[Default Owner],MATCH($K124,tblCategories[Category],0))="",$F124,INDEX(tblCategories[Default Owner],MATCH($K124,tblCategories[Category],0))),$F124),$F124))</f>
        <v/>
      </c>
      <c r="H124" t="inlineStr">
        <is>
          <t>LITTLE MAPLE DAYCARE PREAUTHORIZED DEBIT</t>
        </is>
      </c>
      <c r="I124">
        <f>IF($H124="","",$H124)</f>
        <v/>
      </c>
      <c r="J124" s="19" t="n">
        <v>-880</v>
      </c>
      <c r="K124">
        <f>IF($H124="","",IFERROR(INDEX(tblRules[Category],SUMPRODUCT(MIN((1-((tblRules[Enabled]&lt;&gt;"No")*(tblRules[Pattern]&lt;&gt;"")*(tblRules[Category]&lt;&gt;"")*((tblRules[Flow]="Any")+(tblRules[Flow]="")+((tblRules[Flow]="Money out")*($J124&lt;0))+((tblRules[Flow]="Money in")*($J124&gt;0)))*(((tblRules[Look In]="Account")*ISNUMBER(SEARCH(tblRules[Pattern],$E124)))+((tblRules[Look In]&lt;&gt;"Account")*(((tblRules[Test]="Word")*ISNUMBER(SEARCH(" "&amp;tblRules[Pattern]&amp;" "," "&amp;$H124&amp;" ")))+((tblRules[Test]&lt;&gt;"Word")*ISNUMBER(SEARCH(tblRules[Pattern],$H124))))))&gt;0))*1E+9+ROW(tblRules[Pattern])))-ROW(tblRules[[#Headers],[Pattern]])),"Uncategorized"))</f>
        <v/>
      </c>
      <c r="L124">
        <f>IF($C124="","",IFERROR(INDEX(tblCategories[Group],MATCH($K124,tblCategories[Category],0)),"Other"))</f>
        <v/>
      </c>
      <c r="M124">
        <f>IF($C124="","",IFERROR(INDEX(tblCategories[Type],MATCH($K124,tblCategories[Category],0)),IF($J124&gt;0,"Income","Expense")))</f>
        <v/>
      </c>
      <c r="N124">
        <f>IF($C124="","",IFERROR(INDEX(tblCategories[Essential],MATCH($K124,tblCategories[Category],0)),"No"))</f>
        <v/>
      </c>
      <c r="O124">
        <f>IF($C124="","",IFERROR(INDEX(tblCategories[Tax Tag],MATCH($K124,tblCategories[Category],0)),""))</f>
        <v/>
      </c>
      <c r="P124" s="20">
        <f>IF($C124="","",IF($G124=PersonA,1,IF($G124=PersonB,0,IFERROR(INDEX(tblCategories[Joint Split A],MATCH($K124,tblCategories[Category],0)),DefaultSplitA))))</f>
        <v/>
      </c>
      <c r="Q124" s="19">
        <f>IF($C124="","",ROUND($J124*N($P124),2))</f>
        <v/>
      </c>
      <c r="R124" s="19">
        <f>IF($C124="","",ROUND($J124-N($Q124),2))</f>
        <v/>
      </c>
      <c r="U124" t="inlineStr">
        <is>
          <t>sample-data</t>
        </is>
      </c>
      <c r="V124" t="inlineStr">
        <is>
          <t>SAMPLE</t>
        </is>
      </c>
      <c r="W124" t="inlineStr">
        <is>
          <t>E08162E2</t>
        </is>
      </c>
      <c r="X124">
        <f>IF($C124="","",IFERROR(IF(_xlfn.ISFORMULA($K124),"Rule","Manual"),""))</f>
        <v/>
      </c>
      <c r="Y124" s="19">
        <f>IF($C124="","",IF(ReportView=PersonA,N($Q124),IF(ReportView=PersonB,N($R124),$J124)))</f>
        <v/>
      </c>
    </row>
    <row r="125">
      <c r="B125">
        <f>IF($C125="","","T"&amp;TEXT(ROW()-ROW(tblTxn[[#Headers],[Txn ID]]),"000000"))</f>
        <v/>
      </c>
      <c r="C125" s="18" t="n">
        <v>46148</v>
      </c>
      <c r="D125">
        <f>IF($C125="","",TEXT($C125,"yyyy-mm"))</f>
        <v/>
      </c>
      <c r="E125" t="inlineStr">
        <is>
          <t>BMO Joint Chequing</t>
        </is>
      </c>
      <c r="F125">
        <f>IF($C125="","",IFERROR(INDEX(tblAccounts[Owner],MATCH($E125,tblAccounts[Account],0)),"Joint"))</f>
        <v/>
      </c>
      <c r="G125">
        <f>IF($C125="","",IF(HouseholdMode="Couple",IFERROR(IF(INDEX(tblCategories[Default Owner],MATCH($K125,tblCategories[Category],0))="",$F125,INDEX(tblCategories[Default Owner],MATCH($K125,tblCategories[Category],0))),$F125),$F125))</f>
        <v/>
      </c>
      <c r="H125" t="inlineStr">
        <is>
          <t>SUN LIFE ASSURANCE MISC PAYMENT</t>
        </is>
      </c>
      <c r="I125">
        <f>IF($H125="","",$H125)</f>
        <v/>
      </c>
      <c r="J125" s="19" t="n">
        <v>-74.5</v>
      </c>
      <c r="K125">
        <f>IF($H125="","",IFERROR(INDEX(tblRules[Category],SUMPRODUCT(MIN((1-((tblRules[Enabled]&lt;&gt;"No")*(tblRules[Pattern]&lt;&gt;"")*(tblRules[Category]&lt;&gt;"")*((tblRules[Flow]="Any")+(tblRules[Flow]="")+((tblRules[Flow]="Money out")*($J125&lt;0))+((tblRules[Flow]="Money in")*($J125&gt;0)))*(((tblRules[Look In]="Account")*ISNUMBER(SEARCH(tblRules[Pattern],$E125)))+((tblRules[Look In]&lt;&gt;"Account")*(((tblRules[Test]="Word")*ISNUMBER(SEARCH(" "&amp;tblRules[Pattern]&amp;" "," "&amp;$H125&amp;" ")))+((tblRules[Test]&lt;&gt;"Word")*ISNUMBER(SEARCH(tblRules[Pattern],$H125))))))&gt;0))*1E+9+ROW(tblRules[Pattern])))-ROW(tblRules[[#Headers],[Pattern]])),"Uncategorized"))</f>
        <v/>
      </c>
      <c r="L125">
        <f>IF($C125="","",IFERROR(INDEX(tblCategories[Group],MATCH($K125,tblCategories[Category],0)),"Other"))</f>
        <v/>
      </c>
      <c r="M125">
        <f>IF($C125="","",IFERROR(INDEX(tblCategories[Type],MATCH($K125,tblCategories[Category],0)),IF($J125&gt;0,"Income","Expense")))</f>
        <v/>
      </c>
      <c r="N125">
        <f>IF($C125="","",IFERROR(INDEX(tblCategories[Essential],MATCH($K125,tblCategories[Category],0)),"No"))</f>
        <v/>
      </c>
      <c r="O125">
        <f>IF($C125="","",IFERROR(INDEX(tblCategories[Tax Tag],MATCH($K125,tblCategories[Category],0)),""))</f>
        <v/>
      </c>
      <c r="P125" s="20">
        <f>IF($C125="","",IF($G125=PersonA,1,IF($G125=PersonB,0,IFERROR(INDEX(tblCategories[Joint Split A],MATCH($K125,tblCategories[Category],0)),DefaultSplitA))))</f>
        <v/>
      </c>
      <c r="Q125" s="19">
        <f>IF($C125="","",ROUND($J125*N($P125),2))</f>
        <v/>
      </c>
      <c r="R125" s="19">
        <f>IF($C125="","",ROUND($J125-N($Q125),2))</f>
        <v/>
      </c>
      <c r="U125" t="inlineStr">
        <is>
          <t>sample-data</t>
        </is>
      </c>
      <c r="V125" t="inlineStr">
        <is>
          <t>SAMPLE</t>
        </is>
      </c>
      <c r="W125" t="inlineStr">
        <is>
          <t>81863B24</t>
        </is>
      </c>
      <c r="X125">
        <f>IF($C125="","",IFERROR(IF(_xlfn.ISFORMULA($K125),"Rule","Manual"),""))</f>
        <v/>
      </c>
      <c r="Y125" s="19">
        <f>IF($C125="","",IF(ReportView=PersonA,N($Q125),IF(ReportView=PersonB,N($R125),$J125)))</f>
        <v/>
      </c>
    </row>
    <row r="126">
      <c r="B126">
        <f>IF($C126="","","T"&amp;TEXT(ROW()-ROW(tblTxn[[#Headers],[Txn ID]]),"000000"))</f>
        <v/>
      </c>
      <c r="C126" s="18" t="n">
        <v>46150</v>
      </c>
      <c r="D126">
        <f>IF($C126="","",TEXT($C126,"yyyy-mm"))</f>
        <v/>
      </c>
      <c r="E126" t="inlineStr">
        <is>
          <t>BMO Joint Chequing</t>
        </is>
      </c>
      <c r="F126">
        <f>IF($C126="","",IFERROR(INDEX(tblAccounts[Owner],MATCH($E126,tblAccounts[Account],0)),"Joint"))</f>
        <v/>
      </c>
      <c r="G126">
        <f>IF($C126="","",IF(HouseholdMode="Couple",IFERROR(IF(INDEX(tblCategories[Default Owner],MATCH($K126,tblCategories[Category],0))="",$F126,INDEX(tblCategories[Default Owner],MATCH($K126,tblCategories[Category],0))),$F126),$F126))</f>
        <v/>
      </c>
      <c r="H126" t="inlineStr">
        <is>
          <t>IDP PURCHASE - 4123 NO FRILLS #3893 TORONTO ON</t>
        </is>
      </c>
      <c r="I126">
        <f>IF($H126="","",$H126)</f>
        <v/>
      </c>
      <c r="J126" s="19" t="n">
        <v>-67.92</v>
      </c>
      <c r="K126">
        <f>IF($H126="","",IFERROR(INDEX(tblRules[Category],SUMPRODUCT(MIN((1-((tblRules[Enabled]&lt;&gt;"No")*(tblRules[Pattern]&lt;&gt;"")*(tblRules[Category]&lt;&gt;"")*((tblRules[Flow]="Any")+(tblRules[Flow]="")+((tblRules[Flow]="Money out")*($J126&lt;0))+((tblRules[Flow]="Money in")*($J126&gt;0)))*(((tblRules[Look In]="Account")*ISNUMBER(SEARCH(tblRules[Pattern],$E126)))+((tblRules[Look In]&lt;&gt;"Account")*(((tblRules[Test]="Word")*ISNUMBER(SEARCH(" "&amp;tblRules[Pattern]&amp;" "," "&amp;$H126&amp;" ")))+((tblRules[Test]&lt;&gt;"Word")*ISNUMBER(SEARCH(tblRules[Pattern],$H126))))))&gt;0))*1E+9+ROW(tblRules[Pattern])))-ROW(tblRules[[#Headers],[Pattern]])),"Uncategorized"))</f>
        <v/>
      </c>
      <c r="L126">
        <f>IF($C126="","",IFERROR(INDEX(tblCategories[Group],MATCH($K126,tblCategories[Category],0)),"Other"))</f>
        <v/>
      </c>
      <c r="M126">
        <f>IF($C126="","",IFERROR(INDEX(tblCategories[Type],MATCH($K126,tblCategories[Category],0)),IF($J126&gt;0,"Income","Expense")))</f>
        <v/>
      </c>
      <c r="N126">
        <f>IF($C126="","",IFERROR(INDEX(tblCategories[Essential],MATCH($K126,tblCategories[Category],0)),"No"))</f>
        <v/>
      </c>
      <c r="O126">
        <f>IF($C126="","",IFERROR(INDEX(tblCategories[Tax Tag],MATCH($K126,tblCategories[Category],0)),""))</f>
        <v/>
      </c>
      <c r="P126" s="20">
        <f>IF($C126="","",IF($G126=PersonA,1,IF($G126=PersonB,0,IFERROR(INDEX(tblCategories[Joint Split A],MATCH($K126,tblCategories[Category],0)),DefaultSplitA))))</f>
        <v/>
      </c>
      <c r="Q126" s="19">
        <f>IF($C126="","",ROUND($J126*N($P126),2))</f>
        <v/>
      </c>
      <c r="R126" s="19">
        <f>IF($C126="","",ROUND($J126-N($Q126),2))</f>
        <v/>
      </c>
      <c r="U126" t="inlineStr">
        <is>
          <t>sample-data</t>
        </is>
      </c>
      <c r="V126" t="inlineStr">
        <is>
          <t>SAMPLE</t>
        </is>
      </c>
      <c r="W126" t="inlineStr">
        <is>
          <t>FC026329</t>
        </is>
      </c>
      <c r="X126">
        <f>IF($C126="","",IFERROR(IF(_xlfn.ISFORMULA($K126),"Rule","Manual"),""))</f>
        <v/>
      </c>
      <c r="Y126" s="19">
        <f>IF($C126="","",IF(ReportView=PersonA,N($Q126),IF(ReportView=PersonB,N($R126),$J126)))</f>
        <v/>
      </c>
    </row>
    <row r="127">
      <c r="B127">
        <f>IF($C127="","","T"&amp;TEXT(ROW()-ROW(tblTxn[[#Headers],[Txn ID]]),"000000"))</f>
        <v/>
      </c>
      <c r="C127" s="18" t="n">
        <v>46150</v>
      </c>
      <c r="D127">
        <f>IF($C127="","",TEXT($C127,"yyyy-mm"))</f>
        <v/>
      </c>
      <c r="E127" t="inlineStr">
        <is>
          <t>BMO Joint Chequing</t>
        </is>
      </c>
      <c r="F127">
        <f>IF($C127="","",IFERROR(INDEX(tblAccounts[Owner],MATCH($E127,tblAccounts[Account],0)),"Joint"))</f>
        <v/>
      </c>
      <c r="G127">
        <f>IF($C127="","",IF(HouseholdMode="Couple",IFERROR(IF(INDEX(tblCategories[Default Owner],MATCH($K127,tblCategories[Category],0))="",$F127,INDEX(tblCategories[Default Owner],MATCH($K127,tblCategories[Category],0))),$F127),$F127))</f>
        <v/>
      </c>
      <c r="H127" t="inlineStr">
        <is>
          <t>PRESTO FARE/TRANSIT TORONTO ON</t>
        </is>
      </c>
      <c r="I127">
        <f>IF($H127="","",$H127)</f>
        <v/>
      </c>
      <c r="J127" s="19" t="n">
        <v>-63.83</v>
      </c>
      <c r="K127">
        <f>IF($H127="","",IFERROR(INDEX(tblRules[Category],SUMPRODUCT(MIN((1-((tblRules[Enabled]&lt;&gt;"No")*(tblRules[Pattern]&lt;&gt;"")*(tblRules[Category]&lt;&gt;"")*((tblRules[Flow]="Any")+(tblRules[Flow]="")+((tblRules[Flow]="Money out")*($J127&lt;0))+((tblRules[Flow]="Money in")*($J127&gt;0)))*(((tblRules[Look In]="Account")*ISNUMBER(SEARCH(tblRules[Pattern],$E127)))+((tblRules[Look In]&lt;&gt;"Account")*(((tblRules[Test]="Word")*ISNUMBER(SEARCH(" "&amp;tblRules[Pattern]&amp;" "," "&amp;$H127&amp;" ")))+((tblRules[Test]&lt;&gt;"Word")*ISNUMBER(SEARCH(tblRules[Pattern],$H127))))))&gt;0))*1E+9+ROW(tblRules[Pattern])))-ROW(tblRules[[#Headers],[Pattern]])),"Uncategorized"))</f>
        <v/>
      </c>
      <c r="L127">
        <f>IF($C127="","",IFERROR(INDEX(tblCategories[Group],MATCH($K127,tblCategories[Category],0)),"Other"))</f>
        <v/>
      </c>
      <c r="M127">
        <f>IF($C127="","",IFERROR(INDEX(tblCategories[Type],MATCH($K127,tblCategories[Category],0)),IF($J127&gt;0,"Income","Expense")))</f>
        <v/>
      </c>
      <c r="N127">
        <f>IF($C127="","",IFERROR(INDEX(tblCategories[Essential],MATCH($K127,tblCategories[Category],0)),"No"))</f>
        <v/>
      </c>
      <c r="O127">
        <f>IF($C127="","",IFERROR(INDEX(tblCategories[Tax Tag],MATCH($K127,tblCategories[Category],0)),""))</f>
        <v/>
      </c>
      <c r="P127" s="20">
        <f>IF($C127="","",IF($G127=PersonA,1,IF($G127=PersonB,0,IFERROR(INDEX(tblCategories[Joint Split A],MATCH($K127,tblCategories[Category],0)),DefaultSplitA))))</f>
        <v/>
      </c>
      <c r="Q127" s="19">
        <f>IF($C127="","",ROUND($J127*N($P127),2))</f>
        <v/>
      </c>
      <c r="R127" s="19">
        <f>IF($C127="","",ROUND($J127-N($Q127),2))</f>
        <v/>
      </c>
      <c r="U127" t="inlineStr">
        <is>
          <t>sample-data</t>
        </is>
      </c>
      <c r="V127" t="inlineStr">
        <is>
          <t>SAMPLE</t>
        </is>
      </c>
      <c r="W127" t="inlineStr">
        <is>
          <t>A87FC3DC</t>
        </is>
      </c>
      <c r="X127">
        <f>IF($C127="","",IFERROR(IF(_xlfn.ISFORMULA($K127),"Rule","Manual"),""))</f>
        <v/>
      </c>
      <c r="Y127" s="19">
        <f>IF($C127="","",IF(ReportView=PersonA,N($Q127),IF(ReportView=PersonB,N($R127),$J127)))</f>
        <v/>
      </c>
    </row>
    <row r="128">
      <c r="B128">
        <f>IF($C128="","","T"&amp;TEXT(ROW()-ROW(tblTxn[[#Headers],[Txn ID]]),"000000"))</f>
        <v/>
      </c>
      <c r="C128" s="18" t="n">
        <v>46150</v>
      </c>
      <c r="D128">
        <f>IF($C128="","",TEXT($C128,"yyyy-mm"))</f>
        <v/>
      </c>
      <c r="E128" t="inlineStr">
        <is>
          <t>BMO Joint Chequing</t>
        </is>
      </c>
      <c r="F128">
        <f>IF($C128="","",IFERROR(INDEX(tblAccounts[Owner],MATCH($E128,tblAccounts[Account],0)),"Joint"))</f>
        <v/>
      </c>
      <c r="G128">
        <f>IF($C128="","",IF(HouseholdMode="Couple",IFERROR(IF(INDEX(tblCategories[Default Owner],MATCH($K128,tblCategories[Category],0))="",$F128,INDEX(tblCategories[Default Owner],MATCH($K128,tblCategories[Category],0))),$F128),$F128))</f>
        <v/>
      </c>
      <c r="H128" t="inlineStr">
        <is>
          <t>TORONTO HYDRO BILL PAYMENT</t>
        </is>
      </c>
      <c r="I128">
        <f>IF($H128="","",$H128)</f>
        <v/>
      </c>
      <c r="J128" s="19" t="n">
        <v>-121.25</v>
      </c>
      <c r="K128">
        <f>IF($H128="","",IFERROR(INDEX(tblRules[Category],SUMPRODUCT(MIN((1-((tblRules[Enabled]&lt;&gt;"No")*(tblRules[Pattern]&lt;&gt;"")*(tblRules[Category]&lt;&gt;"")*((tblRules[Flow]="Any")+(tblRules[Flow]="")+((tblRules[Flow]="Money out")*($J128&lt;0))+((tblRules[Flow]="Money in")*($J128&gt;0)))*(((tblRules[Look In]="Account")*ISNUMBER(SEARCH(tblRules[Pattern],$E128)))+((tblRules[Look In]&lt;&gt;"Account")*(((tblRules[Test]="Word")*ISNUMBER(SEARCH(" "&amp;tblRules[Pattern]&amp;" "," "&amp;$H128&amp;" ")))+((tblRules[Test]&lt;&gt;"Word")*ISNUMBER(SEARCH(tblRules[Pattern],$H128))))))&gt;0))*1E+9+ROW(tblRules[Pattern])))-ROW(tblRules[[#Headers],[Pattern]])),"Uncategorized"))</f>
        <v/>
      </c>
      <c r="L128">
        <f>IF($C128="","",IFERROR(INDEX(tblCategories[Group],MATCH($K128,tblCategories[Category],0)),"Other"))</f>
        <v/>
      </c>
      <c r="M128">
        <f>IF($C128="","",IFERROR(INDEX(tblCategories[Type],MATCH($K128,tblCategories[Category],0)),IF($J128&gt;0,"Income","Expense")))</f>
        <v/>
      </c>
      <c r="N128">
        <f>IF($C128="","",IFERROR(INDEX(tblCategories[Essential],MATCH($K128,tblCategories[Category],0)),"No"))</f>
        <v/>
      </c>
      <c r="O128">
        <f>IF($C128="","",IFERROR(INDEX(tblCategories[Tax Tag],MATCH($K128,tblCategories[Category],0)),""))</f>
        <v/>
      </c>
      <c r="P128" s="20">
        <f>IF($C128="","",IF($G128=PersonA,1,IF($G128=PersonB,0,IFERROR(INDEX(tblCategories[Joint Split A],MATCH($K128,tblCategories[Category],0)),DefaultSplitA))))</f>
        <v/>
      </c>
      <c r="Q128" s="19">
        <f>IF($C128="","",ROUND($J128*N($P128),2))</f>
        <v/>
      </c>
      <c r="R128" s="19">
        <f>IF($C128="","",ROUND($J128-N($Q128),2))</f>
        <v/>
      </c>
      <c r="U128" t="inlineStr">
        <is>
          <t>sample-data</t>
        </is>
      </c>
      <c r="V128" t="inlineStr">
        <is>
          <t>SAMPLE</t>
        </is>
      </c>
      <c r="W128" t="inlineStr">
        <is>
          <t>5BC9C798</t>
        </is>
      </c>
      <c r="X128">
        <f>IF($C128="","",IFERROR(IF(_xlfn.ISFORMULA($K128),"Rule","Manual"),""))</f>
        <v/>
      </c>
      <c r="Y128" s="19">
        <f>IF($C128="","",IF(ReportView=PersonA,N($Q128),IF(ReportView=PersonB,N($R128),$J128)))</f>
        <v/>
      </c>
    </row>
    <row r="129">
      <c r="B129">
        <f>IF($C129="","","T"&amp;TEXT(ROW()-ROW(tblTxn[[#Headers],[Txn ID]]),"000000"))</f>
        <v/>
      </c>
      <c r="C129" s="18" t="n">
        <v>46151</v>
      </c>
      <c r="D129">
        <f>IF($C129="","",TEXT($C129,"yyyy-mm"))</f>
        <v/>
      </c>
      <c r="E129" t="inlineStr">
        <is>
          <t>BMO Joint Chequing</t>
        </is>
      </c>
      <c r="F129">
        <f>IF($C129="","",IFERROR(INDEX(tblAccounts[Owner],MATCH($E129,tblAccounts[Account],0)),"Joint"))</f>
        <v/>
      </c>
      <c r="G129">
        <f>IF($C129="","",IF(HouseholdMode="Couple",IFERROR(IF(INDEX(tblCategories[Default Owner],MATCH($K129,tblCategories[Category],0))="",$F129,INDEX(tblCategories[Default Owner],MATCH($K129,tblCategories[Category],0))),$F129),$F129))</f>
        <v/>
      </c>
      <c r="H129" t="inlineStr">
        <is>
          <t>ENBRIDGE GAS PREAUTHORIZED DEBIT</t>
        </is>
      </c>
      <c r="I129">
        <f>IF($H129="","",$H129)</f>
        <v/>
      </c>
      <c r="J129" s="19" t="n">
        <v>-65.39</v>
      </c>
      <c r="K129">
        <f>IF($H129="","",IFERROR(INDEX(tblRules[Category],SUMPRODUCT(MIN((1-((tblRules[Enabled]&lt;&gt;"No")*(tblRules[Pattern]&lt;&gt;"")*(tblRules[Category]&lt;&gt;"")*((tblRules[Flow]="Any")+(tblRules[Flow]="")+((tblRules[Flow]="Money out")*($J129&lt;0))+((tblRules[Flow]="Money in")*($J129&gt;0)))*(((tblRules[Look In]="Account")*ISNUMBER(SEARCH(tblRules[Pattern],$E129)))+((tblRules[Look In]&lt;&gt;"Account")*(((tblRules[Test]="Word")*ISNUMBER(SEARCH(" "&amp;tblRules[Pattern]&amp;" "," "&amp;$H129&amp;" ")))+((tblRules[Test]&lt;&gt;"Word")*ISNUMBER(SEARCH(tblRules[Pattern],$H129))))))&gt;0))*1E+9+ROW(tblRules[Pattern])))-ROW(tblRules[[#Headers],[Pattern]])),"Uncategorized"))</f>
        <v/>
      </c>
      <c r="L129">
        <f>IF($C129="","",IFERROR(INDEX(tblCategories[Group],MATCH($K129,tblCategories[Category],0)),"Other"))</f>
        <v/>
      </c>
      <c r="M129">
        <f>IF($C129="","",IFERROR(INDEX(tblCategories[Type],MATCH($K129,tblCategories[Category],0)),IF($J129&gt;0,"Income","Expense")))</f>
        <v/>
      </c>
      <c r="N129">
        <f>IF($C129="","",IFERROR(INDEX(tblCategories[Essential],MATCH($K129,tblCategories[Category],0)),"No"))</f>
        <v/>
      </c>
      <c r="O129">
        <f>IF($C129="","",IFERROR(INDEX(tblCategories[Tax Tag],MATCH($K129,tblCategories[Category],0)),""))</f>
        <v/>
      </c>
      <c r="P129" s="20">
        <f>IF($C129="","",IF($G129=PersonA,1,IF($G129=PersonB,0,IFERROR(INDEX(tblCategories[Joint Split A],MATCH($K129,tblCategories[Category],0)),DefaultSplitA))))</f>
        <v/>
      </c>
      <c r="Q129" s="19">
        <f>IF($C129="","",ROUND($J129*N($P129),2))</f>
        <v/>
      </c>
      <c r="R129" s="19">
        <f>IF($C129="","",ROUND($J129-N($Q129),2))</f>
        <v/>
      </c>
      <c r="U129" t="inlineStr">
        <is>
          <t>sample-data</t>
        </is>
      </c>
      <c r="V129" t="inlineStr">
        <is>
          <t>SAMPLE</t>
        </is>
      </c>
      <c r="W129" t="inlineStr">
        <is>
          <t>A50E65A6</t>
        </is>
      </c>
      <c r="X129">
        <f>IF($C129="","",IFERROR(IF(_xlfn.ISFORMULA($K129),"Rule","Manual"),""))</f>
        <v/>
      </c>
      <c r="Y129" s="19">
        <f>IF($C129="","",IF(ReportView=PersonA,N($Q129),IF(ReportView=PersonB,N($R129),$J129)))</f>
        <v/>
      </c>
    </row>
    <row r="130">
      <c r="B130">
        <f>IF($C130="","","T"&amp;TEXT(ROW()-ROW(tblTxn[[#Headers],[Txn ID]]),"000000"))</f>
        <v/>
      </c>
      <c r="C130" s="18" t="n">
        <v>46151</v>
      </c>
      <c r="D130">
        <f>IF($C130="","",TEXT($C130,"yyyy-mm"))</f>
        <v/>
      </c>
      <c r="E130" t="inlineStr">
        <is>
          <t>BMO Joint Chequing</t>
        </is>
      </c>
      <c r="F130">
        <f>IF($C130="","",IFERROR(INDEX(tblAccounts[Owner],MATCH($E130,tblAccounts[Account],0)),"Joint"))</f>
        <v/>
      </c>
      <c r="G130">
        <f>IF($C130="","",IF(HouseholdMode="Couple",IFERROR(IF(INDEX(tblCategories[Default Owner],MATCH($K130,tblCategories[Category],0))="",$F130,INDEX(tblCategories[Default Owner],MATCH($K130,tblCategories[Category],0))),$F130),$F130))</f>
        <v/>
      </c>
      <c r="H130" t="inlineStr">
        <is>
          <t>IDP PURCHASE - 7297 INDIGO #2398 ON</t>
        </is>
      </c>
      <c r="I130">
        <f>IF($H130="","",$H130)</f>
        <v/>
      </c>
      <c r="J130" s="19" t="n">
        <v>-45.7</v>
      </c>
      <c r="K130">
        <f>IF($H130="","",IFERROR(INDEX(tblRules[Category],SUMPRODUCT(MIN((1-((tblRules[Enabled]&lt;&gt;"No")*(tblRules[Pattern]&lt;&gt;"")*(tblRules[Category]&lt;&gt;"")*((tblRules[Flow]="Any")+(tblRules[Flow]="")+((tblRules[Flow]="Money out")*($J130&lt;0))+((tblRules[Flow]="Money in")*($J130&gt;0)))*(((tblRules[Look In]="Account")*ISNUMBER(SEARCH(tblRules[Pattern],$E130)))+((tblRules[Look In]&lt;&gt;"Account")*(((tblRules[Test]="Word")*ISNUMBER(SEARCH(" "&amp;tblRules[Pattern]&amp;" "," "&amp;$H130&amp;" ")))+((tblRules[Test]&lt;&gt;"Word")*ISNUMBER(SEARCH(tblRules[Pattern],$H130))))))&gt;0))*1E+9+ROW(tblRules[Pattern])))-ROW(tblRules[[#Headers],[Pattern]])),"Uncategorized"))</f>
        <v/>
      </c>
      <c r="L130">
        <f>IF($C130="","",IFERROR(INDEX(tblCategories[Group],MATCH($K130,tblCategories[Category],0)),"Other"))</f>
        <v/>
      </c>
      <c r="M130">
        <f>IF($C130="","",IFERROR(INDEX(tblCategories[Type],MATCH($K130,tblCategories[Category],0)),IF($J130&gt;0,"Income","Expense")))</f>
        <v/>
      </c>
      <c r="N130">
        <f>IF($C130="","",IFERROR(INDEX(tblCategories[Essential],MATCH($K130,tblCategories[Category],0)),"No"))</f>
        <v/>
      </c>
      <c r="O130">
        <f>IF($C130="","",IFERROR(INDEX(tblCategories[Tax Tag],MATCH($K130,tblCategories[Category],0)),""))</f>
        <v/>
      </c>
      <c r="P130" s="20">
        <f>IF($C130="","",IF($G130=PersonA,1,IF($G130=PersonB,0,IFERROR(INDEX(tblCategories[Joint Split A],MATCH($K130,tblCategories[Category],0)),DefaultSplitA))))</f>
        <v/>
      </c>
      <c r="Q130" s="19">
        <f>IF($C130="","",ROUND($J130*N($P130),2))</f>
        <v/>
      </c>
      <c r="R130" s="19">
        <f>IF($C130="","",ROUND($J130-N($Q130),2))</f>
        <v/>
      </c>
      <c r="U130" t="inlineStr">
        <is>
          <t>sample-data</t>
        </is>
      </c>
      <c r="V130" t="inlineStr">
        <is>
          <t>SAMPLE</t>
        </is>
      </c>
      <c r="W130" t="inlineStr">
        <is>
          <t>AE875D88</t>
        </is>
      </c>
      <c r="X130">
        <f>IF($C130="","",IFERROR(IF(_xlfn.ISFORMULA($K130),"Rule","Manual"),""))</f>
        <v/>
      </c>
      <c r="Y130" s="19">
        <f>IF($C130="","",IF(ReportView=PersonA,N($Q130),IF(ReportView=PersonB,N($R130),$J130)))</f>
        <v/>
      </c>
    </row>
    <row r="131">
      <c r="B131">
        <f>IF($C131="","","T"&amp;TEXT(ROW()-ROW(tblTxn[[#Headers],[Txn ID]]),"000000"))</f>
        <v/>
      </c>
      <c r="C131" s="18" t="n">
        <v>46152</v>
      </c>
      <c r="D131">
        <f>IF($C131="","",TEXT($C131,"yyyy-mm"))</f>
        <v/>
      </c>
      <c r="E131" t="inlineStr">
        <is>
          <t>BMO Joint Chequing</t>
        </is>
      </c>
      <c r="F131">
        <f>IF($C131="","",IFERROR(INDEX(tblAccounts[Owner],MATCH($E131,tblAccounts[Account],0)),"Joint"))</f>
        <v/>
      </c>
      <c r="G131">
        <f>IF($C131="","",IF(HouseholdMode="Couple",IFERROR(IF(INDEX(tblCategories[Default Owner],MATCH($K131,tblCategories[Category],0))="",$F131,INDEX(tblCategories[Default Owner],MATCH($K131,tblCategories[Category],0))),$F131),$F131))</f>
        <v/>
      </c>
      <c r="H131" t="inlineStr">
        <is>
          <t>IDP PURCHASE - 1861 HOME DEPOT #2341 ON</t>
        </is>
      </c>
      <c r="I131">
        <f>IF($H131="","",$H131)</f>
        <v/>
      </c>
      <c r="J131" s="19" t="n">
        <v>-83.03</v>
      </c>
      <c r="K131">
        <f>IF($H131="","",IFERROR(INDEX(tblRules[Category],SUMPRODUCT(MIN((1-((tblRules[Enabled]&lt;&gt;"No")*(tblRules[Pattern]&lt;&gt;"")*(tblRules[Category]&lt;&gt;"")*((tblRules[Flow]="Any")+(tblRules[Flow]="")+((tblRules[Flow]="Money out")*($J131&lt;0))+((tblRules[Flow]="Money in")*($J131&gt;0)))*(((tblRules[Look In]="Account")*ISNUMBER(SEARCH(tblRules[Pattern],$E131)))+((tblRules[Look In]&lt;&gt;"Account")*(((tblRules[Test]="Word")*ISNUMBER(SEARCH(" "&amp;tblRules[Pattern]&amp;" "," "&amp;$H131&amp;" ")))+((tblRules[Test]&lt;&gt;"Word")*ISNUMBER(SEARCH(tblRules[Pattern],$H131))))))&gt;0))*1E+9+ROW(tblRules[Pattern])))-ROW(tblRules[[#Headers],[Pattern]])),"Uncategorized"))</f>
        <v/>
      </c>
      <c r="L131">
        <f>IF($C131="","",IFERROR(INDEX(tblCategories[Group],MATCH($K131,tblCategories[Category],0)),"Other"))</f>
        <v/>
      </c>
      <c r="M131">
        <f>IF($C131="","",IFERROR(INDEX(tblCategories[Type],MATCH($K131,tblCategories[Category],0)),IF($J131&gt;0,"Income","Expense")))</f>
        <v/>
      </c>
      <c r="N131">
        <f>IF($C131="","",IFERROR(INDEX(tblCategories[Essential],MATCH($K131,tblCategories[Category],0)),"No"))</f>
        <v/>
      </c>
      <c r="O131">
        <f>IF($C131="","",IFERROR(INDEX(tblCategories[Tax Tag],MATCH($K131,tblCategories[Category],0)),""))</f>
        <v/>
      </c>
      <c r="P131" s="20">
        <f>IF($C131="","",IF($G131=PersonA,1,IF($G131=PersonB,0,IFERROR(INDEX(tblCategories[Joint Split A],MATCH($K131,tblCategories[Category],0)),DefaultSplitA))))</f>
        <v/>
      </c>
      <c r="Q131" s="19">
        <f>IF($C131="","",ROUND($J131*N($P131),2))</f>
        <v/>
      </c>
      <c r="R131" s="19">
        <f>IF($C131="","",ROUND($J131-N($Q131),2))</f>
        <v/>
      </c>
      <c r="U131" t="inlineStr">
        <is>
          <t>sample-data</t>
        </is>
      </c>
      <c r="V131" t="inlineStr">
        <is>
          <t>SAMPLE</t>
        </is>
      </c>
      <c r="W131" t="inlineStr">
        <is>
          <t>8DB0407C</t>
        </is>
      </c>
      <c r="X131">
        <f>IF($C131="","",IFERROR(IF(_xlfn.ISFORMULA($K131),"Rule","Manual"),""))</f>
        <v/>
      </c>
      <c r="Y131" s="19">
        <f>IF($C131="","",IF(ReportView=PersonA,N($Q131),IF(ReportView=PersonB,N($R131),$J131)))</f>
        <v/>
      </c>
    </row>
    <row r="132">
      <c r="B132">
        <f>IF($C132="","","T"&amp;TEXT(ROW()-ROW(tblTxn[[#Headers],[Txn ID]]),"000000"))</f>
        <v/>
      </c>
      <c r="C132" s="18" t="n">
        <v>46153</v>
      </c>
      <c r="D132">
        <f>IF($C132="","",TEXT($C132,"yyyy-mm"))</f>
        <v/>
      </c>
      <c r="E132" t="inlineStr">
        <is>
          <t>RBC Chequing (Alex)</t>
        </is>
      </c>
      <c r="F132">
        <f>IF($C132="","",IFERROR(INDEX(tblAccounts[Owner],MATCH($E132,tblAccounts[Account],0)),"Joint"))</f>
        <v/>
      </c>
      <c r="G132">
        <f>IF($C132="","",IF(HouseholdMode="Couple",IFERROR(IF(INDEX(tblCategories[Default Owner],MATCH($K132,tblCategories[Category],0))="",$F132,INDEX(tblCategories[Default Owner],MATCH($K132,tblCategories[Category],0))),$F132),$F132))</f>
        <v/>
      </c>
      <c r="H132" t="inlineStr">
        <is>
          <t>ATM WITHDRAWAL 100 QUEEN ST W</t>
        </is>
      </c>
      <c r="I132">
        <f>IF($H132="","",$H132)</f>
        <v/>
      </c>
      <c r="J132" s="19" t="n">
        <v>-60</v>
      </c>
      <c r="K132">
        <f>IF($H132="","",IFERROR(INDEX(tblRules[Category],SUMPRODUCT(MIN((1-((tblRules[Enabled]&lt;&gt;"No")*(tblRules[Pattern]&lt;&gt;"")*(tblRules[Category]&lt;&gt;"")*((tblRules[Flow]="Any")+(tblRules[Flow]="")+((tblRules[Flow]="Money out")*($J132&lt;0))+((tblRules[Flow]="Money in")*($J132&gt;0)))*(((tblRules[Look In]="Account")*ISNUMBER(SEARCH(tblRules[Pattern],$E132)))+((tblRules[Look In]&lt;&gt;"Account")*(((tblRules[Test]="Word")*ISNUMBER(SEARCH(" "&amp;tblRules[Pattern]&amp;" "," "&amp;$H132&amp;" ")))+((tblRules[Test]&lt;&gt;"Word")*ISNUMBER(SEARCH(tblRules[Pattern],$H132))))))&gt;0))*1E+9+ROW(tblRules[Pattern])))-ROW(tblRules[[#Headers],[Pattern]])),"Uncategorized"))</f>
        <v/>
      </c>
      <c r="L132">
        <f>IF($C132="","",IFERROR(INDEX(tblCategories[Group],MATCH($K132,tblCategories[Category],0)),"Other"))</f>
        <v/>
      </c>
      <c r="M132">
        <f>IF($C132="","",IFERROR(INDEX(tblCategories[Type],MATCH($K132,tblCategories[Category],0)),IF($J132&gt;0,"Income","Expense")))</f>
        <v/>
      </c>
      <c r="N132">
        <f>IF($C132="","",IFERROR(INDEX(tblCategories[Essential],MATCH($K132,tblCategories[Category],0)),"No"))</f>
        <v/>
      </c>
      <c r="O132">
        <f>IF($C132="","",IFERROR(INDEX(tblCategories[Tax Tag],MATCH($K132,tblCategories[Category],0)),""))</f>
        <v/>
      </c>
      <c r="P132" s="20">
        <f>IF($C132="","",IF($G132=PersonA,1,IF($G132=PersonB,0,IFERROR(INDEX(tblCategories[Joint Split A],MATCH($K132,tblCategories[Category],0)),DefaultSplitA))))</f>
        <v/>
      </c>
      <c r="Q132" s="19">
        <f>IF($C132="","",ROUND($J132*N($P132),2))</f>
        <v/>
      </c>
      <c r="R132" s="19">
        <f>IF($C132="","",ROUND($J132-N($Q132),2))</f>
        <v/>
      </c>
      <c r="U132" t="inlineStr">
        <is>
          <t>sample-data</t>
        </is>
      </c>
      <c r="V132" t="inlineStr">
        <is>
          <t>SAMPLE</t>
        </is>
      </c>
      <c r="W132" t="inlineStr">
        <is>
          <t>03FC81D9</t>
        </is>
      </c>
      <c r="X132">
        <f>IF($C132="","",IFERROR(IF(_xlfn.ISFORMULA($K132),"Rule","Manual"),""))</f>
        <v/>
      </c>
      <c r="Y132" s="19">
        <f>IF($C132="","",IF(ReportView=PersonA,N($Q132),IF(ReportView=PersonB,N($R132),$J132)))</f>
        <v/>
      </c>
    </row>
    <row r="133">
      <c r="B133">
        <f>IF($C133="","","T"&amp;TEXT(ROW()-ROW(tblTxn[[#Headers],[Txn ID]]),"000000"))</f>
        <v/>
      </c>
      <c r="C133" s="18" t="n">
        <v>46154</v>
      </c>
      <c r="D133">
        <f>IF($C133="","",TEXT($C133,"yyyy-mm"))</f>
        <v/>
      </c>
      <c r="E133" t="inlineStr">
        <is>
          <t>BMO Joint Chequing</t>
        </is>
      </c>
      <c r="F133">
        <f>IF($C133="","",IFERROR(INDEX(tblAccounts[Owner],MATCH($E133,tblAccounts[Account],0)),"Joint"))</f>
        <v/>
      </c>
      <c r="G133">
        <f>IF($C133="","",IF(HouseholdMode="Couple",IFERROR(IF(INDEX(tblCategories[Default Owner],MATCH($K133,tblCategories[Category],0))="",$F133,INDEX(tblCategories[Default Owner],MATCH($K133,tblCategories[Category],0))),$F133),$F133))</f>
        <v/>
      </c>
      <c r="H133" t="inlineStr">
        <is>
          <t>ROGERS PREAUTHORIZED PAYMENT</t>
        </is>
      </c>
      <c r="I133">
        <f>IF($H133="","",$H133)</f>
        <v/>
      </c>
      <c r="J133" s="19" t="n">
        <v>-89.98999999999999</v>
      </c>
      <c r="K133">
        <f>IF($H133="","",IFERROR(INDEX(tblRules[Category],SUMPRODUCT(MIN((1-((tblRules[Enabled]&lt;&gt;"No")*(tblRules[Pattern]&lt;&gt;"")*(tblRules[Category]&lt;&gt;"")*((tblRules[Flow]="Any")+(tblRules[Flow]="")+((tblRules[Flow]="Money out")*($J133&lt;0))+((tblRules[Flow]="Money in")*($J133&gt;0)))*(((tblRules[Look In]="Account")*ISNUMBER(SEARCH(tblRules[Pattern],$E133)))+((tblRules[Look In]&lt;&gt;"Account")*(((tblRules[Test]="Word")*ISNUMBER(SEARCH(" "&amp;tblRules[Pattern]&amp;" "," "&amp;$H133&amp;" ")))+((tblRules[Test]&lt;&gt;"Word")*ISNUMBER(SEARCH(tblRules[Pattern],$H133))))))&gt;0))*1E+9+ROW(tblRules[Pattern])))-ROW(tblRules[[#Headers],[Pattern]])),"Uncategorized"))</f>
        <v/>
      </c>
      <c r="L133">
        <f>IF($C133="","",IFERROR(INDEX(tblCategories[Group],MATCH($K133,tblCategories[Category],0)),"Other"))</f>
        <v/>
      </c>
      <c r="M133">
        <f>IF($C133="","",IFERROR(INDEX(tblCategories[Type],MATCH($K133,tblCategories[Category],0)),IF($J133&gt;0,"Income","Expense")))</f>
        <v/>
      </c>
      <c r="N133">
        <f>IF($C133="","",IFERROR(INDEX(tblCategories[Essential],MATCH($K133,tblCategories[Category],0)),"No"))</f>
        <v/>
      </c>
      <c r="O133">
        <f>IF($C133="","",IFERROR(INDEX(tblCategories[Tax Tag],MATCH($K133,tblCategories[Category],0)),""))</f>
        <v/>
      </c>
      <c r="P133" s="20">
        <f>IF($C133="","",IF($G133=PersonA,1,IF($G133=PersonB,0,IFERROR(INDEX(tblCategories[Joint Split A],MATCH($K133,tblCategories[Category],0)),DefaultSplitA))))</f>
        <v/>
      </c>
      <c r="Q133" s="19">
        <f>IF($C133="","",ROUND($J133*N($P133),2))</f>
        <v/>
      </c>
      <c r="R133" s="19">
        <f>IF($C133="","",ROUND($J133-N($Q133),2))</f>
        <v/>
      </c>
      <c r="U133" t="inlineStr">
        <is>
          <t>sample-data</t>
        </is>
      </c>
      <c r="V133" t="inlineStr">
        <is>
          <t>SAMPLE</t>
        </is>
      </c>
      <c r="W133" t="inlineStr">
        <is>
          <t>1F40B5FD</t>
        </is>
      </c>
      <c r="X133">
        <f>IF($C133="","",IFERROR(IF(_xlfn.ISFORMULA($K133),"Rule","Manual"),""))</f>
        <v/>
      </c>
      <c r="Y133" s="19">
        <f>IF($C133="","",IF(ReportView=PersonA,N($Q133),IF(ReportView=PersonB,N($R133),$J133)))</f>
        <v/>
      </c>
    </row>
    <row r="134">
      <c r="B134">
        <f>IF($C134="","","T"&amp;TEXT(ROW()-ROW(tblTxn[[#Headers],[Txn ID]]),"000000"))</f>
        <v/>
      </c>
      <c r="C134" s="18" t="n">
        <v>46154</v>
      </c>
      <c r="D134">
        <f>IF($C134="","",TEXT($C134,"yyyy-mm"))</f>
        <v/>
      </c>
      <c r="E134" t="inlineStr">
        <is>
          <t>RBC Chequing (Alex)</t>
        </is>
      </c>
      <c r="F134">
        <f>IF($C134="","",IFERROR(INDEX(tblAccounts[Owner],MATCH($E134,tblAccounts[Account],0)),"Joint"))</f>
        <v/>
      </c>
      <c r="G134">
        <f>IF($C134="","",IF(HouseholdMode="Couple",IFERROR(IF(INDEX(tblCategories[Default Owner],MATCH($K134,tblCategories[Category],0))="",$F134,INDEX(tblCategories[Default Owner],MATCH($K134,tblCategories[Category],0))),$F134),$F134))</f>
        <v/>
      </c>
      <c r="H134" t="inlineStr">
        <is>
          <t>AMZ*UBER EATS TORONTO ON</t>
        </is>
      </c>
      <c r="I134">
        <f>IF($H134="","",$H134)</f>
        <v/>
      </c>
      <c r="J134" s="19" t="n">
        <v>-67.73999999999999</v>
      </c>
      <c r="K134">
        <f>IF($H134="","",IFERROR(INDEX(tblRules[Category],SUMPRODUCT(MIN((1-((tblRules[Enabled]&lt;&gt;"No")*(tblRules[Pattern]&lt;&gt;"")*(tblRules[Category]&lt;&gt;"")*((tblRules[Flow]="Any")+(tblRules[Flow]="")+((tblRules[Flow]="Money out")*($J134&lt;0))+((tblRules[Flow]="Money in")*($J134&gt;0)))*(((tblRules[Look In]="Account")*ISNUMBER(SEARCH(tblRules[Pattern],$E134)))+((tblRules[Look In]&lt;&gt;"Account")*(((tblRules[Test]="Word")*ISNUMBER(SEARCH(" "&amp;tblRules[Pattern]&amp;" "," "&amp;$H134&amp;" ")))+((tblRules[Test]&lt;&gt;"Word")*ISNUMBER(SEARCH(tblRules[Pattern],$H134))))))&gt;0))*1E+9+ROW(tblRules[Pattern])))-ROW(tblRules[[#Headers],[Pattern]])),"Uncategorized"))</f>
        <v/>
      </c>
      <c r="L134">
        <f>IF($C134="","",IFERROR(INDEX(tblCategories[Group],MATCH($K134,tblCategories[Category],0)),"Other"))</f>
        <v/>
      </c>
      <c r="M134">
        <f>IF($C134="","",IFERROR(INDEX(tblCategories[Type],MATCH($K134,tblCategories[Category],0)),IF($J134&gt;0,"Income","Expense")))</f>
        <v/>
      </c>
      <c r="N134">
        <f>IF($C134="","",IFERROR(INDEX(tblCategories[Essential],MATCH($K134,tblCategories[Category],0)),"No"))</f>
        <v/>
      </c>
      <c r="O134">
        <f>IF($C134="","",IFERROR(INDEX(tblCategories[Tax Tag],MATCH($K134,tblCategories[Category],0)),""))</f>
        <v/>
      </c>
      <c r="P134" s="20">
        <f>IF($C134="","",IF($G134=PersonA,1,IF($G134=PersonB,0,IFERROR(INDEX(tblCategories[Joint Split A],MATCH($K134,tblCategories[Category],0)),DefaultSplitA))))</f>
        <v/>
      </c>
      <c r="Q134" s="19">
        <f>IF($C134="","",ROUND($J134*N($P134),2))</f>
        <v/>
      </c>
      <c r="R134" s="19">
        <f>IF($C134="","",ROUND($J134-N($Q134),2))</f>
        <v/>
      </c>
      <c r="U134" t="inlineStr">
        <is>
          <t>sample-data</t>
        </is>
      </c>
      <c r="V134" t="inlineStr">
        <is>
          <t>SAMPLE</t>
        </is>
      </c>
      <c r="W134" t="inlineStr">
        <is>
          <t>21D55E9F</t>
        </is>
      </c>
      <c r="X134">
        <f>IF($C134="","",IFERROR(IF(_xlfn.ISFORMULA($K134),"Rule","Manual"),""))</f>
        <v/>
      </c>
      <c r="Y134" s="19">
        <f>IF($C134="","",IF(ReportView=PersonA,N($Q134),IF(ReportView=PersonB,N($R134),$J134)))</f>
        <v/>
      </c>
    </row>
    <row r="135">
      <c r="B135">
        <f>IF($C135="","","T"&amp;TEXT(ROW()-ROW(tblTxn[[#Headers],[Txn ID]]),"000000"))</f>
        <v/>
      </c>
      <c r="C135" s="18" t="n">
        <v>46156</v>
      </c>
      <c r="D135">
        <f>IF($C135="","",TEXT($C135,"yyyy-mm"))</f>
        <v/>
      </c>
      <c r="E135" t="inlineStr">
        <is>
          <t>Amex Cobalt (Joint)</t>
        </is>
      </c>
      <c r="F135">
        <f>IF($C135="","",IFERROR(INDEX(tblAccounts[Owner],MATCH($E135,tblAccounts[Account],0)),"Joint"))</f>
        <v/>
      </c>
      <c r="G135">
        <f>IF($C135="","",IF(HouseholdMode="Couple",IFERROR(IF(INDEX(tblCategories[Default Owner],MATCH($K135,tblCategories[Category],0))="",$F135,INDEX(tblCategories[Default Owner],MATCH($K135,tblCategories[Category],0))),$F135),$F135))</f>
        <v/>
      </c>
      <c r="H135" t="inlineStr">
        <is>
          <t>IDP PURCHASE - 8182 NO FRILLS #2180 TORONTO ON</t>
        </is>
      </c>
      <c r="I135">
        <f>IF($H135="","",$H135)</f>
        <v/>
      </c>
      <c r="J135" s="19" t="n">
        <v>-92.7</v>
      </c>
      <c r="K135">
        <f>IF($H135="","",IFERROR(INDEX(tblRules[Category],SUMPRODUCT(MIN((1-((tblRules[Enabled]&lt;&gt;"No")*(tblRules[Pattern]&lt;&gt;"")*(tblRules[Category]&lt;&gt;"")*((tblRules[Flow]="Any")+(tblRules[Flow]="")+((tblRules[Flow]="Money out")*($J135&lt;0))+((tblRules[Flow]="Money in")*($J135&gt;0)))*(((tblRules[Look In]="Account")*ISNUMBER(SEARCH(tblRules[Pattern],$E135)))+((tblRules[Look In]&lt;&gt;"Account")*(((tblRules[Test]="Word")*ISNUMBER(SEARCH(" "&amp;tblRules[Pattern]&amp;" "," "&amp;$H135&amp;" ")))+((tblRules[Test]&lt;&gt;"Word")*ISNUMBER(SEARCH(tblRules[Pattern],$H135))))))&gt;0))*1E+9+ROW(tblRules[Pattern])))-ROW(tblRules[[#Headers],[Pattern]])),"Uncategorized"))</f>
        <v/>
      </c>
      <c r="L135">
        <f>IF($C135="","",IFERROR(INDEX(tblCategories[Group],MATCH($K135,tblCategories[Category],0)),"Other"))</f>
        <v/>
      </c>
      <c r="M135">
        <f>IF($C135="","",IFERROR(INDEX(tblCategories[Type],MATCH($K135,tblCategories[Category],0)),IF($J135&gt;0,"Income","Expense")))</f>
        <v/>
      </c>
      <c r="N135">
        <f>IF($C135="","",IFERROR(INDEX(tblCategories[Essential],MATCH($K135,tblCategories[Category],0)),"No"))</f>
        <v/>
      </c>
      <c r="O135">
        <f>IF($C135="","",IFERROR(INDEX(tblCategories[Tax Tag],MATCH($K135,tblCategories[Category],0)),""))</f>
        <v/>
      </c>
      <c r="P135" s="20">
        <f>IF($C135="","",IF($G135=PersonA,1,IF($G135=PersonB,0,IFERROR(INDEX(tblCategories[Joint Split A],MATCH($K135,tblCategories[Category],0)),DefaultSplitA))))</f>
        <v/>
      </c>
      <c r="Q135" s="19">
        <f>IF($C135="","",ROUND($J135*N($P135),2))</f>
        <v/>
      </c>
      <c r="R135" s="19">
        <f>IF($C135="","",ROUND($J135-N($Q135),2))</f>
        <v/>
      </c>
      <c r="U135" t="inlineStr">
        <is>
          <t>sample-data</t>
        </is>
      </c>
      <c r="V135" t="inlineStr">
        <is>
          <t>SAMPLE</t>
        </is>
      </c>
      <c r="W135" t="inlineStr">
        <is>
          <t>71392722</t>
        </is>
      </c>
      <c r="X135">
        <f>IF($C135="","",IFERROR(IF(_xlfn.ISFORMULA($K135),"Rule","Manual"),""))</f>
        <v/>
      </c>
      <c r="Y135" s="19">
        <f>IF($C135="","",IF(ReportView=PersonA,N($Q135),IF(ReportView=PersonB,N($R135),$J135)))</f>
        <v/>
      </c>
    </row>
    <row r="136">
      <c r="B136">
        <f>IF($C136="","","T"&amp;TEXT(ROW()-ROW(tblTxn[[#Headers],[Txn ID]]),"000000"))</f>
        <v/>
      </c>
      <c r="C136" s="18" t="n">
        <v>46156</v>
      </c>
      <c r="D136">
        <f>IF($C136="","",TEXT($C136,"yyyy-mm"))</f>
        <v/>
      </c>
      <c r="E136" t="inlineStr">
        <is>
          <t>BMO Joint Chequing</t>
        </is>
      </c>
      <c r="F136">
        <f>IF($C136="","",IFERROR(INDEX(tblAccounts[Owner],MATCH($E136,tblAccounts[Account],0)),"Joint"))</f>
        <v/>
      </c>
      <c r="G136">
        <f>IF($C136="","",IF(HouseholdMode="Couple",IFERROR(IF(INDEX(tblCategories[Default Owner],MATCH($K136,tblCategories[Category],0))="",$F136,INDEX(tblCategories[Default Owner],MATCH($K136,tblCategories[Category],0))),$F136),$F136))</f>
        <v/>
      </c>
      <c r="H136" t="inlineStr">
        <is>
          <t>FREEDOM MOBILE PREAUTHORIZED DEBIT</t>
        </is>
      </c>
      <c r="I136">
        <f>IF($H136="","",$H136)</f>
        <v/>
      </c>
      <c r="J136" s="19" t="n">
        <v>-45</v>
      </c>
      <c r="K136">
        <f>IF($H136="","",IFERROR(INDEX(tblRules[Category],SUMPRODUCT(MIN((1-((tblRules[Enabled]&lt;&gt;"No")*(tblRules[Pattern]&lt;&gt;"")*(tblRules[Category]&lt;&gt;"")*((tblRules[Flow]="Any")+(tblRules[Flow]="")+((tblRules[Flow]="Money out")*($J136&lt;0))+((tblRules[Flow]="Money in")*($J136&gt;0)))*(((tblRules[Look In]="Account")*ISNUMBER(SEARCH(tblRules[Pattern],$E136)))+((tblRules[Look In]&lt;&gt;"Account")*(((tblRules[Test]="Word")*ISNUMBER(SEARCH(" "&amp;tblRules[Pattern]&amp;" "," "&amp;$H136&amp;" ")))+((tblRules[Test]&lt;&gt;"Word")*ISNUMBER(SEARCH(tblRules[Pattern],$H136))))))&gt;0))*1E+9+ROW(tblRules[Pattern])))-ROW(tblRules[[#Headers],[Pattern]])),"Uncategorized"))</f>
        <v/>
      </c>
      <c r="L136">
        <f>IF($C136="","",IFERROR(INDEX(tblCategories[Group],MATCH($K136,tblCategories[Category],0)),"Other"))</f>
        <v/>
      </c>
      <c r="M136">
        <f>IF($C136="","",IFERROR(INDEX(tblCategories[Type],MATCH($K136,tblCategories[Category],0)),IF($J136&gt;0,"Income","Expense")))</f>
        <v/>
      </c>
      <c r="N136">
        <f>IF($C136="","",IFERROR(INDEX(tblCategories[Essential],MATCH($K136,tblCategories[Category],0)),"No"))</f>
        <v/>
      </c>
      <c r="O136">
        <f>IF($C136="","",IFERROR(INDEX(tblCategories[Tax Tag],MATCH($K136,tblCategories[Category],0)),""))</f>
        <v/>
      </c>
      <c r="P136" s="20">
        <f>IF($C136="","",IF($G136=PersonA,1,IF($G136=PersonB,0,IFERROR(INDEX(tblCategories[Joint Split A],MATCH($K136,tblCategories[Category],0)),DefaultSplitA))))</f>
        <v/>
      </c>
      <c r="Q136" s="19">
        <f>IF($C136="","",ROUND($J136*N($P136),2))</f>
        <v/>
      </c>
      <c r="R136" s="19">
        <f>IF($C136="","",ROUND($J136-N($Q136),2))</f>
        <v/>
      </c>
      <c r="U136" t="inlineStr">
        <is>
          <t>sample-data</t>
        </is>
      </c>
      <c r="V136" t="inlineStr">
        <is>
          <t>SAMPLE</t>
        </is>
      </c>
      <c r="W136" t="inlineStr">
        <is>
          <t>B3C5032D</t>
        </is>
      </c>
      <c r="X136">
        <f>IF($C136="","",IFERROR(IF(_xlfn.ISFORMULA($K136),"Rule","Manual"),""))</f>
        <v/>
      </c>
      <c r="Y136" s="19">
        <f>IF($C136="","",IF(ReportView=PersonA,N($Q136),IF(ReportView=PersonB,N($R136),$J136)))</f>
        <v/>
      </c>
    </row>
    <row r="137">
      <c r="B137">
        <f>IF($C137="","","T"&amp;TEXT(ROW()-ROW(tblTxn[[#Headers],[Txn ID]]),"000000"))</f>
        <v/>
      </c>
      <c r="C137" s="18" t="n">
        <v>46156</v>
      </c>
      <c r="D137">
        <f>IF($C137="","",TEXT($C137,"yyyy-mm"))</f>
        <v/>
      </c>
      <c r="E137" t="inlineStr">
        <is>
          <t>Tangerine Chequing (Sam)</t>
        </is>
      </c>
      <c r="F137">
        <f>IF($C137="","",IFERROR(INDEX(tblAccounts[Owner],MATCH($E137,tblAccounts[Account],0)),"Joint"))</f>
        <v/>
      </c>
      <c r="G137">
        <f>IF($C137="","",IF(HouseholdMode="Couple",IFERROR(IF(INDEX(tblCategories[Default Owner],MATCH($K137,tblCategories[Category],0))="",$F137,INDEX(tblCategories[Default Owner],MATCH($K137,tblCategories[Category],0))),$F137),$F137))</f>
        <v/>
      </c>
      <c r="H137" t="inlineStr">
        <is>
          <t>IDP PURCHASE - 5570 TIM HORTONS #2815 TORONTO ON</t>
        </is>
      </c>
      <c r="I137">
        <f>IF($H137="","",$H137)</f>
        <v/>
      </c>
      <c r="J137" s="19" t="n">
        <v>-11.3</v>
      </c>
      <c r="K137">
        <f>IF($H137="","",IFERROR(INDEX(tblRules[Category],SUMPRODUCT(MIN((1-((tblRules[Enabled]&lt;&gt;"No")*(tblRules[Pattern]&lt;&gt;"")*(tblRules[Category]&lt;&gt;"")*((tblRules[Flow]="Any")+(tblRules[Flow]="")+((tblRules[Flow]="Money out")*($J137&lt;0))+((tblRules[Flow]="Money in")*($J137&gt;0)))*(((tblRules[Look In]="Account")*ISNUMBER(SEARCH(tblRules[Pattern],$E137)))+((tblRules[Look In]&lt;&gt;"Account")*(((tblRules[Test]="Word")*ISNUMBER(SEARCH(" "&amp;tblRules[Pattern]&amp;" "," "&amp;$H137&amp;" ")))+((tblRules[Test]&lt;&gt;"Word")*ISNUMBER(SEARCH(tblRules[Pattern],$H137))))))&gt;0))*1E+9+ROW(tblRules[Pattern])))-ROW(tblRules[[#Headers],[Pattern]])),"Uncategorized"))</f>
        <v/>
      </c>
      <c r="L137">
        <f>IF($C137="","",IFERROR(INDEX(tblCategories[Group],MATCH($K137,tblCategories[Category],0)),"Other"))</f>
        <v/>
      </c>
      <c r="M137">
        <f>IF($C137="","",IFERROR(INDEX(tblCategories[Type],MATCH($K137,tblCategories[Category],0)),IF($J137&gt;0,"Income","Expense")))</f>
        <v/>
      </c>
      <c r="N137">
        <f>IF($C137="","",IFERROR(INDEX(tblCategories[Essential],MATCH($K137,tblCategories[Category],0)),"No"))</f>
        <v/>
      </c>
      <c r="O137">
        <f>IF($C137="","",IFERROR(INDEX(tblCategories[Tax Tag],MATCH($K137,tblCategories[Category],0)),""))</f>
        <v/>
      </c>
      <c r="P137" s="20">
        <f>IF($C137="","",IF($G137=PersonA,1,IF($G137=PersonB,0,IFERROR(INDEX(tblCategories[Joint Split A],MATCH($K137,tblCategories[Category],0)),DefaultSplitA))))</f>
        <v/>
      </c>
      <c r="Q137" s="19">
        <f>IF($C137="","",ROUND($J137*N($P137),2))</f>
        <v/>
      </c>
      <c r="R137" s="19">
        <f>IF($C137="","",ROUND($J137-N($Q137),2))</f>
        <v/>
      </c>
      <c r="U137" t="inlineStr">
        <is>
          <t>sample-data</t>
        </is>
      </c>
      <c r="V137" t="inlineStr">
        <is>
          <t>SAMPLE</t>
        </is>
      </c>
      <c r="W137" t="inlineStr">
        <is>
          <t>DB619508</t>
        </is>
      </c>
      <c r="X137">
        <f>IF($C137="","",IFERROR(IF(_xlfn.ISFORMULA($K137),"Rule","Manual"),""))</f>
        <v/>
      </c>
      <c r="Y137" s="19">
        <f>IF($C137="","",IF(ReportView=PersonA,N($Q137),IF(ReportView=PersonB,N($R137),$J137)))</f>
        <v/>
      </c>
    </row>
    <row r="138">
      <c r="B138">
        <f>IF($C138="","","T"&amp;TEXT(ROW()-ROW(tblTxn[[#Headers],[Txn ID]]),"000000"))</f>
        <v/>
      </c>
      <c r="C138" s="18" t="n">
        <v>46157</v>
      </c>
      <c r="D138">
        <f>IF($C138="","",TEXT($C138,"yyyy-mm"))</f>
        <v/>
      </c>
      <c r="E138" t="inlineStr">
        <is>
          <t>Amex Cobalt (Joint)</t>
        </is>
      </c>
      <c r="F138">
        <f>IF($C138="","",IFERROR(INDEX(tblAccounts[Owner],MATCH($E138,tblAccounts[Account],0)),"Joint"))</f>
        <v/>
      </c>
      <c r="G138">
        <f>IF($C138="","",IF(HouseholdMode="Couple",IFERROR(IF(INDEX(tblCategories[Default Owner],MATCH($K138,tblCategories[Category],0))="",$F138,INDEX(tblCategories[Default Owner],MATCH($K138,tblCategories[Category],0))),$F138),$F138))</f>
        <v/>
      </c>
      <c r="H138" t="inlineStr">
        <is>
          <t>IDP PURCHASE - 4516 TIM HORTONS #2247 TORONTO ON</t>
        </is>
      </c>
      <c r="I138">
        <f>IF($H138="","",$H138)</f>
        <v/>
      </c>
      <c r="J138" s="19" t="n">
        <v>-7.57</v>
      </c>
      <c r="K138">
        <f>IF($H138="","",IFERROR(INDEX(tblRules[Category],SUMPRODUCT(MIN((1-((tblRules[Enabled]&lt;&gt;"No")*(tblRules[Pattern]&lt;&gt;"")*(tblRules[Category]&lt;&gt;"")*((tblRules[Flow]="Any")+(tblRules[Flow]="")+((tblRules[Flow]="Money out")*($J138&lt;0))+((tblRules[Flow]="Money in")*($J138&gt;0)))*(((tblRules[Look In]="Account")*ISNUMBER(SEARCH(tblRules[Pattern],$E138)))+((tblRules[Look In]&lt;&gt;"Account")*(((tblRules[Test]="Word")*ISNUMBER(SEARCH(" "&amp;tblRules[Pattern]&amp;" "," "&amp;$H138&amp;" ")))+((tblRules[Test]&lt;&gt;"Word")*ISNUMBER(SEARCH(tblRules[Pattern],$H138))))))&gt;0))*1E+9+ROW(tblRules[Pattern])))-ROW(tblRules[[#Headers],[Pattern]])),"Uncategorized"))</f>
        <v/>
      </c>
      <c r="L138">
        <f>IF($C138="","",IFERROR(INDEX(tblCategories[Group],MATCH($K138,tblCategories[Category],0)),"Other"))</f>
        <v/>
      </c>
      <c r="M138">
        <f>IF($C138="","",IFERROR(INDEX(tblCategories[Type],MATCH($K138,tblCategories[Category],0)),IF($J138&gt;0,"Income","Expense")))</f>
        <v/>
      </c>
      <c r="N138">
        <f>IF($C138="","",IFERROR(INDEX(tblCategories[Essential],MATCH($K138,tblCategories[Category],0)),"No"))</f>
        <v/>
      </c>
      <c r="O138">
        <f>IF($C138="","",IFERROR(INDEX(tblCategories[Tax Tag],MATCH($K138,tblCategories[Category],0)),""))</f>
        <v/>
      </c>
      <c r="P138" s="20">
        <f>IF($C138="","",IF($G138=PersonA,1,IF($G138=PersonB,0,IFERROR(INDEX(tblCategories[Joint Split A],MATCH($K138,tblCategories[Category],0)),DefaultSplitA))))</f>
        <v/>
      </c>
      <c r="Q138" s="19">
        <f>IF($C138="","",ROUND($J138*N($P138),2))</f>
        <v/>
      </c>
      <c r="R138" s="19">
        <f>IF($C138="","",ROUND($J138-N($Q138),2))</f>
        <v/>
      </c>
      <c r="U138" t="inlineStr">
        <is>
          <t>sample-data</t>
        </is>
      </c>
      <c r="V138" t="inlineStr">
        <is>
          <t>SAMPLE</t>
        </is>
      </c>
      <c r="W138" t="inlineStr">
        <is>
          <t>BBE1F925</t>
        </is>
      </c>
      <c r="X138">
        <f>IF($C138="","",IFERROR(IF(_xlfn.ISFORMULA($K138),"Rule","Manual"),""))</f>
        <v/>
      </c>
      <c r="Y138" s="19">
        <f>IF($C138="","",IF(ReportView=PersonA,N($Q138),IF(ReportView=PersonB,N($R138),$J138)))</f>
        <v/>
      </c>
    </row>
    <row r="139">
      <c r="B139">
        <f>IF($C139="","","T"&amp;TEXT(ROW()-ROW(tblTxn[[#Headers],[Txn ID]]),"000000"))</f>
        <v/>
      </c>
      <c r="C139" s="18" t="n">
        <v>46157</v>
      </c>
      <c r="D139">
        <f>IF($C139="","",TEXT($C139,"yyyy-mm"))</f>
        <v/>
      </c>
      <c r="E139" t="inlineStr">
        <is>
          <t>Amex Cobalt (Joint)</t>
        </is>
      </c>
      <c r="F139">
        <f>IF($C139="","",IFERROR(INDEX(tblAccounts[Owner],MATCH($E139,tblAccounts[Account],0)),"Joint"))</f>
        <v/>
      </c>
      <c r="G139">
        <f>IF($C139="","",IF(HouseholdMode="Couple",IFERROR(IF(INDEX(tblCategories[Default Owner],MATCH($K139,tblCategories[Category],0))="",$F139,INDEX(tblCategories[Default Owner],MATCH($K139,tblCategories[Category],0))),$F139),$F139))</f>
        <v/>
      </c>
      <c r="H139" t="inlineStr">
        <is>
          <t>IDP PURCHASE - 5511 PETRO-CANADA #3295 ON</t>
        </is>
      </c>
      <c r="I139">
        <f>IF($H139="","",$H139)</f>
        <v/>
      </c>
      <c r="J139" s="19" t="n">
        <v>-83.14</v>
      </c>
      <c r="K139">
        <f>IF($H139="","",IFERROR(INDEX(tblRules[Category],SUMPRODUCT(MIN((1-((tblRules[Enabled]&lt;&gt;"No")*(tblRules[Pattern]&lt;&gt;"")*(tblRules[Category]&lt;&gt;"")*((tblRules[Flow]="Any")+(tblRules[Flow]="")+((tblRules[Flow]="Money out")*($J139&lt;0))+((tblRules[Flow]="Money in")*($J139&gt;0)))*(((tblRules[Look In]="Account")*ISNUMBER(SEARCH(tblRules[Pattern],$E139)))+((tblRules[Look In]&lt;&gt;"Account")*(((tblRules[Test]="Word")*ISNUMBER(SEARCH(" "&amp;tblRules[Pattern]&amp;" "," "&amp;$H139&amp;" ")))+((tblRules[Test]&lt;&gt;"Word")*ISNUMBER(SEARCH(tblRules[Pattern],$H139))))))&gt;0))*1E+9+ROW(tblRules[Pattern])))-ROW(tblRules[[#Headers],[Pattern]])),"Uncategorized"))</f>
        <v/>
      </c>
      <c r="L139">
        <f>IF($C139="","",IFERROR(INDEX(tblCategories[Group],MATCH($K139,tblCategories[Category],0)),"Other"))</f>
        <v/>
      </c>
      <c r="M139">
        <f>IF($C139="","",IFERROR(INDEX(tblCategories[Type],MATCH($K139,tblCategories[Category],0)),IF($J139&gt;0,"Income","Expense")))</f>
        <v/>
      </c>
      <c r="N139">
        <f>IF($C139="","",IFERROR(INDEX(tblCategories[Essential],MATCH($K139,tblCategories[Category],0)),"No"))</f>
        <v/>
      </c>
      <c r="O139">
        <f>IF($C139="","",IFERROR(INDEX(tblCategories[Tax Tag],MATCH($K139,tblCategories[Category],0)),""))</f>
        <v/>
      </c>
      <c r="P139" s="20">
        <f>IF($C139="","",IF($G139=PersonA,1,IF($G139=PersonB,0,IFERROR(INDEX(tblCategories[Joint Split A],MATCH($K139,tblCategories[Category],0)),DefaultSplitA))))</f>
        <v/>
      </c>
      <c r="Q139" s="19">
        <f>IF($C139="","",ROUND($J139*N($P139),2))</f>
        <v/>
      </c>
      <c r="R139" s="19">
        <f>IF($C139="","",ROUND($J139-N($Q139),2))</f>
        <v/>
      </c>
      <c r="U139" t="inlineStr">
        <is>
          <t>sample-data</t>
        </is>
      </c>
      <c r="V139" t="inlineStr">
        <is>
          <t>SAMPLE</t>
        </is>
      </c>
      <c r="W139" t="inlineStr">
        <is>
          <t>E47C4867</t>
        </is>
      </c>
      <c r="X139">
        <f>IF($C139="","",IFERROR(IF(_xlfn.ISFORMULA($K139),"Rule","Manual"),""))</f>
        <v/>
      </c>
      <c r="Y139" s="19">
        <f>IF($C139="","",IF(ReportView=PersonA,N($Q139),IF(ReportView=PersonB,N($R139),$J139)))</f>
        <v/>
      </c>
    </row>
    <row r="140">
      <c r="B140">
        <f>IF($C140="","","T"&amp;TEXT(ROW()-ROW(tblTxn[[#Headers],[Txn ID]]),"000000"))</f>
        <v/>
      </c>
      <c r="C140" s="18" t="n">
        <v>46157</v>
      </c>
      <c r="D140">
        <f>IF($C140="","",TEXT($C140,"yyyy-mm"))</f>
        <v/>
      </c>
      <c r="E140" t="inlineStr">
        <is>
          <t>RBC Chequing (Alex)</t>
        </is>
      </c>
      <c r="F140">
        <f>IF($C140="","",IFERROR(INDEX(tblAccounts[Owner],MATCH($E140,tblAccounts[Account],0)),"Joint"))</f>
        <v/>
      </c>
      <c r="G140">
        <f>IF($C140="","",IF(HouseholdMode="Couple",IFERROR(IF(INDEX(tblCategories[Default Owner],MATCH($K140,tblCategories[Category],0))="",$F140,INDEX(tblCategories[Default Owner],MATCH($K140,tblCategories[Category],0))),$F140),$F140))</f>
        <v/>
      </c>
      <c r="H140" t="inlineStr">
        <is>
          <t>PAYROLL DEPOSIT NORTHWIND LOGISTICS</t>
        </is>
      </c>
      <c r="I140">
        <f>IF($H140="","",$H140)</f>
        <v/>
      </c>
      <c r="J140" s="19" t="n">
        <v>2490.18</v>
      </c>
      <c r="K140">
        <f>IF($H140="","",IFERROR(INDEX(tblRules[Category],SUMPRODUCT(MIN((1-((tblRules[Enabled]&lt;&gt;"No")*(tblRules[Pattern]&lt;&gt;"")*(tblRules[Category]&lt;&gt;"")*((tblRules[Flow]="Any")+(tblRules[Flow]="")+((tblRules[Flow]="Money out")*($J140&lt;0))+((tblRules[Flow]="Money in")*($J140&gt;0)))*(((tblRules[Look In]="Account")*ISNUMBER(SEARCH(tblRules[Pattern],$E140)))+((tblRules[Look In]&lt;&gt;"Account")*(((tblRules[Test]="Word")*ISNUMBER(SEARCH(" "&amp;tblRules[Pattern]&amp;" "," "&amp;$H140&amp;" ")))+((tblRules[Test]&lt;&gt;"Word")*ISNUMBER(SEARCH(tblRules[Pattern],$H140))))))&gt;0))*1E+9+ROW(tblRules[Pattern])))-ROW(tblRules[[#Headers],[Pattern]])),"Uncategorized"))</f>
        <v/>
      </c>
      <c r="L140">
        <f>IF($C140="","",IFERROR(INDEX(tblCategories[Group],MATCH($K140,tblCategories[Category],0)),"Other"))</f>
        <v/>
      </c>
      <c r="M140">
        <f>IF($C140="","",IFERROR(INDEX(tblCategories[Type],MATCH($K140,tblCategories[Category],0)),IF($J140&gt;0,"Income","Expense")))</f>
        <v/>
      </c>
      <c r="N140">
        <f>IF($C140="","",IFERROR(INDEX(tblCategories[Essential],MATCH($K140,tblCategories[Category],0)),"No"))</f>
        <v/>
      </c>
      <c r="O140">
        <f>IF($C140="","",IFERROR(INDEX(tblCategories[Tax Tag],MATCH($K140,tblCategories[Category],0)),""))</f>
        <v/>
      </c>
      <c r="P140" s="20">
        <f>IF($C140="","",IF($G140=PersonA,1,IF($G140=PersonB,0,IFERROR(INDEX(tblCategories[Joint Split A],MATCH($K140,tblCategories[Category],0)),DefaultSplitA))))</f>
        <v/>
      </c>
      <c r="Q140" s="19">
        <f>IF($C140="","",ROUND($J140*N($P140),2))</f>
        <v/>
      </c>
      <c r="R140" s="19">
        <f>IF($C140="","",ROUND($J140-N($Q140),2))</f>
        <v/>
      </c>
      <c r="U140" t="inlineStr">
        <is>
          <t>sample-data</t>
        </is>
      </c>
      <c r="V140" t="inlineStr">
        <is>
          <t>SAMPLE</t>
        </is>
      </c>
      <c r="W140" t="inlineStr">
        <is>
          <t>362EF14B</t>
        </is>
      </c>
      <c r="X140">
        <f>IF($C140="","",IFERROR(IF(_xlfn.ISFORMULA($K140),"Rule","Manual"),""))</f>
        <v/>
      </c>
      <c r="Y140" s="19">
        <f>IF($C140="","",IF(ReportView=PersonA,N($Q140),IF(ReportView=PersonB,N($R140),$J140)))</f>
        <v/>
      </c>
    </row>
    <row r="141">
      <c r="B141">
        <f>IF($C141="","","T"&amp;TEXT(ROW()-ROW(tblTxn[[#Headers],[Txn ID]]),"000000"))</f>
        <v/>
      </c>
      <c r="C141" s="18" t="n">
        <v>46157</v>
      </c>
      <c r="D141">
        <f>IF($C141="","",TEXT($C141,"yyyy-mm"))</f>
        <v/>
      </c>
      <c r="E141" t="inlineStr">
        <is>
          <t>Tangerine Chequing (Sam)</t>
        </is>
      </c>
      <c r="F141">
        <f>IF($C141="","",IFERROR(INDEX(tblAccounts[Owner],MATCH($E141,tblAccounts[Account],0)),"Joint"))</f>
        <v/>
      </c>
      <c r="G141">
        <f>IF($C141="","",IF(HouseholdMode="Couple",IFERROR(IF(INDEX(tblCategories[Default Owner],MATCH($K141,tblCategories[Category],0))="",$F141,INDEX(tblCategories[Default Owner],MATCH($K141,tblCategories[Category],0))),$F141),$F141))</f>
        <v/>
      </c>
      <c r="H141" t="inlineStr">
        <is>
          <t>IDP PURCHASE - 4795 CANADIAN TIRE #4575 ON</t>
        </is>
      </c>
      <c r="I141">
        <f>IF($H141="","",$H141)</f>
        <v/>
      </c>
      <c r="J141" s="19" t="n">
        <v>-168.62</v>
      </c>
      <c r="K141">
        <f>IF($H141="","",IFERROR(INDEX(tblRules[Category],SUMPRODUCT(MIN((1-((tblRules[Enabled]&lt;&gt;"No")*(tblRules[Pattern]&lt;&gt;"")*(tblRules[Category]&lt;&gt;"")*((tblRules[Flow]="Any")+(tblRules[Flow]="")+((tblRules[Flow]="Money out")*($J141&lt;0))+((tblRules[Flow]="Money in")*($J141&gt;0)))*(((tblRules[Look In]="Account")*ISNUMBER(SEARCH(tblRules[Pattern],$E141)))+((tblRules[Look In]&lt;&gt;"Account")*(((tblRules[Test]="Word")*ISNUMBER(SEARCH(" "&amp;tblRules[Pattern]&amp;" "," "&amp;$H141&amp;" ")))+((tblRules[Test]&lt;&gt;"Word")*ISNUMBER(SEARCH(tblRules[Pattern],$H141))))))&gt;0))*1E+9+ROW(tblRules[Pattern])))-ROW(tblRules[[#Headers],[Pattern]])),"Uncategorized"))</f>
        <v/>
      </c>
      <c r="L141">
        <f>IF($C141="","",IFERROR(INDEX(tblCategories[Group],MATCH($K141,tblCategories[Category],0)),"Other"))</f>
        <v/>
      </c>
      <c r="M141">
        <f>IF($C141="","",IFERROR(INDEX(tblCategories[Type],MATCH($K141,tblCategories[Category],0)),IF($J141&gt;0,"Income","Expense")))</f>
        <v/>
      </c>
      <c r="N141">
        <f>IF($C141="","",IFERROR(INDEX(tblCategories[Essential],MATCH($K141,tblCategories[Category],0)),"No"))</f>
        <v/>
      </c>
      <c r="O141">
        <f>IF($C141="","",IFERROR(INDEX(tblCategories[Tax Tag],MATCH($K141,tblCategories[Category],0)),""))</f>
        <v/>
      </c>
      <c r="P141" s="20">
        <f>IF($C141="","",IF($G141=PersonA,1,IF($G141=PersonB,0,IFERROR(INDEX(tblCategories[Joint Split A],MATCH($K141,tblCategories[Category],0)),DefaultSplitA))))</f>
        <v/>
      </c>
      <c r="Q141" s="19">
        <f>IF($C141="","",ROUND($J141*N($P141),2))</f>
        <v/>
      </c>
      <c r="R141" s="19">
        <f>IF($C141="","",ROUND($J141-N($Q141),2))</f>
        <v/>
      </c>
      <c r="U141" t="inlineStr">
        <is>
          <t>sample-data</t>
        </is>
      </c>
      <c r="V141" t="inlineStr">
        <is>
          <t>SAMPLE</t>
        </is>
      </c>
      <c r="W141" t="inlineStr">
        <is>
          <t>8C74C709</t>
        </is>
      </c>
      <c r="X141">
        <f>IF($C141="","",IFERROR(IF(_xlfn.ISFORMULA($K141),"Rule","Manual"),""))</f>
        <v/>
      </c>
      <c r="Y141" s="19">
        <f>IF($C141="","",IF(ReportView=PersonA,N($Q141),IF(ReportView=PersonB,N($R141),$J141)))</f>
        <v/>
      </c>
    </row>
    <row r="142">
      <c r="B142">
        <f>IF($C142="","","T"&amp;TEXT(ROW()-ROW(tblTxn[[#Headers],[Txn ID]]),"000000"))</f>
        <v/>
      </c>
      <c r="C142" s="18" t="n">
        <v>46157</v>
      </c>
      <c r="D142">
        <f>IF($C142="","",TEXT($C142,"yyyy-mm"))</f>
        <v/>
      </c>
      <c r="E142" t="inlineStr">
        <is>
          <t>Tangerine Chequing (Sam)</t>
        </is>
      </c>
      <c r="F142">
        <f>IF($C142="","",IFERROR(INDEX(tblAccounts[Owner],MATCH($E142,tblAccounts[Account],0)),"Joint"))</f>
        <v/>
      </c>
      <c r="G142">
        <f>IF($C142="","",IF(HouseholdMode="Couple",IFERROR(IF(INDEX(tblCategories[Default Owner],MATCH($K142,tblCategories[Category],0))="",$F142,INDEX(tblCategories[Default Owner],MATCH($K142,tblCategories[Category],0))),$F142),$F142))</f>
        <v/>
      </c>
      <c r="H142" t="inlineStr">
        <is>
          <t>PAYROLL DEPOSIT MAPLE HEALTH GROUP</t>
        </is>
      </c>
      <c r="I142">
        <f>IF($H142="","",$H142)</f>
        <v/>
      </c>
      <c r="J142" s="19" t="n">
        <v>1966.44</v>
      </c>
      <c r="K142">
        <f>IF($H142="","",IFERROR(INDEX(tblRules[Category],SUMPRODUCT(MIN((1-((tblRules[Enabled]&lt;&gt;"No")*(tblRules[Pattern]&lt;&gt;"")*(tblRules[Category]&lt;&gt;"")*((tblRules[Flow]="Any")+(tblRules[Flow]="")+((tblRules[Flow]="Money out")*($J142&lt;0))+((tblRules[Flow]="Money in")*($J142&gt;0)))*(((tblRules[Look In]="Account")*ISNUMBER(SEARCH(tblRules[Pattern],$E142)))+((tblRules[Look In]&lt;&gt;"Account")*(((tblRules[Test]="Word")*ISNUMBER(SEARCH(" "&amp;tblRules[Pattern]&amp;" "," "&amp;$H142&amp;" ")))+((tblRules[Test]&lt;&gt;"Word")*ISNUMBER(SEARCH(tblRules[Pattern],$H142))))))&gt;0))*1E+9+ROW(tblRules[Pattern])))-ROW(tblRules[[#Headers],[Pattern]])),"Uncategorized"))</f>
        <v/>
      </c>
      <c r="L142">
        <f>IF($C142="","",IFERROR(INDEX(tblCategories[Group],MATCH($K142,tblCategories[Category],0)),"Other"))</f>
        <v/>
      </c>
      <c r="M142">
        <f>IF($C142="","",IFERROR(INDEX(tblCategories[Type],MATCH($K142,tblCategories[Category],0)),IF($J142&gt;0,"Income","Expense")))</f>
        <v/>
      </c>
      <c r="N142">
        <f>IF($C142="","",IFERROR(INDEX(tblCategories[Essential],MATCH($K142,tblCategories[Category],0)),"No"))</f>
        <v/>
      </c>
      <c r="O142">
        <f>IF($C142="","",IFERROR(INDEX(tblCategories[Tax Tag],MATCH($K142,tblCategories[Category],0)),""))</f>
        <v/>
      </c>
      <c r="P142" s="20">
        <f>IF($C142="","",IF($G142=PersonA,1,IF($G142=PersonB,0,IFERROR(INDEX(tblCategories[Joint Split A],MATCH($K142,tblCategories[Category],0)),DefaultSplitA))))</f>
        <v/>
      </c>
      <c r="Q142" s="19">
        <f>IF($C142="","",ROUND($J142*N($P142),2))</f>
        <v/>
      </c>
      <c r="R142" s="19">
        <f>IF($C142="","",ROUND($J142-N($Q142),2))</f>
        <v/>
      </c>
      <c r="U142" t="inlineStr">
        <is>
          <t>sample-data</t>
        </is>
      </c>
      <c r="V142" t="inlineStr">
        <is>
          <t>SAMPLE</t>
        </is>
      </c>
      <c r="W142" t="inlineStr">
        <is>
          <t>4E7B2F9C</t>
        </is>
      </c>
      <c r="X142">
        <f>IF($C142="","",IFERROR(IF(_xlfn.ISFORMULA($K142),"Rule","Manual"),""))</f>
        <v/>
      </c>
      <c r="Y142" s="19">
        <f>IF($C142="","",IF(ReportView=PersonA,N($Q142),IF(ReportView=PersonB,N($R142),$J142)))</f>
        <v/>
      </c>
    </row>
    <row r="143">
      <c r="B143">
        <f>IF($C143="","","T"&amp;TEXT(ROW()-ROW(tblTxn[[#Headers],[Txn ID]]),"000000"))</f>
        <v/>
      </c>
      <c r="C143" s="18" t="n">
        <v>46158</v>
      </c>
      <c r="D143">
        <f>IF($C143="","",TEXT($C143,"yyyy-mm"))</f>
        <v/>
      </c>
      <c r="E143" t="inlineStr">
        <is>
          <t>Amex Cobalt (Joint)</t>
        </is>
      </c>
      <c r="F143">
        <f>IF($C143="","",IFERROR(INDEX(tblAccounts[Owner],MATCH($E143,tblAccounts[Account],0)),"Joint"))</f>
        <v/>
      </c>
      <c r="G143">
        <f>IF($C143="","",IF(HouseholdMode="Couple",IFERROR(IF(INDEX(tblCategories[Default Owner],MATCH($K143,tblCategories[Category],0))="",$F143,INDEX(tblCategories[Default Owner],MATCH($K143,tblCategories[Category],0))),$F143),$F143))</f>
        <v/>
      </c>
      <c r="H143" t="inlineStr">
        <is>
          <t>IDP PURCHASE - 9500 WINNERS #2028 ON</t>
        </is>
      </c>
      <c r="I143">
        <f>IF($H143="","",$H143)</f>
        <v/>
      </c>
      <c r="J143" s="19" t="n">
        <v>-133.3</v>
      </c>
      <c r="K143">
        <f>IF($H143="","",IFERROR(INDEX(tblRules[Category],SUMPRODUCT(MIN((1-((tblRules[Enabled]&lt;&gt;"No")*(tblRules[Pattern]&lt;&gt;"")*(tblRules[Category]&lt;&gt;"")*((tblRules[Flow]="Any")+(tblRules[Flow]="")+((tblRules[Flow]="Money out")*($J143&lt;0))+((tblRules[Flow]="Money in")*($J143&gt;0)))*(((tblRules[Look In]="Account")*ISNUMBER(SEARCH(tblRules[Pattern],$E143)))+((tblRules[Look In]&lt;&gt;"Account")*(((tblRules[Test]="Word")*ISNUMBER(SEARCH(" "&amp;tblRules[Pattern]&amp;" "," "&amp;$H143&amp;" ")))+((tblRules[Test]&lt;&gt;"Word")*ISNUMBER(SEARCH(tblRules[Pattern],$H143))))))&gt;0))*1E+9+ROW(tblRules[Pattern])))-ROW(tblRules[[#Headers],[Pattern]])),"Uncategorized"))</f>
        <v/>
      </c>
      <c r="L143">
        <f>IF($C143="","",IFERROR(INDEX(tblCategories[Group],MATCH($K143,tblCategories[Category],0)),"Other"))</f>
        <v/>
      </c>
      <c r="M143">
        <f>IF($C143="","",IFERROR(INDEX(tblCategories[Type],MATCH($K143,tblCategories[Category],0)),IF($J143&gt;0,"Income","Expense")))</f>
        <v/>
      </c>
      <c r="N143">
        <f>IF($C143="","",IFERROR(INDEX(tblCategories[Essential],MATCH($K143,tblCategories[Category],0)),"No"))</f>
        <v/>
      </c>
      <c r="O143">
        <f>IF($C143="","",IFERROR(INDEX(tblCategories[Tax Tag],MATCH($K143,tblCategories[Category],0)),""))</f>
        <v/>
      </c>
      <c r="P143" s="20">
        <f>IF($C143="","",IF($G143=PersonA,1,IF($G143=PersonB,0,IFERROR(INDEX(tblCategories[Joint Split A],MATCH($K143,tblCategories[Category],0)),DefaultSplitA))))</f>
        <v/>
      </c>
      <c r="Q143" s="19">
        <f>IF($C143="","",ROUND($J143*N($P143),2))</f>
        <v/>
      </c>
      <c r="R143" s="19">
        <f>IF($C143="","",ROUND($J143-N($Q143),2))</f>
        <v/>
      </c>
      <c r="U143" t="inlineStr">
        <is>
          <t>sample-data</t>
        </is>
      </c>
      <c r="V143" t="inlineStr">
        <is>
          <t>SAMPLE</t>
        </is>
      </c>
      <c r="W143" t="inlineStr">
        <is>
          <t>ED39B336</t>
        </is>
      </c>
      <c r="X143">
        <f>IF($C143="","",IFERROR(IF(_xlfn.ISFORMULA($K143),"Rule","Manual"),""))</f>
        <v/>
      </c>
      <c r="Y143" s="19">
        <f>IF($C143="","",IF(ReportView=PersonA,N($Q143),IF(ReportView=PersonB,N($R143),$J143)))</f>
        <v/>
      </c>
    </row>
    <row r="144">
      <c r="B144">
        <f>IF($C144="","","T"&amp;TEXT(ROW()-ROW(tblTxn[[#Headers],[Txn ID]]),"000000"))</f>
        <v/>
      </c>
      <c r="C144" s="18" t="n">
        <v>46158</v>
      </c>
      <c r="D144">
        <f>IF($C144="","",TEXT($C144,"yyyy-mm"))</f>
        <v/>
      </c>
      <c r="E144" t="inlineStr">
        <is>
          <t>BMO Joint Chequing</t>
        </is>
      </c>
      <c r="F144">
        <f>IF($C144="","",IFERROR(INDEX(tblAccounts[Owner],MATCH($E144,tblAccounts[Account],0)),"Joint"))</f>
        <v/>
      </c>
      <c r="G144">
        <f>IF($C144="","",IF(HouseholdMode="Couple",IFERROR(IF(INDEX(tblCategories[Default Owner],MATCH($K144,tblCategories[Category],0))="",$F144,INDEX(tblCategories[Default Owner],MATCH($K144,tblCategories[Category],0))),$F144),$F144))</f>
        <v/>
      </c>
      <c r="H144" t="inlineStr">
        <is>
          <t>NETFLIX.COM MISC PAYMENT</t>
        </is>
      </c>
      <c r="I144">
        <f>IF($H144="","",$H144)</f>
        <v/>
      </c>
      <c r="J144" s="19" t="n">
        <v>-22.99</v>
      </c>
      <c r="K144">
        <f>IF($H144="","",IFERROR(INDEX(tblRules[Category],SUMPRODUCT(MIN((1-((tblRules[Enabled]&lt;&gt;"No")*(tblRules[Pattern]&lt;&gt;"")*(tblRules[Category]&lt;&gt;"")*((tblRules[Flow]="Any")+(tblRules[Flow]="")+((tblRules[Flow]="Money out")*($J144&lt;0))+((tblRules[Flow]="Money in")*($J144&gt;0)))*(((tblRules[Look In]="Account")*ISNUMBER(SEARCH(tblRules[Pattern],$E144)))+((tblRules[Look In]&lt;&gt;"Account")*(((tblRules[Test]="Word")*ISNUMBER(SEARCH(" "&amp;tblRules[Pattern]&amp;" "," "&amp;$H144&amp;" ")))+((tblRules[Test]&lt;&gt;"Word")*ISNUMBER(SEARCH(tblRules[Pattern],$H144))))))&gt;0))*1E+9+ROW(tblRules[Pattern])))-ROW(tblRules[[#Headers],[Pattern]])),"Uncategorized"))</f>
        <v/>
      </c>
      <c r="L144">
        <f>IF($C144="","",IFERROR(INDEX(tblCategories[Group],MATCH($K144,tblCategories[Category],0)),"Other"))</f>
        <v/>
      </c>
      <c r="M144">
        <f>IF($C144="","",IFERROR(INDEX(tblCategories[Type],MATCH($K144,tblCategories[Category],0)),IF($J144&gt;0,"Income","Expense")))</f>
        <v/>
      </c>
      <c r="N144">
        <f>IF($C144="","",IFERROR(INDEX(tblCategories[Essential],MATCH($K144,tblCategories[Category],0)),"No"))</f>
        <v/>
      </c>
      <c r="O144">
        <f>IF($C144="","",IFERROR(INDEX(tblCategories[Tax Tag],MATCH($K144,tblCategories[Category],0)),""))</f>
        <v/>
      </c>
      <c r="P144" s="20">
        <f>IF($C144="","",IF($G144=PersonA,1,IF($G144=PersonB,0,IFERROR(INDEX(tblCategories[Joint Split A],MATCH($K144,tblCategories[Category],0)),DefaultSplitA))))</f>
        <v/>
      </c>
      <c r="Q144" s="19">
        <f>IF($C144="","",ROUND($J144*N($P144),2))</f>
        <v/>
      </c>
      <c r="R144" s="19">
        <f>IF($C144="","",ROUND($J144-N($Q144),2))</f>
        <v/>
      </c>
      <c r="U144" t="inlineStr">
        <is>
          <t>sample-data</t>
        </is>
      </c>
      <c r="V144" t="inlineStr">
        <is>
          <t>SAMPLE</t>
        </is>
      </c>
      <c r="W144" t="inlineStr">
        <is>
          <t>3D752983</t>
        </is>
      </c>
      <c r="X144">
        <f>IF($C144="","",IFERROR(IF(_xlfn.ISFORMULA($K144),"Rule","Manual"),""))</f>
        <v/>
      </c>
      <c r="Y144" s="19">
        <f>IF($C144="","",IF(ReportView=PersonA,N($Q144),IF(ReportView=PersonB,N($R144),$J144)))</f>
        <v/>
      </c>
    </row>
    <row r="145">
      <c r="B145">
        <f>IF($C145="","","T"&amp;TEXT(ROW()-ROW(tblTxn[[#Headers],[Txn ID]]),"000000"))</f>
        <v/>
      </c>
      <c r="C145" s="18" t="n">
        <v>46158</v>
      </c>
      <c r="D145">
        <f>IF($C145="","",TEXT($C145,"yyyy-mm"))</f>
        <v/>
      </c>
      <c r="E145" t="inlineStr">
        <is>
          <t>RBC Chequing (Alex)</t>
        </is>
      </c>
      <c r="F145">
        <f>IF($C145="","",IFERROR(INDEX(tblAccounts[Owner],MATCH($E145,tblAccounts[Account],0)),"Joint"))</f>
        <v/>
      </c>
      <c r="G145">
        <f>IF($C145="","",IF(HouseholdMode="Couple",IFERROR(IF(INDEX(tblCategories[Default Owner],MATCH($K145,tblCategories[Category],0))="",$F145,INDEX(tblCategories[Default Owner],MATCH($K145,tblCategories[Category],0))),$F145),$F145))</f>
        <v/>
      </c>
      <c r="H145" t="inlineStr">
        <is>
          <t>TRANSFER TO RRSP WEALTHSIMPLE</t>
        </is>
      </c>
      <c r="I145">
        <f>IF($H145="","",$H145)</f>
        <v/>
      </c>
      <c r="J145" s="19" t="n">
        <v>-450</v>
      </c>
      <c r="K145">
        <f>IF($H145="","",IFERROR(INDEX(tblRules[Category],SUMPRODUCT(MIN((1-((tblRules[Enabled]&lt;&gt;"No")*(tblRules[Pattern]&lt;&gt;"")*(tblRules[Category]&lt;&gt;"")*((tblRules[Flow]="Any")+(tblRules[Flow]="")+((tblRules[Flow]="Money out")*($J145&lt;0))+((tblRules[Flow]="Money in")*($J145&gt;0)))*(((tblRules[Look In]="Account")*ISNUMBER(SEARCH(tblRules[Pattern],$E145)))+((tblRules[Look In]&lt;&gt;"Account")*(((tblRules[Test]="Word")*ISNUMBER(SEARCH(" "&amp;tblRules[Pattern]&amp;" "," "&amp;$H145&amp;" ")))+((tblRules[Test]&lt;&gt;"Word")*ISNUMBER(SEARCH(tblRules[Pattern],$H145))))))&gt;0))*1E+9+ROW(tblRules[Pattern])))-ROW(tblRules[[#Headers],[Pattern]])),"Uncategorized"))</f>
        <v/>
      </c>
      <c r="L145">
        <f>IF($C145="","",IFERROR(INDEX(tblCategories[Group],MATCH($K145,tblCategories[Category],0)),"Other"))</f>
        <v/>
      </c>
      <c r="M145">
        <f>IF($C145="","",IFERROR(INDEX(tblCategories[Type],MATCH($K145,tblCategories[Category],0)),IF($J145&gt;0,"Income","Expense")))</f>
        <v/>
      </c>
      <c r="N145">
        <f>IF($C145="","",IFERROR(INDEX(tblCategories[Essential],MATCH($K145,tblCategories[Category],0)),"No"))</f>
        <v/>
      </c>
      <c r="O145">
        <f>IF($C145="","",IFERROR(INDEX(tblCategories[Tax Tag],MATCH($K145,tblCategories[Category],0)),""))</f>
        <v/>
      </c>
      <c r="P145" s="20">
        <f>IF($C145="","",IF($G145=PersonA,1,IF($G145=PersonB,0,IFERROR(INDEX(tblCategories[Joint Split A],MATCH($K145,tblCategories[Category],0)),DefaultSplitA))))</f>
        <v/>
      </c>
      <c r="Q145" s="19">
        <f>IF($C145="","",ROUND($J145*N($P145),2))</f>
        <v/>
      </c>
      <c r="R145" s="19">
        <f>IF($C145="","",ROUND($J145-N($Q145),2))</f>
        <v/>
      </c>
      <c r="U145" t="inlineStr">
        <is>
          <t>sample-data</t>
        </is>
      </c>
      <c r="V145" t="inlineStr">
        <is>
          <t>SAMPLE</t>
        </is>
      </c>
      <c r="W145" t="inlineStr">
        <is>
          <t>00753461</t>
        </is>
      </c>
      <c r="X145">
        <f>IF($C145="","",IFERROR(IF(_xlfn.ISFORMULA($K145),"Rule","Manual"),""))</f>
        <v/>
      </c>
      <c r="Y145" s="19">
        <f>IF($C145="","",IF(ReportView=PersonA,N($Q145),IF(ReportView=PersonB,N($R145),$J145)))</f>
        <v/>
      </c>
    </row>
    <row r="146">
      <c r="B146">
        <f>IF($C146="","","T"&amp;TEXT(ROW()-ROW(tblTxn[[#Headers],[Txn ID]]),"000000"))</f>
        <v/>
      </c>
      <c r="C146" s="18" t="n">
        <v>46158</v>
      </c>
      <c r="D146">
        <f>IF($C146="","",TEXT($C146,"yyyy-mm"))</f>
        <v/>
      </c>
      <c r="E146" t="inlineStr">
        <is>
          <t>Tangerine Chequing (Sam)</t>
        </is>
      </c>
      <c r="F146">
        <f>IF($C146="","",IFERROR(INDEX(tblAccounts[Owner],MATCH($E146,tblAccounts[Account],0)),"Joint"))</f>
        <v/>
      </c>
      <c r="G146">
        <f>IF($C146="","",IF(HouseholdMode="Couple",IFERROR(IF(INDEX(tblCategories[Default Owner],MATCH($K146,tblCategories[Category],0))="",$F146,INDEX(tblCategories[Default Owner],MATCH($K146,tblCategories[Category],0))),$F146),$F146))</f>
        <v/>
      </c>
      <c r="H146" t="inlineStr">
        <is>
          <t>TFSA CONTRIBUTION TANGERINE INVESTMENT</t>
        </is>
      </c>
      <c r="I146">
        <f>IF($H146="","",$H146)</f>
        <v/>
      </c>
      <c r="J146" s="19" t="n">
        <v>-350</v>
      </c>
      <c r="K146">
        <f>IF($H146="","",IFERROR(INDEX(tblRules[Category],SUMPRODUCT(MIN((1-((tblRules[Enabled]&lt;&gt;"No")*(tblRules[Pattern]&lt;&gt;"")*(tblRules[Category]&lt;&gt;"")*((tblRules[Flow]="Any")+(tblRules[Flow]="")+((tblRules[Flow]="Money out")*($J146&lt;0))+((tblRules[Flow]="Money in")*($J146&gt;0)))*(((tblRules[Look In]="Account")*ISNUMBER(SEARCH(tblRules[Pattern],$E146)))+((tblRules[Look In]&lt;&gt;"Account")*(((tblRules[Test]="Word")*ISNUMBER(SEARCH(" "&amp;tblRules[Pattern]&amp;" "," "&amp;$H146&amp;" ")))+((tblRules[Test]&lt;&gt;"Word")*ISNUMBER(SEARCH(tblRules[Pattern],$H146))))))&gt;0))*1E+9+ROW(tblRules[Pattern])))-ROW(tblRules[[#Headers],[Pattern]])),"Uncategorized"))</f>
        <v/>
      </c>
      <c r="L146">
        <f>IF($C146="","",IFERROR(INDEX(tblCategories[Group],MATCH($K146,tblCategories[Category],0)),"Other"))</f>
        <v/>
      </c>
      <c r="M146">
        <f>IF($C146="","",IFERROR(INDEX(tblCategories[Type],MATCH($K146,tblCategories[Category],0)),IF($J146&gt;0,"Income","Expense")))</f>
        <v/>
      </c>
      <c r="N146">
        <f>IF($C146="","",IFERROR(INDEX(tblCategories[Essential],MATCH($K146,tblCategories[Category],0)),"No"))</f>
        <v/>
      </c>
      <c r="O146">
        <f>IF($C146="","",IFERROR(INDEX(tblCategories[Tax Tag],MATCH($K146,tblCategories[Category],0)),""))</f>
        <v/>
      </c>
      <c r="P146" s="20">
        <f>IF($C146="","",IF($G146=PersonA,1,IF($G146=PersonB,0,IFERROR(INDEX(tblCategories[Joint Split A],MATCH($K146,tblCategories[Category],0)),DefaultSplitA))))</f>
        <v/>
      </c>
      <c r="Q146" s="19">
        <f>IF($C146="","",ROUND($J146*N($P146),2))</f>
        <v/>
      </c>
      <c r="R146" s="19">
        <f>IF($C146="","",ROUND($J146-N($Q146),2))</f>
        <v/>
      </c>
      <c r="U146" t="inlineStr">
        <is>
          <t>sample-data</t>
        </is>
      </c>
      <c r="V146" t="inlineStr">
        <is>
          <t>SAMPLE</t>
        </is>
      </c>
      <c r="W146" t="inlineStr">
        <is>
          <t>185025DB</t>
        </is>
      </c>
      <c r="X146">
        <f>IF($C146="","",IFERROR(IF(_xlfn.ISFORMULA($K146),"Rule","Manual"),""))</f>
        <v/>
      </c>
      <c r="Y146" s="19">
        <f>IF($C146="","",IF(ReportView=PersonA,N($Q146),IF(ReportView=PersonB,N($R146),$J146)))</f>
        <v/>
      </c>
    </row>
    <row r="147">
      <c r="B147">
        <f>IF($C147="","","T"&amp;TEXT(ROW()-ROW(tblTxn[[#Headers],[Txn ID]]),"000000"))</f>
        <v/>
      </c>
      <c r="C147" s="18" t="n">
        <v>46159</v>
      </c>
      <c r="D147">
        <f>IF($C147="","",TEXT($C147,"yyyy-mm"))</f>
        <v/>
      </c>
      <c r="E147" t="inlineStr">
        <is>
          <t>BMO Joint Chequing</t>
        </is>
      </c>
      <c r="F147">
        <f>IF($C147="","",IFERROR(INDEX(tblAccounts[Owner],MATCH($E147,tblAccounts[Account],0)),"Joint"))</f>
        <v/>
      </c>
      <c r="G147">
        <f>IF($C147="","",IF(HouseholdMode="Couple",IFERROR(IF(INDEX(tblCategories[Default Owner],MATCH($K147,tblCategories[Category],0))="",$F147,INDEX(tblCategories[Default Owner],MATCH($K147,tblCategories[Category],0))),$F147),$F147))</f>
        <v/>
      </c>
      <c r="H147" t="inlineStr">
        <is>
          <t>SPOTIFY P2C5 MISC PAYMENT</t>
        </is>
      </c>
      <c r="I147">
        <f>IF($H147="","",$H147)</f>
        <v/>
      </c>
      <c r="J147" s="19" t="n">
        <v>-16.99</v>
      </c>
      <c r="K147">
        <f>IF($H147="","",IFERROR(INDEX(tblRules[Category],SUMPRODUCT(MIN((1-((tblRules[Enabled]&lt;&gt;"No")*(tblRules[Pattern]&lt;&gt;"")*(tblRules[Category]&lt;&gt;"")*((tblRules[Flow]="Any")+(tblRules[Flow]="")+((tblRules[Flow]="Money out")*($J147&lt;0))+((tblRules[Flow]="Money in")*($J147&gt;0)))*(((tblRules[Look In]="Account")*ISNUMBER(SEARCH(tblRules[Pattern],$E147)))+((tblRules[Look In]&lt;&gt;"Account")*(((tblRules[Test]="Word")*ISNUMBER(SEARCH(" "&amp;tblRules[Pattern]&amp;" "," "&amp;$H147&amp;" ")))+((tblRules[Test]&lt;&gt;"Word")*ISNUMBER(SEARCH(tblRules[Pattern],$H147))))))&gt;0))*1E+9+ROW(tblRules[Pattern])))-ROW(tblRules[[#Headers],[Pattern]])),"Uncategorized"))</f>
        <v/>
      </c>
      <c r="L147">
        <f>IF($C147="","",IFERROR(INDEX(tblCategories[Group],MATCH($K147,tblCategories[Category],0)),"Other"))</f>
        <v/>
      </c>
      <c r="M147">
        <f>IF($C147="","",IFERROR(INDEX(tblCategories[Type],MATCH($K147,tblCategories[Category],0)),IF($J147&gt;0,"Income","Expense")))</f>
        <v/>
      </c>
      <c r="N147">
        <f>IF($C147="","",IFERROR(INDEX(tblCategories[Essential],MATCH($K147,tblCategories[Category],0)),"No"))</f>
        <v/>
      </c>
      <c r="O147">
        <f>IF($C147="","",IFERROR(INDEX(tblCategories[Tax Tag],MATCH($K147,tblCategories[Category],0)),""))</f>
        <v/>
      </c>
      <c r="P147" s="20">
        <f>IF($C147="","",IF($G147=PersonA,1,IF($G147=PersonB,0,IFERROR(INDEX(tblCategories[Joint Split A],MATCH($K147,tblCategories[Category],0)),DefaultSplitA))))</f>
        <v/>
      </c>
      <c r="Q147" s="19">
        <f>IF($C147="","",ROUND($J147*N($P147),2))</f>
        <v/>
      </c>
      <c r="R147" s="19">
        <f>IF($C147="","",ROUND($J147-N($Q147),2))</f>
        <v/>
      </c>
      <c r="U147" t="inlineStr">
        <is>
          <t>sample-data</t>
        </is>
      </c>
      <c r="V147" t="inlineStr">
        <is>
          <t>SAMPLE</t>
        </is>
      </c>
      <c r="W147" t="inlineStr">
        <is>
          <t>BDD0920E</t>
        </is>
      </c>
      <c r="X147">
        <f>IF($C147="","",IFERROR(IF(_xlfn.ISFORMULA($K147),"Rule","Manual"),""))</f>
        <v/>
      </c>
      <c r="Y147" s="19">
        <f>IF($C147="","",IF(ReportView=PersonA,N($Q147),IF(ReportView=PersonB,N($R147),$J147)))</f>
        <v/>
      </c>
    </row>
    <row r="148">
      <c r="B148">
        <f>IF($C148="","","T"&amp;TEXT(ROW()-ROW(tblTxn[[#Headers],[Txn ID]]),"000000"))</f>
        <v/>
      </c>
      <c r="C148" s="18" t="n">
        <v>46160</v>
      </c>
      <c r="D148">
        <f>IF($C148="","",TEXT($C148,"yyyy-mm"))</f>
        <v/>
      </c>
      <c r="E148" t="inlineStr">
        <is>
          <t>BMO Joint Chequing</t>
        </is>
      </c>
      <c r="F148">
        <f>IF($C148="","",IFERROR(INDEX(tblAccounts[Owner],MATCH($E148,tblAccounts[Account],0)),"Joint"))</f>
        <v/>
      </c>
      <c r="G148">
        <f>IF($C148="","",IF(HouseholdMode="Couple",IFERROR(IF(INDEX(tblCategories[Default Owner],MATCH($K148,tblCategories[Category],0))="",$F148,INDEX(tblCategories[Default Owner],MATCH($K148,tblCategories[Category],0))),$F148),$F148))</f>
        <v/>
      </c>
      <c r="H148" t="inlineStr">
        <is>
          <t>RESP CONTRIBUTION CST SAVINGS</t>
        </is>
      </c>
      <c r="I148">
        <f>IF($H148="","",$H148)</f>
        <v/>
      </c>
      <c r="J148" s="19" t="n">
        <v>-208.33</v>
      </c>
      <c r="K148">
        <f>IF($H148="","",IFERROR(INDEX(tblRules[Category],SUMPRODUCT(MIN((1-((tblRules[Enabled]&lt;&gt;"No")*(tblRules[Pattern]&lt;&gt;"")*(tblRules[Category]&lt;&gt;"")*((tblRules[Flow]="Any")+(tblRules[Flow]="")+((tblRules[Flow]="Money out")*($J148&lt;0))+((tblRules[Flow]="Money in")*($J148&gt;0)))*(((tblRules[Look In]="Account")*ISNUMBER(SEARCH(tblRules[Pattern],$E148)))+((tblRules[Look In]&lt;&gt;"Account")*(((tblRules[Test]="Word")*ISNUMBER(SEARCH(" "&amp;tblRules[Pattern]&amp;" "," "&amp;$H148&amp;" ")))+((tblRules[Test]&lt;&gt;"Word")*ISNUMBER(SEARCH(tblRules[Pattern],$H148))))))&gt;0))*1E+9+ROW(tblRules[Pattern])))-ROW(tblRules[[#Headers],[Pattern]])),"Uncategorized"))</f>
        <v/>
      </c>
      <c r="L148">
        <f>IF($C148="","",IFERROR(INDEX(tblCategories[Group],MATCH($K148,tblCategories[Category],0)),"Other"))</f>
        <v/>
      </c>
      <c r="M148">
        <f>IF($C148="","",IFERROR(INDEX(tblCategories[Type],MATCH($K148,tblCategories[Category],0)),IF($J148&gt;0,"Income","Expense")))</f>
        <v/>
      </c>
      <c r="N148">
        <f>IF($C148="","",IFERROR(INDEX(tblCategories[Essential],MATCH($K148,tblCategories[Category],0)),"No"))</f>
        <v/>
      </c>
      <c r="O148">
        <f>IF($C148="","",IFERROR(INDEX(tblCategories[Tax Tag],MATCH($K148,tblCategories[Category],0)),""))</f>
        <v/>
      </c>
      <c r="P148" s="20">
        <f>IF($C148="","",IF($G148=PersonA,1,IF($G148=PersonB,0,IFERROR(INDEX(tblCategories[Joint Split A],MATCH($K148,tblCategories[Category],0)),DefaultSplitA))))</f>
        <v/>
      </c>
      <c r="Q148" s="19">
        <f>IF($C148="","",ROUND($J148*N($P148),2))</f>
        <v/>
      </c>
      <c r="R148" s="19">
        <f>IF($C148="","",ROUND($J148-N($Q148),2))</f>
        <v/>
      </c>
      <c r="U148" t="inlineStr">
        <is>
          <t>sample-data</t>
        </is>
      </c>
      <c r="V148" t="inlineStr">
        <is>
          <t>SAMPLE</t>
        </is>
      </c>
      <c r="W148" t="inlineStr">
        <is>
          <t>6939F149</t>
        </is>
      </c>
      <c r="X148">
        <f>IF($C148="","",IFERROR(IF(_xlfn.ISFORMULA($K148),"Rule","Manual"),""))</f>
        <v/>
      </c>
      <c r="Y148" s="19">
        <f>IF($C148="","",IF(ReportView=PersonA,N($Q148),IF(ReportView=PersonB,N($R148),$J148)))</f>
        <v/>
      </c>
    </row>
    <row r="149">
      <c r="B149">
        <f>IF($C149="","","T"&amp;TEXT(ROW()-ROW(tblTxn[[#Headers],[Txn ID]]),"000000"))</f>
        <v/>
      </c>
      <c r="C149" s="18" t="n">
        <v>46161</v>
      </c>
      <c r="D149">
        <f>IF($C149="","",TEXT($C149,"yyyy-mm"))</f>
        <v/>
      </c>
      <c r="E149" t="inlineStr">
        <is>
          <t>RBC Chequing (Alex)</t>
        </is>
      </c>
      <c r="F149">
        <f>IF($C149="","",IFERROR(INDEX(tblAccounts[Owner],MATCH($E149,tblAccounts[Account],0)),"Joint"))</f>
        <v/>
      </c>
      <c r="G149">
        <f>IF($C149="","",IF(HouseholdMode="Couple",IFERROR(IF(INDEX(tblCategories[Default Owner],MATCH($K149,tblCategories[Category],0))="",$F149,INDEX(tblCategories[Default Owner],MATCH($K149,tblCategories[Category],0))),$F149),$F149))</f>
        <v/>
      </c>
      <c r="H149" t="inlineStr">
        <is>
          <t>IDP PURCHASE - 4558 STARBUCKS #583 TORONTO ON</t>
        </is>
      </c>
      <c r="I149">
        <f>IF($H149="","",$H149)</f>
        <v/>
      </c>
      <c r="J149" s="19" t="n">
        <v>-9.880000000000001</v>
      </c>
      <c r="K149">
        <f>IF($H149="","",IFERROR(INDEX(tblRules[Category],SUMPRODUCT(MIN((1-((tblRules[Enabled]&lt;&gt;"No")*(tblRules[Pattern]&lt;&gt;"")*(tblRules[Category]&lt;&gt;"")*((tblRules[Flow]="Any")+(tblRules[Flow]="")+((tblRules[Flow]="Money out")*($J149&lt;0))+((tblRules[Flow]="Money in")*($J149&gt;0)))*(((tblRules[Look In]="Account")*ISNUMBER(SEARCH(tblRules[Pattern],$E149)))+((tblRules[Look In]&lt;&gt;"Account")*(((tblRules[Test]="Word")*ISNUMBER(SEARCH(" "&amp;tblRules[Pattern]&amp;" "," "&amp;$H149&amp;" ")))+((tblRules[Test]&lt;&gt;"Word")*ISNUMBER(SEARCH(tblRules[Pattern],$H149))))))&gt;0))*1E+9+ROW(tblRules[Pattern])))-ROW(tblRules[[#Headers],[Pattern]])),"Uncategorized"))</f>
        <v/>
      </c>
      <c r="L149">
        <f>IF($C149="","",IFERROR(INDEX(tblCategories[Group],MATCH($K149,tblCategories[Category],0)),"Other"))</f>
        <v/>
      </c>
      <c r="M149">
        <f>IF($C149="","",IFERROR(INDEX(tblCategories[Type],MATCH($K149,tblCategories[Category],0)),IF($J149&gt;0,"Income","Expense")))</f>
        <v/>
      </c>
      <c r="N149">
        <f>IF($C149="","",IFERROR(INDEX(tblCategories[Essential],MATCH($K149,tblCategories[Category],0)),"No"))</f>
        <v/>
      </c>
      <c r="O149">
        <f>IF($C149="","",IFERROR(INDEX(tblCategories[Tax Tag],MATCH($K149,tblCategories[Category],0)),""))</f>
        <v/>
      </c>
      <c r="P149" s="20">
        <f>IF($C149="","",IF($G149=PersonA,1,IF($G149=PersonB,0,IFERROR(INDEX(tblCategories[Joint Split A],MATCH($K149,tblCategories[Category],0)),DefaultSplitA))))</f>
        <v/>
      </c>
      <c r="Q149" s="19">
        <f>IF($C149="","",ROUND($J149*N($P149),2))</f>
        <v/>
      </c>
      <c r="R149" s="19">
        <f>IF($C149="","",ROUND($J149-N($Q149),2))</f>
        <v/>
      </c>
      <c r="U149" t="inlineStr">
        <is>
          <t>sample-data</t>
        </is>
      </c>
      <c r="V149" t="inlineStr">
        <is>
          <t>SAMPLE</t>
        </is>
      </c>
      <c r="W149" t="inlineStr">
        <is>
          <t>8E82EA5C</t>
        </is>
      </c>
      <c r="X149">
        <f>IF($C149="","",IFERROR(IF(_xlfn.ISFORMULA($K149),"Rule","Manual"),""))</f>
        <v/>
      </c>
      <c r="Y149" s="19">
        <f>IF($C149="","",IF(ReportView=PersonA,N($Q149),IF(ReportView=PersonB,N($R149),$J149)))</f>
        <v/>
      </c>
    </row>
    <row r="150">
      <c r="B150">
        <f>IF($C150="","","T"&amp;TEXT(ROW()-ROW(tblTxn[[#Headers],[Txn ID]]),"000000"))</f>
        <v/>
      </c>
      <c r="C150" s="18" t="n">
        <v>46162</v>
      </c>
      <c r="D150">
        <f>IF($C150="","",TEXT($C150,"yyyy-mm"))</f>
        <v/>
      </c>
      <c r="E150" t="inlineStr">
        <is>
          <t>BMO Joint Chequing</t>
        </is>
      </c>
      <c r="F150">
        <f>IF($C150="","",IFERROR(INDEX(tblAccounts[Owner],MATCH($E150,tblAccounts[Account],0)),"Joint"))</f>
        <v/>
      </c>
      <c r="G150">
        <f>IF($C150="","",IF(HouseholdMode="Couple",IFERROR(IF(INDEX(tblCategories[Default Owner],MATCH($K150,tblCategories[Category],0))="",$F150,INDEX(tblCategories[Default Owner],MATCH($K150,tblCategories[Category],0))),$F150),$F150))</f>
        <v/>
      </c>
      <c r="H150" t="inlineStr">
        <is>
          <t>CANADA FED / FED CCB DEPOSIT</t>
        </is>
      </c>
      <c r="I150">
        <f>IF($H150="","",$H150)</f>
        <v/>
      </c>
      <c r="J150" s="19" t="n">
        <v>619.75</v>
      </c>
      <c r="K150">
        <f>IF($H150="","",IFERROR(INDEX(tblRules[Category],SUMPRODUCT(MIN((1-((tblRules[Enabled]&lt;&gt;"No")*(tblRules[Pattern]&lt;&gt;"")*(tblRules[Category]&lt;&gt;"")*((tblRules[Flow]="Any")+(tblRules[Flow]="")+((tblRules[Flow]="Money out")*($J150&lt;0))+((tblRules[Flow]="Money in")*($J150&gt;0)))*(((tblRules[Look In]="Account")*ISNUMBER(SEARCH(tblRules[Pattern],$E150)))+((tblRules[Look In]&lt;&gt;"Account")*(((tblRules[Test]="Word")*ISNUMBER(SEARCH(" "&amp;tblRules[Pattern]&amp;" "," "&amp;$H150&amp;" ")))+((tblRules[Test]&lt;&gt;"Word")*ISNUMBER(SEARCH(tblRules[Pattern],$H150))))))&gt;0))*1E+9+ROW(tblRules[Pattern])))-ROW(tblRules[[#Headers],[Pattern]])),"Uncategorized"))</f>
        <v/>
      </c>
      <c r="L150">
        <f>IF($C150="","",IFERROR(INDEX(tblCategories[Group],MATCH($K150,tblCategories[Category],0)),"Other"))</f>
        <v/>
      </c>
      <c r="M150">
        <f>IF($C150="","",IFERROR(INDEX(tblCategories[Type],MATCH($K150,tblCategories[Category],0)),IF($J150&gt;0,"Income","Expense")))</f>
        <v/>
      </c>
      <c r="N150">
        <f>IF($C150="","",IFERROR(INDEX(tblCategories[Essential],MATCH($K150,tblCategories[Category],0)),"No"))</f>
        <v/>
      </c>
      <c r="O150">
        <f>IF($C150="","",IFERROR(INDEX(tblCategories[Tax Tag],MATCH($K150,tblCategories[Category],0)),""))</f>
        <v/>
      </c>
      <c r="P150" s="20">
        <f>IF($C150="","",IF($G150=PersonA,1,IF($G150=PersonB,0,IFERROR(INDEX(tblCategories[Joint Split A],MATCH($K150,tblCategories[Category],0)),DefaultSplitA))))</f>
        <v/>
      </c>
      <c r="Q150" s="19">
        <f>IF($C150="","",ROUND($J150*N($P150),2))</f>
        <v/>
      </c>
      <c r="R150" s="19">
        <f>IF($C150="","",ROUND($J150-N($Q150),2))</f>
        <v/>
      </c>
      <c r="U150" t="inlineStr">
        <is>
          <t>sample-data</t>
        </is>
      </c>
      <c r="V150" t="inlineStr">
        <is>
          <t>SAMPLE</t>
        </is>
      </c>
      <c r="W150" t="inlineStr">
        <is>
          <t>8661641D</t>
        </is>
      </c>
      <c r="X150">
        <f>IF($C150="","",IFERROR(IF(_xlfn.ISFORMULA($K150),"Rule","Manual"),""))</f>
        <v/>
      </c>
      <c r="Y150" s="19">
        <f>IF($C150="","",IF(ReportView=PersonA,N($Q150),IF(ReportView=PersonB,N($R150),$J150)))</f>
        <v/>
      </c>
    </row>
    <row r="151">
      <c r="B151">
        <f>IF($C151="","","T"&amp;TEXT(ROW()-ROW(tblTxn[[#Headers],[Txn ID]]),"000000"))</f>
        <v/>
      </c>
      <c r="C151" s="18" t="n">
        <v>46163</v>
      </c>
      <c r="D151">
        <f>IF($C151="","",TEXT($C151,"yyyy-mm"))</f>
        <v/>
      </c>
      <c r="E151" t="inlineStr">
        <is>
          <t>Amex Cobalt (Joint)</t>
        </is>
      </c>
      <c r="F151">
        <f>IF($C151="","",IFERROR(INDEX(tblAccounts[Owner],MATCH($E151,tblAccounts[Account],0)),"Joint"))</f>
        <v/>
      </c>
      <c r="G151">
        <f>IF($C151="","",IF(HouseholdMode="Couple",IFERROR(IF(INDEX(tblCategories[Default Owner],MATCH($K151,tblCategories[Category],0))="",$F151,INDEX(tblCategories[Default Owner],MATCH($K151,tblCategories[Category],0))),$F151),$F151))</f>
        <v/>
      </c>
      <c r="H151" t="inlineStr">
        <is>
          <t>UBER TRIP HELP.UBER.COM ON</t>
        </is>
      </c>
      <c r="I151">
        <f>IF($H151="","",$H151)</f>
        <v/>
      </c>
      <c r="J151" s="19" t="n">
        <v>-33.96</v>
      </c>
      <c r="K151">
        <f>IF($H151="","",IFERROR(INDEX(tblRules[Category],SUMPRODUCT(MIN((1-((tblRules[Enabled]&lt;&gt;"No")*(tblRules[Pattern]&lt;&gt;"")*(tblRules[Category]&lt;&gt;"")*((tblRules[Flow]="Any")+(tblRules[Flow]="")+((tblRules[Flow]="Money out")*($J151&lt;0))+((tblRules[Flow]="Money in")*($J151&gt;0)))*(((tblRules[Look In]="Account")*ISNUMBER(SEARCH(tblRules[Pattern],$E151)))+((tblRules[Look In]&lt;&gt;"Account")*(((tblRules[Test]="Word")*ISNUMBER(SEARCH(" "&amp;tblRules[Pattern]&amp;" "," "&amp;$H151&amp;" ")))+((tblRules[Test]&lt;&gt;"Word")*ISNUMBER(SEARCH(tblRules[Pattern],$H151))))))&gt;0))*1E+9+ROW(tblRules[Pattern])))-ROW(tblRules[[#Headers],[Pattern]])),"Uncategorized"))</f>
        <v/>
      </c>
      <c r="L151">
        <f>IF($C151="","",IFERROR(INDEX(tblCategories[Group],MATCH($K151,tblCategories[Category],0)),"Other"))</f>
        <v/>
      </c>
      <c r="M151">
        <f>IF($C151="","",IFERROR(INDEX(tblCategories[Type],MATCH($K151,tblCategories[Category],0)),IF($J151&gt;0,"Income","Expense")))</f>
        <v/>
      </c>
      <c r="N151">
        <f>IF($C151="","",IFERROR(INDEX(tblCategories[Essential],MATCH($K151,tblCategories[Category],0)),"No"))</f>
        <v/>
      </c>
      <c r="O151">
        <f>IF($C151="","",IFERROR(INDEX(tblCategories[Tax Tag],MATCH($K151,tblCategories[Category],0)),""))</f>
        <v/>
      </c>
      <c r="P151" s="20">
        <f>IF($C151="","",IF($G151=PersonA,1,IF($G151=PersonB,0,IFERROR(INDEX(tblCategories[Joint Split A],MATCH($K151,tblCategories[Category],0)),DefaultSplitA))))</f>
        <v/>
      </c>
      <c r="Q151" s="19">
        <f>IF($C151="","",ROUND($J151*N($P151),2))</f>
        <v/>
      </c>
      <c r="R151" s="19">
        <f>IF($C151="","",ROUND($J151-N($Q151),2))</f>
        <v/>
      </c>
      <c r="U151" t="inlineStr">
        <is>
          <t>sample-data</t>
        </is>
      </c>
      <c r="V151" t="inlineStr">
        <is>
          <t>SAMPLE</t>
        </is>
      </c>
      <c r="W151" t="inlineStr">
        <is>
          <t>EE056458</t>
        </is>
      </c>
      <c r="X151">
        <f>IF($C151="","",IFERROR(IF(_xlfn.ISFORMULA($K151),"Rule","Manual"),""))</f>
        <v/>
      </c>
      <c r="Y151" s="19">
        <f>IF($C151="","",IF(ReportView=PersonA,N($Q151),IF(ReportView=PersonB,N($R151),$J151)))</f>
        <v/>
      </c>
    </row>
    <row r="152">
      <c r="B152">
        <f>IF($C152="","","T"&amp;TEXT(ROW()-ROW(tblTxn[[#Headers],[Txn ID]]),"000000"))</f>
        <v/>
      </c>
      <c r="C152" s="18" t="n">
        <v>46163</v>
      </c>
      <c r="D152">
        <f>IF($C152="","",TEXT($C152,"yyyy-mm"))</f>
        <v/>
      </c>
      <c r="E152" t="inlineStr">
        <is>
          <t>Tangerine Chequing (Sam)</t>
        </is>
      </c>
      <c r="F152">
        <f>IF($C152="","",IFERROR(INDEX(tblAccounts[Owner],MATCH($E152,tblAccounts[Account],0)),"Joint"))</f>
        <v/>
      </c>
      <c r="G152">
        <f>IF($C152="","",IF(HouseholdMode="Couple",IFERROR(IF(INDEX(tblCategories[Default Owner],MATCH($K152,tblCategories[Category],0))="",$F152,INDEX(tblCategories[Default Owner],MATCH($K152,tblCategories[Category],0))),$F152),$F152))</f>
        <v/>
      </c>
      <c r="H152" t="inlineStr">
        <is>
          <t>IDP PURCHASE - 8492 TIM HORTONS #3839 TORONTO ON</t>
        </is>
      </c>
      <c r="I152">
        <f>IF($H152="","",$H152)</f>
        <v/>
      </c>
      <c r="J152" s="19" t="n">
        <v>-12.55</v>
      </c>
      <c r="K152">
        <f>IF($H152="","",IFERROR(INDEX(tblRules[Category],SUMPRODUCT(MIN((1-((tblRules[Enabled]&lt;&gt;"No")*(tblRules[Pattern]&lt;&gt;"")*(tblRules[Category]&lt;&gt;"")*((tblRules[Flow]="Any")+(tblRules[Flow]="")+((tblRules[Flow]="Money out")*($J152&lt;0))+((tblRules[Flow]="Money in")*($J152&gt;0)))*(((tblRules[Look In]="Account")*ISNUMBER(SEARCH(tblRules[Pattern],$E152)))+((tblRules[Look In]&lt;&gt;"Account")*(((tblRules[Test]="Word")*ISNUMBER(SEARCH(" "&amp;tblRules[Pattern]&amp;" "," "&amp;$H152&amp;" ")))+((tblRules[Test]&lt;&gt;"Word")*ISNUMBER(SEARCH(tblRules[Pattern],$H152))))))&gt;0))*1E+9+ROW(tblRules[Pattern])))-ROW(tblRules[[#Headers],[Pattern]])),"Uncategorized"))</f>
        <v/>
      </c>
      <c r="L152">
        <f>IF($C152="","",IFERROR(INDEX(tblCategories[Group],MATCH($K152,tblCategories[Category],0)),"Other"))</f>
        <v/>
      </c>
      <c r="M152">
        <f>IF($C152="","",IFERROR(INDEX(tblCategories[Type],MATCH($K152,tblCategories[Category],0)),IF($J152&gt;0,"Income","Expense")))</f>
        <v/>
      </c>
      <c r="N152">
        <f>IF($C152="","",IFERROR(INDEX(tblCategories[Essential],MATCH($K152,tblCategories[Category],0)),"No"))</f>
        <v/>
      </c>
      <c r="O152">
        <f>IF($C152="","",IFERROR(INDEX(tblCategories[Tax Tag],MATCH($K152,tblCategories[Category],0)),""))</f>
        <v/>
      </c>
      <c r="P152" s="20">
        <f>IF($C152="","",IF($G152=PersonA,1,IF($G152=PersonB,0,IFERROR(INDEX(tblCategories[Joint Split A],MATCH($K152,tblCategories[Category],0)),DefaultSplitA))))</f>
        <v/>
      </c>
      <c r="Q152" s="19">
        <f>IF($C152="","",ROUND($J152*N($P152),2))</f>
        <v/>
      </c>
      <c r="R152" s="19">
        <f>IF($C152="","",ROUND($J152-N($Q152),2))</f>
        <v/>
      </c>
      <c r="U152" t="inlineStr">
        <is>
          <t>sample-data</t>
        </is>
      </c>
      <c r="V152" t="inlineStr">
        <is>
          <t>SAMPLE</t>
        </is>
      </c>
      <c r="W152" t="inlineStr">
        <is>
          <t>41409995</t>
        </is>
      </c>
      <c r="X152">
        <f>IF($C152="","",IFERROR(IF(_xlfn.ISFORMULA($K152),"Rule","Manual"),""))</f>
        <v/>
      </c>
      <c r="Y152" s="19">
        <f>IF($C152="","",IF(ReportView=PersonA,N($Q152),IF(ReportView=PersonB,N($R152),$J152)))</f>
        <v/>
      </c>
    </row>
    <row r="153">
      <c r="B153">
        <f>IF($C153="","","T"&amp;TEXT(ROW()-ROW(tblTxn[[#Headers],[Txn ID]]),"000000"))</f>
        <v/>
      </c>
      <c r="C153" s="18" t="n">
        <v>46163</v>
      </c>
      <c r="D153">
        <f>IF($C153="","",TEXT($C153,"yyyy-mm"))</f>
        <v/>
      </c>
      <c r="E153" t="inlineStr">
        <is>
          <t>Tangerine Chequing (Sam)</t>
        </is>
      </c>
      <c r="F153">
        <f>IF($C153="","",IFERROR(INDEX(tblAccounts[Owner],MATCH($E153,tblAccounts[Account],0)),"Joint"))</f>
        <v/>
      </c>
      <c r="G153">
        <f>IF($C153="","",IF(HouseholdMode="Couple",IFERROR(IF(INDEX(tblCategories[Default Owner],MATCH($K153,tblCategories[Category],0))="",$F153,INDEX(tblCategories[Default Owner],MATCH($K153,tblCategories[Category],0))),$F153),$F153))</f>
        <v/>
      </c>
      <c r="H153" t="inlineStr">
        <is>
          <t>IDP PURCHASE - 9416 STARBUCKS #1019 TORONTO ON</t>
        </is>
      </c>
      <c r="I153">
        <f>IF($H153="","",$H153)</f>
        <v/>
      </c>
      <c r="J153" s="19" t="n">
        <v>-11.68</v>
      </c>
      <c r="K153">
        <f>IF($H153="","",IFERROR(INDEX(tblRules[Category],SUMPRODUCT(MIN((1-((tblRules[Enabled]&lt;&gt;"No")*(tblRules[Pattern]&lt;&gt;"")*(tblRules[Category]&lt;&gt;"")*((tblRules[Flow]="Any")+(tblRules[Flow]="")+((tblRules[Flow]="Money out")*($J153&lt;0))+((tblRules[Flow]="Money in")*($J153&gt;0)))*(((tblRules[Look In]="Account")*ISNUMBER(SEARCH(tblRules[Pattern],$E153)))+((tblRules[Look In]&lt;&gt;"Account")*(((tblRules[Test]="Word")*ISNUMBER(SEARCH(" "&amp;tblRules[Pattern]&amp;" "," "&amp;$H153&amp;" ")))+((tblRules[Test]&lt;&gt;"Word")*ISNUMBER(SEARCH(tblRules[Pattern],$H153))))))&gt;0))*1E+9+ROW(tblRules[Pattern])))-ROW(tblRules[[#Headers],[Pattern]])),"Uncategorized"))</f>
        <v/>
      </c>
      <c r="L153">
        <f>IF($C153="","",IFERROR(INDEX(tblCategories[Group],MATCH($K153,tblCategories[Category],0)),"Other"))</f>
        <v/>
      </c>
      <c r="M153">
        <f>IF($C153="","",IFERROR(INDEX(tblCategories[Type],MATCH($K153,tblCategories[Category],0)),IF($J153&gt;0,"Income","Expense")))</f>
        <v/>
      </c>
      <c r="N153">
        <f>IF($C153="","",IFERROR(INDEX(tblCategories[Essential],MATCH($K153,tblCategories[Category],0)),"No"))</f>
        <v/>
      </c>
      <c r="O153">
        <f>IF($C153="","",IFERROR(INDEX(tblCategories[Tax Tag],MATCH($K153,tblCategories[Category],0)),""))</f>
        <v/>
      </c>
      <c r="P153" s="20">
        <f>IF($C153="","",IF($G153=PersonA,1,IF($G153=PersonB,0,IFERROR(INDEX(tblCategories[Joint Split A],MATCH($K153,tblCategories[Category],0)),DefaultSplitA))))</f>
        <v/>
      </c>
      <c r="Q153" s="19">
        <f>IF($C153="","",ROUND($J153*N($P153),2))</f>
        <v/>
      </c>
      <c r="R153" s="19">
        <f>IF($C153="","",ROUND($J153-N($Q153),2))</f>
        <v/>
      </c>
      <c r="U153" t="inlineStr">
        <is>
          <t>sample-data</t>
        </is>
      </c>
      <c r="V153" t="inlineStr">
        <is>
          <t>SAMPLE</t>
        </is>
      </c>
      <c r="W153" t="inlineStr">
        <is>
          <t>5AF13710</t>
        </is>
      </c>
      <c r="X153">
        <f>IF($C153="","",IFERROR(IF(_xlfn.ISFORMULA($K153),"Rule","Manual"),""))</f>
        <v/>
      </c>
      <c r="Y153" s="19">
        <f>IF($C153="","",IF(ReportView=PersonA,N($Q153),IF(ReportView=PersonB,N($R153),$J153)))</f>
        <v/>
      </c>
    </row>
    <row r="154">
      <c r="B154">
        <f>IF($C154="","","T"&amp;TEXT(ROW()-ROW(tblTxn[[#Headers],[Txn ID]]),"000000"))</f>
        <v/>
      </c>
      <c r="C154" s="18" t="n">
        <v>46164</v>
      </c>
      <c r="D154">
        <f>IF($C154="","",TEXT($C154,"yyyy-mm"))</f>
        <v/>
      </c>
      <c r="E154" t="inlineStr">
        <is>
          <t>BMO Joint Chequing</t>
        </is>
      </c>
      <c r="F154">
        <f>IF($C154="","",IFERROR(INDEX(tblAccounts[Owner],MATCH($E154,tblAccounts[Account],0)),"Joint"))</f>
        <v/>
      </c>
      <c r="G154">
        <f>IF($C154="","",IF(HouseholdMode="Couple",IFERROR(IF(INDEX(tblCategories[Default Owner],MATCH($K154,tblCategories[Category],0))="",$F154,INDEX(tblCategories[Default Owner],MATCH($K154,tblCategories[Category],0))),$F154),$F154))</f>
        <v/>
      </c>
      <c r="H154" t="inlineStr">
        <is>
          <t>UBER TRIP HELP.UBER.COM ON</t>
        </is>
      </c>
      <c r="I154">
        <f>IF($H154="","",$H154)</f>
        <v/>
      </c>
      <c r="J154" s="19" t="n">
        <v>-41.46</v>
      </c>
      <c r="K154">
        <f>IF($H154="","",IFERROR(INDEX(tblRules[Category],SUMPRODUCT(MIN((1-((tblRules[Enabled]&lt;&gt;"No")*(tblRules[Pattern]&lt;&gt;"")*(tblRules[Category]&lt;&gt;"")*((tblRules[Flow]="Any")+(tblRules[Flow]="")+((tblRules[Flow]="Money out")*($J154&lt;0))+((tblRules[Flow]="Money in")*($J154&gt;0)))*(((tblRules[Look In]="Account")*ISNUMBER(SEARCH(tblRules[Pattern],$E154)))+((tblRules[Look In]&lt;&gt;"Account")*(((tblRules[Test]="Word")*ISNUMBER(SEARCH(" "&amp;tblRules[Pattern]&amp;" "," "&amp;$H154&amp;" ")))+((tblRules[Test]&lt;&gt;"Word")*ISNUMBER(SEARCH(tblRules[Pattern],$H154))))))&gt;0))*1E+9+ROW(tblRules[Pattern])))-ROW(tblRules[[#Headers],[Pattern]])),"Uncategorized"))</f>
        <v/>
      </c>
      <c r="L154">
        <f>IF($C154="","",IFERROR(INDEX(tblCategories[Group],MATCH($K154,tblCategories[Category],0)),"Other"))</f>
        <v/>
      </c>
      <c r="M154">
        <f>IF($C154="","",IFERROR(INDEX(tblCategories[Type],MATCH($K154,tblCategories[Category],0)),IF($J154&gt;0,"Income","Expense")))</f>
        <v/>
      </c>
      <c r="N154">
        <f>IF($C154="","",IFERROR(INDEX(tblCategories[Essential],MATCH($K154,tblCategories[Category],0)),"No"))</f>
        <v/>
      </c>
      <c r="O154">
        <f>IF($C154="","",IFERROR(INDEX(tblCategories[Tax Tag],MATCH($K154,tblCategories[Category],0)),""))</f>
        <v/>
      </c>
      <c r="P154" s="20">
        <f>IF($C154="","",IF($G154=PersonA,1,IF($G154=PersonB,0,IFERROR(INDEX(tblCategories[Joint Split A],MATCH($K154,tblCategories[Category],0)),DefaultSplitA))))</f>
        <v/>
      </c>
      <c r="Q154" s="19">
        <f>IF($C154="","",ROUND($J154*N($P154),2))</f>
        <v/>
      </c>
      <c r="R154" s="19">
        <f>IF($C154="","",ROUND($J154-N($Q154),2))</f>
        <v/>
      </c>
      <c r="U154" t="inlineStr">
        <is>
          <t>sample-data</t>
        </is>
      </c>
      <c r="V154" t="inlineStr">
        <is>
          <t>SAMPLE</t>
        </is>
      </c>
      <c r="W154" t="inlineStr">
        <is>
          <t>68206400</t>
        </is>
      </c>
      <c r="X154">
        <f>IF($C154="","",IFERROR(IF(_xlfn.ISFORMULA($K154),"Rule","Manual"),""))</f>
        <v/>
      </c>
      <c r="Y154" s="19">
        <f>IF($C154="","",IF(ReportView=PersonA,N($Q154),IF(ReportView=PersonB,N($R154),$J154)))</f>
        <v/>
      </c>
    </row>
    <row r="155">
      <c r="B155">
        <f>IF($C155="","","T"&amp;TEXT(ROW()-ROW(tblTxn[[#Headers],[Txn ID]]),"000000"))</f>
        <v/>
      </c>
      <c r="C155" s="18" t="n">
        <v>46164</v>
      </c>
      <c r="D155">
        <f>IF($C155="","",TEXT($C155,"yyyy-mm"))</f>
        <v/>
      </c>
      <c r="E155" t="inlineStr">
        <is>
          <t>RBC Chequing (Alex)</t>
        </is>
      </c>
      <c r="F155">
        <f>IF($C155="","",IFERROR(INDEX(tblAccounts[Owner],MATCH($E155,tblAccounts[Account],0)),"Joint"))</f>
        <v/>
      </c>
      <c r="G155">
        <f>IF($C155="","",IF(HouseholdMode="Couple",IFERROR(IF(INDEX(tblCategories[Default Owner],MATCH($K155,tblCategories[Category],0))="",$F155,INDEX(tblCategories[Default Owner],MATCH($K155,tblCategories[Category],0))),$F155),$F155))</f>
        <v/>
      </c>
      <c r="H155" t="inlineStr">
        <is>
          <t>IDP PURCHASE - 1056 TIM HORTONS #4137 TORONTO ON</t>
        </is>
      </c>
      <c r="I155">
        <f>IF($H155="","",$H155)</f>
        <v/>
      </c>
      <c r="J155" s="19" t="n">
        <v>-9.33</v>
      </c>
      <c r="K155">
        <f>IF($H155="","",IFERROR(INDEX(tblRules[Category],SUMPRODUCT(MIN((1-((tblRules[Enabled]&lt;&gt;"No")*(tblRules[Pattern]&lt;&gt;"")*(tblRules[Category]&lt;&gt;"")*((tblRules[Flow]="Any")+(tblRules[Flow]="")+((tblRules[Flow]="Money out")*($J155&lt;0))+((tblRules[Flow]="Money in")*($J155&gt;0)))*(((tblRules[Look In]="Account")*ISNUMBER(SEARCH(tblRules[Pattern],$E155)))+((tblRules[Look In]&lt;&gt;"Account")*(((tblRules[Test]="Word")*ISNUMBER(SEARCH(" "&amp;tblRules[Pattern]&amp;" "," "&amp;$H155&amp;" ")))+((tblRules[Test]&lt;&gt;"Word")*ISNUMBER(SEARCH(tblRules[Pattern],$H155))))))&gt;0))*1E+9+ROW(tblRules[Pattern])))-ROW(tblRules[[#Headers],[Pattern]])),"Uncategorized"))</f>
        <v/>
      </c>
      <c r="L155">
        <f>IF($C155="","",IFERROR(INDEX(tblCategories[Group],MATCH($K155,tblCategories[Category],0)),"Other"))</f>
        <v/>
      </c>
      <c r="M155">
        <f>IF($C155="","",IFERROR(INDEX(tblCategories[Type],MATCH($K155,tblCategories[Category],0)),IF($J155&gt;0,"Income","Expense")))</f>
        <v/>
      </c>
      <c r="N155">
        <f>IF($C155="","",IFERROR(INDEX(tblCategories[Essential],MATCH($K155,tblCategories[Category],0)),"No"))</f>
        <v/>
      </c>
      <c r="O155">
        <f>IF($C155="","",IFERROR(INDEX(tblCategories[Tax Tag],MATCH($K155,tblCategories[Category],0)),""))</f>
        <v/>
      </c>
      <c r="P155" s="20">
        <f>IF($C155="","",IF($G155=PersonA,1,IF($G155=PersonB,0,IFERROR(INDEX(tblCategories[Joint Split A],MATCH($K155,tblCategories[Category],0)),DefaultSplitA))))</f>
        <v/>
      </c>
      <c r="Q155" s="19">
        <f>IF($C155="","",ROUND($J155*N($P155),2))</f>
        <v/>
      </c>
      <c r="R155" s="19">
        <f>IF($C155="","",ROUND($J155-N($Q155),2))</f>
        <v/>
      </c>
      <c r="U155" t="inlineStr">
        <is>
          <t>sample-data</t>
        </is>
      </c>
      <c r="V155" t="inlineStr">
        <is>
          <t>SAMPLE</t>
        </is>
      </c>
      <c r="W155" t="inlineStr">
        <is>
          <t>3DBCC6F6</t>
        </is>
      </c>
      <c r="X155">
        <f>IF($C155="","",IFERROR(IF(_xlfn.ISFORMULA($K155),"Rule","Manual"),""))</f>
        <v/>
      </c>
      <c r="Y155" s="19">
        <f>IF($C155="","",IF(ReportView=PersonA,N($Q155),IF(ReportView=PersonB,N($R155),$J155)))</f>
        <v/>
      </c>
    </row>
    <row r="156">
      <c r="B156">
        <f>IF($C156="","","T"&amp;TEXT(ROW()-ROW(tblTxn[[#Headers],[Txn ID]]),"000000"))</f>
        <v/>
      </c>
      <c r="C156" s="18" t="n">
        <v>46166</v>
      </c>
      <c r="D156">
        <f>IF($C156="","",TEXT($C156,"yyyy-mm"))</f>
        <v/>
      </c>
      <c r="E156" t="inlineStr">
        <is>
          <t>Amex Cobalt (Joint)</t>
        </is>
      </c>
      <c r="F156">
        <f>IF($C156="","",IFERROR(INDEX(tblAccounts[Owner],MATCH($E156,tblAccounts[Account],0)),"Joint"))</f>
        <v/>
      </c>
      <c r="G156">
        <f>IF($C156="","",IF(HouseholdMode="Couple",IFERROR(IF(INDEX(tblCategories[Default Owner],MATCH($K156,tblCategories[Category],0))="",$F156,INDEX(tblCategories[Default Owner],MATCH($K156,tblCategories[Category],0))),$F156),$F156))</f>
        <v/>
      </c>
      <c r="H156" t="inlineStr">
        <is>
          <t>IDP PURCHASE - 2031 SWISS CHALET #2119 ON</t>
        </is>
      </c>
      <c r="I156">
        <f>IF($H156="","",$H156)</f>
        <v/>
      </c>
      <c r="J156" s="19" t="n">
        <v>-38.6</v>
      </c>
      <c r="K156">
        <f>IF($H156="","",IFERROR(INDEX(tblRules[Category],SUMPRODUCT(MIN((1-((tblRules[Enabled]&lt;&gt;"No")*(tblRules[Pattern]&lt;&gt;"")*(tblRules[Category]&lt;&gt;"")*((tblRules[Flow]="Any")+(tblRules[Flow]="")+((tblRules[Flow]="Money out")*($J156&lt;0))+((tblRules[Flow]="Money in")*($J156&gt;0)))*(((tblRules[Look In]="Account")*ISNUMBER(SEARCH(tblRules[Pattern],$E156)))+((tblRules[Look In]&lt;&gt;"Account")*(((tblRules[Test]="Word")*ISNUMBER(SEARCH(" "&amp;tblRules[Pattern]&amp;" "," "&amp;$H156&amp;" ")))+((tblRules[Test]&lt;&gt;"Word")*ISNUMBER(SEARCH(tblRules[Pattern],$H156))))))&gt;0))*1E+9+ROW(tblRules[Pattern])))-ROW(tblRules[[#Headers],[Pattern]])),"Uncategorized"))</f>
        <v/>
      </c>
      <c r="L156">
        <f>IF($C156="","",IFERROR(INDEX(tblCategories[Group],MATCH($K156,tblCategories[Category],0)),"Other"))</f>
        <v/>
      </c>
      <c r="M156">
        <f>IF($C156="","",IFERROR(INDEX(tblCategories[Type],MATCH($K156,tblCategories[Category],0)),IF($J156&gt;0,"Income","Expense")))</f>
        <v/>
      </c>
      <c r="N156">
        <f>IF($C156="","",IFERROR(INDEX(tblCategories[Essential],MATCH($K156,tblCategories[Category],0)),"No"))</f>
        <v/>
      </c>
      <c r="O156">
        <f>IF($C156="","",IFERROR(INDEX(tblCategories[Tax Tag],MATCH($K156,tblCategories[Category],0)),""))</f>
        <v/>
      </c>
      <c r="P156" s="20">
        <f>IF($C156="","",IF($G156=PersonA,1,IF($G156=PersonB,0,IFERROR(INDEX(tblCategories[Joint Split A],MATCH($K156,tblCategories[Category],0)),DefaultSplitA))))</f>
        <v/>
      </c>
      <c r="Q156" s="19">
        <f>IF($C156="","",ROUND($J156*N($P156),2))</f>
        <v/>
      </c>
      <c r="R156" s="19">
        <f>IF($C156="","",ROUND($J156-N($Q156),2))</f>
        <v/>
      </c>
      <c r="U156" t="inlineStr">
        <is>
          <t>sample-data</t>
        </is>
      </c>
      <c r="V156" t="inlineStr">
        <is>
          <t>SAMPLE</t>
        </is>
      </c>
      <c r="W156" t="inlineStr">
        <is>
          <t>3008EE37</t>
        </is>
      </c>
      <c r="X156">
        <f>IF($C156="","",IFERROR(IF(_xlfn.ISFORMULA($K156),"Rule","Manual"),""))</f>
        <v/>
      </c>
      <c r="Y156" s="19">
        <f>IF($C156="","",IF(ReportView=PersonA,N($Q156),IF(ReportView=PersonB,N($R156),$J156)))</f>
        <v/>
      </c>
    </row>
    <row r="157">
      <c r="B157">
        <f>IF($C157="","","T"&amp;TEXT(ROW()-ROW(tblTxn[[#Headers],[Txn ID]]),"000000"))</f>
        <v/>
      </c>
      <c r="C157" s="18" t="n">
        <v>46166</v>
      </c>
      <c r="D157">
        <f>IF($C157="","",TEXT($C157,"yyyy-mm"))</f>
        <v/>
      </c>
      <c r="E157" t="inlineStr">
        <is>
          <t>Tangerine Chequing (Sam)</t>
        </is>
      </c>
      <c r="F157">
        <f>IF($C157="","",IFERROR(INDEX(tblAccounts[Owner],MATCH($E157,tblAccounts[Account],0)),"Joint"))</f>
        <v/>
      </c>
      <c r="G157">
        <f>IF($C157="","",IF(HouseholdMode="Couple",IFERROR(IF(INDEX(tblCategories[Default Owner],MATCH($K157,tblCategories[Category],0))="",$F157,INDEX(tblCategories[Default Owner],MATCH($K157,tblCategories[Category],0))),$F157),$F157))</f>
        <v/>
      </c>
      <c r="H157" t="inlineStr">
        <is>
          <t>IDP PURCHASE - 8121 LOBLAWS #3771 TORONTO ON</t>
        </is>
      </c>
      <c r="I157">
        <f>IF($H157="","",$H157)</f>
        <v/>
      </c>
      <c r="J157" s="19" t="n">
        <v>-155.09</v>
      </c>
      <c r="K157">
        <f>IF($H157="","",IFERROR(INDEX(tblRules[Category],SUMPRODUCT(MIN((1-((tblRules[Enabled]&lt;&gt;"No")*(tblRules[Pattern]&lt;&gt;"")*(tblRules[Category]&lt;&gt;"")*((tblRules[Flow]="Any")+(tblRules[Flow]="")+((tblRules[Flow]="Money out")*($J157&lt;0))+((tblRules[Flow]="Money in")*($J157&gt;0)))*(((tblRules[Look In]="Account")*ISNUMBER(SEARCH(tblRules[Pattern],$E157)))+((tblRules[Look In]&lt;&gt;"Account")*(((tblRules[Test]="Word")*ISNUMBER(SEARCH(" "&amp;tblRules[Pattern]&amp;" "," "&amp;$H157&amp;" ")))+((tblRules[Test]&lt;&gt;"Word")*ISNUMBER(SEARCH(tblRules[Pattern],$H157))))))&gt;0))*1E+9+ROW(tblRules[Pattern])))-ROW(tblRules[[#Headers],[Pattern]])),"Uncategorized"))</f>
        <v/>
      </c>
      <c r="L157">
        <f>IF($C157="","",IFERROR(INDEX(tblCategories[Group],MATCH($K157,tblCategories[Category],0)),"Other"))</f>
        <v/>
      </c>
      <c r="M157">
        <f>IF($C157="","",IFERROR(INDEX(tblCategories[Type],MATCH($K157,tblCategories[Category],0)),IF($J157&gt;0,"Income","Expense")))</f>
        <v/>
      </c>
      <c r="N157">
        <f>IF($C157="","",IFERROR(INDEX(tblCategories[Essential],MATCH($K157,tblCategories[Category],0)),"No"))</f>
        <v/>
      </c>
      <c r="O157">
        <f>IF($C157="","",IFERROR(INDEX(tblCategories[Tax Tag],MATCH($K157,tblCategories[Category],0)),""))</f>
        <v/>
      </c>
      <c r="P157" s="20">
        <f>IF($C157="","",IF($G157=PersonA,1,IF($G157=PersonB,0,IFERROR(INDEX(tblCategories[Joint Split A],MATCH($K157,tblCategories[Category],0)),DefaultSplitA))))</f>
        <v/>
      </c>
      <c r="Q157" s="19">
        <f>IF($C157="","",ROUND($J157*N($P157),2))</f>
        <v/>
      </c>
      <c r="R157" s="19">
        <f>IF($C157="","",ROUND($J157-N($Q157),2))</f>
        <v/>
      </c>
      <c r="U157" t="inlineStr">
        <is>
          <t>sample-data</t>
        </is>
      </c>
      <c r="V157" t="inlineStr">
        <is>
          <t>SAMPLE</t>
        </is>
      </c>
      <c r="W157" t="inlineStr">
        <is>
          <t>29256E70</t>
        </is>
      </c>
      <c r="X157">
        <f>IF($C157="","",IFERROR(IF(_xlfn.ISFORMULA($K157),"Rule","Manual"),""))</f>
        <v/>
      </c>
      <c r="Y157" s="19">
        <f>IF($C157="","",IF(ReportView=PersonA,N($Q157),IF(ReportView=PersonB,N($R157),$J157)))</f>
        <v/>
      </c>
    </row>
    <row r="158">
      <c r="B158">
        <f>IF($C158="","","T"&amp;TEXT(ROW()-ROW(tblTxn[[#Headers],[Txn ID]]),"000000"))</f>
        <v/>
      </c>
      <c r="C158" s="18" t="n">
        <v>46167</v>
      </c>
      <c r="D158">
        <f>IF($C158="","",TEXT($C158,"yyyy-mm"))</f>
        <v/>
      </c>
      <c r="E158" t="inlineStr">
        <is>
          <t>Amex Cobalt (Joint)</t>
        </is>
      </c>
      <c r="F158">
        <f>IF($C158="","",IFERROR(INDEX(tblAccounts[Owner],MATCH($E158,tblAccounts[Account],0)),"Joint"))</f>
        <v/>
      </c>
      <c r="G158">
        <f>IF($C158="","",IF(HouseholdMode="Couple",IFERROR(IF(INDEX(tblCategories[Default Owner],MATCH($K158,tblCategories[Category],0))="",$F158,INDEX(tblCategories[Default Owner],MATCH($K158,tblCategories[Category],0))),$F158),$F158))</f>
        <v/>
      </c>
      <c r="H158" t="inlineStr">
        <is>
          <t>IDP PURCHASE - 6010 TIM HORTONS #3141 TORONTO ON</t>
        </is>
      </c>
      <c r="I158">
        <f>IF($H158="","",$H158)</f>
        <v/>
      </c>
      <c r="J158" s="19" t="n">
        <v>-4.79</v>
      </c>
      <c r="K158">
        <f>IF($H158="","",IFERROR(INDEX(tblRules[Category],SUMPRODUCT(MIN((1-((tblRules[Enabled]&lt;&gt;"No")*(tblRules[Pattern]&lt;&gt;"")*(tblRules[Category]&lt;&gt;"")*((tblRules[Flow]="Any")+(tblRules[Flow]="")+((tblRules[Flow]="Money out")*($J158&lt;0))+((tblRules[Flow]="Money in")*($J158&gt;0)))*(((tblRules[Look In]="Account")*ISNUMBER(SEARCH(tblRules[Pattern],$E158)))+((tblRules[Look In]&lt;&gt;"Account")*(((tblRules[Test]="Word")*ISNUMBER(SEARCH(" "&amp;tblRules[Pattern]&amp;" "," "&amp;$H158&amp;" ")))+((tblRules[Test]&lt;&gt;"Word")*ISNUMBER(SEARCH(tblRules[Pattern],$H158))))))&gt;0))*1E+9+ROW(tblRules[Pattern])))-ROW(tblRules[[#Headers],[Pattern]])),"Uncategorized"))</f>
        <v/>
      </c>
      <c r="L158">
        <f>IF($C158="","",IFERROR(INDEX(tblCategories[Group],MATCH($K158,tblCategories[Category],0)),"Other"))</f>
        <v/>
      </c>
      <c r="M158">
        <f>IF($C158="","",IFERROR(INDEX(tblCategories[Type],MATCH($K158,tblCategories[Category],0)),IF($J158&gt;0,"Income","Expense")))</f>
        <v/>
      </c>
      <c r="N158">
        <f>IF($C158="","",IFERROR(INDEX(tblCategories[Essential],MATCH($K158,tblCategories[Category],0)),"No"))</f>
        <v/>
      </c>
      <c r="O158">
        <f>IF($C158="","",IFERROR(INDEX(tblCategories[Tax Tag],MATCH($K158,tblCategories[Category],0)),""))</f>
        <v/>
      </c>
      <c r="P158" s="20">
        <f>IF($C158="","",IF($G158=PersonA,1,IF($G158=PersonB,0,IFERROR(INDEX(tblCategories[Joint Split A],MATCH($K158,tblCategories[Category],0)),DefaultSplitA))))</f>
        <v/>
      </c>
      <c r="Q158" s="19">
        <f>IF($C158="","",ROUND($J158*N($P158),2))</f>
        <v/>
      </c>
      <c r="R158" s="19">
        <f>IF($C158="","",ROUND($J158-N($Q158),2))</f>
        <v/>
      </c>
      <c r="U158" t="inlineStr">
        <is>
          <t>sample-data</t>
        </is>
      </c>
      <c r="V158" t="inlineStr">
        <is>
          <t>SAMPLE</t>
        </is>
      </c>
      <c r="W158" t="inlineStr">
        <is>
          <t>89F50BE6</t>
        </is>
      </c>
      <c r="X158">
        <f>IF($C158="","",IFERROR(IF(_xlfn.ISFORMULA($K158),"Rule","Manual"),""))</f>
        <v/>
      </c>
      <c r="Y158" s="19">
        <f>IF($C158="","",IF(ReportView=PersonA,N($Q158),IF(ReportView=PersonB,N($R158),$J158)))</f>
        <v/>
      </c>
    </row>
    <row r="159">
      <c r="B159">
        <f>IF($C159="","","T"&amp;TEXT(ROW()-ROW(tblTxn[[#Headers],[Txn ID]]),"000000"))</f>
        <v/>
      </c>
      <c r="C159" s="18" t="n">
        <v>46167</v>
      </c>
      <c r="D159">
        <f>IF($C159="","",TEXT($C159,"yyyy-mm"))</f>
        <v/>
      </c>
      <c r="E159" t="inlineStr">
        <is>
          <t>BMO Joint Chequing</t>
        </is>
      </c>
      <c r="F159">
        <f>IF($C159="","",IFERROR(INDEX(tblAccounts[Owner],MATCH($E159,tblAccounts[Account],0)),"Joint"))</f>
        <v/>
      </c>
      <c r="G159">
        <f>IF($C159="","",IF(HouseholdMode="Couple",IFERROR(IF(INDEX(tblCategories[Default Owner],MATCH($K159,tblCategories[Category],0))="",$F159,INDEX(tblCategories[Default Owner],MATCH($K159,tblCategories[Category],0))),$F159),$F159))</f>
        <v/>
      </c>
      <c r="H159" t="inlineStr">
        <is>
          <t>IDP PURCHASE - 4968 LOBLAWS #1670 TORONTO ON</t>
        </is>
      </c>
      <c r="I159">
        <f>IF($H159="","",$H159)</f>
        <v/>
      </c>
      <c r="J159" s="19" t="n">
        <v>-145.73</v>
      </c>
      <c r="K159">
        <f>IF($H159="","",IFERROR(INDEX(tblRules[Category],SUMPRODUCT(MIN((1-((tblRules[Enabled]&lt;&gt;"No")*(tblRules[Pattern]&lt;&gt;"")*(tblRules[Category]&lt;&gt;"")*((tblRules[Flow]="Any")+(tblRules[Flow]="")+((tblRules[Flow]="Money out")*($J159&lt;0))+((tblRules[Flow]="Money in")*($J159&gt;0)))*(((tblRules[Look In]="Account")*ISNUMBER(SEARCH(tblRules[Pattern],$E159)))+((tblRules[Look In]&lt;&gt;"Account")*(((tblRules[Test]="Word")*ISNUMBER(SEARCH(" "&amp;tblRules[Pattern]&amp;" "," "&amp;$H159&amp;" ")))+((tblRules[Test]&lt;&gt;"Word")*ISNUMBER(SEARCH(tblRules[Pattern],$H159))))))&gt;0))*1E+9+ROW(tblRules[Pattern])))-ROW(tblRules[[#Headers],[Pattern]])),"Uncategorized"))</f>
        <v/>
      </c>
      <c r="L159">
        <f>IF($C159="","",IFERROR(INDEX(tblCategories[Group],MATCH($K159,tblCategories[Category],0)),"Other"))</f>
        <v/>
      </c>
      <c r="M159">
        <f>IF($C159="","",IFERROR(INDEX(tblCategories[Type],MATCH($K159,tblCategories[Category],0)),IF($J159&gt;0,"Income","Expense")))</f>
        <v/>
      </c>
      <c r="N159">
        <f>IF($C159="","",IFERROR(INDEX(tblCategories[Essential],MATCH($K159,tblCategories[Category],0)),"No"))</f>
        <v/>
      </c>
      <c r="O159">
        <f>IF($C159="","",IFERROR(INDEX(tblCategories[Tax Tag],MATCH($K159,tblCategories[Category],0)),""))</f>
        <v/>
      </c>
      <c r="P159" s="20">
        <f>IF($C159="","",IF($G159=PersonA,1,IF($G159=PersonB,0,IFERROR(INDEX(tblCategories[Joint Split A],MATCH($K159,tblCategories[Category],0)),DefaultSplitA))))</f>
        <v/>
      </c>
      <c r="Q159" s="19">
        <f>IF($C159="","",ROUND($J159*N($P159),2))</f>
        <v/>
      </c>
      <c r="R159" s="19">
        <f>IF($C159="","",ROUND($J159-N($Q159),2))</f>
        <v/>
      </c>
      <c r="U159" t="inlineStr">
        <is>
          <t>sample-data</t>
        </is>
      </c>
      <c r="V159" t="inlineStr">
        <is>
          <t>SAMPLE</t>
        </is>
      </c>
      <c r="W159" t="inlineStr">
        <is>
          <t>91AEE475</t>
        </is>
      </c>
      <c r="X159">
        <f>IF($C159="","",IFERROR(IF(_xlfn.ISFORMULA($K159),"Rule","Manual"),""))</f>
        <v/>
      </c>
      <c r="Y159" s="19">
        <f>IF($C159="","",IF(ReportView=PersonA,N($Q159),IF(ReportView=PersonB,N($R159),$J159)))</f>
        <v/>
      </c>
    </row>
    <row r="160">
      <c r="B160">
        <f>IF($C160="","","T"&amp;TEXT(ROW()-ROW(tblTxn[[#Headers],[Txn ID]]),"000000"))</f>
        <v/>
      </c>
      <c r="C160" s="18" t="n">
        <v>46168</v>
      </c>
      <c r="D160">
        <f>IF($C160="","",TEXT($C160,"yyyy-mm"))</f>
        <v/>
      </c>
      <c r="E160" t="inlineStr">
        <is>
          <t>Amex Cobalt (Joint)</t>
        </is>
      </c>
      <c r="F160">
        <f>IF($C160="","",IFERROR(INDEX(tblAccounts[Owner],MATCH($E160,tblAccounts[Account],0)),"Joint"))</f>
        <v/>
      </c>
      <c r="G160">
        <f>IF($C160="","",IF(HouseholdMode="Couple",IFERROR(IF(INDEX(tblCategories[Default Owner],MATCH($K160,tblCategories[Category],0))="",$F160,INDEX(tblCategories[Default Owner],MATCH($K160,tblCategories[Category],0))),$F160),$F160))</f>
        <v/>
      </c>
      <c r="H160" t="inlineStr">
        <is>
          <t>IDP PURCHASE - 2151 TIM HORTONS #2619 TORONTO ON</t>
        </is>
      </c>
      <c r="I160">
        <f>IF($H160="","",$H160)</f>
        <v/>
      </c>
      <c r="J160" s="19" t="n">
        <v>-6.33</v>
      </c>
      <c r="K160">
        <f>IF($H160="","",IFERROR(INDEX(tblRules[Category],SUMPRODUCT(MIN((1-((tblRules[Enabled]&lt;&gt;"No")*(tblRules[Pattern]&lt;&gt;"")*(tblRules[Category]&lt;&gt;"")*((tblRules[Flow]="Any")+(tblRules[Flow]="")+((tblRules[Flow]="Money out")*($J160&lt;0))+((tblRules[Flow]="Money in")*($J160&gt;0)))*(((tblRules[Look In]="Account")*ISNUMBER(SEARCH(tblRules[Pattern],$E160)))+((tblRules[Look In]&lt;&gt;"Account")*(((tblRules[Test]="Word")*ISNUMBER(SEARCH(" "&amp;tblRules[Pattern]&amp;" "," "&amp;$H160&amp;" ")))+((tblRules[Test]&lt;&gt;"Word")*ISNUMBER(SEARCH(tblRules[Pattern],$H160))))))&gt;0))*1E+9+ROW(tblRules[Pattern])))-ROW(tblRules[[#Headers],[Pattern]])),"Uncategorized"))</f>
        <v/>
      </c>
      <c r="L160">
        <f>IF($C160="","",IFERROR(INDEX(tblCategories[Group],MATCH($K160,tblCategories[Category],0)),"Other"))</f>
        <v/>
      </c>
      <c r="M160">
        <f>IF($C160="","",IFERROR(INDEX(tblCategories[Type],MATCH($K160,tblCategories[Category],0)),IF($J160&gt;0,"Income","Expense")))</f>
        <v/>
      </c>
      <c r="N160">
        <f>IF($C160="","",IFERROR(INDEX(tblCategories[Essential],MATCH($K160,tblCategories[Category],0)),"No"))</f>
        <v/>
      </c>
      <c r="O160">
        <f>IF($C160="","",IFERROR(INDEX(tblCategories[Tax Tag],MATCH($K160,tblCategories[Category],0)),""))</f>
        <v/>
      </c>
      <c r="P160" s="20">
        <f>IF($C160="","",IF($G160=PersonA,1,IF($G160=PersonB,0,IFERROR(INDEX(tblCategories[Joint Split A],MATCH($K160,tblCategories[Category],0)),DefaultSplitA))))</f>
        <v/>
      </c>
      <c r="Q160" s="19">
        <f>IF($C160="","",ROUND($J160*N($P160),2))</f>
        <v/>
      </c>
      <c r="R160" s="19">
        <f>IF($C160="","",ROUND($J160-N($Q160),2))</f>
        <v/>
      </c>
      <c r="U160" t="inlineStr">
        <is>
          <t>sample-data</t>
        </is>
      </c>
      <c r="V160" t="inlineStr">
        <is>
          <t>SAMPLE</t>
        </is>
      </c>
      <c r="W160" t="inlineStr">
        <is>
          <t>913F6E42</t>
        </is>
      </c>
      <c r="X160">
        <f>IF($C160="","",IFERROR(IF(_xlfn.ISFORMULA($K160),"Rule","Manual"),""))</f>
        <v/>
      </c>
      <c r="Y160" s="19">
        <f>IF($C160="","",IF(ReportView=PersonA,N($Q160),IF(ReportView=PersonB,N($R160),$J160)))</f>
        <v/>
      </c>
    </row>
    <row r="161">
      <c r="B161">
        <f>IF($C161="","","T"&amp;TEXT(ROW()-ROW(tblTxn[[#Headers],[Txn ID]]),"000000"))</f>
        <v/>
      </c>
      <c r="C161" s="18" t="n">
        <v>46168</v>
      </c>
      <c r="D161">
        <f>IF($C161="","",TEXT($C161,"yyyy-mm"))</f>
        <v/>
      </c>
      <c r="E161" t="inlineStr">
        <is>
          <t>Amex Cobalt (Joint)</t>
        </is>
      </c>
      <c r="F161">
        <f>IF($C161="","",IFERROR(INDEX(tblAccounts[Owner],MATCH($E161,tblAccounts[Account],0)),"Joint"))</f>
        <v/>
      </c>
      <c r="G161">
        <f>IF($C161="","",IF(HouseholdMode="Couple",IFERROR(IF(INDEX(tblCategories[Default Owner],MATCH($K161,tblCategories[Category],0))="",$F161,INDEX(tblCategories[Default Owner],MATCH($K161,tblCategories[Category],0))),$F161),$F161))</f>
        <v/>
      </c>
      <c r="H161" t="inlineStr">
        <is>
          <t>PAYMENT - THANK YOU / PAIEMENT - MERCI</t>
        </is>
      </c>
      <c r="I161">
        <f>IF($H161="","",$H161)</f>
        <v/>
      </c>
      <c r="J161" s="19" t="n">
        <v>595.23</v>
      </c>
      <c r="K161">
        <f>IF($H161="","",IFERROR(INDEX(tblRules[Category],SUMPRODUCT(MIN((1-((tblRules[Enabled]&lt;&gt;"No")*(tblRules[Pattern]&lt;&gt;"")*(tblRules[Category]&lt;&gt;"")*((tblRules[Flow]="Any")+(tblRules[Flow]="")+((tblRules[Flow]="Money out")*($J161&lt;0))+((tblRules[Flow]="Money in")*($J161&gt;0)))*(((tblRules[Look In]="Account")*ISNUMBER(SEARCH(tblRules[Pattern],$E161)))+((tblRules[Look In]&lt;&gt;"Account")*(((tblRules[Test]="Word")*ISNUMBER(SEARCH(" "&amp;tblRules[Pattern]&amp;" "," "&amp;$H161&amp;" ")))+((tblRules[Test]&lt;&gt;"Word")*ISNUMBER(SEARCH(tblRules[Pattern],$H161))))))&gt;0))*1E+9+ROW(tblRules[Pattern])))-ROW(tblRules[[#Headers],[Pattern]])),"Uncategorized"))</f>
        <v/>
      </c>
      <c r="L161">
        <f>IF($C161="","",IFERROR(INDEX(tblCategories[Group],MATCH($K161,tblCategories[Category],0)),"Other"))</f>
        <v/>
      </c>
      <c r="M161">
        <f>IF($C161="","",IFERROR(INDEX(tblCategories[Type],MATCH($K161,tblCategories[Category],0)),IF($J161&gt;0,"Income","Expense")))</f>
        <v/>
      </c>
      <c r="N161">
        <f>IF($C161="","",IFERROR(INDEX(tblCategories[Essential],MATCH($K161,tblCategories[Category],0)),"No"))</f>
        <v/>
      </c>
      <c r="O161">
        <f>IF($C161="","",IFERROR(INDEX(tblCategories[Tax Tag],MATCH($K161,tblCategories[Category],0)),""))</f>
        <v/>
      </c>
      <c r="P161" s="20">
        <f>IF($C161="","",IF($G161=PersonA,1,IF($G161=PersonB,0,IFERROR(INDEX(tblCategories[Joint Split A],MATCH($K161,tblCategories[Category],0)),DefaultSplitA))))</f>
        <v/>
      </c>
      <c r="Q161" s="19">
        <f>IF($C161="","",ROUND($J161*N($P161),2))</f>
        <v/>
      </c>
      <c r="R161" s="19">
        <f>IF($C161="","",ROUND($J161-N($Q161),2))</f>
        <v/>
      </c>
      <c r="U161" t="inlineStr">
        <is>
          <t>sample-data</t>
        </is>
      </c>
      <c r="V161" t="inlineStr">
        <is>
          <t>SAMPLE</t>
        </is>
      </c>
      <c r="W161" t="inlineStr">
        <is>
          <t>769BE78E</t>
        </is>
      </c>
      <c r="X161">
        <f>IF($C161="","",IFERROR(IF(_xlfn.ISFORMULA($K161),"Rule","Manual"),""))</f>
        <v/>
      </c>
      <c r="Y161" s="19">
        <f>IF($C161="","",IF(ReportView=PersonA,N($Q161),IF(ReportView=PersonB,N($R161),$J161)))</f>
        <v/>
      </c>
    </row>
    <row r="162">
      <c r="B162">
        <f>IF($C162="","","T"&amp;TEXT(ROW()-ROW(tblTxn[[#Headers],[Txn ID]]),"000000"))</f>
        <v/>
      </c>
      <c r="C162" s="18" t="n">
        <v>46168</v>
      </c>
      <c r="D162">
        <f>IF($C162="","",TEXT($C162,"yyyy-mm"))</f>
        <v/>
      </c>
      <c r="E162" t="inlineStr">
        <is>
          <t>BMO Joint Chequing</t>
        </is>
      </c>
      <c r="F162">
        <f>IF($C162="","",IFERROR(INDEX(tblAccounts[Owner],MATCH($E162,tblAccounts[Account],0)),"Joint"))</f>
        <v/>
      </c>
      <c r="G162">
        <f>IF($C162="","",IF(HouseholdMode="Couple",IFERROR(IF(INDEX(tblCategories[Default Owner],MATCH($K162,tblCategories[Category],0))="",$F162,INDEX(tblCategories[Default Owner],MATCH($K162,tblCategories[Category],0))),$F162),$F162))</f>
        <v/>
      </c>
      <c r="H162" t="inlineStr">
        <is>
          <t>AMEX CREDIT CARD/LOC PAY</t>
        </is>
      </c>
      <c r="I162">
        <f>IF($H162="","",$H162)</f>
        <v/>
      </c>
      <c r="J162" s="19" t="n">
        <v>-595.23</v>
      </c>
      <c r="K162">
        <f>IF($H162="","",IFERROR(INDEX(tblRules[Category],SUMPRODUCT(MIN((1-((tblRules[Enabled]&lt;&gt;"No")*(tblRules[Pattern]&lt;&gt;"")*(tblRules[Category]&lt;&gt;"")*((tblRules[Flow]="Any")+(tblRules[Flow]="")+((tblRules[Flow]="Money out")*($J162&lt;0))+((tblRules[Flow]="Money in")*($J162&gt;0)))*(((tblRules[Look In]="Account")*ISNUMBER(SEARCH(tblRules[Pattern],$E162)))+((tblRules[Look In]&lt;&gt;"Account")*(((tblRules[Test]="Word")*ISNUMBER(SEARCH(" "&amp;tblRules[Pattern]&amp;" "," "&amp;$H162&amp;" ")))+((tblRules[Test]&lt;&gt;"Word")*ISNUMBER(SEARCH(tblRules[Pattern],$H162))))))&gt;0))*1E+9+ROW(tblRules[Pattern])))-ROW(tblRules[[#Headers],[Pattern]])),"Uncategorized"))</f>
        <v/>
      </c>
      <c r="L162">
        <f>IF($C162="","",IFERROR(INDEX(tblCategories[Group],MATCH($K162,tblCategories[Category],0)),"Other"))</f>
        <v/>
      </c>
      <c r="M162">
        <f>IF($C162="","",IFERROR(INDEX(tblCategories[Type],MATCH($K162,tblCategories[Category],0)),IF($J162&gt;0,"Income","Expense")))</f>
        <v/>
      </c>
      <c r="N162">
        <f>IF($C162="","",IFERROR(INDEX(tblCategories[Essential],MATCH($K162,tblCategories[Category],0)),"No"))</f>
        <v/>
      </c>
      <c r="O162">
        <f>IF($C162="","",IFERROR(INDEX(tblCategories[Tax Tag],MATCH($K162,tblCategories[Category],0)),""))</f>
        <v/>
      </c>
      <c r="P162" s="20">
        <f>IF($C162="","",IF($G162=PersonA,1,IF($G162=PersonB,0,IFERROR(INDEX(tblCategories[Joint Split A],MATCH($K162,tblCategories[Category],0)),DefaultSplitA))))</f>
        <v/>
      </c>
      <c r="Q162" s="19">
        <f>IF($C162="","",ROUND($J162*N($P162),2))</f>
        <v/>
      </c>
      <c r="R162" s="19">
        <f>IF($C162="","",ROUND($J162-N($Q162),2))</f>
        <v/>
      </c>
      <c r="U162" t="inlineStr">
        <is>
          <t>sample-data</t>
        </is>
      </c>
      <c r="V162" t="inlineStr">
        <is>
          <t>SAMPLE</t>
        </is>
      </c>
      <c r="W162" t="inlineStr">
        <is>
          <t>E14CDB1A</t>
        </is>
      </c>
      <c r="X162">
        <f>IF($C162="","",IFERROR(IF(_xlfn.ISFORMULA($K162),"Rule","Manual"),""))</f>
        <v/>
      </c>
      <c r="Y162" s="19">
        <f>IF($C162="","",IF(ReportView=PersonA,N($Q162),IF(ReportView=PersonB,N($R162),$J162)))</f>
        <v/>
      </c>
    </row>
    <row r="163">
      <c r="B163">
        <f>IF($C163="","","T"&amp;TEXT(ROW()-ROW(tblTxn[[#Headers],[Txn ID]]),"000000"))</f>
        <v/>
      </c>
      <c r="C163" s="18" t="n">
        <v>46170</v>
      </c>
      <c r="D163">
        <f>IF($C163="","",TEXT($C163,"yyyy-mm"))</f>
        <v/>
      </c>
      <c r="E163" t="inlineStr">
        <is>
          <t>RBC Chequing (Alex)</t>
        </is>
      </c>
      <c r="F163">
        <f>IF($C163="","",IFERROR(INDEX(tblAccounts[Owner],MATCH($E163,tblAccounts[Account],0)),"Joint"))</f>
        <v/>
      </c>
      <c r="G163">
        <f>IF($C163="","",IF(HouseholdMode="Couple",IFERROR(IF(INDEX(tblCategories[Default Owner],MATCH($K163,tblCategories[Category],0))="",$F163,INDEX(tblCategories[Default Owner],MATCH($K163,tblCategories[Category],0))),$F163),$F163))</f>
        <v/>
      </c>
      <c r="H163" t="inlineStr">
        <is>
          <t>MONTHLY ACCOUNT FEE</t>
        </is>
      </c>
      <c r="I163">
        <f>IF($H163="","",$H163)</f>
        <v/>
      </c>
      <c r="J163" s="19" t="n">
        <v>-11.95</v>
      </c>
      <c r="K163">
        <f>IF($H163="","",IFERROR(INDEX(tblRules[Category],SUMPRODUCT(MIN((1-((tblRules[Enabled]&lt;&gt;"No")*(tblRules[Pattern]&lt;&gt;"")*(tblRules[Category]&lt;&gt;"")*((tblRules[Flow]="Any")+(tblRules[Flow]="")+((tblRules[Flow]="Money out")*($J163&lt;0))+((tblRules[Flow]="Money in")*($J163&gt;0)))*(((tblRules[Look In]="Account")*ISNUMBER(SEARCH(tblRules[Pattern],$E163)))+((tblRules[Look In]&lt;&gt;"Account")*(((tblRules[Test]="Word")*ISNUMBER(SEARCH(" "&amp;tblRules[Pattern]&amp;" "," "&amp;$H163&amp;" ")))+((tblRules[Test]&lt;&gt;"Word")*ISNUMBER(SEARCH(tblRules[Pattern],$H163))))))&gt;0))*1E+9+ROW(tblRules[Pattern])))-ROW(tblRules[[#Headers],[Pattern]])),"Uncategorized"))</f>
        <v/>
      </c>
      <c r="L163">
        <f>IF($C163="","",IFERROR(INDEX(tblCategories[Group],MATCH($K163,tblCategories[Category],0)),"Other"))</f>
        <v/>
      </c>
      <c r="M163">
        <f>IF($C163="","",IFERROR(INDEX(tblCategories[Type],MATCH($K163,tblCategories[Category],0)),IF($J163&gt;0,"Income","Expense")))</f>
        <v/>
      </c>
      <c r="N163">
        <f>IF($C163="","",IFERROR(INDEX(tblCategories[Essential],MATCH($K163,tblCategories[Category],0)),"No"))</f>
        <v/>
      </c>
      <c r="O163">
        <f>IF($C163="","",IFERROR(INDEX(tblCategories[Tax Tag],MATCH($K163,tblCategories[Category],0)),""))</f>
        <v/>
      </c>
      <c r="P163" s="20">
        <f>IF($C163="","",IF($G163=PersonA,1,IF($G163=PersonB,0,IFERROR(INDEX(tblCategories[Joint Split A],MATCH($K163,tblCategories[Category],0)),DefaultSplitA))))</f>
        <v/>
      </c>
      <c r="Q163" s="19">
        <f>IF($C163="","",ROUND($J163*N($P163),2))</f>
        <v/>
      </c>
      <c r="R163" s="19">
        <f>IF($C163="","",ROUND($J163-N($Q163),2))</f>
        <v/>
      </c>
      <c r="U163" t="inlineStr">
        <is>
          <t>sample-data</t>
        </is>
      </c>
      <c r="V163" t="inlineStr">
        <is>
          <t>SAMPLE</t>
        </is>
      </c>
      <c r="W163" t="inlineStr">
        <is>
          <t>40C58525</t>
        </is>
      </c>
      <c r="X163">
        <f>IF($C163="","",IFERROR(IF(_xlfn.ISFORMULA($K163),"Rule","Manual"),""))</f>
        <v/>
      </c>
      <c r="Y163" s="19">
        <f>IF($C163="","",IF(ReportView=PersonA,N($Q163),IF(ReportView=PersonB,N($R163),$J163)))</f>
        <v/>
      </c>
    </row>
    <row r="164">
      <c r="B164">
        <f>IF($C164="","","T"&amp;TEXT(ROW()-ROW(tblTxn[[#Headers],[Txn ID]]),"000000"))</f>
        <v/>
      </c>
      <c r="C164" s="18" t="n">
        <v>46172</v>
      </c>
      <c r="D164">
        <f>IF($C164="","",TEXT($C164,"yyyy-mm"))</f>
        <v/>
      </c>
      <c r="E164" t="inlineStr">
        <is>
          <t>RBC Chequing (Alex)</t>
        </is>
      </c>
      <c r="F164">
        <f>IF($C164="","",IFERROR(INDEX(tblAccounts[Owner],MATCH($E164,tblAccounts[Account],0)),"Joint"))</f>
        <v/>
      </c>
      <c r="G164">
        <f>IF($C164="","",IF(HouseholdMode="Couple",IFERROR(IF(INDEX(tblCategories[Default Owner],MATCH($K164,tblCategories[Category],0))="",$F164,INDEX(tblCategories[Default Owner],MATCH($K164,tblCategories[Category],0))),$F164),$F164))</f>
        <v/>
      </c>
      <c r="H164" t="inlineStr">
        <is>
          <t>AMZ*UBER EATS TORONTO ON</t>
        </is>
      </c>
      <c r="I164">
        <f>IF($H164="","",$H164)</f>
        <v/>
      </c>
      <c r="J164" s="19" t="n">
        <v>-56.12</v>
      </c>
      <c r="K164">
        <f>IF($H164="","",IFERROR(INDEX(tblRules[Category],SUMPRODUCT(MIN((1-((tblRules[Enabled]&lt;&gt;"No")*(tblRules[Pattern]&lt;&gt;"")*(tblRules[Category]&lt;&gt;"")*((tblRules[Flow]="Any")+(tblRules[Flow]="")+((tblRules[Flow]="Money out")*($J164&lt;0))+((tblRules[Flow]="Money in")*($J164&gt;0)))*(((tblRules[Look In]="Account")*ISNUMBER(SEARCH(tblRules[Pattern],$E164)))+((tblRules[Look In]&lt;&gt;"Account")*(((tblRules[Test]="Word")*ISNUMBER(SEARCH(" "&amp;tblRules[Pattern]&amp;" "," "&amp;$H164&amp;" ")))+((tblRules[Test]&lt;&gt;"Word")*ISNUMBER(SEARCH(tblRules[Pattern],$H164))))))&gt;0))*1E+9+ROW(tblRules[Pattern])))-ROW(tblRules[[#Headers],[Pattern]])),"Uncategorized"))</f>
        <v/>
      </c>
      <c r="L164">
        <f>IF($C164="","",IFERROR(INDEX(tblCategories[Group],MATCH($K164,tblCategories[Category],0)),"Other"))</f>
        <v/>
      </c>
      <c r="M164">
        <f>IF($C164="","",IFERROR(INDEX(tblCategories[Type],MATCH($K164,tblCategories[Category],0)),IF($J164&gt;0,"Income","Expense")))</f>
        <v/>
      </c>
      <c r="N164">
        <f>IF($C164="","",IFERROR(INDEX(tblCategories[Essential],MATCH($K164,tblCategories[Category],0)),"No"))</f>
        <v/>
      </c>
      <c r="O164">
        <f>IF($C164="","",IFERROR(INDEX(tblCategories[Tax Tag],MATCH($K164,tblCategories[Category],0)),""))</f>
        <v/>
      </c>
      <c r="P164" s="20">
        <f>IF($C164="","",IF($G164=PersonA,1,IF($G164=PersonB,0,IFERROR(INDEX(tblCategories[Joint Split A],MATCH($K164,tblCategories[Category],0)),DefaultSplitA))))</f>
        <v/>
      </c>
      <c r="Q164" s="19">
        <f>IF($C164="","",ROUND($J164*N($P164),2))</f>
        <v/>
      </c>
      <c r="R164" s="19">
        <f>IF($C164="","",ROUND($J164-N($Q164),2))</f>
        <v/>
      </c>
      <c r="U164" t="inlineStr">
        <is>
          <t>sample-data</t>
        </is>
      </c>
      <c r="V164" t="inlineStr">
        <is>
          <t>SAMPLE</t>
        </is>
      </c>
      <c r="W164" t="inlineStr">
        <is>
          <t>DCF1476B</t>
        </is>
      </c>
      <c r="X164">
        <f>IF($C164="","",IFERROR(IF(_xlfn.ISFORMULA($K164),"Rule","Manual"),""))</f>
        <v/>
      </c>
      <c r="Y164" s="19">
        <f>IF($C164="","",IF(ReportView=PersonA,N($Q164),IF(ReportView=PersonB,N($R164),$J164)))</f>
        <v/>
      </c>
    </row>
    <row r="165">
      <c r="B165">
        <f>IF($C165="","","T"&amp;TEXT(ROW()-ROW(tblTxn[[#Headers],[Txn ID]]),"000000"))</f>
        <v/>
      </c>
      <c r="C165" s="18" t="n">
        <v>46172</v>
      </c>
      <c r="D165">
        <f>IF($C165="","",TEXT($C165,"yyyy-mm"))</f>
        <v/>
      </c>
      <c r="E165" t="inlineStr">
        <is>
          <t>RBC Chequing (Alex)</t>
        </is>
      </c>
      <c r="F165">
        <f>IF($C165="","",IFERROR(INDEX(tblAccounts[Owner],MATCH($E165,tblAccounts[Account],0)),"Joint"))</f>
        <v/>
      </c>
      <c r="G165">
        <f>IF($C165="","",IF(HouseholdMode="Couple",IFERROR(IF(INDEX(tblCategories[Default Owner],MATCH($K165,tblCategories[Category],0))="",$F165,INDEX(tblCategories[Default Owner],MATCH($K165,tblCategories[Category],0))),$F165),$F165))</f>
        <v/>
      </c>
      <c r="H165" t="inlineStr">
        <is>
          <t>PAYROLL DEPOSIT NORTHWIND LOGISTICS</t>
        </is>
      </c>
      <c r="I165">
        <f>IF($H165="","",$H165)</f>
        <v/>
      </c>
      <c r="J165" s="19" t="n">
        <v>2482.18</v>
      </c>
      <c r="K165">
        <f>IF($H165="","",IFERROR(INDEX(tblRules[Category],SUMPRODUCT(MIN((1-((tblRules[Enabled]&lt;&gt;"No")*(tblRules[Pattern]&lt;&gt;"")*(tblRules[Category]&lt;&gt;"")*((tblRules[Flow]="Any")+(tblRules[Flow]="")+((tblRules[Flow]="Money out")*($J165&lt;0))+((tblRules[Flow]="Money in")*($J165&gt;0)))*(((tblRules[Look In]="Account")*ISNUMBER(SEARCH(tblRules[Pattern],$E165)))+((tblRules[Look In]&lt;&gt;"Account")*(((tblRules[Test]="Word")*ISNUMBER(SEARCH(" "&amp;tblRules[Pattern]&amp;" "," "&amp;$H165&amp;" ")))+((tblRules[Test]&lt;&gt;"Word")*ISNUMBER(SEARCH(tblRules[Pattern],$H165))))))&gt;0))*1E+9+ROW(tblRules[Pattern])))-ROW(tblRules[[#Headers],[Pattern]])),"Uncategorized"))</f>
        <v/>
      </c>
      <c r="L165">
        <f>IF($C165="","",IFERROR(INDEX(tblCategories[Group],MATCH($K165,tblCategories[Category],0)),"Other"))</f>
        <v/>
      </c>
      <c r="M165">
        <f>IF($C165="","",IFERROR(INDEX(tblCategories[Type],MATCH($K165,tblCategories[Category],0)),IF($J165&gt;0,"Income","Expense")))</f>
        <v/>
      </c>
      <c r="N165">
        <f>IF($C165="","",IFERROR(INDEX(tblCategories[Essential],MATCH($K165,tblCategories[Category],0)),"No"))</f>
        <v/>
      </c>
      <c r="O165">
        <f>IF($C165="","",IFERROR(INDEX(tblCategories[Tax Tag],MATCH($K165,tblCategories[Category],0)),""))</f>
        <v/>
      </c>
      <c r="P165" s="20">
        <f>IF($C165="","",IF($G165=PersonA,1,IF($G165=PersonB,0,IFERROR(INDEX(tblCategories[Joint Split A],MATCH($K165,tblCategories[Category],0)),DefaultSplitA))))</f>
        <v/>
      </c>
      <c r="Q165" s="19">
        <f>IF($C165="","",ROUND($J165*N($P165),2))</f>
        <v/>
      </c>
      <c r="R165" s="19">
        <f>IF($C165="","",ROUND($J165-N($Q165),2))</f>
        <v/>
      </c>
      <c r="U165" t="inlineStr">
        <is>
          <t>sample-data</t>
        </is>
      </c>
      <c r="V165" t="inlineStr">
        <is>
          <t>SAMPLE</t>
        </is>
      </c>
      <c r="W165" t="inlineStr">
        <is>
          <t>AEC96107</t>
        </is>
      </c>
      <c r="X165">
        <f>IF($C165="","",IFERROR(IF(_xlfn.ISFORMULA($K165),"Rule","Manual"),""))</f>
        <v/>
      </c>
      <c r="Y165" s="19">
        <f>IF($C165="","",IF(ReportView=PersonA,N($Q165),IF(ReportView=PersonB,N($R165),$J165)))</f>
        <v/>
      </c>
    </row>
    <row r="166">
      <c r="B166">
        <f>IF($C166="","","T"&amp;TEXT(ROW()-ROW(tblTxn[[#Headers],[Txn ID]]),"000000"))</f>
        <v/>
      </c>
      <c r="C166" s="18" t="n">
        <v>46172</v>
      </c>
      <c r="D166">
        <f>IF($C166="","",TEXT($C166,"yyyy-mm"))</f>
        <v/>
      </c>
      <c r="E166" t="inlineStr">
        <is>
          <t>Tangerine Chequing (Sam)</t>
        </is>
      </c>
      <c r="F166">
        <f>IF($C166="","",IFERROR(INDEX(tblAccounts[Owner],MATCH($E166,tblAccounts[Account],0)),"Joint"))</f>
        <v/>
      </c>
      <c r="G166">
        <f>IF($C166="","",IF(HouseholdMode="Couple",IFERROR(IF(INDEX(tblCategories[Default Owner],MATCH($K166,tblCategories[Category],0))="",$F166,INDEX(tblCategories[Default Owner],MATCH($K166,tblCategories[Category],0))),$F166),$F166))</f>
        <v/>
      </c>
      <c r="H166" t="inlineStr">
        <is>
          <t>IDP PURCHASE - 3509 DOLLARAMA #2083 ON</t>
        </is>
      </c>
      <c r="I166">
        <f>IF($H166="","",$H166)</f>
        <v/>
      </c>
      <c r="J166" s="19" t="n">
        <v>-26.96</v>
      </c>
      <c r="K166">
        <f>IF($H166="","",IFERROR(INDEX(tblRules[Category],SUMPRODUCT(MIN((1-((tblRules[Enabled]&lt;&gt;"No")*(tblRules[Pattern]&lt;&gt;"")*(tblRules[Category]&lt;&gt;"")*((tblRules[Flow]="Any")+(tblRules[Flow]="")+((tblRules[Flow]="Money out")*($J166&lt;0))+((tblRules[Flow]="Money in")*($J166&gt;0)))*(((tblRules[Look In]="Account")*ISNUMBER(SEARCH(tblRules[Pattern],$E166)))+((tblRules[Look In]&lt;&gt;"Account")*(((tblRules[Test]="Word")*ISNUMBER(SEARCH(" "&amp;tblRules[Pattern]&amp;" "," "&amp;$H166&amp;" ")))+((tblRules[Test]&lt;&gt;"Word")*ISNUMBER(SEARCH(tblRules[Pattern],$H166))))))&gt;0))*1E+9+ROW(tblRules[Pattern])))-ROW(tblRules[[#Headers],[Pattern]])),"Uncategorized"))</f>
        <v/>
      </c>
      <c r="L166">
        <f>IF($C166="","",IFERROR(INDEX(tblCategories[Group],MATCH($K166,tblCategories[Category],0)),"Other"))</f>
        <v/>
      </c>
      <c r="M166">
        <f>IF($C166="","",IFERROR(INDEX(tblCategories[Type],MATCH($K166,tblCategories[Category],0)),IF($J166&gt;0,"Income","Expense")))</f>
        <v/>
      </c>
      <c r="N166">
        <f>IF($C166="","",IFERROR(INDEX(tblCategories[Essential],MATCH($K166,tblCategories[Category],0)),"No"))</f>
        <v/>
      </c>
      <c r="O166">
        <f>IF($C166="","",IFERROR(INDEX(tblCategories[Tax Tag],MATCH($K166,tblCategories[Category],0)),""))</f>
        <v/>
      </c>
      <c r="P166" s="20">
        <f>IF($C166="","",IF($G166=PersonA,1,IF($G166=PersonB,0,IFERROR(INDEX(tblCategories[Joint Split A],MATCH($K166,tblCategories[Category],0)),DefaultSplitA))))</f>
        <v/>
      </c>
      <c r="Q166" s="19">
        <f>IF($C166="","",ROUND($J166*N($P166),2))</f>
        <v/>
      </c>
      <c r="R166" s="19">
        <f>IF($C166="","",ROUND($J166-N($Q166),2))</f>
        <v/>
      </c>
      <c r="U166" t="inlineStr">
        <is>
          <t>sample-data</t>
        </is>
      </c>
      <c r="V166" t="inlineStr">
        <is>
          <t>SAMPLE</t>
        </is>
      </c>
      <c r="W166" t="inlineStr">
        <is>
          <t>87224B3E</t>
        </is>
      </c>
      <c r="X166">
        <f>IF($C166="","",IFERROR(IF(_xlfn.ISFORMULA($K166),"Rule","Manual"),""))</f>
        <v/>
      </c>
      <c r="Y166" s="19">
        <f>IF($C166="","",IF(ReportView=PersonA,N($Q166),IF(ReportView=PersonB,N($R166),$J166)))</f>
        <v/>
      </c>
    </row>
    <row r="167">
      <c r="B167">
        <f>IF($C167="","","T"&amp;TEXT(ROW()-ROW(tblTxn[[#Headers],[Txn ID]]),"000000"))</f>
        <v/>
      </c>
      <c r="C167" s="18" t="n">
        <v>46172</v>
      </c>
      <c r="D167">
        <f>IF($C167="","",TEXT($C167,"yyyy-mm"))</f>
        <v/>
      </c>
      <c r="E167" t="inlineStr">
        <is>
          <t>Tangerine Chequing (Sam)</t>
        </is>
      </c>
      <c r="F167">
        <f>IF($C167="","",IFERROR(INDEX(tblAccounts[Owner],MATCH($E167,tblAccounts[Account],0)),"Joint"))</f>
        <v/>
      </c>
      <c r="G167">
        <f>IF($C167="","",IF(HouseholdMode="Couple",IFERROR(IF(INDEX(tblCategories[Default Owner],MATCH($K167,tblCategories[Category],0))="",$F167,INDEX(tblCategories[Default Owner],MATCH($K167,tblCategories[Category],0))),$F167),$F167))</f>
        <v/>
      </c>
      <c r="H167" t="inlineStr">
        <is>
          <t>PAYROLL DEPOSIT MAPLE HEALTH GROUP</t>
        </is>
      </c>
      <c r="I167">
        <f>IF($H167="","",$H167)</f>
        <v/>
      </c>
      <c r="J167" s="19" t="n">
        <v>1996.44</v>
      </c>
      <c r="K167">
        <f>IF($H167="","",IFERROR(INDEX(tblRules[Category],SUMPRODUCT(MIN((1-((tblRules[Enabled]&lt;&gt;"No")*(tblRules[Pattern]&lt;&gt;"")*(tblRules[Category]&lt;&gt;"")*((tblRules[Flow]="Any")+(tblRules[Flow]="")+((tblRules[Flow]="Money out")*($J167&lt;0))+((tblRules[Flow]="Money in")*($J167&gt;0)))*(((tblRules[Look In]="Account")*ISNUMBER(SEARCH(tblRules[Pattern],$E167)))+((tblRules[Look In]&lt;&gt;"Account")*(((tblRules[Test]="Word")*ISNUMBER(SEARCH(" "&amp;tblRules[Pattern]&amp;" "," "&amp;$H167&amp;" ")))+((tblRules[Test]&lt;&gt;"Word")*ISNUMBER(SEARCH(tblRules[Pattern],$H167))))))&gt;0))*1E+9+ROW(tblRules[Pattern])))-ROW(tblRules[[#Headers],[Pattern]])),"Uncategorized"))</f>
        <v/>
      </c>
      <c r="L167">
        <f>IF($C167="","",IFERROR(INDEX(tblCategories[Group],MATCH($K167,tblCategories[Category],0)),"Other"))</f>
        <v/>
      </c>
      <c r="M167">
        <f>IF($C167="","",IFERROR(INDEX(tblCategories[Type],MATCH($K167,tblCategories[Category],0)),IF($J167&gt;0,"Income","Expense")))</f>
        <v/>
      </c>
      <c r="N167">
        <f>IF($C167="","",IFERROR(INDEX(tblCategories[Essential],MATCH($K167,tblCategories[Category],0)),"No"))</f>
        <v/>
      </c>
      <c r="O167">
        <f>IF($C167="","",IFERROR(INDEX(tblCategories[Tax Tag],MATCH($K167,tblCategories[Category],0)),""))</f>
        <v/>
      </c>
      <c r="P167" s="20">
        <f>IF($C167="","",IF($G167=PersonA,1,IF($G167=PersonB,0,IFERROR(INDEX(tblCategories[Joint Split A],MATCH($K167,tblCategories[Category],0)),DefaultSplitA))))</f>
        <v/>
      </c>
      <c r="Q167" s="19">
        <f>IF($C167="","",ROUND($J167*N($P167),2))</f>
        <v/>
      </c>
      <c r="R167" s="19">
        <f>IF($C167="","",ROUND($J167-N($Q167),2))</f>
        <v/>
      </c>
      <c r="U167" t="inlineStr">
        <is>
          <t>sample-data</t>
        </is>
      </c>
      <c r="V167" t="inlineStr">
        <is>
          <t>SAMPLE</t>
        </is>
      </c>
      <c r="W167" t="inlineStr">
        <is>
          <t>764FA170</t>
        </is>
      </c>
      <c r="X167">
        <f>IF($C167="","",IFERROR(IF(_xlfn.ISFORMULA($K167),"Rule","Manual"),""))</f>
        <v/>
      </c>
      <c r="Y167" s="19">
        <f>IF($C167="","",IF(ReportView=PersonA,N($Q167),IF(ReportView=PersonB,N($R167),$J167)))</f>
        <v/>
      </c>
    </row>
    <row r="168">
      <c r="B168">
        <f>IF($C168="","","T"&amp;TEXT(ROW()-ROW(tblTxn[[#Headers],[Txn ID]]),"000000"))</f>
        <v/>
      </c>
      <c r="C168" s="18" t="n">
        <v>46174</v>
      </c>
      <c r="D168">
        <f>IF($C168="","",TEXT($C168,"yyyy-mm"))</f>
        <v/>
      </c>
      <c r="E168" t="inlineStr">
        <is>
          <t>Amex Cobalt (Joint)</t>
        </is>
      </c>
      <c r="F168">
        <f>IF($C168="","",IFERROR(INDEX(tblAccounts[Owner],MATCH($E168,tblAccounts[Account],0)),"Joint"))</f>
        <v/>
      </c>
      <c r="G168">
        <f>IF($C168="","",IF(HouseholdMode="Couple",IFERROR(IF(INDEX(tblCategories[Default Owner],MATCH($K168,tblCategories[Category],0))="",$F168,INDEX(tblCategories[Default Owner],MATCH($K168,tblCategories[Category],0))),$F168),$F168))</f>
        <v/>
      </c>
      <c r="H168" t="inlineStr">
        <is>
          <t>IDP PURCHASE - 9645 NO FRILLS #105 TORONTO ON</t>
        </is>
      </c>
      <c r="I168">
        <f>IF($H168="","",$H168)</f>
        <v/>
      </c>
      <c r="J168" s="19" t="n">
        <v>-86.94</v>
      </c>
      <c r="K168">
        <f>IF($H168="","",IFERROR(INDEX(tblRules[Category],SUMPRODUCT(MIN((1-((tblRules[Enabled]&lt;&gt;"No")*(tblRules[Pattern]&lt;&gt;"")*(tblRules[Category]&lt;&gt;"")*((tblRules[Flow]="Any")+(tblRules[Flow]="")+((tblRules[Flow]="Money out")*($J168&lt;0))+((tblRules[Flow]="Money in")*($J168&gt;0)))*(((tblRules[Look In]="Account")*ISNUMBER(SEARCH(tblRules[Pattern],$E168)))+((tblRules[Look In]&lt;&gt;"Account")*(((tblRules[Test]="Word")*ISNUMBER(SEARCH(" "&amp;tblRules[Pattern]&amp;" "," "&amp;$H168&amp;" ")))+((tblRules[Test]&lt;&gt;"Word")*ISNUMBER(SEARCH(tblRules[Pattern],$H168))))))&gt;0))*1E+9+ROW(tblRules[Pattern])))-ROW(tblRules[[#Headers],[Pattern]])),"Uncategorized"))</f>
        <v/>
      </c>
      <c r="L168">
        <f>IF($C168="","",IFERROR(INDEX(tblCategories[Group],MATCH($K168,tblCategories[Category],0)),"Other"))</f>
        <v/>
      </c>
      <c r="M168">
        <f>IF($C168="","",IFERROR(INDEX(tblCategories[Type],MATCH($K168,tblCategories[Category],0)),IF($J168&gt;0,"Income","Expense")))</f>
        <v/>
      </c>
      <c r="N168">
        <f>IF($C168="","",IFERROR(INDEX(tblCategories[Essential],MATCH($K168,tblCategories[Category],0)),"No"))</f>
        <v/>
      </c>
      <c r="O168">
        <f>IF($C168="","",IFERROR(INDEX(tblCategories[Tax Tag],MATCH($K168,tblCategories[Category],0)),""))</f>
        <v/>
      </c>
      <c r="P168" s="20">
        <f>IF($C168="","",IF($G168=PersonA,1,IF($G168=PersonB,0,IFERROR(INDEX(tblCategories[Joint Split A],MATCH($K168,tblCategories[Category],0)),DefaultSplitA))))</f>
        <v/>
      </c>
      <c r="Q168" s="19">
        <f>IF($C168="","",ROUND($J168*N($P168),2))</f>
        <v/>
      </c>
      <c r="R168" s="19">
        <f>IF($C168="","",ROUND($J168-N($Q168),2))</f>
        <v/>
      </c>
      <c r="U168" t="inlineStr">
        <is>
          <t>sample-data</t>
        </is>
      </c>
      <c r="V168" t="inlineStr">
        <is>
          <t>SAMPLE</t>
        </is>
      </c>
      <c r="W168" t="inlineStr">
        <is>
          <t>C96E74C8</t>
        </is>
      </c>
      <c r="X168">
        <f>IF($C168="","",IFERROR(IF(_xlfn.ISFORMULA($K168),"Rule","Manual"),""))</f>
        <v/>
      </c>
      <c r="Y168" s="19">
        <f>IF($C168="","",IF(ReportView=PersonA,N($Q168),IF(ReportView=PersonB,N($R168),$J168)))</f>
        <v/>
      </c>
    </row>
    <row r="169">
      <c r="B169">
        <f>IF($C169="","","T"&amp;TEXT(ROW()-ROW(tblTxn[[#Headers],[Txn ID]]),"000000"))</f>
        <v/>
      </c>
      <c r="C169" s="18" t="n">
        <v>46174</v>
      </c>
      <c r="D169">
        <f>IF($C169="","",TEXT($C169,"yyyy-mm"))</f>
        <v/>
      </c>
      <c r="E169" t="inlineStr">
        <is>
          <t>BMO Joint Chequing</t>
        </is>
      </c>
      <c r="F169">
        <f>IF($C169="","",IFERROR(INDEX(tblAccounts[Owner],MATCH($E169,tblAccounts[Account],0)),"Joint"))</f>
        <v/>
      </c>
      <c r="G169">
        <f>IF($C169="","",IF(HouseholdMode="Couple",IFERROR(IF(INDEX(tblCategories[Default Owner],MATCH($K169,tblCategories[Category],0))="",$F169,INDEX(tblCategories[Default Owner],MATCH($K169,tblCategories[Category],0))),$F169),$F169))</f>
        <v/>
      </c>
      <c r="H169" t="inlineStr">
        <is>
          <t>RENT PAYMENT 84 BROADVIEW AVE</t>
        </is>
      </c>
      <c r="I169">
        <f>IF($H169="","",$H169)</f>
        <v/>
      </c>
      <c r="J169" s="19" t="n">
        <v>-2350</v>
      </c>
      <c r="K169">
        <f>IF($H169="","",IFERROR(INDEX(tblRules[Category],SUMPRODUCT(MIN((1-((tblRules[Enabled]&lt;&gt;"No")*(tblRules[Pattern]&lt;&gt;"")*(tblRules[Category]&lt;&gt;"")*((tblRules[Flow]="Any")+(tblRules[Flow]="")+((tblRules[Flow]="Money out")*($J169&lt;0))+((tblRules[Flow]="Money in")*($J169&gt;0)))*(((tblRules[Look In]="Account")*ISNUMBER(SEARCH(tblRules[Pattern],$E169)))+((tblRules[Look In]&lt;&gt;"Account")*(((tblRules[Test]="Word")*ISNUMBER(SEARCH(" "&amp;tblRules[Pattern]&amp;" "," "&amp;$H169&amp;" ")))+((tblRules[Test]&lt;&gt;"Word")*ISNUMBER(SEARCH(tblRules[Pattern],$H169))))))&gt;0))*1E+9+ROW(tblRules[Pattern])))-ROW(tblRules[[#Headers],[Pattern]])),"Uncategorized"))</f>
        <v/>
      </c>
      <c r="L169">
        <f>IF($C169="","",IFERROR(INDEX(tblCategories[Group],MATCH($K169,tblCategories[Category],0)),"Other"))</f>
        <v/>
      </c>
      <c r="M169">
        <f>IF($C169="","",IFERROR(INDEX(tblCategories[Type],MATCH($K169,tblCategories[Category],0)),IF($J169&gt;0,"Income","Expense")))</f>
        <v/>
      </c>
      <c r="N169">
        <f>IF($C169="","",IFERROR(INDEX(tblCategories[Essential],MATCH($K169,tblCategories[Category],0)),"No"))</f>
        <v/>
      </c>
      <c r="O169">
        <f>IF($C169="","",IFERROR(INDEX(tblCategories[Tax Tag],MATCH($K169,tblCategories[Category],0)),""))</f>
        <v/>
      </c>
      <c r="P169" s="20">
        <f>IF($C169="","",IF($G169=PersonA,1,IF($G169=PersonB,0,IFERROR(INDEX(tblCategories[Joint Split A],MATCH($K169,tblCategories[Category],0)),DefaultSplitA))))</f>
        <v/>
      </c>
      <c r="Q169" s="19">
        <f>IF($C169="","",ROUND($J169*N($P169),2))</f>
        <v/>
      </c>
      <c r="R169" s="19">
        <f>IF($C169="","",ROUND($J169-N($Q169),2))</f>
        <v/>
      </c>
      <c r="U169" t="inlineStr">
        <is>
          <t>sample-data</t>
        </is>
      </c>
      <c r="V169" t="inlineStr">
        <is>
          <t>SAMPLE</t>
        </is>
      </c>
      <c r="W169" t="inlineStr">
        <is>
          <t>15E30491</t>
        </is>
      </c>
      <c r="X169">
        <f>IF($C169="","",IFERROR(IF(_xlfn.ISFORMULA($K169),"Rule","Manual"),""))</f>
        <v/>
      </c>
      <c r="Y169" s="19">
        <f>IF($C169="","",IF(ReportView=PersonA,N($Q169),IF(ReportView=PersonB,N($R169),$J169)))</f>
        <v/>
      </c>
    </row>
    <row r="170">
      <c r="B170">
        <f>IF($C170="","","T"&amp;TEXT(ROW()-ROW(tblTxn[[#Headers],[Txn ID]]),"000000"))</f>
        <v/>
      </c>
      <c r="C170" s="18" t="n">
        <v>46176</v>
      </c>
      <c r="D170">
        <f>IF($C170="","",TEXT($C170,"yyyy-mm"))</f>
        <v/>
      </c>
      <c r="E170" t="inlineStr">
        <is>
          <t>Amex Cobalt (Joint)</t>
        </is>
      </c>
      <c r="F170">
        <f>IF($C170="","",IFERROR(INDEX(tblAccounts[Owner],MATCH($E170,tblAccounts[Account],0)),"Joint"))</f>
        <v/>
      </c>
      <c r="G170">
        <f>IF($C170="","",IF(HouseholdMode="Couple",IFERROR(IF(INDEX(tblCategories[Default Owner],MATCH($K170,tblCategories[Category],0))="",$F170,INDEX(tblCategories[Default Owner],MATCH($K170,tblCategories[Category],0))),$F170),$F170))</f>
        <v/>
      </c>
      <c r="H170" t="inlineStr">
        <is>
          <t>UBER TRIP HELP.UBER.COM ON</t>
        </is>
      </c>
      <c r="I170">
        <f>IF($H170="","",$H170)</f>
        <v/>
      </c>
      <c r="J170" s="19" t="n">
        <v>-29.63</v>
      </c>
      <c r="K170">
        <f>IF($H170="","",IFERROR(INDEX(tblRules[Category],SUMPRODUCT(MIN((1-((tblRules[Enabled]&lt;&gt;"No")*(tblRules[Pattern]&lt;&gt;"")*(tblRules[Category]&lt;&gt;"")*((tblRules[Flow]="Any")+(tblRules[Flow]="")+((tblRules[Flow]="Money out")*($J170&lt;0))+((tblRules[Flow]="Money in")*($J170&gt;0)))*(((tblRules[Look In]="Account")*ISNUMBER(SEARCH(tblRules[Pattern],$E170)))+((tblRules[Look In]&lt;&gt;"Account")*(((tblRules[Test]="Word")*ISNUMBER(SEARCH(" "&amp;tblRules[Pattern]&amp;" "," "&amp;$H170&amp;" ")))+((tblRules[Test]&lt;&gt;"Word")*ISNUMBER(SEARCH(tblRules[Pattern],$H170))))))&gt;0))*1E+9+ROW(tblRules[Pattern])))-ROW(tblRules[[#Headers],[Pattern]])),"Uncategorized"))</f>
        <v/>
      </c>
      <c r="L170">
        <f>IF($C170="","",IFERROR(INDEX(tblCategories[Group],MATCH($K170,tblCategories[Category],0)),"Other"))</f>
        <v/>
      </c>
      <c r="M170">
        <f>IF($C170="","",IFERROR(INDEX(tblCategories[Type],MATCH($K170,tblCategories[Category],0)),IF($J170&gt;0,"Income","Expense")))</f>
        <v/>
      </c>
      <c r="N170">
        <f>IF($C170="","",IFERROR(INDEX(tblCategories[Essential],MATCH($K170,tblCategories[Category],0)),"No"))</f>
        <v/>
      </c>
      <c r="O170">
        <f>IF($C170="","",IFERROR(INDEX(tblCategories[Tax Tag],MATCH($K170,tblCategories[Category],0)),""))</f>
        <v/>
      </c>
      <c r="P170" s="20">
        <f>IF($C170="","",IF($G170=PersonA,1,IF($G170=PersonB,0,IFERROR(INDEX(tblCategories[Joint Split A],MATCH($K170,tblCategories[Category],0)),DefaultSplitA))))</f>
        <v/>
      </c>
      <c r="Q170" s="19">
        <f>IF($C170="","",ROUND($J170*N($P170),2))</f>
        <v/>
      </c>
      <c r="R170" s="19">
        <f>IF($C170="","",ROUND($J170-N($Q170),2))</f>
        <v/>
      </c>
      <c r="U170" t="inlineStr">
        <is>
          <t>sample-data</t>
        </is>
      </c>
      <c r="V170" t="inlineStr">
        <is>
          <t>SAMPLE</t>
        </is>
      </c>
      <c r="W170" t="inlineStr">
        <is>
          <t>3DCFA08C</t>
        </is>
      </c>
      <c r="X170">
        <f>IF($C170="","",IFERROR(IF(_xlfn.ISFORMULA($K170),"Rule","Manual"),""))</f>
        <v/>
      </c>
      <c r="Y170" s="19">
        <f>IF($C170="","",IF(ReportView=PersonA,N($Q170),IF(ReportView=PersonB,N($R170),$J170)))</f>
        <v/>
      </c>
    </row>
    <row r="171">
      <c r="B171">
        <f>IF($C171="","","T"&amp;TEXT(ROW()-ROW(tblTxn[[#Headers],[Txn ID]]),"000000"))</f>
        <v/>
      </c>
      <c r="C171" s="18" t="n">
        <v>46176</v>
      </c>
      <c r="D171">
        <f>IF($C171="","",TEXT($C171,"yyyy-mm"))</f>
        <v/>
      </c>
      <c r="E171" t="inlineStr">
        <is>
          <t>BMO Joint Chequing</t>
        </is>
      </c>
      <c r="F171">
        <f>IF($C171="","",IFERROR(INDEX(tblAccounts[Owner],MATCH($E171,tblAccounts[Account],0)),"Joint"))</f>
        <v/>
      </c>
      <c r="G171">
        <f>IF($C171="","",IF(HouseholdMode="Couple",IFERROR(IF(INDEX(tblCategories[Default Owner],MATCH($K171,tblCategories[Category],0))="",$F171,INDEX(tblCategories[Default Owner],MATCH($K171,tblCategories[Category],0))),$F171),$F171))</f>
        <v/>
      </c>
      <c r="H171" t="inlineStr">
        <is>
          <t>GOODLIFE CLUBS PREAUTHORIZED DEBIT</t>
        </is>
      </c>
      <c r="I171">
        <f>IF($H171="","",$H171)</f>
        <v/>
      </c>
      <c r="J171" s="19" t="n">
        <v>-54.22</v>
      </c>
      <c r="K171">
        <f>IF($H171="","",IFERROR(INDEX(tblRules[Category],SUMPRODUCT(MIN((1-((tblRules[Enabled]&lt;&gt;"No")*(tblRules[Pattern]&lt;&gt;"")*(tblRules[Category]&lt;&gt;"")*((tblRules[Flow]="Any")+(tblRules[Flow]="")+((tblRules[Flow]="Money out")*($J171&lt;0))+((tblRules[Flow]="Money in")*($J171&gt;0)))*(((tblRules[Look In]="Account")*ISNUMBER(SEARCH(tblRules[Pattern],$E171)))+((tblRules[Look In]&lt;&gt;"Account")*(((tblRules[Test]="Word")*ISNUMBER(SEARCH(" "&amp;tblRules[Pattern]&amp;" "," "&amp;$H171&amp;" ")))+((tblRules[Test]&lt;&gt;"Word")*ISNUMBER(SEARCH(tblRules[Pattern],$H171))))))&gt;0))*1E+9+ROW(tblRules[Pattern])))-ROW(tblRules[[#Headers],[Pattern]])),"Uncategorized"))</f>
        <v/>
      </c>
      <c r="L171">
        <f>IF($C171="","",IFERROR(INDEX(tblCategories[Group],MATCH($K171,tblCategories[Category],0)),"Other"))</f>
        <v/>
      </c>
      <c r="M171">
        <f>IF($C171="","",IFERROR(INDEX(tblCategories[Type],MATCH($K171,tblCategories[Category],0)),IF($J171&gt;0,"Income","Expense")))</f>
        <v/>
      </c>
      <c r="N171">
        <f>IF($C171="","",IFERROR(INDEX(tblCategories[Essential],MATCH($K171,tblCategories[Category],0)),"No"))</f>
        <v/>
      </c>
      <c r="O171">
        <f>IF($C171="","",IFERROR(INDEX(tblCategories[Tax Tag],MATCH($K171,tblCategories[Category],0)),""))</f>
        <v/>
      </c>
      <c r="P171" s="20">
        <f>IF($C171="","",IF($G171=PersonA,1,IF($G171=PersonB,0,IFERROR(INDEX(tblCategories[Joint Split A],MATCH($K171,tblCategories[Category],0)),DefaultSplitA))))</f>
        <v/>
      </c>
      <c r="Q171" s="19">
        <f>IF($C171="","",ROUND($J171*N($P171),2))</f>
        <v/>
      </c>
      <c r="R171" s="19">
        <f>IF($C171="","",ROUND($J171-N($Q171),2))</f>
        <v/>
      </c>
      <c r="U171" t="inlineStr">
        <is>
          <t>sample-data</t>
        </is>
      </c>
      <c r="V171" t="inlineStr">
        <is>
          <t>SAMPLE</t>
        </is>
      </c>
      <c r="W171" t="inlineStr">
        <is>
          <t>92D71CCE</t>
        </is>
      </c>
      <c r="X171">
        <f>IF($C171="","",IFERROR(IF(_xlfn.ISFORMULA($K171),"Rule","Manual"),""))</f>
        <v/>
      </c>
      <c r="Y171" s="19">
        <f>IF($C171="","",IF(ReportView=PersonA,N($Q171),IF(ReportView=PersonB,N($R171),$J171)))</f>
        <v/>
      </c>
    </row>
    <row r="172">
      <c r="B172">
        <f>IF($C172="","","T"&amp;TEXT(ROW()-ROW(tblTxn[[#Headers],[Txn ID]]),"000000"))</f>
        <v/>
      </c>
      <c r="C172" s="18" t="n">
        <v>46176</v>
      </c>
      <c r="D172">
        <f>IF($C172="","",TEXT($C172,"yyyy-mm"))</f>
        <v/>
      </c>
      <c r="E172" t="inlineStr">
        <is>
          <t>RBC Chequing (Alex)</t>
        </is>
      </c>
      <c r="F172">
        <f>IF($C172="","",IFERROR(INDEX(tblAccounts[Owner],MATCH($E172,tblAccounts[Account],0)),"Joint"))</f>
        <v/>
      </c>
      <c r="G172">
        <f>IF($C172="","",IF(HouseholdMode="Couple",IFERROR(IF(INDEX(tblCategories[Default Owner],MATCH($K172,tblCategories[Category],0))="",$F172,INDEX(tblCategories[Default Owner],MATCH($K172,tblCategories[Category],0))),$F172),$F172))</f>
        <v/>
      </c>
      <c r="H172" t="inlineStr">
        <is>
          <t>UBER TRIP HELP.UBER.COM ON</t>
        </is>
      </c>
      <c r="I172">
        <f>IF($H172="","",$H172)</f>
        <v/>
      </c>
      <c r="J172" s="19" t="n">
        <v>-29.71</v>
      </c>
      <c r="K172">
        <f>IF($H172="","",IFERROR(INDEX(tblRules[Category],SUMPRODUCT(MIN((1-((tblRules[Enabled]&lt;&gt;"No")*(tblRules[Pattern]&lt;&gt;"")*(tblRules[Category]&lt;&gt;"")*((tblRules[Flow]="Any")+(tblRules[Flow]="")+((tblRules[Flow]="Money out")*($J172&lt;0))+((tblRules[Flow]="Money in")*($J172&gt;0)))*(((tblRules[Look In]="Account")*ISNUMBER(SEARCH(tblRules[Pattern],$E172)))+((tblRules[Look In]&lt;&gt;"Account")*(((tblRules[Test]="Word")*ISNUMBER(SEARCH(" "&amp;tblRules[Pattern]&amp;" "," "&amp;$H172&amp;" ")))+((tblRules[Test]&lt;&gt;"Word")*ISNUMBER(SEARCH(tblRules[Pattern],$H172))))))&gt;0))*1E+9+ROW(tblRules[Pattern])))-ROW(tblRules[[#Headers],[Pattern]])),"Uncategorized"))</f>
        <v/>
      </c>
      <c r="L172">
        <f>IF($C172="","",IFERROR(INDEX(tblCategories[Group],MATCH($K172,tblCategories[Category],0)),"Other"))</f>
        <v/>
      </c>
      <c r="M172">
        <f>IF($C172="","",IFERROR(INDEX(tblCategories[Type],MATCH($K172,tblCategories[Category],0)),IF($J172&gt;0,"Income","Expense")))</f>
        <v/>
      </c>
      <c r="N172">
        <f>IF($C172="","",IFERROR(INDEX(tblCategories[Essential],MATCH($K172,tblCategories[Category],0)),"No"))</f>
        <v/>
      </c>
      <c r="O172">
        <f>IF($C172="","",IFERROR(INDEX(tblCategories[Tax Tag],MATCH($K172,tblCategories[Category],0)),""))</f>
        <v/>
      </c>
      <c r="P172" s="20">
        <f>IF($C172="","",IF($G172=PersonA,1,IF($G172=PersonB,0,IFERROR(INDEX(tblCategories[Joint Split A],MATCH($K172,tblCategories[Category],0)),DefaultSplitA))))</f>
        <v/>
      </c>
      <c r="Q172" s="19">
        <f>IF($C172="","",ROUND($J172*N($P172),2))</f>
        <v/>
      </c>
      <c r="R172" s="19">
        <f>IF($C172="","",ROUND($J172-N($Q172),2))</f>
        <v/>
      </c>
      <c r="U172" t="inlineStr">
        <is>
          <t>sample-data</t>
        </is>
      </c>
      <c r="V172" t="inlineStr">
        <is>
          <t>SAMPLE</t>
        </is>
      </c>
      <c r="W172" t="inlineStr">
        <is>
          <t>3B060FE8</t>
        </is>
      </c>
      <c r="X172">
        <f>IF($C172="","",IFERROR(IF(_xlfn.ISFORMULA($K172),"Rule","Manual"),""))</f>
        <v/>
      </c>
      <c r="Y172" s="19">
        <f>IF($C172="","",IF(ReportView=PersonA,N($Q172),IF(ReportView=PersonB,N($R172),$J172)))</f>
        <v/>
      </c>
    </row>
    <row r="173">
      <c r="B173">
        <f>IF($C173="","","T"&amp;TEXT(ROW()-ROW(tblTxn[[#Headers],[Txn ID]]),"000000"))</f>
        <v/>
      </c>
      <c r="C173" s="18" t="n">
        <v>46177</v>
      </c>
      <c r="D173">
        <f>IF($C173="","",TEXT($C173,"yyyy-mm"))</f>
        <v/>
      </c>
      <c r="E173" t="inlineStr">
        <is>
          <t>BMO Joint Chequing</t>
        </is>
      </c>
      <c r="F173">
        <f>IF($C173="","",IFERROR(INDEX(tblAccounts[Owner],MATCH($E173,tblAccounts[Account],0)),"Joint"))</f>
        <v/>
      </c>
      <c r="G173">
        <f>IF($C173="","",IF(HouseholdMode="Couple",IFERROR(IF(INDEX(tblCategories[Default Owner],MATCH($K173,tblCategories[Category],0))="",$F173,INDEX(tblCategories[Default Owner],MATCH($K173,tblCategories[Category],0))),$F173),$F173))</f>
        <v/>
      </c>
      <c r="H173" t="inlineStr">
        <is>
          <t>IDP PURCHASE - 5114 LOBLAWS #2861 TORONTO ON</t>
        </is>
      </c>
      <c r="I173">
        <f>IF($H173="","",$H173)</f>
        <v/>
      </c>
      <c r="J173" s="19" t="n">
        <v>-141.6</v>
      </c>
      <c r="K173">
        <f>IF($H173="","",IFERROR(INDEX(tblRules[Category],SUMPRODUCT(MIN((1-((tblRules[Enabled]&lt;&gt;"No")*(tblRules[Pattern]&lt;&gt;"")*(tblRules[Category]&lt;&gt;"")*((tblRules[Flow]="Any")+(tblRules[Flow]="")+((tblRules[Flow]="Money out")*($J173&lt;0))+((tblRules[Flow]="Money in")*($J173&gt;0)))*(((tblRules[Look In]="Account")*ISNUMBER(SEARCH(tblRules[Pattern],$E173)))+((tblRules[Look In]&lt;&gt;"Account")*(((tblRules[Test]="Word")*ISNUMBER(SEARCH(" "&amp;tblRules[Pattern]&amp;" "," "&amp;$H173&amp;" ")))+((tblRules[Test]&lt;&gt;"Word")*ISNUMBER(SEARCH(tblRules[Pattern],$H173))))))&gt;0))*1E+9+ROW(tblRules[Pattern])))-ROW(tblRules[[#Headers],[Pattern]])),"Uncategorized"))</f>
        <v/>
      </c>
      <c r="L173">
        <f>IF($C173="","",IFERROR(INDEX(tblCategories[Group],MATCH($K173,tblCategories[Category],0)),"Other"))</f>
        <v/>
      </c>
      <c r="M173">
        <f>IF($C173="","",IFERROR(INDEX(tblCategories[Type],MATCH($K173,tblCategories[Category],0)),IF($J173&gt;0,"Income","Expense")))</f>
        <v/>
      </c>
      <c r="N173">
        <f>IF($C173="","",IFERROR(INDEX(tblCategories[Essential],MATCH($K173,tblCategories[Category],0)),"No"))</f>
        <v/>
      </c>
      <c r="O173">
        <f>IF($C173="","",IFERROR(INDEX(tblCategories[Tax Tag],MATCH($K173,tblCategories[Category],0)),""))</f>
        <v/>
      </c>
      <c r="P173" s="20">
        <f>IF($C173="","",IF($G173=PersonA,1,IF($G173=PersonB,0,IFERROR(INDEX(tblCategories[Joint Split A],MATCH($K173,tblCategories[Category],0)),DefaultSplitA))))</f>
        <v/>
      </c>
      <c r="Q173" s="19">
        <f>IF($C173="","",ROUND($J173*N($P173),2))</f>
        <v/>
      </c>
      <c r="R173" s="19">
        <f>IF($C173="","",ROUND($J173-N($Q173),2))</f>
        <v/>
      </c>
      <c r="U173" t="inlineStr">
        <is>
          <t>sample-data</t>
        </is>
      </c>
      <c r="V173" t="inlineStr">
        <is>
          <t>SAMPLE</t>
        </is>
      </c>
      <c r="W173" t="inlineStr">
        <is>
          <t>48923860</t>
        </is>
      </c>
      <c r="X173">
        <f>IF($C173="","",IFERROR(IF(_xlfn.ISFORMULA($K173),"Rule","Manual"),""))</f>
        <v/>
      </c>
      <c r="Y173" s="19">
        <f>IF($C173="","",IF(ReportView=PersonA,N($Q173),IF(ReportView=PersonB,N($R173),$J173)))</f>
        <v/>
      </c>
    </row>
    <row r="174">
      <c r="B174">
        <f>IF($C174="","","T"&amp;TEXT(ROW()-ROW(tblTxn[[#Headers],[Txn ID]]),"000000"))</f>
        <v/>
      </c>
      <c r="C174" s="18" t="n">
        <v>46178</v>
      </c>
      <c r="D174">
        <f>IF($C174="","",TEXT($C174,"yyyy-mm"))</f>
        <v/>
      </c>
      <c r="E174" t="inlineStr">
        <is>
          <t>BMO Joint Chequing</t>
        </is>
      </c>
      <c r="F174">
        <f>IF($C174="","",IFERROR(INDEX(tblAccounts[Owner],MATCH($E174,tblAccounts[Account],0)),"Joint"))</f>
        <v/>
      </c>
      <c r="G174">
        <f>IF($C174="","",IF(HouseholdMode="Couple",IFERROR(IF(INDEX(tblCategories[Default Owner],MATCH($K174,tblCategories[Category],0))="",$F174,INDEX(tblCategories[Default Owner],MATCH($K174,tblCategories[Category],0))),$F174),$F174))</f>
        <v/>
      </c>
      <c r="H174" t="inlineStr">
        <is>
          <t>BELAIRDIRECT INSURANCE PREAUTHORIZED DEBIT</t>
        </is>
      </c>
      <c r="I174">
        <f>IF($H174="","",$H174)</f>
        <v/>
      </c>
      <c r="J174" s="19" t="n">
        <v>-168</v>
      </c>
      <c r="K174">
        <f>IF($H174="","",IFERROR(INDEX(tblRules[Category],SUMPRODUCT(MIN((1-((tblRules[Enabled]&lt;&gt;"No")*(tblRules[Pattern]&lt;&gt;"")*(tblRules[Category]&lt;&gt;"")*((tblRules[Flow]="Any")+(tblRules[Flow]="")+((tblRules[Flow]="Money out")*($J174&lt;0))+((tblRules[Flow]="Money in")*($J174&gt;0)))*(((tblRules[Look In]="Account")*ISNUMBER(SEARCH(tblRules[Pattern],$E174)))+((tblRules[Look In]&lt;&gt;"Account")*(((tblRules[Test]="Word")*ISNUMBER(SEARCH(" "&amp;tblRules[Pattern]&amp;" "," "&amp;$H174&amp;" ")))+((tblRules[Test]&lt;&gt;"Word")*ISNUMBER(SEARCH(tblRules[Pattern],$H174))))))&gt;0))*1E+9+ROW(tblRules[Pattern])))-ROW(tblRules[[#Headers],[Pattern]])),"Uncategorized"))</f>
        <v/>
      </c>
      <c r="L174">
        <f>IF($C174="","",IFERROR(INDEX(tblCategories[Group],MATCH($K174,tblCategories[Category],0)),"Other"))</f>
        <v/>
      </c>
      <c r="M174">
        <f>IF($C174="","",IFERROR(INDEX(tblCategories[Type],MATCH($K174,tblCategories[Category],0)),IF($J174&gt;0,"Income","Expense")))</f>
        <v/>
      </c>
      <c r="N174">
        <f>IF($C174="","",IFERROR(INDEX(tblCategories[Essential],MATCH($K174,tblCategories[Category],0)),"No"))</f>
        <v/>
      </c>
      <c r="O174">
        <f>IF($C174="","",IFERROR(INDEX(tblCategories[Tax Tag],MATCH($K174,tblCategories[Category],0)),""))</f>
        <v/>
      </c>
      <c r="P174" s="20">
        <f>IF($C174="","",IF($G174=PersonA,1,IF($G174=PersonB,0,IFERROR(INDEX(tblCategories[Joint Split A],MATCH($K174,tblCategories[Category],0)),DefaultSplitA))))</f>
        <v/>
      </c>
      <c r="Q174" s="19">
        <f>IF($C174="","",ROUND($J174*N($P174),2))</f>
        <v/>
      </c>
      <c r="R174" s="19">
        <f>IF($C174="","",ROUND($J174-N($Q174),2))</f>
        <v/>
      </c>
      <c r="U174" t="inlineStr">
        <is>
          <t>sample-data</t>
        </is>
      </c>
      <c r="V174" t="inlineStr">
        <is>
          <t>SAMPLE</t>
        </is>
      </c>
      <c r="W174" t="inlineStr">
        <is>
          <t>4853019C</t>
        </is>
      </c>
      <c r="X174">
        <f>IF($C174="","",IFERROR(IF(_xlfn.ISFORMULA($K174),"Rule","Manual"),""))</f>
        <v/>
      </c>
      <c r="Y174" s="19">
        <f>IF($C174="","",IF(ReportView=PersonA,N($Q174),IF(ReportView=PersonB,N($R174),$J174)))</f>
        <v/>
      </c>
    </row>
    <row r="175">
      <c r="B175">
        <f>IF($C175="","","T"&amp;TEXT(ROW()-ROW(tblTxn[[#Headers],[Txn ID]]),"000000"))</f>
        <v/>
      </c>
      <c r="C175" s="18" t="n">
        <v>46178</v>
      </c>
      <c r="D175">
        <f>IF($C175="","",TEXT($C175,"yyyy-mm"))</f>
        <v/>
      </c>
      <c r="E175" t="inlineStr">
        <is>
          <t>BMO Joint Chequing</t>
        </is>
      </c>
      <c r="F175">
        <f>IF($C175="","",IFERROR(INDEX(tblAccounts[Owner],MATCH($E175,tblAccounts[Account],0)),"Joint"))</f>
        <v/>
      </c>
      <c r="G175">
        <f>IF($C175="","",IF(HouseholdMode="Couple",IFERROR(IF(INDEX(tblCategories[Default Owner],MATCH($K175,tblCategories[Category],0))="",$F175,INDEX(tblCategories[Default Owner],MATCH($K175,tblCategories[Category],0))),$F175),$F175))</f>
        <v/>
      </c>
      <c r="H175" t="inlineStr">
        <is>
          <t>LITTLE MAPLE DAYCARE PREAUTHORIZED DEBIT</t>
        </is>
      </c>
      <c r="I175">
        <f>IF($H175="","",$H175)</f>
        <v/>
      </c>
      <c r="J175" s="19" t="n">
        <v>-880</v>
      </c>
      <c r="K175">
        <f>IF($H175="","",IFERROR(INDEX(tblRules[Category],SUMPRODUCT(MIN((1-((tblRules[Enabled]&lt;&gt;"No")*(tblRules[Pattern]&lt;&gt;"")*(tblRules[Category]&lt;&gt;"")*((tblRules[Flow]="Any")+(tblRules[Flow]="")+((tblRules[Flow]="Money out")*($J175&lt;0))+((tblRules[Flow]="Money in")*($J175&gt;0)))*(((tblRules[Look In]="Account")*ISNUMBER(SEARCH(tblRules[Pattern],$E175)))+((tblRules[Look In]&lt;&gt;"Account")*(((tblRules[Test]="Word")*ISNUMBER(SEARCH(" "&amp;tblRules[Pattern]&amp;" "," "&amp;$H175&amp;" ")))+((tblRules[Test]&lt;&gt;"Word")*ISNUMBER(SEARCH(tblRules[Pattern],$H175))))))&gt;0))*1E+9+ROW(tblRules[Pattern])))-ROW(tblRules[[#Headers],[Pattern]])),"Uncategorized"))</f>
        <v/>
      </c>
      <c r="L175">
        <f>IF($C175="","",IFERROR(INDEX(tblCategories[Group],MATCH($K175,tblCategories[Category],0)),"Other"))</f>
        <v/>
      </c>
      <c r="M175">
        <f>IF($C175="","",IFERROR(INDEX(tblCategories[Type],MATCH($K175,tblCategories[Category],0)),IF($J175&gt;0,"Income","Expense")))</f>
        <v/>
      </c>
      <c r="N175">
        <f>IF($C175="","",IFERROR(INDEX(tblCategories[Essential],MATCH($K175,tblCategories[Category],0)),"No"))</f>
        <v/>
      </c>
      <c r="O175">
        <f>IF($C175="","",IFERROR(INDEX(tblCategories[Tax Tag],MATCH($K175,tblCategories[Category],0)),""))</f>
        <v/>
      </c>
      <c r="P175" s="20">
        <f>IF($C175="","",IF($G175=PersonA,1,IF($G175=PersonB,0,IFERROR(INDEX(tblCategories[Joint Split A],MATCH($K175,tblCategories[Category],0)),DefaultSplitA))))</f>
        <v/>
      </c>
      <c r="Q175" s="19">
        <f>IF($C175="","",ROUND($J175*N($P175),2))</f>
        <v/>
      </c>
      <c r="R175" s="19">
        <f>IF($C175="","",ROUND($J175-N($Q175),2))</f>
        <v/>
      </c>
      <c r="U175" t="inlineStr">
        <is>
          <t>sample-data</t>
        </is>
      </c>
      <c r="V175" t="inlineStr">
        <is>
          <t>SAMPLE</t>
        </is>
      </c>
      <c r="W175" t="inlineStr">
        <is>
          <t>7BC76563</t>
        </is>
      </c>
      <c r="X175">
        <f>IF($C175="","",IFERROR(IF(_xlfn.ISFORMULA($K175),"Rule","Manual"),""))</f>
        <v/>
      </c>
      <c r="Y175" s="19">
        <f>IF($C175="","",IF(ReportView=PersonA,N($Q175),IF(ReportView=PersonB,N($R175),$J175)))</f>
        <v/>
      </c>
    </row>
    <row r="176">
      <c r="B176">
        <f>IF($C176="","","T"&amp;TEXT(ROW()-ROW(tblTxn[[#Headers],[Txn ID]]),"000000"))</f>
        <v/>
      </c>
      <c r="C176" s="18" t="n">
        <v>46178</v>
      </c>
      <c r="D176">
        <f>IF($C176="","",TEXT($C176,"yyyy-mm"))</f>
        <v/>
      </c>
      <c r="E176" t="inlineStr">
        <is>
          <t>RBC Chequing (Alex)</t>
        </is>
      </c>
      <c r="F176">
        <f>IF($C176="","",IFERROR(INDEX(tblAccounts[Owner],MATCH($E176,tblAccounts[Account],0)),"Joint"))</f>
        <v/>
      </c>
      <c r="G176">
        <f>IF($C176="","",IF(HouseholdMode="Couple",IFERROR(IF(INDEX(tblCategories[Default Owner],MATCH($K176,tblCategories[Category],0))="",$F176,INDEX(tblCategories[Default Owner],MATCH($K176,tblCategories[Category],0))),$F176),$F176))</f>
        <v/>
      </c>
      <c r="H176" t="inlineStr">
        <is>
          <t>IDP PURCHASE - 1305 STARBUCKS #3085 TORONTO ON</t>
        </is>
      </c>
      <c r="I176">
        <f>IF($H176="","",$H176)</f>
        <v/>
      </c>
      <c r="J176" s="19" t="n">
        <v>-6.6</v>
      </c>
      <c r="K176">
        <f>IF($H176="","",IFERROR(INDEX(tblRules[Category],SUMPRODUCT(MIN((1-((tblRules[Enabled]&lt;&gt;"No")*(tblRules[Pattern]&lt;&gt;"")*(tblRules[Category]&lt;&gt;"")*((tblRules[Flow]="Any")+(tblRules[Flow]="")+((tblRules[Flow]="Money out")*($J176&lt;0))+((tblRules[Flow]="Money in")*($J176&gt;0)))*(((tblRules[Look In]="Account")*ISNUMBER(SEARCH(tblRules[Pattern],$E176)))+((tblRules[Look In]&lt;&gt;"Account")*(((tblRules[Test]="Word")*ISNUMBER(SEARCH(" "&amp;tblRules[Pattern]&amp;" "," "&amp;$H176&amp;" ")))+((tblRules[Test]&lt;&gt;"Word")*ISNUMBER(SEARCH(tblRules[Pattern],$H176))))))&gt;0))*1E+9+ROW(tblRules[Pattern])))-ROW(tblRules[[#Headers],[Pattern]])),"Uncategorized"))</f>
        <v/>
      </c>
      <c r="L176">
        <f>IF($C176="","",IFERROR(INDEX(tblCategories[Group],MATCH($K176,tblCategories[Category],0)),"Other"))</f>
        <v/>
      </c>
      <c r="M176">
        <f>IF($C176="","",IFERROR(INDEX(tblCategories[Type],MATCH($K176,tblCategories[Category],0)),IF($J176&gt;0,"Income","Expense")))</f>
        <v/>
      </c>
      <c r="N176">
        <f>IF($C176="","",IFERROR(INDEX(tblCategories[Essential],MATCH($K176,tblCategories[Category],0)),"No"))</f>
        <v/>
      </c>
      <c r="O176">
        <f>IF($C176="","",IFERROR(INDEX(tblCategories[Tax Tag],MATCH($K176,tblCategories[Category],0)),""))</f>
        <v/>
      </c>
      <c r="P176" s="20">
        <f>IF($C176="","",IF($G176=PersonA,1,IF($G176=PersonB,0,IFERROR(INDEX(tblCategories[Joint Split A],MATCH($K176,tblCategories[Category],0)),DefaultSplitA))))</f>
        <v/>
      </c>
      <c r="Q176" s="19">
        <f>IF($C176="","",ROUND($J176*N($P176),2))</f>
        <v/>
      </c>
      <c r="R176" s="19">
        <f>IF($C176="","",ROUND($J176-N($Q176),2))</f>
        <v/>
      </c>
      <c r="U176" t="inlineStr">
        <is>
          <t>sample-data</t>
        </is>
      </c>
      <c r="V176" t="inlineStr">
        <is>
          <t>SAMPLE</t>
        </is>
      </c>
      <c r="W176" t="inlineStr">
        <is>
          <t>7250AAE0</t>
        </is>
      </c>
      <c r="X176">
        <f>IF($C176="","",IFERROR(IF(_xlfn.ISFORMULA($K176),"Rule","Manual"),""))</f>
        <v/>
      </c>
      <c r="Y176" s="19">
        <f>IF($C176="","",IF(ReportView=PersonA,N($Q176),IF(ReportView=PersonB,N($R176),$J176)))</f>
        <v/>
      </c>
    </row>
    <row r="177">
      <c r="B177">
        <f>IF($C177="","","T"&amp;TEXT(ROW()-ROW(tblTxn[[#Headers],[Txn ID]]),"000000"))</f>
        <v/>
      </c>
      <c r="C177" s="18" t="n">
        <v>46178</v>
      </c>
      <c r="D177">
        <f>IF($C177="","",TEXT($C177,"yyyy-mm"))</f>
        <v/>
      </c>
      <c r="E177" t="inlineStr">
        <is>
          <t>RBC Chequing (Alex)</t>
        </is>
      </c>
      <c r="F177">
        <f>IF($C177="","",IFERROR(INDEX(tblAccounts[Owner],MATCH($E177,tblAccounts[Account],0)),"Joint"))</f>
        <v/>
      </c>
      <c r="G177">
        <f>IF($C177="","",IF(HouseholdMode="Couple",IFERROR(IF(INDEX(tblCategories[Default Owner],MATCH($K177,tblCategories[Category],0))="",$F177,INDEX(tblCategories[Default Owner],MATCH($K177,tblCategories[Category],0))),$F177),$F177))</f>
        <v/>
      </c>
      <c r="H177" t="inlineStr">
        <is>
          <t>IDP PURCHASE - 1706 SHOPPERS DRUG MART #373 ON</t>
        </is>
      </c>
      <c r="I177">
        <f>IF($H177="","",$H177)</f>
        <v/>
      </c>
      <c r="J177" s="19" t="n">
        <v>-24.89</v>
      </c>
      <c r="K177">
        <f>IF($H177="","",IFERROR(INDEX(tblRules[Category],SUMPRODUCT(MIN((1-((tblRules[Enabled]&lt;&gt;"No")*(tblRules[Pattern]&lt;&gt;"")*(tblRules[Category]&lt;&gt;"")*((tblRules[Flow]="Any")+(tblRules[Flow]="")+((tblRules[Flow]="Money out")*($J177&lt;0))+((tblRules[Flow]="Money in")*($J177&gt;0)))*(((tblRules[Look In]="Account")*ISNUMBER(SEARCH(tblRules[Pattern],$E177)))+((tblRules[Look In]&lt;&gt;"Account")*(((tblRules[Test]="Word")*ISNUMBER(SEARCH(" "&amp;tblRules[Pattern]&amp;" "," "&amp;$H177&amp;" ")))+((tblRules[Test]&lt;&gt;"Word")*ISNUMBER(SEARCH(tblRules[Pattern],$H177))))))&gt;0))*1E+9+ROW(tblRules[Pattern])))-ROW(tblRules[[#Headers],[Pattern]])),"Uncategorized"))</f>
        <v/>
      </c>
      <c r="L177">
        <f>IF($C177="","",IFERROR(INDEX(tblCategories[Group],MATCH($K177,tblCategories[Category],0)),"Other"))</f>
        <v/>
      </c>
      <c r="M177">
        <f>IF($C177="","",IFERROR(INDEX(tblCategories[Type],MATCH($K177,tblCategories[Category],0)),IF($J177&gt;0,"Income","Expense")))</f>
        <v/>
      </c>
      <c r="N177">
        <f>IF($C177="","",IFERROR(INDEX(tblCategories[Essential],MATCH($K177,tblCategories[Category],0)),"No"))</f>
        <v/>
      </c>
      <c r="O177">
        <f>IF($C177="","",IFERROR(INDEX(tblCategories[Tax Tag],MATCH($K177,tblCategories[Category],0)),""))</f>
        <v/>
      </c>
      <c r="P177" s="20">
        <f>IF($C177="","",IF($G177=PersonA,1,IF($G177=PersonB,0,IFERROR(INDEX(tblCategories[Joint Split A],MATCH($K177,tblCategories[Category],0)),DefaultSplitA))))</f>
        <v/>
      </c>
      <c r="Q177" s="19">
        <f>IF($C177="","",ROUND($J177*N($P177),2))</f>
        <v/>
      </c>
      <c r="R177" s="19">
        <f>IF($C177="","",ROUND($J177-N($Q177),2))</f>
        <v/>
      </c>
      <c r="U177" t="inlineStr">
        <is>
          <t>sample-data</t>
        </is>
      </c>
      <c r="V177" t="inlineStr">
        <is>
          <t>SAMPLE</t>
        </is>
      </c>
      <c r="W177" t="inlineStr">
        <is>
          <t>5CF1BC90</t>
        </is>
      </c>
      <c r="X177">
        <f>IF($C177="","",IFERROR(IF(_xlfn.ISFORMULA($K177),"Rule","Manual"),""))</f>
        <v/>
      </c>
      <c r="Y177" s="19">
        <f>IF($C177="","",IF(ReportView=PersonA,N($Q177),IF(ReportView=PersonB,N($R177),$J177)))</f>
        <v/>
      </c>
    </row>
    <row r="178">
      <c r="B178">
        <f>IF($C178="","","T"&amp;TEXT(ROW()-ROW(tblTxn[[#Headers],[Txn ID]]),"000000"))</f>
        <v/>
      </c>
      <c r="C178" s="18" t="n">
        <v>46179</v>
      </c>
      <c r="D178">
        <f>IF($C178="","",TEXT($C178,"yyyy-mm"))</f>
        <v/>
      </c>
      <c r="E178" t="inlineStr">
        <is>
          <t>BMO Joint Chequing</t>
        </is>
      </c>
      <c r="F178">
        <f>IF($C178="","",IFERROR(INDEX(tblAccounts[Owner],MATCH($E178,tblAccounts[Account],0)),"Joint"))</f>
        <v/>
      </c>
      <c r="G178">
        <f>IF($C178="","",IF(HouseholdMode="Couple",IFERROR(IF(INDEX(tblCategories[Default Owner],MATCH($K178,tblCategories[Category],0))="",$F178,INDEX(tblCategories[Default Owner],MATCH($K178,tblCategories[Category],0))),$F178),$F178))</f>
        <v/>
      </c>
      <c r="H178" t="inlineStr">
        <is>
          <t>SUN LIFE ASSURANCE MISC PAYMENT</t>
        </is>
      </c>
      <c r="I178">
        <f>IF($H178="","",$H178)</f>
        <v/>
      </c>
      <c r="J178" s="19" t="n">
        <v>-74.5</v>
      </c>
      <c r="K178">
        <f>IF($H178="","",IFERROR(INDEX(tblRules[Category],SUMPRODUCT(MIN((1-((tblRules[Enabled]&lt;&gt;"No")*(tblRules[Pattern]&lt;&gt;"")*(tblRules[Category]&lt;&gt;"")*((tblRules[Flow]="Any")+(tblRules[Flow]="")+((tblRules[Flow]="Money out")*($J178&lt;0))+((tblRules[Flow]="Money in")*($J178&gt;0)))*(((tblRules[Look In]="Account")*ISNUMBER(SEARCH(tblRules[Pattern],$E178)))+((tblRules[Look In]&lt;&gt;"Account")*(((tblRules[Test]="Word")*ISNUMBER(SEARCH(" "&amp;tblRules[Pattern]&amp;" "," "&amp;$H178&amp;" ")))+((tblRules[Test]&lt;&gt;"Word")*ISNUMBER(SEARCH(tblRules[Pattern],$H178))))))&gt;0))*1E+9+ROW(tblRules[Pattern])))-ROW(tblRules[[#Headers],[Pattern]])),"Uncategorized"))</f>
        <v/>
      </c>
      <c r="L178">
        <f>IF($C178="","",IFERROR(INDEX(tblCategories[Group],MATCH($K178,tblCategories[Category],0)),"Other"))</f>
        <v/>
      </c>
      <c r="M178">
        <f>IF($C178="","",IFERROR(INDEX(tblCategories[Type],MATCH($K178,tblCategories[Category],0)),IF($J178&gt;0,"Income","Expense")))</f>
        <v/>
      </c>
      <c r="N178">
        <f>IF($C178="","",IFERROR(INDEX(tblCategories[Essential],MATCH($K178,tblCategories[Category],0)),"No"))</f>
        <v/>
      </c>
      <c r="O178">
        <f>IF($C178="","",IFERROR(INDEX(tblCategories[Tax Tag],MATCH($K178,tblCategories[Category],0)),""))</f>
        <v/>
      </c>
      <c r="P178" s="20">
        <f>IF($C178="","",IF($G178=PersonA,1,IF($G178=PersonB,0,IFERROR(INDEX(tblCategories[Joint Split A],MATCH($K178,tblCategories[Category],0)),DefaultSplitA))))</f>
        <v/>
      </c>
      <c r="Q178" s="19">
        <f>IF($C178="","",ROUND($J178*N($P178),2))</f>
        <v/>
      </c>
      <c r="R178" s="19">
        <f>IF($C178="","",ROUND($J178-N($Q178),2))</f>
        <v/>
      </c>
      <c r="U178" t="inlineStr">
        <is>
          <t>sample-data</t>
        </is>
      </c>
      <c r="V178" t="inlineStr">
        <is>
          <t>SAMPLE</t>
        </is>
      </c>
      <c r="W178" t="inlineStr">
        <is>
          <t>075D99A5</t>
        </is>
      </c>
      <c r="X178">
        <f>IF($C178="","",IFERROR(IF(_xlfn.ISFORMULA($K178),"Rule","Manual"),""))</f>
        <v/>
      </c>
      <c r="Y178" s="19">
        <f>IF($C178="","",IF(ReportView=PersonA,N($Q178),IF(ReportView=PersonB,N($R178),$J178)))</f>
        <v/>
      </c>
    </row>
    <row r="179">
      <c r="B179">
        <f>IF($C179="","","T"&amp;TEXT(ROW()-ROW(tblTxn[[#Headers],[Txn ID]]),"000000"))</f>
        <v/>
      </c>
      <c r="C179" s="18" t="n">
        <v>46180</v>
      </c>
      <c r="D179">
        <f>IF($C179="","",TEXT($C179,"yyyy-mm"))</f>
        <v/>
      </c>
      <c r="E179" t="inlineStr">
        <is>
          <t>RBC Chequing (Alex)</t>
        </is>
      </c>
      <c r="F179">
        <f>IF($C179="","",IFERROR(INDEX(tblAccounts[Owner],MATCH($E179,tblAccounts[Account],0)),"Joint"))</f>
        <v/>
      </c>
      <c r="G179">
        <f>IF($C179="","",IF(HouseholdMode="Couple",IFERROR(IF(INDEX(tblCategories[Default Owner],MATCH($K179,tblCategories[Category],0))="",$F179,INDEX(tblCategories[Default Owner],MATCH($K179,tblCategories[Category],0))),$F179),$F179))</f>
        <v/>
      </c>
      <c r="H179" t="inlineStr">
        <is>
          <t>IDP PURCHASE - 5024 CANADIAN TIRE #1865 ON</t>
        </is>
      </c>
      <c r="I179">
        <f>IF($H179="","",$H179)</f>
        <v/>
      </c>
      <c r="J179" s="19" t="n">
        <v>-49.25</v>
      </c>
      <c r="K179">
        <f>IF($H179="","",IFERROR(INDEX(tblRules[Category],SUMPRODUCT(MIN((1-((tblRules[Enabled]&lt;&gt;"No")*(tblRules[Pattern]&lt;&gt;"")*(tblRules[Category]&lt;&gt;"")*((tblRules[Flow]="Any")+(tblRules[Flow]="")+((tblRules[Flow]="Money out")*($J179&lt;0))+((tblRules[Flow]="Money in")*($J179&gt;0)))*(((tblRules[Look In]="Account")*ISNUMBER(SEARCH(tblRules[Pattern],$E179)))+((tblRules[Look In]&lt;&gt;"Account")*(((tblRules[Test]="Word")*ISNUMBER(SEARCH(" "&amp;tblRules[Pattern]&amp;" "," "&amp;$H179&amp;" ")))+((tblRules[Test]&lt;&gt;"Word")*ISNUMBER(SEARCH(tblRules[Pattern],$H179))))))&gt;0))*1E+9+ROW(tblRules[Pattern])))-ROW(tblRules[[#Headers],[Pattern]])),"Uncategorized"))</f>
        <v/>
      </c>
      <c r="L179">
        <f>IF($C179="","",IFERROR(INDEX(tblCategories[Group],MATCH($K179,tblCategories[Category],0)),"Other"))</f>
        <v/>
      </c>
      <c r="M179">
        <f>IF($C179="","",IFERROR(INDEX(tblCategories[Type],MATCH($K179,tblCategories[Category],0)),IF($J179&gt;0,"Income","Expense")))</f>
        <v/>
      </c>
      <c r="N179">
        <f>IF($C179="","",IFERROR(INDEX(tblCategories[Essential],MATCH($K179,tblCategories[Category],0)),"No"))</f>
        <v/>
      </c>
      <c r="O179">
        <f>IF($C179="","",IFERROR(INDEX(tblCategories[Tax Tag],MATCH($K179,tblCategories[Category],0)),""))</f>
        <v/>
      </c>
      <c r="P179" s="20">
        <f>IF($C179="","",IF($G179=PersonA,1,IF($G179=PersonB,0,IFERROR(INDEX(tblCategories[Joint Split A],MATCH($K179,tblCategories[Category],0)),DefaultSplitA))))</f>
        <v/>
      </c>
      <c r="Q179" s="19">
        <f>IF($C179="","",ROUND($J179*N($P179),2))</f>
        <v/>
      </c>
      <c r="R179" s="19">
        <f>IF($C179="","",ROUND($J179-N($Q179),2))</f>
        <v/>
      </c>
      <c r="U179" t="inlineStr">
        <is>
          <t>sample-data</t>
        </is>
      </c>
      <c r="V179" t="inlineStr">
        <is>
          <t>SAMPLE</t>
        </is>
      </c>
      <c r="W179" t="inlineStr">
        <is>
          <t>295BFDE4</t>
        </is>
      </c>
      <c r="X179">
        <f>IF($C179="","",IFERROR(IF(_xlfn.ISFORMULA($K179),"Rule","Manual"),""))</f>
        <v/>
      </c>
      <c r="Y179" s="19">
        <f>IF($C179="","",IF(ReportView=PersonA,N($Q179),IF(ReportView=PersonB,N($R179),$J179)))</f>
        <v/>
      </c>
    </row>
    <row r="180">
      <c r="B180">
        <f>IF($C180="","","T"&amp;TEXT(ROW()-ROW(tblTxn[[#Headers],[Txn ID]]),"000000"))</f>
        <v/>
      </c>
      <c r="C180" s="18" t="n">
        <v>46181</v>
      </c>
      <c r="D180">
        <f>IF($C180="","",TEXT($C180,"yyyy-mm"))</f>
        <v/>
      </c>
      <c r="E180" t="inlineStr">
        <is>
          <t>Amex Cobalt (Joint)</t>
        </is>
      </c>
      <c r="F180">
        <f>IF($C180="","",IFERROR(INDEX(tblAccounts[Owner],MATCH($E180,tblAccounts[Account],0)),"Joint"))</f>
        <v/>
      </c>
      <c r="G180">
        <f>IF($C180="","",IF(HouseholdMode="Couple",IFERROR(IF(INDEX(tblCategories[Default Owner],MATCH($K180,tblCategories[Category],0))="",$F180,INDEX(tblCategories[Default Owner],MATCH($K180,tblCategories[Category],0))),$F180),$F180))</f>
        <v/>
      </c>
      <c r="H180" t="inlineStr">
        <is>
          <t>IDP PURCHASE - 6593 TIM HORTONS #1428 TORONTO ON</t>
        </is>
      </c>
      <c r="I180">
        <f>IF($H180="","",$H180)</f>
        <v/>
      </c>
      <c r="J180" s="19" t="n">
        <v>-8.23</v>
      </c>
      <c r="K180">
        <f>IF($H180="","",IFERROR(INDEX(tblRules[Category],SUMPRODUCT(MIN((1-((tblRules[Enabled]&lt;&gt;"No")*(tblRules[Pattern]&lt;&gt;"")*(tblRules[Category]&lt;&gt;"")*((tblRules[Flow]="Any")+(tblRules[Flow]="")+((tblRules[Flow]="Money out")*($J180&lt;0))+((tblRules[Flow]="Money in")*($J180&gt;0)))*(((tblRules[Look In]="Account")*ISNUMBER(SEARCH(tblRules[Pattern],$E180)))+((tblRules[Look In]&lt;&gt;"Account")*(((tblRules[Test]="Word")*ISNUMBER(SEARCH(" "&amp;tblRules[Pattern]&amp;" "," "&amp;$H180&amp;" ")))+((tblRules[Test]&lt;&gt;"Word")*ISNUMBER(SEARCH(tblRules[Pattern],$H180))))))&gt;0))*1E+9+ROW(tblRules[Pattern])))-ROW(tblRules[[#Headers],[Pattern]])),"Uncategorized"))</f>
        <v/>
      </c>
      <c r="L180">
        <f>IF($C180="","",IFERROR(INDEX(tblCategories[Group],MATCH($K180,tblCategories[Category],0)),"Other"))</f>
        <v/>
      </c>
      <c r="M180">
        <f>IF($C180="","",IFERROR(INDEX(tblCategories[Type],MATCH($K180,tblCategories[Category],0)),IF($J180&gt;0,"Income","Expense")))</f>
        <v/>
      </c>
      <c r="N180">
        <f>IF($C180="","",IFERROR(INDEX(tblCategories[Essential],MATCH($K180,tblCategories[Category],0)),"No"))</f>
        <v/>
      </c>
      <c r="O180">
        <f>IF($C180="","",IFERROR(INDEX(tblCategories[Tax Tag],MATCH($K180,tblCategories[Category],0)),""))</f>
        <v/>
      </c>
      <c r="P180" s="20">
        <f>IF($C180="","",IF($G180=PersonA,1,IF($G180=PersonB,0,IFERROR(INDEX(tblCategories[Joint Split A],MATCH($K180,tblCategories[Category],0)),DefaultSplitA))))</f>
        <v/>
      </c>
      <c r="Q180" s="19">
        <f>IF($C180="","",ROUND($J180*N($P180),2))</f>
        <v/>
      </c>
      <c r="R180" s="19">
        <f>IF($C180="","",ROUND($J180-N($Q180),2))</f>
        <v/>
      </c>
      <c r="U180" t="inlineStr">
        <is>
          <t>sample-data</t>
        </is>
      </c>
      <c r="V180" t="inlineStr">
        <is>
          <t>SAMPLE</t>
        </is>
      </c>
      <c r="W180" t="inlineStr">
        <is>
          <t>F3CA4CAF</t>
        </is>
      </c>
      <c r="X180">
        <f>IF($C180="","",IFERROR(IF(_xlfn.ISFORMULA($K180),"Rule","Manual"),""))</f>
        <v/>
      </c>
      <c r="Y180" s="19">
        <f>IF($C180="","",IF(ReportView=PersonA,N($Q180),IF(ReportView=PersonB,N($R180),$J180)))</f>
        <v/>
      </c>
    </row>
    <row r="181">
      <c r="B181">
        <f>IF($C181="","","T"&amp;TEXT(ROW()-ROW(tblTxn[[#Headers],[Txn ID]]),"000000"))</f>
        <v/>
      </c>
      <c r="C181" s="18" t="n">
        <v>46181</v>
      </c>
      <c r="D181">
        <f>IF($C181="","",TEXT($C181,"yyyy-mm"))</f>
        <v/>
      </c>
      <c r="E181" t="inlineStr">
        <is>
          <t>BMO Joint Chequing</t>
        </is>
      </c>
      <c r="F181">
        <f>IF($C181="","",IFERROR(INDEX(tblAccounts[Owner],MATCH($E181,tblAccounts[Account],0)),"Joint"))</f>
        <v/>
      </c>
      <c r="G181">
        <f>IF($C181="","",IF(HouseholdMode="Couple",IFERROR(IF(INDEX(tblCategories[Default Owner],MATCH($K181,tblCategories[Category],0))="",$F181,INDEX(tblCategories[Default Owner],MATCH($K181,tblCategories[Category],0))),$F181),$F181))</f>
        <v/>
      </c>
      <c r="H181" t="inlineStr">
        <is>
          <t>TORONTO HYDRO BILL PAYMENT</t>
        </is>
      </c>
      <c r="I181">
        <f>IF($H181="","",$H181)</f>
        <v/>
      </c>
      <c r="J181" s="19" t="n">
        <v>-88.37</v>
      </c>
      <c r="K181">
        <f>IF($H181="","",IFERROR(INDEX(tblRules[Category],SUMPRODUCT(MIN((1-((tblRules[Enabled]&lt;&gt;"No")*(tblRules[Pattern]&lt;&gt;"")*(tblRules[Category]&lt;&gt;"")*((tblRules[Flow]="Any")+(tblRules[Flow]="")+((tblRules[Flow]="Money out")*($J181&lt;0))+((tblRules[Flow]="Money in")*($J181&gt;0)))*(((tblRules[Look In]="Account")*ISNUMBER(SEARCH(tblRules[Pattern],$E181)))+((tblRules[Look In]&lt;&gt;"Account")*(((tblRules[Test]="Word")*ISNUMBER(SEARCH(" "&amp;tblRules[Pattern]&amp;" "," "&amp;$H181&amp;" ")))+((tblRules[Test]&lt;&gt;"Word")*ISNUMBER(SEARCH(tblRules[Pattern],$H181))))))&gt;0))*1E+9+ROW(tblRules[Pattern])))-ROW(tblRules[[#Headers],[Pattern]])),"Uncategorized"))</f>
        <v/>
      </c>
      <c r="L181">
        <f>IF($C181="","",IFERROR(INDEX(tblCategories[Group],MATCH($K181,tblCategories[Category],0)),"Other"))</f>
        <v/>
      </c>
      <c r="M181">
        <f>IF($C181="","",IFERROR(INDEX(tblCategories[Type],MATCH($K181,tblCategories[Category],0)),IF($J181&gt;0,"Income","Expense")))</f>
        <v/>
      </c>
      <c r="N181">
        <f>IF($C181="","",IFERROR(INDEX(tblCategories[Essential],MATCH($K181,tblCategories[Category],0)),"No"))</f>
        <v/>
      </c>
      <c r="O181">
        <f>IF($C181="","",IFERROR(INDEX(tblCategories[Tax Tag],MATCH($K181,tblCategories[Category],0)),""))</f>
        <v/>
      </c>
      <c r="P181" s="20">
        <f>IF($C181="","",IF($G181=PersonA,1,IF($G181=PersonB,0,IFERROR(INDEX(tblCategories[Joint Split A],MATCH($K181,tblCategories[Category],0)),DefaultSplitA))))</f>
        <v/>
      </c>
      <c r="Q181" s="19">
        <f>IF($C181="","",ROUND($J181*N($P181),2))</f>
        <v/>
      </c>
      <c r="R181" s="19">
        <f>IF($C181="","",ROUND($J181-N($Q181),2))</f>
        <v/>
      </c>
      <c r="U181" t="inlineStr">
        <is>
          <t>sample-data</t>
        </is>
      </c>
      <c r="V181" t="inlineStr">
        <is>
          <t>SAMPLE</t>
        </is>
      </c>
      <c r="W181" t="inlineStr">
        <is>
          <t>4E42A222</t>
        </is>
      </c>
      <c r="X181">
        <f>IF($C181="","",IFERROR(IF(_xlfn.ISFORMULA($K181),"Rule","Manual"),""))</f>
        <v/>
      </c>
      <c r="Y181" s="19">
        <f>IF($C181="","",IF(ReportView=PersonA,N($Q181),IF(ReportView=PersonB,N($R181),$J181)))</f>
        <v/>
      </c>
    </row>
    <row r="182">
      <c r="B182">
        <f>IF($C182="","","T"&amp;TEXT(ROW()-ROW(tblTxn[[#Headers],[Txn ID]]),"000000"))</f>
        <v/>
      </c>
      <c r="C182" s="18" t="n">
        <v>46182</v>
      </c>
      <c r="D182">
        <f>IF($C182="","",TEXT($C182,"yyyy-mm"))</f>
        <v/>
      </c>
      <c r="E182" t="inlineStr">
        <is>
          <t>Amex Cobalt (Joint)</t>
        </is>
      </c>
      <c r="F182">
        <f>IF($C182="","",IFERROR(INDEX(tblAccounts[Owner],MATCH($E182,tblAccounts[Account],0)),"Joint"))</f>
        <v/>
      </c>
      <c r="G182">
        <f>IF($C182="","",IF(HouseholdMode="Couple",IFERROR(IF(INDEX(tblCategories[Default Owner],MATCH($K182,tblCategories[Category],0))="",$F182,INDEX(tblCategories[Default Owner],MATCH($K182,tblCategories[Category],0))),$F182),$F182))</f>
        <v/>
      </c>
      <c r="H182" t="inlineStr">
        <is>
          <t>IDP PURCHASE - 4053 DOLLARAMA #2295 ON</t>
        </is>
      </c>
      <c r="I182">
        <f>IF($H182="","",$H182)</f>
        <v/>
      </c>
      <c r="J182" s="19" t="n">
        <v>-15.12</v>
      </c>
      <c r="K182">
        <f>IF($H182="","",IFERROR(INDEX(tblRules[Category],SUMPRODUCT(MIN((1-((tblRules[Enabled]&lt;&gt;"No")*(tblRules[Pattern]&lt;&gt;"")*(tblRules[Category]&lt;&gt;"")*((tblRules[Flow]="Any")+(tblRules[Flow]="")+((tblRules[Flow]="Money out")*($J182&lt;0))+((tblRules[Flow]="Money in")*($J182&gt;0)))*(((tblRules[Look In]="Account")*ISNUMBER(SEARCH(tblRules[Pattern],$E182)))+((tblRules[Look In]&lt;&gt;"Account")*(((tblRules[Test]="Word")*ISNUMBER(SEARCH(" "&amp;tblRules[Pattern]&amp;" "," "&amp;$H182&amp;" ")))+((tblRules[Test]&lt;&gt;"Word")*ISNUMBER(SEARCH(tblRules[Pattern],$H182))))))&gt;0))*1E+9+ROW(tblRules[Pattern])))-ROW(tblRules[[#Headers],[Pattern]])),"Uncategorized"))</f>
        <v/>
      </c>
      <c r="L182">
        <f>IF($C182="","",IFERROR(INDEX(tblCategories[Group],MATCH($K182,tblCategories[Category],0)),"Other"))</f>
        <v/>
      </c>
      <c r="M182">
        <f>IF($C182="","",IFERROR(INDEX(tblCategories[Type],MATCH($K182,tblCategories[Category],0)),IF($J182&gt;0,"Income","Expense")))</f>
        <v/>
      </c>
      <c r="N182">
        <f>IF($C182="","",IFERROR(INDEX(tblCategories[Essential],MATCH($K182,tblCategories[Category],0)),"No"))</f>
        <v/>
      </c>
      <c r="O182">
        <f>IF($C182="","",IFERROR(INDEX(tblCategories[Tax Tag],MATCH($K182,tblCategories[Category],0)),""))</f>
        <v/>
      </c>
      <c r="P182" s="20">
        <f>IF($C182="","",IF($G182=PersonA,1,IF($G182=PersonB,0,IFERROR(INDEX(tblCategories[Joint Split A],MATCH($K182,tblCategories[Category],0)),DefaultSplitA))))</f>
        <v/>
      </c>
      <c r="Q182" s="19">
        <f>IF($C182="","",ROUND($J182*N($P182),2))</f>
        <v/>
      </c>
      <c r="R182" s="19">
        <f>IF($C182="","",ROUND($J182-N($Q182),2))</f>
        <v/>
      </c>
      <c r="U182" t="inlineStr">
        <is>
          <t>sample-data</t>
        </is>
      </c>
      <c r="V182" t="inlineStr">
        <is>
          <t>SAMPLE</t>
        </is>
      </c>
      <c r="W182" t="inlineStr">
        <is>
          <t>D15C395D</t>
        </is>
      </c>
      <c r="X182">
        <f>IF($C182="","",IFERROR(IF(_xlfn.ISFORMULA($K182),"Rule","Manual"),""))</f>
        <v/>
      </c>
      <c r="Y182" s="19">
        <f>IF($C182="","",IF(ReportView=PersonA,N($Q182),IF(ReportView=PersonB,N($R182),$J182)))</f>
        <v/>
      </c>
    </row>
    <row r="183">
      <c r="B183">
        <f>IF($C183="","","T"&amp;TEXT(ROW()-ROW(tblTxn[[#Headers],[Txn ID]]),"000000"))</f>
        <v/>
      </c>
      <c r="C183" s="18" t="n">
        <v>46182</v>
      </c>
      <c r="D183">
        <f>IF($C183="","",TEXT($C183,"yyyy-mm"))</f>
        <v/>
      </c>
      <c r="E183" t="inlineStr">
        <is>
          <t>BMO Joint Chequing</t>
        </is>
      </c>
      <c r="F183">
        <f>IF($C183="","",IFERROR(INDEX(tblAccounts[Owner],MATCH($E183,tblAccounts[Account],0)),"Joint"))</f>
        <v/>
      </c>
      <c r="G183">
        <f>IF($C183="","",IF(HouseholdMode="Couple",IFERROR(IF(INDEX(tblCategories[Default Owner],MATCH($K183,tblCategories[Category],0))="",$F183,INDEX(tblCategories[Default Owner],MATCH($K183,tblCategories[Category],0))),$F183),$F183))</f>
        <v/>
      </c>
      <c r="H183" t="inlineStr">
        <is>
          <t>BROADVIEW DENTAL CENTRE</t>
        </is>
      </c>
      <c r="I183">
        <f>IF($H183="","",$H183)</f>
        <v/>
      </c>
      <c r="J183" s="19" t="n">
        <v>-164.21</v>
      </c>
      <c r="K183">
        <f>IF($H183="","",IFERROR(INDEX(tblRules[Category],SUMPRODUCT(MIN((1-((tblRules[Enabled]&lt;&gt;"No")*(tblRules[Pattern]&lt;&gt;"")*(tblRules[Category]&lt;&gt;"")*((tblRules[Flow]="Any")+(tblRules[Flow]="")+((tblRules[Flow]="Money out")*($J183&lt;0))+((tblRules[Flow]="Money in")*($J183&gt;0)))*(((tblRules[Look In]="Account")*ISNUMBER(SEARCH(tblRules[Pattern],$E183)))+((tblRules[Look In]&lt;&gt;"Account")*(((tblRules[Test]="Word")*ISNUMBER(SEARCH(" "&amp;tblRules[Pattern]&amp;" "," "&amp;$H183&amp;" ")))+((tblRules[Test]&lt;&gt;"Word")*ISNUMBER(SEARCH(tblRules[Pattern],$H183))))))&gt;0))*1E+9+ROW(tblRules[Pattern])))-ROW(tblRules[[#Headers],[Pattern]])),"Uncategorized"))</f>
        <v/>
      </c>
      <c r="L183">
        <f>IF($C183="","",IFERROR(INDEX(tblCategories[Group],MATCH($K183,tblCategories[Category],0)),"Other"))</f>
        <v/>
      </c>
      <c r="M183">
        <f>IF($C183="","",IFERROR(INDEX(tblCategories[Type],MATCH($K183,tblCategories[Category],0)),IF($J183&gt;0,"Income","Expense")))</f>
        <v/>
      </c>
      <c r="N183">
        <f>IF($C183="","",IFERROR(INDEX(tblCategories[Essential],MATCH($K183,tblCategories[Category],0)),"No"))</f>
        <v/>
      </c>
      <c r="O183">
        <f>IF($C183="","",IFERROR(INDEX(tblCategories[Tax Tag],MATCH($K183,tblCategories[Category],0)),""))</f>
        <v/>
      </c>
      <c r="P183" s="20">
        <f>IF($C183="","",IF($G183=PersonA,1,IF($G183=PersonB,0,IFERROR(INDEX(tblCategories[Joint Split A],MATCH($K183,tblCategories[Category],0)),DefaultSplitA))))</f>
        <v/>
      </c>
      <c r="Q183" s="19">
        <f>IF($C183="","",ROUND($J183*N($P183),2))</f>
        <v/>
      </c>
      <c r="R183" s="19">
        <f>IF($C183="","",ROUND($J183-N($Q183),2))</f>
        <v/>
      </c>
      <c r="U183" t="inlineStr">
        <is>
          <t>sample-data</t>
        </is>
      </c>
      <c r="V183" t="inlineStr">
        <is>
          <t>SAMPLE</t>
        </is>
      </c>
      <c r="W183" t="inlineStr">
        <is>
          <t>E714391D</t>
        </is>
      </c>
      <c r="X183">
        <f>IF($C183="","",IFERROR(IF(_xlfn.ISFORMULA($K183),"Rule","Manual"),""))</f>
        <v/>
      </c>
      <c r="Y183" s="19">
        <f>IF($C183="","",IF(ReportView=PersonA,N($Q183),IF(ReportView=PersonB,N($R183),$J183)))</f>
        <v/>
      </c>
    </row>
    <row r="184">
      <c r="B184">
        <f>IF($C184="","","T"&amp;TEXT(ROW()-ROW(tblTxn[[#Headers],[Txn ID]]),"000000"))</f>
        <v/>
      </c>
      <c r="C184" s="18" t="n">
        <v>46182</v>
      </c>
      <c r="D184">
        <f>IF($C184="","",TEXT($C184,"yyyy-mm"))</f>
        <v/>
      </c>
      <c r="E184" t="inlineStr">
        <is>
          <t>BMO Joint Chequing</t>
        </is>
      </c>
      <c r="F184">
        <f>IF($C184="","",IFERROR(INDEX(tblAccounts[Owner],MATCH($E184,tblAccounts[Account],0)),"Joint"))</f>
        <v/>
      </c>
      <c r="G184">
        <f>IF($C184="","",IF(HouseholdMode="Couple",IFERROR(IF(INDEX(tblCategories[Default Owner],MATCH($K184,tblCategories[Category],0))="",$F184,INDEX(tblCategories[Default Owner],MATCH($K184,tblCategories[Category],0))),$F184),$F184))</f>
        <v/>
      </c>
      <c r="H184" t="inlineStr">
        <is>
          <t>ENBRIDGE GAS PREAUTHORIZED DEBIT</t>
        </is>
      </c>
      <c r="I184">
        <f>IF($H184="","",$H184)</f>
        <v/>
      </c>
      <c r="J184" s="19" t="n">
        <v>-120.44</v>
      </c>
      <c r="K184">
        <f>IF($H184="","",IFERROR(INDEX(tblRules[Category],SUMPRODUCT(MIN((1-((tblRules[Enabled]&lt;&gt;"No")*(tblRules[Pattern]&lt;&gt;"")*(tblRules[Category]&lt;&gt;"")*((tblRules[Flow]="Any")+(tblRules[Flow]="")+((tblRules[Flow]="Money out")*($J184&lt;0))+((tblRules[Flow]="Money in")*($J184&gt;0)))*(((tblRules[Look In]="Account")*ISNUMBER(SEARCH(tblRules[Pattern],$E184)))+((tblRules[Look In]&lt;&gt;"Account")*(((tblRules[Test]="Word")*ISNUMBER(SEARCH(" "&amp;tblRules[Pattern]&amp;" "," "&amp;$H184&amp;" ")))+((tblRules[Test]&lt;&gt;"Word")*ISNUMBER(SEARCH(tblRules[Pattern],$H184))))))&gt;0))*1E+9+ROW(tblRules[Pattern])))-ROW(tblRules[[#Headers],[Pattern]])),"Uncategorized"))</f>
        <v/>
      </c>
      <c r="L184">
        <f>IF($C184="","",IFERROR(INDEX(tblCategories[Group],MATCH($K184,tblCategories[Category],0)),"Other"))</f>
        <v/>
      </c>
      <c r="M184">
        <f>IF($C184="","",IFERROR(INDEX(tblCategories[Type],MATCH($K184,tblCategories[Category],0)),IF($J184&gt;0,"Income","Expense")))</f>
        <v/>
      </c>
      <c r="N184">
        <f>IF($C184="","",IFERROR(INDEX(tblCategories[Essential],MATCH($K184,tblCategories[Category],0)),"No"))</f>
        <v/>
      </c>
      <c r="O184">
        <f>IF($C184="","",IFERROR(INDEX(tblCategories[Tax Tag],MATCH($K184,tblCategories[Category],0)),""))</f>
        <v/>
      </c>
      <c r="P184" s="20">
        <f>IF($C184="","",IF($G184=PersonA,1,IF($G184=PersonB,0,IFERROR(INDEX(tblCategories[Joint Split A],MATCH($K184,tblCategories[Category],0)),DefaultSplitA))))</f>
        <v/>
      </c>
      <c r="Q184" s="19">
        <f>IF($C184="","",ROUND($J184*N($P184),2))</f>
        <v/>
      </c>
      <c r="R184" s="19">
        <f>IF($C184="","",ROUND($J184-N($Q184),2))</f>
        <v/>
      </c>
      <c r="U184" t="inlineStr">
        <is>
          <t>sample-data</t>
        </is>
      </c>
      <c r="V184" t="inlineStr">
        <is>
          <t>SAMPLE</t>
        </is>
      </c>
      <c r="W184" t="inlineStr">
        <is>
          <t>A84A68D3</t>
        </is>
      </c>
      <c r="X184">
        <f>IF($C184="","",IFERROR(IF(_xlfn.ISFORMULA($K184),"Rule","Manual"),""))</f>
        <v/>
      </c>
      <c r="Y184" s="19">
        <f>IF($C184="","",IF(ReportView=PersonA,N($Q184),IF(ReportView=PersonB,N($R184),$J184)))</f>
        <v/>
      </c>
    </row>
    <row r="185">
      <c r="B185">
        <f>IF($C185="","","T"&amp;TEXT(ROW()-ROW(tblTxn[[#Headers],[Txn ID]]),"000000"))</f>
        <v/>
      </c>
      <c r="C185" s="18" t="n">
        <v>46183</v>
      </c>
      <c r="D185">
        <f>IF($C185="","",TEXT($C185,"yyyy-mm"))</f>
        <v/>
      </c>
      <c r="E185" t="inlineStr">
        <is>
          <t>Amex Cobalt (Joint)</t>
        </is>
      </c>
      <c r="F185">
        <f>IF($C185="","",IFERROR(INDEX(tblAccounts[Owner],MATCH($E185,tblAccounts[Account],0)),"Joint"))</f>
        <v/>
      </c>
      <c r="G185">
        <f>IF($C185="","",IF(HouseholdMode="Couple",IFERROR(IF(INDEX(tblCategories[Default Owner],MATCH($K185,tblCategories[Category],0))="",$F185,INDEX(tblCategories[Default Owner],MATCH($K185,tblCategories[Category],0))),$F185),$F185))</f>
        <v/>
      </c>
      <c r="H185" t="inlineStr">
        <is>
          <t>IDP PURCHASE - 1057 WINNERS #1506 ON</t>
        </is>
      </c>
      <c r="I185">
        <f>IF($H185="","",$H185)</f>
        <v/>
      </c>
      <c r="J185" s="19" t="n">
        <v>-132.91</v>
      </c>
      <c r="K185">
        <f>IF($H185="","",IFERROR(INDEX(tblRules[Category],SUMPRODUCT(MIN((1-((tblRules[Enabled]&lt;&gt;"No")*(tblRules[Pattern]&lt;&gt;"")*(tblRules[Category]&lt;&gt;"")*((tblRules[Flow]="Any")+(tblRules[Flow]="")+((tblRules[Flow]="Money out")*($J185&lt;0))+((tblRules[Flow]="Money in")*($J185&gt;0)))*(((tblRules[Look In]="Account")*ISNUMBER(SEARCH(tblRules[Pattern],$E185)))+((tblRules[Look In]&lt;&gt;"Account")*(((tblRules[Test]="Word")*ISNUMBER(SEARCH(" "&amp;tblRules[Pattern]&amp;" "," "&amp;$H185&amp;" ")))+((tblRules[Test]&lt;&gt;"Word")*ISNUMBER(SEARCH(tblRules[Pattern],$H185))))))&gt;0))*1E+9+ROW(tblRules[Pattern])))-ROW(tblRules[[#Headers],[Pattern]])),"Uncategorized"))</f>
        <v/>
      </c>
      <c r="L185">
        <f>IF($C185="","",IFERROR(INDEX(tblCategories[Group],MATCH($K185,tblCategories[Category],0)),"Other"))</f>
        <v/>
      </c>
      <c r="M185">
        <f>IF($C185="","",IFERROR(INDEX(tblCategories[Type],MATCH($K185,tblCategories[Category],0)),IF($J185&gt;0,"Income","Expense")))</f>
        <v/>
      </c>
      <c r="N185">
        <f>IF($C185="","",IFERROR(INDEX(tblCategories[Essential],MATCH($K185,tblCategories[Category],0)),"No"))</f>
        <v/>
      </c>
      <c r="O185">
        <f>IF($C185="","",IFERROR(INDEX(tblCategories[Tax Tag],MATCH($K185,tblCategories[Category],0)),""))</f>
        <v/>
      </c>
      <c r="P185" s="20">
        <f>IF($C185="","",IF($G185=PersonA,1,IF($G185=PersonB,0,IFERROR(INDEX(tblCategories[Joint Split A],MATCH($K185,tblCategories[Category],0)),DefaultSplitA))))</f>
        <v/>
      </c>
      <c r="Q185" s="19">
        <f>IF($C185="","",ROUND($J185*N($P185),2))</f>
        <v/>
      </c>
      <c r="R185" s="19">
        <f>IF($C185="","",ROUND($J185-N($Q185),2))</f>
        <v/>
      </c>
      <c r="U185" t="inlineStr">
        <is>
          <t>sample-data</t>
        </is>
      </c>
      <c r="V185" t="inlineStr">
        <is>
          <t>SAMPLE</t>
        </is>
      </c>
      <c r="W185" t="inlineStr">
        <is>
          <t>6BA1D04C</t>
        </is>
      </c>
      <c r="X185">
        <f>IF($C185="","",IFERROR(IF(_xlfn.ISFORMULA($K185),"Rule","Manual"),""))</f>
        <v/>
      </c>
      <c r="Y185" s="19">
        <f>IF($C185="","",IF(ReportView=PersonA,N($Q185),IF(ReportView=PersonB,N($R185),$J185)))</f>
        <v/>
      </c>
    </row>
    <row r="186">
      <c r="B186">
        <f>IF($C186="","","T"&amp;TEXT(ROW()-ROW(tblTxn[[#Headers],[Txn ID]]),"000000"))</f>
        <v/>
      </c>
      <c r="C186" s="18" t="n">
        <v>46183</v>
      </c>
      <c r="D186">
        <f>IF($C186="","",TEXT($C186,"yyyy-mm"))</f>
        <v/>
      </c>
      <c r="E186" t="inlineStr">
        <is>
          <t>Tangerine Chequing (Sam)</t>
        </is>
      </c>
      <c r="F186">
        <f>IF($C186="","",IFERROR(INDEX(tblAccounts[Owner],MATCH($E186,tblAccounts[Account],0)),"Joint"))</f>
        <v/>
      </c>
      <c r="G186">
        <f>IF($C186="","",IF(HouseholdMode="Couple",IFERROR(IF(INDEX(tblCategories[Default Owner],MATCH($K186,tblCategories[Category],0))="",$F186,INDEX(tblCategories[Default Owner],MATCH($K186,tblCategories[Category],0))),$F186),$F186))</f>
        <v/>
      </c>
      <c r="H186" t="inlineStr">
        <is>
          <t>IDP PURCHASE - 1455 PETRO-CANADA #1932 ON</t>
        </is>
      </c>
      <c r="I186">
        <f>IF($H186="","",$H186)</f>
        <v/>
      </c>
      <c r="J186" s="19" t="n">
        <v>-45.82</v>
      </c>
      <c r="K186">
        <f>IF($H186="","",IFERROR(INDEX(tblRules[Category],SUMPRODUCT(MIN((1-((tblRules[Enabled]&lt;&gt;"No")*(tblRules[Pattern]&lt;&gt;"")*(tblRules[Category]&lt;&gt;"")*((tblRules[Flow]="Any")+(tblRules[Flow]="")+((tblRules[Flow]="Money out")*($J186&lt;0))+((tblRules[Flow]="Money in")*($J186&gt;0)))*(((tblRules[Look In]="Account")*ISNUMBER(SEARCH(tblRules[Pattern],$E186)))+((tblRules[Look In]&lt;&gt;"Account")*(((tblRules[Test]="Word")*ISNUMBER(SEARCH(" "&amp;tblRules[Pattern]&amp;" "," "&amp;$H186&amp;" ")))+((tblRules[Test]&lt;&gt;"Word")*ISNUMBER(SEARCH(tblRules[Pattern],$H186))))))&gt;0))*1E+9+ROW(tblRules[Pattern])))-ROW(tblRules[[#Headers],[Pattern]])),"Uncategorized"))</f>
        <v/>
      </c>
      <c r="L186">
        <f>IF($C186="","",IFERROR(INDEX(tblCategories[Group],MATCH($K186,tblCategories[Category],0)),"Other"))</f>
        <v/>
      </c>
      <c r="M186">
        <f>IF($C186="","",IFERROR(INDEX(tblCategories[Type],MATCH($K186,tblCategories[Category],0)),IF($J186&gt;0,"Income","Expense")))</f>
        <v/>
      </c>
      <c r="N186">
        <f>IF($C186="","",IFERROR(INDEX(tblCategories[Essential],MATCH($K186,tblCategories[Category],0)),"No"))</f>
        <v/>
      </c>
      <c r="O186">
        <f>IF($C186="","",IFERROR(INDEX(tblCategories[Tax Tag],MATCH($K186,tblCategories[Category],0)),""))</f>
        <v/>
      </c>
      <c r="P186" s="20">
        <f>IF($C186="","",IF($G186=PersonA,1,IF($G186=PersonB,0,IFERROR(INDEX(tblCategories[Joint Split A],MATCH($K186,tblCategories[Category],0)),DefaultSplitA))))</f>
        <v/>
      </c>
      <c r="Q186" s="19">
        <f>IF($C186="","",ROUND($J186*N($P186),2))</f>
        <v/>
      </c>
      <c r="R186" s="19">
        <f>IF($C186="","",ROUND($J186-N($Q186),2))</f>
        <v/>
      </c>
      <c r="U186" t="inlineStr">
        <is>
          <t>sample-data</t>
        </is>
      </c>
      <c r="V186" t="inlineStr">
        <is>
          <t>SAMPLE</t>
        </is>
      </c>
      <c r="W186" t="inlineStr">
        <is>
          <t>B20D18F5</t>
        </is>
      </c>
      <c r="X186">
        <f>IF($C186="","",IFERROR(IF(_xlfn.ISFORMULA($K186),"Rule","Manual"),""))</f>
        <v/>
      </c>
      <c r="Y186" s="19">
        <f>IF($C186="","",IF(ReportView=PersonA,N($Q186),IF(ReportView=PersonB,N($R186),$J186)))</f>
        <v/>
      </c>
    </row>
    <row r="187">
      <c r="B187">
        <f>IF($C187="","","T"&amp;TEXT(ROW()-ROW(tblTxn[[#Headers],[Txn ID]]),"000000"))</f>
        <v/>
      </c>
      <c r="C187" s="18" t="n">
        <v>46184</v>
      </c>
      <c r="D187">
        <f>IF($C187="","",TEXT($C187,"yyyy-mm"))</f>
        <v/>
      </c>
      <c r="E187" t="inlineStr">
        <is>
          <t>RBC Chequing (Alex)</t>
        </is>
      </c>
      <c r="F187">
        <f>IF($C187="","",IFERROR(INDEX(tblAccounts[Owner],MATCH($E187,tblAccounts[Account],0)),"Joint"))</f>
        <v/>
      </c>
      <c r="G187">
        <f>IF($C187="","",IF(HouseholdMode="Couple",IFERROR(IF(INDEX(tblCategories[Default Owner],MATCH($K187,tblCategories[Category],0))="",$F187,INDEX(tblCategories[Default Owner],MATCH($K187,tblCategories[Category],0))),$F187),$F187))</f>
        <v/>
      </c>
      <c r="H187" t="inlineStr">
        <is>
          <t>ATM WITHDRAWAL 100 QUEEN ST W</t>
        </is>
      </c>
      <c r="I187">
        <f>IF($H187="","",$H187)</f>
        <v/>
      </c>
      <c r="J187" s="19" t="n">
        <v>-60</v>
      </c>
      <c r="K187">
        <f>IF($H187="","",IFERROR(INDEX(tblRules[Category],SUMPRODUCT(MIN((1-((tblRules[Enabled]&lt;&gt;"No")*(tblRules[Pattern]&lt;&gt;"")*(tblRules[Category]&lt;&gt;"")*((tblRules[Flow]="Any")+(tblRules[Flow]="")+((tblRules[Flow]="Money out")*($J187&lt;0))+((tblRules[Flow]="Money in")*($J187&gt;0)))*(((tblRules[Look In]="Account")*ISNUMBER(SEARCH(tblRules[Pattern],$E187)))+((tblRules[Look In]&lt;&gt;"Account")*(((tblRules[Test]="Word")*ISNUMBER(SEARCH(" "&amp;tblRules[Pattern]&amp;" "," "&amp;$H187&amp;" ")))+((tblRules[Test]&lt;&gt;"Word")*ISNUMBER(SEARCH(tblRules[Pattern],$H187))))))&gt;0))*1E+9+ROW(tblRules[Pattern])))-ROW(tblRules[[#Headers],[Pattern]])),"Uncategorized"))</f>
        <v/>
      </c>
      <c r="L187">
        <f>IF($C187="","",IFERROR(INDEX(tblCategories[Group],MATCH($K187,tblCategories[Category],0)),"Other"))</f>
        <v/>
      </c>
      <c r="M187">
        <f>IF($C187="","",IFERROR(INDEX(tblCategories[Type],MATCH($K187,tblCategories[Category],0)),IF($J187&gt;0,"Income","Expense")))</f>
        <v/>
      </c>
      <c r="N187">
        <f>IF($C187="","",IFERROR(INDEX(tblCategories[Essential],MATCH($K187,tblCategories[Category],0)),"No"))</f>
        <v/>
      </c>
      <c r="O187">
        <f>IF($C187="","",IFERROR(INDEX(tblCategories[Tax Tag],MATCH($K187,tblCategories[Category],0)),""))</f>
        <v/>
      </c>
      <c r="P187" s="20">
        <f>IF($C187="","",IF($G187=PersonA,1,IF($G187=PersonB,0,IFERROR(INDEX(tblCategories[Joint Split A],MATCH($K187,tblCategories[Category],0)),DefaultSplitA))))</f>
        <v/>
      </c>
      <c r="Q187" s="19">
        <f>IF($C187="","",ROUND($J187*N($P187),2))</f>
        <v/>
      </c>
      <c r="R187" s="19">
        <f>IF($C187="","",ROUND($J187-N($Q187),2))</f>
        <v/>
      </c>
      <c r="U187" t="inlineStr">
        <is>
          <t>sample-data</t>
        </is>
      </c>
      <c r="V187" t="inlineStr">
        <is>
          <t>SAMPLE</t>
        </is>
      </c>
      <c r="W187" t="inlineStr">
        <is>
          <t>6B26FB58</t>
        </is>
      </c>
      <c r="X187">
        <f>IF($C187="","",IFERROR(IF(_xlfn.ISFORMULA($K187),"Rule","Manual"),""))</f>
        <v/>
      </c>
      <c r="Y187" s="19">
        <f>IF($C187="","",IF(ReportView=PersonA,N($Q187),IF(ReportView=PersonB,N($R187),$J187)))</f>
        <v/>
      </c>
    </row>
    <row r="188">
      <c r="B188">
        <f>IF($C188="","","T"&amp;TEXT(ROW()-ROW(tblTxn[[#Headers],[Txn ID]]),"000000"))</f>
        <v/>
      </c>
      <c r="C188" s="18" t="n">
        <v>46185</v>
      </c>
      <c r="D188">
        <f>IF($C188="","",TEXT($C188,"yyyy-mm"))</f>
        <v/>
      </c>
      <c r="E188" t="inlineStr">
        <is>
          <t>Amex Cobalt (Joint)</t>
        </is>
      </c>
      <c r="F188">
        <f>IF($C188="","",IFERROR(INDEX(tblAccounts[Owner],MATCH($E188,tblAccounts[Account],0)),"Joint"))</f>
        <v/>
      </c>
      <c r="G188">
        <f>IF($C188="","",IF(HouseholdMode="Couple",IFERROR(IF(INDEX(tblCategories[Default Owner],MATCH($K188,tblCategories[Category],0))="",$F188,INDEX(tblCategories[Default Owner],MATCH($K188,tblCategories[Category],0))),$F188),$F188))</f>
        <v/>
      </c>
      <c r="H188" t="inlineStr">
        <is>
          <t>IDP PURCHASE - 9707 TIM HORTONS #1794 TORONTO ON</t>
        </is>
      </c>
      <c r="I188">
        <f>IF($H188="","",$H188)</f>
        <v/>
      </c>
      <c r="J188" s="19" t="n">
        <v>-13.08</v>
      </c>
      <c r="K188">
        <f>IF($H188="","",IFERROR(INDEX(tblRules[Category],SUMPRODUCT(MIN((1-((tblRules[Enabled]&lt;&gt;"No")*(tblRules[Pattern]&lt;&gt;"")*(tblRules[Category]&lt;&gt;"")*((tblRules[Flow]="Any")+(tblRules[Flow]="")+((tblRules[Flow]="Money out")*($J188&lt;0))+((tblRules[Flow]="Money in")*($J188&gt;0)))*(((tblRules[Look In]="Account")*ISNUMBER(SEARCH(tblRules[Pattern],$E188)))+((tblRules[Look In]&lt;&gt;"Account")*(((tblRules[Test]="Word")*ISNUMBER(SEARCH(" "&amp;tblRules[Pattern]&amp;" "," "&amp;$H188&amp;" ")))+((tblRules[Test]&lt;&gt;"Word")*ISNUMBER(SEARCH(tblRules[Pattern],$H188))))))&gt;0))*1E+9+ROW(tblRules[Pattern])))-ROW(tblRules[[#Headers],[Pattern]])),"Uncategorized"))</f>
        <v/>
      </c>
      <c r="L188">
        <f>IF($C188="","",IFERROR(INDEX(tblCategories[Group],MATCH($K188,tblCategories[Category],0)),"Other"))</f>
        <v/>
      </c>
      <c r="M188">
        <f>IF($C188="","",IFERROR(INDEX(tblCategories[Type],MATCH($K188,tblCategories[Category],0)),IF($J188&gt;0,"Income","Expense")))</f>
        <v/>
      </c>
      <c r="N188">
        <f>IF($C188="","",IFERROR(INDEX(tblCategories[Essential],MATCH($K188,tblCategories[Category],0)),"No"))</f>
        <v/>
      </c>
      <c r="O188">
        <f>IF($C188="","",IFERROR(INDEX(tblCategories[Tax Tag],MATCH($K188,tblCategories[Category],0)),""))</f>
        <v/>
      </c>
      <c r="P188" s="20">
        <f>IF($C188="","",IF($G188=PersonA,1,IF($G188=PersonB,0,IFERROR(INDEX(tblCategories[Joint Split A],MATCH($K188,tblCategories[Category],0)),DefaultSplitA))))</f>
        <v/>
      </c>
      <c r="Q188" s="19">
        <f>IF($C188="","",ROUND($J188*N($P188),2))</f>
        <v/>
      </c>
      <c r="R188" s="19">
        <f>IF($C188="","",ROUND($J188-N($Q188),2))</f>
        <v/>
      </c>
      <c r="U188" t="inlineStr">
        <is>
          <t>sample-data</t>
        </is>
      </c>
      <c r="V188" t="inlineStr">
        <is>
          <t>SAMPLE</t>
        </is>
      </c>
      <c r="W188" t="inlineStr">
        <is>
          <t>FFB4A1C9</t>
        </is>
      </c>
      <c r="X188">
        <f>IF($C188="","",IFERROR(IF(_xlfn.ISFORMULA($K188),"Rule","Manual"),""))</f>
        <v/>
      </c>
      <c r="Y188" s="19">
        <f>IF($C188="","",IF(ReportView=PersonA,N($Q188),IF(ReportView=PersonB,N($R188),$J188)))</f>
        <v/>
      </c>
    </row>
    <row r="189">
      <c r="B189">
        <f>IF($C189="","","T"&amp;TEXT(ROW()-ROW(tblTxn[[#Headers],[Txn ID]]),"000000"))</f>
        <v/>
      </c>
      <c r="C189" s="18" t="n">
        <v>46185</v>
      </c>
      <c r="D189">
        <f>IF($C189="","",TEXT($C189,"yyyy-mm"))</f>
        <v/>
      </c>
      <c r="E189" t="inlineStr">
        <is>
          <t>BMO Joint Chequing</t>
        </is>
      </c>
      <c r="F189">
        <f>IF($C189="","",IFERROR(INDEX(tblAccounts[Owner],MATCH($E189,tblAccounts[Account],0)),"Joint"))</f>
        <v/>
      </c>
      <c r="G189">
        <f>IF($C189="","",IF(HouseholdMode="Couple",IFERROR(IF(INDEX(tblCategories[Default Owner],MATCH($K189,tblCategories[Category],0))="",$F189,INDEX(tblCategories[Default Owner],MATCH($K189,tblCategories[Category],0))),$F189),$F189))</f>
        <v/>
      </c>
      <c r="H189" t="inlineStr">
        <is>
          <t>ROGERS PREAUTHORIZED PAYMENT</t>
        </is>
      </c>
      <c r="I189">
        <f>IF($H189="","",$H189)</f>
        <v/>
      </c>
      <c r="J189" s="19" t="n">
        <v>-89.98999999999999</v>
      </c>
      <c r="K189">
        <f>IF($H189="","",IFERROR(INDEX(tblRules[Category],SUMPRODUCT(MIN((1-((tblRules[Enabled]&lt;&gt;"No")*(tblRules[Pattern]&lt;&gt;"")*(tblRules[Category]&lt;&gt;"")*((tblRules[Flow]="Any")+(tblRules[Flow]="")+((tblRules[Flow]="Money out")*($J189&lt;0))+((tblRules[Flow]="Money in")*($J189&gt;0)))*(((tblRules[Look In]="Account")*ISNUMBER(SEARCH(tblRules[Pattern],$E189)))+((tblRules[Look In]&lt;&gt;"Account")*(((tblRules[Test]="Word")*ISNUMBER(SEARCH(" "&amp;tblRules[Pattern]&amp;" "," "&amp;$H189&amp;" ")))+((tblRules[Test]&lt;&gt;"Word")*ISNUMBER(SEARCH(tblRules[Pattern],$H189))))))&gt;0))*1E+9+ROW(tblRules[Pattern])))-ROW(tblRules[[#Headers],[Pattern]])),"Uncategorized"))</f>
        <v/>
      </c>
      <c r="L189">
        <f>IF($C189="","",IFERROR(INDEX(tblCategories[Group],MATCH($K189,tblCategories[Category],0)),"Other"))</f>
        <v/>
      </c>
      <c r="M189">
        <f>IF($C189="","",IFERROR(INDEX(tblCategories[Type],MATCH($K189,tblCategories[Category],0)),IF($J189&gt;0,"Income","Expense")))</f>
        <v/>
      </c>
      <c r="N189">
        <f>IF($C189="","",IFERROR(INDEX(tblCategories[Essential],MATCH($K189,tblCategories[Category],0)),"No"))</f>
        <v/>
      </c>
      <c r="O189">
        <f>IF($C189="","",IFERROR(INDEX(tblCategories[Tax Tag],MATCH($K189,tblCategories[Category],0)),""))</f>
        <v/>
      </c>
      <c r="P189" s="20">
        <f>IF($C189="","",IF($G189=PersonA,1,IF($G189=PersonB,0,IFERROR(INDEX(tblCategories[Joint Split A],MATCH($K189,tblCategories[Category],0)),DefaultSplitA))))</f>
        <v/>
      </c>
      <c r="Q189" s="19">
        <f>IF($C189="","",ROUND($J189*N($P189),2))</f>
        <v/>
      </c>
      <c r="R189" s="19">
        <f>IF($C189="","",ROUND($J189-N($Q189),2))</f>
        <v/>
      </c>
      <c r="U189" t="inlineStr">
        <is>
          <t>sample-data</t>
        </is>
      </c>
      <c r="V189" t="inlineStr">
        <is>
          <t>SAMPLE</t>
        </is>
      </c>
      <c r="W189" t="inlineStr">
        <is>
          <t>3BF6E34A</t>
        </is>
      </c>
      <c r="X189">
        <f>IF($C189="","",IFERROR(IF(_xlfn.ISFORMULA($K189),"Rule","Manual"),""))</f>
        <v/>
      </c>
      <c r="Y189" s="19">
        <f>IF($C189="","",IF(ReportView=PersonA,N($Q189),IF(ReportView=PersonB,N($R189),$J189)))</f>
        <v/>
      </c>
    </row>
    <row r="190">
      <c r="B190">
        <f>IF($C190="","","T"&amp;TEXT(ROW()-ROW(tblTxn[[#Headers],[Txn ID]]),"000000"))</f>
        <v/>
      </c>
      <c r="C190" s="18" t="n">
        <v>46185</v>
      </c>
      <c r="D190">
        <f>IF($C190="","",TEXT($C190,"yyyy-mm"))</f>
        <v/>
      </c>
      <c r="E190" t="inlineStr">
        <is>
          <t>Tangerine Chequing (Sam)</t>
        </is>
      </c>
      <c r="F190">
        <f>IF($C190="","",IFERROR(INDEX(tblAccounts[Owner],MATCH($E190,tblAccounts[Account],0)),"Joint"))</f>
        <v/>
      </c>
      <c r="G190">
        <f>IF($C190="","",IF(HouseholdMode="Couple",IFERROR(IF(INDEX(tblCategories[Default Owner],MATCH($K190,tblCategories[Category],0))="",$F190,INDEX(tblCategories[Default Owner],MATCH($K190,tblCategories[Category],0))),$F190),$F190))</f>
        <v/>
      </c>
      <c r="H190" t="inlineStr">
        <is>
          <t>IDP PURCHASE - 7851 STARBUCKS #2800 TORONTO ON</t>
        </is>
      </c>
      <c r="I190">
        <f>IF($H190="","",$H190)</f>
        <v/>
      </c>
      <c r="J190" s="19" t="n">
        <v>-9.27</v>
      </c>
      <c r="K190">
        <f>IF($H190="","",IFERROR(INDEX(tblRules[Category],SUMPRODUCT(MIN((1-((tblRules[Enabled]&lt;&gt;"No")*(tblRules[Pattern]&lt;&gt;"")*(tblRules[Category]&lt;&gt;"")*((tblRules[Flow]="Any")+(tblRules[Flow]="")+((tblRules[Flow]="Money out")*($J190&lt;0))+((tblRules[Flow]="Money in")*($J190&gt;0)))*(((tblRules[Look In]="Account")*ISNUMBER(SEARCH(tblRules[Pattern],$E190)))+((tblRules[Look In]&lt;&gt;"Account")*(((tblRules[Test]="Word")*ISNUMBER(SEARCH(" "&amp;tblRules[Pattern]&amp;" "," "&amp;$H190&amp;" ")))+((tblRules[Test]&lt;&gt;"Word")*ISNUMBER(SEARCH(tblRules[Pattern],$H190))))))&gt;0))*1E+9+ROW(tblRules[Pattern])))-ROW(tblRules[[#Headers],[Pattern]])),"Uncategorized"))</f>
        <v/>
      </c>
      <c r="L190">
        <f>IF($C190="","",IFERROR(INDEX(tblCategories[Group],MATCH($K190,tblCategories[Category],0)),"Other"))</f>
        <v/>
      </c>
      <c r="M190">
        <f>IF($C190="","",IFERROR(INDEX(tblCategories[Type],MATCH($K190,tblCategories[Category],0)),IF($J190&gt;0,"Income","Expense")))</f>
        <v/>
      </c>
      <c r="N190">
        <f>IF($C190="","",IFERROR(INDEX(tblCategories[Essential],MATCH($K190,tblCategories[Category],0)),"No"))</f>
        <v/>
      </c>
      <c r="O190">
        <f>IF($C190="","",IFERROR(INDEX(tblCategories[Tax Tag],MATCH($K190,tblCategories[Category],0)),""))</f>
        <v/>
      </c>
      <c r="P190" s="20">
        <f>IF($C190="","",IF($G190=PersonA,1,IF($G190=PersonB,0,IFERROR(INDEX(tblCategories[Joint Split A],MATCH($K190,tblCategories[Category],0)),DefaultSplitA))))</f>
        <v/>
      </c>
      <c r="Q190" s="19">
        <f>IF($C190="","",ROUND($J190*N($P190),2))</f>
        <v/>
      </c>
      <c r="R190" s="19">
        <f>IF($C190="","",ROUND($J190-N($Q190),2))</f>
        <v/>
      </c>
      <c r="U190" t="inlineStr">
        <is>
          <t>sample-data</t>
        </is>
      </c>
      <c r="V190" t="inlineStr">
        <is>
          <t>SAMPLE</t>
        </is>
      </c>
      <c r="W190" t="inlineStr">
        <is>
          <t>86F532F9</t>
        </is>
      </c>
      <c r="X190">
        <f>IF($C190="","",IFERROR(IF(_xlfn.ISFORMULA($K190),"Rule","Manual"),""))</f>
        <v/>
      </c>
      <c r="Y190" s="19">
        <f>IF($C190="","",IF(ReportView=PersonA,N($Q190),IF(ReportView=PersonB,N($R190),$J190)))</f>
        <v/>
      </c>
    </row>
    <row r="191">
      <c r="B191">
        <f>IF($C191="","","T"&amp;TEXT(ROW()-ROW(tblTxn[[#Headers],[Txn ID]]),"000000"))</f>
        <v/>
      </c>
      <c r="C191" s="18" t="n">
        <v>46186</v>
      </c>
      <c r="D191">
        <f>IF($C191="","",TEXT($C191,"yyyy-mm"))</f>
        <v/>
      </c>
      <c r="E191" t="inlineStr">
        <is>
          <t>Amex Cobalt (Joint)</t>
        </is>
      </c>
      <c r="F191">
        <f>IF($C191="","",IFERROR(INDEX(tblAccounts[Owner],MATCH($E191,tblAccounts[Account],0)),"Joint"))</f>
        <v/>
      </c>
      <c r="G191">
        <f>IF($C191="","",IF(HouseholdMode="Couple",IFERROR(IF(INDEX(tblCategories[Default Owner],MATCH($K191,tblCategories[Category],0))="",$F191,INDEX(tblCategories[Default Owner],MATCH($K191,tblCategories[Category],0))),$F191),$F191))</f>
        <v/>
      </c>
      <c r="H191" t="inlineStr">
        <is>
          <t>AMZ*UBER EATS TORONTO ON</t>
        </is>
      </c>
      <c r="I191">
        <f>IF($H191="","",$H191)</f>
        <v/>
      </c>
      <c r="J191" s="19" t="n">
        <v>-38.51</v>
      </c>
      <c r="K191">
        <f>IF($H191="","",IFERROR(INDEX(tblRules[Category],SUMPRODUCT(MIN((1-((tblRules[Enabled]&lt;&gt;"No")*(tblRules[Pattern]&lt;&gt;"")*(tblRules[Category]&lt;&gt;"")*((tblRules[Flow]="Any")+(tblRules[Flow]="")+((tblRules[Flow]="Money out")*($J191&lt;0))+((tblRules[Flow]="Money in")*($J191&gt;0)))*(((tblRules[Look In]="Account")*ISNUMBER(SEARCH(tblRules[Pattern],$E191)))+((tblRules[Look In]&lt;&gt;"Account")*(((tblRules[Test]="Word")*ISNUMBER(SEARCH(" "&amp;tblRules[Pattern]&amp;" "," "&amp;$H191&amp;" ")))+((tblRules[Test]&lt;&gt;"Word")*ISNUMBER(SEARCH(tblRules[Pattern],$H191))))))&gt;0))*1E+9+ROW(tblRules[Pattern])))-ROW(tblRules[[#Headers],[Pattern]])),"Uncategorized"))</f>
        <v/>
      </c>
      <c r="L191">
        <f>IF($C191="","",IFERROR(INDEX(tblCategories[Group],MATCH($K191,tblCategories[Category],0)),"Other"))</f>
        <v/>
      </c>
      <c r="M191">
        <f>IF($C191="","",IFERROR(INDEX(tblCategories[Type],MATCH($K191,tblCategories[Category],0)),IF($J191&gt;0,"Income","Expense")))</f>
        <v/>
      </c>
      <c r="N191">
        <f>IF($C191="","",IFERROR(INDEX(tblCategories[Essential],MATCH($K191,tblCategories[Category],0)),"No"))</f>
        <v/>
      </c>
      <c r="O191">
        <f>IF($C191="","",IFERROR(INDEX(tblCategories[Tax Tag],MATCH($K191,tblCategories[Category],0)),""))</f>
        <v/>
      </c>
      <c r="P191" s="20">
        <f>IF($C191="","",IF($G191=PersonA,1,IF($G191=PersonB,0,IFERROR(INDEX(tblCategories[Joint Split A],MATCH($K191,tblCategories[Category],0)),DefaultSplitA))))</f>
        <v/>
      </c>
      <c r="Q191" s="19">
        <f>IF($C191="","",ROUND($J191*N($P191),2))</f>
        <v/>
      </c>
      <c r="R191" s="19">
        <f>IF($C191="","",ROUND($J191-N($Q191),2))</f>
        <v/>
      </c>
      <c r="U191" t="inlineStr">
        <is>
          <t>sample-data</t>
        </is>
      </c>
      <c r="V191" t="inlineStr">
        <is>
          <t>SAMPLE</t>
        </is>
      </c>
      <c r="W191" t="inlineStr">
        <is>
          <t>28C838E9</t>
        </is>
      </c>
      <c r="X191">
        <f>IF($C191="","",IFERROR(IF(_xlfn.ISFORMULA($K191),"Rule","Manual"),""))</f>
        <v/>
      </c>
      <c r="Y191" s="19">
        <f>IF($C191="","",IF(ReportView=PersonA,N($Q191),IF(ReportView=PersonB,N($R191),$J191)))</f>
        <v/>
      </c>
    </row>
    <row r="192">
      <c r="B192">
        <f>IF($C192="","","T"&amp;TEXT(ROW()-ROW(tblTxn[[#Headers],[Txn ID]]),"000000"))</f>
        <v/>
      </c>
      <c r="C192" s="18" t="n">
        <v>46187</v>
      </c>
      <c r="D192">
        <f>IF($C192="","",TEXT($C192,"yyyy-mm"))</f>
        <v/>
      </c>
      <c r="E192" t="inlineStr">
        <is>
          <t>Amex Cobalt (Joint)</t>
        </is>
      </c>
      <c r="F192">
        <f>IF($C192="","",IFERROR(INDEX(tblAccounts[Owner],MATCH($E192,tblAccounts[Account],0)),"Joint"))</f>
        <v/>
      </c>
      <c r="G192">
        <f>IF($C192="","",IF(HouseholdMode="Couple",IFERROR(IF(INDEX(tblCategories[Default Owner],MATCH($K192,tblCategories[Category],0))="",$F192,INDEX(tblCategories[Default Owner],MATCH($K192,tblCategories[Category],0))),$F192),$F192))</f>
        <v/>
      </c>
      <c r="H192" t="inlineStr">
        <is>
          <t>IDP PURCHASE - 3771 TIM HORTONS #2712 TORONTO ON</t>
        </is>
      </c>
      <c r="I192">
        <f>IF($H192="","",$H192)</f>
        <v/>
      </c>
      <c r="J192" s="19" t="n">
        <v>-8.99</v>
      </c>
      <c r="K192">
        <f>IF($H192="","",IFERROR(INDEX(tblRules[Category],SUMPRODUCT(MIN((1-((tblRules[Enabled]&lt;&gt;"No")*(tblRules[Pattern]&lt;&gt;"")*(tblRules[Category]&lt;&gt;"")*((tblRules[Flow]="Any")+(tblRules[Flow]="")+((tblRules[Flow]="Money out")*($J192&lt;0))+((tblRules[Flow]="Money in")*($J192&gt;0)))*(((tblRules[Look In]="Account")*ISNUMBER(SEARCH(tblRules[Pattern],$E192)))+((tblRules[Look In]&lt;&gt;"Account")*(((tblRules[Test]="Word")*ISNUMBER(SEARCH(" "&amp;tblRules[Pattern]&amp;" "," "&amp;$H192&amp;" ")))+((tblRules[Test]&lt;&gt;"Word")*ISNUMBER(SEARCH(tblRules[Pattern],$H192))))))&gt;0))*1E+9+ROW(tblRules[Pattern])))-ROW(tblRules[[#Headers],[Pattern]])),"Uncategorized"))</f>
        <v/>
      </c>
      <c r="L192">
        <f>IF($C192="","",IFERROR(INDEX(tblCategories[Group],MATCH($K192,tblCategories[Category],0)),"Other"))</f>
        <v/>
      </c>
      <c r="M192">
        <f>IF($C192="","",IFERROR(INDEX(tblCategories[Type],MATCH($K192,tblCategories[Category],0)),IF($J192&gt;0,"Income","Expense")))</f>
        <v/>
      </c>
      <c r="N192">
        <f>IF($C192="","",IFERROR(INDEX(tblCategories[Essential],MATCH($K192,tblCategories[Category],0)),"No"))</f>
        <v/>
      </c>
      <c r="O192">
        <f>IF($C192="","",IFERROR(INDEX(tblCategories[Tax Tag],MATCH($K192,tblCategories[Category],0)),""))</f>
        <v/>
      </c>
      <c r="P192" s="20">
        <f>IF($C192="","",IF($G192=PersonA,1,IF($G192=PersonB,0,IFERROR(INDEX(tblCategories[Joint Split A],MATCH($K192,tblCategories[Category],0)),DefaultSplitA))))</f>
        <v/>
      </c>
      <c r="Q192" s="19">
        <f>IF($C192="","",ROUND($J192*N($P192),2))</f>
        <v/>
      </c>
      <c r="R192" s="19">
        <f>IF($C192="","",ROUND($J192-N($Q192),2))</f>
        <v/>
      </c>
      <c r="U192" t="inlineStr">
        <is>
          <t>sample-data</t>
        </is>
      </c>
      <c r="V192" t="inlineStr">
        <is>
          <t>SAMPLE</t>
        </is>
      </c>
      <c r="W192" t="inlineStr">
        <is>
          <t>3448E6A7</t>
        </is>
      </c>
      <c r="X192">
        <f>IF($C192="","",IFERROR(IF(_xlfn.ISFORMULA($K192),"Rule","Manual"),""))</f>
        <v/>
      </c>
      <c r="Y192" s="19">
        <f>IF($C192="","",IF(ReportView=PersonA,N($Q192),IF(ReportView=PersonB,N($R192),$J192)))</f>
        <v/>
      </c>
    </row>
    <row r="193">
      <c r="B193">
        <f>IF($C193="","","T"&amp;TEXT(ROW()-ROW(tblTxn[[#Headers],[Txn ID]]),"000000"))</f>
        <v/>
      </c>
      <c r="C193" s="18" t="n">
        <v>46187</v>
      </c>
      <c r="D193">
        <f>IF($C193="","",TEXT($C193,"yyyy-mm"))</f>
        <v/>
      </c>
      <c r="E193" t="inlineStr">
        <is>
          <t>BMO Joint Chequing</t>
        </is>
      </c>
      <c r="F193">
        <f>IF($C193="","",IFERROR(INDEX(tblAccounts[Owner],MATCH($E193,tblAccounts[Account],0)),"Joint"))</f>
        <v/>
      </c>
      <c r="G193">
        <f>IF($C193="","",IF(HouseholdMode="Couple",IFERROR(IF(INDEX(tblCategories[Default Owner],MATCH($K193,tblCategories[Category],0))="",$F193,INDEX(tblCategories[Default Owner],MATCH($K193,tblCategories[Category],0))),$F193),$F193))</f>
        <v/>
      </c>
      <c r="H193" t="inlineStr">
        <is>
          <t>FREEDOM MOBILE PREAUTHORIZED DEBIT</t>
        </is>
      </c>
      <c r="I193">
        <f>IF($H193="","",$H193)</f>
        <v/>
      </c>
      <c r="J193" s="19" t="n">
        <v>-45</v>
      </c>
      <c r="K193">
        <f>IF($H193="","",IFERROR(INDEX(tblRules[Category],SUMPRODUCT(MIN((1-((tblRules[Enabled]&lt;&gt;"No")*(tblRules[Pattern]&lt;&gt;"")*(tblRules[Category]&lt;&gt;"")*((tblRules[Flow]="Any")+(tblRules[Flow]="")+((tblRules[Flow]="Money out")*($J193&lt;0))+((tblRules[Flow]="Money in")*($J193&gt;0)))*(((tblRules[Look In]="Account")*ISNUMBER(SEARCH(tblRules[Pattern],$E193)))+((tblRules[Look In]&lt;&gt;"Account")*(((tblRules[Test]="Word")*ISNUMBER(SEARCH(" "&amp;tblRules[Pattern]&amp;" "," "&amp;$H193&amp;" ")))+((tblRules[Test]&lt;&gt;"Word")*ISNUMBER(SEARCH(tblRules[Pattern],$H193))))))&gt;0))*1E+9+ROW(tblRules[Pattern])))-ROW(tblRules[[#Headers],[Pattern]])),"Uncategorized"))</f>
        <v/>
      </c>
      <c r="L193">
        <f>IF($C193="","",IFERROR(INDEX(tblCategories[Group],MATCH($K193,tblCategories[Category],0)),"Other"))</f>
        <v/>
      </c>
      <c r="M193">
        <f>IF($C193="","",IFERROR(INDEX(tblCategories[Type],MATCH($K193,tblCategories[Category],0)),IF($J193&gt;0,"Income","Expense")))</f>
        <v/>
      </c>
      <c r="N193">
        <f>IF($C193="","",IFERROR(INDEX(tblCategories[Essential],MATCH($K193,tblCategories[Category],0)),"No"))</f>
        <v/>
      </c>
      <c r="O193">
        <f>IF($C193="","",IFERROR(INDEX(tblCategories[Tax Tag],MATCH($K193,tblCategories[Category],0)),""))</f>
        <v/>
      </c>
      <c r="P193" s="20">
        <f>IF($C193="","",IF($G193=PersonA,1,IF($G193=PersonB,0,IFERROR(INDEX(tblCategories[Joint Split A],MATCH($K193,tblCategories[Category],0)),DefaultSplitA))))</f>
        <v/>
      </c>
      <c r="Q193" s="19">
        <f>IF($C193="","",ROUND($J193*N($P193),2))</f>
        <v/>
      </c>
      <c r="R193" s="19">
        <f>IF($C193="","",ROUND($J193-N($Q193),2))</f>
        <v/>
      </c>
      <c r="U193" t="inlineStr">
        <is>
          <t>sample-data</t>
        </is>
      </c>
      <c r="V193" t="inlineStr">
        <is>
          <t>SAMPLE</t>
        </is>
      </c>
      <c r="W193" t="inlineStr">
        <is>
          <t>96E9160E</t>
        </is>
      </c>
      <c r="X193">
        <f>IF($C193="","",IFERROR(IF(_xlfn.ISFORMULA($K193),"Rule","Manual"),""))</f>
        <v/>
      </c>
      <c r="Y193" s="19">
        <f>IF($C193="","",IF(ReportView=PersonA,N($Q193),IF(ReportView=PersonB,N($R193),$J193)))</f>
        <v/>
      </c>
    </row>
    <row r="194">
      <c r="B194">
        <f>IF($C194="","","T"&amp;TEXT(ROW()-ROW(tblTxn[[#Headers],[Txn ID]]),"000000"))</f>
        <v/>
      </c>
      <c r="C194" s="18" t="n">
        <v>46188</v>
      </c>
      <c r="D194">
        <f>IF($C194="","",TEXT($C194,"yyyy-mm"))</f>
        <v/>
      </c>
      <c r="E194" t="inlineStr">
        <is>
          <t>RBC Chequing (Alex)</t>
        </is>
      </c>
      <c r="F194">
        <f>IF($C194="","",IFERROR(INDEX(tblAccounts[Owner],MATCH($E194,tblAccounts[Account],0)),"Joint"))</f>
        <v/>
      </c>
      <c r="G194">
        <f>IF($C194="","",IF(HouseholdMode="Couple",IFERROR(IF(INDEX(tblCategories[Default Owner],MATCH($K194,tblCategories[Category],0))="",$F194,INDEX(tblCategories[Default Owner],MATCH($K194,tblCategories[Category],0))),$F194),$F194))</f>
        <v/>
      </c>
      <c r="H194" t="inlineStr">
        <is>
          <t>PAYROLL DEPOSIT NORTHWIND LOGISTICS</t>
        </is>
      </c>
      <c r="I194">
        <f>IF($H194="","",$H194)</f>
        <v/>
      </c>
      <c r="J194" s="19" t="n">
        <v>2445.18</v>
      </c>
      <c r="K194">
        <f>IF($H194="","",IFERROR(INDEX(tblRules[Category],SUMPRODUCT(MIN((1-((tblRules[Enabled]&lt;&gt;"No")*(tblRules[Pattern]&lt;&gt;"")*(tblRules[Category]&lt;&gt;"")*((tblRules[Flow]="Any")+(tblRules[Flow]="")+((tblRules[Flow]="Money out")*($J194&lt;0))+((tblRules[Flow]="Money in")*($J194&gt;0)))*(((tblRules[Look In]="Account")*ISNUMBER(SEARCH(tblRules[Pattern],$E194)))+((tblRules[Look In]&lt;&gt;"Account")*(((tblRules[Test]="Word")*ISNUMBER(SEARCH(" "&amp;tblRules[Pattern]&amp;" "," "&amp;$H194&amp;" ")))+((tblRules[Test]&lt;&gt;"Word")*ISNUMBER(SEARCH(tblRules[Pattern],$H194))))))&gt;0))*1E+9+ROW(tblRules[Pattern])))-ROW(tblRules[[#Headers],[Pattern]])),"Uncategorized"))</f>
        <v/>
      </c>
      <c r="L194">
        <f>IF($C194="","",IFERROR(INDEX(tblCategories[Group],MATCH($K194,tblCategories[Category],0)),"Other"))</f>
        <v/>
      </c>
      <c r="M194">
        <f>IF($C194="","",IFERROR(INDEX(tblCategories[Type],MATCH($K194,tblCategories[Category],0)),IF($J194&gt;0,"Income","Expense")))</f>
        <v/>
      </c>
      <c r="N194">
        <f>IF($C194="","",IFERROR(INDEX(tblCategories[Essential],MATCH($K194,tblCategories[Category],0)),"No"))</f>
        <v/>
      </c>
      <c r="O194">
        <f>IF($C194="","",IFERROR(INDEX(tblCategories[Tax Tag],MATCH($K194,tblCategories[Category],0)),""))</f>
        <v/>
      </c>
      <c r="P194" s="20">
        <f>IF($C194="","",IF($G194=PersonA,1,IF($G194=PersonB,0,IFERROR(INDEX(tblCategories[Joint Split A],MATCH($K194,tblCategories[Category],0)),DefaultSplitA))))</f>
        <v/>
      </c>
      <c r="Q194" s="19">
        <f>IF($C194="","",ROUND($J194*N($P194),2))</f>
        <v/>
      </c>
      <c r="R194" s="19">
        <f>IF($C194="","",ROUND($J194-N($Q194),2))</f>
        <v/>
      </c>
      <c r="U194" t="inlineStr">
        <is>
          <t>sample-data</t>
        </is>
      </c>
      <c r="V194" t="inlineStr">
        <is>
          <t>SAMPLE</t>
        </is>
      </c>
      <c r="W194" t="inlineStr">
        <is>
          <t>15BB36E2</t>
        </is>
      </c>
      <c r="X194">
        <f>IF($C194="","",IFERROR(IF(_xlfn.ISFORMULA($K194),"Rule","Manual"),""))</f>
        <v/>
      </c>
      <c r="Y194" s="19">
        <f>IF($C194="","",IF(ReportView=PersonA,N($Q194),IF(ReportView=PersonB,N($R194),$J194)))</f>
        <v/>
      </c>
    </row>
    <row r="195">
      <c r="B195">
        <f>IF($C195="","","T"&amp;TEXT(ROW()-ROW(tblTxn[[#Headers],[Txn ID]]),"000000"))</f>
        <v/>
      </c>
      <c r="C195" s="18" t="n">
        <v>46188</v>
      </c>
      <c r="D195">
        <f>IF($C195="","",TEXT($C195,"yyyy-mm"))</f>
        <v/>
      </c>
      <c r="E195" t="inlineStr">
        <is>
          <t>Tangerine Chequing (Sam)</t>
        </is>
      </c>
      <c r="F195">
        <f>IF($C195="","",IFERROR(INDEX(tblAccounts[Owner],MATCH($E195,tblAccounts[Account],0)),"Joint"))</f>
        <v/>
      </c>
      <c r="G195">
        <f>IF($C195="","",IF(HouseholdMode="Couple",IFERROR(IF(INDEX(tblCategories[Default Owner],MATCH($K195,tblCategories[Category],0))="",$F195,INDEX(tblCategories[Default Owner],MATCH($K195,tblCategories[Category],0))),$F195),$F195))</f>
        <v/>
      </c>
      <c r="H195" t="inlineStr">
        <is>
          <t>IDP PURCHASE - 8981 HOME DEPOT #4539 ON</t>
        </is>
      </c>
      <c r="I195">
        <f>IF($H195="","",$H195)</f>
        <v/>
      </c>
      <c r="J195" s="19" t="n">
        <v>-208.78</v>
      </c>
      <c r="K195">
        <f>IF($H195="","",IFERROR(INDEX(tblRules[Category],SUMPRODUCT(MIN((1-((tblRules[Enabled]&lt;&gt;"No")*(tblRules[Pattern]&lt;&gt;"")*(tblRules[Category]&lt;&gt;"")*((tblRules[Flow]="Any")+(tblRules[Flow]="")+((tblRules[Flow]="Money out")*($J195&lt;0))+((tblRules[Flow]="Money in")*($J195&gt;0)))*(((tblRules[Look In]="Account")*ISNUMBER(SEARCH(tblRules[Pattern],$E195)))+((tblRules[Look In]&lt;&gt;"Account")*(((tblRules[Test]="Word")*ISNUMBER(SEARCH(" "&amp;tblRules[Pattern]&amp;" "," "&amp;$H195&amp;" ")))+((tblRules[Test]&lt;&gt;"Word")*ISNUMBER(SEARCH(tblRules[Pattern],$H195))))))&gt;0))*1E+9+ROW(tblRules[Pattern])))-ROW(tblRules[[#Headers],[Pattern]])),"Uncategorized"))</f>
        <v/>
      </c>
      <c r="L195">
        <f>IF($C195="","",IFERROR(INDEX(tblCategories[Group],MATCH($K195,tblCategories[Category],0)),"Other"))</f>
        <v/>
      </c>
      <c r="M195">
        <f>IF($C195="","",IFERROR(INDEX(tblCategories[Type],MATCH($K195,tblCategories[Category],0)),IF($J195&gt;0,"Income","Expense")))</f>
        <v/>
      </c>
      <c r="N195">
        <f>IF($C195="","",IFERROR(INDEX(tblCategories[Essential],MATCH($K195,tblCategories[Category],0)),"No"))</f>
        <v/>
      </c>
      <c r="O195">
        <f>IF($C195="","",IFERROR(INDEX(tblCategories[Tax Tag],MATCH($K195,tblCategories[Category],0)),""))</f>
        <v/>
      </c>
      <c r="P195" s="20">
        <f>IF($C195="","",IF($G195=PersonA,1,IF($G195=PersonB,0,IFERROR(INDEX(tblCategories[Joint Split A],MATCH($K195,tblCategories[Category],0)),DefaultSplitA))))</f>
        <v/>
      </c>
      <c r="Q195" s="19">
        <f>IF($C195="","",ROUND($J195*N($P195),2))</f>
        <v/>
      </c>
      <c r="R195" s="19">
        <f>IF($C195="","",ROUND($J195-N($Q195),2))</f>
        <v/>
      </c>
      <c r="U195" t="inlineStr">
        <is>
          <t>sample-data</t>
        </is>
      </c>
      <c r="V195" t="inlineStr">
        <is>
          <t>SAMPLE</t>
        </is>
      </c>
      <c r="W195" t="inlineStr">
        <is>
          <t>E16203D9</t>
        </is>
      </c>
      <c r="X195">
        <f>IF($C195="","",IFERROR(IF(_xlfn.ISFORMULA($K195),"Rule","Manual"),""))</f>
        <v/>
      </c>
      <c r="Y195" s="19">
        <f>IF($C195="","",IF(ReportView=PersonA,N($Q195),IF(ReportView=PersonB,N($R195),$J195)))</f>
        <v/>
      </c>
    </row>
    <row r="196">
      <c r="B196">
        <f>IF($C196="","","T"&amp;TEXT(ROW()-ROW(tblTxn[[#Headers],[Txn ID]]),"000000"))</f>
        <v/>
      </c>
      <c r="C196" s="18" t="n">
        <v>46188</v>
      </c>
      <c r="D196">
        <f>IF($C196="","",TEXT($C196,"yyyy-mm"))</f>
        <v/>
      </c>
      <c r="E196" t="inlineStr">
        <is>
          <t>Tangerine Chequing (Sam)</t>
        </is>
      </c>
      <c r="F196">
        <f>IF($C196="","",IFERROR(INDEX(tblAccounts[Owner],MATCH($E196,tblAccounts[Account],0)),"Joint"))</f>
        <v/>
      </c>
      <c r="G196">
        <f>IF($C196="","",IF(HouseholdMode="Couple",IFERROR(IF(INDEX(tblCategories[Default Owner],MATCH($K196,tblCategories[Category],0))="",$F196,INDEX(tblCategories[Default Owner],MATCH($K196,tblCategories[Category],0))),$F196),$F196))</f>
        <v/>
      </c>
      <c r="H196" t="inlineStr">
        <is>
          <t>PAYROLL DEPOSIT MAPLE HEALTH GROUP</t>
        </is>
      </c>
      <c r="I196">
        <f>IF($H196="","",$H196)</f>
        <v/>
      </c>
      <c r="J196" s="19" t="n">
        <v>1944.44</v>
      </c>
      <c r="K196">
        <f>IF($H196="","",IFERROR(INDEX(tblRules[Category],SUMPRODUCT(MIN((1-((tblRules[Enabled]&lt;&gt;"No")*(tblRules[Pattern]&lt;&gt;"")*(tblRules[Category]&lt;&gt;"")*((tblRules[Flow]="Any")+(tblRules[Flow]="")+((tblRules[Flow]="Money out")*($J196&lt;0))+((tblRules[Flow]="Money in")*($J196&gt;0)))*(((tblRules[Look In]="Account")*ISNUMBER(SEARCH(tblRules[Pattern],$E196)))+((tblRules[Look In]&lt;&gt;"Account")*(((tblRules[Test]="Word")*ISNUMBER(SEARCH(" "&amp;tblRules[Pattern]&amp;" "," "&amp;$H196&amp;" ")))+((tblRules[Test]&lt;&gt;"Word")*ISNUMBER(SEARCH(tblRules[Pattern],$H196))))))&gt;0))*1E+9+ROW(tblRules[Pattern])))-ROW(tblRules[[#Headers],[Pattern]])),"Uncategorized"))</f>
        <v/>
      </c>
      <c r="L196">
        <f>IF($C196="","",IFERROR(INDEX(tblCategories[Group],MATCH($K196,tblCategories[Category],0)),"Other"))</f>
        <v/>
      </c>
      <c r="M196">
        <f>IF($C196="","",IFERROR(INDEX(tblCategories[Type],MATCH($K196,tblCategories[Category],0)),IF($J196&gt;0,"Income","Expense")))</f>
        <v/>
      </c>
      <c r="N196">
        <f>IF($C196="","",IFERROR(INDEX(tblCategories[Essential],MATCH($K196,tblCategories[Category],0)),"No"))</f>
        <v/>
      </c>
      <c r="O196">
        <f>IF($C196="","",IFERROR(INDEX(tblCategories[Tax Tag],MATCH($K196,tblCategories[Category],0)),""))</f>
        <v/>
      </c>
      <c r="P196" s="20">
        <f>IF($C196="","",IF($G196=PersonA,1,IF($G196=PersonB,0,IFERROR(INDEX(tblCategories[Joint Split A],MATCH($K196,tblCategories[Category],0)),DefaultSplitA))))</f>
        <v/>
      </c>
      <c r="Q196" s="19">
        <f>IF($C196="","",ROUND($J196*N($P196),2))</f>
        <v/>
      </c>
      <c r="R196" s="19">
        <f>IF($C196="","",ROUND($J196-N($Q196),2))</f>
        <v/>
      </c>
      <c r="U196" t="inlineStr">
        <is>
          <t>sample-data</t>
        </is>
      </c>
      <c r="V196" t="inlineStr">
        <is>
          <t>SAMPLE</t>
        </is>
      </c>
      <c r="W196" t="inlineStr">
        <is>
          <t>E850AA7D</t>
        </is>
      </c>
      <c r="X196">
        <f>IF($C196="","",IFERROR(IF(_xlfn.ISFORMULA($K196),"Rule","Manual"),""))</f>
        <v/>
      </c>
      <c r="Y196" s="19">
        <f>IF($C196="","",IF(ReportView=PersonA,N($Q196),IF(ReportView=PersonB,N($R196),$J196)))</f>
        <v/>
      </c>
    </row>
    <row r="197">
      <c r="B197">
        <f>IF($C197="","","T"&amp;TEXT(ROW()-ROW(tblTxn[[#Headers],[Txn ID]]),"000000"))</f>
        <v/>
      </c>
      <c r="C197" s="18" t="n">
        <v>46189</v>
      </c>
      <c r="D197">
        <f>IF($C197="","",TEXT($C197,"yyyy-mm"))</f>
        <v/>
      </c>
      <c r="E197" t="inlineStr">
        <is>
          <t>Amex Cobalt (Joint)</t>
        </is>
      </c>
      <c r="F197">
        <f>IF($C197="","",IFERROR(INDEX(tblAccounts[Owner],MATCH($E197,tblAccounts[Account],0)),"Joint"))</f>
        <v/>
      </c>
      <c r="G197">
        <f>IF($C197="","",IF(HouseholdMode="Couple",IFERROR(IF(INDEX(tblCategories[Default Owner],MATCH($K197,tblCategories[Category],0))="",$F197,INDEX(tblCategories[Default Owner],MATCH($K197,tblCategories[Category],0))),$F197),$F197))</f>
        <v/>
      </c>
      <c r="H197" t="inlineStr">
        <is>
          <t>IDP PURCHASE - 1378 LOBLAWS #3433 TORONTO ON</t>
        </is>
      </c>
      <c r="I197">
        <f>IF($H197="","",$H197)</f>
        <v/>
      </c>
      <c r="J197" s="19" t="n">
        <v>-136.93</v>
      </c>
      <c r="K197">
        <f>IF($H197="","",IFERROR(INDEX(tblRules[Category],SUMPRODUCT(MIN((1-((tblRules[Enabled]&lt;&gt;"No")*(tblRules[Pattern]&lt;&gt;"")*(tblRules[Category]&lt;&gt;"")*((tblRules[Flow]="Any")+(tblRules[Flow]="")+((tblRules[Flow]="Money out")*($J197&lt;0))+((tblRules[Flow]="Money in")*($J197&gt;0)))*(((tblRules[Look In]="Account")*ISNUMBER(SEARCH(tblRules[Pattern],$E197)))+((tblRules[Look In]&lt;&gt;"Account")*(((tblRules[Test]="Word")*ISNUMBER(SEARCH(" "&amp;tblRules[Pattern]&amp;" "," "&amp;$H197&amp;" ")))+((tblRules[Test]&lt;&gt;"Word")*ISNUMBER(SEARCH(tblRules[Pattern],$H197))))))&gt;0))*1E+9+ROW(tblRules[Pattern])))-ROW(tblRules[[#Headers],[Pattern]])),"Uncategorized"))</f>
        <v/>
      </c>
      <c r="L197">
        <f>IF($C197="","",IFERROR(INDEX(tblCategories[Group],MATCH($K197,tblCategories[Category],0)),"Other"))</f>
        <v/>
      </c>
      <c r="M197">
        <f>IF($C197="","",IFERROR(INDEX(tblCategories[Type],MATCH($K197,tblCategories[Category],0)),IF($J197&gt;0,"Income","Expense")))</f>
        <v/>
      </c>
      <c r="N197">
        <f>IF($C197="","",IFERROR(INDEX(tblCategories[Essential],MATCH($K197,tblCategories[Category],0)),"No"))</f>
        <v/>
      </c>
      <c r="O197">
        <f>IF($C197="","",IFERROR(INDEX(tblCategories[Tax Tag],MATCH($K197,tblCategories[Category],0)),""))</f>
        <v/>
      </c>
      <c r="P197" s="20">
        <f>IF($C197="","",IF($G197=PersonA,1,IF($G197=PersonB,0,IFERROR(INDEX(tblCategories[Joint Split A],MATCH($K197,tblCategories[Category],0)),DefaultSplitA))))</f>
        <v/>
      </c>
      <c r="Q197" s="19">
        <f>IF($C197="","",ROUND($J197*N($P197),2))</f>
        <v/>
      </c>
      <c r="R197" s="19">
        <f>IF($C197="","",ROUND($J197-N($Q197),2))</f>
        <v/>
      </c>
      <c r="U197" t="inlineStr">
        <is>
          <t>sample-data</t>
        </is>
      </c>
      <c r="V197" t="inlineStr">
        <is>
          <t>SAMPLE</t>
        </is>
      </c>
      <c r="W197" t="inlineStr">
        <is>
          <t>1F32872E</t>
        </is>
      </c>
      <c r="X197">
        <f>IF($C197="","",IFERROR(IF(_xlfn.ISFORMULA($K197),"Rule","Manual"),""))</f>
        <v/>
      </c>
      <c r="Y197" s="19">
        <f>IF($C197="","",IF(ReportView=PersonA,N($Q197),IF(ReportView=PersonB,N($R197),$J197)))</f>
        <v/>
      </c>
    </row>
    <row r="198">
      <c r="B198">
        <f>IF($C198="","","T"&amp;TEXT(ROW()-ROW(tblTxn[[#Headers],[Txn ID]]),"000000"))</f>
        <v/>
      </c>
      <c r="C198" s="18" t="n">
        <v>46189</v>
      </c>
      <c r="D198">
        <f>IF($C198="","",TEXT($C198,"yyyy-mm"))</f>
        <v/>
      </c>
      <c r="E198" t="inlineStr">
        <is>
          <t>Amex Cobalt (Joint)</t>
        </is>
      </c>
      <c r="F198">
        <f>IF($C198="","",IFERROR(INDEX(tblAccounts[Owner],MATCH($E198,tblAccounts[Account],0)),"Joint"))</f>
        <v/>
      </c>
      <c r="G198">
        <f>IF($C198="","",IF(HouseholdMode="Couple",IFERROR(IF(INDEX(tblCategories[Default Owner],MATCH($K198,tblCategories[Category],0))="",$F198,INDEX(tblCategories[Default Owner],MATCH($K198,tblCategories[Category],0))),$F198),$F198))</f>
        <v/>
      </c>
      <c r="H198" t="inlineStr">
        <is>
          <t>IDP PURCHASE - 8083 SWISS CHALET #4117 ON</t>
        </is>
      </c>
      <c r="I198">
        <f>IF($H198="","",$H198)</f>
        <v/>
      </c>
      <c r="J198" s="19" t="n">
        <v>-61.26</v>
      </c>
      <c r="K198">
        <f>IF($H198="","",IFERROR(INDEX(tblRules[Category],SUMPRODUCT(MIN((1-((tblRules[Enabled]&lt;&gt;"No")*(tblRules[Pattern]&lt;&gt;"")*(tblRules[Category]&lt;&gt;"")*((tblRules[Flow]="Any")+(tblRules[Flow]="")+((tblRules[Flow]="Money out")*($J198&lt;0))+((tblRules[Flow]="Money in")*($J198&gt;0)))*(((tblRules[Look In]="Account")*ISNUMBER(SEARCH(tblRules[Pattern],$E198)))+((tblRules[Look In]&lt;&gt;"Account")*(((tblRules[Test]="Word")*ISNUMBER(SEARCH(" "&amp;tblRules[Pattern]&amp;" "," "&amp;$H198&amp;" ")))+((tblRules[Test]&lt;&gt;"Word")*ISNUMBER(SEARCH(tblRules[Pattern],$H198))))))&gt;0))*1E+9+ROW(tblRules[Pattern])))-ROW(tblRules[[#Headers],[Pattern]])),"Uncategorized"))</f>
        <v/>
      </c>
      <c r="L198">
        <f>IF($C198="","",IFERROR(INDEX(tblCategories[Group],MATCH($K198,tblCategories[Category],0)),"Other"))</f>
        <v/>
      </c>
      <c r="M198">
        <f>IF($C198="","",IFERROR(INDEX(tblCategories[Type],MATCH($K198,tblCategories[Category],0)),IF($J198&gt;0,"Income","Expense")))</f>
        <v/>
      </c>
      <c r="N198">
        <f>IF($C198="","",IFERROR(INDEX(tblCategories[Essential],MATCH($K198,tblCategories[Category],0)),"No"))</f>
        <v/>
      </c>
      <c r="O198">
        <f>IF($C198="","",IFERROR(INDEX(tblCategories[Tax Tag],MATCH($K198,tblCategories[Category],0)),""))</f>
        <v/>
      </c>
      <c r="P198" s="20">
        <f>IF($C198="","",IF($G198=PersonA,1,IF($G198=PersonB,0,IFERROR(INDEX(tblCategories[Joint Split A],MATCH($K198,tblCategories[Category],0)),DefaultSplitA))))</f>
        <v/>
      </c>
      <c r="Q198" s="19">
        <f>IF($C198="","",ROUND($J198*N($P198),2))</f>
        <v/>
      </c>
      <c r="R198" s="19">
        <f>IF($C198="","",ROUND($J198-N($Q198),2))</f>
        <v/>
      </c>
      <c r="U198" t="inlineStr">
        <is>
          <t>sample-data</t>
        </is>
      </c>
      <c r="V198" t="inlineStr">
        <is>
          <t>SAMPLE</t>
        </is>
      </c>
      <c r="W198" t="inlineStr">
        <is>
          <t>5F5AADA2</t>
        </is>
      </c>
      <c r="X198">
        <f>IF($C198="","",IFERROR(IF(_xlfn.ISFORMULA($K198),"Rule","Manual"),""))</f>
        <v/>
      </c>
      <c r="Y198" s="19">
        <f>IF($C198="","",IF(ReportView=PersonA,N($Q198),IF(ReportView=PersonB,N($R198),$J198)))</f>
        <v/>
      </c>
    </row>
    <row r="199">
      <c r="B199">
        <f>IF($C199="","","T"&amp;TEXT(ROW()-ROW(tblTxn[[#Headers],[Txn ID]]),"000000"))</f>
        <v/>
      </c>
      <c r="C199" s="18" t="n">
        <v>46189</v>
      </c>
      <c r="D199">
        <f>IF($C199="","",TEXT($C199,"yyyy-mm"))</f>
        <v/>
      </c>
      <c r="E199" t="inlineStr">
        <is>
          <t>BMO Joint Chequing</t>
        </is>
      </c>
      <c r="F199">
        <f>IF($C199="","",IFERROR(INDEX(tblAccounts[Owner],MATCH($E199,tblAccounts[Account],0)),"Joint"))</f>
        <v/>
      </c>
      <c r="G199">
        <f>IF($C199="","",IF(HouseholdMode="Couple",IFERROR(IF(INDEX(tblCategories[Default Owner],MATCH($K199,tblCategories[Category],0))="",$F199,INDEX(tblCategories[Default Owner],MATCH($K199,tblCategories[Category],0))),$F199),$F199))</f>
        <v/>
      </c>
      <c r="H199" t="inlineStr">
        <is>
          <t>NETFLIX.COM MISC PAYMENT</t>
        </is>
      </c>
      <c r="I199">
        <f>IF($H199="","",$H199)</f>
        <v/>
      </c>
      <c r="J199" s="19" t="n">
        <v>-22.99</v>
      </c>
      <c r="K199">
        <f>IF($H199="","",IFERROR(INDEX(tblRules[Category],SUMPRODUCT(MIN((1-((tblRules[Enabled]&lt;&gt;"No")*(tblRules[Pattern]&lt;&gt;"")*(tblRules[Category]&lt;&gt;"")*((tblRules[Flow]="Any")+(tblRules[Flow]="")+((tblRules[Flow]="Money out")*($J199&lt;0))+((tblRules[Flow]="Money in")*($J199&gt;0)))*(((tblRules[Look In]="Account")*ISNUMBER(SEARCH(tblRules[Pattern],$E199)))+((tblRules[Look In]&lt;&gt;"Account")*(((tblRules[Test]="Word")*ISNUMBER(SEARCH(" "&amp;tblRules[Pattern]&amp;" "," "&amp;$H199&amp;" ")))+((tblRules[Test]&lt;&gt;"Word")*ISNUMBER(SEARCH(tblRules[Pattern],$H199))))))&gt;0))*1E+9+ROW(tblRules[Pattern])))-ROW(tblRules[[#Headers],[Pattern]])),"Uncategorized"))</f>
        <v/>
      </c>
      <c r="L199">
        <f>IF($C199="","",IFERROR(INDEX(tblCategories[Group],MATCH($K199,tblCategories[Category],0)),"Other"))</f>
        <v/>
      </c>
      <c r="M199">
        <f>IF($C199="","",IFERROR(INDEX(tblCategories[Type],MATCH($K199,tblCategories[Category],0)),IF($J199&gt;0,"Income","Expense")))</f>
        <v/>
      </c>
      <c r="N199">
        <f>IF($C199="","",IFERROR(INDEX(tblCategories[Essential],MATCH($K199,tblCategories[Category],0)),"No"))</f>
        <v/>
      </c>
      <c r="O199">
        <f>IF($C199="","",IFERROR(INDEX(tblCategories[Tax Tag],MATCH($K199,tblCategories[Category],0)),""))</f>
        <v/>
      </c>
      <c r="P199" s="20">
        <f>IF($C199="","",IF($G199=PersonA,1,IF($G199=PersonB,0,IFERROR(INDEX(tblCategories[Joint Split A],MATCH($K199,tblCategories[Category],0)),DefaultSplitA))))</f>
        <v/>
      </c>
      <c r="Q199" s="19">
        <f>IF($C199="","",ROUND($J199*N($P199),2))</f>
        <v/>
      </c>
      <c r="R199" s="19">
        <f>IF($C199="","",ROUND($J199-N($Q199),2))</f>
        <v/>
      </c>
      <c r="U199" t="inlineStr">
        <is>
          <t>sample-data</t>
        </is>
      </c>
      <c r="V199" t="inlineStr">
        <is>
          <t>SAMPLE</t>
        </is>
      </c>
      <c r="W199" t="inlineStr">
        <is>
          <t>6DB5E048</t>
        </is>
      </c>
      <c r="X199">
        <f>IF($C199="","",IFERROR(IF(_xlfn.ISFORMULA($K199),"Rule","Manual"),""))</f>
        <v/>
      </c>
      <c r="Y199" s="19">
        <f>IF($C199="","",IF(ReportView=PersonA,N($Q199),IF(ReportView=PersonB,N($R199),$J199)))</f>
        <v/>
      </c>
    </row>
    <row r="200">
      <c r="B200">
        <f>IF($C200="","","T"&amp;TEXT(ROW()-ROW(tblTxn[[#Headers],[Txn ID]]),"000000"))</f>
        <v/>
      </c>
      <c r="C200" s="18" t="n">
        <v>46189</v>
      </c>
      <c r="D200">
        <f>IF($C200="","",TEXT($C200,"yyyy-mm"))</f>
        <v/>
      </c>
      <c r="E200" t="inlineStr">
        <is>
          <t>RBC Chequing (Alex)</t>
        </is>
      </c>
      <c r="F200">
        <f>IF($C200="","",IFERROR(INDEX(tblAccounts[Owner],MATCH($E200,tblAccounts[Account],0)),"Joint"))</f>
        <v/>
      </c>
      <c r="G200">
        <f>IF($C200="","",IF(HouseholdMode="Couple",IFERROR(IF(INDEX(tblCategories[Default Owner],MATCH($K200,tblCategories[Category],0))="",$F200,INDEX(tblCategories[Default Owner],MATCH($K200,tblCategories[Category],0))),$F200),$F200))</f>
        <v/>
      </c>
      <c r="H200" t="inlineStr">
        <is>
          <t>PRESTO FARE/TRANSIT TORONTO ON</t>
        </is>
      </c>
      <c r="I200">
        <f>IF($H200="","",$H200)</f>
        <v/>
      </c>
      <c r="J200" s="19" t="n">
        <v>-72.31</v>
      </c>
      <c r="K200">
        <f>IF($H200="","",IFERROR(INDEX(tblRules[Category],SUMPRODUCT(MIN((1-((tblRules[Enabled]&lt;&gt;"No")*(tblRules[Pattern]&lt;&gt;"")*(tblRules[Category]&lt;&gt;"")*((tblRules[Flow]="Any")+(tblRules[Flow]="")+((tblRules[Flow]="Money out")*($J200&lt;0))+((tblRules[Flow]="Money in")*($J200&gt;0)))*(((tblRules[Look In]="Account")*ISNUMBER(SEARCH(tblRules[Pattern],$E200)))+((tblRules[Look In]&lt;&gt;"Account")*(((tblRules[Test]="Word")*ISNUMBER(SEARCH(" "&amp;tblRules[Pattern]&amp;" "," "&amp;$H200&amp;" ")))+((tblRules[Test]&lt;&gt;"Word")*ISNUMBER(SEARCH(tblRules[Pattern],$H200))))))&gt;0))*1E+9+ROW(tblRules[Pattern])))-ROW(tblRules[[#Headers],[Pattern]])),"Uncategorized"))</f>
        <v/>
      </c>
      <c r="L200">
        <f>IF($C200="","",IFERROR(INDEX(tblCategories[Group],MATCH($K200,tblCategories[Category],0)),"Other"))</f>
        <v/>
      </c>
      <c r="M200">
        <f>IF($C200="","",IFERROR(INDEX(tblCategories[Type],MATCH($K200,tblCategories[Category],0)),IF($J200&gt;0,"Income","Expense")))</f>
        <v/>
      </c>
      <c r="N200">
        <f>IF($C200="","",IFERROR(INDEX(tblCategories[Essential],MATCH($K200,tblCategories[Category],0)),"No"))</f>
        <v/>
      </c>
      <c r="O200">
        <f>IF($C200="","",IFERROR(INDEX(tblCategories[Tax Tag],MATCH($K200,tblCategories[Category],0)),""))</f>
        <v/>
      </c>
      <c r="P200" s="20">
        <f>IF($C200="","",IF($G200=PersonA,1,IF($G200=PersonB,0,IFERROR(INDEX(tblCategories[Joint Split A],MATCH($K200,tblCategories[Category],0)),DefaultSplitA))))</f>
        <v/>
      </c>
      <c r="Q200" s="19">
        <f>IF($C200="","",ROUND($J200*N($P200),2))</f>
        <v/>
      </c>
      <c r="R200" s="19">
        <f>IF($C200="","",ROUND($J200-N($Q200),2))</f>
        <v/>
      </c>
      <c r="U200" t="inlineStr">
        <is>
          <t>sample-data</t>
        </is>
      </c>
      <c r="V200" t="inlineStr">
        <is>
          <t>SAMPLE</t>
        </is>
      </c>
      <c r="W200" t="inlineStr">
        <is>
          <t>A1F8B0DF</t>
        </is>
      </c>
      <c r="X200">
        <f>IF($C200="","",IFERROR(IF(_xlfn.ISFORMULA($K200),"Rule","Manual"),""))</f>
        <v/>
      </c>
      <c r="Y200" s="19">
        <f>IF($C200="","",IF(ReportView=PersonA,N($Q200),IF(ReportView=PersonB,N($R200),$J200)))</f>
        <v/>
      </c>
    </row>
    <row r="201">
      <c r="B201">
        <f>IF($C201="","","T"&amp;TEXT(ROW()-ROW(tblTxn[[#Headers],[Txn ID]]),"000000"))</f>
        <v/>
      </c>
      <c r="C201" s="18" t="n">
        <v>46189</v>
      </c>
      <c r="D201">
        <f>IF($C201="","",TEXT($C201,"yyyy-mm"))</f>
        <v/>
      </c>
      <c r="E201" t="inlineStr">
        <is>
          <t>RBC Chequing (Alex)</t>
        </is>
      </c>
      <c r="F201">
        <f>IF($C201="","",IFERROR(INDEX(tblAccounts[Owner],MATCH($E201,tblAccounts[Account],0)),"Joint"))</f>
        <v/>
      </c>
      <c r="G201">
        <f>IF($C201="","",IF(HouseholdMode="Couple",IFERROR(IF(INDEX(tblCategories[Default Owner],MATCH($K201,tblCategories[Category],0))="",$F201,INDEX(tblCategories[Default Owner],MATCH($K201,tblCategories[Category],0))),$F201),$F201))</f>
        <v/>
      </c>
      <c r="H201" t="inlineStr">
        <is>
          <t>TRANSFER TO RRSP WEALTHSIMPLE</t>
        </is>
      </c>
      <c r="I201">
        <f>IF($H201="","",$H201)</f>
        <v/>
      </c>
      <c r="J201" s="19" t="n">
        <v>-450</v>
      </c>
      <c r="K201">
        <f>IF($H201="","",IFERROR(INDEX(tblRules[Category],SUMPRODUCT(MIN((1-((tblRules[Enabled]&lt;&gt;"No")*(tblRules[Pattern]&lt;&gt;"")*(tblRules[Category]&lt;&gt;"")*((tblRules[Flow]="Any")+(tblRules[Flow]="")+((tblRules[Flow]="Money out")*($J201&lt;0))+((tblRules[Flow]="Money in")*($J201&gt;0)))*(((tblRules[Look In]="Account")*ISNUMBER(SEARCH(tblRules[Pattern],$E201)))+((tblRules[Look In]&lt;&gt;"Account")*(((tblRules[Test]="Word")*ISNUMBER(SEARCH(" "&amp;tblRules[Pattern]&amp;" "," "&amp;$H201&amp;" ")))+((tblRules[Test]&lt;&gt;"Word")*ISNUMBER(SEARCH(tblRules[Pattern],$H201))))))&gt;0))*1E+9+ROW(tblRules[Pattern])))-ROW(tblRules[[#Headers],[Pattern]])),"Uncategorized"))</f>
        <v/>
      </c>
      <c r="L201">
        <f>IF($C201="","",IFERROR(INDEX(tblCategories[Group],MATCH($K201,tblCategories[Category],0)),"Other"))</f>
        <v/>
      </c>
      <c r="M201">
        <f>IF($C201="","",IFERROR(INDEX(tblCategories[Type],MATCH($K201,tblCategories[Category],0)),IF($J201&gt;0,"Income","Expense")))</f>
        <v/>
      </c>
      <c r="N201">
        <f>IF($C201="","",IFERROR(INDEX(tblCategories[Essential],MATCH($K201,tblCategories[Category],0)),"No"))</f>
        <v/>
      </c>
      <c r="O201">
        <f>IF($C201="","",IFERROR(INDEX(tblCategories[Tax Tag],MATCH($K201,tblCategories[Category],0)),""))</f>
        <v/>
      </c>
      <c r="P201" s="20">
        <f>IF($C201="","",IF($G201=PersonA,1,IF($G201=PersonB,0,IFERROR(INDEX(tblCategories[Joint Split A],MATCH($K201,tblCategories[Category],0)),DefaultSplitA))))</f>
        <v/>
      </c>
      <c r="Q201" s="19">
        <f>IF($C201="","",ROUND($J201*N($P201),2))</f>
        <v/>
      </c>
      <c r="R201" s="19">
        <f>IF($C201="","",ROUND($J201-N($Q201),2))</f>
        <v/>
      </c>
      <c r="U201" t="inlineStr">
        <is>
          <t>sample-data</t>
        </is>
      </c>
      <c r="V201" t="inlineStr">
        <is>
          <t>SAMPLE</t>
        </is>
      </c>
      <c r="W201" t="inlineStr">
        <is>
          <t>17F95832</t>
        </is>
      </c>
      <c r="X201">
        <f>IF($C201="","",IFERROR(IF(_xlfn.ISFORMULA($K201),"Rule","Manual"),""))</f>
        <v/>
      </c>
      <c r="Y201" s="19">
        <f>IF($C201="","",IF(ReportView=PersonA,N($Q201),IF(ReportView=PersonB,N($R201),$J201)))</f>
        <v/>
      </c>
    </row>
    <row r="202">
      <c r="B202">
        <f>IF($C202="","","T"&amp;TEXT(ROW()-ROW(tblTxn[[#Headers],[Txn ID]]),"000000"))</f>
        <v/>
      </c>
      <c r="C202" s="18" t="n">
        <v>46189</v>
      </c>
      <c r="D202">
        <f>IF($C202="","",TEXT($C202,"yyyy-mm"))</f>
        <v/>
      </c>
      <c r="E202" t="inlineStr">
        <is>
          <t>Tangerine Chequing (Sam)</t>
        </is>
      </c>
      <c r="F202">
        <f>IF($C202="","",IFERROR(INDEX(tblAccounts[Owner],MATCH($E202,tblAccounts[Account],0)),"Joint"))</f>
        <v/>
      </c>
      <c r="G202">
        <f>IF($C202="","",IF(HouseholdMode="Couple",IFERROR(IF(INDEX(tblCategories[Default Owner],MATCH($K202,tblCategories[Category],0))="",$F202,INDEX(tblCategories[Default Owner],MATCH($K202,tblCategories[Category],0))),$F202),$F202))</f>
        <v/>
      </c>
      <c r="H202" t="inlineStr">
        <is>
          <t>TFSA CONTRIBUTION TANGERINE INVESTMENT</t>
        </is>
      </c>
      <c r="I202">
        <f>IF($H202="","",$H202)</f>
        <v/>
      </c>
      <c r="J202" s="19" t="n">
        <v>-350</v>
      </c>
      <c r="K202">
        <f>IF($H202="","",IFERROR(INDEX(tblRules[Category],SUMPRODUCT(MIN((1-((tblRules[Enabled]&lt;&gt;"No")*(tblRules[Pattern]&lt;&gt;"")*(tblRules[Category]&lt;&gt;"")*((tblRules[Flow]="Any")+(tblRules[Flow]="")+((tblRules[Flow]="Money out")*($J202&lt;0))+((tblRules[Flow]="Money in")*($J202&gt;0)))*(((tblRules[Look In]="Account")*ISNUMBER(SEARCH(tblRules[Pattern],$E202)))+((tblRules[Look In]&lt;&gt;"Account")*(((tblRules[Test]="Word")*ISNUMBER(SEARCH(" "&amp;tblRules[Pattern]&amp;" "," "&amp;$H202&amp;" ")))+((tblRules[Test]&lt;&gt;"Word")*ISNUMBER(SEARCH(tblRules[Pattern],$H202))))))&gt;0))*1E+9+ROW(tblRules[Pattern])))-ROW(tblRules[[#Headers],[Pattern]])),"Uncategorized"))</f>
        <v/>
      </c>
      <c r="L202">
        <f>IF($C202="","",IFERROR(INDEX(tblCategories[Group],MATCH($K202,tblCategories[Category],0)),"Other"))</f>
        <v/>
      </c>
      <c r="M202">
        <f>IF($C202="","",IFERROR(INDEX(tblCategories[Type],MATCH($K202,tblCategories[Category],0)),IF($J202&gt;0,"Income","Expense")))</f>
        <v/>
      </c>
      <c r="N202">
        <f>IF($C202="","",IFERROR(INDEX(tblCategories[Essential],MATCH($K202,tblCategories[Category],0)),"No"))</f>
        <v/>
      </c>
      <c r="O202">
        <f>IF($C202="","",IFERROR(INDEX(tblCategories[Tax Tag],MATCH($K202,tblCategories[Category],0)),""))</f>
        <v/>
      </c>
      <c r="P202" s="20">
        <f>IF($C202="","",IF($G202=PersonA,1,IF($G202=PersonB,0,IFERROR(INDEX(tblCategories[Joint Split A],MATCH($K202,tblCategories[Category],0)),DefaultSplitA))))</f>
        <v/>
      </c>
      <c r="Q202" s="19">
        <f>IF($C202="","",ROUND($J202*N($P202),2))</f>
        <v/>
      </c>
      <c r="R202" s="19">
        <f>IF($C202="","",ROUND($J202-N($Q202),2))</f>
        <v/>
      </c>
      <c r="U202" t="inlineStr">
        <is>
          <t>sample-data</t>
        </is>
      </c>
      <c r="V202" t="inlineStr">
        <is>
          <t>SAMPLE</t>
        </is>
      </c>
      <c r="W202" t="inlineStr">
        <is>
          <t>56272C3A</t>
        </is>
      </c>
      <c r="X202">
        <f>IF($C202="","",IFERROR(IF(_xlfn.ISFORMULA($K202),"Rule","Manual"),""))</f>
        <v/>
      </c>
      <c r="Y202" s="19">
        <f>IF($C202="","",IF(ReportView=PersonA,N($Q202),IF(ReportView=PersonB,N($R202),$J202)))</f>
        <v/>
      </c>
    </row>
    <row r="203">
      <c r="B203">
        <f>IF($C203="","","T"&amp;TEXT(ROW()-ROW(tblTxn[[#Headers],[Txn ID]]),"000000"))</f>
        <v/>
      </c>
      <c r="C203" s="18" t="n">
        <v>46190</v>
      </c>
      <c r="D203">
        <f>IF($C203="","",TEXT($C203,"yyyy-mm"))</f>
        <v/>
      </c>
      <c r="E203" t="inlineStr">
        <is>
          <t>BMO Joint Chequing</t>
        </is>
      </c>
      <c r="F203">
        <f>IF($C203="","",IFERROR(INDEX(tblAccounts[Owner],MATCH($E203,tblAccounts[Account],0)),"Joint"))</f>
        <v/>
      </c>
      <c r="G203">
        <f>IF($C203="","",IF(HouseholdMode="Couple",IFERROR(IF(INDEX(tblCategories[Default Owner],MATCH($K203,tblCategories[Category],0))="",$F203,INDEX(tblCategories[Default Owner],MATCH($K203,tblCategories[Category],0))),$F203),$F203))</f>
        <v/>
      </c>
      <c r="H203" t="inlineStr">
        <is>
          <t>IDP PURCHASE - 5379 TIM HORTONS #423 TORONTO ON</t>
        </is>
      </c>
      <c r="I203">
        <f>IF($H203="","",$H203)</f>
        <v/>
      </c>
      <c r="J203" s="19" t="n">
        <v>-4.41</v>
      </c>
      <c r="K203">
        <f>IF($H203="","",IFERROR(INDEX(tblRules[Category],SUMPRODUCT(MIN((1-((tblRules[Enabled]&lt;&gt;"No")*(tblRules[Pattern]&lt;&gt;"")*(tblRules[Category]&lt;&gt;"")*((tblRules[Flow]="Any")+(tblRules[Flow]="")+((tblRules[Flow]="Money out")*($J203&lt;0))+((tblRules[Flow]="Money in")*($J203&gt;0)))*(((tblRules[Look In]="Account")*ISNUMBER(SEARCH(tblRules[Pattern],$E203)))+((tblRules[Look In]&lt;&gt;"Account")*(((tblRules[Test]="Word")*ISNUMBER(SEARCH(" "&amp;tblRules[Pattern]&amp;" "," "&amp;$H203&amp;" ")))+((tblRules[Test]&lt;&gt;"Word")*ISNUMBER(SEARCH(tblRules[Pattern],$H203))))))&gt;0))*1E+9+ROW(tblRules[Pattern])))-ROW(tblRules[[#Headers],[Pattern]])),"Uncategorized"))</f>
        <v/>
      </c>
      <c r="L203">
        <f>IF($C203="","",IFERROR(INDEX(tblCategories[Group],MATCH($K203,tblCategories[Category],0)),"Other"))</f>
        <v/>
      </c>
      <c r="M203">
        <f>IF($C203="","",IFERROR(INDEX(tblCategories[Type],MATCH($K203,tblCategories[Category],0)),IF($J203&gt;0,"Income","Expense")))</f>
        <v/>
      </c>
      <c r="N203">
        <f>IF($C203="","",IFERROR(INDEX(tblCategories[Essential],MATCH($K203,tblCategories[Category],0)),"No"))</f>
        <v/>
      </c>
      <c r="O203">
        <f>IF($C203="","",IFERROR(INDEX(tblCategories[Tax Tag],MATCH($K203,tblCategories[Category],0)),""))</f>
        <v/>
      </c>
      <c r="P203" s="20">
        <f>IF($C203="","",IF($G203=PersonA,1,IF($G203=PersonB,0,IFERROR(INDEX(tblCategories[Joint Split A],MATCH($K203,tblCategories[Category],0)),DefaultSplitA))))</f>
        <v/>
      </c>
      <c r="Q203" s="19">
        <f>IF($C203="","",ROUND($J203*N($P203),2))</f>
        <v/>
      </c>
      <c r="R203" s="19">
        <f>IF($C203="","",ROUND($J203-N($Q203),2))</f>
        <v/>
      </c>
      <c r="U203" t="inlineStr">
        <is>
          <t>sample-data</t>
        </is>
      </c>
      <c r="V203" t="inlineStr">
        <is>
          <t>SAMPLE</t>
        </is>
      </c>
      <c r="W203" t="inlineStr">
        <is>
          <t>16896DD9</t>
        </is>
      </c>
      <c r="X203">
        <f>IF($C203="","",IFERROR(IF(_xlfn.ISFORMULA($K203),"Rule","Manual"),""))</f>
        <v/>
      </c>
      <c r="Y203" s="19">
        <f>IF($C203="","",IF(ReportView=PersonA,N($Q203),IF(ReportView=PersonB,N($R203),$J203)))</f>
        <v/>
      </c>
    </row>
    <row r="204">
      <c r="B204">
        <f>IF($C204="","","T"&amp;TEXT(ROW()-ROW(tblTxn[[#Headers],[Txn ID]]),"000000"))</f>
        <v/>
      </c>
      <c r="C204" s="18" t="n">
        <v>46190</v>
      </c>
      <c r="D204">
        <f>IF($C204="","",TEXT($C204,"yyyy-mm"))</f>
        <v/>
      </c>
      <c r="E204" t="inlineStr">
        <is>
          <t>BMO Joint Chequing</t>
        </is>
      </c>
      <c r="F204">
        <f>IF($C204="","",IFERROR(INDEX(tblAccounts[Owner],MATCH($E204,tblAccounts[Account],0)),"Joint"))</f>
        <v/>
      </c>
      <c r="G204">
        <f>IF($C204="","",IF(HouseholdMode="Couple",IFERROR(IF(INDEX(tblCategories[Default Owner],MATCH($K204,tblCategories[Category],0))="",$F204,INDEX(tblCategories[Default Owner],MATCH($K204,tblCategories[Category],0))),$F204),$F204))</f>
        <v/>
      </c>
      <c r="H204" t="inlineStr">
        <is>
          <t>SPOTIFY P2C5 MISC PAYMENT</t>
        </is>
      </c>
      <c r="I204">
        <f>IF($H204="","",$H204)</f>
        <v/>
      </c>
      <c r="J204" s="19" t="n">
        <v>-16.99</v>
      </c>
      <c r="K204">
        <f>IF($H204="","",IFERROR(INDEX(tblRules[Category],SUMPRODUCT(MIN((1-((tblRules[Enabled]&lt;&gt;"No")*(tblRules[Pattern]&lt;&gt;"")*(tblRules[Category]&lt;&gt;"")*((tblRules[Flow]="Any")+(tblRules[Flow]="")+((tblRules[Flow]="Money out")*($J204&lt;0))+((tblRules[Flow]="Money in")*($J204&gt;0)))*(((tblRules[Look In]="Account")*ISNUMBER(SEARCH(tblRules[Pattern],$E204)))+((tblRules[Look In]&lt;&gt;"Account")*(((tblRules[Test]="Word")*ISNUMBER(SEARCH(" "&amp;tblRules[Pattern]&amp;" "," "&amp;$H204&amp;" ")))+((tblRules[Test]&lt;&gt;"Word")*ISNUMBER(SEARCH(tblRules[Pattern],$H204))))))&gt;0))*1E+9+ROW(tblRules[Pattern])))-ROW(tblRules[[#Headers],[Pattern]])),"Uncategorized"))</f>
        <v/>
      </c>
      <c r="L204">
        <f>IF($C204="","",IFERROR(INDEX(tblCategories[Group],MATCH($K204,tblCategories[Category],0)),"Other"))</f>
        <v/>
      </c>
      <c r="M204">
        <f>IF($C204="","",IFERROR(INDEX(tblCategories[Type],MATCH($K204,tblCategories[Category],0)),IF($J204&gt;0,"Income","Expense")))</f>
        <v/>
      </c>
      <c r="N204">
        <f>IF($C204="","",IFERROR(INDEX(tblCategories[Essential],MATCH($K204,tblCategories[Category],0)),"No"))</f>
        <v/>
      </c>
      <c r="O204">
        <f>IF($C204="","",IFERROR(INDEX(tblCategories[Tax Tag],MATCH($K204,tblCategories[Category],0)),""))</f>
        <v/>
      </c>
      <c r="P204" s="20">
        <f>IF($C204="","",IF($G204=PersonA,1,IF($G204=PersonB,0,IFERROR(INDEX(tblCategories[Joint Split A],MATCH($K204,tblCategories[Category],0)),DefaultSplitA))))</f>
        <v/>
      </c>
      <c r="Q204" s="19">
        <f>IF($C204="","",ROUND($J204*N($P204),2))</f>
        <v/>
      </c>
      <c r="R204" s="19">
        <f>IF($C204="","",ROUND($J204-N($Q204),2))</f>
        <v/>
      </c>
      <c r="U204" t="inlineStr">
        <is>
          <t>sample-data</t>
        </is>
      </c>
      <c r="V204" t="inlineStr">
        <is>
          <t>SAMPLE</t>
        </is>
      </c>
      <c r="W204" t="inlineStr">
        <is>
          <t>C654E5AB</t>
        </is>
      </c>
      <c r="X204">
        <f>IF($C204="","",IFERROR(IF(_xlfn.ISFORMULA($K204),"Rule","Manual"),""))</f>
        <v/>
      </c>
      <c r="Y204" s="19">
        <f>IF($C204="","",IF(ReportView=PersonA,N($Q204),IF(ReportView=PersonB,N($R204),$J204)))</f>
        <v/>
      </c>
    </row>
    <row r="205">
      <c r="B205">
        <f>IF($C205="","","T"&amp;TEXT(ROW()-ROW(tblTxn[[#Headers],[Txn ID]]),"000000"))</f>
        <v/>
      </c>
      <c r="C205" s="18" t="n">
        <v>46191</v>
      </c>
      <c r="D205">
        <f>IF($C205="","",TEXT($C205,"yyyy-mm"))</f>
        <v/>
      </c>
      <c r="E205" t="inlineStr">
        <is>
          <t>BMO Joint Chequing</t>
        </is>
      </c>
      <c r="F205">
        <f>IF($C205="","",IFERROR(INDEX(tblAccounts[Owner],MATCH($E205,tblAccounts[Account],0)),"Joint"))</f>
        <v/>
      </c>
      <c r="G205">
        <f>IF($C205="","",IF(HouseholdMode="Couple",IFERROR(IF(INDEX(tblCategories[Default Owner],MATCH($K205,tblCategories[Category],0))="",$F205,INDEX(tblCategories[Default Owner],MATCH($K205,tblCategories[Category],0))),$F205),$F205))</f>
        <v/>
      </c>
      <c r="H205" t="inlineStr">
        <is>
          <t>RESP CONTRIBUTION CST SAVINGS</t>
        </is>
      </c>
      <c r="I205">
        <f>IF($H205="","",$H205)</f>
        <v/>
      </c>
      <c r="J205" s="19" t="n">
        <v>-208.33</v>
      </c>
      <c r="K205">
        <f>IF($H205="","",IFERROR(INDEX(tblRules[Category],SUMPRODUCT(MIN((1-((tblRules[Enabled]&lt;&gt;"No")*(tblRules[Pattern]&lt;&gt;"")*(tblRules[Category]&lt;&gt;"")*((tblRules[Flow]="Any")+(tblRules[Flow]="")+((tblRules[Flow]="Money out")*($J205&lt;0))+((tblRules[Flow]="Money in")*($J205&gt;0)))*(((tblRules[Look In]="Account")*ISNUMBER(SEARCH(tblRules[Pattern],$E205)))+((tblRules[Look In]&lt;&gt;"Account")*(((tblRules[Test]="Word")*ISNUMBER(SEARCH(" "&amp;tblRules[Pattern]&amp;" "," "&amp;$H205&amp;" ")))+((tblRules[Test]&lt;&gt;"Word")*ISNUMBER(SEARCH(tblRules[Pattern],$H205))))))&gt;0))*1E+9+ROW(tblRules[Pattern])))-ROW(tblRules[[#Headers],[Pattern]])),"Uncategorized"))</f>
        <v/>
      </c>
      <c r="L205">
        <f>IF($C205="","",IFERROR(INDEX(tblCategories[Group],MATCH($K205,tblCategories[Category],0)),"Other"))</f>
        <v/>
      </c>
      <c r="M205">
        <f>IF($C205="","",IFERROR(INDEX(tblCategories[Type],MATCH($K205,tblCategories[Category],0)),IF($J205&gt;0,"Income","Expense")))</f>
        <v/>
      </c>
      <c r="N205">
        <f>IF($C205="","",IFERROR(INDEX(tblCategories[Essential],MATCH($K205,tblCategories[Category],0)),"No"))</f>
        <v/>
      </c>
      <c r="O205">
        <f>IF($C205="","",IFERROR(INDEX(tblCategories[Tax Tag],MATCH($K205,tblCategories[Category],0)),""))</f>
        <v/>
      </c>
      <c r="P205" s="20">
        <f>IF($C205="","",IF($G205=PersonA,1,IF($G205=PersonB,0,IFERROR(INDEX(tblCategories[Joint Split A],MATCH($K205,tblCategories[Category],0)),DefaultSplitA))))</f>
        <v/>
      </c>
      <c r="Q205" s="19">
        <f>IF($C205="","",ROUND($J205*N($P205),2))</f>
        <v/>
      </c>
      <c r="R205" s="19">
        <f>IF($C205="","",ROUND($J205-N($Q205),2))</f>
        <v/>
      </c>
      <c r="U205" t="inlineStr">
        <is>
          <t>sample-data</t>
        </is>
      </c>
      <c r="V205" t="inlineStr">
        <is>
          <t>SAMPLE</t>
        </is>
      </c>
      <c r="W205" t="inlineStr">
        <is>
          <t>43B14596</t>
        </is>
      </c>
      <c r="X205">
        <f>IF($C205="","",IFERROR(IF(_xlfn.ISFORMULA($K205),"Rule","Manual"),""))</f>
        <v/>
      </c>
      <c r="Y205" s="19">
        <f>IF($C205="","",IF(ReportView=PersonA,N($Q205),IF(ReportView=PersonB,N($R205),$J205)))</f>
        <v/>
      </c>
    </row>
    <row r="206">
      <c r="B206">
        <f>IF($C206="","","T"&amp;TEXT(ROW()-ROW(tblTxn[[#Headers],[Txn ID]]),"000000"))</f>
        <v/>
      </c>
      <c r="C206" s="18" t="n">
        <v>46193</v>
      </c>
      <c r="D206">
        <f>IF($C206="","",TEXT($C206,"yyyy-mm"))</f>
        <v/>
      </c>
      <c r="E206" t="inlineStr">
        <is>
          <t>BMO Joint Chequing</t>
        </is>
      </c>
      <c r="F206">
        <f>IF($C206="","",IFERROR(INDEX(tblAccounts[Owner],MATCH($E206,tblAccounts[Account],0)),"Joint"))</f>
        <v/>
      </c>
      <c r="G206">
        <f>IF($C206="","",IF(HouseholdMode="Couple",IFERROR(IF(INDEX(tblCategories[Default Owner],MATCH($K206,tblCategories[Category],0))="",$F206,INDEX(tblCategories[Default Owner],MATCH($K206,tblCategories[Category],0))),$F206),$F206))</f>
        <v/>
      </c>
      <c r="H206" t="inlineStr">
        <is>
          <t>CANADA FED / FED CCB DEPOSIT</t>
        </is>
      </c>
      <c r="I206">
        <f>IF($H206="","",$H206)</f>
        <v/>
      </c>
      <c r="J206" s="19" t="n">
        <v>619.75</v>
      </c>
      <c r="K206">
        <f>IF($H206="","",IFERROR(INDEX(tblRules[Category],SUMPRODUCT(MIN((1-((tblRules[Enabled]&lt;&gt;"No")*(tblRules[Pattern]&lt;&gt;"")*(tblRules[Category]&lt;&gt;"")*((tblRules[Flow]="Any")+(tblRules[Flow]="")+((tblRules[Flow]="Money out")*($J206&lt;0))+((tblRules[Flow]="Money in")*($J206&gt;0)))*(((tblRules[Look In]="Account")*ISNUMBER(SEARCH(tblRules[Pattern],$E206)))+((tblRules[Look In]&lt;&gt;"Account")*(((tblRules[Test]="Word")*ISNUMBER(SEARCH(" "&amp;tblRules[Pattern]&amp;" "," "&amp;$H206&amp;" ")))+((tblRules[Test]&lt;&gt;"Word")*ISNUMBER(SEARCH(tblRules[Pattern],$H206))))))&gt;0))*1E+9+ROW(tblRules[Pattern])))-ROW(tblRules[[#Headers],[Pattern]])),"Uncategorized"))</f>
        <v/>
      </c>
      <c r="L206">
        <f>IF($C206="","",IFERROR(INDEX(tblCategories[Group],MATCH($K206,tblCategories[Category],0)),"Other"))</f>
        <v/>
      </c>
      <c r="M206">
        <f>IF($C206="","",IFERROR(INDEX(tblCategories[Type],MATCH($K206,tblCategories[Category],0)),IF($J206&gt;0,"Income","Expense")))</f>
        <v/>
      </c>
      <c r="N206">
        <f>IF($C206="","",IFERROR(INDEX(tblCategories[Essential],MATCH($K206,tblCategories[Category],0)),"No"))</f>
        <v/>
      </c>
      <c r="O206">
        <f>IF($C206="","",IFERROR(INDEX(tblCategories[Tax Tag],MATCH($K206,tblCategories[Category],0)),""))</f>
        <v/>
      </c>
      <c r="P206" s="20">
        <f>IF($C206="","",IF($G206=PersonA,1,IF($G206=PersonB,0,IFERROR(INDEX(tblCategories[Joint Split A],MATCH($K206,tblCategories[Category],0)),DefaultSplitA))))</f>
        <v/>
      </c>
      <c r="Q206" s="19">
        <f>IF($C206="","",ROUND($J206*N($P206),2))</f>
        <v/>
      </c>
      <c r="R206" s="19">
        <f>IF($C206="","",ROUND($J206-N($Q206),2))</f>
        <v/>
      </c>
      <c r="U206" t="inlineStr">
        <is>
          <t>sample-data</t>
        </is>
      </c>
      <c r="V206" t="inlineStr">
        <is>
          <t>SAMPLE</t>
        </is>
      </c>
      <c r="W206" t="inlineStr">
        <is>
          <t>99CEFE36</t>
        </is>
      </c>
      <c r="X206">
        <f>IF($C206="","",IFERROR(IF(_xlfn.ISFORMULA($K206),"Rule","Manual"),""))</f>
        <v/>
      </c>
      <c r="Y206" s="19">
        <f>IF($C206="","",IF(ReportView=PersonA,N($Q206),IF(ReportView=PersonB,N($R206),$J206)))</f>
        <v/>
      </c>
    </row>
    <row r="207">
      <c r="B207">
        <f>IF($C207="","","T"&amp;TEXT(ROW()-ROW(tblTxn[[#Headers],[Txn ID]]),"000000"))</f>
        <v/>
      </c>
      <c r="C207" s="18" t="n">
        <v>46194</v>
      </c>
      <c r="D207">
        <f>IF($C207="","",TEXT($C207,"yyyy-mm"))</f>
        <v/>
      </c>
      <c r="E207" t="inlineStr">
        <is>
          <t>Amex Cobalt (Joint)</t>
        </is>
      </c>
      <c r="F207">
        <f>IF($C207="","",IFERROR(INDEX(tblAccounts[Owner],MATCH($E207,tblAccounts[Account],0)),"Joint"))</f>
        <v/>
      </c>
      <c r="G207">
        <f>IF($C207="","",IF(HouseholdMode="Couple",IFERROR(IF(INDEX(tblCategories[Default Owner],MATCH($K207,tblCategories[Category],0))="",$F207,INDEX(tblCategories[Default Owner],MATCH($K207,tblCategories[Category],0))),$F207),$F207))</f>
        <v/>
      </c>
      <c r="H207" t="inlineStr">
        <is>
          <t>IDP PURCHASE - 2111 TIM HORTONS #1514 TORONTO ON</t>
        </is>
      </c>
      <c r="I207">
        <f>IF($H207="","",$H207)</f>
        <v/>
      </c>
      <c r="J207" s="19" t="n">
        <v>-8.06</v>
      </c>
      <c r="K207">
        <f>IF($H207="","",IFERROR(INDEX(tblRules[Category],SUMPRODUCT(MIN((1-((tblRules[Enabled]&lt;&gt;"No")*(tblRules[Pattern]&lt;&gt;"")*(tblRules[Category]&lt;&gt;"")*((tblRules[Flow]="Any")+(tblRules[Flow]="")+((tblRules[Flow]="Money out")*($J207&lt;0))+((tblRules[Flow]="Money in")*($J207&gt;0)))*(((tblRules[Look In]="Account")*ISNUMBER(SEARCH(tblRules[Pattern],$E207)))+((tblRules[Look In]&lt;&gt;"Account")*(((tblRules[Test]="Word")*ISNUMBER(SEARCH(" "&amp;tblRules[Pattern]&amp;" "," "&amp;$H207&amp;" ")))+((tblRules[Test]&lt;&gt;"Word")*ISNUMBER(SEARCH(tblRules[Pattern],$H207))))))&gt;0))*1E+9+ROW(tblRules[Pattern])))-ROW(tblRules[[#Headers],[Pattern]])),"Uncategorized"))</f>
        <v/>
      </c>
      <c r="L207">
        <f>IF($C207="","",IFERROR(INDEX(tblCategories[Group],MATCH($K207,tblCategories[Category],0)),"Other"))</f>
        <v/>
      </c>
      <c r="M207">
        <f>IF($C207="","",IFERROR(INDEX(tblCategories[Type],MATCH($K207,tblCategories[Category],0)),IF($J207&gt;0,"Income","Expense")))</f>
        <v/>
      </c>
      <c r="N207">
        <f>IF($C207="","",IFERROR(INDEX(tblCategories[Essential],MATCH($K207,tblCategories[Category],0)),"No"))</f>
        <v/>
      </c>
      <c r="O207">
        <f>IF($C207="","",IFERROR(INDEX(tblCategories[Tax Tag],MATCH($K207,tblCategories[Category],0)),""))</f>
        <v/>
      </c>
      <c r="P207" s="20">
        <f>IF($C207="","",IF($G207=PersonA,1,IF($G207=PersonB,0,IFERROR(INDEX(tblCategories[Joint Split A],MATCH($K207,tblCategories[Category],0)),DefaultSplitA))))</f>
        <v/>
      </c>
      <c r="Q207" s="19">
        <f>IF($C207="","",ROUND($J207*N($P207),2))</f>
        <v/>
      </c>
      <c r="R207" s="19">
        <f>IF($C207="","",ROUND($J207-N($Q207),2))</f>
        <v/>
      </c>
      <c r="U207" t="inlineStr">
        <is>
          <t>sample-data</t>
        </is>
      </c>
      <c r="V207" t="inlineStr">
        <is>
          <t>SAMPLE</t>
        </is>
      </c>
      <c r="W207" t="inlineStr">
        <is>
          <t>36112565</t>
        </is>
      </c>
      <c r="X207">
        <f>IF($C207="","",IFERROR(IF(_xlfn.ISFORMULA($K207),"Rule","Manual"),""))</f>
        <v/>
      </c>
      <c r="Y207" s="19">
        <f>IF($C207="","",IF(ReportView=PersonA,N($Q207),IF(ReportView=PersonB,N($R207),$J207)))</f>
        <v/>
      </c>
    </row>
    <row r="208">
      <c r="B208">
        <f>IF($C208="","","T"&amp;TEXT(ROW()-ROW(tblTxn[[#Headers],[Txn ID]]),"000000"))</f>
        <v/>
      </c>
      <c r="C208" s="18" t="n">
        <v>46195</v>
      </c>
      <c r="D208">
        <f>IF($C208="","",TEXT($C208,"yyyy-mm"))</f>
        <v/>
      </c>
      <c r="E208" t="inlineStr">
        <is>
          <t>Tangerine Chequing (Sam)</t>
        </is>
      </c>
      <c r="F208">
        <f>IF($C208="","",IFERROR(INDEX(tblAccounts[Owner],MATCH($E208,tblAccounts[Account],0)),"Joint"))</f>
        <v/>
      </c>
      <c r="G208">
        <f>IF($C208="","",IF(HouseholdMode="Couple",IFERROR(IF(INDEX(tblCategories[Default Owner],MATCH($K208,tblCategories[Category],0))="",$F208,INDEX(tblCategories[Default Owner],MATCH($K208,tblCategories[Category],0))),$F208),$F208))</f>
        <v/>
      </c>
      <c r="H208" t="inlineStr">
        <is>
          <t>DONATION UNITED WAY MISC PAYMENT</t>
        </is>
      </c>
      <c r="I208">
        <f>IF($H208="","",$H208)</f>
        <v/>
      </c>
      <c r="J208" s="19" t="n">
        <v>-50</v>
      </c>
      <c r="K208">
        <f>IF($H208="","",IFERROR(INDEX(tblRules[Category],SUMPRODUCT(MIN((1-((tblRules[Enabled]&lt;&gt;"No")*(tblRules[Pattern]&lt;&gt;"")*(tblRules[Category]&lt;&gt;"")*((tblRules[Flow]="Any")+(tblRules[Flow]="")+((tblRules[Flow]="Money out")*($J208&lt;0))+((tblRules[Flow]="Money in")*($J208&gt;0)))*(((tblRules[Look In]="Account")*ISNUMBER(SEARCH(tblRules[Pattern],$E208)))+((tblRules[Look In]&lt;&gt;"Account")*(((tblRules[Test]="Word")*ISNUMBER(SEARCH(" "&amp;tblRules[Pattern]&amp;" "," "&amp;$H208&amp;" ")))+((tblRules[Test]&lt;&gt;"Word")*ISNUMBER(SEARCH(tblRules[Pattern],$H208))))))&gt;0))*1E+9+ROW(tblRules[Pattern])))-ROW(tblRules[[#Headers],[Pattern]])),"Uncategorized"))</f>
        <v/>
      </c>
      <c r="L208">
        <f>IF($C208="","",IFERROR(INDEX(tblCategories[Group],MATCH($K208,tblCategories[Category],0)),"Other"))</f>
        <v/>
      </c>
      <c r="M208">
        <f>IF($C208="","",IFERROR(INDEX(tblCategories[Type],MATCH($K208,tblCategories[Category],0)),IF($J208&gt;0,"Income","Expense")))</f>
        <v/>
      </c>
      <c r="N208">
        <f>IF($C208="","",IFERROR(INDEX(tblCategories[Essential],MATCH($K208,tblCategories[Category],0)),"No"))</f>
        <v/>
      </c>
      <c r="O208">
        <f>IF($C208="","",IFERROR(INDEX(tblCategories[Tax Tag],MATCH($K208,tblCategories[Category],0)),""))</f>
        <v/>
      </c>
      <c r="P208" s="20">
        <f>IF($C208="","",IF($G208=PersonA,1,IF($G208=PersonB,0,IFERROR(INDEX(tblCategories[Joint Split A],MATCH($K208,tblCategories[Category],0)),DefaultSplitA))))</f>
        <v/>
      </c>
      <c r="Q208" s="19">
        <f>IF($C208="","",ROUND($J208*N($P208),2))</f>
        <v/>
      </c>
      <c r="R208" s="19">
        <f>IF($C208="","",ROUND($J208-N($Q208),2))</f>
        <v/>
      </c>
      <c r="U208" t="inlineStr">
        <is>
          <t>sample-data</t>
        </is>
      </c>
      <c r="V208" t="inlineStr">
        <is>
          <t>SAMPLE</t>
        </is>
      </c>
      <c r="W208" t="inlineStr">
        <is>
          <t>2AD6B470</t>
        </is>
      </c>
      <c r="X208">
        <f>IF($C208="","",IFERROR(IF(_xlfn.ISFORMULA($K208),"Rule","Manual"),""))</f>
        <v/>
      </c>
      <c r="Y208" s="19">
        <f>IF($C208="","",IF(ReportView=PersonA,N($Q208),IF(ReportView=PersonB,N($R208),$J208)))</f>
        <v/>
      </c>
    </row>
    <row r="209">
      <c r="B209">
        <f>IF($C209="","","T"&amp;TEXT(ROW()-ROW(tblTxn[[#Headers],[Txn ID]]),"000000"))</f>
        <v/>
      </c>
      <c r="C209" s="18" t="n">
        <v>46196</v>
      </c>
      <c r="D209">
        <f>IF($C209="","",TEXT($C209,"yyyy-mm"))</f>
        <v/>
      </c>
      <c r="E209" t="inlineStr">
        <is>
          <t>Amex Cobalt (Joint)</t>
        </is>
      </c>
      <c r="F209">
        <f>IF($C209="","",IFERROR(INDEX(tblAccounts[Owner],MATCH($E209,tblAccounts[Account],0)),"Joint"))</f>
        <v/>
      </c>
      <c r="G209">
        <f>IF($C209="","",IF(HouseholdMode="Couple",IFERROR(IF(INDEX(tblCategories[Default Owner],MATCH($K209,tblCategories[Category],0))="",$F209,INDEX(tblCategories[Default Owner],MATCH($K209,tblCategories[Category],0))),$F209),$F209))</f>
        <v/>
      </c>
      <c r="H209" t="inlineStr">
        <is>
          <t>IDP PURCHASE - 5633 TIM HORTONS #3308 TORONTO ON</t>
        </is>
      </c>
      <c r="I209">
        <f>IF($H209="","",$H209)</f>
        <v/>
      </c>
      <c r="J209" s="19" t="n">
        <v>-12.17</v>
      </c>
      <c r="K209">
        <f>IF($H209="","",IFERROR(INDEX(tblRules[Category],SUMPRODUCT(MIN((1-((tblRules[Enabled]&lt;&gt;"No")*(tblRules[Pattern]&lt;&gt;"")*(tblRules[Category]&lt;&gt;"")*((tblRules[Flow]="Any")+(tblRules[Flow]="")+((tblRules[Flow]="Money out")*($J209&lt;0))+((tblRules[Flow]="Money in")*($J209&gt;0)))*(((tblRules[Look In]="Account")*ISNUMBER(SEARCH(tblRules[Pattern],$E209)))+((tblRules[Look In]&lt;&gt;"Account")*(((tblRules[Test]="Word")*ISNUMBER(SEARCH(" "&amp;tblRules[Pattern]&amp;" "," "&amp;$H209&amp;" ")))+((tblRules[Test]&lt;&gt;"Word")*ISNUMBER(SEARCH(tblRules[Pattern],$H209))))))&gt;0))*1E+9+ROW(tblRules[Pattern])))-ROW(tblRules[[#Headers],[Pattern]])),"Uncategorized"))</f>
        <v/>
      </c>
      <c r="L209">
        <f>IF($C209="","",IFERROR(INDEX(tblCategories[Group],MATCH($K209,tblCategories[Category],0)),"Other"))</f>
        <v/>
      </c>
      <c r="M209">
        <f>IF($C209="","",IFERROR(INDEX(tblCategories[Type],MATCH($K209,tblCategories[Category],0)),IF($J209&gt;0,"Income","Expense")))</f>
        <v/>
      </c>
      <c r="N209">
        <f>IF($C209="","",IFERROR(INDEX(tblCategories[Essential],MATCH($K209,tblCategories[Category],0)),"No"))</f>
        <v/>
      </c>
      <c r="O209">
        <f>IF($C209="","",IFERROR(INDEX(tblCategories[Tax Tag],MATCH($K209,tblCategories[Category],0)),""))</f>
        <v/>
      </c>
      <c r="P209" s="20">
        <f>IF($C209="","",IF($G209=PersonA,1,IF($G209=PersonB,0,IFERROR(INDEX(tblCategories[Joint Split A],MATCH($K209,tblCategories[Category],0)),DefaultSplitA))))</f>
        <v/>
      </c>
      <c r="Q209" s="19">
        <f>IF($C209="","",ROUND($J209*N($P209),2))</f>
        <v/>
      </c>
      <c r="R209" s="19">
        <f>IF($C209="","",ROUND($J209-N($Q209),2))</f>
        <v/>
      </c>
      <c r="U209" t="inlineStr">
        <is>
          <t>sample-data</t>
        </is>
      </c>
      <c r="V209" t="inlineStr">
        <is>
          <t>SAMPLE</t>
        </is>
      </c>
      <c r="W209" t="inlineStr">
        <is>
          <t>E3F3E24F</t>
        </is>
      </c>
      <c r="X209">
        <f>IF($C209="","",IFERROR(IF(_xlfn.ISFORMULA($K209),"Rule","Manual"),""))</f>
        <v/>
      </c>
      <c r="Y209" s="19">
        <f>IF($C209="","",IF(ReportView=PersonA,N($Q209),IF(ReportView=PersonB,N($R209),$J209)))</f>
        <v/>
      </c>
    </row>
    <row r="210">
      <c r="B210">
        <f>IF($C210="","","T"&amp;TEXT(ROW()-ROW(tblTxn[[#Headers],[Txn ID]]),"000000"))</f>
        <v/>
      </c>
      <c r="C210" s="18" t="n">
        <v>46199</v>
      </c>
      <c r="D210">
        <f>IF($C210="","",TEXT($C210,"yyyy-mm"))</f>
        <v/>
      </c>
      <c r="E210" t="inlineStr">
        <is>
          <t>Amex Cobalt (Joint)</t>
        </is>
      </c>
      <c r="F210">
        <f>IF($C210="","",IFERROR(INDEX(tblAccounts[Owner],MATCH($E210,tblAccounts[Account],0)),"Joint"))</f>
        <v/>
      </c>
      <c r="G210">
        <f>IF($C210="","",IF(HouseholdMode="Couple",IFERROR(IF(INDEX(tblCategories[Default Owner],MATCH($K210,tblCategories[Category],0))="",$F210,INDEX(tblCategories[Default Owner],MATCH($K210,tblCategories[Category],0))),$F210),$F210))</f>
        <v/>
      </c>
      <c r="H210" t="inlineStr">
        <is>
          <t>AMZ*UBER EATS TORONTO ON</t>
        </is>
      </c>
      <c r="I210">
        <f>IF($H210="","",$H210)</f>
        <v/>
      </c>
      <c r="J210" s="19" t="n">
        <v>-52.32</v>
      </c>
      <c r="K210">
        <f>IF($H210="","",IFERROR(INDEX(tblRules[Category],SUMPRODUCT(MIN((1-((tblRules[Enabled]&lt;&gt;"No")*(tblRules[Pattern]&lt;&gt;"")*(tblRules[Category]&lt;&gt;"")*((tblRules[Flow]="Any")+(tblRules[Flow]="")+((tblRules[Flow]="Money out")*($J210&lt;0))+((tblRules[Flow]="Money in")*($J210&gt;0)))*(((tblRules[Look In]="Account")*ISNUMBER(SEARCH(tblRules[Pattern],$E210)))+((tblRules[Look In]&lt;&gt;"Account")*(((tblRules[Test]="Word")*ISNUMBER(SEARCH(" "&amp;tblRules[Pattern]&amp;" "," "&amp;$H210&amp;" ")))+((tblRules[Test]&lt;&gt;"Word")*ISNUMBER(SEARCH(tblRules[Pattern],$H210))))))&gt;0))*1E+9+ROW(tblRules[Pattern])))-ROW(tblRules[[#Headers],[Pattern]])),"Uncategorized"))</f>
        <v/>
      </c>
      <c r="L210">
        <f>IF($C210="","",IFERROR(INDEX(tblCategories[Group],MATCH($K210,tblCategories[Category],0)),"Other"))</f>
        <v/>
      </c>
      <c r="M210">
        <f>IF($C210="","",IFERROR(INDEX(tblCategories[Type],MATCH($K210,tblCategories[Category],0)),IF($J210&gt;0,"Income","Expense")))</f>
        <v/>
      </c>
      <c r="N210">
        <f>IF($C210="","",IFERROR(INDEX(tblCategories[Essential],MATCH($K210,tblCategories[Category],0)),"No"))</f>
        <v/>
      </c>
      <c r="O210">
        <f>IF($C210="","",IFERROR(INDEX(tblCategories[Tax Tag],MATCH($K210,tblCategories[Category],0)),""))</f>
        <v/>
      </c>
      <c r="P210" s="20">
        <f>IF($C210="","",IF($G210=PersonA,1,IF($G210=PersonB,0,IFERROR(INDEX(tblCategories[Joint Split A],MATCH($K210,tblCategories[Category],0)),DefaultSplitA))))</f>
        <v/>
      </c>
      <c r="Q210" s="19">
        <f>IF($C210="","",ROUND($J210*N($P210),2))</f>
        <v/>
      </c>
      <c r="R210" s="19">
        <f>IF($C210="","",ROUND($J210-N($Q210),2))</f>
        <v/>
      </c>
      <c r="U210" t="inlineStr">
        <is>
          <t>sample-data</t>
        </is>
      </c>
      <c r="V210" t="inlineStr">
        <is>
          <t>SAMPLE</t>
        </is>
      </c>
      <c r="W210" t="inlineStr">
        <is>
          <t>B11D282C</t>
        </is>
      </c>
      <c r="X210">
        <f>IF($C210="","",IFERROR(IF(_xlfn.ISFORMULA($K210),"Rule","Manual"),""))</f>
        <v/>
      </c>
      <c r="Y210" s="19">
        <f>IF($C210="","",IF(ReportView=PersonA,N($Q210),IF(ReportView=PersonB,N($R210),$J210)))</f>
        <v/>
      </c>
    </row>
    <row r="211">
      <c r="B211">
        <f>IF($C211="","","T"&amp;TEXT(ROW()-ROW(tblTxn[[#Headers],[Txn ID]]),"000000"))</f>
        <v/>
      </c>
      <c r="C211" s="18" t="n">
        <v>46199</v>
      </c>
      <c r="D211">
        <f>IF($C211="","",TEXT($C211,"yyyy-mm"))</f>
        <v/>
      </c>
      <c r="E211" t="inlineStr">
        <is>
          <t>Amex Cobalt (Joint)</t>
        </is>
      </c>
      <c r="F211">
        <f>IF($C211="","",IFERROR(INDEX(tblAccounts[Owner],MATCH($E211,tblAccounts[Account],0)),"Joint"))</f>
        <v/>
      </c>
      <c r="G211">
        <f>IF($C211="","",IF(HouseholdMode="Couple",IFERROR(IF(INDEX(tblCategories[Default Owner],MATCH($K211,tblCategories[Category],0))="",$F211,INDEX(tblCategories[Default Owner],MATCH($K211,tblCategories[Category],0))),$F211),$F211))</f>
        <v/>
      </c>
      <c r="H211" t="inlineStr">
        <is>
          <t>IDP PURCHASE - 7841 LOBLAWS #420 TORONTO ON</t>
        </is>
      </c>
      <c r="I211">
        <f>IF($H211="","",$H211)</f>
        <v/>
      </c>
      <c r="J211" s="19" t="n">
        <v>-120.86</v>
      </c>
      <c r="K211">
        <f>IF($H211="","",IFERROR(INDEX(tblRules[Category],SUMPRODUCT(MIN((1-((tblRules[Enabled]&lt;&gt;"No")*(tblRules[Pattern]&lt;&gt;"")*(tblRules[Category]&lt;&gt;"")*((tblRules[Flow]="Any")+(tblRules[Flow]="")+((tblRules[Flow]="Money out")*($J211&lt;0))+((tblRules[Flow]="Money in")*($J211&gt;0)))*(((tblRules[Look In]="Account")*ISNUMBER(SEARCH(tblRules[Pattern],$E211)))+((tblRules[Look In]&lt;&gt;"Account")*(((tblRules[Test]="Word")*ISNUMBER(SEARCH(" "&amp;tblRules[Pattern]&amp;" "," "&amp;$H211&amp;" ")))+((tblRules[Test]&lt;&gt;"Word")*ISNUMBER(SEARCH(tblRules[Pattern],$H211))))))&gt;0))*1E+9+ROW(tblRules[Pattern])))-ROW(tblRules[[#Headers],[Pattern]])),"Uncategorized"))</f>
        <v/>
      </c>
      <c r="L211">
        <f>IF($C211="","",IFERROR(INDEX(tblCategories[Group],MATCH($K211,tblCategories[Category],0)),"Other"))</f>
        <v/>
      </c>
      <c r="M211">
        <f>IF($C211="","",IFERROR(INDEX(tblCategories[Type],MATCH($K211,tblCategories[Category],0)),IF($J211&gt;0,"Income","Expense")))</f>
        <v/>
      </c>
      <c r="N211">
        <f>IF($C211="","",IFERROR(INDEX(tblCategories[Essential],MATCH($K211,tblCategories[Category],0)),"No"))</f>
        <v/>
      </c>
      <c r="O211">
        <f>IF($C211="","",IFERROR(INDEX(tblCategories[Tax Tag],MATCH($K211,tblCategories[Category],0)),""))</f>
        <v/>
      </c>
      <c r="P211" s="20">
        <f>IF($C211="","",IF($G211=PersonA,1,IF($G211=PersonB,0,IFERROR(INDEX(tblCategories[Joint Split A],MATCH($K211,tblCategories[Category],0)),DefaultSplitA))))</f>
        <v/>
      </c>
      <c r="Q211" s="19">
        <f>IF($C211="","",ROUND($J211*N($P211),2))</f>
        <v/>
      </c>
      <c r="R211" s="19">
        <f>IF($C211="","",ROUND($J211-N($Q211),2))</f>
        <v/>
      </c>
      <c r="U211" t="inlineStr">
        <is>
          <t>sample-data</t>
        </is>
      </c>
      <c r="V211" t="inlineStr">
        <is>
          <t>SAMPLE</t>
        </is>
      </c>
      <c r="W211" t="inlineStr">
        <is>
          <t>717FCC22</t>
        </is>
      </c>
      <c r="X211">
        <f>IF($C211="","",IFERROR(IF(_xlfn.ISFORMULA($K211),"Rule","Manual"),""))</f>
        <v/>
      </c>
      <c r="Y211" s="19">
        <f>IF($C211="","",IF(ReportView=PersonA,N($Q211),IF(ReportView=PersonB,N($R211),$J211)))</f>
        <v/>
      </c>
    </row>
    <row r="212">
      <c r="B212">
        <f>IF($C212="","","T"&amp;TEXT(ROW()-ROW(tblTxn[[#Headers],[Txn ID]]),"000000"))</f>
        <v/>
      </c>
      <c r="C212" s="18" t="n">
        <v>46199</v>
      </c>
      <c r="D212">
        <f>IF($C212="","",TEXT($C212,"yyyy-mm"))</f>
        <v/>
      </c>
      <c r="E212" t="inlineStr">
        <is>
          <t>Amex Cobalt (Joint)</t>
        </is>
      </c>
      <c r="F212">
        <f>IF($C212="","",IFERROR(INDEX(tblAccounts[Owner],MATCH($E212,tblAccounts[Account],0)),"Joint"))</f>
        <v/>
      </c>
      <c r="G212">
        <f>IF($C212="","",IF(HouseholdMode="Couple",IFERROR(IF(INDEX(tblCategories[Default Owner],MATCH($K212,tblCategories[Category],0))="",$F212,INDEX(tblCategories[Default Owner],MATCH($K212,tblCategories[Category],0))),$F212),$F212))</f>
        <v/>
      </c>
      <c r="H212" t="inlineStr">
        <is>
          <t>PAYMENT - THANK YOU / PAIEMENT - MERCI</t>
        </is>
      </c>
      <c r="I212">
        <f>IF($H212="","",$H212)</f>
        <v/>
      </c>
      <c r="J212" s="19" t="n">
        <v>972.14</v>
      </c>
      <c r="K212">
        <f>IF($H212="","",IFERROR(INDEX(tblRules[Category],SUMPRODUCT(MIN((1-((tblRules[Enabled]&lt;&gt;"No")*(tblRules[Pattern]&lt;&gt;"")*(tblRules[Category]&lt;&gt;"")*((tblRules[Flow]="Any")+(tblRules[Flow]="")+((tblRules[Flow]="Money out")*($J212&lt;0))+((tblRules[Flow]="Money in")*($J212&gt;0)))*(((tblRules[Look In]="Account")*ISNUMBER(SEARCH(tblRules[Pattern],$E212)))+((tblRules[Look In]&lt;&gt;"Account")*(((tblRules[Test]="Word")*ISNUMBER(SEARCH(" "&amp;tblRules[Pattern]&amp;" "," "&amp;$H212&amp;" ")))+((tblRules[Test]&lt;&gt;"Word")*ISNUMBER(SEARCH(tblRules[Pattern],$H212))))))&gt;0))*1E+9+ROW(tblRules[Pattern])))-ROW(tblRules[[#Headers],[Pattern]])),"Uncategorized"))</f>
        <v/>
      </c>
      <c r="L212">
        <f>IF($C212="","",IFERROR(INDEX(tblCategories[Group],MATCH($K212,tblCategories[Category],0)),"Other"))</f>
        <v/>
      </c>
      <c r="M212">
        <f>IF($C212="","",IFERROR(INDEX(tblCategories[Type],MATCH($K212,tblCategories[Category],0)),IF($J212&gt;0,"Income","Expense")))</f>
        <v/>
      </c>
      <c r="N212">
        <f>IF($C212="","",IFERROR(INDEX(tblCategories[Essential],MATCH($K212,tblCategories[Category],0)),"No"))</f>
        <v/>
      </c>
      <c r="O212">
        <f>IF($C212="","",IFERROR(INDEX(tblCategories[Tax Tag],MATCH($K212,tblCategories[Category],0)),""))</f>
        <v/>
      </c>
      <c r="P212" s="20">
        <f>IF($C212="","",IF($G212=PersonA,1,IF($G212=PersonB,0,IFERROR(INDEX(tblCategories[Joint Split A],MATCH($K212,tblCategories[Category],0)),DefaultSplitA))))</f>
        <v/>
      </c>
      <c r="Q212" s="19">
        <f>IF($C212="","",ROUND($J212*N($P212),2))</f>
        <v/>
      </c>
      <c r="R212" s="19">
        <f>IF($C212="","",ROUND($J212-N($Q212),2))</f>
        <v/>
      </c>
      <c r="U212" t="inlineStr">
        <is>
          <t>sample-data</t>
        </is>
      </c>
      <c r="V212" t="inlineStr">
        <is>
          <t>SAMPLE</t>
        </is>
      </c>
      <c r="W212" t="inlineStr">
        <is>
          <t>CC43AD00</t>
        </is>
      </c>
      <c r="X212">
        <f>IF($C212="","",IFERROR(IF(_xlfn.ISFORMULA($K212),"Rule","Manual"),""))</f>
        <v/>
      </c>
      <c r="Y212" s="19">
        <f>IF($C212="","",IF(ReportView=PersonA,N($Q212),IF(ReportView=PersonB,N($R212),$J212)))</f>
        <v/>
      </c>
    </row>
    <row r="213">
      <c r="B213">
        <f>IF($C213="","","T"&amp;TEXT(ROW()-ROW(tblTxn[[#Headers],[Txn ID]]),"000000"))</f>
        <v/>
      </c>
      <c r="C213" s="18" t="n">
        <v>46199</v>
      </c>
      <c r="D213">
        <f>IF($C213="","",TEXT($C213,"yyyy-mm"))</f>
        <v/>
      </c>
      <c r="E213" t="inlineStr">
        <is>
          <t>BMO Joint Chequing</t>
        </is>
      </c>
      <c r="F213">
        <f>IF($C213="","",IFERROR(INDEX(tblAccounts[Owner],MATCH($E213,tblAccounts[Account],0)),"Joint"))</f>
        <v/>
      </c>
      <c r="G213">
        <f>IF($C213="","",IF(HouseholdMode="Couple",IFERROR(IF(INDEX(tblCategories[Default Owner],MATCH($K213,tblCategories[Category],0))="",$F213,INDEX(tblCategories[Default Owner],MATCH($K213,tblCategories[Category],0))),$F213),$F213))</f>
        <v/>
      </c>
      <c r="H213" t="inlineStr">
        <is>
          <t>AMEX CREDIT CARD/LOC PAY</t>
        </is>
      </c>
      <c r="I213">
        <f>IF($H213="","",$H213)</f>
        <v/>
      </c>
      <c r="J213" s="19" t="n">
        <v>-972.14</v>
      </c>
      <c r="K213">
        <f>IF($H213="","",IFERROR(INDEX(tblRules[Category],SUMPRODUCT(MIN((1-((tblRules[Enabled]&lt;&gt;"No")*(tblRules[Pattern]&lt;&gt;"")*(tblRules[Category]&lt;&gt;"")*((tblRules[Flow]="Any")+(tblRules[Flow]="")+((tblRules[Flow]="Money out")*($J213&lt;0))+((tblRules[Flow]="Money in")*($J213&gt;0)))*(((tblRules[Look In]="Account")*ISNUMBER(SEARCH(tblRules[Pattern],$E213)))+((tblRules[Look In]&lt;&gt;"Account")*(((tblRules[Test]="Word")*ISNUMBER(SEARCH(" "&amp;tblRules[Pattern]&amp;" "," "&amp;$H213&amp;" ")))+((tblRules[Test]&lt;&gt;"Word")*ISNUMBER(SEARCH(tblRules[Pattern],$H213))))))&gt;0))*1E+9+ROW(tblRules[Pattern])))-ROW(tblRules[[#Headers],[Pattern]])),"Uncategorized"))</f>
        <v/>
      </c>
      <c r="L213">
        <f>IF($C213="","",IFERROR(INDEX(tblCategories[Group],MATCH($K213,tblCategories[Category],0)),"Other"))</f>
        <v/>
      </c>
      <c r="M213">
        <f>IF($C213="","",IFERROR(INDEX(tblCategories[Type],MATCH($K213,tblCategories[Category],0)),IF($J213&gt;0,"Income","Expense")))</f>
        <v/>
      </c>
      <c r="N213">
        <f>IF($C213="","",IFERROR(INDEX(tblCategories[Essential],MATCH($K213,tblCategories[Category],0)),"No"))</f>
        <v/>
      </c>
      <c r="O213">
        <f>IF($C213="","",IFERROR(INDEX(tblCategories[Tax Tag],MATCH($K213,tblCategories[Category],0)),""))</f>
        <v/>
      </c>
      <c r="P213" s="20">
        <f>IF($C213="","",IF($G213=PersonA,1,IF($G213=PersonB,0,IFERROR(INDEX(tblCategories[Joint Split A],MATCH($K213,tblCategories[Category],0)),DefaultSplitA))))</f>
        <v/>
      </c>
      <c r="Q213" s="19">
        <f>IF($C213="","",ROUND($J213*N($P213),2))</f>
        <v/>
      </c>
      <c r="R213" s="19">
        <f>IF($C213="","",ROUND($J213-N($Q213),2))</f>
        <v/>
      </c>
      <c r="U213" t="inlineStr">
        <is>
          <t>sample-data</t>
        </is>
      </c>
      <c r="V213" t="inlineStr">
        <is>
          <t>SAMPLE</t>
        </is>
      </c>
      <c r="W213" t="inlineStr">
        <is>
          <t>BFCB99B2</t>
        </is>
      </c>
      <c r="X213">
        <f>IF($C213="","",IFERROR(IF(_xlfn.ISFORMULA($K213),"Rule","Manual"),""))</f>
        <v/>
      </c>
      <c r="Y213" s="19">
        <f>IF($C213="","",IF(ReportView=PersonA,N($Q213),IF(ReportView=PersonB,N($R213),$J213)))</f>
        <v/>
      </c>
    </row>
    <row r="214">
      <c r="B214">
        <f>IF($C214="","","T"&amp;TEXT(ROW()-ROW(tblTxn[[#Headers],[Txn ID]]),"000000"))</f>
        <v/>
      </c>
      <c r="C214" s="18" t="n">
        <v>46199</v>
      </c>
      <c r="D214">
        <f>IF($C214="","",TEXT($C214,"yyyy-mm"))</f>
        <v/>
      </c>
      <c r="E214" t="inlineStr">
        <is>
          <t>RBC Chequing (Alex)</t>
        </is>
      </c>
      <c r="F214">
        <f>IF($C214="","",IFERROR(INDEX(tblAccounts[Owner],MATCH($E214,tblAccounts[Account],0)),"Joint"))</f>
        <v/>
      </c>
      <c r="G214">
        <f>IF($C214="","",IF(HouseholdMode="Couple",IFERROR(IF(INDEX(tblCategories[Default Owner],MATCH($K214,tblCategories[Category],0))="",$F214,INDEX(tblCategories[Default Owner],MATCH($K214,tblCategories[Category],0))),$F214),$F214))</f>
        <v/>
      </c>
      <c r="H214" t="inlineStr">
        <is>
          <t>IDP PURCHASE - 4200 LCBO/RAO #4654 TORONTO ON</t>
        </is>
      </c>
      <c r="I214">
        <f>IF($H214="","",$H214)</f>
        <v/>
      </c>
      <c r="J214" s="19" t="n">
        <v>-67.52</v>
      </c>
      <c r="K214">
        <f>IF($H214="","",IFERROR(INDEX(tblRules[Category],SUMPRODUCT(MIN((1-((tblRules[Enabled]&lt;&gt;"No")*(tblRules[Pattern]&lt;&gt;"")*(tblRules[Category]&lt;&gt;"")*((tblRules[Flow]="Any")+(tblRules[Flow]="")+((tblRules[Flow]="Money out")*($J214&lt;0))+((tblRules[Flow]="Money in")*($J214&gt;0)))*(((tblRules[Look In]="Account")*ISNUMBER(SEARCH(tblRules[Pattern],$E214)))+((tblRules[Look In]&lt;&gt;"Account")*(((tblRules[Test]="Word")*ISNUMBER(SEARCH(" "&amp;tblRules[Pattern]&amp;" "," "&amp;$H214&amp;" ")))+((tblRules[Test]&lt;&gt;"Word")*ISNUMBER(SEARCH(tblRules[Pattern],$H214))))))&gt;0))*1E+9+ROW(tblRules[Pattern])))-ROW(tblRules[[#Headers],[Pattern]])),"Uncategorized"))</f>
        <v/>
      </c>
      <c r="L214">
        <f>IF($C214="","",IFERROR(INDEX(tblCategories[Group],MATCH($K214,tblCategories[Category],0)),"Other"))</f>
        <v/>
      </c>
      <c r="M214">
        <f>IF($C214="","",IFERROR(INDEX(tblCategories[Type],MATCH($K214,tblCategories[Category],0)),IF($J214&gt;0,"Income","Expense")))</f>
        <v/>
      </c>
      <c r="N214">
        <f>IF($C214="","",IFERROR(INDEX(tblCategories[Essential],MATCH($K214,tblCategories[Category],0)),"No"))</f>
        <v/>
      </c>
      <c r="O214">
        <f>IF($C214="","",IFERROR(INDEX(tblCategories[Tax Tag],MATCH($K214,tblCategories[Category],0)),""))</f>
        <v/>
      </c>
      <c r="P214" s="20">
        <f>IF($C214="","",IF($G214=PersonA,1,IF($G214=PersonB,0,IFERROR(INDEX(tblCategories[Joint Split A],MATCH($K214,tblCategories[Category],0)),DefaultSplitA))))</f>
        <v/>
      </c>
      <c r="Q214" s="19">
        <f>IF($C214="","",ROUND($J214*N($P214),2))</f>
        <v/>
      </c>
      <c r="R214" s="19">
        <f>IF($C214="","",ROUND($J214-N($Q214),2))</f>
        <v/>
      </c>
      <c r="U214" t="inlineStr">
        <is>
          <t>sample-data</t>
        </is>
      </c>
      <c r="V214" t="inlineStr">
        <is>
          <t>SAMPLE</t>
        </is>
      </c>
      <c r="W214" t="inlineStr">
        <is>
          <t>33C9232A</t>
        </is>
      </c>
      <c r="X214">
        <f>IF($C214="","",IFERROR(IF(_xlfn.ISFORMULA($K214),"Rule","Manual"),""))</f>
        <v/>
      </c>
      <c r="Y214" s="19">
        <f>IF($C214="","",IF(ReportView=PersonA,N($Q214),IF(ReportView=PersonB,N($R214),$J214)))</f>
        <v/>
      </c>
    </row>
    <row r="215">
      <c r="B215">
        <f>IF($C215="","","T"&amp;TEXT(ROW()-ROW(tblTxn[[#Headers],[Txn ID]]),"000000"))</f>
        <v/>
      </c>
      <c r="C215" s="18" t="n">
        <v>46200</v>
      </c>
      <c r="D215">
        <f>IF($C215="","",TEXT($C215,"yyyy-mm"))</f>
        <v/>
      </c>
      <c r="E215" t="inlineStr">
        <is>
          <t>Amex Cobalt (Joint)</t>
        </is>
      </c>
      <c r="F215">
        <f>IF($C215="","",IFERROR(INDEX(tblAccounts[Owner],MATCH($E215,tblAccounts[Account],0)),"Joint"))</f>
        <v/>
      </c>
      <c r="G215">
        <f>IF($C215="","",IF(HouseholdMode="Couple",IFERROR(IF(INDEX(tblCategories[Default Owner],MATCH($K215,tblCategories[Category],0))="",$F215,INDEX(tblCategories[Default Owner],MATCH($K215,tblCategories[Category],0))),$F215),$F215))</f>
        <v/>
      </c>
      <c r="H215" t="inlineStr">
        <is>
          <t>IDP PURCHASE - 5645 INDIGO #630 ON</t>
        </is>
      </c>
      <c r="I215">
        <f>IF($H215="","",$H215)</f>
        <v/>
      </c>
      <c r="J215" s="19" t="n">
        <v>-69.08</v>
      </c>
      <c r="K215">
        <f>IF($H215="","",IFERROR(INDEX(tblRules[Category],SUMPRODUCT(MIN((1-((tblRules[Enabled]&lt;&gt;"No")*(tblRules[Pattern]&lt;&gt;"")*(tblRules[Category]&lt;&gt;"")*((tblRules[Flow]="Any")+(tblRules[Flow]="")+((tblRules[Flow]="Money out")*($J215&lt;0))+((tblRules[Flow]="Money in")*($J215&gt;0)))*(((tblRules[Look In]="Account")*ISNUMBER(SEARCH(tblRules[Pattern],$E215)))+((tblRules[Look In]&lt;&gt;"Account")*(((tblRules[Test]="Word")*ISNUMBER(SEARCH(" "&amp;tblRules[Pattern]&amp;" "," "&amp;$H215&amp;" ")))+((tblRules[Test]&lt;&gt;"Word")*ISNUMBER(SEARCH(tblRules[Pattern],$H215))))))&gt;0))*1E+9+ROW(tblRules[Pattern])))-ROW(tblRules[[#Headers],[Pattern]])),"Uncategorized"))</f>
        <v/>
      </c>
      <c r="L215">
        <f>IF($C215="","",IFERROR(INDEX(tblCategories[Group],MATCH($K215,tblCategories[Category],0)),"Other"))</f>
        <v/>
      </c>
      <c r="M215">
        <f>IF($C215="","",IFERROR(INDEX(tblCategories[Type],MATCH($K215,tblCategories[Category],0)),IF($J215&gt;0,"Income","Expense")))</f>
        <v/>
      </c>
      <c r="N215">
        <f>IF($C215="","",IFERROR(INDEX(tblCategories[Essential],MATCH($K215,tblCategories[Category],0)),"No"))</f>
        <v/>
      </c>
      <c r="O215">
        <f>IF($C215="","",IFERROR(INDEX(tblCategories[Tax Tag],MATCH($K215,tblCategories[Category],0)),""))</f>
        <v/>
      </c>
      <c r="P215" s="20">
        <f>IF($C215="","",IF($G215=PersonA,1,IF($G215=PersonB,0,IFERROR(INDEX(tblCategories[Joint Split A],MATCH($K215,tblCategories[Category],0)),DefaultSplitA))))</f>
        <v/>
      </c>
      <c r="Q215" s="19">
        <f>IF($C215="","",ROUND($J215*N($P215),2))</f>
        <v/>
      </c>
      <c r="R215" s="19">
        <f>IF($C215="","",ROUND($J215-N($Q215),2))</f>
        <v/>
      </c>
      <c r="U215" t="inlineStr">
        <is>
          <t>sample-data</t>
        </is>
      </c>
      <c r="V215" t="inlineStr">
        <is>
          <t>SAMPLE</t>
        </is>
      </c>
      <c r="W215" t="inlineStr">
        <is>
          <t>3A9277C7</t>
        </is>
      </c>
      <c r="X215">
        <f>IF($C215="","",IFERROR(IF(_xlfn.ISFORMULA($K215),"Rule","Manual"),""))</f>
        <v/>
      </c>
      <c r="Y215" s="19">
        <f>IF($C215="","",IF(ReportView=PersonA,N($Q215),IF(ReportView=PersonB,N($R215),$J215)))</f>
        <v/>
      </c>
    </row>
    <row r="216">
      <c r="B216">
        <f>IF($C216="","","T"&amp;TEXT(ROW()-ROW(tblTxn[[#Headers],[Txn ID]]),"000000"))</f>
        <v/>
      </c>
      <c r="C216" s="18" t="n">
        <v>46200</v>
      </c>
      <c r="D216">
        <f>IF($C216="","",TEXT($C216,"yyyy-mm"))</f>
        <v/>
      </c>
      <c r="E216" t="inlineStr">
        <is>
          <t>RBC Chequing (Alex)</t>
        </is>
      </c>
      <c r="F216">
        <f>IF($C216="","",IFERROR(INDEX(tblAccounts[Owner],MATCH($E216,tblAccounts[Account],0)),"Joint"))</f>
        <v/>
      </c>
      <c r="G216">
        <f>IF($C216="","",IF(HouseholdMode="Couple",IFERROR(IF(INDEX(tblCategories[Default Owner],MATCH($K216,tblCategories[Category],0))="",$F216,INDEX(tblCategories[Default Owner],MATCH($K216,tblCategories[Category],0))),$F216),$F216))</f>
        <v/>
      </c>
      <c r="H216" t="inlineStr">
        <is>
          <t>IDP PURCHASE - 7497 PETRO-CANADA #3341 ON</t>
        </is>
      </c>
      <c r="I216">
        <f>IF($H216="","",$H216)</f>
        <v/>
      </c>
      <c r="J216" s="19" t="n">
        <v>-61.28</v>
      </c>
      <c r="K216">
        <f>IF($H216="","",IFERROR(INDEX(tblRules[Category],SUMPRODUCT(MIN((1-((tblRules[Enabled]&lt;&gt;"No")*(tblRules[Pattern]&lt;&gt;"")*(tblRules[Category]&lt;&gt;"")*((tblRules[Flow]="Any")+(tblRules[Flow]="")+((tblRules[Flow]="Money out")*($J216&lt;0))+((tblRules[Flow]="Money in")*($J216&gt;0)))*(((tblRules[Look In]="Account")*ISNUMBER(SEARCH(tblRules[Pattern],$E216)))+((tblRules[Look In]&lt;&gt;"Account")*(((tblRules[Test]="Word")*ISNUMBER(SEARCH(" "&amp;tblRules[Pattern]&amp;" "," "&amp;$H216&amp;" ")))+((tblRules[Test]&lt;&gt;"Word")*ISNUMBER(SEARCH(tblRules[Pattern],$H216))))))&gt;0))*1E+9+ROW(tblRules[Pattern])))-ROW(tblRules[[#Headers],[Pattern]])),"Uncategorized"))</f>
        <v/>
      </c>
      <c r="L216">
        <f>IF($C216="","",IFERROR(INDEX(tblCategories[Group],MATCH($K216,tblCategories[Category],0)),"Other"))</f>
        <v/>
      </c>
      <c r="M216">
        <f>IF($C216="","",IFERROR(INDEX(tblCategories[Type],MATCH($K216,tblCategories[Category],0)),IF($J216&gt;0,"Income","Expense")))</f>
        <v/>
      </c>
      <c r="N216">
        <f>IF($C216="","",IFERROR(INDEX(tblCategories[Essential],MATCH($K216,tblCategories[Category],0)),"No"))</f>
        <v/>
      </c>
      <c r="O216">
        <f>IF($C216="","",IFERROR(INDEX(tblCategories[Tax Tag],MATCH($K216,tblCategories[Category],0)),""))</f>
        <v/>
      </c>
      <c r="P216" s="20">
        <f>IF($C216="","",IF($G216=PersonA,1,IF($G216=PersonB,0,IFERROR(INDEX(tblCategories[Joint Split A],MATCH($K216,tblCategories[Category],0)),DefaultSplitA))))</f>
        <v/>
      </c>
      <c r="Q216" s="19">
        <f>IF($C216="","",ROUND($J216*N($P216),2))</f>
        <v/>
      </c>
      <c r="R216" s="19">
        <f>IF($C216="","",ROUND($J216-N($Q216),2))</f>
        <v/>
      </c>
      <c r="U216" t="inlineStr">
        <is>
          <t>sample-data</t>
        </is>
      </c>
      <c r="V216" t="inlineStr">
        <is>
          <t>SAMPLE</t>
        </is>
      </c>
      <c r="W216" t="inlineStr">
        <is>
          <t>BC3D5518</t>
        </is>
      </c>
      <c r="X216">
        <f>IF($C216="","",IFERROR(IF(_xlfn.ISFORMULA($K216),"Rule","Manual"),""))</f>
        <v/>
      </c>
      <c r="Y216" s="19">
        <f>IF($C216="","",IF(ReportView=PersonA,N($Q216),IF(ReportView=PersonB,N($R216),$J216)))</f>
        <v/>
      </c>
    </row>
    <row r="217">
      <c r="B217">
        <f>IF($C217="","","T"&amp;TEXT(ROW()-ROW(tblTxn[[#Headers],[Txn ID]]),"000000"))</f>
        <v/>
      </c>
      <c r="C217" s="18" t="n">
        <v>46201</v>
      </c>
      <c r="D217">
        <f>IF($C217="","",TEXT($C217,"yyyy-mm"))</f>
        <v/>
      </c>
      <c r="E217" t="inlineStr">
        <is>
          <t>BMO Joint Chequing</t>
        </is>
      </c>
      <c r="F217">
        <f>IF($C217="","",IFERROR(INDEX(tblAccounts[Owner],MATCH($E217,tblAccounts[Account],0)),"Joint"))</f>
        <v/>
      </c>
      <c r="G217">
        <f>IF($C217="","",IF(HouseholdMode="Couple",IFERROR(IF(INDEX(tblCategories[Default Owner],MATCH($K217,tblCategories[Category],0))="",$F217,INDEX(tblCategories[Default Owner],MATCH($K217,tblCategories[Category],0))),$F217),$F217))</f>
        <v/>
      </c>
      <c r="H217" t="inlineStr">
        <is>
          <t>IDP PURCHASE - 2448 PIZZA NOVA #1802 ON</t>
        </is>
      </c>
      <c r="I217">
        <f>IF($H217="","",$H217)</f>
        <v/>
      </c>
      <c r="J217" s="19" t="n">
        <v>-25.75</v>
      </c>
      <c r="K217">
        <f>IF($H217="","",IFERROR(INDEX(tblRules[Category],SUMPRODUCT(MIN((1-((tblRules[Enabled]&lt;&gt;"No")*(tblRules[Pattern]&lt;&gt;"")*(tblRules[Category]&lt;&gt;"")*((tblRules[Flow]="Any")+(tblRules[Flow]="")+((tblRules[Flow]="Money out")*($J217&lt;0))+((tblRules[Flow]="Money in")*($J217&gt;0)))*(((tblRules[Look In]="Account")*ISNUMBER(SEARCH(tblRules[Pattern],$E217)))+((tblRules[Look In]&lt;&gt;"Account")*(((tblRules[Test]="Word")*ISNUMBER(SEARCH(" "&amp;tblRules[Pattern]&amp;" "," "&amp;$H217&amp;" ")))+((tblRules[Test]&lt;&gt;"Word")*ISNUMBER(SEARCH(tblRules[Pattern],$H217))))))&gt;0))*1E+9+ROW(tblRules[Pattern])))-ROW(tblRules[[#Headers],[Pattern]])),"Uncategorized"))</f>
        <v/>
      </c>
      <c r="L217">
        <f>IF($C217="","",IFERROR(INDEX(tblCategories[Group],MATCH($K217,tblCategories[Category],0)),"Other"))</f>
        <v/>
      </c>
      <c r="M217">
        <f>IF($C217="","",IFERROR(INDEX(tblCategories[Type],MATCH($K217,tblCategories[Category],0)),IF($J217&gt;0,"Income","Expense")))</f>
        <v/>
      </c>
      <c r="N217">
        <f>IF($C217="","",IFERROR(INDEX(tblCategories[Essential],MATCH($K217,tblCategories[Category],0)),"No"))</f>
        <v/>
      </c>
      <c r="O217">
        <f>IF($C217="","",IFERROR(INDEX(tblCategories[Tax Tag],MATCH($K217,tblCategories[Category],0)),""))</f>
        <v/>
      </c>
      <c r="P217" s="20">
        <f>IF($C217="","",IF($G217=PersonA,1,IF($G217=PersonB,0,IFERROR(INDEX(tblCategories[Joint Split A],MATCH($K217,tblCategories[Category],0)),DefaultSplitA))))</f>
        <v/>
      </c>
      <c r="Q217" s="19">
        <f>IF($C217="","",ROUND($J217*N($P217),2))</f>
        <v/>
      </c>
      <c r="R217" s="19">
        <f>IF($C217="","",ROUND($J217-N($Q217),2))</f>
        <v/>
      </c>
      <c r="U217" t="inlineStr">
        <is>
          <t>sample-data</t>
        </is>
      </c>
      <c r="V217" t="inlineStr">
        <is>
          <t>SAMPLE</t>
        </is>
      </c>
      <c r="W217" t="inlineStr">
        <is>
          <t>057C1D51</t>
        </is>
      </c>
      <c r="X217">
        <f>IF($C217="","",IFERROR(IF(_xlfn.ISFORMULA($K217),"Rule","Manual"),""))</f>
        <v/>
      </c>
      <c r="Y217" s="19">
        <f>IF($C217="","",IF(ReportView=PersonA,N($Q217),IF(ReportView=PersonB,N($R217),$J217)))</f>
        <v/>
      </c>
    </row>
    <row r="218">
      <c r="B218">
        <f>IF($C218="","","T"&amp;TEXT(ROW()-ROW(tblTxn[[#Headers],[Txn ID]]),"000000"))</f>
        <v/>
      </c>
      <c r="C218" s="18" t="n">
        <v>46201</v>
      </c>
      <c r="D218">
        <f>IF($C218="","",TEXT($C218,"yyyy-mm"))</f>
        <v/>
      </c>
      <c r="E218" t="inlineStr">
        <is>
          <t>RBC Chequing (Alex)</t>
        </is>
      </c>
      <c r="F218">
        <f>IF($C218="","",IFERROR(INDEX(tblAccounts[Owner],MATCH($E218,tblAccounts[Account],0)),"Joint"))</f>
        <v/>
      </c>
      <c r="G218">
        <f>IF($C218="","",IF(HouseholdMode="Couple",IFERROR(IF(INDEX(tblCategories[Default Owner],MATCH($K218,tblCategories[Category],0))="",$F218,INDEX(tblCategories[Default Owner],MATCH($K218,tblCategories[Category],0))),$F218),$F218))</f>
        <v/>
      </c>
      <c r="H218" t="inlineStr">
        <is>
          <t>MONTHLY ACCOUNT FEE</t>
        </is>
      </c>
      <c r="I218">
        <f>IF($H218="","",$H218)</f>
        <v/>
      </c>
      <c r="J218" s="19" t="n">
        <v>-11.95</v>
      </c>
      <c r="K218">
        <f>IF($H218="","",IFERROR(INDEX(tblRules[Category],SUMPRODUCT(MIN((1-((tblRules[Enabled]&lt;&gt;"No")*(tblRules[Pattern]&lt;&gt;"")*(tblRules[Category]&lt;&gt;"")*((tblRules[Flow]="Any")+(tblRules[Flow]="")+((tblRules[Flow]="Money out")*($J218&lt;0))+((tblRules[Flow]="Money in")*($J218&gt;0)))*(((tblRules[Look In]="Account")*ISNUMBER(SEARCH(tblRules[Pattern],$E218)))+((tblRules[Look In]&lt;&gt;"Account")*(((tblRules[Test]="Word")*ISNUMBER(SEARCH(" "&amp;tblRules[Pattern]&amp;" "," "&amp;$H218&amp;" ")))+((tblRules[Test]&lt;&gt;"Word")*ISNUMBER(SEARCH(tblRules[Pattern],$H218))))))&gt;0))*1E+9+ROW(tblRules[Pattern])))-ROW(tblRules[[#Headers],[Pattern]])),"Uncategorized"))</f>
        <v/>
      </c>
      <c r="L218">
        <f>IF($C218="","",IFERROR(INDEX(tblCategories[Group],MATCH($K218,tblCategories[Category],0)),"Other"))</f>
        <v/>
      </c>
      <c r="M218">
        <f>IF($C218="","",IFERROR(INDEX(tblCategories[Type],MATCH($K218,tblCategories[Category],0)),IF($J218&gt;0,"Income","Expense")))</f>
        <v/>
      </c>
      <c r="N218">
        <f>IF($C218="","",IFERROR(INDEX(tblCategories[Essential],MATCH($K218,tblCategories[Category],0)),"No"))</f>
        <v/>
      </c>
      <c r="O218">
        <f>IF($C218="","",IFERROR(INDEX(tblCategories[Tax Tag],MATCH($K218,tblCategories[Category],0)),""))</f>
        <v/>
      </c>
      <c r="P218" s="20">
        <f>IF($C218="","",IF($G218=PersonA,1,IF($G218=PersonB,0,IFERROR(INDEX(tblCategories[Joint Split A],MATCH($K218,tblCategories[Category],0)),DefaultSplitA))))</f>
        <v/>
      </c>
      <c r="Q218" s="19">
        <f>IF($C218="","",ROUND($J218*N($P218),2))</f>
        <v/>
      </c>
      <c r="R218" s="19">
        <f>IF($C218="","",ROUND($J218-N($Q218),2))</f>
        <v/>
      </c>
      <c r="U218" t="inlineStr">
        <is>
          <t>sample-data</t>
        </is>
      </c>
      <c r="V218" t="inlineStr">
        <is>
          <t>SAMPLE</t>
        </is>
      </c>
      <c r="W218" t="inlineStr">
        <is>
          <t>2C6F2F94</t>
        </is>
      </c>
      <c r="X218">
        <f>IF($C218="","",IFERROR(IF(_xlfn.ISFORMULA($K218),"Rule","Manual"),""))</f>
        <v/>
      </c>
      <c r="Y218" s="19">
        <f>IF($C218="","",IF(ReportView=PersonA,N($Q218),IF(ReportView=PersonB,N($R218),$J218)))</f>
        <v/>
      </c>
    </row>
    <row r="219">
      <c r="B219">
        <f>IF($C219="","","T"&amp;TEXT(ROW()-ROW(tblTxn[[#Headers],[Txn ID]]),"000000"))</f>
        <v/>
      </c>
      <c r="C219" s="18" t="n">
        <v>46203</v>
      </c>
      <c r="D219">
        <f>IF($C219="","",TEXT($C219,"yyyy-mm"))</f>
        <v/>
      </c>
      <c r="E219" t="inlineStr">
        <is>
          <t>Amex Cobalt (Joint)</t>
        </is>
      </c>
      <c r="F219">
        <f>IF($C219="","",IFERROR(INDEX(tblAccounts[Owner],MATCH($E219,tblAccounts[Account],0)),"Joint"))</f>
        <v/>
      </c>
      <c r="G219">
        <f>IF($C219="","",IF(HouseholdMode="Couple",IFERROR(IF(INDEX(tblCategories[Default Owner],MATCH($K219,tblCategories[Category],0))="",$F219,INDEX(tblCategories[Default Owner],MATCH($K219,tblCategories[Category],0))),$F219),$F219))</f>
        <v/>
      </c>
      <c r="H219" t="inlineStr">
        <is>
          <t>IDP PURCHASE - 8575 COSTCO WHOLESALE #3996 ON</t>
        </is>
      </c>
      <c r="I219">
        <f>IF($H219="","",$H219)</f>
        <v/>
      </c>
      <c r="J219" s="19" t="n">
        <v>-178.05</v>
      </c>
      <c r="K219">
        <f>IF($H219="","",IFERROR(INDEX(tblRules[Category],SUMPRODUCT(MIN((1-((tblRules[Enabled]&lt;&gt;"No")*(tblRules[Pattern]&lt;&gt;"")*(tblRules[Category]&lt;&gt;"")*((tblRules[Flow]="Any")+(tblRules[Flow]="")+((tblRules[Flow]="Money out")*($J219&lt;0))+((tblRules[Flow]="Money in")*($J219&gt;0)))*(((tblRules[Look In]="Account")*ISNUMBER(SEARCH(tblRules[Pattern],$E219)))+((tblRules[Look In]&lt;&gt;"Account")*(((tblRules[Test]="Word")*ISNUMBER(SEARCH(" "&amp;tblRules[Pattern]&amp;" "," "&amp;$H219&amp;" ")))+((tblRules[Test]&lt;&gt;"Word")*ISNUMBER(SEARCH(tblRules[Pattern],$H219))))))&gt;0))*1E+9+ROW(tblRules[Pattern])))-ROW(tblRules[[#Headers],[Pattern]])),"Uncategorized"))</f>
        <v/>
      </c>
      <c r="L219">
        <f>IF($C219="","",IFERROR(INDEX(tblCategories[Group],MATCH($K219,tblCategories[Category],0)),"Other"))</f>
        <v/>
      </c>
      <c r="M219">
        <f>IF($C219="","",IFERROR(INDEX(tblCategories[Type],MATCH($K219,tblCategories[Category],0)),IF($J219&gt;0,"Income","Expense")))</f>
        <v/>
      </c>
      <c r="N219">
        <f>IF($C219="","",IFERROR(INDEX(tblCategories[Essential],MATCH($K219,tblCategories[Category],0)),"No"))</f>
        <v/>
      </c>
      <c r="O219">
        <f>IF($C219="","",IFERROR(INDEX(tblCategories[Tax Tag],MATCH($K219,tblCategories[Category],0)),""))</f>
        <v/>
      </c>
      <c r="P219" s="20">
        <f>IF($C219="","",IF($G219=PersonA,1,IF($G219=PersonB,0,IFERROR(INDEX(tblCategories[Joint Split A],MATCH($K219,tblCategories[Category],0)),DefaultSplitA))))</f>
        <v/>
      </c>
      <c r="Q219" s="19">
        <f>IF($C219="","",ROUND($J219*N($P219),2))</f>
        <v/>
      </c>
      <c r="R219" s="19">
        <f>IF($C219="","",ROUND($J219-N($Q219),2))</f>
        <v/>
      </c>
      <c r="U219" t="inlineStr">
        <is>
          <t>sample-data</t>
        </is>
      </c>
      <c r="V219" t="inlineStr">
        <is>
          <t>SAMPLE</t>
        </is>
      </c>
      <c r="W219" t="inlineStr">
        <is>
          <t>6F311203</t>
        </is>
      </c>
      <c r="X219">
        <f>IF($C219="","",IFERROR(IF(_xlfn.ISFORMULA($K219),"Rule","Manual"),""))</f>
        <v/>
      </c>
      <c r="Y219" s="19">
        <f>IF($C219="","",IF(ReportView=PersonA,N($Q219),IF(ReportView=PersonB,N($R219),$J219)))</f>
        <v/>
      </c>
    </row>
    <row r="220">
      <c r="B220">
        <f>IF($C220="","","T"&amp;TEXT(ROW()-ROW(tblTxn[[#Headers],[Txn ID]]),"000000"))</f>
        <v/>
      </c>
      <c r="C220" s="18" t="n">
        <v>46203</v>
      </c>
      <c r="D220">
        <f>IF($C220="","",TEXT($C220,"yyyy-mm"))</f>
        <v/>
      </c>
      <c r="E220" t="inlineStr">
        <is>
          <t>BMO Joint Chequing</t>
        </is>
      </c>
      <c r="F220">
        <f>IF($C220="","",IFERROR(INDEX(tblAccounts[Owner],MATCH($E220,tblAccounts[Account],0)),"Joint"))</f>
        <v/>
      </c>
      <c r="G220">
        <f>IF($C220="","",IF(HouseholdMode="Couple",IFERROR(IF(INDEX(tblCategories[Default Owner],MATCH($K220,tblCategories[Category],0))="",$F220,INDEX(tblCategories[Default Owner],MATCH($K220,tblCategories[Category],0))),$F220),$F220))</f>
        <v/>
      </c>
      <c r="H220" t="inlineStr">
        <is>
          <t>IDP PURCHASE - 8603 NO FRILLS #875 TORONTO ON</t>
        </is>
      </c>
      <c r="I220">
        <f>IF($H220="","",$H220)</f>
        <v/>
      </c>
      <c r="J220" s="19" t="n">
        <v>-42.88</v>
      </c>
      <c r="K220">
        <f>IF($H220="","",IFERROR(INDEX(tblRules[Category],SUMPRODUCT(MIN((1-((tblRules[Enabled]&lt;&gt;"No")*(tblRules[Pattern]&lt;&gt;"")*(tblRules[Category]&lt;&gt;"")*((tblRules[Flow]="Any")+(tblRules[Flow]="")+((tblRules[Flow]="Money out")*($J220&lt;0))+((tblRules[Flow]="Money in")*($J220&gt;0)))*(((tblRules[Look In]="Account")*ISNUMBER(SEARCH(tblRules[Pattern],$E220)))+((tblRules[Look In]&lt;&gt;"Account")*(((tblRules[Test]="Word")*ISNUMBER(SEARCH(" "&amp;tblRules[Pattern]&amp;" "," "&amp;$H220&amp;" ")))+((tblRules[Test]&lt;&gt;"Word")*ISNUMBER(SEARCH(tblRules[Pattern],$H220))))))&gt;0))*1E+9+ROW(tblRules[Pattern])))-ROW(tblRules[[#Headers],[Pattern]])),"Uncategorized"))</f>
        <v/>
      </c>
      <c r="L220">
        <f>IF($C220="","",IFERROR(INDEX(tblCategories[Group],MATCH($K220,tblCategories[Category],0)),"Other"))</f>
        <v/>
      </c>
      <c r="M220">
        <f>IF($C220="","",IFERROR(INDEX(tblCategories[Type],MATCH($K220,tblCategories[Category],0)),IF($J220&gt;0,"Income","Expense")))</f>
        <v/>
      </c>
      <c r="N220">
        <f>IF($C220="","",IFERROR(INDEX(tblCategories[Essential],MATCH($K220,tblCategories[Category],0)),"No"))</f>
        <v/>
      </c>
      <c r="O220">
        <f>IF($C220="","",IFERROR(INDEX(tblCategories[Tax Tag],MATCH($K220,tblCategories[Category],0)),""))</f>
        <v/>
      </c>
      <c r="P220" s="20">
        <f>IF($C220="","",IF($G220=PersonA,1,IF($G220=PersonB,0,IFERROR(INDEX(tblCategories[Joint Split A],MATCH($K220,tblCategories[Category],0)),DefaultSplitA))))</f>
        <v/>
      </c>
      <c r="Q220" s="19">
        <f>IF($C220="","",ROUND($J220*N($P220),2))</f>
        <v/>
      </c>
      <c r="R220" s="19">
        <f>IF($C220="","",ROUND($J220-N($Q220),2))</f>
        <v/>
      </c>
      <c r="U220" t="inlineStr">
        <is>
          <t>sample-data</t>
        </is>
      </c>
      <c r="V220" t="inlineStr">
        <is>
          <t>SAMPLE</t>
        </is>
      </c>
      <c r="W220" t="inlineStr">
        <is>
          <t>6E4A5DCF</t>
        </is>
      </c>
      <c r="X220">
        <f>IF($C220="","",IFERROR(IF(_xlfn.ISFORMULA($K220),"Rule","Manual"),""))</f>
        <v/>
      </c>
      <c r="Y220" s="19">
        <f>IF($C220="","",IF(ReportView=PersonA,N($Q220),IF(ReportView=PersonB,N($R220),$J220)))</f>
        <v/>
      </c>
    </row>
    <row r="221">
      <c r="B221">
        <f>IF($C221="","","T"&amp;TEXT(ROW()-ROW(tblTxn[[#Headers],[Txn ID]]),"000000"))</f>
        <v/>
      </c>
      <c r="C221" s="18" t="n">
        <v>46203</v>
      </c>
      <c r="D221">
        <f>IF($C221="","",TEXT($C221,"yyyy-mm"))</f>
        <v/>
      </c>
      <c r="E221" t="inlineStr">
        <is>
          <t>RBC Chequing (Alex)</t>
        </is>
      </c>
      <c r="F221">
        <f>IF($C221="","",IFERROR(INDEX(tblAccounts[Owner],MATCH($E221,tblAccounts[Account],0)),"Joint"))</f>
        <v/>
      </c>
      <c r="G221">
        <f>IF($C221="","",IF(HouseholdMode="Couple",IFERROR(IF(INDEX(tblCategories[Default Owner],MATCH($K221,tblCategories[Category],0))="",$F221,INDEX(tblCategories[Default Owner],MATCH($K221,tblCategories[Category],0))),$F221),$F221))</f>
        <v/>
      </c>
      <c r="H221" t="inlineStr">
        <is>
          <t>PAYROLL DEPOSIT NORTHWIND LOGISTICS</t>
        </is>
      </c>
      <c r="I221">
        <f>IF($H221="","",$H221)</f>
        <v/>
      </c>
      <c r="J221" s="19" t="n">
        <v>2472.18</v>
      </c>
      <c r="K221">
        <f>IF($H221="","",IFERROR(INDEX(tblRules[Category],SUMPRODUCT(MIN((1-((tblRules[Enabled]&lt;&gt;"No")*(tblRules[Pattern]&lt;&gt;"")*(tblRules[Category]&lt;&gt;"")*((tblRules[Flow]="Any")+(tblRules[Flow]="")+((tblRules[Flow]="Money out")*($J221&lt;0))+((tblRules[Flow]="Money in")*($J221&gt;0)))*(((tblRules[Look In]="Account")*ISNUMBER(SEARCH(tblRules[Pattern],$E221)))+((tblRules[Look In]&lt;&gt;"Account")*(((tblRules[Test]="Word")*ISNUMBER(SEARCH(" "&amp;tblRules[Pattern]&amp;" "," "&amp;$H221&amp;" ")))+((tblRules[Test]&lt;&gt;"Word")*ISNUMBER(SEARCH(tblRules[Pattern],$H221))))))&gt;0))*1E+9+ROW(tblRules[Pattern])))-ROW(tblRules[[#Headers],[Pattern]])),"Uncategorized"))</f>
        <v/>
      </c>
      <c r="L221">
        <f>IF($C221="","",IFERROR(INDEX(tblCategories[Group],MATCH($K221,tblCategories[Category],0)),"Other"))</f>
        <v/>
      </c>
      <c r="M221">
        <f>IF($C221="","",IFERROR(INDEX(tblCategories[Type],MATCH($K221,tblCategories[Category],0)),IF($J221&gt;0,"Income","Expense")))</f>
        <v/>
      </c>
      <c r="N221">
        <f>IF($C221="","",IFERROR(INDEX(tblCategories[Essential],MATCH($K221,tblCategories[Category],0)),"No"))</f>
        <v/>
      </c>
      <c r="O221">
        <f>IF($C221="","",IFERROR(INDEX(tblCategories[Tax Tag],MATCH($K221,tblCategories[Category],0)),""))</f>
        <v/>
      </c>
      <c r="P221" s="20">
        <f>IF($C221="","",IF($G221=PersonA,1,IF($G221=PersonB,0,IFERROR(INDEX(tblCategories[Joint Split A],MATCH($K221,tblCategories[Category],0)),DefaultSplitA))))</f>
        <v/>
      </c>
      <c r="Q221" s="19">
        <f>IF($C221="","",ROUND($J221*N($P221),2))</f>
        <v/>
      </c>
      <c r="R221" s="19">
        <f>IF($C221="","",ROUND($J221-N($Q221),2))</f>
        <v/>
      </c>
      <c r="U221" t="inlineStr">
        <is>
          <t>sample-data</t>
        </is>
      </c>
      <c r="V221" t="inlineStr">
        <is>
          <t>SAMPLE</t>
        </is>
      </c>
      <c r="W221" t="inlineStr">
        <is>
          <t>04553545</t>
        </is>
      </c>
      <c r="X221">
        <f>IF($C221="","",IFERROR(IF(_xlfn.ISFORMULA($K221),"Rule","Manual"),""))</f>
        <v/>
      </c>
      <c r="Y221" s="19">
        <f>IF($C221="","",IF(ReportView=PersonA,N($Q221),IF(ReportView=PersonB,N($R221),$J221)))</f>
        <v/>
      </c>
    </row>
    <row r="222">
      <c r="B222">
        <f>IF($C222="","","T"&amp;TEXT(ROW()-ROW(tblTxn[[#Headers],[Txn ID]]),"000000"))</f>
        <v/>
      </c>
      <c r="C222" s="18" t="n">
        <v>46203</v>
      </c>
      <c r="D222">
        <f>IF($C222="","",TEXT($C222,"yyyy-mm"))</f>
        <v/>
      </c>
      <c r="E222" t="inlineStr">
        <is>
          <t>Tangerine Chequing (Sam)</t>
        </is>
      </c>
      <c r="F222">
        <f>IF($C222="","",IFERROR(INDEX(tblAccounts[Owner],MATCH($E222,tblAccounts[Account],0)),"Joint"))</f>
        <v/>
      </c>
      <c r="G222">
        <f>IF($C222="","",IF(HouseholdMode="Couple",IFERROR(IF(INDEX(tblCategories[Default Owner],MATCH($K222,tblCategories[Category],0))="",$F222,INDEX(tblCategories[Default Owner],MATCH($K222,tblCategories[Category],0))),$F222),$F222))</f>
        <v/>
      </c>
      <c r="H222" t="inlineStr">
        <is>
          <t>PAYROLL DEPOSIT MAPLE HEALTH GROUP</t>
        </is>
      </c>
      <c r="I222">
        <f>IF($H222="","",$H222)</f>
        <v/>
      </c>
      <c r="J222" s="19" t="n">
        <v>1979.44</v>
      </c>
      <c r="K222">
        <f>IF($H222="","",IFERROR(INDEX(tblRules[Category],SUMPRODUCT(MIN((1-((tblRules[Enabled]&lt;&gt;"No")*(tblRules[Pattern]&lt;&gt;"")*(tblRules[Category]&lt;&gt;"")*((tblRules[Flow]="Any")+(tblRules[Flow]="")+((tblRules[Flow]="Money out")*($J222&lt;0))+((tblRules[Flow]="Money in")*($J222&gt;0)))*(((tblRules[Look In]="Account")*ISNUMBER(SEARCH(tblRules[Pattern],$E222)))+((tblRules[Look In]&lt;&gt;"Account")*(((tblRules[Test]="Word")*ISNUMBER(SEARCH(" "&amp;tblRules[Pattern]&amp;" "," "&amp;$H222&amp;" ")))+((tblRules[Test]&lt;&gt;"Word")*ISNUMBER(SEARCH(tblRules[Pattern],$H222))))))&gt;0))*1E+9+ROW(tblRules[Pattern])))-ROW(tblRules[[#Headers],[Pattern]])),"Uncategorized"))</f>
        <v/>
      </c>
      <c r="L222">
        <f>IF($C222="","",IFERROR(INDEX(tblCategories[Group],MATCH($K222,tblCategories[Category],0)),"Other"))</f>
        <v/>
      </c>
      <c r="M222">
        <f>IF($C222="","",IFERROR(INDEX(tblCategories[Type],MATCH($K222,tblCategories[Category],0)),IF($J222&gt;0,"Income","Expense")))</f>
        <v/>
      </c>
      <c r="N222">
        <f>IF($C222="","",IFERROR(INDEX(tblCategories[Essential],MATCH($K222,tblCategories[Category],0)),"No"))</f>
        <v/>
      </c>
      <c r="O222">
        <f>IF($C222="","",IFERROR(INDEX(tblCategories[Tax Tag],MATCH($K222,tblCategories[Category],0)),""))</f>
        <v/>
      </c>
      <c r="P222" s="20">
        <f>IF($C222="","",IF($G222=PersonA,1,IF($G222=PersonB,0,IFERROR(INDEX(tblCategories[Joint Split A],MATCH($K222,tblCategories[Category],0)),DefaultSplitA))))</f>
        <v/>
      </c>
      <c r="Q222" s="19">
        <f>IF($C222="","",ROUND($J222*N($P222),2))</f>
        <v/>
      </c>
      <c r="R222" s="19">
        <f>IF($C222="","",ROUND($J222-N($Q222),2))</f>
        <v/>
      </c>
      <c r="U222" t="inlineStr">
        <is>
          <t>sample-data</t>
        </is>
      </c>
      <c r="V222" t="inlineStr">
        <is>
          <t>SAMPLE</t>
        </is>
      </c>
      <c r="W222" t="inlineStr">
        <is>
          <t>6DE950AE</t>
        </is>
      </c>
      <c r="X222">
        <f>IF($C222="","",IFERROR(IF(_xlfn.ISFORMULA($K222),"Rule","Manual"),""))</f>
        <v/>
      </c>
      <c r="Y222" s="19">
        <f>IF($C222="","",IF(ReportView=PersonA,N($Q222),IF(ReportView=PersonB,N($R222),$J222)))</f>
        <v/>
      </c>
    </row>
    <row r="223">
      <c r="B223">
        <f>IF($C223="","","T"&amp;TEXT(ROW()-ROW(tblTxn[[#Headers],[Txn ID]]),"000000"))</f>
        <v/>
      </c>
      <c r="C223" s="18" t="n">
        <v>46204</v>
      </c>
      <c r="D223">
        <f>IF($C223="","",TEXT($C223,"yyyy-mm"))</f>
        <v/>
      </c>
      <c r="E223" t="inlineStr">
        <is>
          <t>BMO Joint Chequing</t>
        </is>
      </c>
      <c r="F223">
        <f>IF($C223="","",IFERROR(INDEX(tblAccounts[Owner],MATCH($E223,tblAccounts[Account],0)),"Joint"))</f>
        <v/>
      </c>
      <c r="G223">
        <f>IF($C223="","",IF(HouseholdMode="Couple",IFERROR(IF(INDEX(tblCategories[Default Owner],MATCH($K223,tblCategories[Category],0))="",$F223,INDEX(tblCategories[Default Owner],MATCH($K223,tblCategories[Category],0))),$F223),$F223))</f>
        <v/>
      </c>
      <c r="H223" t="inlineStr">
        <is>
          <t>RENT PAYMENT 84 BROADVIEW AVE</t>
        </is>
      </c>
      <c r="I223">
        <f>IF($H223="","",$H223)</f>
        <v/>
      </c>
      <c r="J223" s="19" t="n">
        <v>-2350</v>
      </c>
      <c r="K223">
        <f>IF($H223="","",IFERROR(INDEX(tblRules[Category],SUMPRODUCT(MIN((1-((tblRules[Enabled]&lt;&gt;"No")*(tblRules[Pattern]&lt;&gt;"")*(tblRules[Category]&lt;&gt;"")*((tblRules[Flow]="Any")+(tblRules[Flow]="")+((tblRules[Flow]="Money out")*($J223&lt;0))+((tblRules[Flow]="Money in")*($J223&gt;0)))*(((tblRules[Look In]="Account")*ISNUMBER(SEARCH(tblRules[Pattern],$E223)))+((tblRules[Look In]&lt;&gt;"Account")*(((tblRules[Test]="Word")*ISNUMBER(SEARCH(" "&amp;tblRules[Pattern]&amp;" "," "&amp;$H223&amp;" ")))+((tblRules[Test]&lt;&gt;"Word")*ISNUMBER(SEARCH(tblRules[Pattern],$H223))))))&gt;0))*1E+9+ROW(tblRules[Pattern])))-ROW(tblRules[[#Headers],[Pattern]])),"Uncategorized"))</f>
        <v/>
      </c>
      <c r="L223">
        <f>IF($C223="","",IFERROR(INDEX(tblCategories[Group],MATCH($K223,tblCategories[Category],0)),"Other"))</f>
        <v/>
      </c>
      <c r="M223">
        <f>IF($C223="","",IFERROR(INDEX(tblCategories[Type],MATCH($K223,tblCategories[Category],0)),IF($J223&gt;0,"Income","Expense")))</f>
        <v/>
      </c>
      <c r="N223">
        <f>IF($C223="","",IFERROR(INDEX(tblCategories[Essential],MATCH($K223,tblCategories[Category],0)),"No"))</f>
        <v/>
      </c>
      <c r="O223">
        <f>IF($C223="","",IFERROR(INDEX(tblCategories[Tax Tag],MATCH($K223,tblCategories[Category],0)),""))</f>
        <v/>
      </c>
      <c r="P223" s="20">
        <f>IF($C223="","",IF($G223=PersonA,1,IF($G223=PersonB,0,IFERROR(INDEX(tblCategories[Joint Split A],MATCH($K223,tblCategories[Category],0)),DefaultSplitA))))</f>
        <v/>
      </c>
      <c r="Q223" s="19">
        <f>IF($C223="","",ROUND($J223*N($P223),2))</f>
        <v/>
      </c>
      <c r="R223" s="19">
        <f>IF($C223="","",ROUND($J223-N($Q223),2))</f>
        <v/>
      </c>
      <c r="U223" t="inlineStr">
        <is>
          <t>sample-data</t>
        </is>
      </c>
      <c r="V223" t="inlineStr">
        <is>
          <t>SAMPLE</t>
        </is>
      </c>
      <c r="W223" t="inlineStr">
        <is>
          <t>C6F3D2FA</t>
        </is>
      </c>
      <c r="X223">
        <f>IF($C223="","",IFERROR(IF(_xlfn.ISFORMULA($K223),"Rule","Manual"),""))</f>
        <v/>
      </c>
      <c r="Y223" s="19">
        <f>IF($C223="","",IF(ReportView=PersonA,N($Q223),IF(ReportView=PersonB,N($R223),$J223)))</f>
        <v/>
      </c>
    </row>
    <row r="224">
      <c r="B224">
        <f>IF($C224="","","T"&amp;TEXT(ROW()-ROW(tblTxn[[#Headers],[Txn ID]]),"000000"))</f>
        <v/>
      </c>
      <c r="C224" s="18" t="n">
        <v>46206</v>
      </c>
      <c r="D224">
        <f>IF($C224="","",TEXT($C224,"yyyy-mm"))</f>
        <v/>
      </c>
      <c r="E224" t="inlineStr">
        <is>
          <t>BMO Joint Chequing</t>
        </is>
      </c>
      <c r="F224">
        <f>IF($C224="","",IFERROR(INDEX(tblAccounts[Owner],MATCH($E224,tblAccounts[Account],0)),"Joint"))</f>
        <v/>
      </c>
      <c r="G224">
        <f>IF($C224="","",IF(HouseholdMode="Couple",IFERROR(IF(INDEX(tblCategories[Default Owner],MATCH($K224,tblCategories[Category],0))="",$F224,INDEX(tblCategories[Default Owner],MATCH($K224,tblCategories[Category],0))),$F224),$F224))</f>
        <v/>
      </c>
      <c r="H224" t="inlineStr">
        <is>
          <t>GOODLIFE CLUBS PREAUTHORIZED DEBIT</t>
        </is>
      </c>
      <c r="I224">
        <f>IF($H224="","",$H224)</f>
        <v/>
      </c>
      <c r="J224" s="19" t="n">
        <v>-54.22</v>
      </c>
      <c r="K224">
        <f>IF($H224="","",IFERROR(INDEX(tblRules[Category],SUMPRODUCT(MIN((1-((tblRules[Enabled]&lt;&gt;"No")*(tblRules[Pattern]&lt;&gt;"")*(tblRules[Category]&lt;&gt;"")*((tblRules[Flow]="Any")+(tblRules[Flow]="")+((tblRules[Flow]="Money out")*($J224&lt;0))+((tblRules[Flow]="Money in")*($J224&gt;0)))*(((tblRules[Look In]="Account")*ISNUMBER(SEARCH(tblRules[Pattern],$E224)))+((tblRules[Look In]&lt;&gt;"Account")*(((tblRules[Test]="Word")*ISNUMBER(SEARCH(" "&amp;tblRules[Pattern]&amp;" "," "&amp;$H224&amp;" ")))+((tblRules[Test]&lt;&gt;"Word")*ISNUMBER(SEARCH(tblRules[Pattern],$H224))))))&gt;0))*1E+9+ROW(tblRules[Pattern])))-ROW(tblRules[[#Headers],[Pattern]])),"Uncategorized"))</f>
        <v/>
      </c>
      <c r="L224">
        <f>IF($C224="","",IFERROR(INDEX(tblCategories[Group],MATCH($K224,tblCategories[Category],0)),"Other"))</f>
        <v/>
      </c>
      <c r="M224">
        <f>IF($C224="","",IFERROR(INDEX(tblCategories[Type],MATCH($K224,tblCategories[Category],0)),IF($J224&gt;0,"Income","Expense")))</f>
        <v/>
      </c>
      <c r="N224">
        <f>IF($C224="","",IFERROR(INDEX(tblCategories[Essential],MATCH($K224,tblCategories[Category],0)),"No"))</f>
        <v/>
      </c>
      <c r="O224">
        <f>IF($C224="","",IFERROR(INDEX(tblCategories[Tax Tag],MATCH($K224,tblCategories[Category],0)),""))</f>
        <v/>
      </c>
      <c r="P224" s="20">
        <f>IF($C224="","",IF($G224=PersonA,1,IF($G224=PersonB,0,IFERROR(INDEX(tblCategories[Joint Split A],MATCH($K224,tblCategories[Category],0)),DefaultSplitA))))</f>
        <v/>
      </c>
      <c r="Q224" s="19">
        <f>IF($C224="","",ROUND($J224*N($P224),2))</f>
        <v/>
      </c>
      <c r="R224" s="19">
        <f>IF($C224="","",ROUND($J224-N($Q224),2))</f>
        <v/>
      </c>
      <c r="U224" t="inlineStr">
        <is>
          <t>sample-data</t>
        </is>
      </c>
      <c r="V224" t="inlineStr">
        <is>
          <t>SAMPLE</t>
        </is>
      </c>
      <c r="W224" t="inlineStr">
        <is>
          <t>023F98CB</t>
        </is>
      </c>
      <c r="X224">
        <f>IF($C224="","",IFERROR(IF(_xlfn.ISFORMULA($K224),"Rule","Manual"),""))</f>
        <v/>
      </c>
      <c r="Y224" s="19">
        <f>IF($C224="","",IF(ReportView=PersonA,N($Q224),IF(ReportView=PersonB,N($R224),$J224)))</f>
        <v/>
      </c>
    </row>
    <row r="225">
      <c r="B225">
        <f>IF($C225="","","T"&amp;TEXT(ROW()-ROW(tblTxn[[#Headers],[Txn ID]]),"000000"))</f>
        <v/>
      </c>
      <c r="C225" s="18" t="n">
        <v>46208</v>
      </c>
      <c r="D225">
        <f>IF($C225="","",TEXT($C225,"yyyy-mm"))</f>
        <v/>
      </c>
      <c r="E225" t="inlineStr">
        <is>
          <t>Amex Cobalt (Joint)</t>
        </is>
      </c>
      <c r="F225">
        <f>IF($C225="","",IFERROR(INDEX(tblAccounts[Owner],MATCH($E225,tblAccounts[Account],0)),"Joint"))</f>
        <v/>
      </c>
      <c r="G225">
        <f>IF($C225="","",IF(HouseholdMode="Couple",IFERROR(IF(INDEX(tblCategories[Default Owner],MATCH($K225,tblCategories[Category],0))="",$F225,INDEX(tblCategories[Default Owner],MATCH($K225,tblCategories[Category],0))),$F225),$F225))</f>
        <v/>
      </c>
      <c r="H225" t="inlineStr">
        <is>
          <t>IDP PURCHASE - 5434 LOBLAWS #4523 TORONTO ON</t>
        </is>
      </c>
      <c r="I225">
        <f>IF($H225="","",$H225)</f>
        <v/>
      </c>
      <c r="J225" s="19" t="n">
        <v>-104.25</v>
      </c>
      <c r="K225">
        <f>IF($H225="","",IFERROR(INDEX(tblRules[Category],SUMPRODUCT(MIN((1-((tblRules[Enabled]&lt;&gt;"No")*(tblRules[Pattern]&lt;&gt;"")*(tblRules[Category]&lt;&gt;"")*((tblRules[Flow]="Any")+(tblRules[Flow]="")+((tblRules[Flow]="Money out")*($J225&lt;0))+((tblRules[Flow]="Money in")*($J225&gt;0)))*(((tblRules[Look In]="Account")*ISNUMBER(SEARCH(tblRules[Pattern],$E225)))+((tblRules[Look In]&lt;&gt;"Account")*(((tblRules[Test]="Word")*ISNUMBER(SEARCH(" "&amp;tblRules[Pattern]&amp;" "," "&amp;$H225&amp;" ")))+((tblRules[Test]&lt;&gt;"Word")*ISNUMBER(SEARCH(tblRules[Pattern],$H225))))))&gt;0))*1E+9+ROW(tblRules[Pattern])))-ROW(tblRules[[#Headers],[Pattern]])),"Uncategorized"))</f>
        <v/>
      </c>
      <c r="L225">
        <f>IF($C225="","",IFERROR(INDEX(tblCategories[Group],MATCH($K225,tblCategories[Category],0)),"Other"))</f>
        <v/>
      </c>
      <c r="M225">
        <f>IF($C225="","",IFERROR(INDEX(tblCategories[Type],MATCH($K225,tblCategories[Category],0)),IF($J225&gt;0,"Income","Expense")))</f>
        <v/>
      </c>
      <c r="N225">
        <f>IF($C225="","",IFERROR(INDEX(tblCategories[Essential],MATCH($K225,tblCategories[Category],0)),"No"))</f>
        <v/>
      </c>
      <c r="O225">
        <f>IF($C225="","",IFERROR(INDEX(tblCategories[Tax Tag],MATCH($K225,tblCategories[Category],0)),""))</f>
        <v/>
      </c>
      <c r="P225" s="20">
        <f>IF($C225="","",IF($G225=PersonA,1,IF($G225=PersonB,0,IFERROR(INDEX(tblCategories[Joint Split A],MATCH($K225,tblCategories[Category],0)),DefaultSplitA))))</f>
        <v/>
      </c>
      <c r="Q225" s="19">
        <f>IF($C225="","",ROUND($J225*N($P225),2))</f>
        <v/>
      </c>
      <c r="R225" s="19">
        <f>IF($C225="","",ROUND($J225-N($Q225),2))</f>
        <v/>
      </c>
      <c r="U225" t="inlineStr">
        <is>
          <t>sample-data</t>
        </is>
      </c>
      <c r="V225" t="inlineStr">
        <is>
          <t>SAMPLE</t>
        </is>
      </c>
      <c r="W225" t="inlineStr">
        <is>
          <t>0E85B4EB</t>
        </is>
      </c>
      <c r="X225">
        <f>IF($C225="","",IFERROR(IF(_xlfn.ISFORMULA($K225),"Rule","Manual"),""))</f>
        <v/>
      </c>
      <c r="Y225" s="19">
        <f>IF($C225="","",IF(ReportView=PersonA,N($Q225),IF(ReportView=PersonB,N($R225),$J225)))</f>
        <v/>
      </c>
    </row>
    <row r="226">
      <c r="B226">
        <f>IF($C226="","","T"&amp;TEXT(ROW()-ROW(tblTxn[[#Headers],[Txn ID]]),"000000"))</f>
        <v/>
      </c>
      <c r="C226" s="18" t="n">
        <v>46208</v>
      </c>
      <c r="D226">
        <f>IF($C226="","",TEXT($C226,"yyyy-mm"))</f>
        <v/>
      </c>
      <c r="E226" t="inlineStr">
        <is>
          <t>Amex Cobalt (Joint)</t>
        </is>
      </c>
      <c r="F226">
        <f>IF($C226="","",IFERROR(INDEX(tblAccounts[Owner],MATCH($E226,tblAccounts[Account],0)),"Joint"))</f>
        <v/>
      </c>
      <c r="G226">
        <f>IF($C226="","",IF(HouseholdMode="Couple",IFERROR(IF(INDEX(tblCategories[Default Owner],MATCH($K226,tblCategories[Category],0))="",$F226,INDEX(tblCategories[Default Owner],MATCH($K226,tblCategories[Category],0))),$F226),$F226))</f>
        <v/>
      </c>
      <c r="H226" t="inlineStr">
        <is>
          <t>UBER TRIP HELP.UBER.COM ON</t>
        </is>
      </c>
      <c r="I226">
        <f>IF($H226="","",$H226)</f>
        <v/>
      </c>
      <c r="J226" s="19" t="n">
        <v>-22.05</v>
      </c>
      <c r="K226">
        <f>IF($H226="","",IFERROR(INDEX(tblRules[Category],SUMPRODUCT(MIN((1-((tblRules[Enabled]&lt;&gt;"No")*(tblRules[Pattern]&lt;&gt;"")*(tblRules[Category]&lt;&gt;"")*((tblRules[Flow]="Any")+(tblRules[Flow]="")+((tblRules[Flow]="Money out")*($J226&lt;0))+((tblRules[Flow]="Money in")*($J226&gt;0)))*(((tblRules[Look In]="Account")*ISNUMBER(SEARCH(tblRules[Pattern],$E226)))+((tblRules[Look In]&lt;&gt;"Account")*(((tblRules[Test]="Word")*ISNUMBER(SEARCH(" "&amp;tblRules[Pattern]&amp;" "," "&amp;$H226&amp;" ")))+((tblRules[Test]&lt;&gt;"Word")*ISNUMBER(SEARCH(tblRules[Pattern],$H226))))))&gt;0))*1E+9+ROW(tblRules[Pattern])))-ROW(tblRules[[#Headers],[Pattern]])),"Uncategorized"))</f>
        <v/>
      </c>
      <c r="L226">
        <f>IF($C226="","",IFERROR(INDEX(tblCategories[Group],MATCH($K226,tblCategories[Category],0)),"Other"))</f>
        <v/>
      </c>
      <c r="M226">
        <f>IF($C226="","",IFERROR(INDEX(tblCategories[Type],MATCH($K226,tblCategories[Category],0)),IF($J226&gt;0,"Income","Expense")))</f>
        <v/>
      </c>
      <c r="N226">
        <f>IF($C226="","",IFERROR(INDEX(tblCategories[Essential],MATCH($K226,tblCategories[Category],0)),"No"))</f>
        <v/>
      </c>
      <c r="O226">
        <f>IF($C226="","",IFERROR(INDEX(tblCategories[Tax Tag],MATCH($K226,tblCategories[Category],0)),""))</f>
        <v/>
      </c>
      <c r="P226" s="20">
        <f>IF($C226="","",IF($G226=PersonA,1,IF($G226=PersonB,0,IFERROR(INDEX(tblCategories[Joint Split A],MATCH($K226,tblCategories[Category],0)),DefaultSplitA))))</f>
        <v/>
      </c>
      <c r="Q226" s="19">
        <f>IF($C226="","",ROUND($J226*N($P226),2))</f>
        <v/>
      </c>
      <c r="R226" s="19">
        <f>IF($C226="","",ROUND($J226-N($Q226),2))</f>
        <v/>
      </c>
      <c r="U226" t="inlineStr">
        <is>
          <t>sample-data</t>
        </is>
      </c>
      <c r="V226" t="inlineStr">
        <is>
          <t>SAMPLE</t>
        </is>
      </c>
      <c r="W226" t="inlineStr">
        <is>
          <t>6A82F50E</t>
        </is>
      </c>
      <c r="X226">
        <f>IF($C226="","",IFERROR(IF(_xlfn.ISFORMULA($K226),"Rule","Manual"),""))</f>
        <v/>
      </c>
      <c r="Y226" s="19">
        <f>IF($C226="","",IF(ReportView=PersonA,N($Q226),IF(ReportView=PersonB,N($R226),$J226)))</f>
        <v/>
      </c>
    </row>
    <row r="227">
      <c r="B227">
        <f>IF($C227="","","T"&amp;TEXT(ROW()-ROW(tblTxn[[#Headers],[Txn ID]]),"000000"))</f>
        <v/>
      </c>
      <c r="C227" s="18" t="n">
        <v>46208</v>
      </c>
      <c r="D227">
        <f>IF($C227="","",TEXT($C227,"yyyy-mm"))</f>
        <v/>
      </c>
      <c r="E227" t="inlineStr">
        <is>
          <t>BMO Joint Chequing</t>
        </is>
      </c>
      <c r="F227">
        <f>IF($C227="","",IFERROR(INDEX(tblAccounts[Owner],MATCH($E227,tblAccounts[Account],0)),"Joint"))</f>
        <v/>
      </c>
      <c r="G227">
        <f>IF($C227="","",IF(HouseholdMode="Couple",IFERROR(IF(INDEX(tblCategories[Default Owner],MATCH($K227,tblCategories[Category],0))="",$F227,INDEX(tblCategories[Default Owner],MATCH($K227,tblCategories[Category],0))),$F227),$F227))</f>
        <v/>
      </c>
      <c r="H227" t="inlineStr">
        <is>
          <t>BELAIRDIRECT INSURANCE PREAUTHORIZED DEBIT</t>
        </is>
      </c>
      <c r="I227">
        <f>IF($H227="","",$H227)</f>
        <v/>
      </c>
      <c r="J227" s="19" t="n">
        <v>-168</v>
      </c>
      <c r="K227">
        <f>IF($H227="","",IFERROR(INDEX(tblRules[Category],SUMPRODUCT(MIN((1-((tblRules[Enabled]&lt;&gt;"No")*(tblRules[Pattern]&lt;&gt;"")*(tblRules[Category]&lt;&gt;"")*((tblRules[Flow]="Any")+(tblRules[Flow]="")+((tblRules[Flow]="Money out")*($J227&lt;0))+((tblRules[Flow]="Money in")*($J227&gt;0)))*(((tblRules[Look In]="Account")*ISNUMBER(SEARCH(tblRules[Pattern],$E227)))+((tblRules[Look In]&lt;&gt;"Account")*(((tblRules[Test]="Word")*ISNUMBER(SEARCH(" "&amp;tblRules[Pattern]&amp;" "," "&amp;$H227&amp;" ")))+((tblRules[Test]&lt;&gt;"Word")*ISNUMBER(SEARCH(tblRules[Pattern],$H227))))))&gt;0))*1E+9+ROW(tblRules[Pattern])))-ROW(tblRules[[#Headers],[Pattern]])),"Uncategorized"))</f>
        <v/>
      </c>
      <c r="L227">
        <f>IF($C227="","",IFERROR(INDEX(tblCategories[Group],MATCH($K227,tblCategories[Category],0)),"Other"))</f>
        <v/>
      </c>
      <c r="M227">
        <f>IF($C227="","",IFERROR(INDEX(tblCategories[Type],MATCH($K227,tblCategories[Category],0)),IF($J227&gt;0,"Income","Expense")))</f>
        <v/>
      </c>
      <c r="N227">
        <f>IF($C227="","",IFERROR(INDEX(tblCategories[Essential],MATCH($K227,tblCategories[Category],0)),"No"))</f>
        <v/>
      </c>
      <c r="O227">
        <f>IF($C227="","",IFERROR(INDEX(tblCategories[Tax Tag],MATCH($K227,tblCategories[Category],0)),""))</f>
        <v/>
      </c>
      <c r="P227" s="20">
        <f>IF($C227="","",IF($G227=PersonA,1,IF($G227=PersonB,0,IFERROR(INDEX(tblCategories[Joint Split A],MATCH($K227,tblCategories[Category],0)),DefaultSplitA))))</f>
        <v/>
      </c>
      <c r="Q227" s="19">
        <f>IF($C227="","",ROUND($J227*N($P227),2))</f>
        <v/>
      </c>
      <c r="R227" s="19">
        <f>IF($C227="","",ROUND($J227-N($Q227),2))</f>
        <v/>
      </c>
      <c r="U227" t="inlineStr">
        <is>
          <t>sample-data</t>
        </is>
      </c>
      <c r="V227" t="inlineStr">
        <is>
          <t>SAMPLE</t>
        </is>
      </c>
      <c r="W227" t="inlineStr">
        <is>
          <t>85CE7E4B</t>
        </is>
      </c>
      <c r="X227">
        <f>IF($C227="","",IFERROR(IF(_xlfn.ISFORMULA($K227),"Rule","Manual"),""))</f>
        <v/>
      </c>
      <c r="Y227" s="19">
        <f>IF($C227="","",IF(ReportView=PersonA,N($Q227),IF(ReportView=PersonB,N($R227),$J227)))</f>
        <v/>
      </c>
    </row>
    <row r="228">
      <c r="B228">
        <f>IF($C228="","","T"&amp;TEXT(ROW()-ROW(tblTxn[[#Headers],[Txn ID]]),"000000"))</f>
        <v/>
      </c>
      <c r="C228" s="18" t="n">
        <v>46208</v>
      </c>
      <c r="D228">
        <f>IF($C228="","",TEXT($C228,"yyyy-mm"))</f>
        <v/>
      </c>
      <c r="E228" t="inlineStr">
        <is>
          <t>BMO Joint Chequing</t>
        </is>
      </c>
      <c r="F228">
        <f>IF($C228="","",IFERROR(INDEX(tblAccounts[Owner],MATCH($E228,tblAccounts[Account],0)),"Joint"))</f>
        <v/>
      </c>
      <c r="G228">
        <f>IF($C228="","",IF(HouseholdMode="Couple",IFERROR(IF(INDEX(tblCategories[Default Owner],MATCH($K228,tblCategories[Category],0))="",$F228,INDEX(tblCategories[Default Owner],MATCH($K228,tblCategories[Category],0))),$F228),$F228))</f>
        <v/>
      </c>
      <c r="H228" t="inlineStr">
        <is>
          <t>LITTLE MAPLE DAYCARE PREAUTHORIZED DEBIT</t>
        </is>
      </c>
      <c r="I228">
        <f>IF($H228="","",$H228)</f>
        <v/>
      </c>
      <c r="J228" s="19" t="n">
        <v>-880</v>
      </c>
      <c r="K228">
        <f>IF($H228="","",IFERROR(INDEX(tblRules[Category],SUMPRODUCT(MIN((1-((tblRules[Enabled]&lt;&gt;"No")*(tblRules[Pattern]&lt;&gt;"")*(tblRules[Category]&lt;&gt;"")*((tblRules[Flow]="Any")+(tblRules[Flow]="")+((tblRules[Flow]="Money out")*($J228&lt;0))+((tblRules[Flow]="Money in")*($J228&gt;0)))*(((tblRules[Look In]="Account")*ISNUMBER(SEARCH(tblRules[Pattern],$E228)))+((tblRules[Look In]&lt;&gt;"Account")*(((tblRules[Test]="Word")*ISNUMBER(SEARCH(" "&amp;tblRules[Pattern]&amp;" "," "&amp;$H228&amp;" ")))+((tblRules[Test]&lt;&gt;"Word")*ISNUMBER(SEARCH(tblRules[Pattern],$H228))))))&gt;0))*1E+9+ROW(tblRules[Pattern])))-ROW(tblRules[[#Headers],[Pattern]])),"Uncategorized"))</f>
        <v/>
      </c>
      <c r="L228">
        <f>IF($C228="","",IFERROR(INDEX(tblCategories[Group],MATCH($K228,tblCategories[Category],0)),"Other"))</f>
        <v/>
      </c>
      <c r="M228">
        <f>IF($C228="","",IFERROR(INDEX(tblCategories[Type],MATCH($K228,tblCategories[Category],0)),IF($J228&gt;0,"Income","Expense")))</f>
        <v/>
      </c>
      <c r="N228">
        <f>IF($C228="","",IFERROR(INDEX(tblCategories[Essential],MATCH($K228,tblCategories[Category],0)),"No"))</f>
        <v/>
      </c>
      <c r="O228">
        <f>IF($C228="","",IFERROR(INDEX(tblCategories[Tax Tag],MATCH($K228,tblCategories[Category],0)),""))</f>
        <v/>
      </c>
      <c r="P228" s="20">
        <f>IF($C228="","",IF($G228=PersonA,1,IF($G228=PersonB,0,IFERROR(INDEX(tblCategories[Joint Split A],MATCH($K228,tblCategories[Category],0)),DefaultSplitA))))</f>
        <v/>
      </c>
      <c r="Q228" s="19">
        <f>IF($C228="","",ROUND($J228*N($P228),2))</f>
        <v/>
      </c>
      <c r="R228" s="19">
        <f>IF($C228="","",ROUND($J228-N($Q228),2))</f>
        <v/>
      </c>
      <c r="U228" t="inlineStr">
        <is>
          <t>sample-data</t>
        </is>
      </c>
      <c r="V228" t="inlineStr">
        <is>
          <t>SAMPLE</t>
        </is>
      </c>
      <c r="W228" t="inlineStr">
        <is>
          <t>93E52F74</t>
        </is>
      </c>
      <c r="X228">
        <f>IF($C228="","",IFERROR(IF(_xlfn.ISFORMULA($K228),"Rule","Manual"),""))</f>
        <v/>
      </c>
      <c r="Y228" s="19">
        <f>IF($C228="","",IF(ReportView=PersonA,N($Q228),IF(ReportView=PersonB,N($R228),$J228)))</f>
        <v/>
      </c>
    </row>
    <row r="229">
      <c r="B229">
        <f>IF($C229="","","T"&amp;TEXT(ROW()-ROW(tblTxn[[#Headers],[Txn ID]]),"000000"))</f>
        <v/>
      </c>
      <c r="C229" s="18" t="n">
        <v>46209</v>
      </c>
      <c r="D229">
        <f>IF($C229="","",TEXT($C229,"yyyy-mm"))</f>
        <v/>
      </c>
      <c r="E229" t="inlineStr">
        <is>
          <t>BMO Joint Chequing</t>
        </is>
      </c>
      <c r="F229">
        <f>IF($C229="","",IFERROR(INDEX(tblAccounts[Owner],MATCH($E229,tblAccounts[Account],0)),"Joint"))</f>
        <v/>
      </c>
      <c r="G229">
        <f>IF($C229="","",IF(HouseholdMode="Couple",IFERROR(IF(INDEX(tblCategories[Default Owner],MATCH($K229,tblCategories[Category],0))="",$F229,INDEX(tblCategories[Default Owner],MATCH($K229,tblCategories[Category],0))),$F229),$F229))</f>
        <v/>
      </c>
      <c r="H229" t="inlineStr">
        <is>
          <t>SUN LIFE ASSURANCE MISC PAYMENT</t>
        </is>
      </c>
      <c r="I229">
        <f>IF($H229="","",$H229)</f>
        <v/>
      </c>
      <c r="J229" s="19" t="n">
        <v>-74.5</v>
      </c>
      <c r="K229">
        <f>IF($H229="","",IFERROR(INDEX(tblRules[Category],SUMPRODUCT(MIN((1-((tblRules[Enabled]&lt;&gt;"No")*(tblRules[Pattern]&lt;&gt;"")*(tblRules[Category]&lt;&gt;"")*((tblRules[Flow]="Any")+(tblRules[Flow]="")+((tblRules[Flow]="Money out")*($J229&lt;0))+((tblRules[Flow]="Money in")*($J229&gt;0)))*(((tblRules[Look In]="Account")*ISNUMBER(SEARCH(tblRules[Pattern],$E229)))+((tblRules[Look In]&lt;&gt;"Account")*(((tblRules[Test]="Word")*ISNUMBER(SEARCH(" "&amp;tblRules[Pattern]&amp;" "," "&amp;$H229&amp;" ")))+((tblRules[Test]&lt;&gt;"Word")*ISNUMBER(SEARCH(tblRules[Pattern],$H229))))))&gt;0))*1E+9+ROW(tblRules[Pattern])))-ROW(tblRules[[#Headers],[Pattern]])),"Uncategorized"))</f>
        <v/>
      </c>
      <c r="L229">
        <f>IF($C229="","",IFERROR(INDEX(tblCategories[Group],MATCH($K229,tblCategories[Category],0)),"Other"))</f>
        <v/>
      </c>
      <c r="M229">
        <f>IF($C229="","",IFERROR(INDEX(tblCategories[Type],MATCH($K229,tblCategories[Category],0)),IF($J229&gt;0,"Income","Expense")))</f>
        <v/>
      </c>
      <c r="N229">
        <f>IF($C229="","",IFERROR(INDEX(tblCategories[Essential],MATCH($K229,tblCategories[Category],0)),"No"))</f>
        <v/>
      </c>
      <c r="O229">
        <f>IF($C229="","",IFERROR(INDEX(tblCategories[Tax Tag],MATCH($K229,tblCategories[Category],0)),""))</f>
        <v/>
      </c>
      <c r="P229" s="20">
        <f>IF($C229="","",IF($G229=PersonA,1,IF($G229=PersonB,0,IFERROR(INDEX(tblCategories[Joint Split A],MATCH($K229,tblCategories[Category],0)),DefaultSplitA))))</f>
        <v/>
      </c>
      <c r="Q229" s="19">
        <f>IF($C229="","",ROUND($J229*N($P229),2))</f>
        <v/>
      </c>
      <c r="R229" s="19">
        <f>IF($C229="","",ROUND($J229-N($Q229),2))</f>
        <v/>
      </c>
      <c r="U229" t="inlineStr">
        <is>
          <t>sample-data</t>
        </is>
      </c>
      <c r="V229" t="inlineStr">
        <is>
          <t>SAMPLE</t>
        </is>
      </c>
      <c r="W229" t="inlineStr">
        <is>
          <t>A21332FE</t>
        </is>
      </c>
      <c r="X229">
        <f>IF($C229="","",IFERROR(IF(_xlfn.ISFORMULA($K229),"Rule","Manual"),""))</f>
        <v/>
      </c>
      <c r="Y229" s="19">
        <f>IF($C229="","",IF(ReportView=PersonA,N($Q229),IF(ReportView=PersonB,N($R229),$J229)))</f>
        <v/>
      </c>
    </row>
    <row r="230">
      <c r="B230">
        <f>IF($C230="","","T"&amp;TEXT(ROW()-ROW(tblTxn[[#Headers],[Txn ID]]),"000000"))</f>
        <v/>
      </c>
      <c r="C230" s="18" t="n">
        <v>46211</v>
      </c>
      <c r="D230">
        <f>IF($C230="","",TEXT($C230,"yyyy-mm"))</f>
        <v/>
      </c>
      <c r="E230" t="inlineStr">
        <is>
          <t>BMO Joint Chequing</t>
        </is>
      </c>
      <c r="F230">
        <f>IF($C230="","",IFERROR(INDEX(tblAccounts[Owner],MATCH($E230,tblAccounts[Account],0)),"Joint"))</f>
        <v/>
      </c>
      <c r="G230">
        <f>IF($C230="","",IF(HouseholdMode="Couple",IFERROR(IF(INDEX(tblCategories[Default Owner],MATCH($K230,tblCategories[Category],0))="",$F230,INDEX(tblCategories[Default Owner],MATCH($K230,tblCategories[Category],0))),$F230),$F230))</f>
        <v/>
      </c>
      <c r="H230" t="inlineStr">
        <is>
          <t>TORONTO HYDRO BILL PAYMENT</t>
        </is>
      </c>
      <c r="I230">
        <f>IF($H230="","",$H230)</f>
        <v/>
      </c>
      <c r="J230" s="19" t="n">
        <v>-105.92</v>
      </c>
      <c r="K230">
        <f>IF($H230="","",IFERROR(INDEX(tblRules[Category],SUMPRODUCT(MIN((1-((tblRules[Enabled]&lt;&gt;"No")*(tblRules[Pattern]&lt;&gt;"")*(tblRules[Category]&lt;&gt;"")*((tblRules[Flow]="Any")+(tblRules[Flow]="")+((tblRules[Flow]="Money out")*($J230&lt;0))+((tblRules[Flow]="Money in")*($J230&gt;0)))*(((tblRules[Look In]="Account")*ISNUMBER(SEARCH(tblRules[Pattern],$E230)))+((tblRules[Look In]&lt;&gt;"Account")*(((tblRules[Test]="Word")*ISNUMBER(SEARCH(" "&amp;tblRules[Pattern]&amp;" "," "&amp;$H230&amp;" ")))+((tblRules[Test]&lt;&gt;"Word")*ISNUMBER(SEARCH(tblRules[Pattern],$H230))))))&gt;0))*1E+9+ROW(tblRules[Pattern])))-ROW(tblRules[[#Headers],[Pattern]])),"Uncategorized"))</f>
        <v/>
      </c>
      <c r="L230">
        <f>IF($C230="","",IFERROR(INDEX(tblCategories[Group],MATCH($K230,tblCategories[Category],0)),"Other"))</f>
        <v/>
      </c>
      <c r="M230">
        <f>IF($C230="","",IFERROR(INDEX(tblCategories[Type],MATCH($K230,tblCategories[Category],0)),IF($J230&gt;0,"Income","Expense")))</f>
        <v/>
      </c>
      <c r="N230">
        <f>IF($C230="","",IFERROR(INDEX(tblCategories[Essential],MATCH($K230,tblCategories[Category],0)),"No"))</f>
        <v/>
      </c>
      <c r="O230">
        <f>IF($C230="","",IFERROR(INDEX(tblCategories[Tax Tag],MATCH($K230,tblCategories[Category],0)),""))</f>
        <v/>
      </c>
      <c r="P230" s="20">
        <f>IF($C230="","",IF($G230=PersonA,1,IF($G230=PersonB,0,IFERROR(INDEX(tblCategories[Joint Split A],MATCH($K230,tblCategories[Category],0)),DefaultSplitA))))</f>
        <v/>
      </c>
      <c r="Q230" s="19">
        <f>IF($C230="","",ROUND($J230*N($P230),2))</f>
        <v/>
      </c>
      <c r="R230" s="19">
        <f>IF($C230="","",ROUND($J230-N($Q230),2))</f>
        <v/>
      </c>
      <c r="U230" t="inlineStr">
        <is>
          <t>sample-data</t>
        </is>
      </c>
      <c r="V230" t="inlineStr">
        <is>
          <t>SAMPLE</t>
        </is>
      </c>
      <c r="W230" t="inlineStr">
        <is>
          <t>6288A07A</t>
        </is>
      </c>
      <c r="X230">
        <f>IF($C230="","",IFERROR(IF(_xlfn.ISFORMULA($K230),"Rule","Manual"),""))</f>
        <v/>
      </c>
      <c r="Y230" s="19">
        <f>IF($C230="","",IF(ReportView=PersonA,N($Q230),IF(ReportView=PersonB,N($R230),$J230)))</f>
        <v/>
      </c>
    </row>
    <row r="231">
      <c r="B231">
        <f>IF($C231="","","T"&amp;TEXT(ROW()-ROW(tblTxn[[#Headers],[Txn ID]]),"000000"))</f>
        <v/>
      </c>
      <c r="C231" s="18" t="n">
        <v>46212</v>
      </c>
      <c r="D231">
        <f>IF($C231="","",TEXT($C231,"yyyy-mm"))</f>
        <v/>
      </c>
      <c r="E231" t="inlineStr">
        <is>
          <t>Amex Cobalt (Joint)</t>
        </is>
      </c>
      <c r="F231">
        <f>IF($C231="","",IFERROR(INDEX(tblAccounts[Owner],MATCH($E231,tblAccounts[Account],0)),"Joint"))</f>
        <v/>
      </c>
      <c r="G231">
        <f>IF($C231="","",IF(HouseholdMode="Couple",IFERROR(IF(INDEX(tblCategories[Default Owner],MATCH($K231,tblCategories[Category],0))="",$F231,INDEX(tblCategories[Default Owner],MATCH($K231,tblCategories[Category],0))),$F231),$F231))</f>
        <v/>
      </c>
      <c r="H231" t="inlineStr">
        <is>
          <t>IDP PURCHASE - 7812 STARBUCKS #3113 TORONTO ON</t>
        </is>
      </c>
      <c r="I231">
        <f>IF($H231="","",$H231)</f>
        <v/>
      </c>
      <c r="J231" s="19" t="n">
        <v>-10.47</v>
      </c>
      <c r="K231">
        <f>IF($H231="","",IFERROR(INDEX(tblRules[Category],SUMPRODUCT(MIN((1-((tblRules[Enabled]&lt;&gt;"No")*(tblRules[Pattern]&lt;&gt;"")*(tblRules[Category]&lt;&gt;"")*((tblRules[Flow]="Any")+(tblRules[Flow]="")+((tblRules[Flow]="Money out")*($J231&lt;0))+((tblRules[Flow]="Money in")*($J231&gt;0)))*(((tblRules[Look In]="Account")*ISNUMBER(SEARCH(tblRules[Pattern],$E231)))+((tblRules[Look In]&lt;&gt;"Account")*(((tblRules[Test]="Word")*ISNUMBER(SEARCH(" "&amp;tblRules[Pattern]&amp;" "," "&amp;$H231&amp;" ")))+((tblRules[Test]&lt;&gt;"Word")*ISNUMBER(SEARCH(tblRules[Pattern],$H231))))))&gt;0))*1E+9+ROW(tblRules[Pattern])))-ROW(tblRules[[#Headers],[Pattern]])),"Uncategorized"))</f>
        <v/>
      </c>
      <c r="L231">
        <f>IF($C231="","",IFERROR(INDEX(tblCategories[Group],MATCH($K231,tblCategories[Category],0)),"Other"))</f>
        <v/>
      </c>
      <c r="M231">
        <f>IF($C231="","",IFERROR(INDEX(tblCategories[Type],MATCH($K231,tblCategories[Category],0)),IF($J231&gt;0,"Income","Expense")))</f>
        <v/>
      </c>
      <c r="N231">
        <f>IF($C231="","",IFERROR(INDEX(tblCategories[Essential],MATCH($K231,tblCategories[Category],0)),"No"))</f>
        <v/>
      </c>
      <c r="O231">
        <f>IF($C231="","",IFERROR(INDEX(tblCategories[Tax Tag],MATCH($K231,tblCategories[Category],0)),""))</f>
        <v/>
      </c>
      <c r="P231" s="20">
        <f>IF($C231="","",IF($G231=PersonA,1,IF($G231=PersonB,0,IFERROR(INDEX(tblCategories[Joint Split A],MATCH($K231,tblCategories[Category],0)),DefaultSplitA))))</f>
        <v/>
      </c>
      <c r="Q231" s="19">
        <f>IF($C231="","",ROUND($J231*N($P231),2))</f>
        <v/>
      </c>
      <c r="R231" s="19">
        <f>IF($C231="","",ROUND($J231-N($Q231),2))</f>
        <v/>
      </c>
      <c r="U231" t="inlineStr">
        <is>
          <t>sample-data</t>
        </is>
      </c>
      <c r="V231" t="inlineStr">
        <is>
          <t>SAMPLE</t>
        </is>
      </c>
      <c r="W231" t="inlineStr">
        <is>
          <t>BDDCBFF9</t>
        </is>
      </c>
      <c r="X231">
        <f>IF($C231="","",IFERROR(IF(_xlfn.ISFORMULA($K231),"Rule","Manual"),""))</f>
        <v/>
      </c>
      <c r="Y231" s="19">
        <f>IF($C231="","",IF(ReportView=PersonA,N($Q231),IF(ReportView=PersonB,N($R231),$J231)))</f>
        <v/>
      </c>
    </row>
    <row r="232">
      <c r="B232">
        <f>IF($C232="","","T"&amp;TEXT(ROW()-ROW(tblTxn[[#Headers],[Txn ID]]),"000000"))</f>
        <v/>
      </c>
      <c r="C232" s="18" t="n">
        <v>46212</v>
      </c>
      <c r="D232">
        <f>IF($C232="","",TEXT($C232,"yyyy-mm"))</f>
        <v/>
      </c>
      <c r="E232" t="inlineStr">
        <is>
          <t>BMO Joint Chequing</t>
        </is>
      </c>
      <c r="F232">
        <f>IF($C232="","",IFERROR(INDEX(tblAccounts[Owner],MATCH($E232,tblAccounts[Account],0)),"Joint"))</f>
        <v/>
      </c>
      <c r="G232">
        <f>IF($C232="","",IF(HouseholdMode="Couple",IFERROR(IF(INDEX(tblCategories[Default Owner],MATCH($K232,tblCategories[Category],0))="",$F232,INDEX(tblCategories[Default Owner],MATCH($K232,tblCategories[Category],0))),$F232),$F232))</f>
        <v/>
      </c>
      <c r="H232" t="inlineStr">
        <is>
          <t>ENBRIDGE GAS PREAUTHORIZED DEBIT</t>
        </is>
      </c>
      <c r="I232">
        <f>IF($H232="","",$H232)</f>
        <v/>
      </c>
      <c r="J232" s="19" t="n">
        <v>-91.59999999999999</v>
      </c>
      <c r="K232">
        <f>IF($H232="","",IFERROR(INDEX(tblRules[Category],SUMPRODUCT(MIN((1-((tblRules[Enabled]&lt;&gt;"No")*(tblRules[Pattern]&lt;&gt;"")*(tblRules[Category]&lt;&gt;"")*((tblRules[Flow]="Any")+(tblRules[Flow]="")+((tblRules[Flow]="Money out")*($J232&lt;0))+((tblRules[Flow]="Money in")*($J232&gt;0)))*(((tblRules[Look In]="Account")*ISNUMBER(SEARCH(tblRules[Pattern],$E232)))+((tblRules[Look In]&lt;&gt;"Account")*(((tblRules[Test]="Word")*ISNUMBER(SEARCH(" "&amp;tblRules[Pattern]&amp;" "," "&amp;$H232&amp;" ")))+((tblRules[Test]&lt;&gt;"Word")*ISNUMBER(SEARCH(tblRules[Pattern],$H232))))))&gt;0))*1E+9+ROW(tblRules[Pattern])))-ROW(tblRules[[#Headers],[Pattern]])),"Uncategorized"))</f>
        <v/>
      </c>
      <c r="L232">
        <f>IF($C232="","",IFERROR(INDEX(tblCategories[Group],MATCH($K232,tblCategories[Category],0)),"Other"))</f>
        <v/>
      </c>
      <c r="M232">
        <f>IF($C232="","",IFERROR(INDEX(tblCategories[Type],MATCH($K232,tblCategories[Category],0)),IF($J232&gt;0,"Income","Expense")))</f>
        <v/>
      </c>
      <c r="N232">
        <f>IF($C232="","",IFERROR(INDEX(tblCategories[Essential],MATCH($K232,tblCategories[Category],0)),"No"))</f>
        <v/>
      </c>
      <c r="O232">
        <f>IF($C232="","",IFERROR(INDEX(tblCategories[Tax Tag],MATCH($K232,tblCategories[Category],0)),""))</f>
        <v/>
      </c>
      <c r="P232" s="20">
        <f>IF($C232="","",IF($G232=PersonA,1,IF($G232=PersonB,0,IFERROR(INDEX(tblCategories[Joint Split A],MATCH($K232,tblCategories[Category],0)),DefaultSplitA))))</f>
        <v/>
      </c>
      <c r="Q232" s="19">
        <f>IF($C232="","",ROUND($J232*N($P232),2))</f>
        <v/>
      </c>
      <c r="R232" s="19">
        <f>IF($C232="","",ROUND($J232-N($Q232),2))</f>
        <v/>
      </c>
      <c r="U232" t="inlineStr">
        <is>
          <t>sample-data</t>
        </is>
      </c>
      <c r="V232" t="inlineStr">
        <is>
          <t>SAMPLE</t>
        </is>
      </c>
      <c r="W232" t="inlineStr">
        <is>
          <t>DAC954D5</t>
        </is>
      </c>
      <c r="X232">
        <f>IF($C232="","",IFERROR(IF(_xlfn.ISFORMULA($K232),"Rule","Manual"),""))</f>
        <v/>
      </c>
      <c r="Y232" s="19">
        <f>IF($C232="","",IF(ReportView=PersonA,N($Q232),IF(ReportView=PersonB,N($R232),$J232)))</f>
        <v/>
      </c>
    </row>
    <row r="233">
      <c r="B233">
        <f>IF($C233="","","T"&amp;TEXT(ROW()-ROW(tblTxn[[#Headers],[Txn ID]]),"000000"))</f>
        <v/>
      </c>
      <c r="C233" s="18" t="n">
        <v>46212</v>
      </c>
      <c r="D233">
        <f>IF($C233="","",TEXT($C233,"yyyy-mm"))</f>
        <v/>
      </c>
      <c r="E233" t="inlineStr">
        <is>
          <t>BMO Joint Chequing</t>
        </is>
      </c>
      <c r="F233">
        <f>IF($C233="","",IFERROR(INDEX(tblAccounts[Owner],MATCH($E233,tblAccounts[Account],0)),"Joint"))</f>
        <v/>
      </c>
      <c r="G233">
        <f>IF($C233="","",IF(HouseholdMode="Couple",IFERROR(IF(INDEX(tblCategories[Default Owner],MATCH($K233,tblCategories[Category],0))="",$F233,INDEX(tblCategories[Default Owner],MATCH($K233,tblCategories[Category],0))),$F233),$F233))</f>
        <v/>
      </c>
      <c r="H233" t="inlineStr">
        <is>
          <t>IDP PURCHASE - 2904 TIM HORTONS #1288 TORONTO ON</t>
        </is>
      </c>
      <c r="I233">
        <f>IF($H233="","",$H233)</f>
        <v/>
      </c>
      <c r="J233" s="19" t="n">
        <v>-3.68</v>
      </c>
      <c r="K233">
        <f>IF($H233="","",IFERROR(INDEX(tblRules[Category],SUMPRODUCT(MIN((1-((tblRules[Enabled]&lt;&gt;"No")*(tblRules[Pattern]&lt;&gt;"")*(tblRules[Category]&lt;&gt;"")*((tblRules[Flow]="Any")+(tblRules[Flow]="")+((tblRules[Flow]="Money out")*($J233&lt;0))+((tblRules[Flow]="Money in")*($J233&gt;0)))*(((tblRules[Look In]="Account")*ISNUMBER(SEARCH(tblRules[Pattern],$E233)))+((tblRules[Look In]&lt;&gt;"Account")*(((tblRules[Test]="Word")*ISNUMBER(SEARCH(" "&amp;tblRules[Pattern]&amp;" "," "&amp;$H233&amp;" ")))+((tblRules[Test]&lt;&gt;"Word")*ISNUMBER(SEARCH(tblRules[Pattern],$H233))))))&gt;0))*1E+9+ROW(tblRules[Pattern])))-ROW(tblRules[[#Headers],[Pattern]])),"Uncategorized"))</f>
        <v/>
      </c>
      <c r="L233">
        <f>IF($C233="","",IFERROR(INDEX(tblCategories[Group],MATCH($K233,tblCategories[Category],0)),"Other"))</f>
        <v/>
      </c>
      <c r="M233">
        <f>IF($C233="","",IFERROR(INDEX(tblCategories[Type],MATCH($K233,tblCategories[Category],0)),IF($J233&gt;0,"Income","Expense")))</f>
        <v/>
      </c>
      <c r="N233">
        <f>IF($C233="","",IFERROR(INDEX(tblCategories[Essential],MATCH($K233,tblCategories[Category],0)),"No"))</f>
        <v/>
      </c>
      <c r="O233">
        <f>IF($C233="","",IFERROR(INDEX(tblCategories[Tax Tag],MATCH($K233,tblCategories[Category],0)),""))</f>
        <v/>
      </c>
      <c r="P233" s="20">
        <f>IF($C233="","",IF($G233=PersonA,1,IF($G233=PersonB,0,IFERROR(INDEX(tblCategories[Joint Split A],MATCH($K233,tblCategories[Category],0)),DefaultSplitA))))</f>
        <v/>
      </c>
      <c r="Q233" s="19">
        <f>IF($C233="","",ROUND($J233*N($P233),2))</f>
        <v/>
      </c>
      <c r="R233" s="19">
        <f>IF($C233="","",ROUND($J233-N($Q233),2))</f>
        <v/>
      </c>
      <c r="U233" t="inlineStr">
        <is>
          <t>sample-data</t>
        </is>
      </c>
      <c r="V233" t="inlineStr">
        <is>
          <t>SAMPLE</t>
        </is>
      </c>
      <c r="W233" t="inlineStr">
        <is>
          <t>1AC13AFE</t>
        </is>
      </c>
      <c r="X233">
        <f>IF($C233="","",IFERROR(IF(_xlfn.ISFORMULA($K233),"Rule","Manual"),""))</f>
        <v/>
      </c>
      <c r="Y233" s="19">
        <f>IF($C233="","",IF(ReportView=PersonA,N($Q233),IF(ReportView=PersonB,N($R233),$J233)))</f>
        <v/>
      </c>
    </row>
    <row r="234">
      <c r="B234">
        <f>IF($C234="","","T"&amp;TEXT(ROW()-ROW(tblTxn[[#Headers],[Txn ID]]),"000000"))</f>
        <v/>
      </c>
      <c r="C234" s="18" t="n">
        <v>46214</v>
      </c>
      <c r="D234">
        <f>IF($C234="","",TEXT($C234,"yyyy-mm"))</f>
        <v/>
      </c>
      <c r="E234" t="inlineStr">
        <is>
          <t>Amex Cobalt (Joint)</t>
        </is>
      </c>
      <c r="F234">
        <f>IF($C234="","",IFERROR(INDEX(tblAccounts[Owner],MATCH($E234,tblAccounts[Account],0)),"Joint"))</f>
        <v/>
      </c>
      <c r="G234">
        <f>IF($C234="","",IF(HouseholdMode="Couple",IFERROR(IF(INDEX(tblCategories[Default Owner],MATCH($K234,tblCategories[Category],0))="",$F234,INDEX(tblCategories[Default Owner],MATCH($K234,tblCategories[Category],0))),$F234),$F234))</f>
        <v/>
      </c>
      <c r="H234" t="inlineStr">
        <is>
          <t>IDP PURCHASE - 3832 TIM HORTONS #3028 TORONTO ON</t>
        </is>
      </c>
      <c r="I234">
        <f>IF($H234="","",$H234)</f>
        <v/>
      </c>
      <c r="J234" s="19" t="n">
        <v>-3.29</v>
      </c>
      <c r="K234">
        <f>IF($H234="","",IFERROR(INDEX(tblRules[Category],SUMPRODUCT(MIN((1-((tblRules[Enabled]&lt;&gt;"No")*(tblRules[Pattern]&lt;&gt;"")*(tblRules[Category]&lt;&gt;"")*((tblRules[Flow]="Any")+(tblRules[Flow]="")+((tblRules[Flow]="Money out")*($J234&lt;0))+((tblRules[Flow]="Money in")*($J234&gt;0)))*(((tblRules[Look In]="Account")*ISNUMBER(SEARCH(tblRules[Pattern],$E234)))+((tblRules[Look In]&lt;&gt;"Account")*(((tblRules[Test]="Word")*ISNUMBER(SEARCH(" "&amp;tblRules[Pattern]&amp;" "," "&amp;$H234&amp;" ")))+((tblRules[Test]&lt;&gt;"Word")*ISNUMBER(SEARCH(tblRules[Pattern],$H234))))))&gt;0))*1E+9+ROW(tblRules[Pattern])))-ROW(tblRules[[#Headers],[Pattern]])),"Uncategorized"))</f>
        <v/>
      </c>
      <c r="L234">
        <f>IF($C234="","",IFERROR(INDEX(tblCategories[Group],MATCH($K234,tblCategories[Category],0)),"Other"))</f>
        <v/>
      </c>
      <c r="M234">
        <f>IF($C234="","",IFERROR(INDEX(tblCategories[Type],MATCH($K234,tblCategories[Category],0)),IF($J234&gt;0,"Income","Expense")))</f>
        <v/>
      </c>
      <c r="N234">
        <f>IF($C234="","",IFERROR(INDEX(tblCategories[Essential],MATCH($K234,tblCategories[Category],0)),"No"))</f>
        <v/>
      </c>
      <c r="O234">
        <f>IF($C234="","",IFERROR(INDEX(tblCategories[Tax Tag],MATCH($K234,tblCategories[Category],0)),""))</f>
        <v/>
      </c>
      <c r="P234" s="20">
        <f>IF($C234="","",IF($G234=PersonA,1,IF($G234=PersonB,0,IFERROR(INDEX(tblCategories[Joint Split A],MATCH($K234,tblCategories[Category],0)),DefaultSplitA))))</f>
        <v/>
      </c>
      <c r="Q234" s="19">
        <f>IF($C234="","",ROUND($J234*N($P234),2))</f>
        <v/>
      </c>
      <c r="R234" s="19">
        <f>IF($C234="","",ROUND($J234-N($Q234),2))</f>
        <v/>
      </c>
      <c r="U234" t="inlineStr">
        <is>
          <t>sample-data</t>
        </is>
      </c>
      <c r="V234" t="inlineStr">
        <is>
          <t>SAMPLE</t>
        </is>
      </c>
      <c r="W234" t="inlineStr">
        <is>
          <t>E31FA9FE</t>
        </is>
      </c>
      <c r="X234">
        <f>IF($C234="","",IFERROR(IF(_xlfn.ISFORMULA($K234),"Rule","Manual"),""))</f>
        <v/>
      </c>
      <c r="Y234" s="19">
        <f>IF($C234="","",IF(ReportView=PersonA,N($Q234),IF(ReportView=PersonB,N($R234),$J234)))</f>
        <v/>
      </c>
    </row>
    <row r="235">
      <c r="B235">
        <f>IF($C235="","","T"&amp;TEXT(ROW()-ROW(tblTxn[[#Headers],[Txn ID]]),"000000"))</f>
        <v/>
      </c>
      <c r="C235" s="18" t="n">
        <v>46214</v>
      </c>
      <c r="D235">
        <f>IF($C235="","",TEXT($C235,"yyyy-mm"))</f>
        <v/>
      </c>
      <c r="E235" t="inlineStr">
        <is>
          <t>RBC Chequing (Alex)</t>
        </is>
      </c>
      <c r="F235">
        <f>IF($C235="","",IFERROR(INDEX(tblAccounts[Owner],MATCH($E235,tblAccounts[Account],0)),"Joint"))</f>
        <v/>
      </c>
      <c r="G235">
        <f>IF($C235="","",IF(HouseholdMode="Couple",IFERROR(IF(INDEX(tblCategories[Default Owner],MATCH($K235,tblCategories[Category],0))="",$F235,INDEX(tblCategories[Default Owner],MATCH($K235,tblCategories[Category],0))),$F235),$F235))</f>
        <v/>
      </c>
      <c r="H235" t="inlineStr">
        <is>
          <t>ATM WITHDRAWAL 100 QUEEN ST W</t>
        </is>
      </c>
      <c r="I235">
        <f>IF($H235="","",$H235)</f>
        <v/>
      </c>
      <c r="J235" s="19" t="n">
        <v>-60</v>
      </c>
      <c r="K235">
        <f>IF($H235="","",IFERROR(INDEX(tblRules[Category],SUMPRODUCT(MIN((1-((tblRules[Enabled]&lt;&gt;"No")*(tblRules[Pattern]&lt;&gt;"")*(tblRules[Category]&lt;&gt;"")*((tblRules[Flow]="Any")+(tblRules[Flow]="")+((tblRules[Flow]="Money out")*($J235&lt;0))+((tblRules[Flow]="Money in")*($J235&gt;0)))*(((tblRules[Look In]="Account")*ISNUMBER(SEARCH(tblRules[Pattern],$E235)))+((tblRules[Look In]&lt;&gt;"Account")*(((tblRules[Test]="Word")*ISNUMBER(SEARCH(" "&amp;tblRules[Pattern]&amp;" "," "&amp;$H235&amp;" ")))+((tblRules[Test]&lt;&gt;"Word")*ISNUMBER(SEARCH(tblRules[Pattern],$H235))))))&gt;0))*1E+9+ROW(tblRules[Pattern])))-ROW(tblRules[[#Headers],[Pattern]])),"Uncategorized"))</f>
        <v/>
      </c>
      <c r="L235">
        <f>IF($C235="","",IFERROR(INDEX(tblCategories[Group],MATCH($K235,tblCategories[Category],0)),"Other"))</f>
        <v/>
      </c>
      <c r="M235">
        <f>IF($C235="","",IFERROR(INDEX(tblCategories[Type],MATCH($K235,tblCategories[Category],0)),IF($J235&gt;0,"Income","Expense")))</f>
        <v/>
      </c>
      <c r="N235">
        <f>IF($C235="","",IFERROR(INDEX(tblCategories[Essential],MATCH($K235,tblCategories[Category],0)),"No"))</f>
        <v/>
      </c>
      <c r="O235">
        <f>IF($C235="","",IFERROR(INDEX(tblCategories[Tax Tag],MATCH($K235,tblCategories[Category],0)),""))</f>
        <v/>
      </c>
      <c r="P235" s="20">
        <f>IF($C235="","",IF($G235=PersonA,1,IF($G235=PersonB,0,IFERROR(INDEX(tblCategories[Joint Split A],MATCH($K235,tblCategories[Category],0)),DefaultSplitA))))</f>
        <v/>
      </c>
      <c r="Q235" s="19">
        <f>IF($C235="","",ROUND($J235*N($P235),2))</f>
        <v/>
      </c>
      <c r="R235" s="19">
        <f>IF($C235="","",ROUND($J235-N($Q235),2))</f>
        <v/>
      </c>
      <c r="U235" t="inlineStr">
        <is>
          <t>sample-data</t>
        </is>
      </c>
      <c r="V235" t="inlineStr">
        <is>
          <t>SAMPLE</t>
        </is>
      </c>
      <c r="W235" t="inlineStr">
        <is>
          <t>DDD8376F</t>
        </is>
      </c>
      <c r="X235">
        <f>IF($C235="","",IFERROR(IF(_xlfn.ISFORMULA($K235),"Rule","Manual"),""))</f>
        <v/>
      </c>
      <c r="Y235" s="19">
        <f>IF($C235="","",IF(ReportView=PersonA,N($Q235),IF(ReportView=PersonB,N($R235),$J235)))</f>
        <v/>
      </c>
    </row>
    <row r="236">
      <c r="B236">
        <f>IF($C236="","","T"&amp;TEXT(ROW()-ROW(tblTxn[[#Headers],[Txn ID]]),"000000"))</f>
        <v/>
      </c>
      <c r="C236" s="18" t="n">
        <v>46214</v>
      </c>
      <c r="D236">
        <f>IF($C236="","",TEXT($C236,"yyyy-mm"))</f>
        <v/>
      </c>
      <c r="E236" t="inlineStr">
        <is>
          <t>RBC Chequing (Alex)</t>
        </is>
      </c>
      <c r="F236">
        <f>IF($C236="","",IFERROR(INDEX(tblAccounts[Owner],MATCH($E236,tblAccounts[Account],0)),"Joint"))</f>
        <v/>
      </c>
      <c r="G236">
        <f>IF($C236="","",IF(HouseholdMode="Couple",IFERROR(IF(INDEX(tblCategories[Default Owner],MATCH($K236,tblCategories[Category],0))="",$F236,INDEX(tblCategories[Default Owner],MATCH($K236,tblCategories[Category],0))),$F236),$F236))</f>
        <v/>
      </c>
      <c r="H236" t="inlineStr">
        <is>
          <t>IDP PURCHASE - 1709 LCBO/RAO #1410 TORONTO ON</t>
        </is>
      </c>
      <c r="I236">
        <f>IF($H236="","",$H236)</f>
        <v/>
      </c>
      <c r="J236" s="19" t="n">
        <v>-54.08</v>
      </c>
      <c r="K236">
        <f>IF($H236="","",IFERROR(INDEX(tblRules[Category],SUMPRODUCT(MIN((1-((tblRules[Enabled]&lt;&gt;"No")*(tblRules[Pattern]&lt;&gt;"")*(tblRules[Category]&lt;&gt;"")*((tblRules[Flow]="Any")+(tblRules[Flow]="")+((tblRules[Flow]="Money out")*($J236&lt;0))+((tblRules[Flow]="Money in")*($J236&gt;0)))*(((tblRules[Look In]="Account")*ISNUMBER(SEARCH(tblRules[Pattern],$E236)))+((tblRules[Look In]&lt;&gt;"Account")*(((tblRules[Test]="Word")*ISNUMBER(SEARCH(" "&amp;tblRules[Pattern]&amp;" "," "&amp;$H236&amp;" ")))+((tblRules[Test]&lt;&gt;"Word")*ISNUMBER(SEARCH(tblRules[Pattern],$H236))))))&gt;0))*1E+9+ROW(tblRules[Pattern])))-ROW(tblRules[[#Headers],[Pattern]])),"Uncategorized"))</f>
        <v/>
      </c>
      <c r="L236">
        <f>IF($C236="","",IFERROR(INDEX(tblCategories[Group],MATCH($K236,tblCategories[Category],0)),"Other"))</f>
        <v/>
      </c>
      <c r="M236">
        <f>IF($C236="","",IFERROR(INDEX(tblCategories[Type],MATCH($K236,tblCategories[Category],0)),IF($J236&gt;0,"Income","Expense")))</f>
        <v/>
      </c>
      <c r="N236">
        <f>IF($C236="","",IFERROR(INDEX(tblCategories[Essential],MATCH($K236,tblCategories[Category],0)),"No"))</f>
        <v/>
      </c>
      <c r="O236">
        <f>IF($C236="","",IFERROR(INDEX(tblCategories[Tax Tag],MATCH($K236,tblCategories[Category],0)),""))</f>
        <v/>
      </c>
      <c r="P236" s="20">
        <f>IF($C236="","",IF($G236=PersonA,1,IF($G236=PersonB,0,IFERROR(INDEX(tblCategories[Joint Split A],MATCH($K236,tblCategories[Category],0)),DefaultSplitA))))</f>
        <v/>
      </c>
      <c r="Q236" s="19">
        <f>IF($C236="","",ROUND($J236*N($P236),2))</f>
        <v/>
      </c>
      <c r="R236" s="19">
        <f>IF($C236="","",ROUND($J236-N($Q236),2))</f>
        <v/>
      </c>
      <c r="U236" t="inlineStr">
        <is>
          <t>sample-data</t>
        </is>
      </c>
      <c r="V236" t="inlineStr">
        <is>
          <t>SAMPLE</t>
        </is>
      </c>
      <c r="W236" t="inlineStr">
        <is>
          <t>35F08E9A</t>
        </is>
      </c>
      <c r="X236">
        <f>IF($C236="","",IFERROR(IF(_xlfn.ISFORMULA($K236),"Rule","Manual"),""))</f>
        <v/>
      </c>
      <c r="Y236" s="19">
        <f>IF($C236="","",IF(ReportView=PersonA,N($Q236),IF(ReportView=PersonB,N($R236),$J236)))</f>
        <v/>
      </c>
    </row>
    <row r="237">
      <c r="B237">
        <f>IF($C237="","","T"&amp;TEXT(ROW()-ROW(tblTxn[[#Headers],[Txn ID]]),"000000"))</f>
        <v/>
      </c>
      <c r="C237" s="18" t="n">
        <v>46215</v>
      </c>
      <c r="D237">
        <f>IF($C237="","",TEXT($C237,"yyyy-mm"))</f>
        <v/>
      </c>
      <c r="E237" t="inlineStr">
        <is>
          <t>BMO Joint Chequing</t>
        </is>
      </c>
      <c r="F237">
        <f>IF($C237="","",IFERROR(INDEX(tblAccounts[Owner],MATCH($E237,tblAccounts[Account],0)),"Joint"))</f>
        <v/>
      </c>
      <c r="G237">
        <f>IF($C237="","",IF(HouseholdMode="Couple",IFERROR(IF(INDEX(tblCategories[Default Owner],MATCH($K237,tblCategories[Category],0))="",$F237,INDEX(tblCategories[Default Owner],MATCH($K237,tblCategories[Category],0))),$F237),$F237))</f>
        <v/>
      </c>
      <c r="H237" t="inlineStr">
        <is>
          <t>ROGERS PREAUTHORIZED PAYMENT</t>
        </is>
      </c>
      <c r="I237">
        <f>IF($H237="","",$H237)</f>
        <v/>
      </c>
      <c r="J237" s="19" t="n">
        <v>-89.98999999999999</v>
      </c>
      <c r="K237">
        <f>IF($H237="","",IFERROR(INDEX(tblRules[Category],SUMPRODUCT(MIN((1-((tblRules[Enabled]&lt;&gt;"No")*(tblRules[Pattern]&lt;&gt;"")*(tblRules[Category]&lt;&gt;"")*((tblRules[Flow]="Any")+(tblRules[Flow]="")+((tblRules[Flow]="Money out")*($J237&lt;0))+((tblRules[Flow]="Money in")*($J237&gt;0)))*(((tblRules[Look In]="Account")*ISNUMBER(SEARCH(tblRules[Pattern],$E237)))+((tblRules[Look In]&lt;&gt;"Account")*(((tblRules[Test]="Word")*ISNUMBER(SEARCH(" "&amp;tblRules[Pattern]&amp;" "," "&amp;$H237&amp;" ")))+((tblRules[Test]&lt;&gt;"Word")*ISNUMBER(SEARCH(tblRules[Pattern],$H237))))))&gt;0))*1E+9+ROW(tblRules[Pattern])))-ROW(tblRules[[#Headers],[Pattern]])),"Uncategorized"))</f>
        <v/>
      </c>
      <c r="L237">
        <f>IF($C237="","",IFERROR(INDEX(tblCategories[Group],MATCH($K237,tblCategories[Category],0)),"Other"))</f>
        <v/>
      </c>
      <c r="M237">
        <f>IF($C237="","",IFERROR(INDEX(tblCategories[Type],MATCH($K237,tblCategories[Category],0)),IF($J237&gt;0,"Income","Expense")))</f>
        <v/>
      </c>
      <c r="N237">
        <f>IF($C237="","",IFERROR(INDEX(tblCategories[Essential],MATCH($K237,tblCategories[Category],0)),"No"))</f>
        <v/>
      </c>
      <c r="O237">
        <f>IF($C237="","",IFERROR(INDEX(tblCategories[Tax Tag],MATCH($K237,tblCategories[Category],0)),""))</f>
        <v/>
      </c>
      <c r="P237" s="20">
        <f>IF($C237="","",IF($G237=PersonA,1,IF($G237=PersonB,0,IFERROR(INDEX(tblCategories[Joint Split A],MATCH($K237,tblCategories[Category],0)),DefaultSplitA))))</f>
        <v/>
      </c>
      <c r="Q237" s="19">
        <f>IF($C237="","",ROUND($J237*N($P237),2))</f>
        <v/>
      </c>
      <c r="R237" s="19">
        <f>IF($C237="","",ROUND($J237-N($Q237),2))</f>
        <v/>
      </c>
      <c r="U237" t="inlineStr">
        <is>
          <t>sample-data</t>
        </is>
      </c>
      <c r="V237" t="inlineStr">
        <is>
          <t>SAMPLE</t>
        </is>
      </c>
      <c r="W237" t="inlineStr">
        <is>
          <t>5325E783</t>
        </is>
      </c>
      <c r="X237">
        <f>IF($C237="","",IFERROR(IF(_xlfn.ISFORMULA($K237),"Rule","Manual"),""))</f>
        <v/>
      </c>
      <c r="Y237" s="19">
        <f>IF($C237="","",IF(ReportView=PersonA,N($Q237),IF(ReportView=PersonB,N($R237),$J237)))</f>
        <v/>
      </c>
    </row>
    <row r="238">
      <c r="B238">
        <f>IF($C238="","","T"&amp;TEXT(ROW()-ROW(tblTxn[[#Headers],[Txn ID]]),"000000"))</f>
        <v/>
      </c>
      <c r="C238" s="18" t="n">
        <v>46215</v>
      </c>
      <c r="D238">
        <f>IF($C238="","",TEXT($C238,"yyyy-mm"))</f>
        <v/>
      </c>
      <c r="E238" t="inlineStr">
        <is>
          <t>RBC Chequing (Alex)</t>
        </is>
      </c>
      <c r="F238">
        <f>IF($C238="","",IFERROR(INDEX(tblAccounts[Owner],MATCH($E238,tblAccounts[Account],0)),"Joint"))</f>
        <v/>
      </c>
      <c r="G238">
        <f>IF($C238="","",IF(HouseholdMode="Couple",IFERROR(IF(INDEX(tblCategories[Default Owner],MATCH($K238,tblCategories[Category],0))="",$F238,INDEX(tblCategories[Default Owner],MATCH($K238,tblCategories[Category],0))),$F238),$F238))</f>
        <v/>
      </c>
      <c r="H238" t="inlineStr">
        <is>
          <t>IDP PURCHASE - 5908 TIM HORTONS #770 TORONTO ON</t>
        </is>
      </c>
      <c r="I238">
        <f>IF($H238="","",$H238)</f>
        <v/>
      </c>
      <c r="J238" s="19" t="n">
        <v>-3.25</v>
      </c>
      <c r="K238">
        <f>IF($H238="","",IFERROR(INDEX(tblRules[Category],SUMPRODUCT(MIN((1-((tblRules[Enabled]&lt;&gt;"No")*(tblRules[Pattern]&lt;&gt;"")*(tblRules[Category]&lt;&gt;"")*((tblRules[Flow]="Any")+(tblRules[Flow]="")+((tblRules[Flow]="Money out")*($J238&lt;0))+((tblRules[Flow]="Money in")*($J238&gt;0)))*(((tblRules[Look In]="Account")*ISNUMBER(SEARCH(tblRules[Pattern],$E238)))+((tblRules[Look In]&lt;&gt;"Account")*(((tblRules[Test]="Word")*ISNUMBER(SEARCH(" "&amp;tblRules[Pattern]&amp;" "," "&amp;$H238&amp;" ")))+((tblRules[Test]&lt;&gt;"Word")*ISNUMBER(SEARCH(tblRules[Pattern],$H238))))))&gt;0))*1E+9+ROW(tblRules[Pattern])))-ROW(tblRules[[#Headers],[Pattern]])),"Uncategorized"))</f>
        <v/>
      </c>
      <c r="L238">
        <f>IF($C238="","",IFERROR(INDEX(tblCategories[Group],MATCH($K238,tblCategories[Category],0)),"Other"))</f>
        <v/>
      </c>
      <c r="M238">
        <f>IF($C238="","",IFERROR(INDEX(tblCategories[Type],MATCH($K238,tblCategories[Category],0)),IF($J238&gt;0,"Income","Expense")))</f>
        <v/>
      </c>
      <c r="N238">
        <f>IF($C238="","",IFERROR(INDEX(tblCategories[Essential],MATCH($K238,tblCategories[Category],0)),"No"))</f>
        <v/>
      </c>
      <c r="O238">
        <f>IF($C238="","",IFERROR(INDEX(tblCategories[Tax Tag],MATCH($K238,tblCategories[Category],0)),""))</f>
        <v/>
      </c>
      <c r="P238" s="20">
        <f>IF($C238="","",IF($G238=PersonA,1,IF($G238=PersonB,0,IFERROR(INDEX(tblCategories[Joint Split A],MATCH($K238,tblCategories[Category],0)),DefaultSplitA))))</f>
        <v/>
      </c>
      <c r="Q238" s="19">
        <f>IF($C238="","",ROUND($J238*N($P238),2))</f>
        <v/>
      </c>
      <c r="R238" s="19">
        <f>IF($C238="","",ROUND($J238-N($Q238),2))</f>
        <v/>
      </c>
      <c r="U238" t="inlineStr">
        <is>
          <t>sample-data</t>
        </is>
      </c>
      <c r="V238" t="inlineStr">
        <is>
          <t>SAMPLE</t>
        </is>
      </c>
      <c r="W238" t="inlineStr">
        <is>
          <t>41B5520D</t>
        </is>
      </c>
      <c r="X238">
        <f>IF($C238="","",IFERROR(IF(_xlfn.ISFORMULA($K238),"Rule","Manual"),""))</f>
        <v/>
      </c>
      <c r="Y238" s="19">
        <f>IF($C238="","",IF(ReportView=PersonA,N($Q238),IF(ReportView=PersonB,N($R238),$J238)))</f>
        <v/>
      </c>
    </row>
    <row r="239">
      <c r="B239">
        <f>IF($C239="","","T"&amp;TEXT(ROW()-ROW(tblTxn[[#Headers],[Txn ID]]),"000000"))</f>
        <v/>
      </c>
      <c r="C239" s="18" t="n">
        <v>46215</v>
      </c>
      <c r="D239">
        <f>IF($C239="","",TEXT($C239,"yyyy-mm"))</f>
        <v/>
      </c>
      <c r="E239" t="inlineStr">
        <is>
          <t>Tangerine Chequing (Sam)</t>
        </is>
      </c>
      <c r="F239">
        <f>IF($C239="","",IFERROR(INDEX(tblAccounts[Owner],MATCH($E239,tblAccounts[Account],0)),"Joint"))</f>
        <v/>
      </c>
      <c r="G239">
        <f>IF($C239="","",IF(HouseholdMode="Couple",IFERROR(IF(INDEX(tblCategories[Default Owner],MATCH($K239,tblCategories[Category],0))="",$F239,INDEX(tblCategories[Default Owner],MATCH($K239,tblCategories[Category],0))),$F239),$F239))</f>
        <v/>
      </c>
      <c r="H239" t="inlineStr">
        <is>
          <t>IDP PURCHASE - 6799 PETRO-CANADA #1950 ON</t>
        </is>
      </c>
      <c r="I239">
        <f>IF($H239="","",$H239)</f>
        <v/>
      </c>
      <c r="J239" s="19" t="n">
        <v>-66.76000000000001</v>
      </c>
      <c r="K239">
        <f>IF($H239="","",IFERROR(INDEX(tblRules[Category],SUMPRODUCT(MIN((1-((tblRules[Enabled]&lt;&gt;"No")*(tblRules[Pattern]&lt;&gt;"")*(tblRules[Category]&lt;&gt;"")*((tblRules[Flow]="Any")+(tblRules[Flow]="")+((tblRules[Flow]="Money out")*($J239&lt;0))+((tblRules[Flow]="Money in")*($J239&gt;0)))*(((tblRules[Look In]="Account")*ISNUMBER(SEARCH(tblRules[Pattern],$E239)))+((tblRules[Look In]&lt;&gt;"Account")*(((tblRules[Test]="Word")*ISNUMBER(SEARCH(" "&amp;tblRules[Pattern]&amp;" "," "&amp;$H239&amp;" ")))+((tblRules[Test]&lt;&gt;"Word")*ISNUMBER(SEARCH(tblRules[Pattern],$H239))))))&gt;0))*1E+9+ROW(tblRules[Pattern])))-ROW(tblRules[[#Headers],[Pattern]])),"Uncategorized"))</f>
        <v/>
      </c>
      <c r="L239">
        <f>IF($C239="","",IFERROR(INDEX(tblCategories[Group],MATCH($K239,tblCategories[Category],0)),"Other"))</f>
        <v/>
      </c>
      <c r="M239">
        <f>IF($C239="","",IFERROR(INDEX(tblCategories[Type],MATCH($K239,tblCategories[Category],0)),IF($J239&gt;0,"Income","Expense")))</f>
        <v/>
      </c>
      <c r="N239">
        <f>IF($C239="","",IFERROR(INDEX(tblCategories[Essential],MATCH($K239,tblCategories[Category],0)),"No"))</f>
        <v/>
      </c>
      <c r="O239">
        <f>IF($C239="","",IFERROR(INDEX(tblCategories[Tax Tag],MATCH($K239,tblCategories[Category],0)),""))</f>
        <v/>
      </c>
      <c r="P239" s="20">
        <f>IF($C239="","",IF($G239=PersonA,1,IF($G239=PersonB,0,IFERROR(INDEX(tblCategories[Joint Split A],MATCH($K239,tblCategories[Category],0)),DefaultSplitA))))</f>
        <v/>
      </c>
      <c r="Q239" s="19">
        <f>IF($C239="","",ROUND($J239*N($P239),2))</f>
        <v/>
      </c>
      <c r="R239" s="19">
        <f>IF($C239="","",ROUND($J239-N($Q239),2))</f>
        <v/>
      </c>
      <c r="U239" t="inlineStr">
        <is>
          <t>sample-data</t>
        </is>
      </c>
      <c r="V239" t="inlineStr">
        <is>
          <t>SAMPLE</t>
        </is>
      </c>
      <c r="W239" t="inlineStr">
        <is>
          <t>993A8D6C</t>
        </is>
      </c>
      <c r="X239">
        <f>IF($C239="","",IFERROR(IF(_xlfn.ISFORMULA($K239),"Rule","Manual"),""))</f>
        <v/>
      </c>
      <c r="Y239" s="19">
        <f>IF($C239="","",IF(ReportView=PersonA,N($Q239),IF(ReportView=PersonB,N($R239),$J239)))</f>
        <v/>
      </c>
    </row>
    <row r="240">
      <c r="B240">
        <f>IF($C240="","","T"&amp;TEXT(ROW()-ROW(tblTxn[[#Headers],[Txn ID]]),"000000"))</f>
        <v/>
      </c>
      <c r="C240" s="18" t="n">
        <v>46216</v>
      </c>
      <c r="D240">
        <f>IF($C240="","",TEXT($C240,"yyyy-mm"))</f>
        <v/>
      </c>
      <c r="E240" t="inlineStr">
        <is>
          <t>Amex Cobalt (Joint)</t>
        </is>
      </c>
      <c r="F240">
        <f>IF($C240="","",IFERROR(INDEX(tblAccounts[Owner],MATCH($E240,tblAccounts[Account],0)),"Joint"))</f>
        <v/>
      </c>
      <c r="G240">
        <f>IF($C240="","",IF(HouseholdMode="Couple",IFERROR(IF(INDEX(tblCategories[Default Owner],MATCH($K240,tblCategories[Category],0))="",$F240,INDEX(tblCategories[Default Owner],MATCH($K240,tblCategories[Category],0))),$F240),$F240))</f>
        <v/>
      </c>
      <c r="H240" t="inlineStr">
        <is>
          <t>IDP PURCHASE - 1389 DOLLARAMA #1385 ON</t>
        </is>
      </c>
      <c r="I240">
        <f>IF($H240="","",$H240)</f>
        <v/>
      </c>
      <c r="J240" s="19" t="n">
        <v>-26.91</v>
      </c>
      <c r="K240">
        <f>IF($H240="","",IFERROR(INDEX(tblRules[Category],SUMPRODUCT(MIN((1-((tblRules[Enabled]&lt;&gt;"No")*(tblRules[Pattern]&lt;&gt;"")*(tblRules[Category]&lt;&gt;"")*((tblRules[Flow]="Any")+(tblRules[Flow]="")+((tblRules[Flow]="Money out")*($J240&lt;0))+((tblRules[Flow]="Money in")*($J240&gt;0)))*(((tblRules[Look In]="Account")*ISNUMBER(SEARCH(tblRules[Pattern],$E240)))+((tblRules[Look In]&lt;&gt;"Account")*(((tblRules[Test]="Word")*ISNUMBER(SEARCH(" "&amp;tblRules[Pattern]&amp;" "," "&amp;$H240&amp;" ")))+((tblRules[Test]&lt;&gt;"Word")*ISNUMBER(SEARCH(tblRules[Pattern],$H240))))))&gt;0))*1E+9+ROW(tblRules[Pattern])))-ROW(tblRules[[#Headers],[Pattern]])),"Uncategorized"))</f>
        <v/>
      </c>
      <c r="L240">
        <f>IF($C240="","",IFERROR(INDEX(tblCategories[Group],MATCH($K240,tblCategories[Category],0)),"Other"))</f>
        <v/>
      </c>
      <c r="M240">
        <f>IF($C240="","",IFERROR(INDEX(tblCategories[Type],MATCH($K240,tblCategories[Category],0)),IF($J240&gt;0,"Income","Expense")))</f>
        <v/>
      </c>
      <c r="N240">
        <f>IF($C240="","",IFERROR(INDEX(tblCategories[Essential],MATCH($K240,tblCategories[Category],0)),"No"))</f>
        <v/>
      </c>
      <c r="O240">
        <f>IF($C240="","",IFERROR(INDEX(tblCategories[Tax Tag],MATCH($K240,tblCategories[Category],0)),""))</f>
        <v/>
      </c>
      <c r="P240" s="20">
        <f>IF($C240="","",IF($G240=PersonA,1,IF($G240=PersonB,0,IFERROR(INDEX(tblCategories[Joint Split A],MATCH($K240,tblCategories[Category],0)),DefaultSplitA))))</f>
        <v/>
      </c>
      <c r="Q240" s="19">
        <f>IF($C240="","",ROUND($J240*N($P240),2))</f>
        <v/>
      </c>
      <c r="R240" s="19">
        <f>IF($C240="","",ROUND($J240-N($Q240),2))</f>
        <v/>
      </c>
      <c r="U240" t="inlineStr">
        <is>
          <t>sample-data</t>
        </is>
      </c>
      <c r="V240" t="inlineStr">
        <is>
          <t>SAMPLE</t>
        </is>
      </c>
      <c r="W240" t="inlineStr">
        <is>
          <t>3F47CB24</t>
        </is>
      </c>
      <c r="X240">
        <f>IF($C240="","",IFERROR(IF(_xlfn.ISFORMULA($K240),"Rule","Manual"),""))</f>
        <v/>
      </c>
      <c r="Y240" s="19">
        <f>IF($C240="","",IF(ReportView=PersonA,N($Q240),IF(ReportView=PersonB,N($R240),$J240)))</f>
        <v/>
      </c>
    </row>
    <row r="241">
      <c r="B241">
        <f>IF($C241="","","T"&amp;TEXT(ROW()-ROW(tblTxn[[#Headers],[Txn ID]]),"000000"))</f>
        <v/>
      </c>
      <c r="C241" s="18" t="n">
        <v>46216</v>
      </c>
      <c r="D241">
        <f>IF($C241="","",TEXT($C241,"yyyy-mm"))</f>
        <v/>
      </c>
      <c r="E241" t="inlineStr">
        <is>
          <t>Amex Cobalt (Joint)</t>
        </is>
      </c>
      <c r="F241">
        <f>IF($C241="","",IFERROR(INDEX(tblAccounts[Owner],MATCH($E241,tblAccounts[Account],0)),"Joint"))</f>
        <v/>
      </c>
      <c r="G241">
        <f>IF($C241="","",IF(HouseholdMode="Couple",IFERROR(IF(INDEX(tblCategories[Default Owner],MATCH($K241,tblCategories[Category],0))="",$F241,INDEX(tblCategories[Default Owner],MATCH($K241,tblCategories[Category],0))),$F241),$F241))</f>
        <v/>
      </c>
      <c r="H241" t="inlineStr">
        <is>
          <t>IDP PURCHASE - 7267 CANADIAN TIRE #3511 ON</t>
        </is>
      </c>
      <c r="I241">
        <f>IF($H241="","",$H241)</f>
        <v/>
      </c>
      <c r="J241" s="19" t="n">
        <v>-41.82</v>
      </c>
      <c r="K241">
        <f>IF($H241="","",IFERROR(INDEX(tblRules[Category],SUMPRODUCT(MIN((1-((tblRules[Enabled]&lt;&gt;"No")*(tblRules[Pattern]&lt;&gt;"")*(tblRules[Category]&lt;&gt;"")*((tblRules[Flow]="Any")+(tblRules[Flow]="")+((tblRules[Flow]="Money out")*($J241&lt;0))+((tblRules[Flow]="Money in")*($J241&gt;0)))*(((tblRules[Look In]="Account")*ISNUMBER(SEARCH(tblRules[Pattern],$E241)))+((tblRules[Look In]&lt;&gt;"Account")*(((tblRules[Test]="Word")*ISNUMBER(SEARCH(" "&amp;tblRules[Pattern]&amp;" "," "&amp;$H241&amp;" ")))+((tblRules[Test]&lt;&gt;"Word")*ISNUMBER(SEARCH(tblRules[Pattern],$H241))))))&gt;0))*1E+9+ROW(tblRules[Pattern])))-ROW(tblRules[[#Headers],[Pattern]])),"Uncategorized"))</f>
        <v/>
      </c>
      <c r="L241">
        <f>IF($C241="","",IFERROR(INDEX(tblCategories[Group],MATCH($K241,tblCategories[Category],0)),"Other"))</f>
        <v/>
      </c>
      <c r="M241">
        <f>IF($C241="","",IFERROR(INDEX(tblCategories[Type],MATCH($K241,tblCategories[Category],0)),IF($J241&gt;0,"Income","Expense")))</f>
        <v/>
      </c>
      <c r="N241">
        <f>IF($C241="","",IFERROR(INDEX(tblCategories[Essential],MATCH($K241,tblCategories[Category],0)),"No"))</f>
        <v/>
      </c>
      <c r="O241">
        <f>IF($C241="","",IFERROR(INDEX(tblCategories[Tax Tag],MATCH($K241,tblCategories[Category],0)),""))</f>
        <v/>
      </c>
      <c r="P241" s="20">
        <f>IF($C241="","",IF($G241=PersonA,1,IF($G241=PersonB,0,IFERROR(INDEX(tblCategories[Joint Split A],MATCH($K241,tblCategories[Category],0)),DefaultSplitA))))</f>
        <v/>
      </c>
      <c r="Q241" s="19">
        <f>IF($C241="","",ROUND($J241*N($P241),2))</f>
        <v/>
      </c>
      <c r="R241" s="19">
        <f>IF($C241="","",ROUND($J241-N($Q241),2))</f>
        <v/>
      </c>
      <c r="U241" t="inlineStr">
        <is>
          <t>sample-data</t>
        </is>
      </c>
      <c r="V241" t="inlineStr">
        <is>
          <t>SAMPLE</t>
        </is>
      </c>
      <c r="W241" t="inlineStr">
        <is>
          <t>539370CD</t>
        </is>
      </c>
      <c r="X241">
        <f>IF($C241="","",IFERROR(IF(_xlfn.ISFORMULA($K241),"Rule","Manual"),""))</f>
        <v/>
      </c>
      <c r="Y241" s="19">
        <f>IF($C241="","",IF(ReportView=PersonA,N($Q241),IF(ReportView=PersonB,N($R241),$J241)))</f>
        <v/>
      </c>
    </row>
    <row r="242">
      <c r="B242">
        <f>IF($C242="","","T"&amp;TEXT(ROW()-ROW(tblTxn[[#Headers],[Txn ID]]),"000000"))</f>
        <v/>
      </c>
      <c r="C242" s="18" t="n">
        <v>46216</v>
      </c>
      <c r="D242">
        <f>IF($C242="","",TEXT($C242,"yyyy-mm"))</f>
        <v/>
      </c>
      <c r="E242" t="inlineStr">
        <is>
          <t>BMO Joint Chequing</t>
        </is>
      </c>
      <c r="F242">
        <f>IF($C242="","",IFERROR(INDEX(tblAccounts[Owner],MATCH($E242,tblAccounts[Account],0)),"Joint"))</f>
        <v/>
      </c>
      <c r="G242">
        <f>IF($C242="","",IF(HouseholdMode="Couple",IFERROR(IF(INDEX(tblCategories[Default Owner],MATCH($K242,tblCategories[Category],0))="",$F242,INDEX(tblCategories[Default Owner],MATCH($K242,tblCategories[Category],0))),$F242),$F242))</f>
        <v/>
      </c>
      <c r="H242" t="inlineStr">
        <is>
          <t>IDP PURCHASE - 4795 LOBLAWS #3366 TORONTO ON</t>
        </is>
      </c>
      <c r="I242">
        <f>IF($H242="","",$H242)</f>
        <v/>
      </c>
      <c r="J242" s="19" t="n">
        <v>-145.98</v>
      </c>
      <c r="K242">
        <f>IF($H242="","",IFERROR(INDEX(tblRules[Category],SUMPRODUCT(MIN((1-((tblRules[Enabled]&lt;&gt;"No")*(tblRules[Pattern]&lt;&gt;"")*(tblRules[Category]&lt;&gt;"")*((tblRules[Flow]="Any")+(tblRules[Flow]="")+((tblRules[Flow]="Money out")*($J242&lt;0))+((tblRules[Flow]="Money in")*($J242&gt;0)))*(((tblRules[Look In]="Account")*ISNUMBER(SEARCH(tblRules[Pattern],$E242)))+((tblRules[Look In]&lt;&gt;"Account")*(((tblRules[Test]="Word")*ISNUMBER(SEARCH(" "&amp;tblRules[Pattern]&amp;" "," "&amp;$H242&amp;" ")))+((tblRules[Test]&lt;&gt;"Word")*ISNUMBER(SEARCH(tblRules[Pattern],$H242))))))&gt;0))*1E+9+ROW(tblRules[Pattern])))-ROW(tblRules[[#Headers],[Pattern]])),"Uncategorized"))</f>
        <v/>
      </c>
      <c r="L242">
        <f>IF($C242="","",IFERROR(INDEX(tblCategories[Group],MATCH($K242,tblCategories[Category],0)),"Other"))</f>
        <v/>
      </c>
      <c r="M242">
        <f>IF($C242="","",IFERROR(INDEX(tblCategories[Type],MATCH($K242,tblCategories[Category],0)),IF($J242&gt;0,"Income","Expense")))</f>
        <v/>
      </c>
      <c r="N242">
        <f>IF($C242="","",IFERROR(INDEX(tblCategories[Essential],MATCH($K242,tblCategories[Category],0)),"No"))</f>
        <v/>
      </c>
      <c r="O242">
        <f>IF($C242="","",IFERROR(INDEX(tblCategories[Tax Tag],MATCH($K242,tblCategories[Category],0)),""))</f>
        <v/>
      </c>
      <c r="P242" s="20">
        <f>IF($C242="","",IF($G242=PersonA,1,IF($G242=PersonB,0,IFERROR(INDEX(tblCategories[Joint Split A],MATCH($K242,tblCategories[Category],0)),DefaultSplitA))))</f>
        <v/>
      </c>
      <c r="Q242" s="19">
        <f>IF($C242="","",ROUND($J242*N($P242),2))</f>
        <v/>
      </c>
      <c r="R242" s="19">
        <f>IF($C242="","",ROUND($J242-N($Q242),2))</f>
        <v/>
      </c>
      <c r="U242" t="inlineStr">
        <is>
          <t>sample-data</t>
        </is>
      </c>
      <c r="V242" t="inlineStr">
        <is>
          <t>SAMPLE</t>
        </is>
      </c>
      <c r="W242" t="inlineStr">
        <is>
          <t>4767DD8D</t>
        </is>
      </c>
      <c r="X242">
        <f>IF($C242="","",IFERROR(IF(_xlfn.ISFORMULA($K242),"Rule","Manual"),""))</f>
        <v/>
      </c>
      <c r="Y242" s="19">
        <f>IF($C242="","",IF(ReportView=PersonA,N($Q242),IF(ReportView=PersonB,N($R242),$J242)))</f>
        <v/>
      </c>
    </row>
    <row r="243">
      <c r="B243">
        <f>IF($C243="","","T"&amp;TEXT(ROW()-ROW(tblTxn[[#Headers],[Txn ID]]),"000000"))</f>
        <v/>
      </c>
      <c r="C243" s="18" t="n">
        <v>46217</v>
      </c>
      <c r="D243">
        <f>IF($C243="","",TEXT($C243,"yyyy-mm"))</f>
        <v/>
      </c>
      <c r="E243" t="inlineStr">
        <is>
          <t>BMO Joint Chequing</t>
        </is>
      </c>
      <c r="F243">
        <f>IF($C243="","",IFERROR(INDEX(tblAccounts[Owner],MATCH($E243,tblAccounts[Account],0)),"Joint"))</f>
        <v/>
      </c>
      <c r="G243">
        <f>IF($C243="","",IF(HouseholdMode="Couple",IFERROR(IF(INDEX(tblCategories[Default Owner],MATCH($K243,tblCategories[Category],0))="",$F243,INDEX(tblCategories[Default Owner],MATCH($K243,tblCategories[Category],0))),$F243),$F243))</f>
        <v/>
      </c>
      <c r="H243" t="inlineStr">
        <is>
          <t>FREEDOM MOBILE PREAUTHORIZED DEBIT</t>
        </is>
      </c>
      <c r="I243">
        <f>IF($H243="","",$H243)</f>
        <v/>
      </c>
      <c r="J243" s="19" t="n">
        <v>-45</v>
      </c>
      <c r="K243">
        <f>IF($H243="","",IFERROR(INDEX(tblRules[Category],SUMPRODUCT(MIN((1-((tblRules[Enabled]&lt;&gt;"No")*(tblRules[Pattern]&lt;&gt;"")*(tblRules[Category]&lt;&gt;"")*((tblRules[Flow]="Any")+(tblRules[Flow]="")+((tblRules[Flow]="Money out")*($J243&lt;0))+((tblRules[Flow]="Money in")*($J243&gt;0)))*(((tblRules[Look In]="Account")*ISNUMBER(SEARCH(tblRules[Pattern],$E243)))+((tblRules[Look In]&lt;&gt;"Account")*(((tblRules[Test]="Word")*ISNUMBER(SEARCH(" "&amp;tblRules[Pattern]&amp;" "," "&amp;$H243&amp;" ")))+((tblRules[Test]&lt;&gt;"Word")*ISNUMBER(SEARCH(tblRules[Pattern],$H243))))))&gt;0))*1E+9+ROW(tblRules[Pattern])))-ROW(tblRules[[#Headers],[Pattern]])),"Uncategorized"))</f>
        <v/>
      </c>
      <c r="L243">
        <f>IF($C243="","",IFERROR(INDEX(tblCategories[Group],MATCH($K243,tblCategories[Category],0)),"Other"))</f>
        <v/>
      </c>
      <c r="M243">
        <f>IF($C243="","",IFERROR(INDEX(tblCategories[Type],MATCH($K243,tblCategories[Category],0)),IF($J243&gt;0,"Income","Expense")))</f>
        <v/>
      </c>
      <c r="N243">
        <f>IF($C243="","",IFERROR(INDEX(tblCategories[Essential],MATCH($K243,tblCategories[Category],0)),"No"))</f>
        <v/>
      </c>
      <c r="O243">
        <f>IF($C243="","",IFERROR(INDEX(tblCategories[Tax Tag],MATCH($K243,tblCategories[Category],0)),""))</f>
        <v/>
      </c>
      <c r="P243" s="20">
        <f>IF($C243="","",IF($G243=PersonA,1,IF($G243=PersonB,0,IFERROR(INDEX(tblCategories[Joint Split A],MATCH($K243,tblCategories[Category],0)),DefaultSplitA))))</f>
        <v/>
      </c>
      <c r="Q243" s="19">
        <f>IF($C243="","",ROUND($J243*N($P243),2))</f>
        <v/>
      </c>
      <c r="R243" s="19">
        <f>IF($C243="","",ROUND($J243-N($Q243),2))</f>
        <v/>
      </c>
      <c r="U243" t="inlineStr">
        <is>
          <t>sample-data</t>
        </is>
      </c>
      <c r="V243" t="inlineStr">
        <is>
          <t>SAMPLE</t>
        </is>
      </c>
      <c r="W243" t="inlineStr">
        <is>
          <t>01E66107</t>
        </is>
      </c>
      <c r="X243">
        <f>IF($C243="","",IFERROR(IF(_xlfn.ISFORMULA($K243),"Rule","Manual"),""))</f>
        <v/>
      </c>
      <c r="Y243" s="19">
        <f>IF($C243="","",IF(ReportView=PersonA,N($Q243),IF(ReportView=PersonB,N($R243),$J243)))</f>
        <v/>
      </c>
    </row>
    <row r="244">
      <c r="B244">
        <f>IF($C244="","","T"&amp;TEXT(ROW()-ROW(tblTxn[[#Headers],[Txn ID]]),"000000"))</f>
        <v/>
      </c>
      <c r="C244" s="18" t="n">
        <v>46218</v>
      </c>
      <c r="D244">
        <f>IF($C244="","",TEXT($C244,"yyyy-mm"))</f>
        <v/>
      </c>
      <c r="E244" t="inlineStr">
        <is>
          <t>RBC Chequing (Alex)</t>
        </is>
      </c>
      <c r="F244">
        <f>IF($C244="","",IFERROR(INDEX(tblAccounts[Owner],MATCH($E244,tblAccounts[Account],0)),"Joint"))</f>
        <v/>
      </c>
      <c r="G244">
        <f>IF($C244="","",IF(HouseholdMode="Couple",IFERROR(IF(INDEX(tblCategories[Default Owner],MATCH($K244,tblCategories[Category],0))="",$F244,INDEX(tblCategories[Default Owner],MATCH($K244,tblCategories[Category],0))),$F244),$F244))</f>
        <v/>
      </c>
      <c r="H244" t="inlineStr">
        <is>
          <t>PAYROLL DEPOSIT NORTHWIND LOGISTICS</t>
        </is>
      </c>
      <c r="I244">
        <f>IF($H244="","",$H244)</f>
        <v/>
      </c>
      <c r="J244" s="19" t="n">
        <v>2496.18</v>
      </c>
      <c r="K244">
        <f>IF($H244="","",IFERROR(INDEX(tblRules[Category],SUMPRODUCT(MIN((1-((tblRules[Enabled]&lt;&gt;"No")*(tblRules[Pattern]&lt;&gt;"")*(tblRules[Category]&lt;&gt;"")*((tblRules[Flow]="Any")+(tblRules[Flow]="")+((tblRules[Flow]="Money out")*($J244&lt;0))+((tblRules[Flow]="Money in")*($J244&gt;0)))*(((tblRules[Look In]="Account")*ISNUMBER(SEARCH(tblRules[Pattern],$E244)))+((tblRules[Look In]&lt;&gt;"Account")*(((tblRules[Test]="Word")*ISNUMBER(SEARCH(" "&amp;tblRules[Pattern]&amp;" "," "&amp;$H244&amp;" ")))+((tblRules[Test]&lt;&gt;"Word")*ISNUMBER(SEARCH(tblRules[Pattern],$H244))))))&gt;0))*1E+9+ROW(tblRules[Pattern])))-ROW(tblRules[[#Headers],[Pattern]])),"Uncategorized"))</f>
        <v/>
      </c>
      <c r="L244">
        <f>IF($C244="","",IFERROR(INDEX(tblCategories[Group],MATCH($K244,tblCategories[Category],0)),"Other"))</f>
        <v/>
      </c>
      <c r="M244">
        <f>IF($C244="","",IFERROR(INDEX(tblCategories[Type],MATCH($K244,tblCategories[Category],0)),IF($J244&gt;0,"Income","Expense")))</f>
        <v/>
      </c>
      <c r="N244">
        <f>IF($C244="","",IFERROR(INDEX(tblCategories[Essential],MATCH($K244,tblCategories[Category],0)),"No"))</f>
        <v/>
      </c>
      <c r="O244">
        <f>IF($C244="","",IFERROR(INDEX(tblCategories[Tax Tag],MATCH($K244,tblCategories[Category],0)),""))</f>
        <v/>
      </c>
      <c r="P244" s="20">
        <f>IF($C244="","",IF($G244=PersonA,1,IF($G244=PersonB,0,IFERROR(INDEX(tblCategories[Joint Split A],MATCH($K244,tblCategories[Category],0)),DefaultSplitA))))</f>
        <v/>
      </c>
      <c r="Q244" s="19">
        <f>IF($C244="","",ROUND($J244*N($P244),2))</f>
        <v/>
      </c>
      <c r="R244" s="19">
        <f>IF($C244="","",ROUND($J244-N($Q244),2))</f>
        <v/>
      </c>
      <c r="U244" t="inlineStr">
        <is>
          <t>sample-data</t>
        </is>
      </c>
      <c r="V244" t="inlineStr">
        <is>
          <t>SAMPLE</t>
        </is>
      </c>
      <c r="W244" t="inlineStr">
        <is>
          <t>DCF9E3C3</t>
        </is>
      </c>
      <c r="X244">
        <f>IF($C244="","",IFERROR(IF(_xlfn.ISFORMULA($K244),"Rule","Manual"),""))</f>
        <v/>
      </c>
      <c r="Y244" s="19">
        <f>IF($C244="","",IF(ReportView=PersonA,N($Q244),IF(ReportView=PersonB,N($R244),$J244)))</f>
        <v/>
      </c>
    </row>
    <row r="245">
      <c r="B245">
        <f>IF($C245="","","T"&amp;TEXT(ROW()-ROW(tblTxn[[#Headers],[Txn ID]]),"000000"))</f>
        <v/>
      </c>
      <c r="C245" s="18" t="n">
        <v>46218</v>
      </c>
      <c r="D245">
        <f>IF($C245="","",TEXT($C245,"yyyy-mm"))</f>
        <v/>
      </c>
      <c r="E245" t="inlineStr">
        <is>
          <t>Tangerine Chequing (Sam)</t>
        </is>
      </c>
      <c r="F245">
        <f>IF($C245="","",IFERROR(INDEX(tblAccounts[Owner],MATCH($E245,tblAccounts[Account],0)),"Joint"))</f>
        <v/>
      </c>
      <c r="G245">
        <f>IF($C245="","",IF(HouseholdMode="Couple",IFERROR(IF(INDEX(tblCategories[Default Owner],MATCH($K245,tblCategories[Category],0))="",$F245,INDEX(tblCategories[Default Owner],MATCH($K245,tblCategories[Category],0))),$F245),$F245))</f>
        <v/>
      </c>
      <c r="H245" t="inlineStr">
        <is>
          <t>PAYROLL DEPOSIT MAPLE HEALTH GROUP</t>
        </is>
      </c>
      <c r="I245">
        <f>IF($H245="","",$H245)</f>
        <v/>
      </c>
      <c r="J245" s="19" t="n">
        <v>1963.44</v>
      </c>
      <c r="K245">
        <f>IF($H245="","",IFERROR(INDEX(tblRules[Category],SUMPRODUCT(MIN((1-((tblRules[Enabled]&lt;&gt;"No")*(tblRules[Pattern]&lt;&gt;"")*(tblRules[Category]&lt;&gt;"")*((tblRules[Flow]="Any")+(tblRules[Flow]="")+((tblRules[Flow]="Money out")*($J245&lt;0))+((tblRules[Flow]="Money in")*($J245&gt;0)))*(((tblRules[Look In]="Account")*ISNUMBER(SEARCH(tblRules[Pattern],$E245)))+((tblRules[Look In]&lt;&gt;"Account")*(((tblRules[Test]="Word")*ISNUMBER(SEARCH(" "&amp;tblRules[Pattern]&amp;" "," "&amp;$H245&amp;" ")))+((tblRules[Test]&lt;&gt;"Word")*ISNUMBER(SEARCH(tblRules[Pattern],$H245))))))&gt;0))*1E+9+ROW(tblRules[Pattern])))-ROW(tblRules[[#Headers],[Pattern]])),"Uncategorized"))</f>
        <v/>
      </c>
      <c r="L245">
        <f>IF($C245="","",IFERROR(INDEX(tblCategories[Group],MATCH($K245,tblCategories[Category],0)),"Other"))</f>
        <v/>
      </c>
      <c r="M245">
        <f>IF($C245="","",IFERROR(INDEX(tblCategories[Type],MATCH($K245,tblCategories[Category],0)),IF($J245&gt;0,"Income","Expense")))</f>
        <v/>
      </c>
      <c r="N245">
        <f>IF($C245="","",IFERROR(INDEX(tblCategories[Essential],MATCH($K245,tblCategories[Category],0)),"No"))</f>
        <v/>
      </c>
      <c r="O245">
        <f>IF($C245="","",IFERROR(INDEX(tblCategories[Tax Tag],MATCH($K245,tblCategories[Category],0)),""))</f>
        <v/>
      </c>
      <c r="P245" s="20">
        <f>IF($C245="","",IF($G245=PersonA,1,IF($G245=PersonB,0,IFERROR(INDEX(tblCategories[Joint Split A],MATCH($K245,tblCategories[Category],0)),DefaultSplitA))))</f>
        <v/>
      </c>
      <c r="Q245" s="19">
        <f>IF($C245="","",ROUND($J245*N($P245),2))</f>
        <v/>
      </c>
      <c r="R245" s="19">
        <f>IF($C245="","",ROUND($J245-N($Q245),2))</f>
        <v/>
      </c>
      <c r="U245" t="inlineStr">
        <is>
          <t>sample-data</t>
        </is>
      </c>
      <c r="V245" t="inlineStr">
        <is>
          <t>SAMPLE</t>
        </is>
      </c>
      <c r="W245" t="inlineStr">
        <is>
          <t>417F9E4D</t>
        </is>
      </c>
      <c r="X245">
        <f>IF($C245="","",IFERROR(IF(_xlfn.ISFORMULA($K245),"Rule","Manual"),""))</f>
        <v/>
      </c>
      <c r="Y245" s="19">
        <f>IF($C245="","",IF(ReportView=PersonA,N($Q245),IF(ReportView=PersonB,N($R245),$J245)))</f>
        <v/>
      </c>
    </row>
    <row r="246">
      <c r="B246">
        <f>IF($C246="","","T"&amp;TEXT(ROW()-ROW(tblTxn[[#Headers],[Txn ID]]),"000000"))</f>
        <v/>
      </c>
      <c r="C246" s="18" t="n">
        <v>46219</v>
      </c>
      <c r="D246">
        <f>IF($C246="","",TEXT($C246,"yyyy-mm"))</f>
        <v/>
      </c>
      <c r="E246" t="inlineStr">
        <is>
          <t>Amex Cobalt (Joint)</t>
        </is>
      </c>
      <c r="F246">
        <f>IF($C246="","",IFERROR(INDEX(tblAccounts[Owner],MATCH($E246,tblAccounts[Account],0)),"Joint"))</f>
        <v/>
      </c>
      <c r="G246">
        <f>IF($C246="","",IF(HouseholdMode="Couple",IFERROR(IF(INDEX(tblCategories[Default Owner],MATCH($K246,tblCategories[Category],0))="",$F246,INDEX(tblCategories[Default Owner],MATCH($K246,tblCategories[Category],0))),$F246),$F246))</f>
        <v/>
      </c>
      <c r="H246" t="inlineStr">
        <is>
          <t>IDP PURCHASE - 9921 WINNERS #923 ON</t>
        </is>
      </c>
      <c r="I246">
        <f>IF($H246="","",$H246)</f>
        <v/>
      </c>
      <c r="J246" s="19" t="n">
        <v>-102.77</v>
      </c>
      <c r="K246">
        <f>IF($H246="","",IFERROR(INDEX(tblRules[Category],SUMPRODUCT(MIN((1-((tblRules[Enabled]&lt;&gt;"No")*(tblRules[Pattern]&lt;&gt;"")*(tblRules[Category]&lt;&gt;"")*((tblRules[Flow]="Any")+(tblRules[Flow]="")+((tblRules[Flow]="Money out")*($J246&lt;0))+((tblRules[Flow]="Money in")*($J246&gt;0)))*(((tblRules[Look In]="Account")*ISNUMBER(SEARCH(tblRules[Pattern],$E246)))+((tblRules[Look In]&lt;&gt;"Account")*(((tblRules[Test]="Word")*ISNUMBER(SEARCH(" "&amp;tblRules[Pattern]&amp;" "," "&amp;$H246&amp;" ")))+((tblRules[Test]&lt;&gt;"Word")*ISNUMBER(SEARCH(tblRules[Pattern],$H246))))))&gt;0))*1E+9+ROW(tblRules[Pattern])))-ROW(tblRules[[#Headers],[Pattern]])),"Uncategorized"))</f>
        <v/>
      </c>
      <c r="L246">
        <f>IF($C246="","",IFERROR(INDEX(tblCategories[Group],MATCH($K246,tblCategories[Category],0)),"Other"))</f>
        <v/>
      </c>
      <c r="M246">
        <f>IF($C246="","",IFERROR(INDEX(tblCategories[Type],MATCH($K246,tblCategories[Category],0)),IF($J246&gt;0,"Income","Expense")))</f>
        <v/>
      </c>
      <c r="N246">
        <f>IF($C246="","",IFERROR(INDEX(tblCategories[Essential],MATCH($K246,tblCategories[Category],0)),"No"))</f>
        <v/>
      </c>
      <c r="O246">
        <f>IF($C246="","",IFERROR(INDEX(tblCategories[Tax Tag],MATCH($K246,tblCategories[Category],0)),""))</f>
        <v/>
      </c>
      <c r="P246" s="20">
        <f>IF($C246="","",IF($G246=PersonA,1,IF($G246=PersonB,0,IFERROR(INDEX(tblCategories[Joint Split A],MATCH($K246,tblCategories[Category],0)),DefaultSplitA))))</f>
        <v/>
      </c>
      <c r="Q246" s="19">
        <f>IF($C246="","",ROUND($J246*N($P246),2))</f>
        <v/>
      </c>
      <c r="R246" s="19">
        <f>IF($C246="","",ROUND($J246-N($Q246),2))</f>
        <v/>
      </c>
      <c r="U246" t="inlineStr">
        <is>
          <t>sample-data</t>
        </is>
      </c>
      <c r="V246" t="inlineStr">
        <is>
          <t>SAMPLE</t>
        </is>
      </c>
      <c r="W246" t="inlineStr">
        <is>
          <t>22860AC2</t>
        </is>
      </c>
      <c r="X246">
        <f>IF($C246="","",IFERROR(IF(_xlfn.ISFORMULA($K246),"Rule","Manual"),""))</f>
        <v/>
      </c>
      <c r="Y246" s="19">
        <f>IF($C246="","",IF(ReportView=PersonA,N($Q246),IF(ReportView=PersonB,N($R246),$J246)))</f>
        <v/>
      </c>
    </row>
    <row r="247">
      <c r="B247">
        <f>IF($C247="","","T"&amp;TEXT(ROW()-ROW(tblTxn[[#Headers],[Txn ID]]),"000000"))</f>
        <v/>
      </c>
      <c r="C247" s="18" t="n">
        <v>46219</v>
      </c>
      <c r="D247">
        <f>IF($C247="","",TEXT($C247,"yyyy-mm"))</f>
        <v/>
      </c>
      <c r="E247" t="inlineStr">
        <is>
          <t>BMO Joint Chequing</t>
        </is>
      </c>
      <c r="F247">
        <f>IF($C247="","",IFERROR(INDEX(tblAccounts[Owner],MATCH($E247,tblAccounts[Account],0)),"Joint"))</f>
        <v/>
      </c>
      <c r="G247">
        <f>IF($C247="","",IF(HouseholdMode="Couple",IFERROR(IF(INDEX(tblCategories[Default Owner],MATCH($K247,tblCategories[Category],0))="",$F247,INDEX(tblCategories[Default Owner],MATCH($K247,tblCategories[Category],0))),$F247),$F247))</f>
        <v/>
      </c>
      <c r="H247" t="inlineStr">
        <is>
          <t>NETFLIX.COM MISC PAYMENT</t>
        </is>
      </c>
      <c r="I247">
        <f>IF($H247="","",$H247)</f>
        <v/>
      </c>
      <c r="J247" s="19" t="n">
        <v>-22.99</v>
      </c>
      <c r="K247">
        <f>IF($H247="","",IFERROR(INDEX(tblRules[Category],SUMPRODUCT(MIN((1-((tblRules[Enabled]&lt;&gt;"No")*(tblRules[Pattern]&lt;&gt;"")*(tblRules[Category]&lt;&gt;"")*((tblRules[Flow]="Any")+(tblRules[Flow]="")+((tblRules[Flow]="Money out")*($J247&lt;0))+((tblRules[Flow]="Money in")*($J247&gt;0)))*(((tblRules[Look In]="Account")*ISNUMBER(SEARCH(tblRules[Pattern],$E247)))+((tblRules[Look In]&lt;&gt;"Account")*(((tblRules[Test]="Word")*ISNUMBER(SEARCH(" "&amp;tblRules[Pattern]&amp;" "," "&amp;$H247&amp;" ")))+((tblRules[Test]&lt;&gt;"Word")*ISNUMBER(SEARCH(tblRules[Pattern],$H247))))))&gt;0))*1E+9+ROW(tblRules[Pattern])))-ROW(tblRules[[#Headers],[Pattern]])),"Uncategorized"))</f>
        <v/>
      </c>
      <c r="L247">
        <f>IF($C247="","",IFERROR(INDEX(tblCategories[Group],MATCH($K247,tblCategories[Category],0)),"Other"))</f>
        <v/>
      </c>
      <c r="M247">
        <f>IF($C247="","",IFERROR(INDEX(tblCategories[Type],MATCH($K247,tblCategories[Category],0)),IF($J247&gt;0,"Income","Expense")))</f>
        <v/>
      </c>
      <c r="N247">
        <f>IF($C247="","",IFERROR(INDEX(tblCategories[Essential],MATCH($K247,tblCategories[Category],0)),"No"))</f>
        <v/>
      </c>
      <c r="O247">
        <f>IF($C247="","",IFERROR(INDEX(tblCategories[Tax Tag],MATCH($K247,tblCategories[Category],0)),""))</f>
        <v/>
      </c>
      <c r="P247" s="20">
        <f>IF($C247="","",IF($G247=PersonA,1,IF($G247=PersonB,0,IFERROR(INDEX(tblCategories[Joint Split A],MATCH($K247,tblCategories[Category],0)),DefaultSplitA))))</f>
        <v/>
      </c>
      <c r="Q247" s="19">
        <f>IF($C247="","",ROUND($J247*N($P247),2))</f>
        <v/>
      </c>
      <c r="R247" s="19">
        <f>IF($C247="","",ROUND($J247-N($Q247),2))</f>
        <v/>
      </c>
      <c r="U247" t="inlineStr">
        <is>
          <t>sample-data</t>
        </is>
      </c>
      <c r="V247" t="inlineStr">
        <is>
          <t>SAMPLE</t>
        </is>
      </c>
      <c r="W247" t="inlineStr">
        <is>
          <t>039EA691</t>
        </is>
      </c>
      <c r="X247">
        <f>IF($C247="","",IFERROR(IF(_xlfn.ISFORMULA($K247),"Rule","Manual"),""))</f>
        <v/>
      </c>
      <c r="Y247" s="19">
        <f>IF($C247="","",IF(ReportView=PersonA,N($Q247),IF(ReportView=PersonB,N($R247),$J247)))</f>
        <v/>
      </c>
    </row>
    <row r="248">
      <c r="B248">
        <f>IF($C248="","","T"&amp;TEXT(ROW()-ROW(tblTxn[[#Headers],[Txn ID]]),"000000"))</f>
        <v/>
      </c>
      <c r="C248" s="18" t="n">
        <v>46219</v>
      </c>
      <c r="D248">
        <f>IF($C248="","",TEXT($C248,"yyyy-mm"))</f>
        <v/>
      </c>
      <c r="E248" t="inlineStr">
        <is>
          <t>RBC Chequing (Alex)</t>
        </is>
      </c>
      <c r="F248">
        <f>IF($C248="","",IFERROR(INDEX(tblAccounts[Owner],MATCH($E248,tblAccounts[Account],0)),"Joint"))</f>
        <v/>
      </c>
      <c r="G248">
        <f>IF($C248="","",IF(HouseholdMode="Couple",IFERROR(IF(INDEX(tblCategories[Default Owner],MATCH($K248,tblCategories[Category],0))="",$F248,INDEX(tblCategories[Default Owner],MATCH($K248,tblCategories[Category],0))),$F248),$F248))</f>
        <v/>
      </c>
      <c r="H248" t="inlineStr">
        <is>
          <t>TRANSFER TO RRSP WEALTHSIMPLE</t>
        </is>
      </c>
      <c r="I248">
        <f>IF($H248="","",$H248)</f>
        <v/>
      </c>
      <c r="J248" s="19" t="n">
        <v>-450</v>
      </c>
      <c r="K248">
        <f>IF($H248="","",IFERROR(INDEX(tblRules[Category],SUMPRODUCT(MIN((1-((tblRules[Enabled]&lt;&gt;"No")*(tblRules[Pattern]&lt;&gt;"")*(tblRules[Category]&lt;&gt;"")*((tblRules[Flow]="Any")+(tblRules[Flow]="")+((tblRules[Flow]="Money out")*($J248&lt;0))+((tblRules[Flow]="Money in")*($J248&gt;0)))*(((tblRules[Look In]="Account")*ISNUMBER(SEARCH(tblRules[Pattern],$E248)))+((tblRules[Look In]&lt;&gt;"Account")*(((tblRules[Test]="Word")*ISNUMBER(SEARCH(" "&amp;tblRules[Pattern]&amp;" "," "&amp;$H248&amp;" ")))+((tblRules[Test]&lt;&gt;"Word")*ISNUMBER(SEARCH(tblRules[Pattern],$H248))))))&gt;0))*1E+9+ROW(tblRules[Pattern])))-ROW(tblRules[[#Headers],[Pattern]])),"Uncategorized"))</f>
        <v/>
      </c>
      <c r="L248">
        <f>IF($C248="","",IFERROR(INDEX(tblCategories[Group],MATCH($K248,tblCategories[Category],0)),"Other"))</f>
        <v/>
      </c>
      <c r="M248">
        <f>IF($C248="","",IFERROR(INDEX(tblCategories[Type],MATCH($K248,tblCategories[Category],0)),IF($J248&gt;0,"Income","Expense")))</f>
        <v/>
      </c>
      <c r="N248">
        <f>IF($C248="","",IFERROR(INDEX(tblCategories[Essential],MATCH($K248,tblCategories[Category],0)),"No"))</f>
        <v/>
      </c>
      <c r="O248">
        <f>IF($C248="","",IFERROR(INDEX(tblCategories[Tax Tag],MATCH($K248,tblCategories[Category],0)),""))</f>
        <v/>
      </c>
      <c r="P248" s="20">
        <f>IF($C248="","",IF($G248=PersonA,1,IF($G248=PersonB,0,IFERROR(INDEX(tblCategories[Joint Split A],MATCH($K248,tblCategories[Category],0)),DefaultSplitA))))</f>
        <v/>
      </c>
      <c r="Q248" s="19">
        <f>IF($C248="","",ROUND($J248*N($P248),2))</f>
        <v/>
      </c>
      <c r="R248" s="19">
        <f>IF($C248="","",ROUND($J248-N($Q248),2))</f>
        <v/>
      </c>
      <c r="U248" t="inlineStr">
        <is>
          <t>sample-data</t>
        </is>
      </c>
      <c r="V248" t="inlineStr">
        <is>
          <t>SAMPLE</t>
        </is>
      </c>
      <c r="W248" t="inlineStr">
        <is>
          <t>FD12EB47</t>
        </is>
      </c>
      <c r="X248">
        <f>IF($C248="","",IFERROR(IF(_xlfn.ISFORMULA($K248),"Rule","Manual"),""))</f>
        <v/>
      </c>
      <c r="Y248" s="19">
        <f>IF($C248="","",IF(ReportView=PersonA,N($Q248),IF(ReportView=PersonB,N($R248),$J248)))</f>
        <v/>
      </c>
    </row>
    <row r="249">
      <c r="B249">
        <f>IF($C249="","","T"&amp;TEXT(ROW()-ROW(tblTxn[[#Headers],[Txn ID]]),"000000"))</f>
        <v/>
      </c>
      <c r="C249" s="18" t="n">
        <v>46219</v>
      </c>
      <c r="D249">
        <f>IF($C249="","",TEXT($C249,"yyyy-mm"))</f>
        <v/>
      </c>
      <c r="E249" t="inlineStr">
        <is>
          <t>Tangerine Chequing (Sam)</t>
        </is>
      </c>
      <c r="F249">
        <f>IF($C249="","",IFERROR(INDEX(tblAccounts[Owner],MATCH($E249,tblAccounts[Account],0)),"Joint"))</f>
        <v/>
      </c>
      <c r="G249">
        <f>IF($C249="","",IF(HouseholdMode="Couple",IFERROR(IF(INDEX(tblCategories[Default Owner],MATCH($K249,tblCategories[Category],0))="",$F249,INDEX(tblCategories[Default Owner],MATCH($K249,tblCategories[Category],0))),$F249),$F249))</f>
        <v/>
      </c>
      <c r="H249" t="inlineStr">
        <is>
          <t>TFSA CONTRIBUTION TANGERINE INVESTMENT</t>
        </is>
      </c>
      <c r="I249">
        <f>IF($H249="","",$H249)</f>
        <v/>
      </c>
      <c r="J249" s="19" t="n">
        <v>-350</v>
      </c>
      <c r="K249">
        <f>IF($H249="","",IFERROR(INDEX(tblRules[Category],SUMPRODUCT(MIN((1-((tblRules[Enabled]&lt;&gt;"No")*(tblRules[Pattern]&lt;&gt;"")*(tblRules[Category]&lt;&gt;"")*((tblRules[Flow]="Any")+(tblRules[Flow]="")+((tblRules[Flow]="Money out")*($J249&lt;0))+((tblRules[Flow]="Money in")*($J249&gt;0)))*(((tblRules[Look In]="Account")*ISNUMBER(SEARCH(tblRules[Pattern],$E249)))+((tblRules[Look In]&lt;&gt;"Account")*(((tblRules[Test]="Word")*ISNUMBER(SEARCH(" "&amp;tblRules[Pattern]&amp;" "," "&amp;$H249&amp;" ")))+((tblRules[Test]&lt;&gt;"Word")*ISNUMBER(SEARCH(tblRules[Pattern],$H249))))))&gt;0))*1E+9+ROW(tblRules[Pattern])))-ROW(tblRules[[#Headers],[Pattern]])),"Uncategorized"))</f>
        <v/>
      </c>
      <c r="L249">
        <f>IF($C249="","",IFERROR(INDEX(tblCategories[Group],MATCH($K249,tblCategories[Category],0)),"Other"))</f>
        <v/>
      </c>
      <c r="M249">
        <f>IF($C249="","",IFERROR(INDEX(tblCategories[Type],MATCH($K249,tblCategories[Category],0)),IF($J249&gt;0,"Income","Expense")))</f>
        <v/>
      </c>
      <c r="N249">
        <f>IF($C249="","",IFERROR(INDEX(tblCategories[Essential],MATCH($K249,tblCategories[Category],0)),"No"))</f>
        <v/>
      </c>
      <c r="O249">
        <f>IF($C249="","",IFERROR(INDEX(tblCategories[Tax Tag],MATCH($K249,tblCategories[Category],0)),""))</f>
        <v/>
      </c>
      <c r="P249" s="20">
        <f>IF($C249="","",IF($G249=PersonA,1,IF($G249=PersonB,0,IFERROR(INDEX(tblCategories[Joint Split A],MATCH($K249,tblCategories[Category],0)),DefaultSplitA))))</f>
        <v/>
      </c>
      <c r="Q249" s="19">
        <f>IF($C249="","",ROUND($J249*N($P249),2))</f>
        <v/>
      </c>
      <c r="R249" s="19">
        <f>IF($C249="","",ROUND($J249-N($Q249),2))</f>
        <v/>
      </c>
      <c r="U249" t="inlineStr">
        <is>
          <t>sample-data</t>
        </is>
      </c>
      <c r="V249" t="inlineStr">
        <is>
          <t>SAMPLE</t>
        </is>
      </c>
      <c r="W249" t="inlineStr">
        <is>
          <t>EA69B151</t>
        </is>
      </c>
      <c r="X249">
        <f>IF($C249="","",IFERROR(IF(_xlfn.ISFORMULA($K249),"Rule","Manual"),""))</f>
        <v/>
      </c>
      <c r="Y249" s="19">
        <f>IF($C249="","",IF(ReportView=PersonA,N($Q249),IF(ReportView=PersonB,N($R249),$J249)))</f>
        <v/>
      </c>
    </row>
    <row r="250">
      <c r="B250">
        <f>IF($C250="","","T"&amp;TEXT(ROW()-ROW(tblTxn[[#Headers],[Txn ID]]),"000000"))</f>
        <v/>
      </c>
      <c r="C250" s="18" t="n">
        <v>46220</v>
      </c>
      <c r="D250">
        <f>IF($C250="","",TEXT($C250,"yyyy-mm"))</f>
        <v/>
      </c>
      <c r="E250" t="inlineStr">
        <is>
          <t>Amex Cobalt (Joint)</t>
        </is>
      </c>
      <c r="F250">
        <f>IF($C250="","",IFERROR(INDEX(tblAccounts[Owner],MATCH($E250,tblAccounts[Account],0)),"Joint"))</f>
        <v/>
      </c>
      <c r="G250">
        <f>IF($C250="","",IF(HouseholdMode="Couple",IFERROR(IF(INDEX(tblCategories[Default Owner],MATCH($K250,tblCategories[Category],0))="",$F250,INDEX(tblCategories[Default Owner],MATCH($K250,tblCategories[Category],0))),$F250),$F250))</f>
        <v/>
      </c>
      <c r="H250" t="inlineStr">
        <is>
          <t>IDP PURCHASE - 2861 HOME DEPOT #1619 ON</t>
        </is>
      </c>
      <c r="I250">
        <f>IF($H250="","",$H250)</f>
        <v/>
      </c>
      <c r="J250" s="19" t="n">
        <v>-85.65000000000001</v>
      </c>
      <c r="K250">
        <f>IF($H250="","",IFERROR(INDEX(tblRules[Category],SUMPRODUCT(MIN((1-((tblRules[Enabled]&lt;&gt;"No")*(tblRules[Pattern]&lt;&gt;"")*(tblRules[Category]&lt;&gt;"")*((tblRules[Flow]="Any")+(tblRules[Flow]="")+((tblRules[Flow]="Money out")*($J250&lt;0))+((tblRules[Flow]="Money in")*($J250&gt;0)))*(((tblRules[Look In]="Account")*ISNUMBER(SEARCH(tblRules[Pattern],$E250)))+((tblRules[Look In]&lt;&gt;"Account")*(((tblRules[Test]="Word")*ISNUMBER(SEARCH(" "&amp;tblRules[Pattern]&amp;" "," "&amp;$H250&amp;" ")))+((tblRules[Test]&lt;&gt;"Word")*ISNUMBER(SEARCH(tblRules[Pattern],$H250))))))&gt;0))*1E+9+ROW(tblRules[Pattern])))-ROW(tblRules[[#Headers],[Pattern]])),"Uncategorized"))</f>
        <v/>
      </c>
      <c r="L250">
        <f>IF($C250="","",IFERROR(INDEX(tblCategories[Group],MATCH($K250,tblCategories[Category],0)),"Other"))</f>
        <v/>
      </c>
      <c r="M250">
        <f>IF($C250="","",IFERROR(INDEX(tblCategories[Type],MATCH($K250,tblCategories[Category],0)),IF($J250&gt;0,"Income","Expense")))</f>
        <v/>
      </c>
      <c r="N250">
        <f>IF($C250="","",IFERROR(INDEX(tblCategories[Essential],MATCH($K250,tblCategories[Category],0)),"No"))</f>
        <v/>
      </c>
      <c r="O250">
        <f>IF($C250="","",IFERROR(INDEX(tblCategories[Tax Tag],MATCH($K250,tblCategories[Category],0)),""))</f>
        <v/>
      </c>
      <c r="P250" s="20">
        <f>IF($C250="","",IF($G250=PersonA,1,IF($G250=PersonB,0,IFERROR(INDEX(tblCategories[Joint Split A],MATCH($K250,tblCategories[Category],0)),DefaultSplitA))))</f>
        <v/>
      </c>
      <c r="Q250" s="19">
        <f>IF($C250="","",ROUND($J250*N($P250),2))</f>
        <v/>
      </c>
      <c r="R250" s="19">
        <f>IF($C250="","",ROUND($J250-N($Q250),2))</f>
        <v/>
      </c>
      <c r="U250" t="inlineStr">
        <is>
          <t>sample-data</t>
        </is>
      </c>
      <c r="V250" t="inlineStr">
        <is>
          <t>SAMPLE</t>
        </is>
      </c>
      <c r="W250" t="inlineStr">
        <is>
          <t>BDC7D02A</t>
        </is>
      </c>
      <c r="X250">
        <f>IF($C250="","",IFERROR(IF(_xlfn.ISFORMULA($K250),"Rule","Manual"),""))</f>
        <v/>
      </c>
      <c r="Y250" s="19">
        <f>IF($C250="","",IF(ReportView=PersonA,N($Q250),IF(ReportView=PersonB,N($R250),$J250)))</f>
        <v/>
      </c>
    </row>
    <row r="251">
      <c r="B251">
        <f>IF($C251="","","T"&amp;TEXT(ROW()-ROW(tblTxn[[#Headers],[Txn ID]]),"000000"))</f>
        <v/>
      </c>
      <c r="C251" s="18" t="n">
        <v>46220</v>
      </c>
      <c r="D251">
        <f>IF($C251="","",TEXT($C251,"yyyy-mm"))</f>
        <v/>
      </c>
      <c r="E251" t="inlineStr">
        <is>
          <t>BMO Joint Chequing</t>
        </is>
      </c>
      <c r="F251">
        <f>IF($C251="","",IFERROR(INDEX(tblAccounts[Owner],MATCH($E251,tblAccounts[Account],0)),"Joint"))</f>
        <v/>
      </c>
      <c r="G251">
        <f>IF($C251="","",IF(HouseholdMode="Couple",IFERROR(IF(INDEX(tblCategories[Default Owner],MATCH($K251,tblCategories[Category],0))="",$F251,INDEX(tblCategories[Default Owner],MATCH($K251,tblCategories[Category],0))),$F251),$F251))</f>
        <v/>
      </c>
      <c r="H251" t="inlineStr">
        <is>
          <t>SPOTIFY P2C5 MISC PAYMENT</t>
        </is>
      </c>
      <c r="I251">
        <f>IF($H251="","",$H251)</f>
        <v/>
      </c>
      <c r="J251" s="19" t="n">
        <v>-16.99</v>
      </c>
      <c r="K251">
        <f>IF($H251="","",IFERROR(INDEX(tblRules[Category],SUMPRODUCT(MIN((1-((tblRules[Enabled]&lt;&gt;"No")*(tblRules[Pattern]&lt;&gt;"")*(tblRules[Category]&lt;&gt;"")*((tblRules[Flow]="Any")+(tblRules[Flow]="")+((tblRules[Flow]="Money out")*($J251&lt;0))+((tblRules[Flow]="Money in")*($J251&gt;0)))*(((tblRules[Look In]="Account")*ISNUMBER(SEARCH(tblRules[Pattern],$E251)))+((tblRules[Look In]&lt;&gt;"Account")*(((tblRules[Test]="Word")*ISNUMBER(SEARCH(" "&amp;tblRules[Pattern]&amp;" "," "&amp;$H251&amp;" ")))+((tblRules[Test]&lt;&gt;"Word")*ISNUMBER(SEARCH(tblRules[Pattern],$H251))))))&gt;0))*1E+9+ROW(tblRules[Pattern])))-ROW(tblRules[[#Headers],[Pattern]])),"Uncategorized"))</f>
        <v/>
      </c>
      <c r="L251">
        <f>IF($C251="","",IFERROR(INDEX(tblCategories[Group],MATCH($K251,tblCategories[Category],0)),"Other"))</f>
        <v/>
      </c>
      <c r="M251">
        <f>IF($C251="","",IFERROR(INDEX(tblCategories[Type],MATCH($K251,tblCategories[Category],0)),IF($J251&gt;0,"Income","Expense")))</f>
        <v/>
      </c>
      <c r="N251">
        <f>IF($C251="","",IFERROR(INDEX(tblCategories[Essential],MATCH($K251,tblCategories[Category],0)),"No"))</f>
        <v/>
      </c>
      <c r="O251">
        <f>IF($C251="","",IFERROR(INDEX(tblCategories[Tax Tag],MATCH($K251,tblCategories[Category],0)),""))</f>
        <v/>
      </c>
      <c r="P251" s="20">
        <f>IF($C251="","",IF($G251=PersonA,1,IF($G251=PersonB,0,IFERROR(INDEX(tblCategories[Joint Split A],MATCH($K251,tblCategories[Category],0)),DefaultSplitA))))</f>
        <v/>
      </c>
      <c r="Q251" s="19">
        <f>IF($C251="","",ROUND($J251*N($P251),2))</f>
        <v/>
      </c>
      <c r="R251" s="19">
        <f>IF($C251="","",ROUND($J251-N($Q251),2))</f>
        <v/>
      </c>
      <c r="U251" t="inlineStr">
        <is>
          <t>sample-data</t>
        </is>
      </c>
      <c r="V251" t="inlineStr">
        <is>
          <t>SAMPLE</t>
        </is>
      </c>
      <c r="W251" t="inlineStr">
        <is>
          <t>D78B347C</t>
        </is>
      </c>
      <c r="X251">
        <f>IF($C251="","",IFERROR(IF(_xlfn.ISFORMULA($K251),"Rule","Manual"),""))</f>
        <v/>
      </c>
      <c r="Y251" s="19">
        <f>IF($C251="","",IF(ReportView=PersonA,N($Q251),IF(ReportView=PersonB,N($R251),$J251)))</f>
        <v/>
      </c>
    </row>
    <row r="252">
      <c r="B252">
        <f>IF($C252="","","T"&amp;TEXT(ROW()-ROW(tblTxn[[#Headers],[Txn ID]]),"000000"))</f>
        <v/>
      </c>
      <c r="C252" s="18" t="n">
        <v>46221</v>
      </c>
      <c r="D252">
        <f>IF($C252="","",TEXT($C252,"yyyy-mm"))</f>
        <v/>
      </c>
      <c r="E252" t="inlineStr">
        <is>
          <t>Amex Cobalt (Joint)</t>
        </is>
      </c>
      <c r="F252">
        <f>IF($C252="","",IFERROR(INDEX(tblAccounts[Owner],MATCH($E252,tblAccounts[Account],0)),"Joint"))</f>
        <v/>
      </c>
      <c r="G252">
        <f>IF($C252="","",IF(HouseholdMode="Couple",IFERROR(IF(INDEX(tblCategories[Default Owner],MATCH($K252,tblCategories[Category],0))="",$F252,INDEX(tblCategories[Default Owner],MATCH($K252,tblCategories[Category],0))),$F252),$F252))</f>
        <v/>
      </c>
      <c r="H252" t="inlineStr">
        <is>
          <t>IDP PURCHASE - 8540 TIM HORTONS #4343 TORONTO ON</t>
        </is>
      </c>
      <c r="I252">
        <f>IF($H252="","",$H252)</f>
        <v/>
      </c>
      <c r="J252" s="19" t="n">
        <v>-6.12</v>
      </c>
      <c r="K252">
        <f>IF($H252="","",IFERROR(INDEX(tblRules[Category],SUMPRODUCT(MIN((1-((tblRules[Enabled]&lt;&gt;"No")*(tblRules[Pattern]&lt;&gt;"")*(tblRules[Category]&lt;&gt;"")*((tblRules[Flow]="Any")+(tblRules[Flow]="")+((tblRules[Flow]="Money out")*($J252&lt;0))+((tblRules[Flow]="Money in")*($J252&gt;0)))*(((tblRules[Look In]="Account")*ISNUMBER(SEARCH(tblRules[Pattern],$E252)))+((tblRules[Look In]&lt;&gt;"Account")*(((tblRules[Test]="Word")*ISNUMBER(SEARCH(" "&amp;tblRules[Pattern]&amp;" "," "&amp;$H252&amp;" ")))+((tblRules[Test]&lt;&gt;"Word")*ISNUMBER(SEARCH(tblRules[Pattern],$H252))))))&gt;0))*1E+9+ROW(tblRules[Pattern])))-ROW(tblRules[[#Headers],[Pattern]])),"Uncategorized"))</f>
        <v/>
      </c>
      <c r="L252">
        <f>IF($C252="","",IFERROR(INDEX(tblCategories[Group],MATCH($K252,tblCategories[Category],0)),"Other"))</f>
        <v/>
      </c>
      <c r="M252">
        <f>IF($C252="","",IFERROR(INDEX(tblCategories[Type],MATCH($K252,tblCategories[Category],0)),IF($J252&gt;0,"Income","Expense")))</f>
        <v/>
      </c>
      <c r="N252">
        <f>IF($C252="","",IFERROR(INDEX(tblCategories[Essential],MATCH($K252,tblCategories[Category],0)),"No"))</f>
        <v/>
      </c>
      <c r="O252">
        <f>IF($C252="","",IFERROR(INDEX(tblCategories[Tax Tag],MATCH($K252,tblCategories[Category],0)),""))</f>
        <v/>
      </c>
      <c r="P252" s="20">
        <f>IF($C252="","",IF($G252=PersonA,1,IF($G252=PersonB,0,IFERROR(INDEX(tblCategories[Joint Split A],MATCH($K252,tblCategories[Category],0)),DefaultSplitA))))</f>
        <v/>
      </c>
      <c r="Q252" s="19">
        <f>IF($C252="","",ROUND($J252*N($P252),2))</f>
        <v/>
      </c>
      <c r="R252" s="19">
        <f>IF($C252="","",ROUND($J252-N($Q252),2))</f>
        <v/>
      </c>
      <c r="U252" t="inlineStr">
        <is>
          <t>sample-data</t>
        </is>
      </c>
      <c r="V252" t="inlineStr">
        <is>
          <t>SAMPLE</t>
        </is>
      </c>
      <c r="W252" t="inlineStr">
        <is>
          <t>62040CFE</t>
        </is>
      </c>
      <c r="X252">
        <f>IF($C252="","",IFERROR(IF(_xlfn.ISFORMULA($K252),"Rule","Manual"),""))</f>
        <v/>
      </c>
      <c r="Y252" s="19">
        <f>IF($C252="","",IF(ReportView=PersonA,N($Q252),IF(ReportView=PersonB,N($R252),$J252)))</f>
        <v/>
      </c>
    </row>
    <row r="253">
      <c r="B253">
        <f>IF($C253="","","T"&amp;TEXT(ROW()-ROW(tblTxn[[#Headers],[Txn ID]]),"000000"))</f>
        <v/>
      </c>
      <c r="C253" s="18" t="n">
        <v>46221</v>
      </c>
      <c r="D253">
        <f>IF($C253="","",TEXT($C253,"yyyy-mm"))</f>
        <v/>
      </c>
      <c r="E253" t="inlineStr">
        <is>
          <t>BMO Joint Chequing</t>
        </is>
      </c>
      <c r="F253">
        <f>IF($C253="","",IFERROR(INDEX(tblAccounts[Owner],MATCH($E253,tblAccounts[Account],0)),"Joint"))</f>
        <v/>
      </c>
      <c r="G253">
        <f>IF($C253="","",IF(HouseholdMode="Couple",IFERROR(IF(INDEX(tblCategories[Default Owner],MATCH($K253,tblCategories[Category],0))="",$F253,INDEX(tblCategories[Default Owner],MATCH($K253,tblCategories[Category],0))),$F253),$F253))</f>
        <v/>
      </c>
      <c r="H253" t="inlineStr">
        <is>
          <t>RESP CONTRIBUTION CST SAVINGS</t>
        </is>
      </c>
      <c r="I253">
        <f>IF($H253="","",$H253)</f>
        <v/>
      </c>
      <c r="J253" s="19" t="n">
        <v>-208.33</v>
      </c>
      <c r="K253">
        <f>IF($H253="","",IFERROR(INDEX(tblRules[Category],SUMPRODUCT(MIN((1-((tblRules[Enabled]&lt;&gt;"No")*(tblRules[Pattern]&lt;&gt;"")*(tblRules[Category]&lt;&gt;"")*((tblRules[Flow]="Any")+(tblRules[Flow]="")+((tblRules[Flow]="Money out")*($J253&lt;0))+((tblRules[Flow]="Money in")*($J253&gt;0)))*(((tblRules[Look In]="Account")*ISNUMBER(SEARCH(tblRules[Pattern],$E253)))+((tblRules[Look In]&lt;&gt;"Account")*(((tblRules[Test]="Word")*ISNUMBER(SEARCH(" "&amp;tblRules[Pattern]&amp;" "," "&amp;$H253&amp;" ")))+((tblRules[Test]&lt;&gt;"Word")*ISNUMBER(SEARCH(tblRules[Pattern],$H253))))))&gt;0))*1E+9+ROW(tblRules[Pattern])))-ROW(tblRules[[#Headers],[Pattern]])),"Uncategorized"))</f>
        <v/>
      </c>
      <c r="L253">
        <f>IF($C253="","",IFERROR(INDEX(tblCategories[Group],MATCH($K253,tblCategories[Category],0)),"Other"))</f>
        <v/>
      </c>
      <c r="M253">
        <f>IF($C253="","",IFERROR(INDEX(tblCategories[Type],MATCH($K253,tblCategories[Category],0)),IF($J253&gt;0,"Income","Expense")))</f>
        <v/>
      </c>
      <c r="N253">
        <f>IF($C253="","",IFERROR(INDEX(tblCategories[Essential],MATCH($K253,tblCategories[Category],0)),"No"))</f>
        <v/>
      </c>
      <c r="O253">
        <f>IF($C253="","",IFERROR(INDEX(tblCategories[Tax Tag],MATCH($K253,tblCategories[Category],0)),""))</f>
        <v/>
      </c>
      <c r="P253" s="20">
        <f>IF($C253="","",IF($G253=PersonA,1,IF($G253=PersonB,0,IFERROR(INDEX(tblCategories[Joint Split A],MATCH($K253,tblCategories[Category],0)),DefaultSplitA))))</f>
        <v/>
      </c>
      <c r="Q253" s="19">
        <f>IF($C253="","",ROUND($J253*N($P253),2))</f>
        <v/>
      </c>
      <c r="R253" s="19">
        <f>IF($C253="","",ROUND($J253-N($Q253),2))</f>
        <v/>
      </c>
      <c r="U253" t="inlineStr">
        <is>
          <t>sample-data</t>
        </is>
      </c>
      <c r="V253" t="inlineStr">
        <is>
          <t>SAMPLE</t>
        </is>
      </c>
      <c r="W253" t="inlineStr">
        <is>
          <t>20C2F807</t>
        </is>
      </c>
      <c r="X253">
        <f>IF($C253="","",IFERROR(IF(_xlfn.ISFORMULA($K253),"Rule","Manual"),""))</f>
        <v/>
      </c>
      <c r="Y253" s="19">
        <f>IF($C253="","",IF(ReportView=PersonA,N($Q253),IF(ReportView=PersonB,N($R253),$J253)))</f>
        <v/>
      </c>
    </row>
    <row r="254">
      <c r="B254">
        <f>IF($C254="","","T"&amp;TEXT(ROW()-ROW(tblTxn[[#Headers],[Txn ID]]),"000000"))</f>
        <v/>
      </c>
      <c r="C254" s="18" t="n">
        <v>46222</v>
      </c>
      <c r="D254">
        <f>IF($C254="","",TEXT($C254,"yyyy-mm"))</f>
        <v/>
      </c>
      <c r="E254" t="inlineStr">
        <is>
          <t>Tangerine Chequing (Sam)</t>
        </is>
      </c>
      <c r="F254">
        <f>IF($C254="","",IFERROR(INDEX(tblAccounts[Owner],MATCH($E254,tblAccounts[Account],0)),"Joint"))</f>
        <v/>
      </c>
      <c r="G254">
        <f>IF($C254="","",IF(HouseholdMode="Couple",IFERROR(IF(INDEX(tblCategories[Default Owner],MATCH($K254,tblCategories[Category],0))="",$F254,INDEX(tblCategories[Default Owner],MATCH($K254,tblCategories[Category],0))),$F254),$F254))</f>
        <v/>
      </c>
      <c r="H254" t="inlineStr">
        <is>
          <t>IDP PURCHASE - 2039 TIM HORTONS #4585 TORONTO ON</t>
        </is>
      </c>
      <c r="I254">
        <f>IF($H254="","",$H254)</f>
        <v/>
      </c>
      <c r="J254" s="19" t="n">
        <v>-11.06</v>
      </c>
      <c r="K254">
        <f>IF($H254="","",IFERROR(INDEX(tblRules[Category],SUMPRODUCT(MIN((1-((tblRules[Enabled]&lt;&gt;"No")*(tblRules[Pattern]&lt;&gt;"")*(tblRules[Category]&lt;&gt;"")*((tblRules[Flow]="Any")+(tblRules[Flow]="")+((tblRules[Flow]="Money out")*($J254&lt;0))+((tblRules[Flow]="Money in")*($J254&gt;0)))*(((tblRules[Look In]="Account")*ISNUMBER(SEARCH(tblRules[Pattern],$E254)))+((tblRules[Look In]&lt;&gt;"Account")*(((tblRules[Test]="Word")*ISNUMBER(SEARCH(" "&amp;tblRules[Pattern]&amp;" "," "&amp;$H254&amp;" ")))+((tblRules[Test]&lt;&gt;"Word")*ISNUMBER(SEARCH(tblRules[Pattern],$H254))))))&gt;0))*1E+9+ROW(tblRules[Pattern])))-ROW(tblRules[[#Headers],[Pattern]])),"Uncategorized"))</f>
        <v/>
      </c>
      <c r="L254">
        <f>IF($C254="","",IFERROR(INDEX(tblCategories[Group],MATCH($K254,tblCategories[Category],0)),"Other"))</f>
        <v/>
      </c>
      <c r="M254">
        <f>IF($C254="","",IFERROR(INDEX(tblCategories[Type],MATCH($K254,tblCategories[Category],0)),IF($J254&gt;0,"Income","Expense")))</f>
        <v/>
      </c>
      <c r="N254">
        <f>IF($C254="","",IFERROR(INDEX(tblCategories[Essential],MATCH($K254,tblCategories[Category],0)),"No"))</f>
        <v/>
      </c>
      <c r="O254">
        <f>IF($C254="","",IFERROR(INDEX(tblCategories[Tax Tag],MATCH($K254,tblCategories[Category],0)),""))</f>
        <v/>
      </c>
      <c r="P254" s="20">
        <f>IF($C254="","",IF($G254=PersonA,1,IF($G254=PersonB,0,IFERROR(INDEX(tblCategories[Joint Split A],MATCH($K254,tblCategories[Category],0)),DefaultSplitA))))</f>
        <v/>
      </c>
      <c r="Q254" s="19">
        <f>IF($C254="","",ROUND($J254*N($P254),2))</f>
        <v/>
      </c>
      <c r="R254" s="19">
        <f>IF($C254="","",ROUND($J254-N($Q254),2))</f>
        <v/>
      </c>
      <c r="U254" t="inlineStr">
        <is>
          <t>sample-data</t>
        </is>
      </c>
      <c r="V254" t="inlineStr">
        <is>
          <t>SAMPLE</t>
        </is>
      </c>
      <c r="W254" t="inlineStr">
        <is>
          <t>9583C50F</t>
        </is>
      </c>
      <c r="X254">
        <f>IF($C254="","",IFERROR(IF(_xlfn.ISFORMULA($K254),"Rule","Manual"),""))</f>
        <v/>
      </c>
      <c r="Y254" s="19">
        <f>IF($C254="","",IF(ReportView=PersonA,N($Q254),IF(ReportView=PersonB,N($R254),$J254)))</f>
        <v/>
      </c>
    </row>
    <row r="255">
      <c r="B255">
        <f>IF($C255="","","T"&amp;TEXT(ROW()-ROW(tblTxn[[#Headers],[Txn ID]]),"000000"))</f>
        <v/>
      </c>
      <c r="C255" s="18" t="n">
        <v>46223</v>
      </c>
      <c r="D255">
        <f>IF($C255="","",TEXT($C255,"yyyy-mm"))</f>
        <v/>
      </c>
      <c r="E255" t="inlineStr">
        <is>
          <t>BMO Joint Chequing</t>
        </is>
      </c>
      <c r="F255">
        <f>IF($C255="","",IFERROR(INDEX(tblAccounts[Owner],MATCH($E255,tblAccounts[Account],0)),"Joint"))</f>
        <v/>
      </c>
      <c r="G255">
        <f>IF($C255="","",IF(HouseholdMode="Couple",IFERROR(IF(INDEX(tblCategories[Default Owner],MATCH($K255,tblCategories[Category],0))="",$F255,INDEX(tblCategories[Default Owner],MATCH($K255,tblCategories[Category],0))),$F255),$F255))</f>
        <v/>
      </c>
      <c r="H255" t="inlineStr">
        <is>
          <t>CANADA FED / FED CCB DEPOSIT</t>
        </is>
      </c>
      <c r="I255">
        <f>IF($H255="","",$H255)</f>
        <v/>
      </c>
      <c r="J255" s="19" t="n">
        <v>619.75</v>
      </c>
      <c r="K255">
        <f>IF($H255="","",IFERROR(INDEX(tblRules[Category],SUMPRODUCT(MIN((1-((tblRules[Enabled]&lt;&gt;"No")*(tblRules[Pattern]&lt;&gt;"")*(tblRules[Category]&lt;&gt;"")*((tblRules[Flow]="Any")+(tblRules[Flow]="")+((tblRules[Flow]="Money out")*($J255&lt;0))+((tblRules[Flow]="Money in")*($J255&gt;0)))*(((tblRules[Look In]="Account")*ISNUMBER(SEARCH(tblRules[Pattern],$E255)))+((tblRules[Look In]&lt;&gt;"Account")*(((tblRules[Test]="Word")*ISNUMBER(SEARCH(" "&amp;tblRules[Pattern]&amp;" "," "&amp;$H255&amp;" ")))+((tblRules[Test]&lt;&gt;"Word")*ISNUMBER(SEARCH(tblRules[Pattern],$H255))))))&gt;0))*1E+9+ROW(tblRules[Pattern])))-ROW(tblRules[[#Headers],[Pattern]])),"Uncategorized"))</f>
        <v/>
      </c>
      <c r="L255">
        <f>IF($C255="","",IFERROR(INDEX(tblCategories[Group],MATCH($K255,tblCategories[Category],0)),"Other"))</f>
        <v/>
      </c>
      <c r="M255">
        <f>IF($C255="","",IFERROR(INDEX(tblCategories[Type],MATCH($K255,tblCategories[Category],0)),IF($J255&gt;0,"Income","Expense")))</f>
        <v/>
      </c>
      <c r="N255">
        <f>IF($C255="","",IFERROR(INDEX(tblCategories[Essential],MATCH($K255,tblCategories[Category],0)),"No"))</f>
        <v/>
      </c>
      <c r="O255">
        <f>IF($C255="","",IFERROR(INDEX(tblCategories[Tax Tag],MATCH($K255,tblCategories[Category],0)),""))</f>
        <v/>
      </c>
      <c r="P255" s="20">
        <f>IF($C255="","",IF($G255=PersonA,1,IF($G255=PersonB,0,IFERROR(INDEX(tblCategories[Joint Split A],MATCH($K255,tblCategories[Category],0)),DefaultSplitA))))</f>
        <v/>
      </c>
      <c r="Q255" s="19">
        <f>IF($C255="","",ROUND($J255*N($P255),2))</f>
        <v/>
      </c>
      <c r="R255" s="19">
        <f>IF($C255="","",ROUND($J255-N($Q255),2))</f>
        <v/>
      </c>
      <c r="U255" t="inlineStr">
        <is>
          <t>sample-data</t>
        </is>
      </c>
      <c r="V255" t="inlineStr">
        <is>
          <t>SAMPLE</t>
        </is>
      </c>
      <c r="W255" t="inlineStr">
        <is>
          <t>10E16543</t>
        </is>
      </c>
      <c r="X255">
        <f>IF($C255="","",IFERROR(IF(_xlfn.ISFORMULA($K255),"Rule","Manual"),""))</f>
        <v/>
      </c>
      <c r="Y255" s="19">
        <f>IF($C255="","",IF(ReportView=PersonA,N($Q255),IF(ReportView=PersonB,N($R255),$J255)))</f>
        <v/>
      </c>
    </row>
    <row r="256">
      <c r="B256">
        <f>IF($C256="","","T"&amp;TEXT(ROW()-ROW(tblTxn[[#Headers],[Txn ID]]),"000000"))</f>
        <v/>
      </c>
      <c r="C256" s="18" t="n">
        <v>46223</v>
      </c>
      <c r="D256">
        <f>IF($C256="","",TEXT($C256,"yyyy-mm"))</f>
        <v/>
      </c>
      <c r="E256" t="inlineStr">
        <is>
          <t>BMO Joint Chequing</t>
        </is>
      </c>
      <c r="F256">
        <f>IF($C256="","",IFERROR(INDEX(tblAccounts[Owner],MATCH($E256,tblAccounts[Account],0)),"Joint"))</f>
        <v/>
      </c>
      <c r="G256">
        <f>IF($C256="","",IF(HouseholdMode="Couple",IFERROR(IF(INDEX(tblCategories[Default Owner],MATCH($K256,tblCategories[Category],0))="",$F256,INDEX(tblCategories[Default Owner],MATCH($K256,tblCategories[Category],0))),$F256),$F256))</f>
        <v/>
      </c>
      <c r="H256" t="inlineStr">
        <is>
          <t>IDP PURCHASE - 1053 LOBLAWS #1160 TORONTO ON</t>
        </is>
      </c>
      <c r="I256">
        <f>IF($H256="","",$H256)</f>
        <v/>
      </c>
      <c r="J256" s="19" t="n">
        <v>-114.72</v>
      </c>
      <c r="K256">
        <f>IF($H256="","",IFERROR(INDEX(tblRules[Category],SUMPRODUCT(MIN((1-((tblRules[Enabled]&lt;&gt;"No")*(tblRules[Pattern]&lt;&gt;"")*(tblRules[Category]&lt;&gt;"")*((tblRules[Flow]="Any")+(tblRules[Flow]="")+((tblRules[Flow]="Money out")*($J256&lt;0))+((tblRules[Flow]="Money in")*($J256&gt;0)))*(((tblRules[Look In]="Account")*ISNUMBER(SEARCH(tblRules[Pattern],$E256)))+((tblRules[Look In]&lt;&gt;"Account")*(((tblRules[Test]="Word")*ISNUMBER(SEARCH(" "&amp;tblRules[Pattern]&amp;" "," "&amp;$H256&amp;" ")))+((tblRules[Test]&lt;&gt;"Word")*ISNUMBER(SEARCH(tblRules[Pattern],$H256))))))&gt;0))*1E+9+ROW(tblRules[Pattern])))-ROW(tblRules[[#Headers],[Pattern]])),"Uncategorized"))</f>
        <v/>
      </c>
      <c r="L256">
        <f>IF($C256="","",IFERROR(INDEX(tblCategories[Group],MATCH($K256,tblCategories[Category],0)),"Other"))</f>
        <v/>
      </c>
      <c r="M256">
        <f>IF($C256="","",IFERROR(INDEX(tblCategories[Type],MATCH($K256,tblCategories[Category],0)),IF($J256&gt;0,"Income","Expense")))</f>
        <v/>
      </c>
      <c r="N256">
        <f>IF($C256="","",IFERROR(INDEX(tblCategories[Essential],MATCH($K256,tblCategories[Category],0)),"No"))</f>
        <v/>
      </c>
      <c r="O256">
        <f>IF($C256="","",IFERROR(INDEX(tblCategories[Tax Tag],MATCH($K256,tblCategories[Category],0)),""))</f>
        <v/>
      </c>
      <c r="P256" s="20">
        <f>IF($C256="","",IF($G256=PersonA,1,IF($G256=PersonB,0,IFERROR(INDEX(tblCategories[Joint Split A],MATCH($K256,tblCategories[Category],0)),DefaultSplitA))))</f>
        <v/>
      </c>
      <c r="Q256" s="19">
        <f>IF($C256="","",ROUND($J256*N($P256),2))</f>
        <v/>
      </c>
      <c r="R256" s="19">
        <f>IF($C256="","",ROUND($J256-N($Q256),2))</f>
        <v/>
      </c>
      <c r="U256" t="inlineStr">
        <is>
          <t>sample-data</t>
        </is>
      </c>
      <c r="V256" t="inlineStr">
        <is>
          <t>SAMPLE</t>
        </is>
      </c>
      <c r="W256" t="inlineStr">
        <is>
          <t>18087F71</t>
        </is>
      </c>
      <c r="X256">
        <f>IF($C256="","",IFERROR(IF(_xlfn.ISFORMULA($K256),"Rule","Manual"),""))</f>
        <v/>
      </c>
      <c r="Y256" s="19">
        <f>IF($C256="","",IF(ReportView=PersonA,N($Q256),IF(ReportView=PersonB,N($R256),$J256)))</f>
        <v/>
      </c>
    </row>
    <row r="257">
      <c r="B257">
        <f>IF($C257="","","T"&amp;TEXT(ROW()-ROW(tblTxn[[#Headers],[Txn ID]]),"000000"))</f>
        <v/>
      </c>
      <c r="C257" s="18" t="n">
        <v>46223</v>
      </c>
      <c r="D257">
        <f>IF($C257="","",TEXT($C257,"yyyy-mm"))</f>
        <v/>
      </c>
      <c r="E257" t="inlineStr">
        <is>
          <t>Tangerine Chequing (Sam)</t>
        </is>
      </c>
      <c r="F257">
        <f>IF($C257="","",IFERROR(INDEX(tblAccounts[Owner],MATCH($E257,tblAccounts[Account],0)),"Joint"))</f>
        <v/>
      </c>
      <c r="G257">
        <f>IF($C257="","",IF(HouseholdMode="Couple",IFERROR(IF(INDEX(tblCategories[Default Owner],MATCH($K257,tblCategories[Category],0))="",$F257,INDEX(tblCategories[Default Owner],MATCH($K257,tblCategories[Category],0))),$F257),$F257))</f>
        <v/>
      </c>
      <c r="H257" t="inlineStr">
        <is>
          <t>IDP PURCHASE - 5110 PIZZA NOVA #802 ON</t>
        </is>
      </c>
      <c r="I257">
        <f>IF($H257="","",$H257)</f>
        <v/>
      </c>
      <c r="J257" s="19" t="n">
        <v>-44.4</v>
      </c>
      <c r="K257">
        <f>IF($H257="","",IFERROR(INDEX(tblRules[Category],SUMPRODUCT(MIN((1-((tblRules[Enabled]&lt;&gt;"No")*(tblRules[Pattern]&lt;&gt;"")*(tblRules[Category]&lt;&gt;"")*((tblRules[Flow]="Any")+(tblRules[Flow]="")+((tblRules[Flow]="Money out")*($J257&lt;0))+((tblRules[Flow]="Money in")*($J257&gt;0)))*(((tblRules[Look In]="Account")*ISNUMBER(SEARCH(tblRules[Pattern],$E257)))+((tblRules[Look In]&lt;&gt;"Account")*(((tblRules[Test]="Word")*ISNUMBER(SEARCH(" "&amp;tblRules[Pattern]&amp;" "," "&amp;$H257&amp;" ")))+((tblRules[Test]&lt;&gt;"Word")*ISNUMBER(SEARCH(tblRules[Pattern],$H257))))))&gt;0))*1E+9+ROW(tblRules[Pattern])))-ROW(tblRules[[#Headers],[Pattern]])),"Uncategorized"))</f>
        <v/>
      </c>
      <c r="L257">
        <f>IF($C257="","",IFERROR(INDEX(tblCategories[Group],MATCH($K257,tblCategories[Category],0)),"Other"))</f>
        <v/>
      </c>
      <c r="M257">
        <f>IF($C257="","",IFERROR(INDEX(tblCategories[Type],MATCH($K257,tblCategories[Category],0)),IF($J257&gt;0,"Income","Expense")))</f>
        <v/>
      </c>
      <c r="N257">
        <f>IF($C257="","",IFERROR(INDEX(tblCategories[Essential],MATCH($K257,tblCategories[Category],0)),"No"))</f>
        <v/>
      </c>
      <c r="O257">
        <f>IF($C257="","",IFERROR(INDEX(tblCategories[Tax Tag],MATCH($K257,tblCategories[Category],0)),""))</f>
        <v/>
      </c>
      <c r="P257" s="20">
        <f>IF($C257="","",IF($G257=PersonA,1,IF($G257=PersonB,0,IFERROR(INDEX(tblCategories[Joint Split A],MATCH($K257,tblCategories[Category],0)),DefaultSplitA))))</f>
        <v/>
      </c>
      <c r="Q257" s="19">
        <f>IF($C257="","",ROUND($J257*N($P257),2))</f>
        <v/>
      </c>
      <c r="R257" s="19">
        <f>IF($C257="","",ROUND($J257-N($Q257),2))</f>
        <v/>
      </c>
      <c r="U257" t="inlineStr">
        <is>
          <t>sample-data</t>
        </is>
      </c>
      <c r="V257" t="inlineStr">
        <is>
          <t>SAMPLE</t>
        </is>
      </c>
      <c r="W257" t="inlineStr">
        <is>
          <t>C323BD30</t>
        </is>
      </c>
      <c r="X257">
        <f>IF($C257="","",IFERROR(IF(_xlfn.ISFORMULA($K257),"Rule","Manual"),""))</f>
        <v/>
      </c>
      <c r="Y257" s="19">
        <f>IF($C257="","",IF(ReportView=PersonA,N($Q257),IF(ReportView=PersonB,N($R257),$J257)))</f>
        <v/>
      </c>
    </row>
    <row r="258">
      <c r="B258">
        <f>IF($C258="","","T"&amp;TEXT(ROW()-ROW(tblTxn[[#Headers],[Txn ID]]),"000000"))</f>
        <v/>
      </c>
      <c r="C258" s="18" t="n">
        <v>46224</v>
      </c>
      <c r="D258">
        <f>IF($C258="","",TEXT($C258,"yyyy-mm"))</f>
        <v/>
      </c>
      <c r="E258" t="inlineStr">
        <is>
          <t>Amex Cobalt (Joint)</t>
        </is>
      </c>
      <c r="F258">
        <f>IF($C258="","",IFERROR(INDEX(tblAccounts[Owner],MATCH($E258,tblAccounts[Account],0)),"Joint"))</f>
        <v/>
      </c>
      <c r="G258">
        <f>IF($C258="","",IF(HouseholdMode="Couple",IFERROR(IF(INDEX(tblCategories[Default Owner],MATCH($K258,tblCategories[Category],0))="",$F258,INDEX(tblCategories[Default Owner],MATCH($K258,tblCategories[Category],0))),$F258),$F258))</f>
        <v/>
      </c>
      <c r="H258" t="inlineStr">
        <is>
          <t>IDP PURCHASE - 3059 PETRO-CANADA #4610 ON</t>
        </is>
      </c>
      <c r="I258">
        <f>IF($H258="","",$H258)</f>
        <v/>
      </c>
      <c r="J258" s="19" t="n">
        <v>-50.64</v>
      </c>
      <c r="K258">
        <f>IF($H258="","",IFERROR(INDEX(tblRules[Category],SUMPRODUCT(MIN((1-((tblRules[Enabled]&lt;&gt;"No")*(tblRules[Pattern]&lt;&gt;"")*(tblRules[Category]&lt;&gt;"")*((tblRules[Flow]="Any")+(tblRules[Flow]="")+((tblRules[Flow]="Money out")*($J258&lt;0))+((tblRules[Flow]="Money in")*($J258&gt;0)))*(((tblRules[Look In]="Account")*ISNUMBER(SEARCH(tblRules[Pattern],$E258)))+((tblRules[Look In]&lt;&gt;"Account")*(((tblRules[Test]="Word")*ISNUMBER(SEARCH(" "&amp;tblRules[Pattern]&amp;" "," "&amp;$H258&amp;" ")))+((tblRules[Test]&lt;&gt;"Word")*ISNUMBER(SEARCH(tblRules[Pattern],$H258))))))&gt;0))*1E+9+ROW(tblRules[Pattern])))-ROW(tblRules[[#Headers],[Pattern]])),"Uncategorized"))</f>
        <v/>
      </c>
      <c r="L258">
        <f>IF($C258="","",IFERROR(INDEX(tblCategories[Group],MATCH($K258,tblCategories[Category],0)),"Other"))</f>
        <v/>
      </c>
      <c r="M258">
        <f>IF($C258="","",IFERROR(INDEX(tblCategories[Type],MATCH($K258,tblCategories[Category],0)),IF($J258&gt;0,"Income","Expense")))</f>
        <v/>
      </c>
      <c r="N258">
        <f>IF($C258="","",IFERROR(INDEX(tblCategories[Essential],MATCH($K258,tblCategories[Category],0)),"No"))</f>
        <v/>
      </c>
      <c r="O258">
        <f>IF($C258="","",IFERROR(INDEX(tblCategories[Tax Tag],MATCH($K258,tblCategories[Category],0)),""))</f>
        <v/>
      </c>
      <c r="P258" s="20">
        <f>IF($C258="","",IF($G258=PersonA,1,IF($G258=PersonB,0,IFERROR(INDEX(tblCategories[Joint Split A],MATCH($K258,tblCategories[Category],0)),DefaultSplitA))))</f>
        <v/>
      </c>
      <c r="Q258" s="19">
        <f>IF($C258="","",ROUND($J258*N($P258),2))</f>
        <v/>
      </c>
      <c r="R258" s="19">
        <f>IF($C258="","",ROUND($J258-N($Q258),2))</f>
        <v/>
      </c>
      <c r="U258" t="inlineStr">
        <is>
          <t>sample-data</t>
        </is>
      </c>
      <c r="V258" t="inlineStr">
        <is>
          <t>SAMPLE</t>
        </is>
      </c>
      <c r="W258" t="inlineStr">
        <is>
          <t>43FE316A</t>
        </is>
      </c>
      <c r="X258">
        <f>IF($C258="","",IFERROR(IF(_xlfn.ISFORMULA($K258),"Rule","Manual"),""))</f>
        <v/>
      </c>
      <c r="Y258" s="19">
        <f>IF($C258="","",IF(ReportView=PersonA,N($Q258),IF(ReportView=PersonB,N($R258),$J258)))</f>
        <v/>
      </c>
    </row>
    <row r="259">
      <c r="B259">
        <f>IF($C259="","","T"&amp;TEXT(ROW()-ROW(tblTxn[[#Headers],[Txn ID]]),"000000"))</f>
        <v/>
      </c>
      <c r="C259" s="18" t="n">
        <v>46224</v>
      </c>
      <c r="D259">
        <f>IF($C259="","",TEXT($C259,"yyyy-mm"))</f>
        <v/>
      </c>
      <c r="E259" t="inlineStr">
        <is>
          <t>BMO Joint Chequing</t>
        </is>
      </c>
      <c r="F259">
        <f>IF($C259="","",IFERROR(INDEX(tblAccounts[Owner],MATCH($E259,tblAccounts[Account],0)),"Joint"))</f>
        <v/>
      </c>
      <c r="G259">
        <f>IF($C259="","",IF(HouseholdMode="Couple",IFERROR(IF(INDEX(tblCategories[Default Owner],MATCH($K259,tblCategories[Category],0))="",$F259,INDEX(tblCategories[Default Owner],MATCH($K259,tblCategories[Category],0))),$F259),$F259))</f>
        <v/>
      </c>
      <c r="H259" t="inlineStr">
        <is>
          <t>AMZ*UBER EATS TORONTO ON</t>
        </is>
      </c>
      <c r="I259">
        <f>IF($H259="","",$H259)</f>
        <v/>
      </c>
      <c r="J259" s="19" t="n">
        <v>-27.73</v>
      </c>
      <c r="K259">
        <f>IF($H259="","",IFERROR(INDEX(tblRules[Category],SUMPRODUCT(MIN((1-((tblRules[Enabled]&lt;&gt;"No")*(tblRules[Pattern]&lt;&gt;"")*(tblRules[Category]&lt;&gt;"")*((tblRules[Flow]="Any")+(tblRules[Flow]="")+((tblRules[Flow]="Money out")*($J259&lt;0))+((tblRules[Flow]="Money in")*($J259&gt;0)))*(((tblRules[Look In]="Account")*ISNUMBER(SEARCH(tblRules[Pattern],$E259)))+((tblRules[Look In]&lt;&gt;"Account")*(((tblRules[Test]="Word")*ISNUMBER(SEARCH(" "&amp;tblRules[Pattern]&amp;" "," "&amp;$H259&amp;" ")))+((tblRules[Test]&lt;&gt;"Word")*ISNUMBER(SEARCH(tblRules[Pattern],$H259))))))&gt;0))*1E+9+ROW(tblRules[Pattern])))-ROW(tblRules[[#Headers],[Pattern]])),"Uncategorized"))</f>
        <v/>
      </c>
      <c r="L259">
        <f>IF($C259="","",IFERROR(INDEX(tblCategories[Group],MATCH($K259,tblCategories[Category],0)),"Other"))</f>
        <v/>
      </c>
      <c r="M259">
        <f>IF($C259="","",IFERROR(INDEX(tblCategories[Type],MATCH($K259,tblCategories[Category],0)),IF($J259&gt;0,"Income","Expense")))</f>
        <v/>
      </c>
      <c r="N259">
        <f>IF($C259="","",IFERROR(INDEX(tblCategories[Essential],MATCH($K259,tblCategories[Category],0)),"No"))</f>
        <v/>
      </c>
      <c r="O259">
        <f>IF($C259="","",IFERROR(INDEX(tblCategories[Tax Tag],MATCH($K259,tblCategories[Category],0)),""))</f>
        <v/>
      </c>
      <c r="P259" s="20">
        <f>IF($C259="","",IF($G259=PersonA,1,IF($G259=PersonB,0,IFERROR(INDEX(tblCategories[Joint Split A],MATCH($K259,tblCategories[Category],0)),DefaultSplitA))))</f>
        <v/>
      </c>
      <c r="Q259" s="19">
        <f>IF($C259="","",ROUND($J259*N($P259),2))</f>
        <v/>
      </c>
      <c r="R259" s="19">
        <f>IF($C259="","",ROUND($J259-N($Q259),2))</f>
        <v/>
      </c>
      <c r="U259" t="inlineStr">
        <is>
          <t>sample-data</t>
        </is>
      </c>
      <c r="V259" t="inlineStr">
        <is>
          <t>SAMPLE</t>
        </is>
      </c>
      <c r="W259" t="inlineStr">
        <is>
          <t>EA1E0FAE</t>
        </is>
      </c>
      <c r="X259">
        <f>IF($C259="","",IFERROR(IF(_xlfn.ISFORMULA($K259),"Rule","Manual"),""))</f>
        <v/>
      </c>
      <c r="Y259" s="19">
        <f>IF($C259="","",IF(ReportView=PersonA,N($Q259),IF(ReportView=PersonB,N($R259),$J259)))</f>
        <v/>
      </c>
    </row>
    <row r="260">
      <c r="B260">
        <f>IF($C260="","","T"&amp;TEXT(ROW()-ROW(tblTxn[[#Headers],[Txn ID]]),"000000"))</f>
        <v/>
      </c>
      <c r="C260" s="18" t="n">
        <v>46224</v>
      </c>
      <c r="D260">
        <f>IF($C260="","",TEXT($C260,"yyyy-mm"))</f>
        <v/>
      </c>
      <c r="E260" t="inlineStr">
        <is>
          <t>RBC Chequing (Alex)</t>
        </is>
      </c>
      <c r="F260">
        <f>IF($C260="","",IFERROR(INDEX(tblAccounts[Owner],MATCH($E260,tblAccounts[Account],0)),"Joint"))</f>
        <v/>
      </c>
      <c r="G260">
        <f>IF($C260="","",IF(HouseholdMode="Couple",IFERROR(IF(INDEX(tblCategories[Default Owner],MATCH($K260,tblCategories[Category],0))="",$F260,INDEX(tblCategories[Default Owner],MATCH($K260,tblCategories[Category],0))),$F260),$F260))</f>
        <v/>
      </c>
      <c r="H260" t="inlineStr">
        <is>
          <t>UBER TRIP HELP.UBER.COM ON</t>
        </is>
      </c>
      <c r="I260">
        <f>IF($H260="","",$H260)</f>
        <v/>
      </c>
      <c r="J260" s="19" t="n">
        <v>-25.48</v>
      </c>
      <c r="K260">
        <f>IF($H260="","",IFERROR(INDEX(tblRules[Category],SUMPRODUCT(MIN((1-((tblRules[Enabled]&lt;&gt;"No")*(tblRules[Pattern]&lt;&gt;"")*(tblRules[Category]&lt;&gt;"")*((tblRules[Flow]="Any")+(tblRules[Flow]="")+((tblRules[Flow]="Money out")*($J260&lt;0))+((tblRules[Flow]="Money in")*($J260&gt;0)))*(((tblRules[Look In]="Account")*ISNUMBER(SEARCH(tblRules[Pattern],$E260)))+((tblRules[Look In]&lt;&gt;"Account")*(((tblRules[Test]="Word")*ISNUMBER(SEARCH(" "&amp;tblRules[Pattern]&amp;" "," "&amp;$H260&amp;" ")))+((tblRules[Test]&lt;&gt;"Word")*ISNUMBER(SEARCH(tblRules[Pattern],$H260))))))&gt;0))*1E+9+ROW(tblRules[Pattern])))-ROW(tblRules[[#Headers],[Pattern]])),"Uncategorized"))</f>
        <v/>
      </c>
      <c r="L260">
        <f>IF($C260="","",IFERROR(INDEX(tblCategories[Group],MATCH($K260,tblCategories[Category],0)),"Other"))</f>
        <v/>
      </c>
      <c r="M260">
        <f>IF($C260="","",IFERROR(INDEX(tblCategories[Type],MATCH($K260,tblCategories[Category],0)),IF($J260&gt;0,"Income","Expense")))</f>
        <v/>
      </c>
      <c r="N260">
        <f>IF($C260="","",IFERROR(INDEX(tblCategories[Essential],MATCH($K260,tblCategories[Category],0)),"No"))</f>
        <v/>
      </c>
      <c r="O260">
        <f>IF($C260="","",IFERROR(INDEX(tblCategories[Tax Tag],MATCH($K260,tblCategories[Category],0)),""))</f>
        <v/>
      </c>
      <c r="P260" s="20">
        <f>IF($C260="","",IF($G260=PersonA,1,IF($G260=PersonB,0,IFERROR(INDEX(tblCategories[Joint Split A],MATCH($K260,tblCategories[Category],0)),DefaultSplitA))))</f>
        <v/>
      </c>
      <c r="Q260" s="19">
        <f>IF($C260="","",ROUND($J260*N($P260),2))</f>
        <v/>
      </c>
      <c r="R260" s="19">
        <f>IF($C260="","",ROUND($J260-N($Q260),2))</f>
        <v/>
      </c>
      <c r="U260" t="inlineStr">
        <is>
          <t>sample-data</t>
        </is>
      </c>
      <c r="V260" t="inlineStr">
        <is>
          <t>SAMPLE</t>
        </is>
      </c>
      <c r="W260" t="inlineStr">
        <is>
          <t>852E9B5D</t>
        </is>
      </c>
      <c r="X260">
        <f>IF($C260="","",IFERROR(IF(_xlfn.ISFORMULA($K260),"Rule","Manual"),""))</f>
        <v/>
      </c>
      <c r="Y260" s="19">
        <f>IF($C260="","",IF(ReportView=PersonA,N($Q260),IF(ReportView=PersonB,N($R260),$J260)))</f>
        <v/>
      </c>
    </row>
    <row r="261">
      <c r="B261">
        <f>IF($C261="","","T"&amp;TEXT(ROW()-ROW(tblTxn[[#Headers],[Txn ID]]),"000000"))</f>
        <v/>
      </c>
      <c r="C261" s="18" t="n">
        <v>46225</v>
      </c>
      <c r="D261">
        <f>IF($C261="","",TEXT($C261,"yyyy-mm"))</f>
        <v/>
      </c>
      <c r="E261" t="inlineStr">
        <is>
          <t>RBC Chequing (Alex)</t>
        </is>
      </c>
      <c r="F261">
        <f>IF($C261="","",IFERROR(INDEX(tblAccounts[Owner],MATCH($E261,tblAccounts[Account],0)),"Joint"))</f>
        <v/>
      </c>
      <c r="G261">
        <f>IF($C261="","",IF(HouseholdMode="Couple",IFERROR(IF(INDEX(tblCategories[Default Owner],MATCH($K261,tblCategories[Category],0))="",$F261,INDEX(tblCategories[Default Owner],MATCH($K261,tblCategories[Category],0))),$F261),$F261))</f>
        <v/>
      </c>
      <c r="H261" t="inlineStr">
        <is>
          <t>AMZ*UBER EATS TORONTO ON</t>
        </is>
      </c>
      <c r="I261">
        <f>IF($H261="","",$H261)</f>
        <v/>
      </c>
      <c r="J261" s="19" t="n">
        <v>-25.48</v>
      </c>
      <c r="K261">
        <f>IF($H261="","",IFERROR(INDEX(tblRules[Category],SUMPRODUCT(MIN((1-((tblRules[Enabled]&lt;&gt;"No")*(tblRules[Pattern]&lt;&gt;"")*(tblRules[Category]&lt;&gt;"")*((tblRules[Flow]="Any")+(tblRules[Flow]="")+((tblRules[Flow]="Money out")*($J261&lt;0))+((tblRules[Flow]="Money in")*($J261&gt;0)))*(((tblRules[Look In]="Account")*ISNUMBER(SEARCH(tblRules[Pattern],$E261)))+((tblRules[Look In]&lt;&gt;"Account")*(((tblRules[Test]="Word")*ISNUMBER(SEARCH(" "&amp;tblRules[Pattern]&amp;" "," "&amp;$H261&amp;" ")))+((tblRules[Test]&lt;&gt;"Word")*ISNUMBER(SEARCH(tblRules[Pattern],$H261))))))&gt;0))*1E+9+ROW(tblRules[Pattern])))-ROW(tblRules[[#Headers],[Pattern]])),"Uncategorized"))</f>
        <v/>
      </c>
      <c r="L261">
        <f>IF($C261="","",IFERROR(INDEX(tblCategories[Group],MATCH($K261,tblCategories[Category],0)),"Other"))</f>
        <v/>
      </c>
      <c r="M261">
        <f>IF($C261="","",IFERROR(INDEX(tblCategories[Type],MATCH($K261,tblCategories[Category],0)),IF($J261&gt;0,"Income","Expense")))</f>
        <v/>
      </c>
      <c r="N261">
        <f>IF($C261="","",IFERROR(INDEX(tblCategories[Essential],MATCH($K261,tblCategories[Category],0)),"No"))</f>
        <v/>
      </c>
      <c r="O261">
        <f>IF($C261="","",IFERROR(INDEX(tblCategories[Tax Tag],MATCH($K261,tblCategories[Category],0)),""))</f>
        <v/>
      </c>
      <c r="P261" s="20">
        <f>IF($C261="","",IF($G261=PersonA,1,IF($G261=PersonB,0,IFERROR(INDEX(tblCategories[Joint Split A],MATCH($K261,tblCategories[Category],0)),DefaultSplitA))))</f>
        <v/>
      </c>
      <c r="Q261" s="19">
        <f>IF($C261="","",ROUND($J261*N($P261),2))</f>
        <v/>
      </c>
      <c r="R261" s="19">
        <f>IF($C261="","",ROUND($J261-N($Q261),2))</f>
        <v/>
      </c>
      <c r="U261" t="inlineStr">
        <is>
          <t>sample-data</t>
        </is>
      </c>
      <c r="V261" t="inlineStr">
        <is>
          <t>SAMPLE</t>
        </is>
      </c>
      <c r="W261" t="inlineStr">
        <is>
          <t>98385E19</t>
        </is>
      </c>
      <c r="X261">
        <f>IF($C261="","",IFERROR(IF(_xlfn.ISFORMULA($K261),"Rule","Manual"),""))</f>
        <v/>
      </c>
      <c r="Y261" s="19">
        <f>IF($C261="","",IF(ReportView=PersonA,N($Q261),IF(ReportView=PersonB,N($R261),$J261)))</f>
        <v/>
      </c>
    </row>
    <row r="262">
      <c r="B262">
        <f>IF($C262="","","T"&amp;TEXT(ROW()-ROW(tblTxn[[#Headers],[Txn ID]]),"000000"))</f>
        <v/>
      </c>
      <c r="C262" s="18" t="n">
        <v>46225</v>
      </c>
      <c r="D262">
        <f>IF($C262="","",TEXT($C262,"yyyy-mm"))</f>
        <v/>
      </c>
      <c r="E262" t="inlineStr">
        <is>
          <t>Tangerine Chequing (Sam)</t>
        </is>
      </c>
      <c r="F262">
        <f>IF($C262="","",IFERROR(INDEX(tblAccounts[Owner],MATCH($E262,tblAccounts[Account],0)),"Joint"))</f>
        <v/>
      </c>
      <c r="G262">
        <f>IF($C262="","",IF(HouseholdMode="Couple",IFERROR(IF(INDEX(tblCategories[Default Owner],MATCH($K262,tblCategories[Category],0))="",$F262,INDEX(tblCategories[Default Owner],MATCH($K262,tblCategories[Category],0))),$F262),$F262))</f>
        <v/>
      </c>
      <c r="H262" t="inlineStr">
        <is>
          <t>IDP PURCHASE - 3493 SWISS CHALET #3823 ON</t>
        </is>
      </c>
      <c r="I262">
        <f>IF($H262="","",$H262)</f>
        <v/>
      </c>
      <c r="J262" s="19" t="n">
        <v>-55.58</v>
      </c>
      <c r="K262">
        <f>IF($H262="","",IFERROR(INDEX(tblRules[Category],SUMPRODUCT(MIN((1-((tblRules[Enabled]&lt;&gt;"No")*(tblRules[Pattern]&lt;&gt;"")*(tblRules[Category]&lt;&gt;"")*((tblRules[Flow]="Any")+(tblRules[Flow]="")+((tblRules[Flow]="Money out")*($J262&lt;0))+((tblRules[Flow]="Money in")*($J262&gt;0)))*(((tblRules[Look In]="Account")*ISNUMBER(SEARCH(tblRules[Pattern],$E262)))+((tblRules[Look In]&lt;&gt;"Account")*(((tblRules[Test]="Word")*ISNUMBER(SEARCH(" "&amp;tblRules[Pattern]&amp;" "," "&amp;$H262&amp;" ")))+((tblRules[Test]&lt;&gt;"Word")*ISNUMBER(SEARCH(tblRules[Pattern],$H262))))))&gt;0))*1E+9+ROW(tblRules[Pattern])))-ROW(tblRules[[#Headers],[Pattern]])),"Uncategorized"))</f>
        <v/>
      </c>
      <c r="L262">
        <f>IF($C262="","",IFERROR(INDEX(tblCategories[Group],MATCH($K262,tblCategories[Category],0)),"Other"))</f>
        <v/>
      </c>
      <c r="M262">
        <f>IF($C262="","",IFERROR(INDEX(tblCategories[Type],MATCH($K262,tblCategories[Category],0)),IF($J262&gt;0,"Income","Expense")))</f>
        <v/>
      </c>
      <c r="N262">
        <f>IF($C262="","",IFERROR(INDEX(tblCategories[Essential],MATCH($K262,tblCategories[Category],0)),"No"))</f>
        <v/>
      </c>
      <c r="O262">
        <f>IF($C262="","",IFERROR(INDEX(tblCategories[Tax Tag],MATCH($K262,tblCategories[Category],0)),""))</f>
        <v/>
      </c>
      <c r="P262" s="20">
        <f>IF($C262="","",IF($G262=PersonA,1,IF($G262=PersonB,0,IFERROR(INDEX(tblCategories[Joint Split A],MATCH($K262,tblCategories[Category],0)),DefaultSplitA))))</f>
        <v/>
      </c>
      <c r="Q262" s="19">
        <f>IF($C262="","",ROUND($J262*N($P262),2))</f>
        <v/>
      </c>
      <c r="R262" s="19">
        <f>IF($C262="","",ROUND($J262-N($Q262),2))</f>
        <v/>
      </c>
      <c r="U262" t="inlineStr">
        <is>
          <t>sample-data</t>
        </is>
      </c>
      <c r="V262" t="inlineStr">
        <is>
          <t>SAMPLE</t>
        </is>
      </c>
      <c r="W262" t="inlineStr">
        <is>
          <t>6CC99273</t>
        </is>
      </c>
      <c r="X262">
        <f>IF($C262="","",IFERROR(IF(_xlfn.ISFORMULA($K262),"Rule","Manual"),""))</f>
        <v/>
      </c>
      <c r="Y262" s="19">
        <f>IF($C262="","",IF(ReportView=PersonA,N($Q262),IF(ReportView=PersonB,N($R262),$J262)))</f>
        <v/>
      </c>
    </row>
    <row r="263">
      <c r="B263">
        <f>IF($C263="","","T"&amp;TEXT(ROW()-ROW(tblTxn[[#Headers],[Txn ID]]),"000000"))</f>
        <v/>
      </c>
      <c r="C263" s="18" t="n">
        <v>46226</v>
      </c>
      <c r="D263">
        <f>IF($C263="","",TEXT($C263,"yyyy-mm"))</f>
        <v/>
      </c>
      <c r="E263" t="inlineStr">
        <is>
          <t>RBC Chequing (Alex)</t>
        </is>
      </c>
      <c r="F263">
        <f>IF($C263="","",IFERROR(INDEX(tblAccounts[Owner],MATCH($E263,tblAccounts[Account],0)),"Joint"))</f>
        <v/>
      </c>
      <c r="G263">
        <f>IF($C263="","",IF(HouseholdMode="Couple",IFERROR(IF(INDEX(tblCategories[Default Owner],MATCH($K263,tblCategories[Category],0))="",$F263,INDEX(tblCategories[Default Owner],MATCH($K263,tblCategories[Category],0))),$F263),$F263))</f>
        <v/>
      </c>
      <c r="H263" t="inlineStr">
        <is>
          <t>IDP PURCHASE - 5936 INDIGO #1561 ON</t>
        </is>
      </c>
      <c r="I263">
        <f>IF($H263="","",$H263)</f>
        <v/>
      </c>
      <c r="J263" s="19" t="n">
        <v>-20.35</v>
      </c>
      <c r="K263">
        <f>IF($H263="","",IFERROR(INDEX(tblRules[Category],SUMPRODUCT(MIN((1-((tblRules[Enabled]&lt;&gt;"No")*(tblRules[Pattern]&lt;&gt;"")*(tblRules[Category]&lt;&gt;"")*((tblRules[Flow]="Any")+(tblRules[Flow]="")+((tblRules[Flow]="Money out")*($J263&lt;0))+((tblRules[Flow]="Money in")*($J263&gt;0)))*(((tblRules[Look In]="Account")*ISNUMBER(SEARCH(tblRules[Pattern],$E263)))+((tblRules[Look In]&lt;&gt;"Account")*(((tblRules[Test]="Word")*ISNUMBER(SEARCH(" "&amp;tblRules[Pattern]&amp;" "," "&amp;$H263&amp;" ")))+((tblRules[Test]&lt;&gt;"Word")*ISNUMBER(SEARCH(tblRules[Pattern],$H263))))))&gt;0))*1E+9+ROW(tblRules[Pattern])))-ROW(tblRules[[#Headers],[Pattern]])),"Uncategorized"))</f>
        <v/>
      </c>
      <c r="L263">
        <f>IF($C263="","",IFERROR(INDEX(tblCategories[Group],MATCH($K263,tblCategories[Category],0)),"Other"))</f>
        <v/>
      </c>
      <c r="M263">
        <f>IF($C263="","",IFERROR(INDEX(tblCategories[Type],MATCH($K263,tblCategories[Category],0)),IF($J263&gt;0,"Income","Expense")))</f>
        <v/>
      </c>
      <c r="N263">
        <f>IF($C263="","",IFERROR(INDEX(tblCategories[Essential],MATCH($K263,tblCategories[Category],0)),"No"))</f>
        <v/>
      </c>
      <c r="O263">
        <f>IF($C263="","",IFERROR(INDEX(tblCategories[Tax Tag],MATCH($K263,tblCategories[Category],0)),""))</f>
        <v/>
      </c>
      <c r="P263" s="20">
        <f>IF($C263="","",IF($G263=PersonA,1,IF($G263=PersonB,0,IFERROR(INDEX(tblCategories[Joint Split A],MATCH($K263,tblCategories[Category],0)),DefaultSplitA))))</f>
        <v/>
      </c>
      <c r="Q263" s="19">
        <f>IF($C263="","",ROUND($J263*N($P263),2))</f>
        <v/>
      </c>
      <c r="R263" s="19">
        <f>IF($C263="","",ROUND($J263-N($Q263),2))</f>
        <v/>
      </c>
      <c r="U263" t="inlineStr">
        <is>
          <t>sample-data</t>
        </is>
      </c>
      <c r="V263" t="inlineStr">
        <is>
          <t>SAMPLE</t>
        </is>
      </c>
      <c r="W263" t="inlineStr">
        <is>
          <t>4AB7622D</t>
        </is>
      </c>
      <c r="X263">
        <f>IF($C263="","",IFERROR(IF(_xlfn.ISFORMULA($K263),"Rule","Manual"),""))</f>
        <v/>
      </c>
      <c r="Y263" s="19">
        <f>IF($C263="","",IF(ReportView=PersonA,N($Q263),IF(ReportView=PersonB,N($R263),$J263)))</f>
        <v/>
      </c>
    </row>
    <row r="264">
      <c r="B264">
        <f>IF($C264="","","T"&amp;TEXT(ROW()-ROW(tblTxn[[#Headers],[Txn ID]]),"000000"))</f>
        <v/>
      </c>
      <c r="C264" s="18" t="n">
        <v>46229</v>
      </c>
      <c r="D264">
        <f>IF($C264="","",TEXT($C264,"yyyy-mm"))</f>
        <v/>
      </c>
      <c r="E264" t="inlineStr">
        <is>
          <t>Amex Cobalt (Joint)</t>
        </is>
      </c>
      <c r="F264">
        <f>IF($C264="","",IFERROR(INDEX(tblAccounts[Owner],MATCH($E264,tblAccounts[Account],0)),"Joint"))</f>
        <v/>
      </c>
      <c r="G264">
        <f>IF($C264="","",IF(HouseholdMode="Couple",IFERROR(IF(INDEX(tblCategories[Default Owner],MATCH($K264,tblCategories[Category],0))="",$F264,INDEX(tblCategories[Default Owner],MATCH($K264,tblCategories[Category],0))),$F264),$F264))</f>
        <v/>
      </c>
      <c r="H264" t="inlineStr">
        <is>
          <t>PAYMENT - THANK YOU / PAIEMENT - MERCI</t>
        </is>
      </c>
      <c r="I264">
        <f>IF($H264="","",$H264)</f>
        <v/>
      </c>
      <c r="J264" s="19" t="n">
        <v>493.26</v>
      </c>
      <c r="K264">
        <f>IF($H264="","",IFERROR(INDEX(tblRules[Category],SUMPRODUCT(MIN((1-((tblRules[Enabled]&lt;&gt;"No")*(tblRules[Pattern]&lt;&gt;"")*(tblRules[Category]&lt;&gt;"")*((tblRules[Flow]="Any")+(tblRules[Flow]="")+((tblRules[Flow]="Money out")*($J264&lt;0))+((tblRules[Flow]="Money in")*($J264&gt;0)))*(((tblRules[Look In]="Account")*ISNUMBER(SEARCH(tblRules[Pattern],$E264)))+((tblRules[Look In]&lt;&gt;"Account")*(((tblRules[Test]="Word")*ISNUMBER(SEARCH(" "&amp;tblRules[Pattern]&amp;" "," "&amp;$H264&amp;" ")))+((tblRules[Test]&lt;&gt;"Word")*ISNUMBER(SEARCH(tblRules[Pattern],$H264))))))&gt;0))*1E+9+ROW(tblRules[Pattern])))-ROW(tblRules[[#Headers],[Pattern]])),"Uncategorized"))</f>
        <v/>
      </c>
      <c r="L264">
        <f>IF($C264="","",IFERROR(INDEX(tblCategories[Group],MATCH($K264,tblCategories[Category],0)),"Other"))</f>
        <v/>
      </c>
      <c r="M264">
        <f>IF($C264="","",IFERROR(INDEX(tblCategories[Type],MATCH($K264,tblCategories[Category],0)),IF($J264&gt;0,"Income","Expense")))</f>
        <v/>
      </c>
      <c r="N264">
        <f>IF($C264="","",IFERROR(INDEX(tblCategories[Essential],MATCH($K264,tblCategories[Category],0)),"No"))</f>
        <v/>
      </c>
      <c r="O264">
        <f>IF($C264="","",IFERROR(INDEX(tblCategories[Tax Tag],MATCH($K264,tblCategories[Category],0)),""))</f>
        <v/>
      </c>
      <c r="P264" s="20">
        <f>IF($C264="","",IF($G264=PersonA,1,IF($G264=PersonB,0,IFERROR(INDEX(tblCategories[Joint Split A],MATCH($K264,tblCategories[Category],0)),DefaultSplitA))))</f>
        <v/>
      </c>
      <c r="Q264" s="19">
        <f>IF($C264="","",ROUND($J264*N($P264),2))</f>
        <v/>
      </c>
      <c r="R264" s="19">
        <f>IF($C264="","",ROUND($J264-N($Q264),2))</f>
        <v/>
      </c>
      <c r="U264" t="inlineStr">
        <is>
          <t>sample-data</t>
        </is>
      </c>
      <c r="V264" t="inlineStr">
        <is>
          <t>SAMPLE</t>
        </is>
      </c>
      <c r="W264" t="inlineStr">
        <is>
          <t>166C1634</t>
        </is>
      </c>
      <c r="X264">
        <f>IF($C264="","",IFERROR(IF(_xlfn.ISFORMULA($K264),"Rule","Manual"),""))</f>
        <v/>
      </c>
      <c r="Y264" s="19">
        <f>IF($C264="","",IF(ReportView=PersonA,N($Q264),IF(ReportView=PersonB,N($R264),$J264)))</f>
        <v/>
      </c>
    </row>
    <row r="265">
      <c r="B265">
        <f>IF($C265="","","T"&amp;TEXT(ROW()-ROW(tblTxn[[#Headers],[Txn ID]]),"000000"))</f>
        <v/>
      </c>
      <c r="C265" s="18" t="n">
        <v>46229</v>
      </c>
      <c r="D265">
        <f>IF($C265="","",TEXT($C265,"yyyy-mm"))</f>
        <v/>
      </c>
      <c r="E265" t="inlineStr">
        <is>
          <t>BMO Joint Chequing</t>
        </is>
      </c>
      <c r="F265">
        <f>IF($C265="","",IFERROR(INDEX(tblAccounts[Owner],MATCH($E265,tblAccounts[Account],0)),"Joint"))</f>
        <v/>
      </c>
      <c r="G265">
        <f>IF($C265="","",IF(HouseholdMode="Couple",IFERROR(IF(INDEX(tblCategories[Default Owner],MATCH($K265,tblCategories[Category],0))="",$F265,INDEX(tblCategories[Default Owner],MATCH($K265,tblCategories[Category],0))),$F265),$F265))</f>
        <v/>
      </c>
      <c r="H265" t="inlineStr">
        <is>
          <t>AMEX CREDIT CARD/LOC PAY</t>
        </is>
      </c>
      <c r="I265">
        <f>IF($H265="","",$H265)</f>
        <v/>
      </c>
      <c r="J265" s="19" t="n">
        <v>-493.26</v>
      </c>
      <c r="K265">
        <f>IF($H265="","",IFERROR(INDEX(tblRules[Category],SUMPRODUCT(MIN((1-((tblRules[Enabled]&lt;&gt;"No")*(tblRules[Pattern]&lt;&gt;"")*(tblRules[Category]&lt;&gt;"")*((tblRules[Flow]="Any")+(tblRules[Flow]="")+((tblRules[Flow]="Money out")*($J265&lt;0))+((tblRules[Flow]="Money in")*($J265&gt;0)))*(((tblRules[Look In]="Account")*ISNUMBER(SEARCH(tblRules[Pattern],$E265)))+((tblRules[Look In]&lt;&gt;"Account")*(((tblRules[Test]="Word")*ISNUMBER(SEARCH(" "&amp;tblRules[Pattern]&amp;" "," "&amp;$H265&amp;" ")))+((tblRules[Test]&lt;&gt;"Word")*ISNUMBER(SEARCH(tblRules[Pattern],$H265))))))&gt;0))*1E+9+ROW(tblRules[Pattern])))-ROW(tblRules[[#Headers],[Pattern]])),"Uncategorized"))</f>
        <v/>
      </c>
      <c r="L265">
        <f>IF($C265="","",IFERROR(INDEX(tblCategories[Group],MATCH($K265,tblCategories[Category],0)),"Other"))</f>
        <v/>
      </c>
      <c r="M265">
        <f>IF($C265="","",IFERROR(INDEX(tblCategories[Type],MATCH($K265,tblCategories[Category],0)),IF($J265&gt;0,"Income","Expense")))</f>
        <v/>
      </c>
      <c r="N265">
        <f>IF($C265="","",IFERROR(INDEX(tblCategories[Essential],MATCH($K265,tblCategories[Category],0)),"No"))</f>
        <v/>
      </c>
      <c r="O265">
        <f>IF($C265="","",IFERROR(INDEX(tblCategories[Tax Tag],MATCH($K265,tblCategories[Category],0)),""))</f>
        <v/>
      </c>
      <c r="P265" s="20">
        <f>IF($C265="","",IF($G265=PersonA,1,IF($G265=PersonB,0,IFERROR(INDEX(tblCategories[Joint Split A],MATCH($K265,tblCategories[Category],0)),DefaultSplitA))))</f>
        <v/>
      </c>
      <c r="Q265" s="19">
        <f>IF($C265="","",ROUND($J265*N($P265),2))</f>
        <v/>
      </c>
      <c r="R265" s="19">
        <f>IF($C265="","",ROUND($J265-N($Q265),2))</f>
        <v/>
      </c>
      <c r="U265" t="inlineStr">
        <is>
          <t>sample-data</t>
        </is>
      </c>
      <c r="V265" t="inlineStr">
        <is>
          <t>SAMPLE</t>
        </is>
      </c>
      <c r="W265" t="inlineStr">
        <is>
          <t>0FB151D8</t>
        </is>
      </c>
      <c r="X265">
        <f>IF($C265="","",IFERROR(IF(_xlfn.ISFORMULA($K265),"Rule","Manual"),""))</f>
        <v/>
      </c>
      <c r="Y265" s="19">
        <f>IF($C265="","",IF(ReportView=PersonA,N($Q265),IF(ReportView=PersonB,N($R265),$J265)))</f>
        <v/>
      </c>
    </row>
    <row r="266">
      <c r="B266">
        <f>IF($C266="","","T"&amp;TEXT(ROW()-ROW(tblTxn[[#Headers],[Txn ID]]),"000000"))</f>
        <v/>
      </c>
      <c r="C266" s="18" t="n">
        <v>46229</v>
      </c>
      <c r="D266">
        <f>IF($C266="","",TEXT($C266,"yyyy-mm"))</f>
        <v/>
      </c>
      <c r="E266" t="inlineStr">
        <is>
          <t>BMO Joint Chequing</t>
        </is>
      </c>
      <c r="F266">
        <f>IF($C266="","",IFERROR(INDEX(tblAccounts[Owner],MATCH($E266,tblAccounts[Account],0)),"Joint"))</f>
        <v/>
      </c>
      <c r="G266">
        <f>IF($C266="","",IF(HouseholdMode="Couple",IFERROR(IF(INDEX(tblCategories[Default Owner],MATCH($K266,tblCategories[Category],0))="",$F266,INDEX(tblCategories[Default Owner],MATCH($K266,tblCategories[Category],0))),$F266),$F266))</f>
        <v/>
      </c>
      <c r="H266" t="inlineStr">
        <is>
          <t>IDP PURCHASE - 5995 NO FRILLS #3624 TORONTO ON</t>
        </is>
      </c>
      <c r="I266">
        <f>IF($H266="","",$H266)</f>
        <v/>
      </c>
      <c r="J266" s="19" t="n">
        <v>-95.95999999999999</v>
      </c>
      <c r="K266">
        <f>IF($H266="","",IFERROR(INDEX(tblRules[Category],SUMPRODUCT(MIN((1-((tblRules[Enabled]&lt;&gt;"No")*(tblRules[Pattern]&lt;&gt;"")*(tblRules[Category]&lt;&gt;"")*((tblRules[Flow]="Any")+(tblRules[Flow]="")+((tblRules[Flow]="Money out")*($J266&lt;0))+((tblRules[Flow]="Money in")*($J266&gt;0)))*(((tblRules[Look In]="Account")*ISNUMBER(SEARCH(tblRules[Pattern],$E266)))+((tblRules[Look In]&lt;&gt;"Account")*(((tblRules[Test]="Word")*ISNUMBER(SEARCH(" "&amp;tblRules[Pattern]&amp;" "," "&amp;$H266&amp;" ")))+((tblRules[Test]&lt;&gt;"Word")*ISNUMBER(SEARCH(tblRules[Pattern],$H266))))))&gt;0))*1E+9+ROW(tblRules[Pattern])))-ROW(tblRules[[#Headers],[Pattern]])),"Uncategorized"))</f>
        <v/>
      </c>
      <c r="L266">
        <f>IF($C266="","",IFERROR(INDEX(tblCategories[Group],MATCH($K266,tblCategories[Category],0)),"Other"))</f>
        <v/>
      </c>
      <c r="M266">
        <f>IF($C266="","",IFERROR(INDEX(tblCategories[Type],MATCH($K266,tblCategories[Category],0)),IF($J266&gt;0,"Income","Expense")))</f>
        <v/>
      </c>
      <c r="N266">
        <f>IF($C266="","",IFERROR(INDEX(tblCategories[Essential],MATCH($K266,tblCategories[Category],0)),"No"))</f>
        <v/>
      </c>
      <c r="O266">
        <f>IF($C266="","",IFERROR(INDEX(tblCategories[Tax Tag],MATCH($K266,tblCategories[Category],0)),""))</f>
        <v/>
      </c>
      <c r="P266" s="20">
        <f>IF($C266="","",IF($G266=PersonA,1,IF($G266=PersonB,0,IFERROR(INDEX(tblCategories[Joint Split A],MATCH($K266,tblCategories[Category],0)),DefaultSplitA))))</f>
        <v/>
      </c>
      <c r="Q266" s="19">
        <f>IF($C266="","",ROUND($J266*N($P266),2))</f>
        <v/>
      </c>
      <c r="R266" s="19">
        <f>IF($C266="","",ROUND($J266-N($Q266),2))</f>
        <v/>
      </c>
      <c r="U266" t="inlineStr">
        <is>
          <t>sample-data</t>
        </is>
      </c>
      <c r="V266" t="inlineStr">
        <is>
          <t>SAMPLE</t>
        </is>
      </c>
      <c r="W266" t="inlineStr">
        <is>
          <t>21188C4A</t>
        </is>
      </c>
      <c r="X266">
        <f>IF($C266="","",IFERROR(IF(_xlfn.ISFORMULA($K266),"Rule","Manual"),""))</f>
        <v/>
      </c>
      <c r="Y266" s="19">
        <f>IF($C266="","",IF(ReportView=PersonA,N($Q266),IF(ReportView=PersonB,N($R266),$J266)))</f>
        <v/>
      </c>
    </row>
    <row r="267">
      <c r="B267">
        <f>IF($C267="","","T"&amp;TEXT(ROW()-ROW(tblTxn[[#Headers],[Txn ID]]),"000000"))</f>
        <v/>
      </c>
      <c r="C267" s="18" t="n">
        <v>46231</v>
      </c>
      <c r="D267">
        <f>IF($C267="","",TEXT($C267,"yyyy-mm"))</f>
        <v/>
      </c>
      <c r="E267" t="inlineStr">
        <is>
          <t>Amex Cobalt (Joint)</t>
        </is>
      </c>
      <c r="F267">
        <f>IF($C267="","",IFERROR(INDEX(tblAccounts[Owner],MATCH($E267,tblAccounts[Account],0)),"Joint"))</f>
        <v/>
      </c>
      <c r="G267">
        <f>IF($C267="","",IF(HouseholdMode="Couple",IFERROR(IF(INDEX(tblCategories[Default Owner],MATCH($K267,tblCategories[Category],0))="",$F267,INDEX(tblCategories[Default Owner],MATCH($K267,tblCategories[Category],0))),$F267),$F267))</f>
        <v/>
      </c>
      <c r="H267" t="inlineStr">
        <is>
          <t>IDP PURCHASE - 2776 TIM HORTONS #4752 TORONTO ON</t>
        </is>
      </c>
      <c r="I267">
        <f>IF($H267="","",$H267)</f>
        <v/>
      </c>
      <c r="J267" s="19" t="n">
        <v>-9.42</v>
      </c>
      <c r="K267">
        <f>IF($H267="","",IFERROR(INDEX(tblRules[Category],SUMPRODUCT(MIN((1-((tblRules[Enabled]&lt;&gt;"No")*(tblRules[Pattern]&lt;&gt;"")*(tblRules[Category]&lt;&gt;"")*((tblRules[Flow]="Any")+(tblRules[Flow]="")+((tblRules[Flow]="Money out")*($J267&lt;0))+((tblRules[Flow]="Money in")*($J267&gt;0)))*(((tblRules[Look In]="Account")*ISNUMBER(SEARCH(tblRules[Pattern],$E267)))+((tblRules[Look In]&lt;&gt;"Account")*(((tblRules[Test]="Word")*ISNUMBER(SEARCH(" "&amp;tblRules[Pattern]&amp;" "," "&amp;$H267&amp;" ")))+((tblRules[Test]&lt;&gt;"Word")*ISNUMBER(SEARCH(tblRules[Pattern],$H267))))))&gt;0))*1E+9+ROW(tblRules[Pattern])))-ROW(tblRules[[#Headers],[Pattern]])),"Uncategorized"))</f>
        <v/>
      </c>
      <c r="L267">
        <f>IF($C267="","",IFERROR(INDEX(tblCategories[Group],MATCH($K267,tblCategories[Category],0)),"Other"))</f>
        <v/>
      </c>
      <c r="M267">
        <f>IF($C267="","",IFERROR(INDEX(tblCategories[Type],MATCH($K267,tblCategories[Category],0)),IF($J267&gt;0,"Income","Expense")))</f>
        <v/>
      </c>
      <c r="N267">
        <f>IF($C267="","",IFERROR(INDEX(tblCategories[Essential],MATCH($K267,tblCategories[Category],0)),"No"))</f>
        <v/>
      </c>
      <c r="O267">
        <f>IF($C267="","",IFERROR(INDEX(tblCategories[Tax Tag],MATCH($K267,tblCategories[Category],0)),""))</f>
        <v/>
      </c>
      <c r="P267" s="20">
        <f>IF($C267="","",IF($G267=PersonA,1,IF($G267=PersonB,0,IFERROR(INDEX(tblCategories[Joint Split A],MATCH($K267,tblCategories[Category],0)),DefaultSplitA))))</f>
        <v/>
      </c>
      <c r="Q267" s="19">
        <f>IF($C267="","",ROUND($J267*N($P267),2))</f>
        <v/>
      </c>
      <c r="R267" s="19">
        <f>IF($C267="","",ROUND($J267-N($Q267),2))</f>
        <v/>
      </c>
      <c r="U267" t="inlineStr">
        <is>
          <t>sample-data</t>
        </is>
      </c>
      <c r="V267" t="inlineStr">
        <is>
          <t>SAMPLE</t>
        </is>
      </c>
      <c r="W267" t="inlineStr">
        <is>
          <t>F230ACA4</t>
        </is>
      </c>
      <c r="X267">
        <f>IF($C267="","",IFERROR(IF(_xlfn.ISFORMULA($K267),"Rule","Manual"),""))</f>
        <v/>
      </c>
      <c r="Y267" s="19">
        <f>IF($C267="","",IF(ReportView=PersonA,N($Q267),IF(ReportView=PersonB,N($R267),$J267)))</f>
        <v/>
      </c>
    </row>
    <row r="268">
      <c r="B268">
        <f>IF($C268="","","T"&amp;TEXT(ROW()-ROW(tblTxn[[#Headers],[Txn ID]]),"000000"))</f>
        <v/>
      </c>
      <c r="C268" s="18" t="n">
        <v>46231</v>
      </c>
      <c r="D268">
        <f>IF($C268="","",TEXT($C268,"yyyy-mm"))</f>
        <v/>
      </c>
      <c r="E268" t="inlineStr">
        <is>
          <t>RBC Chequing (Alex)</t>
        </is>
      </c>
      <c r="F268">
        <f>IF($C268="","",IFERROR(INDEX(tblAccounts[Owner],MATCH($E268,tblAccounts[Account],0)),"Joint"))</f>
        <v/>
      </c>
      <c r="G268">
        <f>IF($C268="","",IF(HouseholdMode="Couple",IFERROR(IF(INDEX(tblCategories[Default Owner],MATCH($K268,tblCategories[Category],0))="",$F268,INDEX(tblCategories[Default Owner],MATCH($K268,tblCategories[Category],0))),$F268),$F268))</f>
        <v/>
      </c>
      <c r="H268" t="inlineStr">
        <is>
          <t>MONTHLY ACCOUNT FEE</t>
        </is>
      </c>
      <c r="I268">
        <f>IF($H268="","",$H268)</f>
        <v/>
      </c>
      <c r="J268" s="19" t="n">
        <v>-11.95</v>
      </c>
      <c r="K268">
        <f>IF($H268="","",IFERROR(INDEX(tblRules[Category],SUMPRODUCT(MIN((1-((tblRules[Enabled]&lt;&gt;"No")*(tblRules[Pattern]&lt;&gt;"")*(tblRules[Category]&lt;&gt;"")*((tblRules[Flow]="Any")+(tblRules[Flow]="")+((tblRules[Flow]="Money out")*($J268&lt;0))+((tblRules[Flow]="Money in")*($J268&gt;0)))*(((tblRules[Look In]="Account")*ISNUMBER(SEARCH(tblRules[Pattern],$E268)))+((tblRules[Look In]&lt;&gt;"Account")*(((tblRules[Test]="Word")*ISNUMBER(SEARCH(" "&amp;tblRules[Pattern]&amp;" "," "&amp;$H268&amp;" ")))+((tblRules[Test]&lt;&gt;"Word")*ISNUMBER(SEARCH(tblRules[Pattern],$H268))))))&gt;0))*1E+9+ROW(tblRules[Pattern])))-ROW(tblRules[[#Headers],[Pattern]])),"Uncategorized"))</f>
        <v/>
      </c>
      <c r="L268">
        <f>IF($C268="","",IFERROR(INDEX(tblCategories[Group],MATCH($K268,tblCategories[Category],0)),"Other"))</f>
        <v/>
      </c>
      <c r="M268">
        <f>IF($C268="","",IFERROR(INDEX(tblCategories[Type],MATCH($K268,tblCategories[Category],0)),IF($J268&gt;0,"Income","Expense")))</f>
        <v/>
      </c>
      <c r="N268">
        <f>IF($C268="","",IFERROR(INDEX(tblCategories[Essential],MATCH($K268,tblCategories[Category],0)),"No"))</f>
        <v/>
      </c>
      <c r="O268">
        <f>IF($C268="","",IFERROR(INDEX(tblCategories[Tax Tag],MATCH($K268,tblCategories[Category],0)),""))</f>
        <v/>
      </c>
      <c r="P268" s="20">
        <f>IF($C268="","",IF($G268=PersonA,1,IF($G268=PersonB,0,IFERROR(INDEX(tblCategories[Joint Split A],MATCH($K268,tblCategories[Category],0)),DefaultSplitA))))</f>
        <v/>
      </c>
      <c r="Q268" s="19">
        <f>IF($C268="","",ROUND($J268*N($P268),2))</f>
        <v/>
      </c>
      <c r="R268" s="19">
        <f>IF($C268="","",ROUND($J268-N($Q268),2))</f>
        <v/>
      </c>
      <c r="U268" t="inlineStr">
        <is>
          <t>sample-data</t>
        </is>
      </c>
      <c r="V268" t="inlineStr">
        <is>
          <t>SAMPLE</t>
        </is>
      </c>
      <c r="W268" t="inlineStr">
        <is>
          <t>4C137C3F</t>
        </is>
      </c>
      <c r="X268">
        <f>IF($C268="","",IFERROR(IF(_xlfn.ISFORMULA($K268),"Rule","Manual"),""))</f>
        <v/>
      </c>
      <c r="Y268" s="19">
        <f>IF($C268="","",IF(ReportView=PersonA,N($Q268),IF(ReportView=PersonB,N($R268),$J268)))</f>
        <v/>
      </c>
    </row>
    <row r="269">
      <c r="B269">
        <f>IF($C269="","","T"&amp;TEXT(ROW()-ROW(tblTxn[[#Headers],[Txn ID]]),"000000"))</f>
        <v/>
      </c>
      <c r="C269" s="18" t="n">
        <v>46231</v>
      </c>
      <c r="D269">
        <f>IF($C269="","",TEXT($C269,"yyyy-mm"))</f>
        <v/>
      </c>
      <c r="E269" t="inlineStr">
        <is>
          <t>Tangerine Chequing (Sam)</t>
        </is>
      </c>
      <c r="F269">
        <f>IF($C269="","",IFERROR(INDEX(tblAccounts[Owner],MATCH($E269,tblAccounts[Account],0)),"Joint"))</f>
        <v/>
      </c>
      <c r="G269">
        <f>IF($C269="","",IF(HouseholdMode="Couple",IFERROR(IF(INDEX(tblCategories[Default Owner],MATCH($K269,tblCategories[Category],0))="",$F269,INDEX(tblCategories[Default Owner],MATCH($K269,tblCategories[Category],0))),$F269),$F269))</f>
        <v/>
      </c>
      <c r="H269" t="inlineStr">
        <is>
          <t>IDP PURCHASE - 9818 STARBUCKS #2826 TORONTO ON</t>
        </is>
      </c>
      <c r="I269">
        <f>IF($H269="","",$H269)</f>
        <v/>
      </c>
      <c r="J269" s="19" t="n">
        <v>-8.18</v>
      </c>
      <c r="K269">
        <f>IF($H269="","",IFERROR(INDEX(tblRules[Category],SUMPRODUCT(MIN((1-((tblRules[Enabled]&lt;&gt;"No")*(tblRules[Pattern]&lt;&gt;"")*(tblRules[Category]&lt;&gt;"")*((tblRules[Flow]="Any")+(tblRules[Flow]="")+((tblRules[Flow]="Money out")*($J269&lt;0))+((tblRules[Flow]="Money in")*($J269&gt;0)))*(((tblRules[Look In]="Account")*ISNUMBER(SEARCH(tblRules[Pattern],$E269)))+((tblRules[Look In]&lt;&gt;"Account")*(((tblRules[Test]="Word")*ISNUMBER(SEARCH(" "&amp;tblRules[Pattern]&amp;" "," "&amp;$H269&amp;" ")))+((tblRules[Test]&lt;&gt;"Word")*ISNUMBER(SEARCH(tblRules[Pattern],$H269))))))&gt;0))*1E+9+ROW(tblRules[Pattern])))-ROW(tblRules[[#Headers],[Pattern]])),"Uncategorized"))</f>
        <v/>
      </c>
      <c r="L269">
        <f>IF($C269="","",IFERROR(INDEX(tblCategories[Group],MATCH($K269,tblCategories[Category],0)),"Other"))</f>
        <v/>
      </c>
      <c r="M269">
        <f>IF($C269="","",IFERROR(INDEX(tblCategories[Type],MATCH($K269,tblCategories[Category],0)),IF($J269&gt;0,"Income","Expense")))</f>
        <v/>
      </c>
      <c r="N269">
        <f>IF($C269="","",IFERROR(INDEX(tblCategories[Essential],MATCH($K269,tblCategories[Category],0)),"No"))</f>
        <v/>
      </c>
      <c r="O269">
        <f>IF($C269="","",IFERROR(INDEX(tblCategories[Tax Tag],MATCH($K269,tblCategories[Category],0)),""))</f>
        <v/>
      </c>
      <c r="P269" s="20">
        <f>IF($C269="","",IF($G269=PersonA,1,IF($G269=PersonB,0,IFERROR(INDEX(tblCategories[Joint Split A],MATCH($K269,tblCategories[Category],0)),DefaultSplitA))))</f>
        <v/>
      </c>
      <c r="Q269" s="19">
        <f>IF($C269="","",ROUND($J269*N($P269),2))</f>
        <v/>
      </c>
      <c r="R269" s="19">
        <f>IF($C269="","",ROUND($J269-N($Q269),2))</f>
        <v/>
      </c>
      <c r="U269" t="inlineStr">
        <is>
          <t>sample-data</t>
        </is>
      </c>
      <c r="V269" t="inlineStr">
        <is>
          <t>SAMPLE</t>
        </is>
      </c>
      <c r="W269" t="inlineStr">
        <is>
          <t>1C132EEB</t>
        </is>
      </c>
      <c r="X269">
        <f>IF($C269="","",IFERROR(IF(_xlfn.ISFORMULA($K269),"Rule","Manual"),""))</f>
        <v/>
      </c>
      <c r="Y269" s="19">
        <f>IF($C269="","",IF(ReportView=PersonA,N($Q269),IF(ReportView=PersonB,N($R269),$J269)))</f>
        <v/>
      </c>
    </row>
    <row r="270">
      <c r="B270">
        <f>IF($C270="","","T"&amp;TEXT(ROW()-ROW(tblTxn[[#Headers],[Txn ID]]),"000000"))</f>
        <v/>
      </c>
      <c r="C270" s="18" t="n">
        <v>46232</v>
      </c>
      <c r="D270">
        <f>IF($C270="","",TEXT($C270,"yyyy-mm"))</f>
        <v/>
      </c>
      <c r="E270" t="inlineStr">
        <is>
          <t>RBC Chequing (Alex)</t>
        </is>
      </c>
      <c r="F270">
        <f>IF($C270="","",IFERROR(INDEX(tblAccounts[Owner],MATCH($E270,tblAccounts[Account],0)),"Joint"))</f>
        <v/>
      </c>
      <c r="G270">
        <f>IF($C270="","",IF(HouseholdMode="Couple",IFERROR(IF(INDEX(tblCategories[Default Owner],MATCH($K270,tblCategories[Category],0))="",$F270,INDEX(tblCategories[Default Owner],MATCH($K270,tblCategories[Category],0))),$F270),$F270))</f>
        <v/>
      </c>
      <c r="H270" t="inlineStr">
        <is>
          <t>IDP PURCHASE - 1220 SHOPPERS DRUG MART #1008 ON</t>
        </is>
      </c>
      <c r="I270">
        <f>IF($H270="","",$H270)</f>
        <v/>
      </c>
      <c r="J270" s="19" t="n">
        <v>-69.7</v>
      </c>
      <c r="K270">
        <f>IF($H270="","",IFERROR(INDEX(tblRules[Category],SUMPRODUCT(MIN((1-((tblRules[Enabled]&lt;&gt;"No")*(tblRules[Pattern]&lt;&gt;"")*(tblRules[Category]&lt;&gt;"")*((tblRules[Flow]="Any")+(tblRules[Flow]="")+((tblRules[Flow]="Money out")*($J270&lt;0))+((tblRules[Flow]="Money in")*($J270&gt;0)))*(((tblRules[Look In]="Account")*ISNUMBER(SEARCH(tblRules[Pattern],$E270)))+((tblRules[Look In]&lt;&gt;"Account")*(((tblRules[Test]="Word")*ISNUMBER(SEARCH(" "&amp;tblRules[Pattern]&amp;" "," "&amp;$H270&amp;" ")))+((tblRules[Test]&lt;&gt;"Word")*ISNUMBER(SEARCH(tblRules[Pattern],$H270))))))&gt;0))*1E+9+ROW(tblRules[Pattern])))-ROW(tblRules[[#Headers],[Pattern]])),"Uncategorized"))</f>
        <v/>
      </c>
      <c r="L270">
        <f>IF($C270="","",IFERROR(INDEX(tblCategories[Group],MATCH($K270,tblCategories[Category],0)),"Other"))</f>
        <v/>
      </c>
      <c r="M270">
        <f>IF($C270="","",IFERROR(INDEX(tblCategories[Type],MATCH($K270,tblCategories[Category],0)),IF($J270&gt;0,"Income","Expense")))</f>
        <v/>
      </c>
      <c r="N270">
        <f>IF($C270="","",IFERROR(INDEX(tblCategories[Essential],MATCH($K270,tblCategories[Category],0)),"No"))</f>
        <v/>
      </c>
      <c r="O270">
        <f>IF($C270="","",IFERROR(INDEX(tblCategories[Tax Tag],MATCH($K270,tblCategories[Category],0)),""))</f>
        <v/>
      </c>
      <c r="P270" s="20">
        <f>IF($C270="","",IF($G270=PersonA,1,IF($G270=PersonB,0,IFERROR(INDEX(tblCategories[Joint Split A],MATCH($K270,tblCategories[Category],0)),DefaultSplitA))))</f>
        <v/>
      </c>
      <c r="Q270" s="19">
        <f>IF($C270="","",ROUND($J270*N($P270),2))</f>
        <v/>
      </c>
      <c r="R270" s="19">
        <f>IF($C270="","",ROUND($J270-N($Q270),2))</f>
        <v/>
      </c>
      <c r="U270" t="inlineStr">
        <is>
          <t>sample-data</t>
        </is>
      </c>
      <c r="V270" t="inlineStr">
        <is>
          <t>SAMPLE</t>
        </is>
      </c>
      <c r="W270" t="inlineStr">
        <is>
          <t>AC5790B1</t>
        </is>
      </c>
      <c r="X270">
        <f>IF($C270="","",IFERROR(IF(_xlfn.ISFORMULA($K270),"Rule","Manual"),""))</f>
        <v/>
      </c>
      <c r="Y270" s="19">
        <f>IF($C270="","",IF(ReportView=PersonA,N($Q270),IF(ReportView=PersonB,N($R270),$J270)))</f>
        <v/>
      </c>
    </row>
    <row r="271">
      <c r="B271">
        <f>IF($C271="","","T"&amp;TEXT(ROW()-ROW(tblTxn[[#Headers],[Txn ID]]),"000000"))</f>
        <v/>
      </c>
      <c r="C271" s="18" t="n">
        <v>46233</v>
      </c>
      <c r="D271">
        <f>IF($C271="","",TEXT($C271,"yyyy-mm"))</f>
        <v/>
      </c>
      <c r="E271" t="inlineStr">
        <is>
          <t>BMO Joint Chequing</t>
        </is>
      </c>
      <c r="F271">
        <f>IF($C271="","",IFERROR(INDEX(tblAccounts[Owner],MATCH($E271,tblAccounts[Account],0)),"Joint"))</f>
        <v/>
      </c>
      <c r="G271">
        <f>IF($C271="","",IF(HouseholdMode="Couple",IFERROR(IF(INDEX(tblCategories[Default Owner],MATCH($K271,tblCategories[Category],0))="",$F271,INDEX(tblCategories[Default Owner],MATCH($K271,tblCategories[Category],0))),$F271),$F271))</f>
        <v/>
      </c>
      <c r="H271" t="inlineStr">
        <is>
          <t>IDP PURCHASE - 4835 COSTCO WHOLESALE #647 ON</t>
        </is>
      </c>
      <c r="I271">
        <f>IF($H271="","",$H271)</f>
        <v/>
      </c>
      <c r="J271" s="19" t="n">
        <v>-253.92</v>
      </c>
      <c r="K271">
        <f>IF($H271="","",IFERROR(INDEX(tblRules[Category],SUMPRODUCT(MIN((1-((tblRules[Enabled]&lt;&gt;"No")*(tblRules[Pattern]&lt;&gt;"")*(tblRules[Category]&lt;&gt;"")*((tblRules[Flow]="Any")+(tblRules[Flow]="")+((tblRules[Flow]="Money out")*($J271&lt;0))+((tblRules[Flow]="Money in")*($J271&gt;0)))*(((tblRules[Look In]="Account")*ISNUMBER(SEARCH(tblRules[Pattern],$E271)))+((tblRules[Look In]&lt;&gt;"Account")*(((tblRules[Test]="Word")*ISNUMBER(SEARCH(" "&amp;tblRules[Pattern]&amp;" "," "&amp;$H271&amp;" ")))+((tblRules[Test]&lt;&gt;"Word")*ISNUMBER(SEARCH(tblRules[Pattern],$H271))))))&gt;0))*1E+9+ROW(tblRules[Pattern])))-ROW(tblRules[[#Headers],[Pattern]])),"Uncategorized"))</f>
        <v/>
      </c>
      <c r="L271">
        <f>IF($C271="","",IFERROR(INDEX(tblCategories[Group],MATCH($K271,tblCategories[Category],0)),"Other"))</f>
        <v/>
      </c>
      <c r="M271">
        <f>IF($C271="","",IFERROR(INDEX(tblCategories[Type],MATCH($K271,tblCategories[Category],0)),IF($J271&gt;0,"Income","Expense")))</f>
        <v/>
      </c>
      <c r="N271">
        <f>IF($C271="","",IFERROR(INDEX(tblCategories[Essential],MATCH($K271,tblCategories[Category],0)),"No"))</f>
        <v/>
      </c>
      <c r="O271">
        <f>IF($C271="","",IFERROR(INDEX(tblCategories[Tax Tag],MATCH($K271,tblCategories[Category],0)),""))</f>
        <v/>
      </c>
      <c r="P271" s="20">
        <f>IF($C271="","",IF($G271=PersonA,1,IF($G271=PersonB,0,IFERROR(INDEX(tblCategories[Joint Split A],MATCH($K271,tblCategories[Category],0)),DefaultSplitA))))</f>
        <v/>
      </c>
      <c r="Q271" s="19">
        <f>IF($C271="","",ROUND($J271*N($P271),2))</f>
        <v/>
      </c>
      <c r="R271" s="19">
        <f>IF($C271="","",ROUND($J271-N($Q271),2))</f>
        <v/>
      </c>
      <c r="U271" t="inlineStr">
        <is>
          <t>sample-data</t>
        </is>
      </c>
      <c r="V271" t="inlineStr">
        <is>
          <t>SAMPLE</t>
        </is>
      </c>
      <c r="W271" t="inlineStr">
        <is>
          <t>564B08FC</t>
        </is>
      </c>
      <c r="X271">
        <f>IF($C271="","",IFERROR(IF(_xlfn.ISFORMULA($K271),"Rule","Manual"),""))</f>
        <v/>
      </c>
      <c r="Y271" s="19">
        <f>IF($C271="","",IF(ReportView=PersonA,N($Q271),IF(ReportView=PersonB,N($R271),$J271)))</f>
        <v/>
      </c>
    </row>
    <row r="272">
      <c r="B272">
        <f>IF($C272="","","T"&amp;TEXT(ROW()-ROW(tblTxn[[#Headers],[Txn ID]]),"000000"))</f>
        <v/>
      </c>
      <c r="C272" s="18" t="n">
        <v>46233</v>
      </c>
      <c r="D272">
        <f>IF($C272="","",TEXT($C272,"yyyy-mm"))</f>
        <v/>
      </c>
      <c r="E272" t="inlineStr">
        <is>
          <t>BMO Joint Chequing</t>
        </is>
      </c>
      <c r="F272">
        <f>IF($C272="","",IFERROR(INDEX(tblAccounts[Owner],MATCH($E272,tblAccounts[Account],0)),"Joint"))</f>
        <v/>
      </c>
      <c r="G272">
        <f>IF($C272="","",IF(HouseholdMode="Couple",IFERROR(IF(INDEX(tblCategories[Default Owner],MATCH($K272,tblCategories[Category],0))="",$F272,INDEX(tblCategories[Default Owner],MATCH($K272,tblCategories[Category],0))),$F272),$F272))</f>
        <v/>
      </c>
      <c r="H272" t="inlineStr">
        <is>
          <t>IDP PURCHASE - 6403 NO FRILLS #1013 TORONTO ON</t>
        </is>
      </c>
      <c r="I272">
        <f>IF($H272="","",$H272)</f>
        <v/>
      </c>
      <c r="J272" s="19" t="n">
        <v>-101.43</v>
      </c>
      <c r="K272">
        <f>IF($H272="","",IFERROR(INDEX(tblRules[Category],SUMPRODUCT(MIN((1-((tblRules[Enabled]&lt;&gt;"No")*(tblRules[Pattern]&lt;&gt;"")*(tblRules[Category]&lt;&gt;"")*((tblRules[Flow]="Any")+(tblRules[Flow]="")+((tblRules[Flow]="Money out")*($J272&lt;0))+((tblRules[Flow]="Money in")*($J272&gt;0)))*(((tblRules[Look In]="Account")*ISNUMBER(SEARCH(tblRules[Pattern],$E272)))+((tblRules[Look In]&lt;&gt;"Account")*(((tblRules[Test]="Word")*ISNUMBER(SEARCH(" "&amp;tblRules[Pattern]&amp;" "," "&amp;$H272&amp;" ")))+((tblRules[Test]&lt;&gt;"Word")*ISNUMBER(SEARCH(tblRules[Pattern],$H272))))))&gt;0))*1E+9+ROW(tblRules[Pattern])))-ROW(tblRules[[#Headers],[Pattern]])),"Uncategorized"))</f>
        <v/>
      </c>
      <c r="L272">
        <f>IF($C272="","",IFERROR(INDEX(tblCategories[Group],MATCH($K272,tblCategories[Category],0)),"Other"))</f>
        <v/>
      </c>
      <c r="M272">
        <f>IF($C272="","",IFERROR(INDEX(tblCategories[Type],MATCH($K272,tblCategories[Category],0)),IF($J272&gt;0,"Income","Expense")))</f>
        <v/>
      </c>
      <c r="N272">
        <f>IF($C272="","",IFERROR(INDEX(tblCategories[Essential],MATCH($K272,tblCategories[Category],0)),"No"))</f>
        <v/>
      </c>
      <c r="O272">
        <f>IF($C272="","",IFERROR(INDEX(tblCategories[Tax Tag],MATCH($K272,tblCategories[Category],0)),""))</f>
        <v/>
      </c>
      <c r="P272" s="20">
        <f>IF($C272="","",IF($G272=PersonA,1,IF($G272=PersonB,0,IFERROR(INDEX(tblCategories[Joint Split A],MATCH($K272,tblCategories[Category],0)),DefaultSplitA))))</f>
        <v/>
      </c>
      <c r="Q272" s="19">
        <f>IF($C272="","",ROUND($J272*N($P272),2))</f>
        <v/>
      </c>
      <c r="R272" s="19">
        <f>IF($C272="","",ROUND($J272-N($Q272),2))</f>
        <v/>
      </c>
      <c r="U272" t="inlineStr">
        <is>
          <t>sample-data</t>
        </is>
      </c>
      <c r="V272" t="inlineStr">
        <is>
          <t>SAMPLE</t>
        </is>
      </c>
      <c r="W272" t="inlineStr">
        <is>
          <t>1A85D78E</t>
        </is>
      </c>
      <c r="X272">
        <f>IF($C272="","",IFERROR(IF(_xlfn.ISFORMULA($K272),"Rule","Manual"),""))</f>
        <v/>
      </c>
      <c r="Y272" s="19">
        <f>IF($C272="","",IF(ReportView=PersonA,N($Q272),IF(ReportView=PersonB,N($R272),$J272)))</f>
        <v/>
      </c>
    </row>
    <row r="273">
      <c r="B273">
        <f>IF($C273="","","T"&amp;TEXT(ROW()-ROW(tblTxn[[#Headers],[Txn ID]]),"000000"))</f>
        <v/>
      </c>
      <c r="C273" s="18" t="n">
        <v>46233</v>
      </c>
      <c r="D273">
        <f>IF($C273="","",TEXT($C273,"yyyy-mm"))</f>
        <v/>
      </c>
      <c r="E273" t="inlineStr">
        <is>
          <t>RBC Chequing (Alex)</t>
        </is>
      </c>
      <c r="F273">
        <f>IF($C273="","",IFERROR(INDEX(tblAccounts[Owner],MATCH($E273,tblAccounts[Account],0)),"Joint"))</f>
        <v/>
      </c>
      <c r="G273">
        <f>IF($C273="","",IF(HouseholdMode="Couple",IFERROR(IF(INDEX(tblCategories[Default Owner],MATCH($K273,tblCategories[Category],0))="",$F273,INDEX(tblCategories[Default Owner],MATCH($K273,tblCategories[Category],0))),$F273),$F273))</f>
        <v/>
      </c>
      <c r="H273" t="inlineStr">
        <is>
          <t>PAYROLL DEPOSIT NORTHWIND LOGISTICS</t>
        </is>
      </c>
      <c r="I273">
        <f>IF($H273="","",$H273)</f>
        <v/>
      </c>
      <c r="J273" s="19" t="n">
        <v>2438.18</v>
      </c>
      <c r="K273">
        <f>IF($H273="","",IFERROR(INDEX(tblRules[Category],SUMPRODUCT(MIN((1-((tblRules[Enabled]&lt;&gt;"No")*(tblRules[Pattern]&lt;&gt;"")*(tblRules[Category]&lt;&gt;"")*((tblRules[Flow]="Any")+(tblRules[Flow]="")+((tblRules[Flow]="Money out")*($J273&lt;0))+((tblRules[Flow]="Money in")*($J273&gt;0)))*(((tblRules[Look In]="Account")*ISNUMBER(SEARCH(tblRules[Pattern],$E273)))+((tblRules[Look In]&lt;&gt;"Account")*(((tblRules[Test]="Word")*ISNUMBER(SEARCH(" "&amp;tblRules[Pattern]&amp;" "," "&amp;$H273&amp;" ")))+((tblRules[Test]&lt;&gt;"Word")*ISNUMBER(SEARCH(tblRules[Pattern],$H273))))))&gt;0))*1E+9+ROW(tblRules[Pattern])))-ROW(tblRules[[#Headers],[Pattern]])),"Uncategorized"))</f>
        <v/>
      </c>
      <c r="L273">
        <f>IF($C273="","",IFERROR(INDEX(tblCategories[Group],MATCH($K273,tblCategories[Category],0)),"Other"))</f>
        <v/>
      </c>
      <c r="M273">
        <f>IF($C273="","",IFERROR(INDEX(tblCategories[Type],MATCH($K273,tblCategories[Category],0)),IF($J273&gt;0,"Income","Expense")))</f>
        <v/>
      </c>
      <c r="N273">
        <f>IF($C273="","",IFERROR(INDEX(tblCategories[Essential],MATCH($K273,tblCategories[Category],0)),"No"))</f>
        <v/>
      </c>
      <c r="O273">
        <f>IF($C273="","",IFERROR(INDEX(tblCategories[Tax Tag],MATCH($K273,tblCategories[Category],0)),""))</f>
        <v/>
      </c>
      <c r="P273" s="20">
        <f>IF($C273="","",IF($G273=PersonA,1,IF($G273=PersonB,0,IFERROR(INDEX(tblCategories[Joint Split A],MATCH($K273,tblCategories[Category],0)),DefaultSplitA))))</f>
        <v/>
      </c>
      <c r="Q273" s="19">
        <f>IF($C273="","",ROUND($J273*N($P273),2))</f>
        <v/>
      </c>
      <c r="R273" s="19">
        <f>IF($C273="","",ROUND($J273-N($Q273),2))</f>
        <v/>
      </c>
      <c r="U273" t="inlineStr">
        <is>
          <t>sample-data</t>
        </is>
      </c>
      <c r="V273" t="inlineStr">
        <is>
          <t>SAMPLE</t>
        </is>
      </c>
      <c r="W273" t="inlineStr">
        <is>
          <t>1D5C722A</t>
        </is>
      </c>
      <c r="X273">
        <f>IF($C273="","",IFERROR(IF(_xlfn.ISFORMULA($K273),"Rule","Manual"),""))</f>
        <v/>
      </c>
      <c r="Y273" s="19">
        <f>IF($C273="","",IF(ReportView=PersonA,N($Q273),IF(ReportView=PersonB,N($R273),$J273)))</f>
        <v/>
      </c>
    </row>
    <row r="274">
      <c r="B274">
        <f>IF($C274="","","T"&amp;TEXT(ROW()-ROW(tblTxn[[#Headers],[Txn ID]]),"000000"))</f>
        <v/>
      </c>
      <c r="C274" s="18" t="n">
        <v>46233</v>
      </c>
      <c r="D274">
        <f>IF($C274="","",TEXT($C274,"yyyy-mm"))</f>
        <v/>
      </c>
      <c r="E274" t="inlineStr">
        <is>
          <t>Tangerine Chequing (Sam)</t>
        </is>
      </c>
      <c r="F274">
        <f>IF($C274="","",IFERROR(INDEX(tblAccounts[Owner],MATCH($E274,tblAccounts[Account],0)),"Joint"))</f>
        <v/>
      </c>
      <c r="G274">
        <f>IF($C274="","",IF(HouseholdMode="Couple",IFERROR(IF(INDEX(tblCategories[Default Owner],MATCH($K274,tblCategories[Category],0))="",$F274,INDEX(tblCategories[Default Owner],MATCH($K274,tblCategories[Category],0))),$F274),$F274))</f>
        <v/>
      </c>
      <c r="H274" t="inlineStr">
        <is>
          <t>PAYROLL DEPOSIT MAPLE HEALTH GROUP</t>
        </is>
      </c>
      <c r="I274">
        <f>IF($H274="","",$H274)</f>
        <v/>
      </c>
      <c r="J274" s="19" t="n">
        <v>1960.44</v>
      </c>
      <c r="K274">
        <f>IF($H274="","",IFERROR(INDEX(tblRules[Category],SUMPRODUCT(MIN((1-((tblRules[Enabled]&lt;&gt;"No")*(tblRules[Pattern]&lt;&gt;"")*(tblRules[Category]&lt;&gt;"")*((tblRules[Flow]="Any")+(tblRules[Flow]="")+((tblRules[Flow]="Money out")*($J274&lt;0))+((tblRules[Flow]="Money in")*($J274&gt;0)))*(((tblRules[Look In]="Account")*ISNUMBER(SEARCH(tblRules[Pattern],$E274)))+((tblRules[Look In]&lt;&gt;"Account")*(((tblRules[Test]="Word")*ISNUMBER(SEARCH(" "&amp;tblRules[Pattern]&amp;" "," "&amp;$H274&amp;" ")))+((tblRules[Test]&lt;&gt;"Word")*ISNUMBER(SEARCH(tblRules[Pattern],$H274))))))&gt;0))*1E+9+ROW(tblRules[Pattern])))-ROW(tblRules[[#Headers],[Pattern]])),"Uncategorized"))</f>
        <v/>
      </c>
      <c r="L274">
        <f>IF($C274="","",IFERROR(INDEX(tblCategories[Group],MATCH($K274,tblCategories[Category],0)),"Other"))</f>
        <v/>
      </c>
      <c r="M274">
        <f>IF($C274="","",IFERROR(INDEX(tblCategories[Type],MATCH($K274,tblCategories[Category],0)),IF($J274&gt;0,"Income","Expense")))</f>
        <v/>
      </c>
      <c r="N274">
        <f>IF($C274="","",IFERROR(INDEX(tblCategories[Essential],MATCH($K274,tblCategories[Category],0)),"No"))</f>
        <v/>
      </c>
      <c r="O274">
        <f>IF($C274="","",IFERROR(INDEX(tblCategories[Tax Tag],MATCH($K274,tblCategories[Category],0)),""))</f>
        <v/>
      </c>
      <c r="P274" s="20">
        <f>IF($C274="","",IF($G274=PersonA,1,IF($G274=PersonB,0,IFERROR(INDEX(tblCategories[Joint Split A],MATCH($K274,tblCategories[Category],0)),DefaultSplitA))))</f>
        <v/>
      </c>
      <c r="Q274" s="19">
        <f>IF($C274="","",ROUND($J274*N($P274),2))</f>
        <v/>
      </c>
      <c r="R274" s="19">
        <f>IF($C274="","",ROUND($J274-N($Q274),2))</f>
        <v/>
      </c>
      <c r="U274" t="inlineStr">
        <is>
          <t>sample-data</t>
        </is>
      </c>
      <c r="V274" t="inlineStr">
        <is>
          <t>SAMPLE</t>
        </is>
      </c>
      <c r="W274" t="inlineStr">
        <is>
          <t>FE0F8C7F</t>
        </is>
      </c>
      <c r="X274">
        <f>IF($C274="","",IFERROR(IF(_xlfn.ISFORMULA($K274),"Rule","Manual"),""))</f>
        <v/>
      </c>
      <c r="Y274" s="19">
        <f>IF($C274="","",IF(ReportView=PersonA,N($Q274),IF(ReportView=PersonB,N($R274),$J274)))</f>
        <v/>
      </c>
    </row>
    <row r="275">
      <c r="B275">
        <f>IF($C275="","","T"&amp;TEXT(ROW()-ROW(tblTxn[[#Headers],[Txn ID]]),"000000"))</f>
        <v/>
      </c>
      <c r="C275" s="18" t="n">
        <v>46234</v>
      </c>
      <c r="D275">
        <f>IF($C275="","",TEXT($C275,"yyyy-mm"))</f>
        <v/>
      </c>
      <c r="E275" t="inlineStr">
        <is>
          <t>Amex Cobalt (Joint)</t>
        </is>
      </c>
      <c r="F275">
        <f>IF($C275="","",IFERROR(INDEX(tblAccounts[Owner],MATCH($E275,tblAccounts[Account],0)),"Joint"))</f>
        <v/>
      </c>
      <c r="G275">
        <f>IF($C275="","",IF(HouseholdMode="Couple",IFERROR(IF(INDEX(tblCategories[Default Owner],MATCH($K275,tblCategories[Category],0))="",$F275,INDEX(tblCategories[Default Owner],MATCH($K275,tblCategories[Category],0))),$F275),$F275))</f>
        <v/>
      </c>
      <c r="H275" t="inlineStr">
        <is>
          <t>PRESTO FARE/TRANSIT TORONTO ON</t>
        </is>
      </c>
      <c r="I275">
        <f>IF($H275="","",$H275)</f>
        <v/>
      </c>
      <c r="J275" s="19" t="n">
        <v>-29.87</v>
      </c>
      <c r="K275">
        <f>IF($H275="","",IFERROR(INDEX(tblRules[Category],SUMPRODUCT(MIN((1-((tblRules[Enabled]&lt;&gt;"No")*(tblRules[Pattern]&lt;&gt;"")*(tblRules[Category]&lt;&gt;"")*((tblRules[Flow]="Any")+(tblRules[Flow]="")+((tblRules[Flow]="Money out")*($J275&lt;0))+((tblRules[Flow]="Money in")*($J275&gt;0)))*(((tblRules[Look In]="Account")*ISNUMBER(SEARCH(tblRules[Pattern],$E275)))+((tblRules[Look In]&lt;&gt;"Account")*(((tblRules[Test]="Word")*ISNUMBER(SEARCH(" "&amp;tblRules[Pattern]&amp;" "," "&amp;$H275&amp;" ")))+((tblRules[Test]&lt;&gt;"Word")*ISNUMBER(SEARCH(tblRules[Pattern],$H275))))))&gt;0))*1E+9+ROW(tblRules[Pattern])))-ROW(tblRules[[#Headers],[Pattern]])),"Uncategorized"))</f>
        <v/>
      </c>
      <c r="L275">
        <f>IF($C275="","",IFERROR(INDEX(tblCategories[Group],MATCH($K275,tblCategories[Category],0)),"Other"))</f>
        <v/>
      </c>
      <c r="M275">
        <f>IF($C275="","",IFERROR(INDEX(tblCategories[Type],MATCH($K275,tblCategories[Category],0)),IF($J275&gt;0,"Income","Expense")))</f>
        <v/>
      </c>
      <c r="N275">
        <f>IF($C275="","",IFERROR(INDEX(tblCategories[Essential],MATCH($K275,tblCategories[Category],0)),"No"))</f>
        <v/>
      </c>
      <c r="O275">
        <f>IF($C275="","",IFERROR(INDEX(tblCategories[Tax Tag],MATCH($K275,tblCategories[Category],0)),""))</f>
        <v/>
      </c>
      <c r="P275" s="20">
        <f>IF($C275="","",IF($G275=PersonA,1,IF($G275=PersonB,0,IFERROR(INDEX(tblCategories[Joint Split A],MATCH($K275,tblCategories[Category],0)),DefaultSplitA))))</f>
        <v/>
      </c>
      <c r="Q275" s="19">
        <f>IF($C275="","",ROUND($J275*N($P275),2))</f>
        <v/>
      </c>
      <c r="R275" s="19">
        <f>IF($C275="","",ROUND($J275-N($Q275),2))</f>
        <v/>
      </c>
      <c r="U275" t="inlineStr">
        <is>
          <t>sample-data</t>
        </is>
      </c>
      <c r="V275" t="inlineStr">
        <is>
          <t>SAMPLE</t>
        </is>
      </c>
      <c r="W275" t="inlineStr">
        <is>
          <t>16957F33</t>
        </is>
      </c>
      <c r="X275">
        <f>IF($C275="","",IFERROR(IF(_xlfn.ISFORMULA($K275),"Rule","Manual"),""))</f>
        <v/>
      </c>
      <c r="Y275" s="19">
        <f>IF($C275="","",IF(ReportView=PersonA,N($Q275),IF(ReportView=PersonB,N($R275),$J275)))</f>
        <v/>
      </c>
    </row>
    <row r="276">
      <c r="B276">
        <f>IF($C276="","","T"&amp;TEXT(ROW()-ROW(tblTxn[[#Headers],[Txn ID]]),"000000"))</f>
        <v/>
      </c>
      <c r="C276" s="18" t="n">
        <v>46235</v>
      </c>
      <c r="D276">
        <f>IF($C276="","",TEXT($C276,"yyyy-mm"))</f>
        <v/>
      </c>
      <c r="E276" t="inlineStr">
        <is>
          <t>BMO Joint Chequing</t>
        </is>
      </c>
      <c r="F276">
        <f>IF($C276="","",IFERROR(INDEX(tblAccounts[Owner],MATCH($E276,tblAccounts[Account],0)),"Joint"))</f>
        <v/>
      </c>
      <c r="G276">
        <f>IF($C276="","",IF(HouseholdMode="Couple",IFERROR(IF(INDEX(tblCategories[Default Owner],MATCH($K276,tblCategories[Category],0))="",$F276,INDEX(tblCategories[Default Owner],MATCH($K276,tblCategories[Category],0))),$F276),$F276))</f>
        <v/>
      </c>
      <c r="H276" t="inlineStr">
        <is>
          <t>IDP PURCHASE - 1274 PETRO-CANADA #4899 ON</t>
        </is>
      </c>
      <c r="I276">
        <f>IF($H276="","",$H276)</f>
        <v/>
      </c>
      <c r="J276" s="19" t="n">
        <v>-69.12</v>
      </c>
      <c r="K276">
        <f>IF($H276="","",IFERROR(INDEX(tblRules[Category],SUMPRODUCT(MIN((1-((tblRules[Enabled]&lt;&gt;"No")*(tblRules[Pattern]&lt;&gt;"")*(tblRules[Category]&lt;&gt;"")*((tblRules[Flow]="Any")+(tblRules[Flow]="")+((tblRules[Flow]="Money out")*($J276&lt;0))+((tblRules[Flow]="Money in")*($J276&gt;0)))*(((tblRules[Look In]="Account")*ISNUMBER(SEARCH(tblRules[Pattern],$E276)))+((tblRules[Look In]&lt;&gt;"Account")*(((tblRules[Test]="Word")*ISNUMBER(SEARCH(" "&amp;tblRules[Pattern]&amp;" "," "&amp;$H276&amp;" ")))+((tblRules[Test]&lt;&gt;"Word")*ISNUMBER(SEARCH(tblRules[Pattern],$H276))))))&gt;0))*1E+9+ROW(tblRules[Pattern])))-ROW(tblRules[[#Headers],[Pattern]])),"Uncategorized"))</f>
        <v/>
      </c>
      <c r="L276">
        <f>IF($C276="","",IFERROR(INDEX(tblCategories[Group],MATCH($K276,tblCategories[Category],0)),"Other"))</f>
        <v/>
      </c>
      <c r="M276">
        <f>IF($C276="","",IFERROR(INDEX(tblCategories[Type],MATCH($K276,tblCategories[Category],0)),IF($J276&gt;0,"Income","Expense")))</f>
        <v/>
      </c>
      <c r="N276">
        <f>IF($C276="","",IFERROR(INDEX(tblCategories[Essential],MATCH($K276,tblCategories[Category],0)),"No"))</f>
        <v/>
      </c>
      <c r="O276">
        <f>IF($C276="","",IFERROR(INDEX(tblCategories[Tax Tag],MATCH($K276,tblCategories[Category],0)),""))</f>
        <v/>
      </c>
      <c r="P276" s="20">
        <f>IF($C276="","",IF($G276=PersonA,1,IF($G276=PersonB,0,IFERROR(INDEX(tblCategories[Joint Split A],MATCH($K276,tblCategories[Category],0)),DefaultSplitA))))</f>
        <v/>
      </c>
      <c r="Q276" s="19">
        <f>IF($C276="","",ROUND($J276*N($P276),2))</f>
        <v/>
      </c>
      <c r="R276" s="19">
        <f>IF($C276="","",ROUND($J276-N($Q276),2))</f>
        <v/>
      </c>
      <c r="U276" t="inlineStr">
        <is>
          <t>sample-data</t>
        </is>
      </c>
      <c r="V276" t="inlineStr">
        <is>
          <t>SAMPLE</t>
        </is>
      </c>
      <c r="W276" t="inlineStr">
        <is>
          <t>670B005B</t>
        </is>
      </c>
      <c r="X276">
        <f>IF($C276="","",IFERROR(IF(_xlfn.ISFORMULA($K276),"Rule","Manual"),""))</f>
        <v/>
      </c>
      <c r="Y276" s="19">
        <f>IF($C276="","",IF(ReportView=PersonA,N($Q276),IF(ReportView=PersonB,N($R276),$J276)))</f>
        <v/>
      </c>
    </row>
    <row r="277">
      <c r="B277">
        <f>IF($C277="","","T"&amp;TEXT(ROW()-ROW(tblTxn[[#Headers],[Txn ID]]),"000000"))</f>
        <v/>
      </c>
      <c r="C277" s="18" t="n">
        <v>46235</v>
      </c>
      <c r="D277">
        <f>IF($C277="","",TEXT($C277,"yyyy-mm"))</f>
        <v/>
      </c>
      <c r="E277" t="inlineStr">
        <is>
          <t>BMO Joint Chequing</t>
        </is>
      </c>
      <c r="F277">
        <f>IF($C277="","",IFERROR(INDEX(tblAccounts[Owner],MATCH($E277,tblAccounts[Account],0)),"Joint"))</f>
        <v/>
      </c>
      <c r="G277">
        <f>IF($C277="","",IF(HouseholdMode="Couple",IFERROR(IF(INDEX(tblCategories[Default Owner],MATCH($K277,tblCategories[Category],0))="",$F277,INDEX(tblCategories[Default Owner],MATCH($K277,tblCategories[Category],0))),$F277),$F277))</f>
        <v/>
      </c>
      <c r="H277" t="inlineStr">
        <is>
          <t>RENT PAYMENT 84 BROADVIEW AVE</t>
        </is>
      </c>
      <c r="I277">
        <f>IF($H277="","",$H277)</f>
        <v/>
      </c>
      <c r="J277" s="19" t="n">
        <v>-2350</v>
      </c>
      <c r="K277">
        <f>IF($H277="","",IFERROR(INDEX(tblRules[Category],SUMPRODUCT(MIN((1-((tblRules[Enabled]&lt;&gt;"No")*(tblRules[Pattern]&lt;&gt;"")*(tblRules[Category]&lt;&gt;"")*((tblRules[Flow]="Any")+(tblRules[Flow]="")+((tblRules[Flow]="Money out")*($J277&lt;0))+((tblRules[Flow]="Money in")*($J277&gt;0)))*(((tblRules[Look In]="Account")*ISNUMBER(SEARCH(tblRules[Pattern],$E277)))+((tblRules[Look In]&lt;&gt;"Account")*(((tblRules[Test]="Word")*ISNUMBER(SEARCH(" "&amp;tblRules[Pattern]&amp;" "," "&amp;$H277&amp;" ")))+((tblRules[Test]&lt;&gt;"Word")*ISNUMBER(SEARCH(tblRules[Pattern],$H277))))))&gt;0))*1E+9+ROW(tblRules[Pattern])))-ROW(tblRules[[#Headers],[Pattern]])),"Uncategorized"))</f>
        <v/>
      </c>
      <c r="L277">
        <f>IF($C277="","",IFERROR(INDEX(tblCategories[Group],MATCH($K277,tblCategories[Category],0)),"Other"))</f>
        <v/>
      </c>
      <c r="M277">
        <f>IF($C277="","",IFERROR(INDEX(tblCategories[Type],MATCH($K277,tblCategories[Category],0)),IF($J277&gt;0,"Income","Expense")))</f>
        <v/>
      </c>
      <c r="N277">
        <f>IF($C277="","",IFERROR(INDEX(tblCategories[Essential],MATCH($K277,tblCategories[Category],0)),"No"))</f>
        <v/>
      </c>
      <c r="O277">
        <f>IF($C277="","",IFERROR(INDEX(tblCategories[Tax Tag],MATCH($K277,tblCategories[Category],0)),""))</f>
        <v/>
      </c>
      <c r="P277" s="20">
        <f>IF($C277="","",IF($G277=PersonA,1,IF($G277=PersonB,0,IFERROR(INDEX(tblCategories[Joint Split A],MATCH($K277,tblCategories[Category],0)),DefaultSplitA))))</f>
        <v/>
      </c>
      <c r="Q277" s="19">
        <f>IF($C277="","",ROUND($J277*N($P277),2))</f>
        <v/>
      </c>
      <c r="R277" s="19">
        <f>IF($C277="","",ROUND($J277-N($Q277),2))</f>
        <v/>
      </c>
      <c r="U277" t="inlineStr">
        <is>
          <t>sample-data</t>
        </is>
      </c>
      <c r="V277" t="inlineStr">
        <is>
          <t>SAMPLE</t>
        </is>
      </c>
      <c r="W277" t="inlineStr">
        <is>
          <t>4314F35B</t>
        </is>
      </c>
      <c r="X277">
        <f>IF($C277="","",IFERROR(IF(_xlfn.ISFORMULA($K277),"Rule","Manual"),""))</f>
        <v/>
      </c>
      <c r="Y277" s="19">
        <f>IF($C277="","",IF(ReportView=PersonA,N($Q277),IF(ReportView=PersonB,N($R277),$J277)))</f>
        <v/>
      </c>
    </row>
    <row r="278">
      <c r="B278">
        <f>IF($C278="","","T"&amp;TEXT(ROW()-ROW(tblTxn[[#Headers],[Txn ID]]),"000000"))</f>
        <v/>
      </c>
      <c r="C278" s="18" t="n">
        <v>46237</v>
      </c>
      <c r="D278">
        <f>IF($C278="","",TEXT($C278,"yyyy-mm"))</f>
        <v/>
      </c>
      <c r="E278" t="inlineStr">
        <is>
          <t>Amex Cobalt (Joint)</t>
        </is>
      </c>
      <c r="F278">
        <f>IF($C278="","",IFERROR(INDEX(tblAccounts[Owner],MATCH($E278,tblAccounts[Account],0)),"Joint"))</f>
        <v/>
      </c>
      <c r="G278">
        <f>IF($C278="","",IF(HouseholdMode="Couple",IFERROR(IF(INDEX(tblCategories[Default Owner],MATCH($K278,tblCategories[Category],0))="",$F278,INDEX(tblCategories[Default Owner],MATCH($K278,tblCategories[Category],0))),$F278),$F278))</f>
        <v/>
      </c>
      <c r="H278" t="inlineStr">
        <is>
          <t>IDP PURCHASE - 6544 PETRO-CANADA #377 ON</t>
        </is>
      </c>
      <c r="I278">
        <f>IF($H278="","",$H278)</f>
        <v/>
      </c>
      <c r="J278" s="19" t="n">
        <v>-67.14</v>
      </c>
      <c r="K278">
        <f>IF($H278="","",IFERROR(INDEX(tblRules[Category],SUMPRODUCT(MIN((1-((tblRules[Enabled]&lt;&gt;"No")*(tblRules[Pattern]&lt;&gt;"")*(tblRules[Category]&lt;&gt;"")*((tblRules[Flow]="Any")+(tblRules[Flow]="")+((tblRules[Flow]="Money out")*($J278&lt;0))+((tblRules[Flow]="Money in")*($J278&gt;0)))*(((tblRules[Look In]="Account")*ISNUMBER(SEARCH(tblRules[Pattern],$E278)))+((tblRules[Look In]&lt;&gt;"Account")*(((tblRules[Test]="Word")*ISNUMBER(SEARCH(" "&amp;tblRules[Pattern]&amp;" "," "&amp;$H278&amp;" ")))+((tblRules[Test]&lt;&gt;"Word")*ISNUMBER(SEARCH(tblRules[Pattern],$H278))))))&gt;0))*1E+9+ROW(tblRules[Pattern])))-ROW(tblRules[[#Headers],[Pattern]])),"Uncategorized"))</f>
        <v/>
      </c>
      <c r="L278">
        <f>IF($C278="","",IFERROR(INDEX(tblCategories[Group],MATCH($K278,tblCategories[Category],0)),"Other"))</f>
        <v/>
      </c>
      <c r="M278">
        <f>IF($C278="","",IFERROR(INDEX(tblCategories[Type],MATCH($K278,tblCategories[Category],0)),IF($J278&gt;0,"Income","Expense")))</f>
        <v/>
      </c>
      <c r="N278">
        <f>IF($C278="","",IFERROR(INDEX(tblCategories[Essential],MATCH($K278,tblCategories[Category],0)),"No"))</f>
        <v/>
      </c>
      <c r="O278">
        <f>IF($C278="","",IFERROR(INDEX(tblCategories[Tax Tag],MATCH($K278,tblCategories[Category],0)),""))</f>
        <v/>
      </c>
      <c r="P278" s="20">
        <f>IF($C278="","",IF($G278=PersonA,1,IF($G278=PersonB,0,IFERROR(INDEX(tblCategories[Joint Split A],MATCH($K278,tblCategories[Category],0)),DefaultSplitA))))</f>
        <v/>
      </c>
      <c r="Q278" s="19">
        <f>IF($C278="","",ROUND($J278*N($P278),2))</f>
        <v/>
      </c>
      <c r="R278" s="19">
        <f>IF($C278="","",ROUND($J278-N($Q278),2))</f>
        <v/>
      </c>
      <c r="U278" t="inlineStr">
        <is>
          <t>sample-data</t>
        </is>
      </c>
      <c r="V278" t="inlineStr">
        <is>
          <t>SAMPLE</t>
        </is>
      </c>
      <c r="W278" t="inlineStr">
        <is>
          <t>4EB44EE6</t>
        </is>
      </c>
      <c r="X278">
        <f>IF($C278="","",IFERROR(IF(_xlfn.ISFORMULA($K278),"Rule","Manual"),""))</f>
        <v/>
      </c>
      <c r="Y278" s="19">
        <f>IF($C278="","",IF(ReportView=PersonA,N($Q278),IF(ReportView=PersonB,N($R278),$J278)))</f>
        <v/>
      </c>
    </row>
    <row r="279">
      <c r="B279">
        <f>IF($C279="","","T"&amp;TEXT(ROW()-ROW(tblTxn[[#Headers],[Txn ID]]),"000000"))</f>
        <v/>
      </c>
      <c r="C279" s="18" t="n">
        <v>46237</v>
      </c>
      <c r="D279">
        <f>IF($C279="","",TEXT($C279,"yyyy-mm"))</f>
        <v/>
      </c>
      <c r="E279" t="inlineStr">
        <is>
          <t>BMO Joint Chequing</t>
        </is>
      </c>
      <c r="F279">
        <f>IF($C279="","",IFERROR(INDEX(tblAccounts[Owner],MATCH($E279,tblAccounts[Account],0)),"Joint"))</f>
        <v/>
      </c>
      <c r="G279">
        <f>IF($C279="","",IF(HouseholdMode="Couple",IFERROR(IF(INDEX(tblCategories[Default Owner],MATCH($K279,tblCategories[Category],0))="",$F279,INDEX(tblCategories[Default Owner],MATCH($K279,tblCategories[Category],0))),$F279),$F279))</f>
        <v/>
      </c>
      <c r="H279" t="inlineStr">
        <is>
          <t>GOODLIFE CLUBS PREAUTHORIZED DEBIT</t>
        </is>
      </c>
      <c r="I279">
        <f>IF($H279="","",$H279)</f>
        <v/>
      </c>
      <c r="J279" s="19" t="n">
        <v>-54.22</v>
      </c>
      <c r="K279">
        <f>IF($H279="","",IFERROR(INDEX(tblRules[Category],SUMPRODUCT(MIN((1-((tblRules[Enabled]&lt;&gt;"No")*(tblRules[Pattern]&lt;&gt;"")*(tblRules[Category]&lt;&gt;"")*((tblRules[Flow]="Any")+(tblRules[Flow]="")+((tblRules[Flow]="Money out")*($J279&lt;0))+((tblRules[Flow]="Money in")*($J279&gt;0)))*(((tblRules[Look In]="Account")*ISNUMBER(SEARCH(tblRules[Pattern],$E279)))+((tblRules[Look In]&lt;&gt;"Account")*(((tblRules[Test]="Word")*ISNUMBER(SEARCH(" "&amp;tblRules[Pattern]&amp;" "," "&amp;$H279&amp;" ")))+((tblRules[Test]&lt;&gt;"Word")*ISNUMBER(SEARCH(tblRules[Pattern],$H279))))))&gt;0))*1E+9+ROW(tblRules[Pattern])))-ROW(tblRules[[#Headers],[Pattern]])),"Uncategorized"))</f>
        <v/>
      </c>
      <c r="L279">
        <f>IF($C279="","",IFERROR(INDEX(tblCategories[Group],MATCH($K279,tblCategories[Category],0)),"Other"))</f>
        <v/>
      </c>
      <c r="M279">
        <f>IF($C279="","",IFERROR(INDEX(tblCategories[Type],MATCH($K279,tblCategories[Category],0)),IF($J279&gt;0,"Income","Expense")))</f>
        <v/>
      </c>
      <c r="N279">
        <f>IF($C279="","",IFERROR(INDEX(tblCategories[Essential],MATCH($K279,tblCategories[Category],0)),"No"))</f>
        <v/>
      </c>
      <c r="O279">
        <f>IF($C279="","",IFERROR(INDEX(tblCategories[Tax Tag],MATCH($K279,tblCategories[Category],0)),""))</f>
        <v/>
      </c>
      <c r="P279" s="20">
        <f>IF($C279="","",IF($G279=PersonA,1,IF($G279=PersonB,0,IFERROR(INDEX(tblCategories[Joint Split A],MATCH($K279,tblCategories[Category],0)),DefaultSplitA))))</f>
        <v/>
      </c>
      <c r="Q279" s="19">
        <f>IF($C279="","",ROUND($J279*N($P279),2))</f>
        <v/>
      </c>
      <c r="R279" s="19">
        <f>IF($C279="","",ROUND($J279-N($Q279),2))</f>
        <v/>
      </c>
      <c r="U279" t="inlineStr">
        <is>
          <t>sample-data</t>
        </is>
      </c>
      <c r="V279" t="inlineStr">
        <is>
          <t>SAMPLE</t>
        </is>
      </c>
      <c r="W279" t="inlineStr">
        <is>
          <t>F1ED485C</t>
        </is>
      </c>
      <c r="X279">
        <f>IF($C279="","",IFERROR(IF(_xlfn.ISFORMULA($K279),"Rule","Manual"),""))</f>
        <v/>
      </c>
      <c r="Y279" s="19">
        <f>IF($C279="","",IF(ReportView=PersonA,N($Q279),IF(ReportView=PersonB,N($R279),$J279)))</f>
        <v/>
      </c>
    </row>
    <row r="280">
      <c r="B280">
        <f>IF($C280="","","T"&amp;TEXT(ROW()-ROW(tblTxn[[#Headers],[Txn ID]]),"000000"))</f>
        <v/>
      </c>
      <c r="C280" s="18" t="n">
        <v>46237</v>
      </c>
      <c r="D280">
        <f>IF($C280="","",TEXT($C280,"yyyy-mm"))</f>
        <v/>
      </c>
      <c r="E280" t="inlineStr">
        <is>
          <t>Tangerine Chequing (Sam)</t>
        </is>
      </c>
      <c r="F280">
        <f>IF($C280="","",IFERROR(INDEX(tblAccounts[Owner],MATCH($E280,tblAccounts[Account],0)),"Joint"))</f>
        <v/>
      </c>
      <c r="G280">
        <f>IF($C280="","",IF(HouseholdMode="Couple",IFERROR(IF(INDEX(tblCategories[Default Owner],MATCH($K280,tblCategories[Category],0))="",$F280,INDEX(tblCategories[Default Owner],MATCH($K280,tblCategories[Category],0))),$F280),$F280))</f>
        <v/>
      </c>
      <c r="H280" t="inlineStr">
        <is>
          <t>IDP PURCHASE - 7668 STARBUCKS #4502 TORONTO ON</t>
        </is>
      </c>
      <c r="I280">
        <f>IF($H280="","",$H280)</f>
        <v/>
      </c>
      <c r="J280" s="19" t="n">
        <v>-10.27</v>
      </c>
      <c r="K280">
        <f>IF($H280="","",IFERROR(INDEX(tblRules[Category],SUMPRODUCT(MIN((1-((tblRules[Enabled]&lt;&gt;"No")*(tblRules[Pattern]&lt;&gt;"")*(tblRules[Category]&lt;&gt;"")*((tblRules[Flow]="Any")+(tblRules[Flow]="")+((tblRules[Flow]="Money out")*($J280&lt;0))+((tblRules[Flow]="Money in")*($J280&gt;0)))*(((tblRules[Look In]="Account")*ISNUMBER(SEARCH(tblRules[Pattern],$E280)))+((tblRules[Look In]&lt;&gt;"Account")*(((tblRules[Test]="Word")*ISNUMBER(SEARCH(" "&amp;tblRules[Pattern]&amp;" "," "&amp;$H280&amp;" ")))+((tblRules[Test]&lt;&gt;"Word")*ISNUMBER(SEARCH(tblRules[Pattern],$H280))))))&gt;0))*1E+9+ROW(tblRules[Pattern])))-ROW(tblRules[[#Headers],[Pattern]])),"Uncategorized"))</f>
        <v/>
      </c>
      <c r="L280">
        <f>IF($C280="","",IFERROR(INDEX(tblCategories[Group],MATCH($K280,tblCategories[Category],0)),"Other"))</f>
        <v/>
      </c>
      <c r="M280">
        <f>IF($C280="","",IFERROR(INDEX(tblCategories[Type],MATCH($K280,tblCategories[Category],0)),IF($J280&gt;0,"Income","Expense")))</f>
        <v/>
      </c>
      <c r="N280">
        <f>IF($C280="","",IFERROR(INDEX(tblCategories[Essential],MATCH($K280,tblCategories[Category],0)),"No"))</f>
        <v/>
      </c>
      <c r="O280">
        <f>IF($C280="","",IFERROR(INDEX(tblCategories[Tax Tag],MATCH($K280,tblCategories[Category],0)),""))</f>
        <v/>
      </c>
      <c r="P280" s="20">
        <f>IF($C280="","",IF($G280=PersonA,1,IF($G280=PersonB,0,IFERROR(INDEX(tblCategories[Joint Split A],MATCH($K280,tblCategories[Category],0)),DefaultSplitA))))</f>
        <v/>
      </c>
      <c r="Q280" s="19">
        <f>IF($C280="","",ROUND($J280*N($P280),2))</f>
        <v/>
      </c>
      <c r="R280" s="19">
        <f>IF($C280="","",ROUND($J280-N($Q280),2))</f>
        <v/>
      </c>
      <c r="U280" t="inlineStr">
        <is>
          <t>sample-data</t>
        </is>
      </c>
      <c r="V280" t="inlineStr">
        <is>
          <t>SAMPLE</t>
        </is>
      </c>
      <c r="W280" t="inlineStr">
        <is>
          <t>712D38A0</t>
        </is>
      </c>
      <c r="X280">
        <f>IF($C280="","",IFERROR(IF(_xlfn.ISFORMULA($K280),"Rule","Manual"),""))</f>
        <v/>
      </c>
      <c r="Y280" s="19">
        <f>IF($C280="","",IF(ReportView=PersonA,N($Q280),IF(ReportView=PersonB,N($R280),$J280)))</f>
        <v/>
      </c>
    </row>
    <row r="281">
      <c r="B281">
        <f>IF($C281="","","T"&amp;TEXT(ROW()-ROW(tblTxn[[#Headers],[Txn ID]]),"000000"))</f>
        <v/>
      </c>
      <c r="C281" s="18" t="n">
        <v>46238</v>
      </c>
      <c r="D281">
        <f>IF($C281="","",TEXT($C281,"yyyy-mm"))</f>
        <v/>
      </c>
      <c r="E281" t="inlineStr">
        <is>
          <t>BMO Joint Chequing</t>
        </is>
      </c>
      <c r="F281">
        <f>IF($C281="","",IFERROR(INDEX(tblAccounts[Owner],MATCH($E281,tblAccounts[Account],0)),"Joint"))</f>
        <v/>
      </c>
      <c r="G281">
        <f>IF($C281="","",IF(HouseholdMode="Couple",IFERROR(IF(INDEX(tblCategories[Default Owner],MATCH($K281,tblCategories[Category],0))="",$F281,INDEX(tblCategories[Default Owner],MATCH($K281,tblCategories[Category],0))),$F281),$F281))</f>
        <v/>
      </c>
      <c r="H281" t="inlineStr">
        <is>
          <t>IDP PURCHASE - 5161 TIM HORTONS #2807 TORONTO ON</t>
        </is>
      </c>
      <c r="I281">
        <f>IF($H281="","",$H281)</f>
        <v/>
      </c>
      <c r="J281" s="19" t="n">
        <v>-7.66</v>
      </c>
      <c r="K281">
        <f>IF($H281="","",IFERROR(INDEX(tblRules[Category],SUMPRODUCT(MIN((1-((tblRules[Enabled]&lt;&gt;"No")*(tblRules[Pattern]&lt;&gt;"")*(tblRules[Category]&lt;&gt;"")*((tblRules[Flow]="Any")+(tblRules[Flow]="")+((tblRules[Flow]="Money out")*($J281&lt;0))+((tblRules[Flow]="Money in")*($J281&gt;0)))*(((tblRules[Look In]="Account")*ISNUMBER(SEARCH(tblRules[Pattern],$E281)))+((tblRules[Look In]&lt;&gt;"Account")*(((tblRules[Test]="Word")*ISNUMBER(SEARCH(" "&amp;tblRules[Pattern]&amp;" "," "&amp;$H281&amp;" ")))+((tblRules[Test]&lt;&gt;"Word")*ISNUMBER(SEARCH(tblRules[Pattern],$H281))))))&gt;0))*1E+9+ROW(tblRules[Pattern])))-ROW(tblRules[[#Headers],[Pattern]])),"Uncategorized"))</f>
        <v/>
      </c>
      <c r="L281">
        <f>IF($C281="","",IFERROR(INDEX(tblCategories[Group],MATCH($K281,tblCategories[Category],0)),"Other"))</f>
        <v/>
      </c>
      <c r="M281">
        <f>IF($C281="","",IFERROR(INDEX(tblCategories[Type],MATCH($K281,tblCategories[Category],0)),IF($J281&gt;0,"Income","Expense")))</f>
        <v/>
      </c>
      <c r="N281">
        <f>IF($C281="","",IFERROR(INDEX(tblCategories[Essential],MATCH($K281,tblCategories[Category],0)),"No"))</f>
        <v/>
      </c>
      <c r="O281">
        <f>IF($C281="","",IFERROR(INDEX(tblCategories[Tax Tag],MATCH($K281,tblCategories[Category],0)),""))</f>
        <v/>
      </c>
      <c r="P281" s="20">
        <f>IF($C281="","",IF($G281=PersonA,1,IF($G281=PersonB,0,IFERROR(INDEX(tblCategories[Joint Split A],MATCH($K281,tblCategories[Category],0)),DefaultSplitA))))</f>
        <v/>
      </c>
      <c r="Q281" s="19">
        <f>IF($C281="","",ROUND($J281*N($P281),2))</f>
        <v/>
      </c>
      <c r="R281" s="19">
        <f>IF($C281="","",ROUND($J281-N($Q281),2))</f>
        <v/>
      </c>
      <c r="U281" t="inlineStr">
        <is>
          <t>sample-data</t>
        </is>
      </c>
      <c r="V281" t="inlineStr">
        <is>
          <t>SAMPLE</t>
        </is>
      </c>
      <c r="W281" t="inlineStr">
        <is>
          <t>A456A3CA</t>
        </is>
      </c>
      <c r="X281">
        <f>IF($C281="","",IFERROR(IF(_xlfn.ISFORMULA($K281),"Rule","Manual"),""))</f>
        <v/>
      </c>
      <c r="Y281" s="19">
        <f>IF($C281="","",IF(ReportView=PersonA,N($Q281),IF(ReportView=PersonB,N($R281),$J281)))</f>
        <v/>
      </c>
    </row>
    <row r="282">
      <c r="B282">
        <f>IF($C282="","","T"&amp;TEXT(ROW()-ROW(tblTxn[[#Headers],[Txn ID]]),"000000"))</f>
        <v/>
      </c>
      <c r="C282" s="18" t="n">
        <v>46238</v>
      </c>
      <c r="D282">
        <f>IF($C282="","",TEXT($C282,"yyyy-mm"))</f>
        <v/>
      </c>
      <c r="E282" t="inlineStr">
        <is>
          <t>Tangerine Chequing (Sam)</t>
        </is>
      </c>
      <c r="F282">
        <f>IF($C282="","",IFERROR(INDEX(tblAccounts[Owner],MATCH($E282,tblAccounts[Account],0)),"Joint"))</f>
        <v/>
      </c>
      <c r="G282">
        <f>IF($C282="","",IF(HouseholdMode="Couple",IFERROR(IF(INDEX(tblCategories[Default Owner],MATCH($K282,tblCategories[Category],0))="",$F282,INDEX(tblCategories[Default Owner],MATCH($K282,tblCategories[Category],0))),$F282),$F282))</f>
        <v/>
      </c>
      <c r="H282" t="inlineStr">
        <is>
          <t>IDP PURCHASE - 3614 WINNERS #1324 ON</t>
        </is>
      </c>
      <c r="I282">
        <f>IF($H282="","",$H282)</f>
        <v/>
      </c>
      <c r="J282" s="19" t="n">
        <v>-132.57</v>
      </c>
      <c r="K282">
        <f>IF($H282="","",IFERROR(INDEX(tblRules[Category],SUMPRODUCT(MIN((1-((tblRules[Enabled]&lt;&gt;"No")*(tblRules[Pattern]&lt;&gt;"")*(tblRules[Category]&lt;&gt;"")*((tblRules[Flow]="Any")+(tblRules[Flow]="")+((tblRules[Flow]="Money out")*($J282&lt;0))+((tblRules[Flow]="Money in")*($J282&gt;0)))*(((tblRules[Look In]="Account")*ISNUMBER(SEARCH(tblRules[Pattern],$E282)))+((tblRules[Look In]&lt;&gt;"Account")*(((tblRules[Test]="Word")*ISNUMBER(SEARCH(" "&amp;tblRules[Pattern]&amp;" "," "&amp;$H282&amp;" ")))+((tblRules[Test]&lt;&gt;"Word")*ISNUMBER(SEARCH(tblRules[Pattern],$H282))))))&gt;0))*1E+9+ROW(tblRules[Pattern])))-ROW(tblRules[[#Headers],[Pattern]])),"Uncategorized"))</f>
        <v/>
      </c>
      <c r="L282">
        <f>IF($C282="","",IFERROR(INDEX(tblCategories[Group],MATCH($K282,tblCategories[Category],0)),"Other"))</f>
        <v/>
      </c>
      <c r="M282">
        <f>IF($C282="","",IFERROR(INDEX(tblCategories[Type],MATCH($K282,tblCategories[Category],0)),IF($J282&gt;0,"Income","Expense")))</f>
        <v/>
      </c>
      <c r="N282">
        <f>IF($C282="","",IFERROR(INDEX(tblCategories[Essential],MATCH($K282,tblCategories[Category],0)),"No"))</f>
        <v/>
      </c>
      <c r="O282">
        <f>IF($C282="","",IFERROR(INDEX(tblCategories[Tax Tag],MATCH($K282,tblCategories[Category],0)),""))</f>
        <v/>
      </c>
      <c r="P282" s="20">
        <f>IF($C282="","",IF($G282=PersonA,1,IF($G282=PersonB,0,IFERROR(INDEX(tblCategories[Joint Split A],MATCH($K282,tblCategories[Category],0)),DefaultSplitA))))</f>
        <v/>
      </c>
      <c r="Q282" s="19">
        <f>IF($C282="","",ROUND($J282*N($P282),2))</f>
        <v/>
      </c>
      <c r="R282" s="19">
        <f>IF($C282="","",ROUND($J282-N($Q282),2))</f>
        <v/>
      </c>
      <c r="U282" t="inlineStr">
        <is>
          <t>sample-data</t>
        </is>
      </c>
      <c r="V282" t="inlineStr">
        <is>
          <t>SAMPLE</t>
        </is>
      </c>
      <c r="W282" t="inlineStr">
        <is>
          <t>E7E31946</t>
        </is>
      </c>
      <c r="X282">
        <f>IF($C282="","",IFERROR(IF(_xlfn.ISFORMULA($K282),"Rule","Manual"),""))</f>
        <v/>
      </c>
      <c r="Y282" s="19">
        <f>IF($C282="","",IF(ReportView=PersonA,N($Q282),IF(ReportView=PersonB,N($R282),$J282)))</f>
        <v/>
      </c>
    </row>
    <row r="283">
      <c r="B283">
        <f>IF($C283="","","T"&amp;TEXT(ROW()-ROW(tblTxn[[#Headers],[Txn ID]]),"000000"))</f>
        <v/>
      </c>
      <c r="C283" s="18" t="n">
        <v>46239</v>
      </c>
      <c r="D283">
        <f>IF($C283="","",TEXT($C283,"yyyy-mm"))</f>
        <v/>
      </c>
      <c r="E283" t="inlineStr">
        <is>
          <t>Amex Cobalt (Joint)</t>
        </is>
      </c>
      <c r="F283">
        <f>IF($C283="","",IFERROR(INDEX(tblAccounts[Owner],MATCH($E283,tblAccounts[Account],0)),"Joint"))</f>
        <v/>
      </c>
      <c r="G283">
        <f>IF($C283="","",IF(HouseholdMode="Couple",IFERROR(IF(INDEX(tblCategories[Default Owner],MATCH($K283,tblCategories[Category],0))="",$F283,INDEX(tblCategories[Default Owner],MATCH($K283,tblCategories[Category],0))),$F283),$F283))</f>
        <v/>
      </c>
      <c r="H283" t="inlineStr">
        <is>
          <t>IDP PURCHASE - 3180 PIZZA NOVA #2106 ON</t>
        </is>
      </c>
      <c r="I283">
        <f>IF($H283="","",$H283)</f>
        <v/>
      </c>
      <c r="J283" s="19" t="n">
        <v>-29.36</v>
      </c>
      <c r="K283">
        <f>IF($H283="","",IFERROR(INDEX(tblRules[Category],SUMPRODUCT(MIN((1-((tblRules[Enabled]&lt;&gt;"No")*(tblRules[Pattern]&lt;&gt;"")*(tblRules[Category]&lt;&gt;"")*((tblRules[Flow]="Any")+(tblRules[Flow]="")+((tblRules[Flow]="Money out")*($J283&lt;0))+((tblRules[Flow]="Money in")*($J283&gt;0)))*(((tblRules[Look In]="Account")*ISNUMBER(SEARCH(tblRules[Pattern],$E283)))+((tblRules[Look In]&lt;&gt;"Account")*(((tblRules[Test]="Word")*ISNUMBER(SEARCH(" "&amp;tblRules[Pattern]&amp;" "," "&amp;$H283&amp;" ")))+((tblRules[Test]&lt;&gt;"Word")*ISNUMBER(SEARCH(tblRules[Pattern],$H283))))))&gt;0))*1E+9+ROW(tblRules[Pattern])))-ROW(tblRules[[#Headers],[Pattern]])),"Uncategorized"))</f>
        <v/>
      </c>
      <c r="L283">
        <f>IF($C283="","",IFERROR(INDEX(tblCategories[Group],MATCH($K283,tblCategories[Category],0)),"Other"))</f>
        <v/>
      </c>
      <c r="M283">
        <f>IF($C283="","",IFERROR(INDEX(tblCategories[Type],MATCH($K283,tblCategories[Category],0)),IF($J283&gt;0,"Income","Expense")))</f>
        <v/>
      </c>
      <c r="N283">
        <f>IF($C283="","",IFERROR(INDEX(tblCategories[Essential],MATCH($K283,tblCategories[Category],0)),"No"))</f>
        <v/>
      </c>
      <c r="O283">
        <f>IF($C283="","",IFERROR(INDEX(tblCategories[Tax Tag],MATCH($K283,tblCategories[Category],0)),""))</f>
        <v/>
      </c>
      <c r="P283" s="20">
        <f>IF($C283="","",IF($G283=PersonA,1,IF($G283=PersonB,0,IFERROR(INDEX(tblCategories[Joint Split A],MATCH($K283,tblCategories[Category],0)),DefaultSplitA))))</f>
        <v/>
      </c>
      <c r="Q283" s="19">
        <f>IF($C283="","",ROUND($J283*N($P283),2))</f>
        <v/>
      </c>
      <c r="R283" s="19">
        <f>IF($C283="","",ROUND($J283-N($Q283),2))</f>
        <v/>
      </c>
      <c r="U283" t="inlineStr">
        <is>
          <t>sample-data</t>
        </is>
      </c>
      <c r="V283" t="inlineStr">
        <is>
          <t>SAMPLE</t>
        </is>
      </c>
      <c r="W283" t="inlineStr">
        <is>
          <t>D83429F2</t>
        </is>
      </c>
      <c r="X283">
        <f>IF($C283="","",IFERROR(IF(_xlfn.ISFORMULA($K283),"Rule","Manual"),""))</f>
        <v/>
      </c>
      <c r="Y283" s="19">
        <f>IF($C283="","",IF(ReportView=PersonA,N($Q283),IF(ReportView=PersonB,N($R283),$J283)))</f>
        <v/>
      </c>
    </row>
    <row r="284">
      <c r="B284">
        <f>IF($C284="","","T"&amp;TEXT(ROW()-ROW(tblTxn[[#Headers],[Txn ID]]),"000000"))</f>
        <v/>
      </c>
      <c r="C284" s="18" t="n">
        <v>46239</v>
      </c>
      <c r="D284">
        <f>IF($C284="","",TEXT($C284,"yyyy-mm"))</f>
        <v/>
      </c>
      <c r="E284" t="inlineStr">
        <is>
          <t>BMO Joint Chequing</t>
        </is>
      </c>
      <c r="F284">
        <f>IF($C284="","",IFERROR(INDEX(tblAccounts[Owner],MATCH($E284,tblAccounts[Account],0)),"Joint"))</f>
        <v/>
      </c>
      <c r="G284">
        <f>IF($C284="","",IF(HouseholdMode="Couple",IFERROR(IF(INDEX(tblCategories[Default Owner],MATCH($K284,tblCategories[Category],0))="",$F284,INDEX(tblCategories[Default Owner],MATCH($K284,tblCategories[Category],0))),$F284),$F284))</f>
        <v/>
      </c>
      <c r="H284" t="inlineStr">
        <is>
          <t>BELAIRDIRECT INSURANCE PREAUTHORIZED DEBIT</t>
        </is>
      </c>
      <c r="I284">
        <f>IF($H284="","",$H284)</f>
        <v/>
      </c>
      <c r="J284" s="19" t="n">
        <v>-168</v>
      </c>
      <c r="K284">
        <f>IF($H284="","",IFERROR(INDEX(tblRules[Category],SUMPRODUCT(MIN((1-((tblRules[Enabled]&lt;&gt;"No")*(tblRules[Pattern]&lt;&gt;"")*(tblRules[Category]&lt;&gt;"")*((tblRules[Flow]="Any")+(tblRules[Flow]="")+((tblRules[Flow]="Money out")*($J284&lt;0))+((tblRules[Flow]="Money in")*($J284&gt;0)))*(((tblRules[Look In]="Account")*ISNUMBER(SEARCH(tblRules[Pattern],$E284)))+((tblRules[Look In]&lt;&gt;"Account")*(((tblRules[Test]="Word")*ISNUMBER(SEARCH(" "&amp;tblRules[Pattern]&amp;" "," "&amp;$H284&amp;" ")))+((tblRules[Test]&lt;&gt;"Word")*ISNUMBER(SEARCH(tblRules[Pattern],$H284))))))&gt;0))*1E+9+ROW(tblRules[Pattern])))-ROW(tblRules[[#Headers],[Pattern]])),"Uncategorized"))</f>
        <v/>
      </c>
      <c r="L284">
        <f>IF($C284="","",IFERROR(INDEX(tblCategories[Group],MATCH($K284,tblCategories[Category],0)),"Other"))</f>
        <v/>
      </c>
      <c r="M284">
        <f>IF($C284="","",IFERROR(INDEX(tblCategories[Type],MATCH($K284,tblCategories[Category],0)),IF($J284&gt;0,"Income","Expense")))</f>
        <v/>
      </c>
      <c r="N284">
        <f>IF($C284="","",IFERROR(INDEX(tblCategories[Essential],MATCH($K284,tblCategories[Category],0)),"No"))</f>
        <v/>
      </c>
      <c r="O284">
        <f>IF($C284="","",IFERROR(INDEX(tblCategories[Tax Tag],MATCH($K284,tblCategories[Category],0)),""))</f>
        <v/>
      </c>
      <c r="P284" s="20">
        <f>IF($C284="","",IF($G284=PersonA,1,IF($G284=PersonB,0,IFERROR(INDEX(tblCategories[Joint Split A],MATCH($K284,tblCategories[Category],0)),DefaultSplitA))))</f>
        <v/>
      </c>
      <c r="Q284" s="19">
        <f>IF($C284="","",ROUND($J284*N($P284),2))</f>
        <v/>
      </c>
      <c r="R284" s="19">
        <f>IF($C284="","",ROUND($J284-N($Q284),2))</f>
        <v/>
      </c>
      <c r="U284" t="inlineStr">
        <is>
          <t>sample-data</t>
        </is>
      </c>
      <c r="V284" t="inlineStr">
        <is>
          <t>SAMPLE</t>
        </is>
      </c>
      <c r="W284" t="inlineStr">
        <is>
          <t>C1EB601E</t>
        </is>
      </c>
      <c r="X284">
        <f>IF($C284="","",IFERROR(IF(_xlfn.ISFORMULA($K284),"Rule","Manual"),""))</f>
        <v/>
      </c>
      <c r="Y284" s="19">
        <f>IF($C284="","",IF(ReportView=PersonA,N($Q284),IF(ReportView=PersonB,N($R284),$J284)))</f>
        <v/>
      </c>
    </row>
    <row r="285">
      <c r="B285">
        <f>IF($C285="","","T"&amp;TEXT(ROW()-ROW(tblTxn[[#Headers],[Txn ID]]),"000000"))</f>
        <v/>
      </c>
      <c r="C285" s="18" t="n">
        <v>46239</v>
      </c>
      <c r="D285">
        <f>IF($C285="","",TEXT($C285,"yyyy-mm"))</f>
        <v/>
      </c>
      <c r="E285" t="inlineStr">
        <is>
          <t>BMO Joint Chequing</t>
        </is>
      </c>
      <c r="F285">
        <f>IF($C285="","",IFERROR(INDEX(tblAccounts[Owner],MATCH($E285,tblAccounts[Account],0)),"Joint"))</f>
        <v/>
      </c>
      <c r="G285">
        <f>IF($C285="","",IF(HouseholdMode="Couple",IFERROR(IF(INDEX(tblCategories[Default Owner],MATCH($K285,tblCategories[Category],0))="",$F285,INDEX(tblCategories[Default Owner],MATCH($K285,tblCategories[Category],0))),$F285),$F285))</f>
        <v/>
      </c>
      <c r="H285" t="inlineStr">
        <is>
          <t>LITTLE MAPLE DAYCARE PREAUTHORIZED DEBIT</t>
        </is>
      </c>
      <c r="I285">
        <f>IF($H285="","",$H285)</f>
        <v/>
      </c>
      <c r="J285" s="19" t="n">
        <v>-880</v>
      </c>
      <c r="K285">
        <f>IF($H285="","",IFERROR(INDEX(tblRules[Category],SUMPRODUCT(MIN((1-((tblRules[Enabled]&lt;&gt;"No")*(tblRules[Pattern]&lt;&gt;"")*(tblRules[Category]&lt;&gt;"")*((tblRules[Flow]="Any")+(tblRules[Flow]="")+((tblRules[Flow]="Money out")*($J285&lt;0))+((tblRules[Flow]="Money in")*($J285&gt;0)))*(((tblRules[Look In]="Account")*ISNUMBER(SEARCH(tblRules[Pattern],$E285)))+((tblRules[Look In]&lt;&gt;"Account")*(((tblRules[Test]="Word")*ISNUMBER(SEARCH(" "&amp;tblRules[Pattern]&amp;" "," "&amp;$H285&amp;" ")))+((tblRules[Test]&lt;&gt;"Word")*ISNUMBER(SEARCH(tblRules[Pattern],$H285))))))&gt;0))*1E+9+ROW(tblRules[Pattern])))-ROW(tblRules[[#Headers],[Pattern]])),"Uncategorized"))</f>
        <v/>
      </c>
      <c r="L285">
        <f>IF($C285="","",IFERROR(INDEX(tblCategories[Group],MATCH($K285,tblCategories[Category],0)),"Other"))</f>
        <v/>
      </c>
      <c r="M285">
        <f>IF($C285="","",IFERROR(INDEX(tblCategories[Type],MATCH($K285,tblCategories[Category],0)),IF($J285&gt;0,"Income","Expense")))</f>
        <v/>
      </c>
      <c r="N285">
        <f>IF($C285="","",IFERROR(INDEX(tblCategories[Essential],MATCH($K285,tblCategories[Category],0)),"No"))</f>
        <v/>
      </c>
      <c r="O285">
        <f>IF($C285="","",IFERROR(INDEX(tblCategories[Tax Tag],MATCH($K285,tblCategories[Category],0)),""))</f>
        <v/>
      </c>
      <c r="P285" s="20">
        <f>IF($C285="","",IF($G285=PersonA,1,IF($G285=PersonB,0,IFERROR(INDEX(tblCategories[Joint Split A],MATCH($K285,tblCategories[Category],0)),DefaultSplitA))))</f>
        <v/>
      </c>
      <c r="Q285" s="19">
        <f>IF($C285="","",ROUND($J285*N($P285),2))</f>
        <v/>
      </c>
      <c r="R285" s="19">
        <f>IF($C285="","",ROUND($J285-N($Q285),2))</f>
        <v/>
      </c>
      <c r="U285" t="inlineStr">
        <is>
          <t>sample-data</t>
        </is>
      </c>
      <c r="V285" t="inlineStr">
        <is>
          <t>SAMPLE</t>
        </is>
      </c>
      <c r="W285" t="inlineStr">
        <is>
          <t>23331715</t>
        </is>
      </c>
      <c r="X285">
        <f>IF($C285="","",IFERROR(IF(_xlfn.ISFORMULA($K285),"Rule","Manual"),""))</f>
        <v/>
      </c>
      <c r="Y285" s="19">
        <f>IF($C285="","",IF(ReportView=PersonA,N($Q285),IF(ReportView=PersonB,N($R285),$J285)))</f>
        <v/>
      </c>
    </row>
    <row r="286">
      <c r="B286">
        <f>IF($C286="","","T"&amp;TEXT(ROW()-ROW(tblTxn[[#Headers],[Txn ID]]),"000000"))</f>
        <v/>
      </c>
      <c r="C286" s="18" t="n">
        <v>46239</v>
      </c>
      <c r="D286">
        <f>IF($C286="","",TEXT($C286,"yyyy-mm"))</f>
        <v/>
      </c>
      <c r="E286" t="inlineStr">
        <is>
          <t>Tangerine Chequing (Sam)</t>
        </is>
      </c>
      <c r="F286">
        <f>IF($C286="","",IFERROR(INDEX(tblAccounts[Owner],MATCH($E286,tblAccounts[Account],0)),"Joint"))</f>
        <v/>
      </c>
      <c r="G286">
        <f>IF($C286="","",IF(HouseholdMode="Couple",IFERROR(IF(INDEX(tblCategories[Default Owner],MATCH($K286,tblCategories[Category],0))="",$F286,INDEX(tblCategories[Default Owner],MATCH($K286,tblCategories[Category],0))),$F286),$F286))</f>
        <v/>
      </c>
      <c r="H286" t="inlineStr">
        <is>
          <t>IDP PURCHASE - 7123 TIM HORTONS #2250 TORONTO ON</t>
        </is>
      </c>
      <c r="I286">
        <f>IF($H286="","",$H286)</f>
        <v/>
      </c>
      <c r="J286" s="19" t="n">
        <v>-10.79</v>
      </c>
      <c r="K286">
        <f>IF($H286="","",IFERROR(INDEX(tblRules[Category],SUMPRODUCT(MIN((1-((tblRules[Enabled]&lt;&gt;"No")*(tblRules[Pattern]&lt;&gt;"")*(tblRules[Category]&lt;&gt;"")*((tblRules[Flow]="Any")+(tblRules[Flow]="")+((tblRules[Flow]="Money out")*($J286&lt;0))+((tblRules[Flow]="Money in")*($J286&gt;0)))*(((tblRules[Look In]="Account")*ISNUMBER(SEARCH(tblRules[Pattern],$E286)))+((tblRules[Look In]&lt;&gt;"Account")*(((tblRules[Test]="Word")*ISNUMBER(SEARCH(" "&amp;tblRules[Pattern]&amp;" "," "&amp;$H286&amp;" ")))+((tblRules[Test]&lt;&gt;"Word")*ISNUMBER(SEARCH(tblRules[Pattern],$H286))))))&gt;0))*1E+9+ROW(tblRules[Pattern])))-ROW(tblRules[[#Headers],[Pattern]])),"Uncategorized"))</f>
        <v/>
      </c>
      <c r="L286">
        <f>IF($C286="","",IFERROR(INDEX(tblCategories[Group],MATCH($K286,tblCategories[Category],0)),"Other"))</f>
        <v/>
      </c>
      <c r="M286">
        <f>IF($C286="","",IFERROR(INDEX(tblCategories[Type],MATCH($K286,tblCategories[Category],0)),IF($J286&gt;0,"Income","Expense")))</f>
        <v/>
      </c>
      <c r="N286">
        <f>IF($C286="","",IFERROR(INDEX(tblCategories[Essential],MATCH($K286,tblCategories[Category],0)),"No"))</f>
        <v/>
      </c>
      <c r="O286">
        <f>IF($C286="","",IFERROR(INDEX(tblCategories[Tax Tag],MATCH($K286,tblCategories[Category],0)),""))</f>
        <v/>
      </c>
      <c r="P286" s="20">
        <f>IF($C286="","",IF($G286=PersonA,1,IF($G286=PersonB,0,IFERROR(INDEX(tblCategories[Joint Split A],MATCH($K286,tblCategories[Category],0)),DefaultSplitA))))</f>
        <v/>
      </c>
      <c r="Q286" s="19">
        <f>IF($C286="","",ROUND($J286*N($P286),2))</f>
        <v/>
      </c>
      <c r="R286" s="19">
        <f>IF($C286="","",ROUND($J286-N($Q286),2))</f>
        <v/>
      </c>
      <c r="U286" t="inlineStr">
        <is>
          <t>sample-data</t>
        </is>
      </c>
      <c r="V286" t="inlineStr">
        <is>
          <t>SAMPLE</t>
        </is>
      </c>
      <c r="W286" t="inlineStr">
        <is>
          <t>5CF55194</t>
        </is>
      </c>
      <c r="X286">
        <f>IF($C286="","",IFERROR(IF(_xlfn.ISFORMULA($K286),"Rule","Manual"),""))</f>
        <v/>
      </c>
      <c r="Y286" s="19">
        <f>IF($C286="","",IF(ReportView=PersonA,N($Q286),IF(ReportView=PersonB,N($R286),$J286)))</f>
        <v/>
      </c>
    </row>
    <row r="287">
      <c r="B287">
        <f>IF($C287="","","T"&amp;TEXT(ROW()-ROW(tblTxn[[#Headers],[Txn ID]]),"000000"))</f>
        <v/>
      </c>
      <c r="C287" s="18" t="n">
        <v>46240</v>
      </c>
      <c r="D287">
        <f>IF($C287="","",TEXT($C287,"yyyy-mm"))</f>
        <v/>
      </c>
      <c r="E287" t="inlineStr">
        <is>
          <t>BMO Joint Chequing</t>
        </is>
      </c>
      <c r="F287">
        <f>IF($C287="","",IFERROR(INDEX(tblAccounts[Owner],MATCH($E287,tblAccounts[Account],0)),"Joint"))</f>
        <v/>
      </c>
      <c r="G287">
        <f>IF($C287="","",IF(HouseholdMode="Couple",IFERROR(IF(INDEX(tblCategories[Default Owner],MATCH($K287,tblCategories[Category],0))="",$F287,INDEX(tblCategories[Default Owner],MATCH($K287,tblCategories[Category],0))),$F287),$F287))</f>
        <v/>
      </c>
      <c r="H287" t="inlineStr">
        <is>
          <t>SUN LIFE ASSURANCE MISC PAYMENT</t>
        </is>
      </c>
      <c r="I287">
        <f>IF($H287="","",$H287)</f>
        <v/>
      </c>
      <c r="J287" s="19" t="n">
        <v>-74.5</v>
      </c>
      <c r="K287">
        <f>IF($H287="","",IFERROR(INDEX(tblRules[Category],SUMPRODUCT(MIN((1-((tblRules[Enabled]&lt;&gt;"No")*(tblRules[Pattern]&lt;&gt;"")*(tblRules[Category]&lt;&gt;"")*((tblRules[Flow]="Any")+(tblRules[Flow]="")+((tblRules[Flow]="Money out")*($J287&lt;0))+((tblRules[Flow]="Money in")*($J287&gt;0)))*(((tblRules[Look In]="Account")*ISNUMBER(SEARCH(tblRules[Pattern],$E287)))+((tblRules[Look In]&lt;&gt;"Account")*(((tblRules[Test]="Word")*ISNUMBER(SEARCH(" "&amp;tblRules[Pattern]&amp;" "," "&amp;$H287&amp;" ")))+((tblRules[Test]&lt;&gt;"Word")*ISNUMBER(SEARCH(tblRules[Pattern],$H287))))))&gt;0))*1E+9+ROW(tblRules[Pattern])))-ROW(tblRules[[#Headers],[Pattern]])),"Uncategorized"))</f>
        <v/>
      </c>
      <c r="L287">
        <f>IF($C287="","",IFERROR(INDEX(tblCategories[Group],MATCH($K287,tblCategories[Category],0)),"Other"))</f>
        <v/>
      </c>
      <c r="M287">
        <f>IF($C287="","",IFERROR(INDEX(tblCategories[Type],MATCH($K287,tblCategories[Category],0)),IF($J287&gt;0,"Income","Expense")))</f>
        <v/>
      </c>
      <c r="N287">
        <f>IF($C287="","",IFERROR(INDEX(tblCategories[Essential],MATCH($K287,tblCategories[Category],0)),"No"))</f>
        <v/>
      </c>
      <c r="O287">
        <f>IF($C287="","",IFERROR(INDEX(tblCategories[Tax Tag],MATCH($K287,tblCategories[Category],0)),""))</f>
        <v/>
      </c>
      <c r="P287" s="20">
        <f>IF($C287="","",IF($G287=PersonA,1,IF($G287=PersonB,0,IFERROR(INDEX(tblCategories[Joint Split A],MATCH($K287,tblCategories[Category],0)),DefaultSplitA))))</f>
        <v/>
      </c>
      <c r="Q287" s="19">
        <f>IF($C287="","",ROUND($J287*N($P287),2))</f>
        <v/>
      </c>
      <c r="R287" s="19">
        <f>IF($C287="","",ROUND($J287-N($Q287),2))</f>
        <v/>
      </c>
      <c r="U287" t="inlineStr">
        <is>
          <t>sample-data</t>
        </is>
      </c>
      <c r="V287" t="inlineStr">
        <is>
          <t>SAMPLE</t>
        </is>
      </c>
      <c r="W287" t="inlineStr">
        <is>
          <t>E2157A07</t>
        </is>
      </c>
      <c r="X287">
        <f>IF($C287="","",IFERROR(IF(_xlfn.ISFORMULA($K287),"Rule","Manual"),""))</f>
        <v/>
      </c>
      <c r="Y287" s="19">
        <f>IF($C287="","",IF(ReportView=PersonA,N($Q287),IF(ReportView=PersonB,N($R287),$J287)))</f>
        <v/>
      </c>
    </row>
    <row r="288">
      <c r="B288">
        <f>IF($C288="","","T"&amp;TEXT(ROW()-ROW(tblTxn[[#Headers],[Txn ID]]),"000000"))</f>
        <v/>
      </c>
      <c r="C288" s="18" t="n">
        <v>46242</v>
      </c>
      <c r="D288">
        <f>IF($C288="","",TEXT($C288,"yyyy-mm"))</f>
        <v/>
      </c>
      <c r="E288" t="inlineStr">
        <is>
          <t>BMO Joint Chequing</t>
        </is>
      </c>
      <c r="F288">
        <f>IF($C288="","",IFERROR(INDEX(tblAccounts[Owner],MATCH($E288,tblAccounts[Account],0)),"Joint"))</f>
        <v/>
      </c>
      <c r="G288">
        <f>IF($C288="","",IF(HouseholdMode="Couple",IFERROR(IF(INDEX(tblCategories[Default Owner],MATCH($K288,tblCategories[Category],0))="",$F288,INDEX(tblCategories[Default Owner],MATCH($K288,tblCategories[Category],0))),$F288),$F288))</f>
        <v/>
      </c>
      <c r="H288" t="inlineStr">
        <is>
          <t>IDP PURCHASE - 4844 NO FRILLS #1604 TORONTO ON</t>
        </is>
      </c>
      <c r="I288">
        <f>IF($H288="","",$H288)</f>
        <v/>
      </c>
      <c r="J288" s="19" t="n">
        <v>-47.36</v>
      </c>
      <c r="K288">
        <f>IF($H288="","",IFERROR(INDEX(tblRules[Category],SUMPRODUCT(MIN((1-((tblRules[Enabled]&lt;&gt;"No")*(tblRules[Pattern]&lt;&gt;"")*(tblRules[Category]&lt;&gt;"")*((tblRules[Flow]="Any")+(tblRules[Flow]="")+((tblRules[Flow]="Money out")*($J288&lt;0))+((tblRules[Flow]="Money in")*($J288&gt;0)))*(((tblRules[Look In]="Account")*ISNUMBER(SEARCH(tblRules[Pattern],$E288)))+((tblRules[Look In]&lt;&gt;"Account")*(((tblRules[Test]="Word")*ISNUMBER(SEARCH(" "&amp;tblRules[Pattern]&amp;" "," "&amp;$H288&amp;" ")))+((tblRules[Test]&lt;&gt;"Word")*ISNUMBER(SEARCH(tblRules[Pattern],$H288))))))&gt;0))*1E+9+ROW(tblRules[Pattern])))-ROW(tblRules[[#Headers],[Pattern]])),"Uncategorized"))</f>
        <v/>
      </c>
      <c r="L288">
        <f>IF($C288="","",IFERROR(INDEX(tblCategories[Group],MATCH($K288,tblCategories[Category],0)),"Other"))</f>
        <v/>
      </c>
      <c r="M288">
        <f>IF($C288="","",IFERROR(INDEX(tblCategories[Type],MATCH($K288,tblCategories[Category],0)),IF($J288&gt;0,"Income","Expense")))</f>
        <v/>
      </c>
      <c r="N288">
        <f>IF($C288="","",IFERROR(INDEX(tblCategories[Essential],MATCH($K288,tblCategories[Category],0)),"No"))</f>
        <v/>
      </c>
      <c r="O288">
        <f>IF($C288="","",IFERROR(INDEX(tblCategories[Tax Tag],MATCH($K288,tblCategories[Category],0)),""))</f>
        <v/>
      </c>
      <c r="P288" s="20">
        <f>IF($C288="","",IF($G288=PersonA,1,IF($G288=PersonB,0,IFERROR(INDEX(tblCategories[Joint Split A],MATCH($K288,tblCategories[Category],0)),DefaultSplitA))))</f>
        <v/>
      </c>
      <c r="Q288" s="19">
        <f>IF($C288="","",ROUND($J288*N($P288),2))</f>
        <v/>
      </c>
      <c r="R288" s="19">
        <f>IF($C288="","",ROUND($J288-N($Q288),2))</f>
        <v/>
      </c>
      <c r="U288" t="inlineStr">
        <is>
          <t>sample-data</t>
        </is>
      </c>
      <c r="V288" t="inlineStr">
        <is>
          <t>SAMPLE</t>
        </is>
      </c>
      <c r="W288" t="inlineStr">
        <is>
          <t>2A5CB708</t>
        </is>
      </c>
      <c r="X288">
        <f>IF($C288="","",IFERROR(IF(_xlfn.ISFORMULA($K288),"Rule","Manual"),""))</f>
        <v/>
      </c>
      <c r="Y288" s="19">
        <f>IF($C288="","",IF(ReportView=PersonA,N($Q288),IF(ReportView=PersonB,N($R288),$J288)))</f>
        <v/>
      </c>
    </row>
    <row r="289">
      <c r="B289">
        <f>IF($C289="","","T"&amp;TEXT(ROW()-ROW(tblTxn[[#Headers],[Txn ID]]),"000000"))</f>
        <v/>
      </c>
      <c r="C289" s="18" t="n">
        <v>46242</v>
      </c>
      <c r="D289">
        <f>IF($C289="","",TEXT($C289,"yyyy-mm"))</f>
        <v/>
      </c>
      <c r="E289" t="inlineStr">
        <is>
          <t>BMO Joint Chequing</t>
        </is>
      </c>
      <c r="F289">
        <f>IF($C289="","",IFERROR(INDEX(tblAccounts[Owner],MATCH($E289,tblAccounts[Account],0)),"Joint"))</f>
        <v/>
      </c>
      <c r="G289">
        <f>IF($C289="","",IF(HouseholdMode="Couple",IFERROR(IF(INDEX(tblCategories[Default Owner],MATCH($K289,tblCategories[Category],0))="",$F289,INDEX(tblCategories[Default Owner],MATCH($K289,tblCategories[Category],0))),$F289),$F289))</f>
        <v/>
      </c>
      <c r="H289" t="inlineStr">
        <is>
          <t>TORONTO HYDRO BILL PAYMENT</t>
        </is>
      </c>
      <c r="I289">
        <f>IF($H289="","",$H289)</f>
        <v/>
      </c>
      <c r="J289" s="19" t="n">
        <v>-138.2</v>
      </c>
      <c r="K289">
        <f>IF($H289="","",IFERROR(INDEX(tblRules[Category],SUMPRODUCT(MIN((1-((tblRules[Enabled]&lt;&gt;"No")*(tblRules[Pattern]&lt;&gt;"")*(tblRules[Category]&lt;&gt;"")*((tblRules[Flow]="Any")+(tblRules[Flow]="")+((tblRules[Flow]="Money out")*($J289&lt;0))+((tblRules[Flow]="Money in")*($J289&gt;0)))*(((tblRules[Look In]="Account")*ISNUMBER(SEARCH(tblRules[Pattern],$E289)))+((tblRules[Look In]&lt;&gt;"Account")*(((tblRules[Test]="Word")*ISNUMBER(SEARCH(" "&amp;tblRules[Pattern]&amp;" "," "&amp;$H289&amp;" ")))+((tblRules[Test]&lt;&gt;"Word")*ISNUMBER(SEARCH(tblRules[Pattern],$H289))))))&gt;0))*1E+9+ROW(tblRules[Pattern])))-ROW(tblRules[[#Headers],[Pattern]])),"Uncategorized"))</f>
        <v/>
      </c>
      <c r="L289">
        <f>IF($C289="","",IFERROR(INDEX(tblCategories[Group],MATCH($K289,tblCategories[Category],0)),"Other"))</f>
        <v/>
      </c>
      <c r="M289">
        <f>IF($C289="","",IFERROR(INDEX(tblCategories[Type],MATCH($K289,tblCategories[Category],0)),IF($J289&gt;0,"Income","Expense")))</f>
        <v/>
      </c>
      <c r="N289">
        <f>IF($C289="","",IFERROR(INDEX(tblCategories[Essential],MATCH($K289,tblCategories[Category],0)),"No"))</f>
        <v/>
      </c>
      <c r="O289">
        <f>IF($C289="","",IFERROR(INDEX(tblCategories[Tax Tag],MATCH($K289,tblCategories[Category],0)),""))</f>
        <v/>
      </c>
      <c r="P289" s="20">
        <f>IF($C289="","",IF($G289=PersonA,1,IF($G289=PersonB,0,IFERROR(INDEX(tblCategories[Joint Split A],MATCH($K289,tblCategories[Category],0)),DefaultSplitA))))</f>
        <v/>
      </c>
      <c r="Q289" s="19">
        <f>IF($C289="","",ROUND($J289*N($P289),2))</f>
        <v/>
      </c>
      <c r="R289" s="19">
        <f>IF($C289="","",ROUND($J289-N($Q289),2))</f>
        <v/>
      </c>
      <c r="U289" t="inlineStr">
        <is>
          <t>sample-data</t>
        </is>
      </c>
      <c r="V289" t="inlineStr">
        <is>
          <t>SAMPLE</t>
        </is>
      </c>
      <c r="W289" t="inlineStr">
        <is>
          <t>D9A07A38</t>
        </is>
      </c>
      <c r="X289">
        <f>IF($C289="","",IFERROR(IF(_xlfn.ISFORMULA($K289),"Rule","Manual"),""))</f>
        <v/>
      </c>
      <c r="Y289" s="19">
        <f>IF($C289="","",IF(ReportView=PersonA,N($Q289),IF(ReportView=PersonB,N($R289),$J289)))</f>
        <v/>
      </c>
    </row>
    <row r="290">
      <c r="B290">
        <f>IF($C290="","","T"&amp;TEXT(ROW()-ROW(tblTxn[[#Headers],[Txn ID]]),"000000"))</f>
        <v/>
      </c>
      <c r="C290" s="18" t="n">
        <v>46243</v>
      </c>
      <c r="D290">
        <f>IF($C290="","",TEXT($C290,"yyyy-mm"))</f>
        <v/>
      </c>
      <c r="E290" t="inlineStr">
        <is>
          <t>Amex Cobalt (Joint)</t>
        </is>
      </c>
      <c r="F290">
        <f>IF($C290="","",IFERROR(INDEX(tblAccounts[Owner],MATCH($E290,tblAccounts[Account],0)),"Joint"))</f>
        <v/>
      </c>
      <c r="G290">
        <f>IF($C290="","",IF(HouseholdMode="Couple",IFERROR(IF(INDEX(tblCategories[Default Owner],MATCH($K290,tblCategories[Category],0))="",$F290,INDEX(tblCategories[Default Owner],MATCH($K290,tblCategories[Category],0))),$F290),$F290))</f>
        <v/>
      </c>
      <c r="H290" t="inlineStr">
        <is>
          <t>UBER TRIP HELP.UBER.COM ON</t>
        </is>
      </c>
      <c r="I290">
        <f>IF($H290="","",$H290)</f>
        <v/>
      </c>
      <c r="J290" s="19" t="n">
        <v>-32.37</v>
      </c>
      <c r="K290">
        <f>IF($H290="","",IFERROR(INDEX(tblRules[Category],SUMPRODUCT(MIN((1-((tblRules[Enabled]&lt;&gt;"No")*(tblRules[Pattern]&lt;&gt;"")*(tblRules[Category]&lt;&gt;"")*((tblRules[Flow]="Any")+(tblRules[Flow]="")+((tblRules[Flow]="Money out")*($J290&lt;0))+((tblRules[Flow]="Money in")*($J290&gt;0)))*(((tblRules[Look In]="Account")*ISNUMBER(SEARCH(tblRules[Pattern],$E290)))+((tblRules[Look In]&lt;&gt;"Account")*(((tblRules[Test]="Word")*ISNUMBER(SEARCH(" "&amp;tblRules[Pattern]&amp;" "," "&amp;$H290&amp;" ")))+((tblRules[Test]&lt;&gt;"Word")*ISNUMBER(SEARCH(tblRules[Pattern],$H290))))))&gt;0))*1E+9+ROW(tblRules[Pattern])))-ROW(tblRules[[#Headers],[Pattern]])),"Uncategorized"))</f>
        <v/>
      </c>
      <c r="L290">
        <f>IF($C290="","",IFERROR(INDEX(tblCategories[Group],MATCH($K290,tblCategories[Category],0)),"Other"))</f>
        <v/>
      </c>
      <c r="M290">
        <f>IF($C290="","",IFERROR(INDEX(tblCategories[Type],MATCH($K290,tblCategories[Category],0)),IF($J290&gt;0,"Income","Expense")))</f>
        <v/>
      </c>
      <c r="N290">
        <f>IF($C290="","",IFERROR(INDEX(tblCategories[Essential],MATCH($K290,tblCategories[Category],0)),"No"))</f>
        <v/>
      </c>
      <c r="O290">
        <f>IF($C290="","",IFERROR(INDEX(tblCategories[Tax Tag],MATCH($K290,tblCategories[Category],0)),""))</f>
        <v/>
      </c>
      <c r="P290" s="20">
        <f>IF($C290="","",IF($G290=PersonA,1,IF($G290=PersonB,0,IFERROR(INDEX(tblCategories[Joint Split A],MATCH($K290,tblCategories[Category],0)),DefaultSplitA))))</f>
        <v/>
      </c>
      <c r="Q290" s="19">
        <f>IF($C290="","",ROUND($J290*N($P290),2))</f>
        <v/>
      </c>
      <c r="R290" s="19">
        <f>IF($C290="","",ROUND($J290-N($Q290),2))</f>
        <v/>
      </c>
      <c r="U290" t="inlineStr">
        <is>
          <t>sample-data</t>
        </is>
      </c>
      <c r="V290" t="inlineStr">
        <is>
          <t>SAMPLE</t>
        </is>
      </c>
      <c r="W290" t="inlineStr">
        <is>
          <t>EE124597</t>
        </is>
      </c>
      <c r="X290">
        <f>IF($C290="","",IFERROR(IF(_xlfn.ISFORMULA($K290),"Rule","Manual"),""))</f>
        <v/>
      </c>
      <c r="Y290" s="19">
        <f>IF($C290="","",IF(ReportView=PersonA,N($Q290),IF(ReportView=PersonB,N($R290),$J290)))</f>
        <v/>
      </c>
    </row>
    <row r="291">
      <c r="B291">
        <f>IF($C291="","","T"&amp;TEXT(ROW()-ROW(tblTxn[[#Headers],[Txn ID]]),"000000"))</f>
        <v/>
      </c>
      <c r="C291" s="18" t="n">
        <v>46243</v>
      </c>
      <c r="D291">
        <f>IF($C291="","",TEXT($C291,"yyyy-mm"))</f>
        <v/>
      </c>
      <c r="E291" t="inlineStr">
        <is>
          <t>BMO Joint Chequing</t>
        </is>
      </c>
      <c r="F291">
        <f>IF($C291="","",IFERROR(INDEX(tblAccounts[Owner],MATCH($E291,tblAccounts[Account],0)),"Joint"))</f>
        <v/>
      </c>
      <c r="G291">
        <f>IF($C291="","",IF(HouseholdMode="Couple",IFERROR(IF(INDEX(tblCategories[Default Owner],MATCH($K291,tblCategories[Category],0))="",$F291,INDEX(tblCategories[Default Owner],MATCH($K291,tblCategories[Category],0))),$F291),$F291))</f>
        <v/>
      </c>
      <c r="H291" t="inlineStr">
        <is>
          <t>BROADVIEW DENTAL CENTRE</t>
        </is>
      </c>
      <c r="I291">
        <f>IF($H291="","",$H291)</f>
        <v/>
      </c>
      <c r="J291" s="19" t="n">
        <v>-297.46</v>
      </c>
      <c r="K291">
        <f>IF($H291="","",IFERROR(INDEX(tblRules[Category],SUMPRODUCT(MIN((1-((tblRules[Enabled]&lt;&gt;"No")*(tblRules[Pattern]&lt;&gt;"")*(tblRules[Category]&lt;&gt;"")*((tblRules[Flow]="Any")+(tblRules[Flow]="")+((tblRules[Flow]="Money out")*($J291&lt;0))+((tblRules[Flow]="Money in")*($J291&gt;0)))*(((tblRules[Look In]="Account")*ISNUMBER(SEARCH(tblRules[Pattern],$E291)))+((tblRules[Look In]&lt;&gt;"Account")*(((tblRules[Test]="Word")*ISNUMBER(SEARCH(" "&amp;tblRules[Pattern]&amp;" "," "&amp;$H291&amp;" ")))+((tblRules[Test]&lt;&gt;"Word")*ISNUMBER(SEARCH(tblRules[Pattern],$H291))))))&gt;0))*1E+9+ROW(tblRules[Pattern])))-ROW(tblRules[[#Headers],[Pattern]])),"Uncategorized"))</f>
        <v/>
      </c>
      <c r="L291">
        <f>IF($C291="","",IFERROR(INDEX(tblCategories[Group],MATCH($K291,tblCategories[Category],0)),"Other"))</f>
        <v/>
      </c>
      <c r="M291">
        <f>IF($C291="","",IFERROR(INDEX(tblCategories[Type],MATCH($K291,tblCategories[Category],0)),IF($J291&gt;0,"Income","Expense")))</f>
        <v/>
      </c>
      <c r="N291">
        <f>IF($C291="","",IFERROR(INDEX(tblCategories[Essential],MATCH($K291,tblCategories[Category],0)),"No"))</f>
        <v/>
      </c>
      <c r="O291">
        <f>IF($C291="","",IFERROR(INDEX(tblCategories[Tax Tag],MATCH($K291,tblCategories[Category],0)),""))</f>
        <v/>
      </c>
      <c r="P291" s="20">
        <f>IF($C291="","",IF($G291=PersonA,1,IF($G291=PersonB,0,IFERROR(INDEX(tblCategories[Joint Split A],MATCH($K291,tblCategories[Category],0)),DefaultSplitA))))</f>
        <v/>
      </c>
      <c r="Q291" s="19">
        <f>IF($C291="","",ROUND($J291*N($P291),2))</f>
        <v/>
      </c>
      <c r="R291" s="19">
        <f>IF($C291="","",ROUND($J291-N($Q291),2))</f>
        <v/>
      </c>
      <c r="U291" t="inlineStr">
        <is>
          <t>sample-data</t>
        </is>
      </c>
      <c r="V291" t="inlineStr">
        <is>
          <t>SAMPLE</t>
        </is>
      </c>
      <c r="W291" t="inlineStr">
        <is>
          <t>820CBF99</t>
        </is>
      </c>
      <c r="X291">
        <f>IF($C291="","",IFERROR(IF(_xlfn.ISFORMULA($K291),"Rule","Manual"),""))</f>
        <v/>
      </c>
      <c r="Y291" s="19">
        <f>IF($C291="","",IF(ReportView=PersonA,N($Q291),IF(ReportView=PersonB,N($R291),$J291)))</f>
        <v/>
      </c>
    </row>
    <row r="292">
      <c r="B292">
        <f>IF($C292="","","T"&amp;TEXT(ROW()-ROW(tblTxn[[#Headers],[Txn ID]]),"000000"))</f>
        <v/>
      </c>
      <c r="C292" s="18" t="n">
        <v>46243</v>
      </c>
      <c r="D292">
        <f>IF($C292="","",TEXT($C292,"yyyy-mm"))</f>
        <v/>
      </c>
      <c r="E292" t="inlineStr">
        <is>
          <t>BMO Joint Chequing</t>
        </is>
      </c>
      <c r="F292">
        <f>IF($C292="","",IFERROR(INDEX(tblAccounts[Owner],MATCH($E292,tblAccounts[Account],0)),"Joint"))</f>
        <v/>
      </c>
      <c r="G292">
        <f>IF($C292="","",IF(HouseholdMode="Couple",IFERROR(IF(INDEX(tblCategories[Default Owner],MATCH($K292,tblCategories[Category],0))="",$F292,INDEX(tblCategories[Default Owner],MATCH($K292,tblCategories[Category],0))),$F292),$F292))</f>
        <v/>
      </c>
      <c r="H292" t="inlineStr">
        <is>
          <t>ENBRIDGE GAS PREAUTHORIZED DEBIT</t>
        </is>
      </c>
      <c r="I292">
        <f>IF($H292="","",$H292)</f>
        <v/>
      </c>
      <c r="J292" s="19" t="n">
        <v>-49.37</v>
      </c>
      <c r="K292">
        <f>IF($H292="","",IFERROR(INDEX(tblRules[Category],SUMPRODUCT(MIN((1-((tblRules[Enabled]&lt;&gt;"No")*(tblRules[Pattern]&lt;&gt;"")*(tblRules[Category]&lt;&gt;"")*((tblRules[Flow]="Any")+(tblRules[Flow]="")+((tblRules[Flow]="Money out")*($J292&lt;0))+((tblRules[Flow]="Money in")*($J292&gt;0)))*(((tblRules[Look In]="Account")*ISNUMBER(SEARCH(tblRules[Pattern],$E292)))+((tblRules[Look In]&lt;&gt;"Account")*(((tblRules[Test]="Word")*ISNUMBER(SEARCH(" "&amp;tblRules[Pattern]&amp;" "," "&amp;$H292&amp;" ")))+((tblRules[Test]&lt;&gt;"Word")*ISNUMBER(SEARCH(tblRules[Pattern],$H292))))))&gt;0))*1E+9+ROW(tblRules[Pattern])))-ROW(tblRules[[#Headers],[Pattern]])),"Uncategorized"))</f>
        <v/>
      </c>
      <c r="L292">
        <f>IF($C292="","",IFERROR(INDEX(tblCategories[Group],MATCH($K292,tblCategories[Category],0)),"Other"))</f>
        <v/>
      </c>
      <c r="M292">
        <f>IF($C292="","",IFERROR(INDEX(tblCategories[Type],MATCH($K292,tblCategories[Category],0)),IF($J292&gt;0,"Income","Expense")))</f>
        <v/>
      </c>
      <c r="N292">
        <f>IF($C292="","",IFERROR(INDEX(tblCategories[Essential],MATCH($K292,tblCategories[Category],0)),"No"))</f>
        <v/>
      </c>
      <c r="O292">
        <f>IF($C292="","",IFERROR(INDEX(tblCategories[Tax Tag],MATCH($K292,tblCategories[Category],0)),""))</f>
        <v/>
      </c>
      <c r="P292" s="20">
        <f>IF($C292="","",IF($G292=PersonA,1,IF($G292=PersonB,0,IFERROR(INDEX(tblCategories[Joint Split A],MATCH($K292,tblCategories[Category],0)),DefaultSplitA))))</f>
        <v/>
      </c>
      <c r="Q292" s="19">
        <f>IF($C292="","",ROUND($J292*N($P292),2))</f>
        <v/>
      </c>
      <c r="R292" s="19">
        <f>IF($C292="","",ROUND($J292-N($Q292),2))</f>
        <v/>
      </c>
      <c r="U292" t="inlineStr">
        <is>
          <t>sample-data</t>
        </is>
      </c>
      <c r="V292" t="inlineStr">
        <is>
          <t>SAMPLE</t>
        </is>
      </c>
      <c r="W292" t="inlineStr">
        <is>
          <t>23328F7B</t>
        </is>
      </c>
      <c r="X292">
        <f>IF($C292="","",IFERROR(IF(_xlfn.ISFORMULA($K292),"Rule","Manual"),""))</f>
        <v/>
      </c>
      <c r="Y292" s="19">
        <f>IF($C292="","",IF(ReportView=PersonA,N($Q292),IF(ReportView=PersonB,N($R292),$J292)))</f>
        <v/>
      </c>
    </row>
    <row r="293">
      <c r="B293">
        <f>IF($C293="","","T"&amp;TEXT(ROW()-ROW(tblTxn[[#Headers],[Txn ID]]),"000000"))</f>
        <v/>
      </c>
      <c r="C293" s="18" t="n">
        <v>46243</v>
      </c>
      <c r="D293">
        <f>IF($C293="","",TEXT($C293,"yyyy-mm"))</f>
        <v/>
      </c>
      <c r="E293" t="inlineStr">
        <is>
          <t>BMO Joint Chequing</t>
        </is>
      </c>
      <c r="F293">
        <f>IF($C293="","",IFERROR(INDEX(tblAccounts[Owner],MATCH($E293,tblAccounts[Account],0)),"Joint"))</f>
        <v/>
      </c>
      <c r="G293">
        <f>IF($C293="","",IF(HouseholdMode="Couple",IFERROR(IF(INDEX(tblCategories[Default Owner],MATCH($K293,tblCategories[Category],0))="",$F293,INDEX(tblCategories[Default Owner],MATCH($K293,tblCategories[Category],0))),$F293),$F293))</f>
        <v/>
      </c>
      <c r="H293" t="inlineStr">
        <is>
          <t>IDP PURCHASE - 4220 COSTCO WHOLESALE #665 ON</t>
        </is>
      </c>
      <c r="I293">
        <f>IF($H293="","",$H293)</f>
        <v/>
      </c>
      <c r="J293" s="19" t="n">
        <v>-269.97</v>
      </c>
      <c r="K293">
        <f>IF($H293="","",IFERROR(INDEX(tblRules[Category],SUMPRODUCT(MIN((1-((tblRules[Enabled]&lt;&gt;"No")*(tblRules[Pattern]&lt;&gt;"")*(tblRules[Category]&lt;&gt;"")*((tblRules[Flow]="Any")+(tblRules[Flow]="")+((tblRules[Flow]="Money out")*($J293&lt;0))+((tblRules[Flow]="Money in")*($J293&gt;0)))*(((tblRules[Look In]="Account")*ISNUMBER(SEARCH(tblRules[Pattern],$E293)))+((tblRules[Look In]&lt;&gt;"Account")*(((tblRules[Test]="Word")*ISNUMBER(SEARCH(" "&amp;tblRules[Pattern]&amp;" "," "&amp;$H293&amp;" ")))+((tblRules[Test]&lt;&gt;"Word")*ISNUMBER(SEARCH(tblRules[Pattern],$H293))))))&gt;0))*1E+9+ROW(tblRules[Pattern])))-ROW(tblRules[[#Headers],[Pattern]])),"Uncategorized"))</f>
        <v/>
      </c>
      <c r="L293">
        <f>IF($C293="","",IFERROR(INDEX(tblCategories[Group],MATCH($K293,tblCategories[Category],0)),"Other"))</f>
        <v/>
      </c>
      <c r="M293">
        <f>IF($C293="","",IFERROR(INDEX(tblCategories[Type],MATCH($K293,tblCategories[Category],0)),IF($J293&gt;0,"Income","Expense")))</f>
        <v/>
      </c>
      <c r="N293">
        <f>IF($C293="","",IFERROR(INDEX(tblCategories[Essential],MATCH($K293,tblCategories[Category],0)),"No"))</f>
        <v/>
      </c>
      <c r="O293">
        <f>IF($C293="","",IFERROR(INDEX(tblCategories[Tax Tag],MATCH($K293,tblCategories[Category],0)),""))</f>
        <v/>
      </c>
      <c r="P293" s="20">
        <f>IF($C293="","",IF($G293=PersonA,1,IF($G293=PersonB,0,IFERROR(INDEX(tblCategories[Joint Split A],MATCH($K293,tblCategories[Category],0)),DefaultSplitA))))</f>
        <v/>
      </c>
      <c r="Q293" s="19">
        <f>IF($C293="","",ROUND($J293*N($P293),2))</f>
        <v/>
      </c>
      <c r="R293" s="19">
        <f>IF($C293="","",ROUND($J293-N($Q293),2))</f>
        <v/>
      </c>
      <c r="U293" t="inlineStr">
        <is>
          <t>sample-data</t>
        </is>
      </c>
      <c r="V293" t="inlineStr">
        <is>
          <t>SAMPLE</t>
        </is>
      </c>
      <c r="W293" t="inlineStr">
        <is>
          <t>0C0F6299</t>
        </is>
      </c>
      <c r="X293">
        <f>IF($C293="","",IFERROR(IF(_xlfn.ISFORMULA($K293),"Rule","Manual"),""))</f>
        <v/>
      </c>
      <c r="Y293" s="19">
        <f>IF($C293="","",IF(ReportView=PersonA,N($Q293),IF(ReportView=PersonB,N($R293),$J293)))</f>
        <v/>
      </c>
    </row>
    <row r="294">
      <c r="B294">
        <f>IF($C294="","","T"&amp;TEXT(ROW()-ROW(tblTxn[[#Headers],[Txn ID]]),"000000"))</f>
        <v/>
      </c>
      <c r="C294" s="18" t="n">
        <v>46245</v>
      </c>
      <c r="D294">
        <f>IF($C294="","",TEXT($C294,"yyyy-mm"))</f>
        <v/>
      </c>
      <c r="E294" t="inlineStr">
        <is>
          <t>Amex Cobalt (Joint)</t>
        </is>
      </c>
      <c r="F294">
        <f>IF($C294="","",IFERROR(INDEX(tblAccounts[Owner],MATCH($E294,tblAccounts[Account],0)),"Joint"))</f>
        <v/>
      </c>
      <c r="G294">
        <f>IF($C294="","",IF(HouseholdMode="Couple",IFERROR(IF(INDEX(tblCategories[Default Owner],MATCH($K294,tblCategories[Category],0))="",$F294,INDEX(tblCategories[Default Owner],MATCH($K294,tblCategories[Category],0))),$F294),$F294))</f>
        <v/>
      </c>
      <c r="H294" t="inlineStr">
        <is>
          <t>IDP PURCHASE - 5977 DOLLARAMA #2467 ON</t>
        </is>
      </c>
      <c r="I294">
        <f>IF($H294="","",$H294)</f>
        <v/>
      </c>
      <c r="J294" s="19" t="n">
        <v>-19.61</v>
      </c>
      <c r="K294">
        <f>IF($H294="","",IFERROR(INDEX(tblRules[Category],SUMPRODUCT(MIN((1-((tblRules[Enabled]&lt;&gt;"No")*(tblRules[Pattern]&lt;&gt;"")*(tblRules[Category]&lt;&gt;"")*((tblRules[Flow]="Any")+(tblRules[Flow]="")+((tblRules[Flow]="Money out")*($J294&lt;0))+((tblRules[Flow]="Money in")*($J294&gt;0)))*(((tblRules[Look In]="Account")*ISNUMBER(SEARCH(tblRules[Pattern],$E294)))+((tblRules[Look In]&lt;&gt;"Account")*(((tblRules[Test]="Word")*ISNUMBER(SEARCH(" "&amp;tblRules[Pattern]&amp;" "," "&amp;$H294&amp;" ")))+((tblRules[Test]&lt;&gt;"Word")*ISNUMBER(SEARCH(tblRules[Pattern],$H294))))))&gt;0))*1E+9+ROW(tblRules[Pattern])))-ROW(tblRules[[#Headers],[Pattern]])),"Uncategorized"))</f>
        <v/>
      </c>
      <c r="L294">
        <f>IF($C294="","",IFERROR(INDEX(tblCategories[Group],MATCH($K294,tblCategories[Category],0)),"Other"))</f>
        <v/>
      </c>
      <c r="M294">
        <f>IF($C294="","",IFERROR(INDEX(tblCategories[Type],MATCH($K294,tblCategories[Category],0)),IF($J294&gt;0,"Income","Expense")))</f>
        <v/>
      </c>
      <c r="N294">
        <f>IF($C294="","",IFERROR(INDEX(tblCategories[Essential],MATCH($K294,tblCategories[Category],0)),"No"))</f>
        <v/>
      </c>
      <c r="O294">
        <f>IF($C294="","",IFERROR(INDEX(tblCategories[Tax Tag],MATCH($K294,tblCategories[Category],0)),""))</f>
        <v/>
      </c>
      <c r="P294" s="20">
        <f>IF($C294="","",IF($G294=PersonA,1,IF($G294=PersonB,0,IFERROR(INDEX(tblCategories[Joint Split A],MATCH($K294,tblCategories[Category],0)),DefaultSplitA))))</f>
        <v/>
      </c>
      <c r="Q294" s="19">
        <f>IF($C294="","",ROUND($J294*N($P294),2))</f>
        <v/>
      </c>
      <c r="R294" s="19">
        <f>IF($C294="","",ROUND($J294-N($Q294),2))</f>
        <v/>
      </c>
      <c r="U294" t="inlineStr">
        <is>
          <t>sample-data</t>
        </is>
      </c>
      <c r="V294" t="inlineStr">
        <is>
          <t>SAMPLE</t>
        </is>
      </c>
      <c r="W294" t="inlineStr">
        <is>
          <t>7A2115E1</t>
        </is>
      </c>
      <c r="X294">
        <f>IF($C294="","",IFERROR(IF(_xlfn.ISFORMULA($K294),"Rule","Manual"),""))</f>
        <v/>
      </c>
      <c r="Y294" s="19">
        <f>IF($C294="","",IF(ReportView=PersonA,N($Q294),IF(ReportView=PersonB,N($R294),$J294)))</f>
        <v/>
      </c>
    </row>
    <row r="295">
      <c r="B295">
        <f>IF($C295="","","T"&amp;TEXT(ROW()-ROW(tblTxn[[#Headers],[Txn ID]]),"000000"))</f>
        <v/>
      </c>
      <c r="C295" s="18" t="n">
        <v>46245</v>
      </c>
      <c r="D295">
        <f>IF($C295="","",TEXT($C295,"yyyy-mm"))</f>
        <v/>
      </c>
      <c r="E295" t="inlineStr">
        <is>
          <t>BMO Joint Chequing</t>
        </is>
      </c>
      <c r="F295">
        <f>IF($C295="","",IFERROR(INDEX(tblAccounts[Owner],MATCH($E295,tblAccounts[Account],0)),"Joint"))</f>
        <v/>
      </c>
      <c r="G295">
        <f>IF($C295="","",IF(HouseholdMode="Couple",IFERROR(IF(INDEX(tblCategories[Default Owner],MATCH($K295,tblCategories[Category],0))="",$F295,INDEX(tblCategories[Default Owner],MATCH($K295,tblCategories[Category],0))),$F295),$F295))</f>
        <v/>
      </c>
      <c r="H295" t="inlineStr">
        <is>
          <t>IDP PURCHASE - 8623 LOBLAWS #4300 TORONTO ON</t>
        </is>
      </c>
      <c r="I295">
        <f>IF($H295="","",$H295)</f>
        <v/>
      </c>
      <c r="J295" s="19" t="n">
        <v>-90.87</v>
      </c>
      <c r="K295">
        <f>IF($H295="","",IFERROR(INDEX(tblRules[Category],SUMPRODUCT(MIN((1-((tblRules[Enabled]&lt;&gt;"No")*(tblRules[Pattern]&lt;&gt;"")*(tblRules[Category]&lt;&gt;"")*((tblRules[Flow]="Any")+(tblRules[Flow]="")+((tblRules[Flow]="Money out")*($J295&lt;0))+((tblRules[Flow]="Money in")*($J295&gt;0)))*(((tblRules[Look In]="Account")*ISNUMBER(SEARCH(tblRules[Pattern],$E295)))+((tblRules[Look In]&lt;&gt;"Account")*(((tblRules[Test]="Word")*ISNUMBER(SEARCH(" "&amp;tblRules[Pattern]&amp;" "," "&amp;$H295&amp;" ")))+((tblRules[Test]&lt;&gt;"Word")*ISNUMBER(SEARCH(tblRules[Pattern],$H295))))))&gt;0))*1E+9+ROW(tblRules[Pattern])))-ROW(tblRules[[#Headers],[Pattern]])),"Uncategorized"))</f>
        <v/>
      </c>
      <c r="L295">
        <f>IF($C295="","",IFERROR(INDEX(tblCategories[Group],MATCH($K295,tblCategories[Category],0)),"Other"))</f>
        <v/>
      </c>
      <c r="M295">
        <f>IF($C295="","",IFERROR(INDEX(tblCategories[Type],MATCH($K295,tblCategories[Category],0)),IF($J295&gt;0,"Income","Expense")))</f>
        <v/>
      </c>
      <c r="N295">
        <f>IF($C295="","",IFERROR(INDEX(tblCategories[Essential],MATCH($K295,tblCategories[Category],0)),"No"))</f>
        <v/>
      </c>
      <c r="O295">
        <f>IF($C295="","",IFERROR(INDEX(tblCategories[Tax Tag],MATCH($K295,tblCategories[Category],0)),""))</f>
        <v/>
      </c>
      <c r="P295" s="20">
        <f>IF($C295="","",IF($G295=PersonA,1,IF($G295=PersonB,0,IFERROR(INDEX(tblCategories[Joint Split A],MATCH($K295,tblCategories[Category],0)),DefaultSplitA))))</f>
        <v/>
      </c>
      <c r="Q295" s="19">
        <f>IF($C295="","",ROUND($J295*N($P295),2))</f>
        <v/>
      </c>
      <c r="R295" s="19">
        <f>IF($C295="","",ROUND($J295-N($Q295),2))</f>
        <v/>
      </c>
      <c r="U295" t="inlineStr">
        <is>
          <t>sample-data</t>
        </is>
      </c>
      <c r="V295" t="inlineStr">
        <is>
          <t>SAMPLE</t>
        </is>
      </c>
      <c r="W295" t="inlineStr">
        <is>
          <t>EBEB9D94</t>
        </is>
      </c>
      <c r="X295">
        <f>IF($C295="","",IFERROR(IF(_xlfn.ISFORMULA($K295),"Rule","Manual"),""))</f>
        <v/>
      </c>
      <c r="Y295" s="19">
        <f>IF($C295="","",IF(ReportView=PersonA,N($Q295),IF(ReportView=PersonB,N($R295),$J295)))</f>
        <v/>
      </c>
    </row>
    <row r="296">
      <c r="B296">
        <f>IF($C296="","","T"&amp;TEXT(ROW()-ROW(tblTxn[[#Headers],[Txn ID]]),"000000"))</f>
        <v/>
      </c>
      <c r="C296" s="18" t="n">
        <v>46245</v>
      </c>
      <c r="D296">
        <f>IF($C296="","",TEXT($C296,"yyyy-mm"))</f>
        <v/>
      </c>
      <c r="E296" t="inlineStr">
        <is>
          <t>RBC Chequing (Alex)</t>
        </is>
      </c>
      <c r="F296">
        <f>IF($C296="","",IFERROR(INDEX(tblAccounts[Owner],MATCH($E296,tblAccounts[Account],0)),"Joint"))</f>
        <v/>
      </c>
      <c r="G296">
        <f>IF($C296="","",IF(HouseholdMode="Couple",IFERROR(IF(INDEX(tblCategories[Default Owner],MATCH($K296,tblCategories[Category],0))="",$F296,INDEX(tblCategories[Default Owner],MATCH($K296,tblCategories[Category],0))),$F296),$F296))</f>
        <v/>
      </c>
      <c r="H296" t="inlineStr">
        <is>
          <t>ATM WITHDRAWAL 100 QUEEN ST W</t>
        </is>
      </c>
      <c r="I296">
        <f>IF($H296="","",$H296)</f>
        <v/>
      </c>
      <c r="J296" s="19" t="n">
        <v>-60</v>
      </c>
      <c r="K296">
        <f>IF($H296="","",IFERROR(INDEX(tblRules[Category],SUMPRODUCT(MIN((1-((tblRules[Enabled]&lt;&gt;"No")*(tblRules[Pattern]&lt;&gt;"")*(tblRules[Category]&lt;&gt;"")*((tblRules[Flow]="Any")+(tblRules[Flow]="")+((tblRules[Flow]="Money out")*($J296&lt;0))+((tblRules[Flow]="Money in")*($J296&gt;0)))*(((tblRules[Look In]="Account")*ISNUMBER(SEARCH(tblRules[Pattern],$E296)))+((tblRules[Look In]&lt;&gt;"Account")*(((tblRules[Test]="Word")*ISNUMBER(SEARCH(" "&amp;tblRules[Pattern]&amp;" "," "&amp;$H296&amp;" ")))+((tblRules[Test]&lt;&gt;"Word")*ISNUMBER(SEARCH(tblRules[Pattern],$H296))))))&gt;0))*1E+9+ROW(tblRules[Pattern])))-ROW(tblRules[[#Headers],[Pattern]])),"Uncategorized"))</f>
        <v/>
      </c>
      <c r="L296">
        <f>IF($C296="","",IFERROR(INDEX(tblCategories[Group],MATCH($K296,tblCategories[Category],0)),"Other"))</f>
        <v/>
      </c>
      <c r="M296">
        <f>IF($C296="","",IFERROR(INDEX(tblCategories[Type],MATCH($K296,tblCategories[Category],0)),IF($J296&gt;0,"Income","Expense")))</f>
        <v/>
      </c>
      <c r="N296">
        <f>IF($C296="","",IFERROR(INDEX(tblCategories[Essential],MATCH($K296,tblCategories[Category],0)),"No"))</f>
        <v/>
      </c>
      <c r="O296">
        <f>IF($C296="","",IFERROR(INDEX(tblCategories[Tax Tag],MATCH($K296,tblCategories[Category],0)),""))</f>
        <v/>
      </c>
      <c r="P296" s="20">
        <f>IF($C296="","",IF($G296=PersonA,1,IF($G296=PersonB,0,IFERROR(INDEX(tblCategories[Joint Split A],MATCH($K296,tblCategories[Category],0)),DefaultSplitA))))</f>
        <v/>
      </c>
      <c r="Q296" s="19">
        <f>IF($C296="","",ROUND($J296*N($P296),2))</f>
        <v/>
      </c>
      <c r="R296" s="19">
        <f>IF($C296="","",ROUND($J296-N($Q296),2))</f>
        <v/>
      </c>
      <c r="U296" t="inlineStr">
        <is>
          <t>sample-data</t>
        </is>
      </c>
      <c r="V296" t="inlineStr">
        <is>
          <t>SAMPLE</t>
        </is>
      </c>
      <c r="W296" t="inlineStr">
        <is>
          <t>93957306</t>
        </is>
      </c>
      <c r="X296">
        <f>IF($C296="","",IFERROR(IF(_xlfn.ISFORMULA($K296),"Rule","Manual"),""))</f>
        <v/>
      </c>
      <c r="Y296" s="19">
        <f>IF($C296="","",IF(ReportView=PersonA,N($Q296),IF(ReportView=PersonB,N($R296),$J296)))</f>
        <v/>
      </c>
    </row>
    <row r="297">
      <c r="B297">
        <f>IF($C297="","","T"&amp;TEXT(ROW()-ROW(tblTxn[[#Headers],[Txn ID]]),"000000"))</f>
        <v/>
      </c>
      <c r="C297" s="18" t="n">
        <v>46245</v>
      </c>
      <c r="D297">
        <f>IF($C297="","",TEXT($C297,"yyyy-mm"))</f>
        <v/>
      </c>
      <c r="E297" t="inlineStr">
        <is>
          <t>RBC Chequing (Alex)</t>
        </is>
      </c>
      <c r="F297">
        <f>IF($C297="","",IFERROR(INDEX(tblAccounts[Owner],MATCH($E297,tblAccounts[Account],0)),"Joint"))</f>
        <v/>
      </c>
      <c r="G297">
        <f>IF($C297="","",IF(HouseholdMode="Couple",IFERROR(IF(INDEX(tblCategories[Default Owner],MATCH($K297,tblCategories[Category],0))="",$F297,INDEX(tblCategories[Default Owner],MATCH($K297,tblCategories[Category],0))),$F297),$F297))</f>
        <v/>
      </c>
      <c r="H297" t="inlineStr">
        <is>
          <t>IDP PURCHASE - 6414 TIM HORTONS #3059 TORONTO ON</t>
        </is>
      </c>
      <c r="I297">
        <f>IF($H297="","",$H297)</f>
        <v/>
      </c>
      <c r="J297" s="19" t="n">
        <v>-7.39</v>
      </c>
      <c r="K297">
        <f>IF($H297="","",IFERROR(INDEX(tblRules[Category],SUMPRODUCT(MIN((1-((tblRules[Enabled]&lt;&gt;"No")*(tblRules[Pattern]&lt;&gt;"")*(tblRules[Category]&lt;&gt;"")*((tblRules[Flow]="Any")+(tblRules[Flow]="")+((tblRules[Flow]="Money out")*($J297&lt;0))+((tblRules[Flow]="Money in")*($J297&gt;0)))*(((tblRules[Look In]="Account")*ISNUMBER(SEARCH(tblRules[Pattern],$E297)))+((tblRules[Look In]&lt;&gt;"Account")*(((tblRules[Test]="Word")*ISNUMBER(SEARCH(" "&amp;tblRules[Pattern]&amp;" "," "&amp;$H297&amp;" ")))+((tblRules[Test]&lt;&gt;"Word")*ISNUMBER(SEARCH(tblRules[Pattern],$H297))))))&gt;0))*1E+9+ROW(tblRules[Pattern])))-ROW(tblRules[[#Headers],[Pattern]])),"Uncategorized"))</f>
        <v/>
      </c>
      <c r="L297">
        <f>IF($C297="","",IFERROR(INDEX(tblCategories[Group],MATCH($K297,tblCategories[Category],0)),"Other"))</f>
        <v/>
      </c>
      <c r="M297">
        <f>IF($C297="","",IFERROR(INDEX(tblCategories[Type],MATCH($K297,tblCategories[Category],0)),IF($J297&gt;0,"Income","Expense")))</f>
        <v/>
      </c>
      <c r="N297">
        <f>IF($C297="","",IFERROR(INDEX(tblCategories[Essential],MATCH($K297,tblCategories[Category],0)),"No"))</f>
        <v/>
      </c>
      <c r="O297">
        <f>IF($C297="","",IFERROR(INDEX(tblCategories[Tax Tag],MATCH($K297,tblCategories[Category],0)),""))</f>
        <v/>
      </c>
      <c r="P297" s="20">
        <f>IF($C297="","",IF($G297=PersonA,1,IF($G297=PersonB,0,IFERROR(INDEX(tblCategories[Joint Split A],MATCH($K297,tblCategories[Category],0)),DefaultSplitA))))</f>
        <v/>
      </c>
      <c r="Q297" s="19">
        <f>IF($C297="","",ROUND($J297*N($P297),2))</f>
        <v/>
      </c>
      <c r="R297" s="19">
        <f>IF($C297="","",ROUND($J297-N($Q297),2))</f>
        <v/>
      </c>
      <c r="U297" t="inlineStr">
        <is>
          <t>sample-data</t>
        </is>
      </c>
      <c r="V297" t="inlineStr">
        <is>
          <t>SAMPLE</t>
        </is>
      </c>
      <c r="W297" t="inlineStr">
        <is>
          <t>12DB2310</t>
        </is>
      </c>
      <c r="X297">
        <f>IF($C297="","",IFERROR(IF(_xlfn.ISFORMULA($K297),"Rule","Manual"),""))</f>
        <v/>
      </c>
      <c r="Y297" s="19">
        <f>IF($C297="","",IF(ReportView=PersonA,N($Q297),IF(ReportView=PersonB,N($R297),$J297)))</f>
        <v/>
      </c>
    </row>
    <row r="298">
      <c r="B298">
        <f>IF($C298="","","T"&amp;TEXT(ROW()-ROW(tblTxn[[#Headers],[Txn ID]]),"000000"))</f>
        <v/>
      </c>
      <c r="C298" s="18" t="n">
        <v>46245</v>
      </c>
      <c r="D298">
        <f>IF($C298="","",TEXT($C298,"yyyy-mm"))</f>
        <v/>
      </c>
      <c r="E298" t="inlineStr">
        <is>
          <t>Tangerine Chequing (Sam)</t>
        </is>
      </c>
      <c r="F298">
        <f>IF($C298="","",IFERROR(INDEX(tblAccounts[Owner],MATCH($E298,tblAccounts[Account],0)),"Joint"))</f>
        <v/>
      </c>
      <c r="G298">
        <f>IF($C298="","",IF(HouseholdMode="Couple",IFERROR(IF(INDEX(tblCategories[Default Owner],MATCH($K298,tblCategories[Category],0))="",$F298,INDEX(tblCategories[Default Owner],MATCH($K298,tblCategories[Category],0))),$F298),$F298))</f>
        <v/>
      </c>
      <c r="H298" t="inlineStr">
        <is>
          <t>IDP PURCHASE - 2534 LOBLAWS #2824 TORONTO ON</t>
        </is>
      </c>
      <c r="I298">
        <f>IF($H298="","",$H298)</f>
        <v/>
      </c>
      <c r="J298" s="19" t="n">
        <v>-160.96</v>
      </c>
      <c r="K298">
        <f>IF($H298="","",IFERROR(INDEX(tblRules[Category],SUMPRODUCT(MIN((1-((tblRules[Enabled]&lt;&gt;"No")*(tblRules[Pattern]&lt;&gt;"")*(tblRules[Category]&lt;&gt;"")*((tblRules[Flow]="Any")+(tblRules[Flow]="")+((tblRules[Flow]="Money out")*($J298&lt;0))+((tblRules[Flow]="Money in")*($J298&gt;0)))*(((tblRules[Look In]="Account")*ISNUMBER(SEARCH(tblRules[Pattern],$E298)))+((tblRules[Look In]&lt;&gt;"Account")*(((tblRules[Test]="Word")*ISNUMBER(SEARCH(" "&amp;tblRules[Pattern]&amp;" "," "&amp;$H298&amp;" ")))+((tblRules[Test]&lt;&gt;"Word")*ISNUMBER(SEARCH(tblRules[Pattern],$H298))))))&gt;0))*1E+9+ROW(tblRules[Pattern])))-ROW(tblRules[[#Headers],[Pattern]])),"Uncategorized"))</f>
        <v/>
      </c>
      <c r="L298">
        <f>IF($C298="","",IFERROR(INDEX(tblCategories[Group],MATCH($K298,tblCategories[Category],0)),"Other"))</f>
        <v/>
      </c>
      <c r="M298">
        <f>IF($C298="","",IFERROR(INDEX(tblCategories[Type],MATCH($K298,tblCategories[Category],0)),IF($J298&gt;0,"Income","Expense")))</f>
        <v/>
      </c>
      <c r="N298">
        <f>IF($C298="","",IFERROR(INDEX(tblCategories[Essential],MATCH($K298,tblCategories[Category],0)),"No"))</f>
        <v/>
      </c>
      <c r="O298">
        <f>IF($C298="","",IFERROR(INDEX(tblCategories[Tax Tag],MATCH($K298,tblCategories[Category],0)),""))</f>
        <v/>
      </c>
      <c r="P298" s="20">
        <f>IF($C298="","",IF($G298=PersonA,1,IF($G298=PersonB,0,IFERROR(INDEX(tblCategories[Joint Split A],MATCH($K298,tblCategories[Category],0)),DefaultSplitA))))</f>
        <v/>
      </c>
      <c r="Q298" s="19">
        <f>IF($C298="","",ROUND($J298*N($P298),2))</f>
        <v/>
      </c>
      <c r="R298" s="19">
        <f>IF($C298="","",ROUND($J298-N($Q298),2))</f>
        <v/>
      </c>
      <c r="U298" t="inlineStr">
        <is>
          <t>sample-data</t>
        </is>
      </c>
      <c r="V298" t="inlineStr">
        <is>
          <t>SAMPLE</t>
        </is>
      </c>
      <c r="W298" t="inlineStr">
        <is>
          <t>60C7FEE1</t>
        </is>
      </c>
      <c r="X298">
        <f>IF($C298="","",IFERROR(IF(_xlfn.ISFORMULA($K298),"Rule","Manual"),""))</f>
        <v/>
      </c>
      <c r="Y298" s="19">
        <f>IF($C298="","",IF(ReportView=PersonA,N($Q298),IF(ReportView=PersonB,N($R298),$J298)))</f>
        <v/>
      </c>
    </row>
    <row r="299">
      <c r="B299">
        <f>IF($C299="","","T"&amp;TEXT(ROW()-ROW(tblTxn[[#Headers],[Txn ID]]),"000000"))</f>
        <v/>
      </c>
      <c r="C299" s="18" t="n">
        <v>46246</v>
      </c>
      <c r="D299">
        <f>IF($C299="","",TEXT($C299,"yyyy-mm"))</f>
        <v/>
      </c>
      <c r="E299" t="inlineStr">
        <is>
          <t>BMO Joint Chequing</t>
        </is>
      </c>
      <c r="F299">
        <f>IF($C299="","",IFERROR(INDEX(tblAccounts[Owner],MATCH($E299,tblAccounts[Account],0)),"Joint"))</f>
        <v/>
      </c>
      <c r="G299">
        <f>IF($C299="","",IF(HouseholdMode="Couple",IFERROR(IF(INDEX(tblCategories[Default Owner],MATCH($K299,tblCategories[Category],0))="",$F299,INDEX(tblCategories[Default Owner],MATCH($K299,tblCategories[Category],0))),$F299),$F299))</f>
        <v/>
      </c>
      <c r="H299" t="inlineStr">
        <is>
          <t>ROGERS PREAUTHORIZED PAYMENT</t>
        </is>
      </c>
      <c r="I299">
        <f>IF($H299="","",$H299)</f>
        <v/>
      </c>
      <c r="J299" s="19" t="n">
        <v>-89.98999999999999</v>
      </c>
      <c r="K299">
        <f>IF($H299="","",IFERROR(INDEX(tblRules[Category],SUMPRODUCT(MIN((1-((tblRules[Enabled]&lt;&gt;"No")*(tblRules[Pattern]&lt;&gt;"")*(tblRules[Category]&lt;&gt;"")*((tblRules[Flow]="Any")+(tblRules[Flow]="")+((tblRules[Flow]="Money out")*($J299&lt;0))+((tblRules[Flow]="Money in")*($J299&gt;0)))*(((tblRules[Look In]="Account")*ISNUMBER(SEARCH(tblRules[Pattern],$E299)))+((tblRules[Look In]&lt;&gt;"Account")*(((tblRules[Test]="Word")*ISNUMBER(SEARCH(" "&amp;tblRules[Pattern]&amp;" "," "&amp;$H299&amp;" ")))+((tblRules[Test]&lt;&gt;"Word")*ISNUMBER(SEARCH(tblRules[Pattern],$H299))))))&gt;0))*1E+9+ROW(tblRules[Pattern])))-ROW(tblRules[[#Headers],[Pattern]])),"Uncategorized"))</f>
        <v/>
      </c>
      <c r="L299">
        <f>IF($C299="","",IFERROR(INDEX(tblCategories[Group],MATCH($K299,tblCategories[Category],0)),"Other"))</f>
        <v/>
      </c>
      <c r="M299">
        <f>IF($C299="","",IFERROR(INDEX(tblCategories[Type],MATCH($K299,tblCategories[Category],0)),IF($J299&gt;0,"Income","Expense")))</f>
        <v/>
      </c>
      <c r="N299">
        <f>IF($C299="","",IFERROR(INDEX(tblCategories[Essential],MATCH($K299,tblCategories[Category],0)),"No"))</f>
        <v/>
      </c>
      <c r="O299">
        <f>IF($C299="","",IFERROR(INDEX(tblCategories[Tax Tag],MATCH($K299,tblCategories[Category],0)),""))</f>
        <v/>
      </c>
      <c r="P299" s="20">
        <f>IF($C299="","",IF($G299=PersonA,1,IF($G299=PersonB,0,IFERROR(INDEX(tblCategories[Joint Split A],MATCH($K299,tblCategories[Category],0)),DefaultSplitA))))</f>
        <v/>
      </c>
      <c r="Q299" s="19">
        <f>IF($C299="","",ROUND($J299*N($P299),2))</f>
        <v/>
      </c>
      <c r="R299" s="19">
        <f>IF($C299="","",ROUND($J299-N($Q299),2))</f>
        <v/>
      </c>
      <c r="U299" t="inlineStr">
        <is>
          <t>sample-data</t>
        </is>
      </c>
      <c r="V299" t="inlineStr">
        <is>
          <t>SAMPLE</t>
        </is>
      </c>
      <c r="W299" t="inlineStr">
        <is>
          <t>D59324A8</t>
        </is>
      </c>
      <c r="X299">
        <f>IF($C299="","",IFERROR(IF(_xlfn.ISFORMULA($K299),"Rule","Manual"),""))</f>
        <v/>
      </c>
      <c r="Y299" s="19">
        <f>IF($C299="","",IF(ReportView=PersonA,N($Q299),IF(ReportView=PersonB,N($R299),$J299)))</f>
        <v/>
      </c>
    </row>
    <row r="300">
      <c r="B300">
        <f>IF($C300="","","T"&amp;TEXT(ROW()-ROW(tblTxn[[#Headers],[Txn ID]]),"000000"))</f>
        <v/>
      </c>
      <c r="C300" s="18" t="n">
        <v>46248</v>
      </c>
      <c r="D300">
        <f>IF($C300="","",TEXT($C300,"yyyy-mm"))</f>
        <v/>
      </c>
      <c r="E300" t="inlineStr">
        <is>
          <t>BMO Joint Chequing</t>
        </is>
      </c>
      <c r="F300">
        <f>IF($C300="","",IFERROR(INDEX(tblAccounts[Owner],MATCH($E300,tblAccounts[Account],0)),"Joint"))</f>
        <v/>
      </c>
      <c r="G300">
        <f>IF($C300="","",IF(HouseholdMode="Couple",IFERROR(IF(INDEX(tblCategories[Default Owner],MATCH($K300,tblCategories[Category],0))="",$F300,INDEX(tblCategories[Default Owner],MATCH($K300,tblCategories[Category],0))),$F300),$F300))</f>
        <v/>
      </c>
      <c r="H300" t="inlineStr">
        <is>
          <t>FREEDOM MOBILE PREAUTHORIZED DEBIT</t>
        </is>
      </c>
      <c r="I300">
        <f>IF($H300="","",$H300)</f>
        <v/>
      </c>
      <c r="J300" s="19" t="n">
        <v>-45</v>
      </c>
      <c r="K300">
        <f>IF($H300="","",IFERROR(INDEX(tblRules[Category],SUMPRODUCT(MIN((1-((tblRules[Enabled]&lt;&gt;"No")*(tblRules[Pattern]&lt;&gt;"")*(tblRules[Category]&lt;&gt;"")*((tblRules[Flow]="Any")+(tblRules[Flow]="")+((tblRules[Flow]="Money out")*($J300&lt;0))+((tblRules[Flow]="Money in")*($J300&gt;0)))*(((tblRules[Look In]="Account")*ISNUMBER(SEARCH(tblRules[Pattern],$E300)))+((tblRules[Look In]&lt;&gt;"Account")*(((tblRules[Test]="Word")*ISNUMBER(SEARCH(" "&amp;tblRules[Pattern]&amp;" "," "&amp;$H300&amp;" ")))+((tblRules[Test]&lt;&gt;"Word")*ISNUMBER(SEARCH(tblRules[Pattern],$H300))))))&gt;0))*1E+9+ROW(tblRules[Pattern])))-ROW(tblRules[[#Headers],[Pattern]])),"Uncategorized"))</f>
        <v/>
      </c>
      <c r="L300">
        <f>IF($C300="","",IFERROR(INDEX(tblCategories[Group],MATCH($K300,tblCategories[Category],0)),"Other"))</f>
        <v/>
      </c>
      <c r="M300">
        <f>IF($C300="","",IFERROR(INDEX(tblCategories[Type],MATCH($K300,tblCategories[Category],0)),IF($J300&gt;0,"Income","Expense")))</f>
        <v/>
      </c>
      <c r="N300">
        <f>IF($C300="","",IFERROR(INDEX(tblCategories[Essential],MATCH($K300,tblCategories[Category],0)),"No"))</f>
        <v/>
      </c>
      <c r="O300">
        <f>IF($C300="","",IFERROR(INDEX(tblCategories[Tax Tag],MATCH($K300,tblCategories[Category],0)),""))</f>
        <v/>
      </c>
      <c r="P300" s="20">
        <f>IF($C300="","",IF($G300=PersonA,1,IF($G300=PersonB,0,IFERROR(INDEX(tblCategories[Joint Split A],MATCH($K300,tblCategories[Category],0)),DefaultSplitA))))</f>
        <v/>
      </c>
      <c r="Q300" s="19">
        <f>IF($C300="","",ROUND($J300*N($P300),2))</f>
        <v/>
      </c>
      <c r="R300" s="19">
        <f>IF($C300="","",ROUND($J300-N($Q300),2))</f>
        <v/>
      </c>
      <c r="U300" t="inlineStr">
        <is>
          <t>sample-data</t>
        </is>
      </c>
      <c r="V300" t="inlineStr">
        <is>
          <t>SAMPLE</t>
        </is>
      </c>
      <c r="W300" t="inlineStr">
        <is>
          <t>257D9EB8</t>
        </is>
      </c>
      <c r="X300">
        <f>IF($C300="","",IFERROR(IF(_xlfn.ISFORMULA($K300),"Rule","Manual"),""))</f>
        <v/>
      </c>
      <c r="Y300" s="19">
        <f>IF($C300="","",IF(ReportView=PersonA,N($Q300),IF(ReportView=PersonB,N($R300),$J300)))</f>
        <v/>
      </c>
    </row>
    <row r="301">
      <c r="B301">
        <f>IF($C301="","","T"&amp;TEXT(ROW()-ROW(tblTxn[[#Headers],[Txn ID]]),"000000"))</f>
        <v/>
      </c>
      <c r="C301" s="18" t="n">
        <v>46248</v>
      </c>
      <c r="D301">
        <f>IF($C301="","",TEXT($C301,"yyyy-mm"))</f>
        <v/>
      </c>
      <c r="E301" t="inlineStr">
        <is>
          <t>Tangerine Chequing (Sam)</t>
        </is>
      </c>
      <c r="F301">
        <f>IF($C301="","",IFERROR(INDEX(tblAccounts[Owner],MATCH($E301,tblAccounts[Account],0)),"Joint"))</f>
        <v/>
      </c>
      <c r="G301">
        <f>IF($C301="","",IF(HouseholdMode="Couple",IFERROR(IF(INDEX(tblCategories[Default Owner],MATCH($K301,tblCategories[Category],0))="",$F301,INDEX(tblCategories[Default Owner],MATCH($K301,tblCategories[Category],0))),$F301),$F301))</f>
        <v/>
      </c>
      <c r="H301" t="inlineStr">
        <is>
          <t>IDP PURCHASE - 4785 STARBUCKS #3364 TORONTO ON</t>
        </is>
      </c>
      <c r="I301">
        <f>IF($H301="","",$H301)</f>
        <v/>
      </c>
      <c r="J301" s="19" t="n">
        <v>-9.27</v>
      </c>
      <c r="K301">
        <f>IF($H301="","",IFERROR(INDEX(tblRules[Category],SUMPRODUCT(MIN((1-((tblRules[Enabled]&lt;&gt;"No")*(tblRules[Pattern]&lt;&gt;"")*(tblRules[Category]&lt;&gt;"")*((tblRules[Flow]="Any")+(tblRules[Flow]="")+((tblRules[Flow]="Money out")*($J301&lt;0))+((tblRules[Flow]="Money in")*($J301&gt;0)))*(((tblRules[Look In]="Account")*ISNUMBER(SEARCH(tblRules[Pattern],$E301)))+((tblRules[Look In]&lt;&gt;"Account")*(((tblRules[Test]="Word")*ISNUMBER(SEARCH(" "&amp;tblRules[Pattern]&amp;" "," "&amp;$H301&amp;" ")))+((tblRules[Test]&lt;&gt;"Word")*ISNUMBER(SEARCH(tblRules[Pattern],$H301))))))&gt;0))*1E+9+ROW(tblRules[Pattern])))-ROW(tblRules[[#Headers],[Pattern]])),"Uncategorized"))</f>
        <v/>
      </c>
      <c r="L301">
        <f>IF($C301="","",IFERROR(INDEX(tblCategories[Group],MATCH($K301,tblCategories[Category],0)),"Other"))</f>
        <v/>
      </c>
      <c r="M301">
        <f>IF($C301="","",IFERROR(INDEX(tblCategories[Type],MATCH($K301,tblCategories[Category],0)),IF($J301&gt;0,"Income","Expense")))</f>
        <v/>
      </c>
      <c r="N301">
        <f>IF($C301="","",IFERROR(INDEX(tblCategories[Essential],MATCH($K301,tblCategories[Category],0)),"No"))</f>
        <v/>
      </c>
      <c r="O301">
        <f>IF($C301="","",IFERROR(INDEX(tblCategories[Tax Tag],MATCH($K301,tblCategories[Category],0)),""))</f>
        <v/>
      </c>
      <c r="P301" s="20">
        <f>IF($C301="","",IF($G301=PersonA,1,IF($G301=PersonB,0,IFERROR(INDEX(tblCategories[Joint Split A],MATCH($K301,tblCategories[Category],0)),DefaultSplitA))))</f>
        <v/>
      </c>
      <c r="Q301" s="19">
        <f>IF($C301="","",ROUND($J301*N($P301),2))</f>
        <v/>
      </c>
      <c r="R301" s="19">
        <f>IF($C301="","",ROUND($J301-N($Q301),2))</f>
        <v/>
      </c>
      <c r="U301" t="inlineStr">
        <is>
          <t>sample-data</t>
        </is>
      </c>
      <c r="V301" t="inlineStr">
        <is>
          <t>SAMPLE</t>
        </is>
      </c>
      <c r="W301" t="inlineStr">
        <is>
          <t>63A6385A</t>
        </is>
      </c>
      <c r="X301">
        <f>IF($C301="","",IFERROR(IF(_xlfn.ISFORMULA($K301),"Rule","Manual"),""))</f>
        <v/>
      </c>
      <c r="Y301" s="19">
        <f>IF($C301="","",IF(ReportView=PersonA,N($Q301),IF(ReportView=PersonB,N($R301),$J301)))</f>
        <v/>
      </c>
    </row>
    <row r="302">
      <c r="B302">
        <f>IF($C302="","","T"&amp;TEXT(ROW()-ROW(tblTxn[[#Headers],[Txn ID]]),"000000"))</f>
        <v/>
      </c>
      <c r="C302" s="18" t="n">
        <v>46249</v>
      </c>
      <c r="D302">
        <f>IF($C302="","",TEXT($C302,"yyyy-mm"))</f>
        <v/>
      </c>
      <c r="E302" t="inlineStr">
        <is>
          <t>RBC Chequing (Alex)</t>
        </is>
      </c>
      <c r="F302">
        <f>IF($C302="","",IFERROR(INDEX(tblAccounts[Owner],MATCH($E302,tblAccounts[Account],0)),"Joint"))</f>
        <v/>
      </c>
      <c r="G302">
        <f>IF($C302="","",IF(HouseholdMode="Couple",IFERROR(IF(INDEX(tblCategories[Default Owner],MATCH($K302,tblCategories[Category],0))="",$F302,INDEX(tblCategories[Default Owner],MATCH($K302,tblCategories[Category],0))),$F302),$F302))</f>
        <v/>
      </c>
      <c r="H302" t="inlineStr">
        <is>
          <t>PAYROLL DEPOSIT NORTHWIND LOGISTICS</t>
        </is>
      </c>
      <c r="I302">
        <f>IF($H302="","",$H302)</f>
        <v/>
      </c>
      <c r="J302" s="19" t="n">
        <v>2486.18</v>
      </c>
      <c r="K302">
        <f>IF($H302="","",IFERROR(INDEX(tblRules[Category],SUMPRODUCT(MIN((1-((tblRules[Enabled]&lt;&gt;"No")*(tblRules[Pattern]&lt;&gt;"")*(tblRules[Category]&lt;&gt;"")*((tblRules[Flow]="Any")+(tblRules[Flow]="")+((tblRules[Flow]="Money out")*($J302&lt;0))+((tblRules[Flow]="Money in")*($J302&gt;0)))*(((tblRules[Look In]="Account")*ISNUMBER(SEARCH(tblRules[Pattern],$E302)))+((tblRules[Look In]&lt;&gt;"Account")*(((tblRules[Test]="Word")*ISNUMBER(SEARCH(" "&amp;tblRules[Pattern]&amp;" "," "&amp;$H302&amp;" ")))+((tblRules[Test]&lt;&gt;"Word")*ISNUMBER(SEARCH(tblRules[Pattern],$H302))))))&gt;0))*1E+9+ROW(tblRules[Pattern])))-ROW(tblRules[[#Headers],[Pattern]])),"Uncategorized"))</f>
        <v/>
      </c>
      <c r="L302">
        <f>IF($C302="","",IFERROR(INDEX(tblCategories[Group],MATCH($K302,tblCategories[Category],0)),"Other"))</f>
        <v/>
      </c>
      <c r="M302">
        <f>IF($C302="","",IFERROR(INDEX(tblCategories[Type],MATCH($K302,tblCategories[Category],0)),IF($J302&gt;0,"Income","Expense")))</f>
        <v/>
      </c>
      <c r="N302">
        <f>IF($C302="","",IFERROR(INDEX(tblCategories[Essential],MATCH($K302,tblCategories[Category],0)),"No"))</f>
        <v/>
      </c>
      <c r="O302">
        <f>IF($C302="","",IFERROR(INDEX(tblCategories[Tax Tag],MATCH($K302,tblCategories[Category],0)),""))</f>
        <v/>
      </c>
      <c r="P302" s="20">
        <f>IF($C302="","",IF($G302=PersonA,1,IF($G302=PersonB,0,IFERROR(INDEX(tblCategories[Joint Split A],MATCH($K302,tblCategories[Category],0)),DefaultSplitA))))</f>
        <v/>
      </c>
      <c r="Q302" s="19">
        <f>IF($C302="","",ROUND($J302*N($P302),2))</f>
        <v/>
      </c>
      <c r="R302" s="19">
        <f>IF($C302="","",ROUND($J302-N($Q302),2))</f>
        <v/>
      </c>
      <c r="U302" t="inlineStr">
        <is>
          <t>sample-data</t>
        </is>
      </c>
      <c r="V302" t="inlineStr">
        <is>
          <t>SAMPLE</t>
        </is>
      </c>
      <c r="W302" t="inlineStr">
        <is>
          <t>A65766FB</t>
        </is>
      </c>
      <c r="X302">
        <f>IF($C302="","",IFERROR(IF(_xlfn.ISFORMULA($K302),"Rule","Manual"),""))</f>
        <v/>
      </c>
      <c r="Y302" s="19">
        <f>IF($C302="","",IF(ReportView=PersonA,N($Q302),IF(ReportView=PersonB,N($R302),$J302)))</f>
        <v/>
      </c>
    </row>
    <row r="303">
      <c r="B303">
        <f>IF($C303="","","T"&amp;TEXT(ROW()-ROW(tblTxn[[#Headers],[Txn ID]]),"000000"))</f>
        <v/>
      </c>
      <c r="C303" s="18" t="n">
        <v>46249</v>
      </c>
      <c r="D303">
        <f>IF($C303="","",TEXT($C303,"yyyy-mm"))</f>
        <v/>
      </c>
      <c r="E303" t="inlineStr">
        <is>
          <t>Tangerine Chequing (Sam)</t>
        </is>
      </c>
      <c r="F303">
        <f>IF($C303="","",IFERROR(INDEX(tblAccounts[Owner],MATCH($E303,tblAccounts[Account],0)),"Joint"))</f>
        <v/>
      </c>
      <c r="G303">
        <f>IF($C303="","",IF(HouseholdMode="Couple",IFERROR(IF(INDEX(tblCategories[Default Owner],MATCH($K303,tblCategories[Category],0))="",$F303,INDEX(tblCategories[Default Owner],MATCH($K303,tblCategories[Category],0))),$F303),$F303))</f>
        <v/>
      </c>
      <c r="H303" t="inlineStr">
        <is>
          <t>IDP PURCHASE - 5428 TIM HORTONS #4035 TORONTO ON</t>
        </is>
      </c>
      <c r="I303">
        <f>IF($H303="","",$H303)</f>
        <v/>
      </c>
      <c r="J303" s="19" t="n">
        <v>-12.38</v>
      </c>
      <c r="K303">
        <f>IF($H303="","",IFERROR(INDEX(tblRules[Category],SUMPRODUCT(MIN((1-((tblRules[Enabled]&lt;&gt;"No")*(tblRules[Pattern]&lt;&gt;"")*(tblRules[Category]&lt;&gt;"")*((tblRules[Flow]="Any")+(tblRules[Flow]="")+((tblRules[Flow]="Money out")*($J303&lt;0))+((tblRules[Flow]="Money in")*($J303&gt;0)))*(((tblRules[Look In]="Account")*ISNUMBER(SEARCH(tblRules[Pattern],$E303)))+((tblRules[Look In]&lt;&gt;"Account")*(((tblRules[Test]="Word")*ISNUMBER(SEARCH(" "&amp;tblRules[Pattern]&amp;" "," "&amp;$H303&amp;" ")))+((tblRules[Test]&lt;&gt;"Word")*ISNUMBER(SEARCH(tblRules[Pattern],$H303))))))&gt;0))*1E+9+ROW(tblRules[Pattern])))-ROW(tblRules[[#Headers],[Pattern]])),"Uncategorized"))</f>
        <v/>
      </c>
      <c r="L303">
        <f>IF($C303="","",IFERROR(INDEX(tblCategories[Group],MATCH($K303,tblCategories[Category],0)),"Other"))</f>
        <v/>
      </c>
      <c r="M303">
        <f>IF($C303="","",IFERROR(INDEX(tblCategories[Type],MATCH($K303,tblCategories[Category],0)),IF($J303&gt;0,"Income","Expense")))</f>
        <v/>
      </c>
      <c r="N303">
        <f>IF($C303="","",IFERROR(INDEX(tblCategories[Essential],MATCH($K303,tblCategories[Category],0)),"No"))</f>
        <v/>
      </c>
      <c r="O303">
        <f>IF($C303="","",IFERROR(INDEX(tblCategories[Tax Tag],MATCH($K303,tblCategories[Category],0)),""))</f>
        <v/>
      </c>
      <c r="P303" s="20">
        <f>IF($C303="","",IF($G303=PersonA,1,IF($G303=PersonB,0,IFERROR(INDEX(tblCategories[Joint Split A],MATCH($K303,tblCategories[Category],0)),DefaultSplitA))))</f>
        <v/>
      </c>
      <c r="Q303" s="19">
        <f>IF($C303="","",ROUND($J303*N($P303),2))</f>
        <v/>
      </c>
      <c r="R303" s="19">
        <f>IF($C303="","",ROUND($J303-N($Q303),2))</f>
        <v/>
      </c>
      <c r="U303" t="inlineStr">
        <is>
          <t>sample-data</t>
        </is>
      </c>
      <c r="V303" t="inlineStr">
        <is>
          <t>SAMPLE</t>
        </is>
      </c>
      <c r="W303" t="inlineStr">
        <is>
          <t>DED54959</t>
        </is>
      </c>
      <c r="X303">
        <f>IF($C303="","",IFERROR(IF(_xlfn.ISFORMULA($K303),"Rule","Manual"),""))</f>
        <v/>
      </c>
      <c r="Y303" s="19">
        <f>IF($C303="","",IF(ReportView=PersonA,N($Q303),IF(ReportView=PersonB,N($R303),$J303)))</f>
        <v/>
      </c>
    </row>
    <row r="304">
      <c r="B304">
        <f>IF($C304="","","T"&amp;TEXT(ROW()-ROW(tblTxn[[#Headers],[Txn ID]]),"000000"))</f>
        <v/>
      </c>
      <c r="C304" s="18" t="n">
        <v>46249</v>
      </c>
      <c r="D304">
        <f>IF($C304="","",TEXT($C304,"yyyy-mm"))</f>
        <v/>
      </c>
      <c r="E304" t="inlineStr">
        <is>
          <t>Tangerine Chequing (Sam)</t>
        </is>
      </c>
      <c r="F304">
        <f>IF($C304="","",IFERROR(INDEX(tblAccounts[Owner],MATCH($E304,tblAccounts[Account],0)),"Joint"))</f>
        <v/>
      </c>
      <c r="G304">
        <f>IF($C304="","",IF(HouseholdMode="Couple",IFERROR(IF(INDEX(tblCategories[Default Owner],MATCH($K304,tblCategories[Category],0))="",$F304,INDEX(tblCategories[Default Owner],MATCH($K304,tblCategories[Category],0))),$F304),$F304))</f>
        <v/>
      </c>
      <c r="H304" t="inlineStr">
        <is>
          <t>PAYROLL DEPOSIT MAPLE HEALTH GROUP</t>
        </is>
      </c>
      <c r="I304">
        <f>IF($H304="","",$H304)</f>
        <v/>
      </c>
      <c r="J304" s="19" t="n">
        <v>1978.44</v>
      </c>
      <c r="K304">
        <f>IF($H304="","",IFERROR(INDEX(tblRules[Category],SUMPRODUCT(MIN((1-((tblRules[Enabled]&lt;&gt;"No")*(tblRules[Pattern]&lt;&gt;"")*(tblRules[Category]&lt;&gt;"")*((tblRules[Flow]="Any")+(tblRules[Flow]="")+((tblRules[Flow]="Money out")*($J304&lt;0))+((tblRules[Flow]="Money in")*($J304&gt;0)))*(((tblRules[Look In]="Account")*ISNUMBER(SEARCH(tblRules[Pattern],$E304)))+((tblRules[Look In]&lt;&gt;"Account")*(((tblRules[Test]="Word")*ISNUMBER(SEARCH(" "&amp;tblRules[Pattern]&amp;" "," "&amp;$H304&amp;" ")))+((tblRules[Test]&lt;&gt;"Word")*ISNUMBER(SEARCH(tblRules[Pattern],$H304))))))&gt;0))*1E+9+ROW(tblRules[Pattern])))-ROW(tblRules[[#Headers],[Pattern]])),"Uncategorized"))</f>
        <v/>
      </c>
      <c r="L304">
        <f>IF($C304="","",IFERROR(INDEX(tblCategories[Group],MATCH($K304,tblCategories[Category],0)),"Other"))</f>
        <v/>
      </c>
      <c r="M304">
        <f>IF($C304="","",IFERROR(INDEX(tblCategories[Type],MATCH($K304,tblCategories[Category],0)),IF($J304&gt;0,"Income","Expense")))</f>
        <v/>
      </c>
      <c r="N304">
        <f>IF($C304="","",IFERROR(INDEX(tblCategories[Essential],MATCH($K304,tblCategories[Category],0)),"No"))</f>
        <v/>
      </c>
      <c r="O304">
        <f>IF($C304="","",IFERROR(INDEX(tblCategories[Tax Tag],MATCH($K304,tblCategories[Category],0)),""))</f>
        <v/>
      </c>
      <c r="P304" s="20">
        <f>IF($C304="","",IF($G304=PersonA,1,IF($G304=PersonB,0,IFERROR(INDEX(tblCategories[Joint Split A],MATCH($K304,tblCategories[Category],0)),DefaultSplitA))))</f>
        <v/>
      </c>
      <c r="Q304" s="19">
        <f>IF($C304="","",ROUND($J304*N($P304),2))</f>
        <v/>
      </c>
      <c r="R304" s="19">
        <f>IF($C304="","",ROUND($J304-N($Q304),2))</f>
        <v/>
      </c>
      <c r="U304" t="inlineStr">
        <is>
          <t>sample-data</t>
        </is>
      </c>
      <c r="V304" t="inlineStr">
        <is>
          <t>SAMPLE</t>
        </is>
      </c>
      <c r="W304" t="inlineStr">
        <is>
          <t>DC123C3C</t>
        </is>
      </c>
      <c r="X304">
        <f>IF($C304="","",IFERROR(IF(_xlfn.ISFORMULA($K304),"Rule","Manual"),""))</f>
        <v/>
      </c>
      <c r="Y304" s="19">
        <f>IF($C304="","",IF(ReportView=PersonA,N($Q304),IF(ReportView=PersonB,N($R304),$J304)))</f>
        <v/>
      </c>
    </row>
    <row r="305">
      <c r="B305">
        <f>IF($C305="","","T"&amp;TEXT(ROW()-ROW(tblTxn[[#Headers],[Txn ID]]),"000000"))</f>
        <v/>
      </c>
      <c r="C305" s="18" t="n">
        <v>46250</v>
      </c>
      <c r="D305">
        <f>IF($C305="","",TEXT($C305,"yyyy-mm"))</f>
        <v/>
      </c>
      <c r="E305" t="inlineStr">
        <is>
          <t>Amex Cobalt (Joint)</t>
        </is>
      </c>
      <c r="F305">
        <f>IF($C305="","",IFERROR(INDEX(tblAccounts[Owner],MATCH($E305,tblAccounts[Account],0)),"Joint"))</f>
        <v/>
      </c>
      <c r="G305">
        <f>IF($C305="","",IF(HouseholdMode="Couple",IFERROR(IF(INDEX(tblCategories[Default Owner],MATCH($K305,tblCategories[Category],0))="",$F305,INDEX(tblCategories[Default Owner],MATCH($K305,tblCategories[Category],0))),$F305),$F305))</f>
        <v/>
      </c>
      <c r="H305" t="inlineStr">
        <is>
          <t>IDP PURCHASE - 6757 TIM HORTONS #490 TORONTO ON</t>
        </is>
      </c>
      <c r="I305">
        <f>IF($H305="","",$H305)</f>
        <v/>
      </c>
      <c r="J305" s="19" t="n">
        <v>-5.67</v>
      </c>
      <c r="K305">
        <f>IF($H305="","",IFERROR(INDEX(tblRules[Category],SUMPRODUCT(MIN((1-((tblRules[Enabled]&lt;&gt;"No")*(tblRules[Pattern]&lt;&gt;"")*(tblRules[Category]&lt;&gt;"")*((tblRules[Flow]="Any")+(tblRules[Flow]="")+((tblRules[Flow]="Money out")*($J305&lt;0))+((tblRules[Flow]="Money in")*($J305&gt;0)))*(((tblRules[Look In]="Account")*ISNUMBER(SEARCH(tblRules[Pattern],$E305)))+((tblRules[Look In]&lt;&gt;"Account")*(((tblRules[Test]="Word")*ISNUMBER(SEARCH(" "&amp;tblRules[Pattern]&amp;" "," "&amp;$H305&amp;" ")))+((tblRules[Test]&lt;&gt;"Word")*ISNUMBER(SEARCH(tblRules[Pattern],$H305))))))&gt;0))*1E+9+ROW(tblRules[Pattern])))-ROW(tblRules[[#Headers],[Pattern]])),"Uncategorized"))</f>
        <v/>
      </c>
      <c r="L305">
        <f>IF($C305="","",IFERROR(INDEX(tblCategories[Group],MATCH($K305,tblCategories[Category],0)),"Other"))</f>
        <v/>
      </c>
      <c r="M305">
        <f>IF($C305="","",IFERROR(INDEX(tblCategories[Type],MATCH($K305,tblCategories[Category],0)),IF($J305&gt;0,"Income","Expense")))</f>
        <v/>
      </c>
      <c r="N305">
        <f>IF($C305="","",IFERROR(INDEX(tblCategories[Essential],MATCH($K305,tblCategories[Category],0)),"No"))</f>
        <v/>
      </c>
      <c r="O305">
        <f>IF($C305="","",IFERROR(INDEX(tblCategories[Tax Tag],MATCH($K305,tblCategories[Category],0)),""))</f>
        <v/>
      </c>
      <c r="P305" s="20">
        <f>IF($C305="","",IF($G305=PersonA,1,IF($G305=PersonB,0,IFERROR(INDEX(tblCategories[Joint Split A],MATCH($K305,tblCategories[Category],0)),DefaultSplitA))))</f>
        <v/>
      </c>
      <c r="Q305" s="19">
        <f>IF($C305="","",ROUND($J305*N($P305),2))</f>
        <v/>
      </c>
      <c r="R305" s="19">
        <f>IF($C305="","",ROUND($J305-N($Q305),2))</f>
        <v/>
      </c>
      <c r="U305" t="inlineStr">
        <is>
          <t>sample-data</t>
        </is>
      </c>
      <c r="V305" t="inlineStr">
        <is>
          <t>SAMPLE</t>
        </is>
      </c>
      <c r="W305" t="inlineStr">
        <is>
          <t>EB60EB3F</t>
        </is>
      </c>
      <c r="X305">
        <f>IF($C305="","",IFERROR(IF(_xlfn.ISFORMULA($K305),"Rule","Manual"),""))</f>
        <v/>
      </c>
      <c r="Y305" s="19">
        <f>IF($C305="","",IF(ReportView=PersonA,N($Q305),IF(ReportView=PersonB,N($R305),$J305)))</f>
        <v/>
      </c>
    </row>
    <row r="306">
      <c r="B306">
        <f>IF($C306="","","T"&amp;TEXT(ROW()-ROW(tblTxn[[#Headers],[Txn ID]]),"000000"))</f>
        <v/>
      </c>
      <c r="C306" s="18" t="n">
        <v>46250</v>
      </c>
      <c r="D306">
        <f>IF($C306="","",TEXT($C306,"yyyy-mm"))</f>
        <v/>
      </c>
      <c r="E306" t="inlineStr">
        <is>
          <t>BMO Joint Chequing</t>
        </is>
      </c>
      <c r="F306">
        <f>IF($C306="","",IFERROR(INDEX(tblAccounts[Owner],MATCH($E306,tblAccounts[Account],0)),"Joint"))</f>
        <v/>
      </c>
      <c r="G306">
        <f>IF($C306="","",IF(HouseholdMode="Couple",IFERROR(IF(INDEX(tblCategories[Default Owner],MATCH($K306,tblCategories[Category],0))="",$F306,INDEX(tblCategories[Default Owner],MATCH($K306,tblCategories[Category],0))),$F306),$F306))</f>
        <v/>
      </c>
      <c r="H306" t="inlineStr">
        <is>
          <t>NETFLIX.COM MISC PAYMENT</t>
        </is>
      </c>
      <c r="I306">
        <f>IF($H306="","",$H306)</f>
        <v/>
      </c>
      <c r="J306" s="19" t="n">
        <v>-22.99</v>
      </c>
      <c r="K306">
        <f>IF($H306="","",IFERROR(INDEX(tblRules[Category],SUMPRODUCT(MIN((1-((tblRules[Enabled]&lt;&gt;"No")*(tblRules[Pattern]&lt;&gt;"")*(tblRules[Category]&lt;&gt;"")*((tblRules[Flow]="Any")+(tblRules[Flow]="")+((tblRules[Flow]="Money out")*($J306&lt;0))+((tblRules[Flow]="Money in")*($J306&gt;0)))*(((tblRules[Look In]="Account")*ISNUMBER(SEARCH(tblRules[Pattern],$E306)))+((tblRules[Look In]&lt;&gt;"Account")*(((tblRules[Test]="Word")*ISNUMBER(SEARCH(" "&amp;tblRules[Pattern]&amp;" "," "&amp;$H306&amp;" ")))+((tblRules[Test]&lt;&gt;"Word")*ISNUMBER(SEARCH(tblRules[Pattern],$H306))))))&gt;0))*1E+9+ROW(tblRules[Pattern])))-ROW(tblRules[[#Headers],[Pattern]])),"Uncategorized"))</f>
        <v/>
      </c>
      <c r="L306">
        <f>IF($C306="","",IFERROR(INDEX(tblCategories[Group],MATCH($K306,tblCategories[Category],0)),"Other"))</f>
        <v/>
      </c>
      <c r="M306">
        <f>IF($C306="","",IFERROR(INDEX(tblCategories[Type],MATCH($K306,tblCategories[Category],0)),IF($J306&gt;0,"Income","Expense")))</f>
        <v/>
      </c>
      <c r="N306">
        <f>IF($C306="","",IFERROR(INDEX(tblCategories[Essential],MATCH($K306,tblCategories[Category],0)),"No"))</f>
        <v/>
      </c>
      <c r="O306">
        <f>IF($C306="","",IFERROR(INDEX(tblCategories[Tax Tag],MATCH($K306,tblCategories[Category],0)),""))</f>
        <v/>
      </c>
      <c r="P306" s="20">
        <f>IF($C306="","",IF($G306=PersonA,1,IF($G306=PersonB,0,IFERROR(INDEX(tblCategories[Joint Split A],MATCH($K306,tblCategories[Category],0)),DefaultSplitA))))</f>
        <v/>
      </c>
      <c r="Q306" s="19">
        <f>IF($C306="","",ROUND($J306*N($P306),2))</f>
        <v/>
      </c>
      <c r="R306" s="19">
        <f>IF($C306="","",ROUND($J306-N($Q306),2))</f>
        <v/>
      </c>
      <c r="U306" t="inlineStr">
        <is>
          <t>sample-data</t>
        </is>
      </c>
      <c r="V306" t="inlineStr">
        <is>
          <t>SAMPLE</t>
        </is>
      </c>
      <c r="W306" t="inlineStr">
        <is>
          <t>A68A1BBE</t>
        </is>
      </c>
      <c r="X306">
        <f>IF($C306="","",IFERROR(IF(_xlfn.ISFORMULA($K306),"Rule","Manual"),""))</f>
        <v/>
      </c>
      <c r="Y306" s="19">
        <f>IF($C306="","",IF(ReportView=PersonA,N($Q306),IF(ReportView=PersonB,N($R306),$J306)))</f>
        <v/>
      </c>
    </row>
    <row r="307">
      <c r="B307">
        <f>IF($C307="","","T"&amp;TEXT(ROW()-ROW(tblTxn[[#Headers],[Txn ID]]),"000000"))</f>
        <v/>
      </c>
      <c r="C307" s="18" t="n">
        <v>46250</v>
      </c>
      <c r="D307">
        <f>IF($C307="","",TEXT($C307,"yyyy-mm"))</f>
        <v/>
      </c>
      <c r="E307" t="inlineStr">
        <is>
          <t>RBC Chequing (Alex)</t>
        </is>
      </c>
      <c r="F307">
        <f>IF($C307="","",IFERROR(INDEX(tblAccounts[Owner],MATCH($E307,tblAccounts[Account],0)),"Joint"))</f>
        <v/>
      </c>
      <c r="G307">
        <f>IF($C307="","",IF(HouseholdMode="Couple",IFERROR(IF(INDEX(tblCategories[Default Owner],MATCH($K307,tblCategories[Category],0))="",$F307,INDEX(tblCategories[Default Owner],MATCH($K307,tblCategories[Category],0))),$F307),$F307))</f>
        <v/>
      </c>
      <c r="H307" t="inlineStr">
        <is>
          <t>TRANSFER TO RRSP WEALTHSIMPLE</t>
        </is>
      </c>
      <c r="I307">
        <f>IF($H307="","",$H307)</f>
        <v/>
      </c>
      <c r="J307" s="19" t="n">
        <v>-450</v>
      </c>
      <c r="K307">
        <f>IF($H307="","",IFERROR(INDEX(tblRules[Category],SUMPRODUCT(MIN((1-((tblRules[Enabled]&lt;&gt;"No")*(tblRules[Pattern]&lt;&gt;"")*(tblRules[Category]&lt;&gt;"")*((tblRules[Flow]="Any")+(tblRules[Flow]="")+((tblRules[Flow]="Money out")*($J307&lt;0))+((tblRules[Flow]="Money in")*($J307&gt;0)))*(((tblRules[Look In]="Account")*ISNUMBER(SEARCH(tblRules[Pattern],$E307)))+((tblRules[Look In]&lt;&gt;"Account")*(((tblRules[Test]="Word")*ISNUMBER(SEARCH(" "&amp;tblRules[Pattern]&amp;" "," "&amp;$H307&amp;" ")))+((tblRules[Test]&lt;&gt;"Word")*ISNUMBER(SEARCH(tblRules[Pattern],$H307))))))&gt;0))*1E+9+ROW(tblRules[Pattern])))-ROW(tblRules[[#Headers],[Pattern]])),"Uncategorized"))</f>
        <v/>
      </c>
      <c r="L307">
        <f>IF($C307="","",IFERROR(INDEX(tblCategories[Group],MATCH($K307,tblCategories[Category],0)),"Other"))</f>
        <v/>
      </c>
      <c r="M307">
        <f>IF($C307="","",IFERROR(INDEX(tblCategories[Type],MATCH($K307,tblCategories[Category],0)),IF($J307&gt;0,"Income","Expense")))</f>
        <v/>
      </c>
      <c r="N307">
        <f>IF($C307="","",IFERROR(INDEX(tblCategories[Essential],MATCH($K307,tblCategories[Category],0)),"No"))</f>
        <v/>
      </c>
      <c r="O307">
        <f>IF($C307="","",IFERROR(INDEX(tblCategories[Tax Tag],MATCH($K307,tblCategories[Category],0)),""))</f>
        <v/>
      </c>
      <c r="P307" s="20">
        <f>IF($C307="","",IF($G307=PersonA,1,IF($G307=PersonB,0,IFERROR(INDEX(tblCategories[Joint Split A],MATCH($K307,tblCategories[Category],0)),DefaultSplitA))))</f>
        <v/>
      </c>
      <c r="Q307" s="19">
        <f>IF($C307="","",ROUND($J307*N($P307),2))</f>
        <v/>
      </c>
      <c r="R307" s="19">
        <f>IF($C307="","",ROUND($J307-N($Q307),2))</f>
        <v/>
      </c>
      <c r="U307" t="inlineStr">
        <is>
          <t>sample-data</t>
        </is>
      </c>
      <c r="V307" t="inlineStr">
        <is>
          <t>SAMPLE</t>
        </is>
      </c>
      <c r="W307" t="inlineStr">
        <is>
          <t>ECF3C600</t>
        </is>
      </c>
      <c r="X307">
        <f>IF($C307="","",IFERROR(IF(_xlfn.ISFORMULA($K307),"Rule","Manual"),""))</f>
        <v/>
      </c>
      <c r="Y307" s="19">
        <f>IF($C307="","",IF(ReportView=PersonA,N($Q307),IF(ReportView=PersonB,N($R307),$J307)))</f>
        <v/>
      </c>
    </row>
    <row r="308">
      <c r="B308">
        <f>IF($C308="","","T"&amp;TEXT(ROW()-ROW(tblTxn[[#Headers],[Txn ID]]),"000000"))</f>
        <v/>
      </c>
      <c r="C308" s="18" t="n">
        <v>46250</v>
      </c>
      <c r="D308">
        <f>IF($C308="","",TEXT($C308,"yyyy-mm"))</f>
        <v/>
      </c>
      <c r="E308" t="inlineStr">
        <is>
          <t>Tangerine Chequing (Sam)</t>
        </is>
      </c>
      <c r="F308">
        <f>IF($C308="","",IFERROR(INDEX(tblAccounts[Owner],MATCH($E308,tblAccounts[Account],0)),"Joint"))</f>
        <v/>
      </c>
      <c r="G308">
        <f>IF($C308="","",IF(HouseholdMode="Couple",IFERROR(IF(INDEX(tblCategories[Default Owner],MATCH($K308,tblCategories[Category],0))="",$F308,INDEX(tblCategories[Default Owner],MATCH($K308,tblCategories[Category],0))),$F308),$F308))</f>
        <v/>
      </c>
      <c r="H308" t="inlineStr">
        <is>
          <t>TFSA CONTRIBUTION TANGERINE INVESTMENT</t>
        </is>
      </c>
      <c r="I308">
        <f>IF($H308="","",$H308)</f>
        <v/>
      </c>
      <c r="J308" s="19" t="n">
        <v>-350</v>
      </c>
      <c r="K308">
        <f>IF($H308="","",IFERROR(INDEX(tblRules[Category],SUMPRODUCT(MIN((1-((tblRules[Enabled]&lt;&gt;"No")*(tblRules[Pattern]&lt;&gt;"")*(tblRules[Category]&lt;&gt;"")*((tblRules[Flow]="Any")+(tblRules[Flow]="")+((tblRules[Flow]="Money out")*($J308&lt;0))+((tblRules[Flow]="Money in")*($J308&gt;0)))*(((tblRules[Look In]="Account")*ISNUMBER(SEARCH(tblRules[Pattern],$E308)))+((tblRules[Look In]&lt;&gt;"Account")*(((tblRules[Test]="Word")*ISNUMBER(SEARCH(" "&amp;tblRules[Pattern]&amp;" "," "&amp;$H308&amp;" ")))+((tblRules[Test]&lt;&gt;"Word")*ISNUMBER(SEARCH(tblRules[Pattern],$H308))))))&gt;0))*1E+9+ROW(tblRules[Pattern])))-ROW(tblRules[[#Headers],[Pattern]])),"Uncategorized"))</f>
        <v/>
      </c>
      <c r="L308">
        <f>IF($C308="","",IFERROR(INDEX(tblCategories[Group],MATCH($K308,tblCategories[Category],0)),"Other"))</f>
        <v/>
      </c>
      <c r="M308">
        <f>IF($C308="","",IFERROR(INDEX(tblCategories[Type],MATCH($K308,tblCategories[Category],0)),IF($J308&gt;0,"Income","Expense")))</f>
        <v/>
      </c>
      <c r="N308">
        <f>IF($C308="","",IFERROR(INDEX(tblCategories[Essential],MATCH($K308,tblCategories[Category],0)),"No"))</f>
        <v/>
      </c>
      <c r="O308">
        <f>IF($C308="","",IFERROR(INDEX(tblCategories[Tax Tag],MATCH($K308,tblCategories[Category],0)),""))</f>
        <v/>
      </c>
      <c r="P308" s="20">
        <f>IF($C308="","",IF($G308=PersonA,1,IF($G308=PersonB,0,IFERROR(INDEX(tblCategories[Joint Split A],MATCH($K308,tblCategories[Category],0)),DefaultSplitA))))</f>
        <v/>
      </c>
      <c r="Q308" s="19">
        <f>IF($C308="","",ROUND($J308*N($P308),2))</f>
        <v/>
      </c>
      <c r="R308" s="19">
        <f>IF($C308="","",ROUND($J308-N($Q308),2))</f>
        <v/>
      </c>
      <c r="U308" t="inlineStr">
        <is>
          <t>sample-data</t>
        </is>
      </c>
      <c r="V308" t="inlineStr">
        <is>
          <t>SAMPLE</t>
        </is>
      </c>
      <c r="W308" t="inlineStr">
        <is>
          <t>E4196DD8</t>
        </is>
      </c>
      <c r="X308">
        <f>IF($C308="","",IFERROR(IF(_xlfn.ISFORMULA($K308),"Rule","Manual"),""))</f>
        <v/>
      </c>
      <c r="Y308" s="19">
        <f>IF($C308="","",IF(ReportView=PersonA,N($Q308),IF(ReportView=PersonB,N($R308),$J308)))</f>
        <v/>
      </c>
    </row>
    <row r="309">
      <c r="B309">
        <f>IF($C309="","","T"&amp;TEXT(ROW()-ROW(tblTxn[[#Headers],[Txn ID]]),"000000"))</f>
        <v/>
      </c>
      <c r="C309" s="18" t="n">
        <v>46251</v>
      </c>
      <c r="D309">
        <f>IF($C309="","",TEXT($C309,"yyyy-mm"))</f>
        <v/>
      </c>
      <c r="E309" t="inlineStr">
        <is>
          <t>BMO Joint Chequing</t>
        </is>
      </c>
      <c r="F309">
        <f>IF($C309="","",IFERROR(INDEX(tblAccounts[Owner],MATCH($E309,tblAccounts[Account],0)),"Joint"))</f>
        <v/>
      </c>
      <c r="G309">
        <f>IF($C309="","",IF(HouseholdMode="Couple",IFERROR(IF(INDEX(tblCategories[Default Owner],MATCH($K309,tblCategories[Category],0))="",$F309,INDEX(tblCategories[Default Owner],MATCH($K309,tblCategories[Category],0))),$F309),$F309))</f>
        <v/>
      </c>
      <c r="H309" t="inlineStr">
        <is>
          <t>SPOTIFY P2C5 MISC PAYMENT</t>
        </is>
      </c>
      <c r="I309">
        <f>IF($H309="","",$H309)</f>
        <v/>
      </c>
      <c r="J309" s="19" t="n">
        <v>-16.99</v>
      </c>
      <c r="K309">
        <f>IF($H309="","",IFERROR(INDEX(tblRules[Category],SUMPRODUCT(MIN((1-((tblRules[Enabled]&lt;&gt;"No")*(tblRules[Pattern]&lt;&gt;"")*(tblRules[Category]&lt;&gt;"")*((tblRules[Flow]="Any")+(tblRules[Flow]="")+((tblRules[Flow]="Money out")*($J309&lt;0))+((tblRules[Flow]="Money in")*($J309&gt;0)))*(((tblRules[Look In]="Account")*ISNUMBER(SEARCH(tblRules[Pattern],$E309)))+((tblRules[Look In]&lt;&gt;"Account")*(((tblRules[Test]="Word")*ISNUMBER(SEARCH(" "&amp;tblRules[Pattern]&amp;" "," "&amp;$H309&amp;" ")))+((tblRules[Test]&lt;&gt;"Word")*ISNUMBER(SEARCH(tblRules[Pattern],$H309))))))&gt;0))*1E+9+ROW(tblRules[Pattern])))-ROW(tblRules[[#Headers],[Pattern]])),"Uncategorized"))</f>
        <v/>
      </c>
      <c r="L309">
        <f>IF($C309="","",IFERROR(INDEX(tblCategories[Group],MATCH($K309,tblCategories[Category],0)),"Other"))</f>
        <v/>
      </c>
      <c r="M309">
        <f>IF($C309="","",IFERROR(INDEX(tblCategories[Type],MATCH($K309,tblCategories[Category],0)),IF($J309&gt;0,"Income","Expense")))</f>
        <v/>
      </c>
      <c r="N309">
        <f>IF($C309="","",IFERROR(INDEX(tblCategories[Essential],MATCH($K309,tblCategories[Category],0)),"No"))</f>
        <v/>
      </c>
      <c r="O309">
        <f>IF($C309="","",IFERROR(INDEX(tblCategories[Tax Tag],MATCH($K309,tblCategories[Category],0)),""))</f>
        <v/>
      </c>
      <c r="P309" s="20">
        <f>IF($C309="","",IF($G309=PersonA,1,IF($G309=PersonB,0,IFERROR(INDEX(tblCategories[Joint Split A],MATCH($K309,tblCategories[Category],0)),DefaultSplitA))))</f>
        <v/>
      </c>
      <c r="Q309" s="19">
        <f>IF($C309="","",ROUND($J309*N($P309),2))</f>
        <v/>
      </c>
      <c r="R309" s="19">
        <f>IF($C309="","",ROUND($J309-N($Q309),2))</f>
        <v/>
      </c>
      <c r="U309" t="inlineStr">
        <is>
          <t>sample-data</t>
        </is>
      </c>
      <c r="V309" t="inlineStr">
        <is>
          <t>SAMPLE</t>
        </is>
      </c>
      <c r="W309" t="inlineStr">
        <is>
          <t>6F2EBAB9</t>
        </is>
      </c>
      <c r="X309">
        <f>IF($C309="","",IFERROR(IF(_xlfn.ISFORMULA($K309),"Rule","Manual"),""))</f>
        <v/>
      </c>
      <c r="Y309" s="19">
        <f>IF($C309="","",IF(ReportView=PersonA,N($Q309),IF(ReportView=PersonB,N($R309),$J309)))</f>
        <v/>
      </c>
    </row>
    <row r="310">
      <c r="B310">
        <f>IF($C310="","","T"&amp;TEXT(ROW()-ROW(tblTxn[[#Headers],[Txn ID]]),"000000"))</f>
        <v/>
      </c>
      <c r="C310" s="18" t="n">
        <v>46252</v>
      </c>
      <c r="D310">
        <f>IF($C310="","",TEXT($C310,"yyyy-mm"))</f>
        <v/>
      </c>
      <c r="E310" t="inlineStr">
        <is>
          <t>BMO Joint Chequing</t>
        </is>
      </c>
      <c r="F310">
        <f>IF($C310="","",IFERROR(INDEX(tblAccounts[Owner],MATCH($E310,tblAccounts[Account],0)),"Joint"))</f>
        <v/>
      </c>
      <c r="G310">
        <f>IF($C310="","",IF(HouseholdMode="Couple",IFERROR(IF(INDEX(tblCategories[Default Owner],MATCH($K310,tblCategories[Category],0))="",$F310,INDEX(tblCategories[Default Owner],MATCH($K310,tblCategories[Category],0))),$F310),$F310))</f>
        <v/>
      </c>
      <c r="H310" t="inlineStr">
        <is>
          <t>PRESTO FARE/TRANSIT TORONTO ON</t>
        </is>
      </c>
      <c r="I310">
        <f>IF($H310="","",$H310)</f>
        <v/>
      </c>
      <c r="J310" s="19" t="n">
        <v>-99.06</v>
      </c>
      <c r="K310">
        <f>IF($H310="","",IFERROR(INDEX(tblRules[Category],SUMPRODUCT(MIN((1-((tblRules[Enabled]&lt;&gt;"No")*(tblRules[Pattern]&lt;&gt;"")*(tblRules[Category]&lt;&gt;"")*((tblRules[Flow]="Any")+(tblRules[Flow]="")+((tblRules[Flow]="Money out")*($J310&lt;0))+((tblRules[Flow]="Money in")*($J310&gt;0)))*(((tblRules[Look In]="Account")*ISNUMBER(SEARCH(tblRules[Pattern],$E310)))+((tblRules[Look In]&lt;&gt;"Account")*(((tblRules[Test]="Word")*ISNUMBER(SEARCH(" "&amp;tblRules[Pattern]&amp;" "," "&amp;$H310&amp;" ")))+((tblRules[Test]&lt;&gt;"Word")*ISNUMBER(SEARCH(tblRules[Pattern],$H310))))))&gt;0))*1E+9+ROW(tblRules[Pattern])))-ROW(tblRules[[#Headers],[Pattern]])),"Uncategorized"))</f>
        <v/>
      </c>
      <c r="L310">
        <f>IF($C310="","",IFERROR(INDEX(tblCategories[Group],MATCH($K310,tblCategories[Category],0)),"Other"))</f>
        <v/>
      </c>
      <c r="M310">
        <f>IF($C310="","",IFERROR(INDEX(tblCategories[Type],MATCH($K310,tblCategories[Category],0)),IF($J310&gt;0,"Income","Expense")))</f>
        <v/>
      </c>
      <c r="N310">
        <f>IF($C310="","",IFERROR(INDEX(tblCategories[Essential],MATCH($K310,tblCategories[Category],0)),"No"))</f>
        <v/>
      </c>
      <c r="O310">
        <f>IF($C310="","",IFERROR(INDEX(tblCategories[Tax Tag],MATCH($K310,tblCategories[Category],0)),""))</f>
        <v/>
      </c>
      <c r="P310" s="20">
        <f>IF($C310="","",IF($G310=PersonA,1,IF($G310=PersonB,0,IFERROR(INDEX(tblCategories[Joint Split A],MATCH($K310,tblCategories[Category],0)),DefaultSplitA))))</f>
        <v/>
      </c>
      <c r="Q310" s="19">
        <f>IF($C310="","",ROUND($J310*N($P310),2))</f>
        <v/>
      </c>
      <c r="R310" s="19">
        <f>IF($C310="","",ROUND($J310-N($Q310),2))</f>
        <v/>
      </c>
      <c r="U310" t="inlineStr">
        <is>
          <t>sample-data</t>
        </is>
      </c>
      <c r="V310" t="inlineStr">
        <is>
          <t>SAMPLE</t>
        </is>
      </c>
      <c r="W310" t="inlineStr">
        <is>
          <t>B44589B8</t>
        </is>
      </c>
      <c r="X310">
        <f>IF($C310="","",IFERROR(IF(_xlfn.ISFORMULA($K310),"Rule","Manual"),""))</f>
        <v/>
      </c>
      <c r="Y310" s="19">
        <f>IF($C310="","",IF(ReportView=PersonA,N($Q310),IF(ReportView=PersonB,N($R310),$J310)))</f>
        <v/>
      </c>
    </row>
    <row r="311">
      <c r="B311">
        <f>IF($C311="","","T"&amp;TEXT(ROW()-ROW(tblTxn[[#Headers],[Txn ID]]),"000000"))</f>
        <v/>
      </c>
      <c r="C311" s="18" t="n">
        <v>46252</v>
      </c>
      <c r="D311">
        <f>IF($C311="","",TEXT($C311,"yyyy-mm"))</f>
        <v/>
      </c>
      <c r="E311" t="inlineStr">
        <is>
          <t>BMO Joint Chequing</t>
        </is>
      </c>
      <c r="F311">
        <f>IF($C311="","",IFERROR(INDEX(tblAccounts[Owner],MATCH($E311,tblAccounts[Account],0)),"Joint"))</f>
        <v/>
      </c>
      <c r="G311">
        <f>IF($C311="","",IF(HouseholdMode="Couple",IFERROR(IF(INDEX(tblCategories[Default Owner],MATCH($K311,tblCategories[Category],0))="",$F311,INDEX(tblCategories[Default Owner],MATCH($K311,tblCategories[Category],0))),$F311),$F311))</f>
        <v/>
      </c>
      <c r="H311" t="inlineStr">
        <is>
          <t>RESP CONTRIBUTION CST SAVINGS</t>
        </is>
      </c>
      <c r="I311">
        <f>IF($H311="","",$H311)</f>
        <v/>
      </c>
      <c r="J311" s="19" t="n">
        <v>-208.33</v>
      </c>
      <c r="K311">
        <f>IF($H311="","",IFERROR(INDEX(tblRules[Category],SUMPRODUCT(MIN((1-((tblRules[Enabled]&lt;&gt;"No")*(tblRules[Pattern]&lt;&gt;"")*(tblRules[Category]&lt;&gt;"")*((tblRules[Flow]="Any")+(tblRules[Flow]="")+((tblRules[Flow]="Money out")*($J311&lt;0))+((tblRules[Flow]="Money in")*($J311&gt;0)))*(((tblRules[Look In]="Account")*ISNUMBER(SEARCH(tblRules[Pattern],$E311)))+((tblRules[Look In]&lt;&gt;"Account")*(((tblRules[Test]="Word")*ISNUMBER(SEARCH(" "&amp;tblRules[Pattern]&amp;" "," "&amp;$H311&amp;" ")))+((tblRules[Test]&lt;&gt;"Word")*ISNUMBER(SEARCH(tblRules[Pattern],$H311))))))&gt;0))*1E+9+ROW(tblRules[Pattern])))-ROW(tblRules[[#Headers],[Pattern]])),"Uncategorized"))</f>
        <v/>
      </c>
      <c r="L311">
        <f>IF($C311="","",IFERROR(INDEX(tblCategories[Group],MATCH($K311,tblCategories[Category],0)),"Other"))</f>
        <v/>
      </c>
      <c r="M311">
        <f>IF($C311="","",IFERROR(INDEX(tblCategories[Type],MATCH($K311,tblCategories[Category],0)),IF($J311&gt;0,"Income","Expense")))</f>
        <v/>
      </c>
      <c r="N311">
        <f>IF($C311="","",IFERROR(INDEX(tblCategories[Essential],MATCH($K311,tblCategories[Category],0)),"No"))</f>
        <v/>
      </c>
      <c r="O311">
        <f>IF($C311="","",IFERROR(INDEX(tblCategories[Tax Tag],MATCH($K311,tblCategories[Category],0)),""))</f>
        <v/>
      </c>
      <c r="P311" s="20">
        <f>IF($C311="","",IF($G311=PersonA,1,IF($G311=PersonB,0,IFERROR(INDEX(tblCategories[Joint Split A],MATCH($K311,tblCategories[Category],0)),DefaultSplitA))))</f>
        <v/>
      </c>
      <c r="Q311" s="19">
        <f>IF($C311="","",ROUND($J311*N($P311),2))</f>
        <v/>
      </c>
      <c r="R311" s="19">
        <f>IF($C311="","",ROUND($J311-N($Q311),2))</f>
        <v/>
      </c>
      <c r="U311" t="inlineStr">
        <is>
          <t>sample-data</t>
        </is>
      </c>
      <c r="V311" t="inlineStr">
        <is>
          <t>SAMPLE</t>
        </is>
      </c>
      <c r="W311" t="inlineStr">
        <is>
          <t>9E3A1454</t>
        </is>
      </c>
      <c r="X311">
        <f>IF($C311="","",IFERROR(IF(_xlfn.ISFORMULA($K311),"Rule","Manual"),""))</f>
        <v/>
      </c>
      <c r="Y311" s="19">
        <f>IF($C311="","",IF(ReportView=PersonA,N($Q311),IF(ReportView=PersonB,N($R311),$J311)))</f>
        <v/>
      </c>
    </row>
    <row r="312">
      <c r="B312">
        <f>IF($C312="","","T"&amp;TEXT(ROW()-ROW(tblTxn[[#Headers],[Txn ID]]),"000000"))</f>
        <v/>
      </c>
      <c r="C312" s="18" t="n">
        <v>46253</v>
      </c>
      <c r="D312">
        <f>IF($C312="","",TEXT($C312,"yyyy-mm"))</f>
        <v/>
      </c>
      <c r="E312" t="inlineStr">
        <is>
          <t>Amex Cobalt (Joint)</t>
        </is>
      </c>
      <c r="F312">
        <f>IF($C312="","",IFERROR(INDEX(tblAccounts[Owner],MATCH($E312,tblAccounts[Account],0)),"Joint"))</f>
        <v/>
      </c>
      <c r="G312">
        <f>IF($C312="","",IF(HouseholdMode="Couple",IFERROR(IF(INDEX(tblCategories[Default Owner],MATCH($K312,tblCategories[Category],0))="",$F312,INDEX(tblCategories[Default Owner],MATCH($K312,tblCategories[Category],0))),$F312),$F312))</f>
        <v/>
      </c>
      <c r="H312" t="inlineStr">
        <is>
          <t>UBER TRIP HELP.UBER.COM ON</t>
        </is>
      </c>
      <c r="I312">
        <f>IF($H312="","",$H312)</f>
        <v/>
      </c>
      <c r="J312" s="19" t="n">
        <v>-22.9</v>
      </c>
      <c r="K312">
        <f>IF($H312="","",IFERROR(INDEX(tblRules[Category],SUMPRODUCT(MIN((1-((tblRules[Enabled]&lt;&gt;"No")*(tblRules[Pattern]&lt;&gt;"")*(tblRules[Category]&lt;&gt;"")*((tblRules[Flow]="Any")+(tblRules[Flow]="")+((tblRules[Flow]="Money out")*($J312&lt;0))+((tblRules[Flow]="Money in")*($J312&gt;0)))*(((tblRules[Look In]="Account")*ISNUMBER(SEARCH(tblRules[Pattern],$E312)))+((tblRules[Look In]&lt;&gt;"Account")*(((tblRules[Test]="Word")*ISNUMBER(SEARCH(" "&amp;tblRules[Pattern]&amp;" "," "&amp;$H312&amp;" ")))+((tblRules[Test]&lt;&gt;"Word")*ISNUMBER(SEARCH(tblRules[Pattern],$H312))))))&gt;0))*1E+9+ROW(tblRules[Pattern])))-ROW(tblRules[[#Headers],[Pattern]])),"Uncategorized"))</f>
        <v/>
      </c>
      <c r="L312">
        <f>IF($C312="","",IFERROR(INDEX(tblCategories[Group],MATCH($K312,tblCategories[Category],0)),"Other"))</f>
        <v/>
      </c>
      <c r="M312">
        <f>IF($C312="","",IFERROR(INDEX(tblCategories[Type],MATCH($K312,tblCategories[Category],0)),IF($J312&gt;0,"Income","Expense")))</f>
        <v/>
      </c>
      <c r="N312">
        <f>IF($C312="","",IFERROR(INDEX(tblCategories[Essential],MATCH($K312,tblCategories[Category],0)),"No"))</f>
        <v/>
      </c>
      <c r="O312">
        <f>IF($C312="","",IFERROR(INDEX(tblCategories[Tax Tag],MATCH($K312,tblCategories[Category],0)),""))</f>
        <v/>
      </c>
      <c r="P312" s="20">
        <f>IF($C312="","",IF($G312=PersonA,1,IF($G312=PersonB,0,IFERROR(INDEX(tblCategories[Joint Split A],MATCH($K312,tblCategories[Category],0)),DefaultSplitA))))</f>
        <v/>
      </c>
      <c r="Q312" s="19">
        <f>IF($C312="","",ROUND($J312*N($P312),2))</f>
        <v/>
      </c>
      <c r="R312" s="19">
        <f>IF($C312="","",ROUND($J312-N($Q312),2))</f>
        <v/>
      </c>
      <c r="U312" t="inlineStr">
        <is>
          <t>sample-data</t>
        </is>
      </c>
      <c r="V312" t="inlineStr">
        <is>
          <t>SAMPLE</t>
        </is>
      </c>
      <c r="W312" t="inlineStr">
        <is>
          <t>3072C786</t>
        </is>
      </c>
      <c r="X312">
        <f>IF($C312="","",IFERROR(IF(_xlfn.ISFORMULA($K312),"Rule","Manual"),""))</f>
        <v/>
      </c>
      <c r="Y312" s="19">
        <f>IF($C312="","",IF(ReportView=PersonA,N($Q312),IF(ReportView=PersonB,N($R312),$J312)))</f>
        <v/>
      </c>
    </row>
    <row r="313">
      <c r="B313">
        <f>IF($C313="","","T"&amp;TEXT(ROW()-ROW(tblTxn[[#Headers],[Txn ID]]),"000000"))</f>
        <v/>
      </c>
      <c r="C313" s="18" t="n">
        <v>46254</v>
      </c>
      <c r="D313">
        <f>IF($C313="","",TEXT($C313,"yyyy-mm"))</f>
        <v/>
      </c>
      <c r="E313" t="inlineStr">
        <is>
          <t>Amex Cobalt (Joint)</t>
        </is>
      </c>
      <c r="F313">
        <f>IF($C313="","",IFERROR(INDEX(tblAccounts[Owner],MATCH($E313,tblAccounts[Account],0)),"Joint"))</f>
        <v/>
      </c>
      <c r="G313">
        <f>IF($C313="","",IF(HouseholdMode="Couple",IFERROR(IF(INDEX(tblCategories[Default Owner],MATCH($K313,tblCategories[Category],0))="",$F313,INDEX(tblCategories[Default Owner],MATCH($K313,tblCategories[Category],0))),$F313),$F313))</f>
        <v/>
      </c>
      <c r="H313" t="inlineStr">
        <is>
          <t>IDP PURCHASE - 1709 LCBO/RAO #2813 TORONTO ON</t>
        </is>
      </c>
      <c r="I313">
        <f>IF($H313="","",$H313)</f>
        <v/>
      </c>
      <c r="J313" s="19" t="n">
        <v>-58.78</v>
      </c>
      <c r="K313">
        <f>IF($H313="","",IFERROR(INDEX(tblRules[Category],SUMPRODUCT(MIN((1-((tblRules[Enabled]&lt;&gt;"No")*(tblRules[Pattern]&lt;&gt;"")*(tblRules[Category]&lt;&gt;"")*((tblRules[Flow]="Any")+(tblRules[Flow]="")+((tblRules[Flow]="Money out")*($J313&lt;0))+((tblRules[Flow]="Money in")*($J313&gt;0)))*(((tblRules[Look In]="Account")*ISNUMBER(SEARCH(tblRules[Pattern],$E313)))+((tblRules[Look In]&lt;&gt;"Account")*(((tblRules[Test]="Word")*ISNUMBER(SEARCH(" "&amp;tblRules[Pattern]&amp;" "," "&amp;$H313&amp;" ")))+((tblRules[Test]&lt;&gt;"Word")*ISNUMBER(SEARCH(tblRules[Pattern],$H313))))))&gt;0))*1E+9+ROW(tblRules[Pattern])))-ROW(tblRules[[#Headers],[Pattern]])),"Uncategorized"))</f>
        <v/>
      </c>
      <c r="L313">
        <f>IF($C313="","",IFERROR(INDEX(tblCategories[Group],MATCH($K313,tblCategories[Category],0)),"Other"))</f>
        <v/>
      </c>
      <c r="M313">
        <f>IF($C313="","",IFERROR(INDEX(tblCategories[Type],MATCH($K313,tblCategories[Category],0)),IF($J313&gt;0,"Income","Expense")))</f>
        <v/>
      </c>
      <c r="N313">
        <f>IF($C313="","",IFERROR(INDEX(tblCategories[Essential],MATCH($K313,tblCategories[Category],0)),"No"))</f>
        <v/>
      </c>
      <c r="O313">
        <f>IF($C313="","",IFERROR(INDEX(tblCategories[Tax Tag],MATCH($K313,tblCategories[Category],0)),""))</f>
        <v/>
      </c>
      <c r="P313" s="20">
        <f>IF($C313="","",IF($G313=PersonA,1,IF($G313=PersonB,0,IFERROR(INDEX(tblCategories[Joint Split A],MATCH($K313,tblCategories[Category],0)),DefaultSplitA))))</f>
        <v/>
      </c>
      <c r="Q313" s="19">
        <f>IF($C313="","",ROUND($J313*N($P313),2))</f>
        <v/>
      </c>
      <c r="R313" s="19">
        <f>IF($C313="","",ROUND($J313-N($Q313),2))</f>
        <v/>
      </c>
      <c r="U313" t="inlineStr">
        <is>
          <t>sample-data</t>
        </is>
      </c>
      <c r="V313" t="inlineStr">
        <is>
          <t>SAMPLE</t>
        </is>
      </c>
      <c r="W313" t="inlineStr">
        <is>
          <t>F19E1AF1</t>
        </is>
      </c>
      <c r="X313">
        <f>IF($C313="","",IFERROR(IF(_xlfn.ISFORMULA($K313),"Rule","Manual"),""))</f>
        <v/>
      </c>
      <c r="Y313" s="19">
        <f>IF($C313="","",IF(ReportView=PersonA,N($Q313),IF(ReportView=PersonB,N($R313),$J313)))</f>
        <v/>
      </c>
    </row>
    <row r="314">
      <c r="B314">
        <f>IF($C314="","","T"&amp;TEXT(ROW()-ROW(tblTxn[[#Headers],[Txn ID]]),"000000"))</f>
        <v/>
      </c>
      <c r="C314" s="18" t="n">
        <v>46254</v>
      </c>
      <c r="D314">
        <f>IF($C314="","",TEXT($C314,"yyyy-mm"))</f>
        <v/>
      </c>
      <c r="E314" t="inlineStr">
        <is>
          <t>BMO Joint Chequing</t>
        </is>
      </c>
      <c r="F314">
        <f>IF($C314="","",IFERROR(INDEX(tblAccounts[Owner],MATCH($E314,tblAccounts[Account],0)),"Joint"))</f>
        <v/>
      </c>
      <c r="G314">
        <f>IF($C314="","",IF(HouseholdMode="Couple",IFERROR(IF(INDEX(tblCategories[Default Owner],MATCH($K314,tblCategories[Category],0))="",$F314,INDEX(tblCategories[Default Owner],MATCH($K314,tblCategories[Category],0))),$F314),$F314))</f>
        <v/>
      </c>
      <c r="H314" t="inlineStr">
        <is>
          <t>CANADA FED / FED CCB DEPOSIT</t>
        </is>
      </c>
      <c r="I314">
        <f>IF($H314="","",$H314)</f>
        <v/>
      </c>
      <c r="J314" s="19" t="n">
        <v>619.75</v>
      </c>
      <c r="K314">
        <f>IF($H314="","",IFERROR(INDEX(tblRules[Category],SUMPRODUCT(MIN((1-((tblRules[Enabled]&lt;&gt;"No")*(tblRules[Pattern]&lt;&gt;"")*(tblRules[Category]&lt;&gt;"")*((tblRules[Flow]="Any")+(tblRules[Flow]="")+((tblRules[Flow]="Money out")*($J314&lt;0))+((tblRules[Flow]="Money in")*($J314&gt;0)))*(((tblRules[Look In]="Account")*ISNUMBER(SEARCH(tblRules[Pattern],$E314)))+((tblRules[Look In]&lt;&gt;"Account")*(((tblRules[Test]="Word")*ISNUMBER(SEARCH(" "&amp;tblRules[Pattern]&amp;" "," "&amp;$H314&amp;" ")))+((tblRules[Test]&lt;&gt;"Word")*ISNUMBER(SEARCH(tblRules[Pattern],$H314))))))&gt;0))*1E+9+ROW(tblRules[Pattern])))-ROW(tblRules[[#Headers],[Pattern]])),"Uncategorized"))</f>
        <v/>
      </c>
      <c r="L314">
        <f>IF($C314="","",IFERROR(INDEX(tblCategories[Group],MATCH($K314,tblCategories[Category],0)),"Other"))</f>
        <v/>
      </c>
      <c r="M314">
        <f>IF($C314="","",IFERROR(INDEX(tblCategories[Type],MATCH($K314,tblCategories[Category],0)),IF($J314&gt;0,"Income","Expense")))</f>
        <v/>
      </c>
      <c r="N314">
        <f>IF($C314="","",IFERROR(INDEX(tblCategories[Essential],MATCH($K314,tblCategories[Category],0)),"No"))</f>
        <v/>
      </c>
      <c r="O314">
        <f>IF($C314="","",IFERROR(INDEX(tblCategories[Tax Tag],MATCH($K314,tblCategories[Category],0)),""))</f>
        <v/>
      </c>
      <c r="P314" s="20">
        <f>IF($C314="","",IF($G314=PersonA,1,IF($G314=PersonB,0,IFERROR(INDEX(tblCategories[Joint Split A],MATCH($K314,tblCategories[Category],0)),DefaultSplitA))))</f>
        <v/>
      </c>
      <c r="Q314" s="19">
        <f>IF($C314="","",ROUND($J314*N($P314),2))</f>
        <v/>
      </c>
      <c r="R314" s="19">
        <f>IF($C314="","",ROUND($J314-N($Q314),2))</f>
        <v/>
      </c>
      <c r="U314" t="inlineStr">
        <is>
          <t>sample-data</t>
        </is>
      </c>
      <c r="V314" t="inlineStr">
        <is>
          <t>SAMPLE</t>
        </is>
      </c>
      <c r="W314" t="inlineStr">
        <is>
          <t>0CDA2474</t>
        </is>
      </c>
      <c r="X314">
        <f>IF($C314="","",IFERROR(IF(_xlfn.ISFORMULA($K314),"Rule","Manual"),""))</f>
        <v/>
      </c>
      <c r="Y314" s="19">
        <f>IF($C314="","",IF(ReportView=PersonA,N($Q314),IF(ReportView=PersonB,N($R314),$J314)))</f>
        <v/>
      </c>
    </row>
    <row r="315">
      <c r="B315">
        <f>IF($C315="","","T"&amp;TEXT(ROW()-ROW(tblTxn[[#Headers],[Txn ID]]),"000000"))</f>
        <v/>
      </c>
      <c r="C315" s="18" t="n">
        <v>46255</v>
      </c>
      <c r="D315">
        <f>IF($C315="","",TEXT($C315,"yyyy-mm"))</f>
        <v/>
      </c>
      <c r="E315" t="inlineStr">
        <is>
          <t>RBC Chequing (Alex)</t>
        </is>
      </c>
      <c r="F315">
        <f>IF($C315="","",IFERROR(INDEX(tblAccounts[Owner],MATCH($E315,tblAccounts[Account],0)),"Joint"))</f>
        <v/>
      </c>
      <c r="G315">
        <f>IF($C315="","",IF(HouseholdMode="Couple",IFERROR(IF(INDEX(tblCategories[Default Owner],MATCH($K315,tblCategories[Category],0))="",$F315,INDEX(tblCategories[Default Owner],MATCH($K315,tblCategories[Category],0))),$F315),$F315))</f>
        <v/>
      </c>
      <c r="H315" t="inlineStr">
        <is>
          <t>IDP PURCHASE - 2774 SWISS CHALET #2911 ON</t>
        </is>
      </c>
      <c r="I315">
        <f>IF($H315="","",$H315)</f>
        <v/>
      </c>
      <c r="J315" s="19" t="n">
        <v>-70.89</v>
      </c>
      <c r="K315">
        <f>IF($H315="","",IFERROR(INDEX(tblRules[Category],SUMPRODUCT(MIN((1-((tblRules[Enabled]&lt;&gt;"No")*(tblRules[Pattern]&lt;&gt;"")*(tblRules[Category]&lt;&gt;"")*((tblRules[Flow]="Any")+(tblRules[Flow]="")+((tblRules[Flow]="Money out")*($J315&lt;0))+((tblRules[Flow]="Money in")*($J315&gt;0)))*(((tblRules[Look In]="Account")*ISNUMBER(SEARCH(tblRules[Pattern],$E315)))+((tblRules[Look In]&lt;&gt;"Account")*(((tblRules[Test]="Word")*ISNUMBER(SEARCH(" "&amp;tblRules[Pattern]&amp;" "," "&amp;$H315&amp;" ")))+((tblRules[Test]&lt;&gt;"Word")*ISNUMBER(SEARCH(tblRules[Pattern],$H315))))))&gt;0))*1E+9+ROW(tblRules[Pattern])))-ROW(tblRules[[#Headers],[Pattern]])),"Uncategorized"))</f>
        <v/>
      </c>
      <c r="L315">
        <f>IF($C315="","",IFERROR(INDEX(tblCategories[Group],MATCH($K315,tblCategories[Category],0)),"Other"))</f>
        <v/>
      </c>
      <c r="M315">
        <f>IF($C315="","",IFERROR(INDEX(tblCategories[Type],MATCH($K315,tblCategories[Category],0)),IF($J315&gt;0,"Income","Expense")))</f>
        <v/>
      </c>
      <c r="N315">
        <f>IF($C315="","",IFERROR(INDEX(tblCategories[Essential],MATCH($K315,tblCategories[Category],0)),"No"))</f>
        <v/>
      </c>
      <c r="O315">
        <f>IF($C315="","",IFERROR(INDEX(tblCategories[Tax Tag],MATCH($K315,tblCategories[Category],0)),""))</f>
        <v/>
      </c>
      <c r="P315" s="20">
        <f>IF($C315="","",IF($G315=PersonA,1,IF($G315=PersonB,0,IFERROR(INDEX(tblCategories[Joint Split A],MATCH($K315,tblCategories[Category],0)),DefaultSplitA))))</f>
        <v/>
      </c>
      <c r="Q315" s="19">
        <f>IF($C315="","",ROUND($J315*N($P315),2))</f>
        <v/>
      </c>
      <c r="R315" s="19">
        <f>IF($C315="","",ROUND($J315-N($Q315),2))</f>
        <v/>
      </c>
      <c r="U315" t="inlineStr">
        <is>
          <t>sample-data</t>
        </is>
      </c>
      <c r="V315" t="inlineStr">
        <is>
          <t>SAMPLE</t>
        </is>
      </c>
      <c r="W315" t="inlineStr">
        <is>
          <t>68F15CF9</t>
        </is>
      </c>
      <c r="X315">
        <f>IF($C315="","",IFERROR(IF(_xlfn.ISFORMULA($K315),"Rule","Manual"),""))</f>
        <v/>
      </c>
      <c r="Y315" s="19">
        <f>IF($C315="","",IF(ReportView=PersonA,N($Q315),IF(ReportView=PersonB,N($R315),$J315)))</f>
        <v/>
      </c>
    </row>
    <row r="316">
      <c r="B316">
        <f>IF($C316="","","T"&amp;TEXT(ROW()-ROW(tblTxn[[#Headers],[Txn ID]]),"000000"))</f>
        <v/>
      </c>
      <c r="C316" s="18" t="n">
        <v>46256</v>
      </c>
      <c r="D316">
        <f>IF($C316="","",TEXT($C316,"yyyy-mm"))</f>
        <v/>
      </c>
      <c r="E316" t="inlineStr">
        <is>
          <t>BMO Joint Chequing</t>
        </is>
      </c>
      <c r="F316">
        <f>IF($C316="","",IFERROR(INDEX(tblAccounts[Owner],MATCH($E316,tblAccounts[Account],0)),"Joint"))</f>
        <v/>
      </c>
      <c r="G316">
        <f>IF($C316="","",IF(HouseholdMode="Couple",IFERROR(IF(INDEX(tblCategories[Default Owner],MATCH($K316,tblCategories[Category],0))="",$F316,INDEX(tblCategories[Default Owner],MATCH($K316,tblCategories[Category],0))),$F316),$F316))</f>
        <v/>
      </c>
      <c r="H316" t="inlineStr">
        <is>
          <t>IDP PURCHASE - 6413 HOME DEPOT #1082 ON</t>
        </is>
      </c>
      <c r="I316">
        <f>IF($H316="","",$H316)</f>
        <v/>
      </c>
      <c r="J316" s="19" t="n">
        <v>-171.6</v>
      </c>
      <c r="K316">
        <f>IF($H316="","",IFERROR(INDEX(tblRules[Category],SUMPRODUCT(MIN((1-((tblRules[Enabled]&lt;&gt;"No")*(tblRules[Pattern]&lt;&gt;"")*(tblRules[Category]&lt;&gt;"")*((tblRules[Flow]="Any")+(tblRules[Flow]="")+((tblRules[Flow]="Money out")*($J316&lt;0))+((tblRules[Flow]="Money in")*($J316&gt;0)))*(((tblRules[Look In]="Account")*ISNUMBER(SEARCH(tblRules[Pattern],$E316)))+((tblRules[Look In]&lt;&gt;"Account")*(((tblRules[Test]="Word")*ISNUMBER(SEARCH(" "&amp;tblRules[Pattern]&amp;" "," "&amp;$H316&amp;" ")))+((tblRules[Test]&lt;&gt;"Word")*ISNUMBER(SEARCH(tblRules[Pattern],$H316))))))&gt;0))*1E+9+ROW(tblRules[Pattern])))-ROW(tblRules[[#Headers],[Pattern]])),"Uncategorized"))</f>
        <v/>
      </c>
      <c r="L316">
        <f>IF($C316="","",IFERROR(INDEX(tblCategories[Group],MATCH($K316,tblCategories[Category],0)),"Other"))</f>
        <v/>
      </c>
      <c r="M316">
        <f>IF($C316="","",IFERROR(INDEX(tblCategories[Type],MATCH($K316,tblCategories[Category],0)),IF($J316&gt;0,"Income","Expense")))</f>
        <v/>
      </c>
      <c r="N316">
        <f>IF($C316="","",IFERROR(INDEX(tblCategories[Essential],MATCH($K316,tblCategories[Category],0)),"No"))</f>
        <v/>
      </c>
      <c r="O316">
        <f>IF($C316="","",IFERROR(INDEX(tblCategories[Tax Tag],MATCH($K316,tblCategories[Category],0)),""))</f>
        <v/>
      </c>
      <c r="P316" s="20">
        <f>IF($C316="","",IF($G316=PersonA,1,IF($G316=PersonB,0,IFERROR(INDEX(tblCategories[Joint Split A],MATCH($K316,tblCategories[Category],0)),DefaultSplitA))))</f>
        <v/>
      </c>
      <c r="Q316" s="19">
        <f>IF($C316="","",ROUND($J316*N($P316),2))</f>
        <v/>
      </c>
      <c r="R316" s="19">
        <f>IF($C316="","",ROUND($J316-N($Q316),2))</f>
        <v/>
      </c>
      <c r="U316" t="inlineStr">
        <is>
          <t>sample-data</t>
        </is>
      </c>
      <c r="V316" t="inlineStr">
        <is>
          <t>SAMPLE</t>
        </is>
      </c>
      <c r="W316" t="inlineStr">
        <is>
          <t>C5B7E96A</t>
        </is>
      </c>
      <c r="X316">
        <f>IF($C316="","",IFERROR(IF(_xlfn.ISFORMULA($K316),"Rule","Manual"),""))</f>
        <v/>
      </c>
      <c r="Y316" s="19">
        <f>IF($C316="","",IF(ReportView=PersonA,N($Q316),IF(ReportView=PersonB,N($R316),$J316)))</f>
        <v/>
      </c>
    </row>
    <row r="317">
      <c r="B317">
        <f>IF($C317="","","T"&amp;TEXT(ROW()-ROW(tblTxn[[#Headers],[Txn ID]]),"000000"))</f>
        <v/>
      </c>
      <c r="C317" s="18" t="n">
        <v>46256</v>
      </c>
      <c r="D317">
        <f>IF($C317="","",TEXT($C317,"yyyy-mm"))</f>
        <v/>
      </c>
      <c r="E317" t="inlineStr">
        <is>
          <t>Tangerine Chequing (Sam)</t>
        </is>
      </c>
      <c r="F317">
        <f>IF($C317="","",IFERROR(INDEX(tblAccounts[Owner],MATCH($E317,tblAccounts[Account],0)),"Joint"))</f>
        <v/>
      </c>
      <c r="G317">
        <f>IF($C317="","",IF(HouseholdMode="Couple",IFERROR(IF(INDEX(tblCategories[Default Owner],MATCH($K317,tblCategories[Category],0))="",$F317,INDEX(tblCategories[Default Owner],MATCH($K317,tblCategories[Category],0))),$F317),$F317))</f>
        <v/>
      </c>
      <c r="H317" t="inlineStr">
        <is>
          <t>DONATION UNITED WAY MISC PAYMENT</t>
        </is>
      </c>
      <c r="I317">
        <f>IF($H317="","",$H317)</f>
        <v/>
      </c>
      <c r="J317" s="19" t="n">
        <v>-50</v>
      </c>
      <c r="K317">
        <f>IF($H317="","",IFERROR(INDEX(tblRules[Category],SUMPRODUCT(MIN((1-((tblRules[Enabled]&lt;&gt;"No")*(tblRules[Pattern]&lt;&gt;"")*(tblRules[Category]&lt;&gt;"")*((tblRules[Flow]="Any")+(tblRules[Flow]="")+((tblRules[Flow]="Money out")*($J317&lt;0))+((tblRules[Flow]="Money in")*($J317&gt;0)))*(((tblRules[Look In]="Account")*ISNUMBER(SEARCH(tblRules[Pattern],$E317)))+((tblRules[Look In]&lt;&gt;"Account")*(((tblRules[Test]="Word")*ISNUMBER(SEARCH(" "&amp;tblRules[Pattern]&amp;" "," "&amp;$H317&amp;" ")))+((tblRules[Test]&lt;&gt;"Word")*ISNUMBER(SEARCH(tblRules[Pattern],$H317))))))&gt;0))*1E+9+ROW(tblRules[Pattern])))-ROW(tblRules[[#Headers],[Pattern]])),"Uncategorized"))</f>
        <v/>
      </c>
      <c r="L317">
        <f>IF($C317="","",IFERROR(INDEX(tblCategories[Group],MATCH($K317,tblCategories[Category],0)),"Other"))</f>
        <v/>
      </c>
      <c r="M317">
        <f>IF($C317="","",IFERROR(INDEX(tblCategories[Type],MATCH($K317,tblCategories[Category],0)),IF($J317&gt;0,"Income","Expense")))</f>
        <v/>
      </c>
      <c r="N317">
        <f>IF($C317="","",IFERROR(INDEX(tblCategories[Essential],MATCH($K317,tblCategories[Category],0)),"No"))</f>
        <v/>
      </c>
      <c r="O317">
        <f>IF($C317="","",IFERROR(INDEX(tblCategories[Tax Tag],MATCH($K317,tblCategories[Category],0)),""))</f>
        <v/>
      </c>
      <c r="P317" s="20">
        <f>IF($C317="","",IF($G317=PersonA,1,IF($G317=PersonB,0,IFERROR(INDEX(tblCategories[Joint Split A],MATCH($K317,tblCategories[Category],0)),DefaultSplitA))))</f>
        <v/>
      </c>
      <c r="Q317" s="19">
        <f>IF($C317="","",ROUND($J317*N($P317),2))</f>
        <v/>
      </c>
      <c r="R317" s="19">
        <f>IF($C317="","",ROUND($J317-N($Q317),2))</f>
        <v/>
      </c>
      <c r="U317" t="inlineStr">
        <is>
          <t>sample-data</t>
        </is>
      </c>
      <c r="V317" t="inlineStr">
        <is>
          <t>SAMPLE</t>
        </is>
      </c>
      <c r="W317" t="inlineStr">
        <is>
          <t>DBD20DAA</t>
        </is>
      </c>
      <c r="X317">
        <f>IF($C317="","",IFERROR(IF(_xlfn.ISFORMULA($K317),"Rule","Manual"),""))</f>
        <v/>
      </c>
      <c r="Y317" s="19">
        <f>IF($C317="","",IF(ReportView=PersonA,N($Q317),IF(ReportView=PersonB,N($R317),$J317)))</f>
        <v/>
      </c>
    </row>
    <row r="318">
      <c r="B318">
        <f>IF($C318="","","T"&amp;TEXT(ROW()-ROW(tblTxn[[#Headers],[Txn ID]]),"000000"))</f>
        <v/>
      </c>
      <c r="C318" s="18" t="n">
        <v>46257</v>
      </c>
      <c r="D318">
        <f>IF($C318="","",TEXT($C318,"yyyy-mm"))</f>
        <v/>
      </c>
      <c r="E318" t="inlineStr">
        <is>
          <t>RBC Chequing (Alex)</t>
        </is>
      </c>
      <c r="F318">
        <f>IF($C318="","",IFERROR(INDEX(tblAccounts[Owner],MATCH($E318,tblAccounts[Account],0)),"Joint"))</f>
        <v/>
      </c>
      <c r="G318">
        <f>IF($C318="","",IF(HouseholdMode="Couple",IFERROR(IF(INDEX(tblCategories[Default Owner],MATCH($K318,tblCategories[Category],0))="",$F318,INDEX(tblCategories[Default Owner],MATCH($K318,tblCategories[Category],0))),$F318),$F318))</f>
        <v/>
      </c>
      <c r="H318" t="inlineStr">
        <is>
          <t>IDP PURCHASE - 9610 NO FRILLS #1648 TORONTO ON</t>
        </is>
      </c>
      <c r="I318">
        <f>IF($H318="","",$H318)</f>
        <v/>
      </c>
      <c r="J318" s="19" t="n">
        <v>-92.34999999999999</v>
      </c>
      <c r="K318">
        <f>IF($H318="","",IFERROR(INDEX(tblRules[Category],SUMPRODUCT(MIN((1-((tblRules[Enabled]&lt;&gt;"No")*(tblRules[Pattern]&lt;&gt;"")*(tblRules[Category]&lt;&gt;"")*((tblRules[Flow]="Any")+(tblRules[Flow]="")+((tblRules[Flow]="Money out")*($J318&lt;0))+((tblRules[Flow]="Money in")*($J318&gt;0)))*(((tblRules[Look In]="Account")*ISNUMBER(SEARCH(tblRules[Pattern],$E318)))+((tblRules[Look In]&lt;&gt;"Account")*(((tblRules[Test]="Word")*ISNUMBER(SEARCH(" "&amp;tblRules[Pattern]&amp;" "," "&amp;$H318&amp;" ")))+((tblRules[Test]&lt;&gt;"Word")*ISNUMBER(SEARCH(tblRules[Pattern],$H318))))))&gt;0))*1E+9+ROW(tblRules[Pattern])))-ROW(tblRules[[#Headers],[Pattern]])),"Uncategorized"))</f>
        <v/>
      </c>
      <c r="L318">
        <f>IF($C318="","",IFERROR(INDEX(tblCategories[Group],MATCH($K318,tblCategories[Category],0)),"Other"))</f>
        <v/>
      </c>
      <c r="M318">
        <f>IF($C318="","",IFERROR(INDEX(tblCategories[Type],MATCH($K318,tblCategories[Category],0)),IF($J318&gt;0,"Income","Expense")))</f>
        <v/>
      </c>
      <c r="N318">
        <f>IF($C318="","",IFERROR(INDEX(tblCategories[Essential],MATCH($K318,tblCategories[Category],0)),"No"))</f>
        <v/>
      </c>
      <c r="O318">
        <f>IF($C318="","",IFERROR(INDEX(tblCategories[Tax Tag],MATCH($K318,tblCategories[Category],0)),""))</f>
        <v/>
      </c>
      <c r="P318" s="20">
        <f>IF($C318="","",IF($G318=PersonA,1,IF($G318=PersonB,0,IFERROR(INDEX(tblCategories[Joint Split A],MATCH($K318,tblCategories[Category],0)),DefaultSplitA))))</f>
        <v/>
      </c>
      <c r="Q318" s="19">
        <f>IF($C318="","",ROUND($J318*N($P318),2))</f>
        <v/>
      </c>
      <c r="R318" s="19">
        <f>IF($C318="","",ROUND($J318-N($Q318),2))</f>
        <v/>
      </c>
      <c r="U318" t="inlineStr">
        <is>
          <t>sample-data</t>
        </is>
      </c>
      <c r="V318" t="inlineStr">
        <is>
          <t>SAMPLE</t>
        </is>
      </c>
      <c r="W318" t="inlineStr">
        <is>
          <t>9957ADB2</t>
        </is>
      </c>
      <c r="X318">
        <f>IF($C318="","",IFERROR(IF(_xlfn.ISFORMULA($K318),"Rule","Manual"),""))</f>
        <v/>
      </c>
      <c r="Y318" s="19">
        <f>IF($C318="","",IF(ReportView=PersonA,N($Q318),IF(ReportView=PersonB,N($R318),$J318)))</f>
        <v/>
      </c>
    </row>
    <row r="319">
      <c r="B319">
        <f>IF($C319="","","T"&amp;TEXT(ROW()-ROW(tblTxn[[#Headers],[Txn ID]]),"000000"))</f>
        <v/>
      </c>
      <c r="C319" s="18" t="n">
        <v>46260</v>
      </c>
      <c r="D319">
        <f>IF($C319="","",TEXT($C319,"yyyy-mm"))</f>
        <v/>
      </c>
      <c r="E319" t="inlineStr">
        <is>
          <t>Amex Cobalt (Joint)</t>
        </is>
      </c>
      <c r="F319">
        <f>IF($C319="","",IFERROR(INDEX(tblAccounts[Owner],MATCH($E319,tblAccounts[Account],0)),"Joint"))</f>
        <v/>
      </c>
      <c r="G319">
        <f>IF($C319="","",IF(HouseholdMode="Couple",IFERROR(IF(INDEX(tblCategories[Default Owner],MATCH($K319,tblCategories[Category],0))="",$F319,INDEX(tblCategories[Default Owner],MATCH($K319,tblCategories[Category],0))),$F319),$F319))</f>
        <v/>
      </c>
      <c r="H319" t="inlineStr">
        <is>
          <t>PAYMENT - THANK YOU / PAIEMENT - MERCI</t>
        </is>
      </c>
      <c r="I319">
        <f>IF($H319="","",$H319)</f>
        <v/>
      </c>
      <c r="J319" s="19" t="n">
        <v>291.91</v>
      </c>
      <c r="K319">
        <f>IF($H319="","",IFERROR(INDEX(tblRules[Category],SUMPRODUCT(MIN((1-((tblRules[Enabled]&lt;&gt;"No")*(tblRules[Pattern]&lt;&gt;"")*(tblRules[Category]&lt;&gt;"")*((tblRules[Flow]="Any")+(tblRules[Flow]="")+((tblRules[Flow]="Money out")*($J319&lt;0))+((tblRules[Flow]="Money in")*($J319&gt;0)))*(((tblRules[Look In]="Account")*ISNUMBER(SEARCH(tblRules[Pattern],$E319)))+((tblRules[Look In]&lt;&gt;"Account")*(((tblRules[Test]="Word")*ISNUMBER(SEARCH(" "&amp;tblRules[Pattern]&amp;" "," "&amp;$H319&amp;" ")))+((tblRules[Test]&lt;&gt;"Word")*ISNUMBER(SEARCH(tblRules[Pattern],$H319))))))&gt;0))*1E+9+ROW(tblRules[Pattern])))-ROW(tblRules[[#Headers],[Pattern]])),"Uncategorized"))</f>
        <v/>
      </c>
      <c r="L319">
        <f>IF($C319="","",IFERROR(INDEX(tblCategories[Group],MATCH($K319,tblCategories[Category],0)),"Other"))</f>
        <v/>
      </c>
      <c r="M319">
        <f>IF($C319="","",IFERROR(INDEX(tblCategories[Type],MATCH($K319,tblCategories[Category],0)),IF($J319&gt;0,"Income","Expense")))</f>
        <v/>
      </c>
      <c r="N319">
        <f>IF($C319="","",IFERROR(INDEX(tblCategories[Essential],MATCH($K319,tblCategories[Category],0)),"No"))</f>
        <v/>
      </c>
      <c r="O319">
        <f>IF($C319="","",IFERROR(INDEX(tblCategories[Tax Tag],MATCH($K319,tblCategories[Category],0)),""))</f>
        <v/>
      </c>
      <c r="P319" s="20">
        <f>IF($C319="","",IF($G319=PersonA,1,IF($G319=PersonB,0,IFERROR(INDEX(tblCategories[Joint Split A],MATCH($K319,tblCategories[Category],0)),DefaultSplitA))))</f>
        <v/>
      </c>
      <c r="Q319" s="19">
        <f>IF($C319="","",ROUND($J319*N($P319),2))</f>
        <v/>
      </c>
      <c r="R319" s="19">
        <f>IF($C319="","",ROUND($J319-N($Q319),2))</f>
        <v/>
      </c>
      <c r="U319" t="inlineStr">
        <is>
          <t>sample-data</t>
        </is>
      </c>
      <c r="V319" t="inlineStr">
        <is>
          <t>SAMPLE</t>
        </is>
      </c>
      <c r="W319" t="inlineStr">
        <is>
          <t>4E76B499</t>
        </is>
      </c>
      <c r="X319">
        <f>IF($C319="","",IFERROR(IF(_xlfn.ISFORMULA($K319),"Rule","Manual"),""))</f>
        <v/>
      </c>
      <c r="Y319" s="19">
        <f>IF($C319="","",IF(ReportView=PersonA,N($Q319),IF(ReportView=PersonB,N($R319),$J319)))</f>
        <v/>
      </c>
    </row>
    <row r="320">
      <c r="B320">
        <f>IF($C320="","","T"&amp;TEXT(ROW()-ROW(tblTxn[[#Headers],[Txn ID]]),"000000"))</f>
        <v/>
      </c>
      <c r="C320" s="18" t="n">
        <v>46260</v>
      </c>
      <c r="D320">
        <f>IF($C320="","",TEXT($C320,"yyyy-mm"))</f>
        <v/>
      </c>
      <c r="E320" t="inlineStr">
        <is>
          <t>BMO Joint Chequing</t>
        </is>
      </c>
      <c r="F320">
        <f>IF($C320="","",IFERROR(INDEX(tblAccounts[Owner],MATCH($E320,tblAccounts[Account],0)),"Joint"))</f>
        <v/>
      </c>
      <c r="G320">
        <f>IF($C320="","",IF(HouseholdMode="Couple",IFERROR(IF(INDEX(tblCategories[Default Owner],MATCH($K320,tblCategories[Category],0))="",$F320,INDEX(tblCategories[Default Owner],MATCH($K320,tblCategories[Category],0))),$F320),$F320))</f>
        <v/>
      </c>
      <c r="H320" t="inlineStr">
        <is>
          <t>AMEX CREDIT CARD/LOC PAY</t>
        </is>
      </c>
      <c r="I320">
        <f>IF($H320="","",$H320)</f>
        <v/>
      </c>
      <c r="J320" s="19" t="n">
        <v>-291.91</v>
      </c>
      <c r="K320">
        <f>IF($H320="","",IFERROR(INDEX(tblRules[Category],SUMPRODUCT(MIN((1-((tblRules[Enabled]&lt;&gt;"No")*(tblRules[Pattern]&lt;&gt;"")*(tblRules[Category]&lt;&gt;"")*((tblRules[Flow]="Any")+(tblRules[Flow]="")+((tblRules[Flow]="Money out")*($J320&lt;0))+((tblRules[Flow]="Money in")*($J320&gt;0)))*(((tblRules[Look In]="Account")*ISNUMBER(SEARCH(tblRules[Pattern],$E320)))+((tblRules[Look In]&lt;&gt;"Account")*(((tblRules[Test]="Word")*ISNUMBER(SEARCH(" "&amp;tblRules[Pattern]&amp;" "," "&amp;$H320&amp;" ")))+((tblRules[Test]&lt;&gt;"Word")*ISNUMBER(SEARCH(tblRules[Pattern],$H320))))))&gt;0))*1E+9+ROW(tblRules[Pattern])))-ROW(tblRules[[#Headers],[Pattern]])),"Uncategorized"))</f>
        <v/>
      </c>
      <c r="L320">
        <f>IF($C320="","",IFERROR(INDEX(tblCategories[Group],MATCH($K320,tblCategories[Category],0)),"Other"))</f>
        <v/>
      </c>
      <c r="M320">
        <f>IF($C320="","",IFERROR(INDEX(tblCategories[Type],MATCH($K320,tblCategories[Category],0)),IF($J320&gt;0,"Income","Expense")))</f>
        <v/>
      </c>
      <c r="N320">
        <f>IF($C320="","",IFERROR(INDEX(tblCategories[Essential],MATCH($K320,tblCategories[Category],0)),"No"))</f>
        <v/>
      </c>
      <c r="O320">
        <f>IF($C320="","",IFERROR(INDEX(tblCategories[Tax Tag],MATCH($K320,tblCategories[Category],0)),""))</f>
        <v/>
      </c>
      <c r="P320" s="20">
        <f>IF($C320="","",IF($G320=PersonA,1,IF($G320=PersonB,0,IFERROR(INDEX(tblCategories[Joint Split A],MATCH($K320,tblCategories[Category],0)),DefaultSplitA))))</f>
        <v/>
      </c>
      <c r="Q320" s="19">
        <f>IF($C320="","",ROUND($J320*N($P320),2))</f>
        <v/>
      </c>
      <c r="R320" s="19">
        <f>IF($C320="","",ROUND($J320-N($Q320),2))</f>
        <v/>
      </c>
      <c r="U320" t="inlineStr">
        <is>
          <t>sample-data</t>
        </is>
      </c>
      <c r="V320" t="inlineStr">
        <is>
          <t>SAMPLE</t>
        </is>
      </c>
      <c r="W320" t="inlineStr">
        <is>
          <t>F9882DCB</t>
        </is>
      </c>
      <c r="X320">
        <f>IF($C320="","",IFERROR(IF(_xlfn.ISFORMULA($K320),"Rule","Manual"),""))</f>
        <v/>
      </c>
      <c r="Y320" s="19">
        <f>IF($C320="","",IF(ReportView=PersonA,N($Q320),IF(ReportView=PersonB,N($R320),$J320)))</f>
        <v/>
      </c>
    </row>
    <row r="321">
      <c r="B321">
        <f>IF($C321="","","T"&amp;TEXT(ROW()-ROW(tblTxn[[#Headers],[Txn ID]]),"000000"))</f>
        <v/>
      </c>
      <c r="C321" s="18" t="n">
        <v>46260</v>
      </c>
      <c r="D321">
        <f>IF($C321="","",TEXT($C321,"yyyy-mm"))</f>
        <v/>
      </c>
      <c r="E321" t="inlineStr">
        <is>
          <t>RBC Chequing (Alex)</t>
        </is>
      </c>
      <c r="F321">
        <f>IF($C321="","",IFERROR(INDEX(tblAccounts[Owner],MATCH($E321,tblAccounts[Account],0)),"Joint"))</f>
        <v/>
      </c>
      <c r="G321">
        <f>IF($C321="","",IF(HouseholdMode="Couple",IFERROR(IF(INDEX(tblCategories[Default Owner],MATCH($K321,tblCategories[Category],0))="",$F321,INDEX(tblCategories[Default Owner],MATCH($K321,tblCategories[Category],0))),$F321),$F321))</f>
        <v/>
      </c>
      <c r="H321" t="inlineStr">
        <is>
          <t>IDP PURCHASE - 6039 INDIGO #4565 ON</t>
        </is>
      </c>
      <c r="I321">
        <f>IF($H321="","",$H321)</f>
        <v/>
      </c>
      <c r="J321" s="19" t="n">
        <v>-47.51</v>
      </c>
      <c r="K321">
        <f>IF($H321="","",IFERROR(INDEX(tblRules[Category],SUMPRODUCT(MIN((1-((tblRules[Enabled]&lt;&gt;"No")*(tblRules[Pattern]&lt;&gt;"")*(tblRules[Category]&lt;&gt;"")*((tblRules[Flow]="Any")+(tblRules[Flow]="")+((tblRules[Flow]="Money out")*($J321&lt;0))+((tblRules[Flow]="Money in")*($J321&gt;0)))*(((tblRules[Look In]="Account")*ISNUMBER(SEARCH(tblRules[Pattern],$E321)))+((tblRules[Look In]&lt;&gt;"Account")*(((tblRules[Test]="Word")*ISNUMBER(SEARCH(" "&amp;tblRules[Pattern]&amp;" "," "&amp;$H321&amp;" ")))+((tblRules[Test]&lt;&gt;"Word")*ISNUMBER(SEARCH(tblRules[Pattern],$H321))))))&gt;0))*1E+9+ROW(tblRules[Pattern])))-ROW(tblRules[[#Headers],[Pattern]])),"Uncategorized"))</f>
        <v/>
      </c>
      <c r="L321">
        <f>IF($C321="","",IFERROR(INDEX(tblCategories[Group],MATCH($K321,tblCategories[Category],0)),"Other"))</f>
        <v/>
      </c>
      <c r="M321">
        <f>IF($C321="","",IFERROR(INDEX(tblCategories[Type],MATCH($K321,tblCategories[Category],0)),IF($J321&gt;0,"Income","Expense")))</f>
        <v/>
      </c>
      <c r="N321">
        <f>IF($C321="","",IFERROR(INDEX(tblCategories[Essential],MATCH($K321,tblCategories[Category],0)),"No"))</f>
        <v/>
      </c>
      <c r="O321">
        <f>IF($C321="","",IFERROR(INDEX(tblCategories[Tax Tag],MATCH($K321,tblCategories[Category],0)),""))</f>
        <v/>
      </c>
      <c r="P321" s="20">
        <f>IF($C321="","",IF($G321=PersonA,1,IF($G321=PersonB,0,IFERROR(INDEX(tblCategories[Joint Split A],MATCH($K321,tblCategories[Category],0)),DefaultSplitA))))</f>
        <v/>
      </c>
      <c r="Q321" s="19">
        <f>IF($C321="","",ROUND($J321*N($P321),2))</f>
        <v/>
      </c>
      <c r="R321" s="19">
        <f>IF($C321="","",ROUND($J321-N($Q321),2))</f>
        <v/>
      </c>
      <c r="U321" t="inlineStr">
        <is>
          <t>sample-data</t>
        </is>
      </c>
      <c r="V321" t="inlineStr">
        <is>
          <t>SAMPLE</t>
        </is>
      </c>
      <c r="W321" t="inlineStr">
        <is>
          <t>BCB0832C</t>
        </is>
      </c>
      <c r="X321">
        <f>IF($C321="","",IFERROR(IF(_xlfn.ISFORMULA($K321),"Rule","Manual"),""))</f>
        <v/>
      </c>
      <c r="Y321" s="19">
        <f>IF($C321="","",IF(ReportView=PersonA,N($Q321),IF(ReportView=PersonB,N($R321),$J321)))</f>
        <v/>
      </c>
    </row>
    <row r="322">
      <c r="B322">
        <f>IF($C322="","","T"&amp;TEXT(ROW()-ROW(tblTxn[[#Headers],[Txn ID]]),"000000"))</f>
        <v/>
      </c>
      <c r="C322" s="18" t="n">
        <v>46260</v>
      </c>
      <c r="D322">
        <f>IF($C322="","",TEXT($C322,"yyyy-mm"))</f>
        <v/>
      </c>
      <c r="E322" t="inlineStr">
        <is>
          <t>RBC Chequing (Alex)</t>
        </is>
      </c>
      <c r="F322">
        <f>IF($C322="","",IFERROR(INDEX(tblAccounts[Owner],MATCH($E322,tblAccounts[Account],0)),"Joint"))</f>
        <v/>
      </c>
      <c r="G322">
        <f>IF($C322="","",IF(HouseholdMode="Couple",IFERROR(IF(INDEX(tblCategories[Default Owner],MATCH($K322,tblCategories[Category],0))="",$F322,INDEX(tblCategories[Default Owner],MATCH($K322,tblCategories[Category],0))),$F322),$F322))</f>
        <v/>
      </c>
      <c r="H322" t="inlineStr">
        <is>
          <t>IDP PURCHASE - 6631 SHOPPERS DRUG MART #1664 ON</t>
        </is>
      </c>
      <c r="I322">
        <f>IF($H322="","",$H322)</f>
        <v/>
      </c>
      <c r="J322" s="19" t="n">
        <v>-14.09</v>
      </c>
      <c r="K322">
        <f>IF($H322="","",IFERROR(INDEX(tblRules[Category],SUMPRODUCT(MIN((1-((tblRules[Enabled]&lt;&gt;"No")*(tblRules[Pattern]&lt;&gt;"")*(tblRules[Category]&lt;&gt;"")*((tblRules[Flow]="Any")+(tblRules[Flow]="")+((tblRules[Flow]="Money out")*($J322&lt;0))+((tblRules[Flow]="Money in")*($J322&gt;0)))*(((tblRules[Look In]="Account")*ISNUMBER(SEARCH(tblRules[Pattern],$E322)))+((tblRules[Look In]&lt;&gt;"Account")*(((tblRules[Test]="Word")*ISNUMBER(SEARCH(" "&amp;tblRules[Pattern]&amp;" "," "&amp;$H322&amp;" ")))+((tblRules[Test]&lt;&gt;"Word")*ISNUMBER(SEARCH(tblRules[Pattern],$H322))))))&gt;0))*1E+9+ROW(tblRules[Pattern])))-ROW(tblRules[[#Headers],[Pattern]])),"Uncategorized"))</f>
        <v/>
      </c>
      <c r="L322">
        <f>IF($C322="","",IFERROR(INDEX(tblCategories[Group],MATCH($K322,tblCategories[Category],0)),"Other"))</f>
        <v/>
      </c>
      <c r="M322">
        <f>IF($C322="","",IFERROR(INDEX(tblCategories[Type],MATCH($K322,tblCategories[Category],0)),IF($J322&gt;0,"Income","Expense")))</f>
        <v/>
      </c>
      <c r="N322">
        <f>IF($C322="","",IFERROR(INDEX(tblCategories[Essential],MATCH($K322,tblCategories[Category],0)),"No"))</f>
        <v/>
      </c>
      <c r="O322">
        <f>IF($C322="","",IFERROR(INDEX(tblCategories[Tax Tag],MATCH($K322,tblCategories[Category],0)),""))</f>
        <v/>
      </c>
      <c r="P322" s="20">
        <f>IF($C322="","",IF($G322=PersonA,1,IF($G322=PersonB,0,IFERROR(INDEX(tblCategories[Joint Split A],MATCH($K322,tblCategories[Category],0)),DefaultSplitA))))</f>
        <v/>
      </c>
      <c r="Q322" s="19">
        <f>IF($C322="","",ROUND($J322*N($P322),2))</f>
        <v/>
      </c>
      <c r="R322" s="19">
        <f>IF($C322="","",ROUND($J322-N($Q322),2))</f>
        <v/>
      </c>
      <c r="U322" t="inlineStr">
        <is>
          <t>sample-data</t>
        </is>
      </c>
      <c r="V322" t="inlineStr">
        <is>
          <t>SAMPLE</t>
        </is>
      </c>
      <c r="W322" t="inlineStr">
        <is>
          <t>E6FAF412</t>
        </is>
      </c>
      <c r="X322">
        <f>IF($C322="","",IFERROR(IF(_xlfn.ISFORMULA($K322),"Rule","Manual"),""))</f>
        <v/>
      </c>
      <c r="Y322" s="19">
        <f>IF($C322="","",IF(ReportView=PersonA,N($Q322),IF(ReportView=PersonB,N($R322),$J322)))</f>
        <v/>
      </c>
    </row>
    <row r="323">
      <c r="B323">
        <f>IF($C323="","","T"&amp;TEXT(ROW()-ROW(tblTxn[[#Headers],[Txn ID]]),"000000"))</f>
        <v/>
      </c>
      <c r="C323" s="18" t="n">
        <v>46261</v>
      </c>
      <c r="D323">
        <f>IF($C323="","",TEXT($C323,"yyyy-mm"))</f>
        <v/>
      </c>
      <c r="E323" t="inlineStr">
        <is>
          <t>Tangerine Chequing (Sam)</t>
        </is>
      </c>
      <c r="F323">
        <f>IF($C323="","",IFERROR(INDEX(tblAccounts[Owner],MATCH($E323,tblAccounts[Account],0)),"Joint"))</f>
        <v/>
      </c>
      <c r="G323">
        <f>IF($C323="","",IF(HouseholdMode="Couple",IFERROR(IF(INDEX(tblCategories[Default Owner],MATCH($K323,tblCategories[Category],0))="",$F323,INDEX(tblCategories[Default Owner],MATCH($K323,tblCategories[Category],0))),$F323),$F323))</f>
        <v/>
      </c>
      <c r="H323" t="inlineStr">
        <is>
          <t>IDP PURCHASE - 9293 CANADIAN TIRE #3443 ON</t>
        </is>
      </c>
      <c r="I323">
        <f>IF($H323="","",$H323)</f>
        <v/>
      </c>
      <c r="J323" s="19" t="n">
        <v>-32.88</v>
      </c>
      <c r="K323">
        <f>IF($H323="","",IFERROR(INDEX(tblRules[Category],SUMPRODUCT(MIN((1-((tblRules[Enabled]&lt;&gt;"No")*(tblRules[Pattern]&lt;&gt;"")*(tblRules[Category]&lt;&gt;"")*((tblRules[Flow]="Any")+(tblRules[Flow]="")+((tblRules[Flow]="Money out")*($J323&lt;0))+((tblRules[Flow]="Money in")*($J323&gt;0)))*(((tblRules[Look In]="Account")*ISNUMBER(SEARCH(tblRules[Pattern],$E323)))+((tblRules[Look In]&lt;&gt;"Account")*(((tblRules[Test]="Word")*ISNUMBER(SEARCH(" "&amp;tblRules[Pattern]&amp;" "," "&amp;$H323&amp;" ")))+((tblRules[Test]&lt;&gt;"Word")*ISNUMBER(SEARCH(tblRules[Pattern],$H323))))))&gt;0))*1E+9+ROW(tblRules[Pattern])))-ROW(tblRules[[#Headers],[Pattern]])),"Uncategorized"))</f>
        <v/>
      </c>
      <c r="L323">
        <f>IF($C323="","",IFERROR(INDEX(tblCategories[Group],MATCH($K323,tblCategories[Category],0)),"Other"))</f>
        <v/>
      </c>
      <c r="M323">
        <f>IF($C323="","",IFERROR(INDEX(tblCategories[Type],MATCH($K323,tblCategories[Category],0)),IF($J323&gt;0,"Income","Expense")))</f>
        <v/>
      </c>
      <c r="N323">
        <f>IF($C323="","",IFERROR(INDEX(tblCategories[Essential],MATCH($K323,tblCategories[Category],0)),"No"))</f>
        <v/>
      </c>
      <c r="O323">
        <f>IF($C323="","",IFERROR(INDEX(tblCategories[Tax Tag],MATCH($K323,tblCategories[Category],0)),""))</f>
        <v/>
      </c>
      <c r="P323" s="20">
        <f>IF($C323="","",IF($G323=PersonA,1,IF($G323=PersonB,0,IFERROR(INDEX(tblCategories[Joint Split A],MATCH($K323,tblCategories[Category],0)),DefaultSplitA))))</f>
        <v/>
      </c>
      <c r="Q323" s="19">
        <f>IF($C323="","",ROUND($J323*N($P323),2))</f>
        <v/>
      </c>
      <c r="R323" s="19">
        <f>IF($C323="","",ROUND($J323-N($Q323),2))</f>
        <v/>
      </c>
      <c r="U323" t="inlineStr">
        <is>
          <t>sample-data</t>
        </is>
      </c>
      <c r="V323" t="inlineStr">
        <is>
          <t>SAMPLE</t>
        </is>
      </c>
      <c r="W323" t="inlineStr">
        <is>
          <t>36BEAF6A</t>
        </is>
      </c>
      <c r="X323">
        <f>IF($C323="","",IFERROR(IF(_xlfn.ISFORMULA($K323),"Rule","Manual"),""))</f>
        <v/>
      </c>
      <c r="Y323" s="19">
        <f>IF($C323="","",IF(ReportView=PersonA,N($Q323),IF(ReportView=PersonB,N($R323),$J323)))</f>
        <v/>
      </c>
    </row>
    <row r="324">
      <c r="B324">
        <f>IF($C324="","","T"&amp;TEXT(ROW()-ROW(tblTxn[[#Headers],[Txn ID]]),"000000"))</f>
        <v/>
      </c>
      <c r="C324" s="18" t="n">
        <v>46262</v>
      </c>
      <c r="D324">
        <f>IF($C324="","",TEXT($C324,"yyyy-mm"))</f>
        <v/>
      </c>
      <c r="E324" t="inlineStr">
        <is>
          <t>BMO Joint Chequing</t>
        </is>
      </c>
      <c r="F324">
        <f>IF($C324="","",IFERROR(INDEX(tblAccounts[Owner],MATCH($E324,tblAccounts[Account],0)),"Joint"))</f>
        <v/>
      </c>
      <c r="G324">
        <f>IF($C324="","",IF(HouseholdMode="Couple",IFERROR(IF(INDEX(tblCategories[Default Owner],MATCH($K324,tblCategories[Category],0))="",$F324,INDEX(tblCategories[Default Owner],MATCH($K324,tblCategories[Category],0))),$F324),$F324))</f>
        <v/>
      </c>
      <c r="H324" t="inlineStr">
        <is>
          <t>IDP PURCHASE - 6170 LOBLAWS #1947 TORONTO ON</t>
        </is>
      </c>
      <c r="I324">
        <f>IF($H324="","",$H324)</f>
        <v/>
      </c>
      <c r="J324" s="19" t="n">
        <v>-104.19</v>
      </c>
      <c r="K324">
        <f>IF($H324="","",IFERROR(INDEX(tblRules[Category],SUMPRODUCT(MIN((1-((tblRules[Enabled]&lt;&gt;"No")*(tblRules[Pattern]&lt;&gt;"")*(tblRules[Category]&lt;&gt;"")*((tblRules[Flow]="Any")+(tblRules[Flow]="")+((tblRules[Flow]="Money out")*($J324&lt;0))+((tblRules[Flow]="Money in")*($J324&gt;0)))*(((tblRules[Look In]="Account")*ISNUMBER(SEARCH(tblRules[Pattern],$E324)))+((tblRules[Look In]&lt;&gt;"Account")*(((tblRules[Test]="Word")*ISNUMBER(SEARCH(" "&amp;tblRules[Pattern]&amp;" "," "&amp;$H324&amp;" ")))+((tblRules[Test]&lt;&gt;"Word")*ISNUMBER(SEARCH(tblRules[Pattern],$H324))))))&gt;0))*1E+9+ROW(tblRules[Pattern])))-ROW(tblRules[[#Headers],[Pattern]])),"Uncategorized"))</f>
        <v/>
      </c>
      <c r="L324">
        <f>IF($C324="","",IFERROR(INDEX(tblCategories[Group],MATCH($K324,tblCategories[Category],0)),"Other"))</f>
        <v/>
      </c>
      <c r="M324">
        <f>IF($C324="","",IFERROR(INDEX(tblCategories[Type],MATCH($K324,tblCategories[Category],0)),IF($J324&gt;0,"Income","Expense")))</f>
        <v/>
      </c>
      <c r="N324">
        <f>IF($C324="","",IFERROR(INDEX(tblCategories[Essential],MATCH($K324,tblCategories[Category],0)),"No"))</f>
        <v/>
      </c>
      <c r="O324">
        <f>IF($C324="","",IFERROR(INDEX(tblCategories[Tax Tag],MATCH($K324,tblCategories[Category],0)),""))</f>
        <v/>
      </c>
      <c r="P324" s="20">
        <f>IF($C324="","",IF($G324=PersonA,1,IF($G324=PersonB,0,IFERROR(INDEX(tblCategories[Joint Split A],MATCH($K324,tblCategories[Category],0)),DefaultSplitA))))</f>
        <v/>
      </c>
      <c r="Q324" s="19">
        <f>IF($C324="","",ROUND($J324*N($P324),2))</f>
        <v/>
      </c>
      <c r="R324" s="19">
        <f>IF($C324="","",ROUND($J324-N($Q324),2))</f>
        <v/>
      </c>
      <c r="U324" t="inlineStr">
        <is>
          <t>sample-data</t>
        </is>
      </c>
      <c r="V324" t="inlineStr">
        <is>
          <t>SAMPLE</t>
        </is>
      </c>
      <c r="W324" t="inlineStr">
        <is>
          <t>25457560</t>
        </is>
      </c>
      <c r="X324">
        <f>IF($C324="","",IFERROR(IF(_xlfn.ISFORMULA($K324),"Rule","Manual"),""))</f>
        <v/>
      </c>
      <c r="Y324" s="19">
        <f>IF($C324="","",IF(ReportView=PersonA,N($Q324),IF(ReportView=PersonB,N($R324),$J324)))</f>
        <v/>
      </c>
    </row>
    <row r="325">
      <c r="B325">
        <f>IF($C325="","","T"&amp;TEXT(ROW()-ROW(tblTxn[[#Headers],[Txn ID]]),"000000"))</f>
        <v/>
      </c>
      <c r="C325" s="18" t="n">
        <v>46262</v>
      </c>
      <c r="D325">
        <f>IF($C325="","",TEXT($C325,"yyyy-mm"))</f>
        <v/>
      </c>
      <c r="E325" t="inlineStr">
        <is>
          <t>RBC Chequing (Alex)</t>
        </is>
      </c>
      <c r="F325">
        <f>IF($C325="","",IFERROR(INDEX(tblAccounts[Owner],MATCH($E325,tblAccounts[Account],0)),"Joint"))</f>
        <v/>
      </c>
      <c r="G325">
        <f>IF($C325="","",IF(HouseholdMode="Couple",IFERROR(IF(INDEX(tblCategories[Default Owner],MATCH($K325,tblCategories[Category],0))="",$F325,INDEX(tblCategories[Default Owner],MATCH($K325,tblCategories[Category],0))),$F325),$F325))</f>
        <v/>
      </c>
      <c r="H325" t="inlineStr">
        <is>
          <t>MONTHLY ACCOUNT FEE</t>
        </is>
      </c>
      <c r="I325">
        <f>IF($H325="","",$H325)</f>
        <v/>
      </c>
      <c r="J325" s="19" t="n">
        <v>-11.95</v>
      </c>
      <c r="K325">
        <f>IF($H325="","",IFERROR(INDEX(tblRules[Category],SUMPRODUCT(MIN((1-((tblRules[Enabled]&lt;&gt;"No")*(tblRules[Pattern]&lt;&gt;"")*(tblRules[Category]&lt;&gt;"")*((tblRules[Flow]="Any")+(tblRules[Flow]="")+((tblRules[Flow]="Money out")*($J325&lt;0))+((tblRules[Flow]="Money in")*($J325&gt;0)))*(((tblRules[Look In]="Account")*ISNUMBER(SEARCH(tblRules[Pattern],$E325)))+((tblRules[Look In]&lt;&gt;"Account")*(((tblRules[Test]="Word")*ISNUMBER(SEARCH(" "&amp;tblRules[Pattern]&amp;" "," "&amp;$H325&amp;" ")))+((tblRules[Test]&lt;&gt;"Word")*ISNUMBER(SEARCH(tblRules[Pattern],$H325))))))&gt;0))*1E+9+ROW(tblRules[Pattern])))-ROW(tblRules[[#Headers],[Pattern]])),"Uncategorized"))</f>
        <v/>
      </c>
      <c r="L325">
        <f>IF($C325="","",IFERROR(INDEX(tblCategories[Group],MATCH($K325,tblCategories[Category],0)),"Other"))</f>
        <v/>
      </c>
      <c r="M325">
        <f>IF($C325="","",IFERROR(INDEX(tblCategories[Type],MATCH($K325,tblCategories[Category],0)),IF($J325&gt;0,"Income","Expense")))</f>
        <v/>
      </c>
      <c r="N325">
        <f>IF($C325="","",IFERROR(INDEX(tblCategories[Essential],MATCH($K325,tblCategories[Category],0)),"No"))</f>
        <v/>
      </c>
      <c r="O325">
        <f>IF($C325="","",IFERROR(INDEX(tblCategories[Tax Tag],MATCH($K325,tblCategories[Category],0)),""))</f>
        <v/>
      </c>
      <c r="P325" s="20">
        <f>IF($C325="","",IF($G325=PersonA,1,IF($G325=PersonB,0,IFERROR(INDEX(tblCategories[Joint Split A],MATCH($K325,tblCategories[Category],0)),DefaultSplitA))))</f>
        <v/>
      </c>
      <c r="Q325" s="19">
        <f>IF($C325="","",ROUND($J325*N($P325),2))</f>
        <v/>
      </c>
      <c r="R325" s="19">
        <f>IF($C325="","",ROUND($J325-N($Q325),2))</f>
        <v/>
      </c>
      <c r="U325" t="inlineStr">
        <is>
          <t>sample-data</t>
        </is>
      </c>
      <c r="V325" t="inlineStr">
        <is>
          <t>SAMPLE</t>
        </is>
      </c>
      <c r="W325" t="inlineStr">
        <is>
          <t>B439807E</t>
        </is>
      </c>
      <c r="X325">
        <f>IF($C325="","",IFERROR(IF(_xlfn.ISFORMULA($K325),"Rule","Manual"),""))</f>
        <v/>
      </c>
      <c r="Y325" s="19">
        <f>IF($C325="","",IF(ReportView=PersonA,N($Q325),IF(ReportView=PersonB,N($R325),$J325)))</f>
        <v/>
      </c>
    </row>
    <row r="326">
      <c r="B326">
        <f>IF($C326="","","T"&amp;TEXT(ROW()-ROW(tblTxn[[#Headers],[Txn ID]]),"000000"))</f>
        <v/>
      </c>
      <c r="C326" s="18" t="n">
        <v>46264</v>
      </c>
      <c r="D326">
        <f>IF($C326="","",TEXT($C326,"yyyy-mm"))</f>
        <v/>
      </c>
      <c r="E326" t="inlineStr">
        <is>
          <t>Amex Cobalt (Joint)</t>
        </is>
      </c>
      <c r="F326">
        <f>IF($C326="","",IFERROR(INDEX(tblAccounts[Owner],MATCH($E326,tblAccounts[Account],0)),"Joint"))</f>
        <v/>
      </c>
      <c r="G326">
        <f>IF($C326="","",IF(HouseholdMode="Couple",IFERROR(IF(INDEX(tblCategories[Default Owner],MATCH($K326,tblCategories[Category],0))="",$F326,INDEX(tblCategories[Default Owner],MATCH($K326,tblCategories[Category],0))),$F326),$F326))</f>
        <v/>
      </c>
      <c r="H326" t="inlineStr">
        <is>
          <t>AMZ*UBER EATS TORONTO ON</t>
        </is>
      </c>
      <c r="I326">
        <f>IF($H326="","",$H326)</f>
        <v/>
      </c>
      <c r="J326" s="19" t="n">
        <v>-56.08</v>
      </c>
      <c r="K326">
        <f>IF($H326="","",IFERROR(INDEX(tblRules[Category],SUMPRODUCT(MIN((1-((tblRules[Enabled]&lt;&gt;"No")*(tblRules[Pattern]&lt;&gt;"")*(tblRules[Category]&lt;&gt;"")*((tblRules[Flow]="Any")+(tblRules[Flow]="")+((tblRules[Flow]="Money out")*($J326&lt;0))+((tblRules[Flow]="Money in")*($J326&gt;0)))*(((tblRules[Look In]="Account")*ISNUMBER(SEARCH(tblRules[Pattern],$E326)))+((tblRules[Look In]&lt;&gt;"Account")*(((tblRules[Test]="Word")*ISNUMBER(SEARCH(" "&amp;tblRules[Pattern]&amp;" "," "&amp;$H326&amp;" ")))+((tblRules[Test]&lt;&gt;"Word")*ISNUMBER(SEARCH(tblRules[Pattern],$H326))))))&gt;0))*1E+9+ROW(tblRules[Pattern])))-ROW(tblRules[[#Headers],[Pattern]])),"Uncategorized"))</f>
        <v/>
      </c>
      <c r="L326">
        <f>IF($C326="","",IFERROR(INDEX(tblCategories[Group],MATCH($K326,tblCategories[Category],0)),"Other"))</f>
        <v/>
      </c>
      <c r="M326">
        <f>IF($C326="","",IFERROR(INDEX(tblCategories[Type],MATCH($K326,tblCategories[Category],0)),IF($J326&gt;0,"Income","Expense")))</f>
        <v/>
      </c>
      <c r="N326">
        <f>IF($C326="","",IFERROR(INDEX(tblCategories[Essential],MATCH($K326,tblCategories[Category],0)),"No"))</f>
        <v/>
      </c>
      <c r="O326">
        <f>IF($C326="","",IFERROR(INDEX(tblCategories[Tax Tag],MATCH($K326,tblCategories[Category],0)),""))</f>
        <v/>
      </c>
      <c r="P326" s="20">
        <f>IF($C326="","",IF($G326=PersonA,1,IF($G326=PersonB,0,IFERROR(INDEX(tblCategories[Joint Split A],MATCH($K326,tblCategories[Category],0)),DefaultSplitA))))</f>
        <v/>
      </c>
      <c r="Q326" s="19">
        <f>IF($C326="","",ROUND($J326*N($P326),2))</f>
        <v/>
      </c>
      <c r="R326" s="19">
        <f>IF($C326="","",ROUND($J326-N($Q326),2))</f>
        <v/>
      </c>
      <c r="U326" t="inlineStr">
        <is>
          <t>sample-data</t>
        </is>
      </c>
      <c r="V326" t="inlineStr">
        <is>
          <t>SAMPLE</t>
        </is>
      </c>
      <c r="W326" t="inlineStr">
        <is>
          <t>625D4C9E</t>
        </is>
      </c>
      <c r="X326">
        <f>IF($C326="","",IFERROR(IF(_xlfn.ISFORMULA($K326),"Rule","Manual"),""))</f>
        <v/>
      </c>
      <c r="Y326" s="19">
        <f>IF($C326="","",IF(ReportView=PersonA,N($Q326),IF(ReportView=PersonB,N($R326),$J326)))</f>
        <v/>
      </c>
    </row>
    <row r="327">
      <c r="B327">
        <f>IF($C327="","","T"&amp;TEXT(ROW()-ROW(tblTxn[[#Headers],[Txn ID]]),"000000"))</f>
        <v/>
      </c>
      <c r="C327" s="18" t="n">
        <v>46264</v>
      </c>
      <c r="D327">
        <f>IF($C327="","",TEXT($C327,"yyyy-mm"))</f>
        <v/>
      </c>
      <c r="E327" t="inlineStr">
        <is>
          <t>RBC Chequing (Alex)</t>
        </is>
      </c>
      <c r="F327">
        <f>IF($C327="","",IFERROR(INDEX(tblAccounts[Owner],MATCH($E327,tblAccounts[Account],0)),"Joint"))</f>
        <v/>
      </c>
      <c r="G327">
        <f>IF($C327="","",IF(HouseholdMode="Couple",IFERROR(IF(INDEX(tblCategories[Default Owner],MATCH($K327,tblCategories[Category],0))="",$F327,INDEX(tblCategories[Default Owner],MATCH($K327,tblCategories[Category],0))),$F327),$F327))</f>
        <v/>
      </c>
      <c r="H327" t="inlineStr">
        <is>
          <t>PAYROLL DEPOSIT NORTHWIND LOGISTICS</t>
        </is>
      </c>
      <c r="I327">
        <f>IF($H327="","",$H327)</f>
        <v/>
      </c>
      <c r="J327" s="19" t="n">
        <v>2428.18</v>
      </c>
      <c r="K327">
        <f>IF($H327="","",IFERROR(INDEX(tblRules[Category],SUMPRODUCT(MIN((1-((tblRules[Enabled]&lt;&gt;"No")*(tblRules[Pattern]&lt;&gt;"")*(tblRules[Category]&lt;&gt;"")*((tblRules[Flow]="Any")+(tblRules[Flow]="")+((tblRules[Flow]="Money out")*($J327&lt;0))+((tblRules[Flow]="Money in")*($J327&gt;0)))*(((tblRules[Look In]="Account")*ISNUMBER(SEARCH(tblRules[Pattern],$E327)))+((tblRules[Look In]&lt;&gt;"Account")*(((tblRules[Test]="Word")*ISNUMBER(SEARCH(" "&amp;tblRules[Pattern]&amp;" "," "&amp;$H327&amp;" ")))+((tblRules[Test]&lt;&gt;"Word")*ISNUMBER(SEARCH(tblRules[Pattern],$H327))))))&gt;0))*1E+9+ROW(tblRules[Pattern])))-ROW(tblRules[[#Headers],[Pattern]])),"Uncategorized"))</f>
        <v/>
      </c>
      <c r="L327">
        <f>IF($C327="","",IFERROR(INDEX(tblCategories[Group],MATCH($K327,tblCategories[Category],0)),"Other"))</f>
        <v/>
      </c>
      <c r="M327">
        <f>IF($C327="","",IFERROR(INDEX(tblCategories[Type],MATCH($K327,tblCategories[Category],0)),IF($J327&gt;0,"Income","Expense")))</f>
        <v/>
      </c>
      <c r="N327">
        <f>IF($C327="","",IFERROR(INDEX(tblCategories[Essential],MATCH($K327,tblCategories[Category],0)),"No"))</f>
        <v/>
      </c>
      <c r="O327">
        <f>IF($C327="","",IFERROR(INDEX(tblCategories[Tax Tag],MATCH($K327,tblCategories[Category],0)),""))</f>
        <v/>
      </c>
      <c r="P327" s="20">
        <f>IF($C327="","",IF($G327=PersonA,1,IF($G327=PersonB,0,IFERROR(INDEX(tblCategories[Joint Split A],MATCH($K327,tblCategories[Category],0)),DefaultSplitA))))</f>
        <v/>
      </c>
      <c r="Q327" s="19">
        <f>IF($C327="","",ROUND($J327*N($P327),2))</f>
        <v/>
      </c>
      <c r="R327" s="19">
        <f>IF($C327="","",ROUND($J327-N($Q327),2))</f>
        <v/>
      </c>
      <c r="U327" t="inlineStr">
        <is>
          <t>sample-data</t>
        </is>
      </c>
      <c r="V327" t="inlineStr">
        <is>
          <t>SAMPLE</t>
        </is>
      </c>
      <c r="W327" t="inlineStr">
        <is>
          <t>31BF4986</t>
        </is>
      </c>
      <c r="X327">
        <f>IF($C327="","",IFERROR(IF(_xlfn.ISFORMULA($K327),"Rule","Manual"),""))</f>
        <v/>
      </c>
      <c r="Y327" s="19">
        <f>IF($C327="","",IF(ReportView=PersonA,N($Q327),IF(ReportView=PersonB,N($R327),$J327)))</f>
        <v/>
      </c>
    </row>
    <row r="328">
      <c r="B328">
        <f>IF($C328="","","T"&amp;TEXT(ROW()-ROW(tblTxn[[#Headers],[Txn ID]]),"000000"))</f>
        <v/>
      </c>
      <c r="C328" s="18" t="n">
        <v>46264</v>
      </c>
      <c r="D328">
        <f>IF($C328="","",TEXT($C328,"yyyy-mm"))</f>
        <v/>
      </c>
      <c r="E328" t="inlineStr">
        <is>
          <t>Tangerine Chequing (Sam)</t>
        </is>
      </c>
      <c r="F328">
        <f>IF($C328="","",IFERROR(INDEX(tblAccounts[Owner],MATCH($E328,tblAccounts[Account],0)),"Joint"))</f>
        <v/>
      </c>
      <c r="G328">
        <f>IF($C328="","",IF(HouseholdMode="Couple",IFERROR(IF(INDEX(tblCategories[Default Owner],MATCH($K328,tblCategories[Category],0))="",$F328,INDEX(tblCategories[Default Owner],MATCH($K328,tblCategories[Category],0))),$F328),$F328))</f>
        <v/>
      </c>
      <c r="H328" t="inlineStr">
        <is>
          <t>AMZ*UBER EATS TORONTO ON</t>
        </is>
      </c>
      <c r="I328">
        <f>IF($H328="","",$H328)</f>
        <v/>
      </c>
      <c r="J328" s="19" t="n">
        <v>-50.57</v>
      </c>
      <c r="K328">
        <f>IF($H328="","",IFERROR(INDEX(tblRules[Category],SUMPRODUCT(MIN((1-((tblRules[Enabled]&lt;&gt;"No")*(tblRules[Pattern]&lt;&gt;"")*(tblRules[Category]&lt;&gt;"")*((tblRules[Flow]="Any")+(tblRules[Flow]="")+((tblRules[Flow]="Money out")*($J328&lt;0))+((tblRules[Flow]="Money in")*($J328&gt;0)))*(((tblRules[Look In]="Account")*ISNUMBER(SEARCH(tblRules[Pattern],$E328)))+((tblRules[Look In]&lt;&gt;"Account")*(((tblRules[Test]="Word")*ISNUMBER(SEARCH(" "&amp;tblRules[Pattern]&amp;" "," "&amp;$H328&amp;" ")))+((tblRules[Test]&lt;&gt;"Word")*ISNUMBER(SEARCH(tblRules[Pattern],$H328))))))&gt;0))*1E+9+ROW(tblRules[Pattern])))-ROW(tblRules[[#Headers],[Pattern]])),"Uncategorized"))</f>
        <v/>
      </c>
      <c r="L328">
        <f>IF($C328="","",IFERROR(INDEX(tblCategories[Group],MATCH($K328,tblCategories[Category],0)),"Other"))</f>
        <v/>
      </c>
      <c r="M328">
        <f>IF($C328="","",IFERROR(INDEX(tblCategories[Type],MATCH($K328,tblCategories[Category],0)),IF($J328&gt;0,"Income","Expense")))</f>
        <v/>
      </c>
      <c r="N328">
        <f>IF($C328="","",IFERROR(INDEX(tblCategories[Essential],MATCH($K328,tblCategories[Category],0)),"No"))</f>
        <v/>
      </c>
      <c r="O328">
        <f>IF($C328="","",IFERROR(INDEX(tblCategories[Tax Tag],MATCH($K328,tblCategories[Category],0)),""))</f>
        <v/>
      </c>
      <c r="P328" s="20">
        <f>IF($C328="","",IF($G328=PersonA,1,IF($G328=PersonB,0,IFERROR(INDEX(tblCategories[Joint Split A],MATCH($K328,tblCategories[Category],0)),DefaultSplitA))))</f>
        <v/>
      </c>
      <c r="Q328" s="19">
        <f>IF($C328="","",ROUND($J328*N($P328),2))</f>
        <v/>
      </c>
      <c r="R328" s="19">
        <f>IF($C328="","",ROUND($J328-N($Q328),2))</f>
        <v/>
      </c>
      <c r="U328" t="inlineStr">
        <is>
          <t>sample-data</t>
        </is>
      </c>
      <c r="V328" t="inlineStr">
        <is>
          <t>SAMPLE</t>
        </is>
      </c>
      <c r="W328" t="inlineStr">
        <is>
          <t>0721FD20</t>
        </is>
      </c>
      <c r="X328">
        <f>IF($C328="","",IFERROR(IF(_xlfn.ISFORMULA($K328),"Rule","Manual"),""))</f>
        <v/>
      </c>
      <c r="Y328" s="19">
        <f>IF($C328="","",IF(ReportView=PersonA,N($Q328),IF(ReportView=PersonB,N($R328),$J328)))</f>
        <v/>
      </c>
    </row>
    <row r="329">
      <c r="B329">
        <f>IF($C329="","","T"&amp;TEXT(ROW()-ROW(tblTxn[[#Headers],[Txn ID]]),"000000"))</f>
        <v/>
      </c>
      <c r="C329" s="18" t="n">
        <v>46264</v>
      </c>
      <c r="D329">
        <f>IF($C329="","",TEXT($C329,"yyyy-mm"))</f>
        <v/>
      </c>
      <c r="E329" t="inlineStr">
        <is>
          <t>Tangerine Chequing (Sam)</t>
        </is>
      </c>
      <c r="F329">
        <f>IF($C329="","",IFERROR(INDEX(tblAccounts[Owner],MATCH($E329,tblAccounts[Account],0)),"Joint"))</f>
        <v/>
      </c>
      <c r="G329">
        <f>IF($C329="","",IF(HouseholdMode="Couple",IFERROR(IF(INDEX(tblCategories[Default Owner],MATCH($K329,tblCategories[Category],0))="",$F329,INDEX(tblCategories[Default Owner],MATCH($K329,tblCategories[Category],0))),$F329),$F329))</f>
        <v/>
      </c>
      <c r="H329" t="inlineStr">
        <is>
          <t>PAYROLL DEPOSIT MAPLE HEALTH GROUP</t>
        </is>
      </c>
      <c r="I329">
        <f>IF($H329="","",$H329)</f>
        <v/>
      </c>
      <c r="J329" s="19" t="n">
        <v>1963.44</v>
      </c>
      <c r="K329">
        <f>IF($H329="","",IFERROR(INDEX(tblRules[Category],SUMPRODUCT(MIN((1-((tblRules[Enabled]&lt;&gt;"No")*(tblRules[Pattern]&lt;&gt;"")*(tblRules[Category]&lt;&gt;"")*((tblRules[Flow]="Any")+(tblRules[Flow]="")+((tblRules[Flow]="Money out")*($J329&lt;0))+((tblRules[Flow]="Money in")*($J329&gt;0)))*(((tblRules[Look In]="Account")*ISNUMBER(SEARCH(tblRules[Pattern],$E329)))+((tblRules[Look In]&lt;&gt;"Account")*(((tblRules[Test]="Word")*ISNUMBER(SEARCH(" "&amp;tblRules[Pattern]&amp;" "," "&amp;$H329&amp;" ")))+((tblRules[Test]&lt;&gt;"Word")*ISNUMBER(SEARCH(tblRules[Pattern],$H329))))))&gt;0))*1E+9+ROW(tblRules[Pattern])))-ROW(tblRules[[#Headers],[Pattern]])),"Uncategorized"))</f>
        <v/>
      </c>
      <c r="L329">
        <f>IF($C329="","",IFERROR(INDEX(tblCategories[Group],MATCH($K329,tblCategories[Category],0)),"Other"))</f>
        <v/>
      </c>
      <c r="M329">
        <f>IF($C329="","",IFERROR(INDEX(tblCategories[Type],MATCH($K329,tblCategories[Category],0)),IF($J329&gt;0,"Income","Expense")))</f>
        <v/>
      </c>
      <c r="N329">
        <f>IF($C329="","",IFERROR(INDEX(tblCategories[Essential],MATCH($K329,tblCategories[Category],0)),"No"))</f>
        <v/>
      </c>
      <c r="O329">
        <f>IF($C329="","",IFERROR(INDEX(tblCategories[Tax Tag],MATCH($K329,tblCategories[Category],0)),""))</f>
        <v/>
      </c>
      <c r="P329" s="20">
        <f>IF($C329="","",IF($G329=PersonA,1,IF($G329=PersonB,0,IFERROR(INDEX(tblCategories[Joint Split A],MATCH($K329,tblCategories[Category],0)),DefaultSplitA))))</f>
        <v/>
      </c>
      <c r="Q329" s="19">
        <f>IF($C329="","",ROUND($J329*N($P329),2))</f>
        <v/>
      </c>
      <c r="R329" s="19">
        <f>IF($C329="","",ROUND($J329-N($Q329),2))</f>
        <v/>
      </c>
      <c r="U329" t="inlineStr">
        <is>
          <t>sample-data</t>
        </is>
      </c>
      <c r="V329" t="inlineStr">
        <is>
          <t>SAMPLE</t>
        </is>
      </c>
      <c r="W329" t="inlineStr">
        <is>
          <t>10540EFF</t>
        </is>
      </c>
      <c r="X329">
        <f>IF($C329="","",IFERROR(IF(_xlfn.ISFORMULA($K329),"Rule","Manual"),""))</f>
        <v/>
      </c>
      <c r="Y329" s="19">
        <f>IF($C329="","",IF(ReportView=PersonA,N($Q329),IF(ReportView=PersonB,N($R329),$J329)))</f>
        <v/>
      </c>
    </row>
    <row r="330">
      <c r="B330">
        <f>IF($C330="","","T"&amp;TEXT(ROW()-ROW(tblTxn[[#Headers],[Txn ID]]),"000000"))</f>
        <v/>
      </c>
      <c r="C330" s="18" t="n">
        <v>46265</v>
      </c>
      <c r="D330">
        <f>IF($C330="","",TEXT($C330,"yyyy-mm"))</f>
        <v/>
      </c>
      <c r="E330" t="inlineStr">
        <is>
          <t>RBC Chequing (Alex)</t>
        </is>
      </c>
      <c r="F330">
        <f>IF($C330="","",IFERROR(INDEX(tblAccounts[Owner],MATCH($E330,tblAccounts[Account],0)),"Joint"))</f>
        <v/>
      </c>
      <c r="G330">
        <f>IF($C330="","",IF(HouseholdMode="Couple",IFERROR(IF(INDEX(tblCategories[Default Owner],MATCH($K330,tblCategories[Category],0))="",$F330,INDEX(tblCategories[Default Owner],MATCH($K330,tblCategories[Category],0))),$F330),$F330))</f>
        <v/>
      </c>
      <c r="H330" t="inlineStr">
        <is>
          <t>IDP PURCHASE - 6285 TIM HORTONS #3283 TORONTO ON</t>
        </is>
      </c>
      <c r="I330">
        <f>IF($H330="","",$H330)</f>
        <v/>
      </c>
      <c r="J330" s="19" t="n">
        <v>-10.53</v>
      </c>
      <c r="K330">
        <f>IF($H330="","",IFERROR(INDEX(tblRules[Category],SUMPRODUCT(MIN((1-((tblRules[Enabled]&lt;&gt;"No")*(tblRules[Pattern]&lt;&gt;"")*(tblRules[Category]&lt;&gt;"")*((tblRules[Flow]="Any")+(tblRules[Flow]="")+((tblRules[Flow]="Money out")*($J330&lt;0))+((tblRules[Flow]="Money in")*($J330&gt;0)))*(((tblRules[Look In]="Account")*ISNUMBER(SEARCH(tblRules[Pattern],$E330)))+((tblRules[Look In]&lt;&gt;"Account")*(((tblRules[Test]="Word")*ISNUMBER(SEARCH(" "&amp;tblRules[Pattern]&amp;" "," "&amp;$H330&amp;" ")))+((tblRules[Test]&lt;&gt;"Word")*ISNUMBER(SEARCH(tblRules[Pattern],$H330))))))&gt;0))*1E+9+ROW(tblRules[Pattern])))-ROW(tblRules[[#Headers],[Pattern]])),"Uncategorized"))</f>
        <v/>
      </c>
      <c r="L330">
        <f>IF($C330="","",IFERROR(INDEX(tblCategories[Group],MATCH($K330,tblCategories[Category],0)),"Other"))</f>
        <v/>
      </c>
      <c r="M330">
        <f>IF($C330="","",IFERROR(INDEX(tblCategories[Type],MATCH($K330,tblCategories[Category],0)),IF($J330&gt;0,"Income","Expense")))</f>
        <v/>
      </c>
      <c r="N330">
        <f>IF($C330="","",IFERROR(INDEX(tblCategories[Essential],MATCH($K330,tblCategories[Category],0)),"No"))</f>
        <v/>
      </c>
      <c r="O330">
        <f>IF($C330="","",IFERROR(INDEX(tblCategories[Tax Tag],MATCH($K330,tblCategories[Category],0)),""))</f>
        <v/>
      </c>
      <c r="P330" s="20">
        <f>IF($C330="","",IF($G330=PersonA,1,IF($G330=PersonB,0,IFERROR(INDEX(tblCategories[Joint Split A],MATCH($K330,tblCategories[Category],0)),DefaultSplitA))))</f>
        <v/>
      </c>
      <c r="Q330" s="19">
        <f>IF($C330="","",ROUND($J330*N($P330),2))</f>
        <v/>
      </c>
      <c r="R330" s="19">
        <f>IF($C330="","",ROUND($J330-N($Q330),2))</f>
        <v/>
      </c>
      <c r="U330" t="inlineStr">
        <is>
          <t>sample-data</t>
        </is>
      </c>
      <c r="V330" t="inlineStr">
        <is>
          <t>SAMPLE</t>
        </is>
      </c>
      <c r="W330" t="inlineStr">
        <is>
          <t>D9DD2819</t>
        </is>
      </c>
      <c r="X330">
        <f>IF($C330="","",IFERROR(IF(_xlfn.ISFORMULA($K330),"Rule","Manual"),""))</f>
        <v/>
      </c>
      <c r="Y330" s="19">
        <f>IF($C330="","",IF(ReportView=PersonA,N($Q330),IF(ReportView=PersonB,N($R330),$J330)))</f>
        <v/>
      </c>
    </row>
    <row r="331">
      <c r="B331">
        <f>IF($C331="","","T"&amp;TEXT(ROW()-ROW(tblTxn[[#Headers],[Txn ID]]),"000000"))</f>
        <v/>
      </c>
      <c r="C331" s="18" t="n"/>
      <c r="D331">
        <f>IF($C331="","",TEXT($C331,"yyyy-mm"))</f>
        <v/>
      </c>
      <c r="F331">
        <f>IF($C331="","",IFERROR(INDEX(tblAccounts[Owner],MATCH($E331,tblAccounts[Account],0)),"Joint"))</f>
        <v/>
      </c>
      <c r="G331">
        <f>IF($C331="","",IF(HouseholdMode="Couple",IFERROR(IF(INDEX(tblCategories[Default Owner],MATCH($K331,tblCategories[Category],0))="",$F331,INDEX(tblCategories[Default Owner],MATCH($K331,tblCategories[Category],0))),$F331),$F331))</f>
        <v/>
      </c>
      <c r="I331">
        <f>IF($H331="","",$H331)</f>
        <v/>
      </c>
      <c r="J331" s="19" t="n"/>
      <c r="K331">
        <f>IF($H331="","",IFERROR(INDEX(tblRules[Category],SUMPRODUCT(MIN((1-((tblRules[Enabled]&lt;&gt;"No")*(tblRules[Pattern]&lt;&gt;"")*(tblRules[Category]&lt;&gt;"")*((tblRules[Flow]="Any")+(tblRules[Flow]="")+((tblRules[Flow]="Money out")*($J331&lt;0))+((tblRules[Flow]="Money in")*($J331&gt;0)))*(((tblRules[Look In]="Account")*ISNUMBER(SEARCH(tblRules[Pattern],$E331)))+((tblRules[Look In]&lt;&gt;"Account")*(((tblRules[Test]="Word")*ISNUMBER(SEARCH(" "&amp;tblRules[Pattern]&amp;" "," "&amp;$H331&amp;" ")))+((tblRules[Test]&lt;&gt;"Word")*ISNUMBER(SEARCH(tblRules[Pattern],$H331))))))&gt;0))*1E+9+ROW(tblRules[Pattern])))-ROW(tblRules[[#Headers],[Pattern]])),"Uncategorized"))</f>
        <v/>
      </c>
      <c r="L331">
        <f>IF($C331="","",IFERROR(INDEX(tblCategories[Group],MATCH($K331,tblCategories[Category],0)),"Other"))</f>
        <v/>
      </c>
      <c r="M331">
        <f>IF($C331="","",IFERROR(INDEX(tblCategories[Type],MATCH($K331,tblCategories[Category],0)),IF($J331&gt;0,"Income","Expense")))</f>
        <v/>
      </c>
      <c r="N331">
        <f>IF($C331="","",IFERROR(INDEX(tblCategories[Essential],MATCH($K331,tblCategories[Category],0)),"No"))</f>
        <v/>
      </c>
      <c r="O331">
        <f>IF($C331="","",IFERROR(INDEX(tblCategories[Tax Tag],MATCH($K331,tblCategories[Category],0)),""))</f>
        <v/>
      </c>
      <c r="P331" s="20">
        <f>IF($C331="","",IF($G331=PersonA,1,IF($G331=PersonB,0,IFERROR(INDEX(tblCategories[Joint Split A],MATCH($K331,tblCategories[Category],0)),DefaultSplitA))))</f>
        <v/>
      </c>
      <c r="Q331" s="19">
        <f>IF($C331="","",ROUND($J331*N($P331),2))</f>
        <v/>
      </c>
      <c r="R331" s="19">
        <f>IF($C331="","",ROUND($J331-N($Q331),2))</f>
        <v/>
      </c>
      <c r="X331">
        <f>IF($C331="","",IFERROR(IF(_xlfn.ISFORMULA($K331),"Rule","Manual"),""))</f>
        <v/>
      </c>
      <c r="Y331" s="19">
        <f>IF($C331="","",IF(ReportView=PersonA,N($Q331),IF(ReportView=PersonB,N($R331),$J331)))</f>
        <v/>
      </c>
    </row>
    <row r="332">
      <c r="B332">
        <f>IF($C332="","","T"&amp;TEXT(ROW()-ROW(tblTxn[[#Headers],[Txn ID]]),"000000"))</f>
        <v/>
      </c>
      <c r="C332" s="18" t="n"/>
      <c r="D332">
        <f>IF($C332="","",TEXT($C332,"yyyy-mm"))</f>
        <v/>
      </c>
      <c r="F332">
        <f>IF($C332="","",IFERROR(INDEX(tblAccounts[Owner],MATCH($E332,tblAccounts[Account],0)),"Joint"))</f>
        <v/>
      </c>
      <c r="G332">
        <f>IF($C332="","",IF(HouseholdMode="Couple",IFERROR(IF(INDEX(tblCategories[Default Owner],MATCH($K332,tblCategories[Category],0))="",$F332,INDEX(tblCategories[Default Owner],MATCH($K332,tblCategories[Category],0))),$F332),$F332))</f>
        <v/>
      </c>
      <c r="I332">
        <f>IF($H332="","",$H332)</f>
        <v/>
      </c>
      <c r="J332" s="19" t="n"/>
      <c r="K332">
        <f>IF($H332="","",IFERROR(INDEX(tblRules[Category],SUMPRODUCT(MIN((1-((tblRules[Enabled]&lt;&gt;"No")*(tblRules[Pattern]&lt;&gt;"")*(tblRules[Category]&lt;&gt;"")*((tblRules[Flow]="Any")+(tblRules[Flow]="")+((tblRules[Flow]="Money out")*($J332&lt;0))+((tblRules[Flow]="Money in")*($J332&gt;0)))*(((tblRules[Look In]="Account")*ISNUMBER(SEARCH(tblRules[Pattern],$E332)))+((tblRules[Look In]&lt;&gt;"Account")*(((tblRules[Test]="Word")*ISNUMBER(SEARCH(" "&amp;tblRules[Pattern]&amp;" "," "&amp;$H332&amp;" ")))+((tblRules[Test]&lt;&gt;"Word")*ISNUMBER(SEARCH(tblRules[Pattern],$H332))))))&gt;0))*1E+9+ROW(tblRules[Pattern])))-ROW(tblRules[[#Headers],[Pattern]])),"Uncategorized"))</f>
        <v/>
      </c>
      <c r="L332">
        <f>IF($C332="","",IFERROR(INDEX(tblCategories[Group],MATCH($K332,tblCategories[Category],0)),"Other"))</f>
        <v/>
      </c>
      <c r="M332">
        <f>IF($C332="","",IFERROR(INDEX(tblCategories[Type],MATCH($K332,tblCategories[Category],0)),IF($J332&gt;0,"Income","Expense")))</f>
        <v/>
      </c>
      <c r="N332">
        <f>IF($C332="","",IFERROR(INDEX(tblCategories[Essential],MATCH($K332,tblCategories[Category],0)),"No"))</f>
        <v/>
      </c>
      <c r="O332">
        <f>IF($C332="","",IFERROR(INDEX(tblCategories[Tax Tag],MATCH($K332,tblCategories[Category],0)),""))</f>
        <v/>
      </c>
      <c r="P332" s="20">
        <f>IF($C332="","",IF($G332=PersonA,1,IF($G332=PersonB,0,IFERROR(INDEX(tblCategories[Joint Split A],MATCH($K332,tblCategories[Category],0)),DefaultSplitA))))</f>
        <v/>
      </c>
      <c r="Q332" s="19">
        <f>IF($C332="","",ROUND($J332*N($P332),2))</f>
        <v/>
      </c>
      <c r="R332" s="19">
        <f>IF($C332="","",ROUND($J332-N($Q332),2))</f>
        <v/>
      </c>
      <c r="X332">
        <f>IF($C332="","",IFERROR(IF(_xlfn.ISFORMULA($K332),"Rule","Manual"),""))</f>
        <v/>
      </c>
      <c r="Y332" s="19">
        <f>IF($C332="","",IF(ReportView=PersonA,N($Q332),IF(ReportView=PersonB,N($R332),$J332)))</f>
        <v/>
      </c>
    </row>
    <row r="333">
      <c r="B333">
        <f>IF($C333="","","T"&amp;TEXT(ROW()-ROW(tblTxn[[#Headers],[Txn ID]]),"000000"))</f>
        <v/>
      </c>
      <c r="C333" s="18" t="n"/>
      <c r="D333">
        <f>IF($C333="","",TEXT($C333,"yyyy-mm"))</f>
        <v/>
      </c>
      <c r="F333">
        <f>IF($C333="","",IFERROR(INDEX(tblAccounts[Owner],MATCH($E333,tblAccounts[Account],0)),"Joint"))</f>
        <v/>
      </c>
      <c r="G333">
        <f>IF($C333="","",IF(HouseholdMode="Couple",IFERROR(IF(INDEX(tblCategories[Default Owner],MATCH($K333,tblCategories[Category],0))="",$F333,INDEX(tblCategories[Default Owner],MATCH($K333,tblCategories[Category],0))),$F333),$F333))</f>
        <v/>
      </c>
      <c r="I333">
        <f>IF($H333="","",$H333)</f>
        <v/>
      </c>
      <c r="J333" s="19" t="n"/>
      <c r="K333">
        <f>IF($H333="","",IFERROR(INDEX(tblRules[Category],SUMPRODUCT(MIN((1-((tblRules[Enabled]&lt;&gt;"No")*(tblRules[Pattern]&lt;&gt;"")*(tblRules[Category]&lt;&gt;"")*((tblRules[Flow]="Any")+(tblRules[Flow]="")+((tblRules[Flow]="Money out")*($J333&lt;0))+((tblRules[Flow]="Money in")*($J333&gt;0)))*(((tblRules[Look In]="Account")*ISNUMBER(SEARCH(tblRules[Pattern],$E333)))+((tblRules[Look In]&lt;&gt;"Account")*(((tblRules[Test]="Word")*ISNUMBER(SEARCH(" "&amp;tblRules[Pattern]&amp;" "," "&amp;$H333&amp;" ")))+((tblRules[Test]&lt;&gt;"Word")*ISNUMBER(SEARCH(tblRules[Pattern],$H333))))))&gt;0))*1E+9+ROW(tblRules[Pattern])))-ROW(tblRules[[#Headers],[Pattern]])),"Uncategorized"))</f>
        <v/>
      </c>
      <c r="L333">
        <f>IF($C333="","",IFERROR(INDEX(tblCategories[Group],MATCH($K333,tblCategories[Category],0)),"Other"))</f>
        <v/>
      </c>
      <c r="M333">
        <f>IF($C333="","",IFERROR(INDEX(tblCategories[Type],MATCH($K333,tblCategories[Category],0)),IF($J333&gt;0,"Income","Expense")))</f>
        <v/>
      </c>
      <c r="N333">
        <f>IF($C333="","",IFERROR(INDEX(tblCategories[Essential],MATCH($K333,tblCategories[Category],0)),"No"))</f>
        <v/>
      </c>
      <c r="O333">
        <f>IF($C333="","",IFERROR(INDEX(tblCategories[Tax Tag],MATCH($K333,tblCategories[Category],0)),""))</f>
        <v/>
      </c>
      <c r="P333" s="20">
        <f>IF($C333="","",IF($G333=PersonA,1,IF($G333=PersonB,0,IFERROR(INDEX(tblCategories[Joint Split A],MATCH($K333,tblCategories[Category],0)),DefaultSplitA))))</f>
        <v/>
      </c>
      <c r="Q333" s="19">
        <f>IF($C333="","",ROUND($J333*N($P333),2))</f>
        <v/>
      </c>
      <c r="R333" s="19">
        <f>IF($C333="","",ROUND($J333-N($Q333),2))</f>
        <v/>
      </c>
      <c r="X333">
        <f>IF($C333="","",IFERROR(IF(_xlfn.ISFORMULA($K333),"Rule","Manual"),""))</f>
        <v/>
      </c>
      <c r="Y333" s="19">
        <f>IF($C333="","",IF(ReportView=PersonA,N($Q333),IF(ReportView=PersonB,N($R333),$J333)))</f>
        <v/>
      </c>
    </row>
    <row r="334">
      <c r="B334">
        <f>IF($C334="","","T"&amp;TEXT(ROW()-ROW(tblTxn[[#Headers],[Txn ID]]),"000000"))</f>
        <v/>
      </c>
      <c r="C334" s="18" t="n"/>
      <c r="D334">
        <f>IF($C334="","",TEXT($C334,"yyyy-mm"))</f>
        <v/>
      </c>
      <c r="F334">
        <f>IF($C334="","",IFERROR(INDEX(tblAccounts[Owner],MATCH($E334,tblAccounts[Account],0)),"Joint"))</f>
        <v/>
      </c>
      <c r="G334">
        <f>IF($C334="","",IF(HouseholdMode="Couple",IFERROR(IF(INDEX(tblCategories[Default Owner],MATCH($K334,tblCategories[Category],0))="",$F334,INDEX(tblCategories[Default Owner],MATCH($K334,tblCategories[Category],0))),$F334),$F334))</f>
        <v/>
      </c>
      <c r="I334">
        <f>IF($H334="","",$H334)</f>
        <v/>
      </c>
      <c r="J334" s="19" t="n"/>
      <c r="K334">
        <f>IF($H334="","",IFERROR(INDEX(tblRules[Category],SUMPRODUCT(MIN((1-((tblRules[Enabled]&lt;&gt;"No")*(tblRules[Pattern]&lt;&gt;"")*(tblRules[Category]&lt;&gt;"")*((tblRules[Flow]="Any")+(tblRules[Flow]="")+((tblRules[Flow]="Money out")*($J334&lt;0))+((tblRules[Flow]="Money in")*($J334&gt;0)))*(((tblRules[Look In]="Account")*ISNUMBER(SEARCH(tblRules[Pattern],$E334)))+((tblRules[Look In]&lt;&gt;"Account")*(((tblRules[Test]="Word")*ISNUMBER(SEARCH(" "&amp;tblRules[Pattern]&amp;" "," "&amp;$H334&amp;" ")))+((tblRules[Test]&lt;&gt;"Word")*ISNUMBER(SEARCH(tblRules[Pattern],$H334))))))&gt;0))*1E+9+ROW(tblRules[Pattern])))-ROW(tblRules[[#Headers],[Pattern]])),"Uncategorized"))</f>
        <v/>
      </c>
      <c r="L334">
        <f>IF($C334="","",IFERROR(INDEX(tblCategories[Group],MATCH($K334,tblCategories[Category],0)),"Other"))</f>
        <v/>
      </c>
      <c r="M334">
        <f>IF($C334="","",IFERROR(INDEX(tblCategories[Type],MATCH($K334,tblCategories[Category],0)),IF($J334&gt;0,"Income","Expense")))</f>
        <v/>
      </c>
      <c r="N334">
        <f>IF($C334="","",IFERROR(INDEX(tblCategories[Essential],MATCH($K334,tblCategories[Category],0)),"No"))</f>
        <v/>
      </c>
      <c r="O334">
        <f>IF($C334="","",IFERROR(INDEX(tblCategories[Tax Tag],MATCH($K334,tblCategories[Category],0)),""))</f>
        <v/>
      </c>
      <c r="P334" s="20">
        <f>IF($C334="","",IF($G334=PersonA,1,IF($G334=PersonB,0,IFERROR(INDEX(tblCategories[Joint Split A],MATCH($K334,tblCategories[Category],0)),DefaultSplitA))))</f>
        <v/>
      </c>
      <c r="Q334" s="19">
        <f>IF($C334="","",ROUND($J334*N($P334),2))</f>
        <v/>
      </c>
      <c r="R334" s="19">
        <f>IF($C334="","",ROUND($J334-N($Q334),2))</f>
        <v/>
      </c>
      <c r="X334">
        <f>IF($C334="","",IFERROR(IF(_xlfn.ISFORMULA($K334),"Rule","Manual"),""))</f>
        <v/>
      </c>
      <c r="Y334" s="19">
        <f>IF($C334="","",IF(ReportView=PersonA,N($Q334),IF(ReportView=PersonB,N($R334),$J334)))</f>
        <v/>
      </c>
    </row>
    <row r="335">
      <c r="B335">
        <f>IF($C335="","","T"&amp;TEXT(ROW()-ROW(tblTxn[[#Headers],[Txn ID]]),"000000"))</f>
        <v/>
      </c>
      <c r="C335" s="18" t="n"/>
      <c r="D335">
        <f>IF($C335="","",TEXT($C335,"yyyy-mm"))</f>
        <v/>
      </c>
      <c r="F335">
        <f>IF($C335="","",IFERROR(INDEX(tblAccounts[Owner],MATCH($E335,tblAccounts[Account],0)),"Joint"))</f>
        <v/>
      </c>
      <c r="G335">
        <f>IF($C335="","",IF(HouseholdMode="Couple",IFERROR(IF(INDEX(tblCategories[Default Owner],MATCH($K335,tblCategories[Category],0))="",$F335,INDEX(tblCategories[Default Owner],MATCH($K335,tblCategories[Category],0))),$F335),$F335))</f>
        <v/>
      </c>
      <c r="I335">
        <f>IF($H335="","",$H335)</f>
        <v/>
      </c>
      <c r="J335" s="19" t="n"/>
      <c r="K335">
        <f>IF($H335="","",IFERROR(INDEX(tblRules[Category],SUMPRODUCT(MIN((1-((tblRules[Enabled]&lt;&gt;"No")*(tblRules[Pattern]&lt;&gt;"")*(tblRules[Category]&lt;&gt;"")*((tblRules[Flow]="Any")+(tblRules[Flow]="")+((tblRules[Flow]="Money out")*($J335&lt;0))+((tblRules[Flow]="Money in")*($J335&gt;0)))*(((tblRules[Look In]="Account")*ISNUMBER(SEARCH(tblRules[Pattern],$E335)))+((tblRules[Look In]&lt;&gt;"Account")*(((tblRules[Test]="Word")*ISNUMBER(SEARCH(" "&amp;tblRules[Pattern]&amp;" "," "&amp;$H335&amp;" ")))+((tblRules[Test]&lt;&gt;"Word")*ISNUMBER(SEARCH(tblRules[Pattern],$H335))))))&gt;0))*1E+9+ROW(tblRules[Pattern])))-ROW(tblRules[[#Headers],[Pattern]])),"Uncategorized"))</f>
        <v/>
      </c>
      <c r="L335">
        <f>IF($C335="","",IFERROR(INDEX(tblCategories[Group],MATCH($K335,tblCategories[Category],0)),"Other"))</f>
        <v/>
      </c>
      <c r="M335">
        <f>IF($C335="","",IFERROR(INDEX(tblCategories[Type],MATCH($K335,tblCategories[Category],0)),IF($J335&gt;0,"Income","Expense")))</f>
        <v/>
      </c>
      <c r="N335">
        <f>IF($C335="","",IFERROR(INDEX(tblCategories[Essential],MATCH($K335,tblCategories[Category],0)),"No"))</f>
        <v/>
      </c>
      <c r="O335">
        <f>IF($C335="","",IFERROR(INDEX(tblCategories[Tax Tag],MATCH($K335,tblCategories[Category],0)),""))</f>
        <v/>
      </c>
      <c r="P335" s="20">
        <f>IF($C335="","",IF($G335=PersonA,1,IF($G335=PersonB,0,IFERROR(INDEX(tblCategories[Joint Split A],MATCH($K335,tblCategories[Category],0)),DefaultSplitA))))</f>
        <v/>
      </c>
      <c r="Q335" s="19">
        <f>IF($C335="","",ROUND($J335*N($P335),2))</f>
        <v/>
      </c>
      <c r="R335" s="19">
        <f>IF($C335="","",ROUND($J335-N($Q335),2))</f>
        <v/>
      </c>
      <c r="X335">
        <f>IF($C335="","",IFERROR(IF(_xlfn.ISFORMULA($K335),"Rule","Manual"),""))</f>
        <v/>
      </c>
      <c r="Y335" s="19">
        <f>IF($C335="","",IF(ReportView=PersonA,N($Q335),IF(ReportView=PersonB,N($R335),$J335)))</f>
        <v/>
      </c>
    </row>
    <row r="336">
      <c r="B336">
        <f>IF($C336="","","T"&amp;TEXT(ROW()-ROW(tblTxn[[#Headers],[Txn ID]]),"000000"))</f>
        <v/>
      </c>
      <c r="C336" s="18" t="n"/>
      <c r="D336">
        <f>IF($C336="","",TEXT($C336,"yyyy-mm"))</f>
        <v/>
      </c>
      <c r="F336">
        <f>IF($C336="","",IFERROR(INDEX(tblAccounts[Owner],MATCH($E336,tblAccounts[Account],0)),"Joint"))</f>
        <v/>
      </c>
      <c r="G336">
        <f>IF($C336="","",IF(HouseholdMode="Couple",IFERROR(IF(INDEX(tblCategories[Default Owner],MATCH($K336,tblCategories[Category],0))="",$F336,INDEX(tblCategories[Default Owner],MATCH($K336,tblCategories[Category],0))),$F336),$F336))</f>
        <v/>
      </c>
      <c r="I336">
        <f>IF($H336="","",$H336)</f>
        <v/>
      </c>
      <c r="J336" s="19" t="n"/>
      <c r="K336">
        <f>IF($H336="","",IFERROR(INDEX(tblRules[Category],SUMPRODUCT(MIN((1-((tblRules[Enabled]&lt;&gt;"No")*(tblRules[Pattern]&lt;&gt;"")*(tblRules[Category]&lt;&gt;"")*((tblRules[Flow]="Any")+(tblRules[Flow]="")+((tblRules[Flow]="Money out")*($J336&lt;0))+((tblRules[Flow]="Money in")*($J336&gt;0)))*(((tblRules[Look In]="Account")*ISNUMBER(SEARCH(tblRules[Pattern],$E336)))+((tblRules[Look In]&lt;&gt;"Account")*(((tblRules[Test]="Word")*ISNUMBER(SEARCH(" "&amp;tblRules[Pattern]&amp;" "," "&amp;$H336&amp;" ")))+((tblRules[Test]&lt;&gt;"Word")*ISNUMBER(SEARCH(tblRules[Pattern],$H336))))))&gt;0))*1E+9+ROW(tblRules[Pattern])))-ROW(tblRules[[#Headers],[Pattern]])),"Uncategorized"))</f>
        <v/>
      </c>
      <c r="L336">
        <f>IF($C336="","",IFERROR(INDEX(tblCategories[Group],MATCH($K336,tblCategories[Category],0)),"Other"))</f>
        <v/>
      </c>
      <c r="M336">
        <f>IF($C336="","",IFERROR(INDEX(tblCategories[Type],MATCH($K336,tblCategories[Category],0)),IF($J336&gt;0,"Income","Expense")))</f>
        <v/>
      </c>
      <c r="N336">
        <f>IF($C336="","",IFERROR(INDEX(tblCategories[Essential],MATCH($K336,tblCategories[Category],0)),"No"))</f>
        <v/>
      </c>
      <c r="O336">
        <f>IF($C336="","",IFERROR(INDEX(tblCategories[Tax Tag],MATCH($K336,tblCategories[Category],0)),""))</f>
        <v/>
      </c>
      <c r="P336" s="20">
        <f>IF($C336="","",IF($G336=PersonA,1,IF($G336=PersonB,0,IFERROR(INDEX(tblCategories[Joint Split A],MATCH($K336,tblCategories[Category],0)),DefaultSplitA))))</f>
        <v/>
      </c>
      <c r="Q336" s="19">
        <f>IF($C336="","",ROUND($J336*N($P336),2))</f>
        <v/>
      </c>
      <c r="R336" s="19">
        <f>IF($C336="","",ROUND($J336-N($Q336),2))</f>
        <v/>
      </c>
      <c r="X336">
        <f>IF($C336="","",IFERROR(IF(_xlfn.ISFORMULA($K336),"Rule","Manual"),""))</f>
        <v/>
      </c>
      <c r="Y336" s="19">
        <f>IF($C336="","",IF(ReportView=PersonA,N($Q336),IF(ReportView=PersonB,N($R336),$J336)))</f>
        <v/>
      </c>
    </row>
    <row r="337">
      <c r="B337">
        <f>IF($C337="","","T"&amp;TEXT(ROW()-ROW(tblTxn[[#Headers],[Txn ID]]),"000000"))</f>
        <v/>
      </c>
      <c r="C337" s="18" t="n"/>
      <c r="D337">
        <f>IF($C337="","",TEXT($C337,"yyyy-mm"))</f>
        <v/>
      </c>
      <c r="F337">
        <f>IF($C337="","",IFERROR(INDEX(tblAccounts[Owner],MATCH($E337,tblAccounts[Account],0)),"Joint"))</f>
        <v/>
      </c>
      <c r="G337">
        <f>IF($C337="","",IF(HouseholdMode="Couple",IFERROR(IF(INDEX(tblCategories[Default Owner],MATCH($K337,tblCategories[Category],0))="",$F337,INDEX(tblCategories[Default Owner],MATCH($K337,tblCategories[Category],0))),$F337),$F337))</f>
        <v/>
      </c>
      <c r="I337">
        <f>IF($H337="","",$H337)</f>
        <v/>
      </c>
      <c r="J337" s="19" t="n"/>
      <c r="K337">
        <f>IF($H337="","",IFERROR(INDEX(tblRules[Category],SUMPRODUCT(MIN((1-((tblRules[Enabled]&lt;&gt;"No")*(tblRules[Pattern]&lt;&gt;"")*(tblRules[Category]&lt;&gt;"")*((tblRules[Flow]="Any")+(tblRules[Flow]="")+((tblRules[Flow]="Money out")*($J337&lt;0))+((tblRules[Flow]="Money in")*($J337&gt;0)))*(((tblRules[Look In]="Account")*ISNUMBER(SEARCH(tblRules[Pattern],$E337)))+((tblRules[Look In]&lt;&gt;"Account")*(((tblRules[Test]="Word")*ISNUMBER(SEARCH(" "&amp;tblRules[Pattern]&amp;" "," "&amp;$H337&amp;" ")))+((tblRules[Test]&lt;&gt;"Word")*ISNUMBER(SEARCH(tblRules[Pattern],$H337))))))&gt;0))*1E+9+ROW(tblRules[Pattern])))-ROW(tblRules[[#Headers],[Pattern]])),"Uncategorized"))</f>
        <v/>
      </c>
      <c r="L337">
        <f>IF($C337="","",IFERROR(INDEX(tblCategories[Group],MATCH($K337,tblCategories[Category],0)),"Other"))</f>
        <v/>
      </c>
      <c r="M337">
        <f>IF($C337="","",IFERROR(INDEX(tblCategories[Type],MATCH($K337,tblCategories[Category],0)),IF($J337&gt;0,"Income","Expense")))</f>
        <v/>
      </c>
      <c r="N337">
        <f>IF($C337="","",IFERROR(INDEX(tblCategories[Essential],MATCH($K337,tblCategories[Category],0)),"No"))</f>
        <v/>
      </c>
      <c r="O337">
        <f>IF($C337="","",IFERROR(INDEX(tblCategories[Tax Tag],MATCH($K337,tblCategories[Category],0)),""))</f>
        <v/>
      </c>
      <c r="P337" s="20">
        <f>IF($C337="","",IF($G337=PersonA,1,IF($G337=PersonB,0,IFERROR(INDEX(tblCategories[Joint Split A],MATCH($K337,tblCategories[Category],0)),DefaultSplitA))))</f>
        <v/>
      </c>
      <c r="Q337" s="19">
        <f>IF($C337="","",ROUND($J337*N($P337),2))</f>
        <v/>
      </c>
      <c r="R337" s="19">
        <f>IF($C337="","",ROUND($J337-N($Q337),2))</f>
        <v/>
      </c>
      <c r="X337">
        <f>IF($C337="","",IFERROR(IF(_xlfn.ISFORMULA($K337),"Rule","Manual"),""))</f>
        <v/>
      </c>
      <c r="Y337" s="19">
        <f>IF($C337="","",IF(ReportView=PersonA,N($Q337),IF(ReportView=PersonB,N($R337),$J337)))</f>
        <v/>
      </c>
    </row>
    <row r="338">
      <c r="B338">
        <f>IF($C338="","","T"&amp;TEXT(ROW()-ROW(tblTxn[[#Headers],[Txn ID]]),"000000"))</f>
        <v/>
      </c>
      <c r="C338" s="18" t="n"/>
      <c r="D338">
        <f>IF($C338="","",TEXT($C338,"yyyy-mm"))</f>
        <v/>
      </c>
      <c r="F338">
        <f>IF($C338="","",IFERROR(INDEX(tblAccounts[Owner],MATCH($E338,tblAccounts[Account],0)),"Joint"))</f>
        <v/>
      </c>
      <c r="G338">
        <f>IF($C338="","",IF(HouseholdMode="Couple",IFERROR(IF(INDEX(tblCategories[Default Owner],MATCH($K338,tblCategories[Category],0))="",$F338,INDEX(tblCategories[Default Owner],MATCH($K338,tblCategories[Category],0))),$F338),$F338))</f>
        <v/>
      </c>
      <c r="I338">
        <f>IF($H338="","",$H338)</f>
        <v/>
      </c>
      <c r="J338" s="19" t="n"/>
      <c r="K338">
        <f>IF($H338="","",IFERROR(INDEX(tblRules[Category],SUMPRODUCT(MIN((1-((tblRules[Enabled]&lt;&gt;"No")*(tblRules[Pattern]&lt;&gt;"")*(tblRules[Category]&lt;&gt;"")*((tblRules[Flow]="Any")+(tblRules[Flow]="")+((tblRules[Flow]="Money out")*($J338&lt;0))+((tblRules[Flow]="Money in")*($J338&gt;0)))*(((tblRules[Look In]="Account")*ISNUMBER(SEARCH(tblRules[Pattern],$E338)))+((tblRules[Look In]&lt;&gt;"Account")*(((tblRules[Test]="Word")*ISNUMBER(SEARCH(" "&amp;tblRules[Pattern]&amp;" "," "&amp;$H338&amp;" ")))+((tblRules[Test]&lt;&gt;"Word")*ISNUMBER(SEARCH(tblRules[Pattern],$H338))))))&gt;0))*1E+9+ROW(tblRules[Pattern])))-ROW(tblRules[[#Headers],[Pattern]])),"Uncategorized"))</f>
        <v/>
      </c>
      <c r="L338">
        <f>IF($C338="","",IFERROR(INDEX(tblCategories[Group],MATCH($K338,tblCategories[Category],0)),"Other"))</f>
        <v/>
      </c>
      <c r="M338">
        <f>IF($C338="","",IFERROR(INDEX(tblCategories[Type],MATCH($K338,tblCategories[Category],0)),IF($J338&gt;0,"Income","Expense")))</f>
        <v/>
      </c>
      <c r="N338">
        <f>IF($C338="","",IFERROR(INDEX(tblCategories[Essential],MATCH($K338,tblCategories[Category],0)),"No"))</f>
        <v/>
      </c>
      <c r="O338">
        <f>IF($C338="","",IFERROR(INDEX(tblCategories[Tax Tag],MATCH($K338,tblCategories[Category],0)),""))</f>
        <v/>
      </c>
      <c r="P338" s="20">
        <f>IF($C338="","",IF($G338=PersonA,1,IF($G338=PersonB,0,IFERROR(INDEX(tblCategories[Joint Split A],MATCH($K338,tblCategories[Category],0)),DefaultSplitA))))</f>
        <v/>
      </c>
      <c r="Q338" s="19">
        <f>IF($C338="","",ROUND($J338*N($P338),2))</f>
        <v/>
      </c>
      <c r="R338" s="19">
        <f>IF($C338="","",ROUND($J338-N($Q338),2))</f>
        <v/>
      </c>
      <c r="X338">
        <f>IF($C338="","",IFERROR(IF(_xlfn.ISFORMULA($K338),"Rule","Manual"),""))</f>
        <v/>
      </c>
      <c r="Y338" s="19">
        <f>IF($C338="","",IF(ReportView=PersonA,N($Q338),IF(ReportView=PersonB,N($R338),$J338)))</f>
        <v/>
      </c>
    </row>
    <row r="339">
      <c r="B339">
        <f>IF($C339="","","T"&amp;TEXT(ROW()-ROW(tblTxn[[#Headers],[Txn ID]]),"000000"))</f>
        <v/>
      </c>
      <c r="C339" s="18" t="n"/>
      <c r="D339">
        <f>IF($C339="","",TEXT($C339,"yyyy-mm"))</f>
        <v/>
      </c>
      <c r="F339">
        <f>IF($C339="","",IFERROR(INDEX(tblAccounts[Owner],MATCH($E339,tblAccounts[Account],0)),"Joint"))</f>
        <v/>
      </c>
      <c r="G339">
        <f>IF($C339="","",IF(HouseholdMode="Couple",IFERROR(IF(INDEX(tblCategories[Default Owner],MATCH($K339,tblCategories[Category],0))="",$F339,INDEX(tblCategories[Default Owner],MATCH($K339,tblCategories[Category],0))),$F339),$F339))</f>
        <v/>
      </c>
      <c r="I339">
        <f>IF($H339="","",$H339)</f>
        <v/>
      </c>
      <c r="J339" s="19" t="n"/>
      <c r="K339">
        <f>IF($H339="","",IFERROR(INDEX(tblRules[Category],SUMPRODUCT(MIN((1-((tblRules[Enabled]&lt;&gt;"No")*(tblRules[Pattern]&lt;&gt;"")*(tblRules[Category]&lt;&gt;"")*((tblRules[Flow]="Any")+(tblRules[Flow]="")+((tblRules[Flow]="Money out")*($J339&lt;0))+((tblRules[Flow]="Money in")*($J339&gt;0)))*(((tblRules[Look In]="Account")*ISNUMBER(SEARCH(tblRules[Pattern],$E339)))+((tblRules[Look In]&lt;&gt;"Account")*(((tblRules[Test]="Word")*ISNUMBER(SEARCH(" "&amp;tblRules[Pattern]&amp;" "," "&amp;$H339&amp;" ")))+((tblRules[Test]&lt;&gt;"Word")*ISNUMBER(SEARCH(tblRules[Pattern],$H339))))))&gt;0))*1E+9+ROW(tblRules[Pattern])))-ROW(tblRules[[#Headers],[Pattern]])),"Uncategorized"))</f>
        <v/>
      </c>
      <c r="L339">
        <f>IF($C339="","",IFERROR(INDEX(tblCategories[Group],MATCH($K339,tblCategories[Category],0)),"Other"))</f>
        <v/>
      </c>
      <c r="M339">
        <f>IF($C339="","",IFERROR(INDEX(tblCategories[Type],MATCH($K339,tblCategories[Category],0)),IF($J339&gt;0,"Income","Expense")))</f>
        <v/>
      </c>
      <c r="N339">
        <f>IF($C339="","",IFERROR(INDEX(tblCategories[Essential],MATCH($K339,tblCategories[Category],0)),"No"))</f>
        <v/>
      </c>
      <c r="O339">
        <f>IF($C339="","",IFERROR(INDEX(tblCategories[Tax Tag],MATCH($K339,tblCategories[Category],0)),""))</f>
        <v/>
      </c>
      <c r="P339" s="20">
        <f>IF($C339="","",IF($G339=PersonA,1,IF($G339=PersonB,0,IFERROR(INDEX(tblCategories[Joint Split A],MATCH($K339,tblCategories[Category],0)),DefaultSplitA))))</f>
        <v/>
      </c>
      <c r="Q339" s="19">
        <f>IF($C339="","",ROUND($J339*N($P339),2))</f>
        <v/>
      </c>
      <c r="R339" s="19">
        <f>IF($C339="","",ROUND($J339-N($Q339),2))</f>
        <v/>
      </c>
      <c r="X339">
        <f>IF($C339="","",IFERROR(IF(_xlfn.ISFORMULA($K339),"Rule","Manual"),""))</f>
        <v/>
      </c>
      <c r="Y339" s="19">
        <f>IF($C339="","",IF(ReportView=PersonA,N($Q339),IF(ReportView=PersonB,N($R339),$J339)))</f>
        <v/>
      </c>
    </row>
    <row r="340">
      <c r="B340">
        <f>IF($C340="","","T"&amp;TEXT(ROW()-ROW(tblTxn[[#Headers],[Txn ID]]),"000000"))</f>
        <v/>
      </c>
      <c r="C340" s="18" t="n"/>
      <c r="D340">
        <f>IF($C340="","",TEXT($C340,"yyyy-mm"))</f>
        <v/>
      </c>
      <c r="F340">
        <f>IF($C340="","",IFERROR(INDEX(tblAccounts[Owner],MATCH($E340,tblAccounts[Account],0)),"Joint"))</f>
        <v/>
      </c>
      <c r="G340">
        <f>IF($C340="","",IF(HouseholdMode="Couple",IFERROR(IF(INDEX(tblCategories[Default Owner],MATCH($K340,tblCategories[Category],0))="",$F340,INDEX(tblCategories[Default Owner],MATCH($K340,tblCategories[Category],0))),$F340),$F340))</f>
        <v/>
      </c>
      <c r="I340">
        <f>IF($H340="","",$H340)</f>
        <v/>
      </c>
      <c r="J340" s="19" t="n"/>
      <c r="K340">
        <f>IF($H340="","",IFERROR(INDEX(tblRules[Category],SUMPRODUCT(MIN((1-((tblRules[Enabled]&lt;&gt;"No")*(tblRules[Pattern]&lt;&gt;"")*(tblRules[Category]&lt;&gt;"")*((tblRules[Flow]="Any")+(tblRules[Flow]="")+((tblRules[Flow]="Money out")*($J340&lt;0))+((tblRules[Flow]="Money in")*($J340&gt;0)))*(((tblRules[Look In]="Account")*ISNUMBER(SEARCH(tblRules[Pattern],$E340)))+((tblRules[Look In]&lt;&gt;"Account")*(((tblRules[Test]="Word")*ISNUMBER(SEARCH(" "&amp;tblRules[Pattern]&amp;" "," "&amp;$H340&amp;" ")))+((tblRules[Test]&lt;&gt;"Word")*ISNUMBER(SEARCH(tblRules[Pattern],$H340))))))&gt;0))*1E+9+ROW(tblRules[Pattern])))-ROW(tblRules[[#Headers],[Pattern]])),"Uncategorized"))</f>
        <v/>
      </c>
      <c r="L340">
        <f>IF($C340="","",IFERROR(INDEX(tblCategories[Group],MATCH($K340,tblCategories[Category],0)),"Other"))</f>
        <v/>
      </c>
      <c r="M340">
        <f>IF($C340="","",IFERROR(INDEX(tblCategories[Type],MATCH($K340,tblCategories[Category],0)),IF($J340&gt;0,"Income","Expense")))</f>
        <v/>
      </c>
      <c r="N340">
        <f>IF($C340="","",IFERROR(INDEX(tblCategories[Essential],MATCH($K340,tblCategories[Category],0)),"No"))</f>
        <v/>
      </c>
      <c r="O340">
        <f>IF($C340="","",IFERROR(INDEX(tblCategories[Tax Tag],MATCH($K340,tblCategories[Category],0)),""))</f>
        <v/>
      </c>
      <c r="P340" s="20">
        <f>IF($C340="","",IF($G340=PersonA,1,IF($G340=PersonB,0,IFERROR(INDEX(tblCategories[Joint Split A],MATCH($K340,tblCategories[Category],0)),DefaultSplitA))))</f>
        <v/>
      </c>
      <c r="Q340" s="19">
        <f>IF($C340="","",ROUND($J340*N($P340),2))</f>
        <v/>
      </c>
      <c r="R340" s="19">
        <f>IF($C340="","",ROUND($J340-N($Q340),2))</f>
        <v/>
      </c>
      <c r="X340">
        <f>IF($C340="","",IFERROR(IF(_xlfn.ISFORMULA($K340),"Rule","Manual"),""))</f>
        <v/>
      </c>
      <c r="Y340" s="19">
        <f>IF($C340="","",IF(ReportView=PersonA,N($Q340),IF(ReportView=PersonB,N($R340),$J340)))</f>
        <v/>
      </c>
    </row>
    <row r="341">
      <c r="B341">
        <f>IF($C341="","","T"&amp;TEXT(ROW()-ROW(tblTxn[[#Headers],[Txn ID]]),"000000"))</f>
        <v/>
      </c>
      <c r="C341" s="18" t="n"/>
      <c r="D341">
        <f>IF($C341="","",TEXT($C341,"yyyy-mm"))</f>
        <v/>
      </c>
      <c r="F341">
        <f>IF($C341="","",IFERROR(INDEX(tblAccounts[Owner],MATCH($E341,tblAccounts[Account],0)),"Joint"))</f>
        <v/>
      </c>
      <c r="G341">
        <f>IF($C341="","",IF(HouseholdMode="Couple",IFERROR(IF(INDEX(tblCategories[Default Owner],MATCH($K341,tblCategories[Category],0))="",$F341,INDEX(tblCategories[Default Owner],MATCH($K341,tblCategories[Category],0))),$F341),$F341))</f>
        <v/>
      </c>
      <c r="I341">
        <f>IF($H341="","",$H341)</f>
        <v/>
      </c>
      <c r="J341" s="19" t="n"/>
      <c r="K341">
        <f>IF($H341="","",IFERROR(INDEX(tblRules[Category],SUMPRODUCT(MIN((1-((tblRules[Enabled]&lt;&gt;"No")*(tblRules[Pattern]&lt;&gt;"")*(tblRules[Category]&lt;&gt;"")*((tblRules[Flow]="Any")+(tblRules[Flow]="")+((tblRules[Flow]="Money out")*($J341&lt;0))+((tblRules[Flow]="Money in")*($J341&gt;0)))*(((tblRules[Look In]="Account")*ISNUMBER(SEARCH(tblRules[Pattern],$E341)))+((tblRules[Look In]&lt;&gt;"Account")*(((tblRules[Test]="Word")*ISNUMBER(SEARCH(" "&amp;tblRules[Pattern]&amp;" "," "&amp;$H341&amp;" ")))+((tblRules[Test]&lt;&gt;"Word")*ISNUMBER(SEARCH(tblRules[Pattern],$H341))))))&gt;0))*1E+9+ROW(tblRules[Pattern])))-ROW(tblRules[[#Headers],[Pattern]])),"Uncategorized"))</f>
        <v/>
      </c>
      <c r="L341">
        <f>IF($C341="","",IFERROR(INDEX(tblCategories[Group],MATCH($K341,tblCategories[Category],0)),"Other"))</f>
        <v/>
      </c>
      <c r="M341">
        <f>IF($C341="","",IFERROR(INDEX(tblCategories[Type],MATCH($K341,tblCategories[Category],0)),IF($J341&gt;0,"Income","Expense")))</f>
        <v/>
      </c>
      <c r="N341">
        <f>IF($C341="","",IFERROR(INDEX(tblCategories[Essential],MATCH($K341,tblCategories[Category],0)),"No"))</f>
        <v/>
      </c>
      <c r="O341">
        <f>IF($C341="","",IFERROR(INDEX(tblCategories[Tax Tag],MATCH($K341,tblCategories[Category],0)),""))</f>
        <v/>
      </c>
      <c r="P341" s="20">
        <f>IF($C341="","",IF($G341=PersonA,1,IF($G341=PersonB,0,IFERROR(INDEX(tblCategories[Joint Split A],MATCH($K341,tblCategories[Category],0)),DefaultSplitA))))</f>
        <v/>
      </c>
      <c r="Q341" s="19">
        <f>IF($C341="","",ROUND($J341*N($P341),2))</f>
        <v/>
      </c>
      <c r="R341" s="19">
        <f>IF($C341="","",ROUND($J341-N($Q341),2))</f>
        <v/>
      </c>
      <c r="X341">
        <f>IF($C341="","",IFERROR(IF(_xlfn.ISFORMULA($K341),"Rule","Manual"),""))</f>
        <v/>
      </c>
      <c r="Y341" s="19">
        <f>IF($C341="","",IF(ReportView=PersonA,N($Q341),IF(ReportView=PersonB,N($R341),$J341)))</f>
        <v/>
      </c>
    </row>
    <row r="342">
      <c r="B342">
        <f>IF($C342="","","T"&amp;TEXT(ROW()-ROW(tblTxn[[#Headers],[Txn ID]]),"000000"))</f>
        <v/>
      </c>
      <c r="C342" s="18" t="n"/>
      <c r="D342">
        <f>IF($C342="","",TEXT($C342,"yyyy-mm"))</f>
        <v/>
      </c>
      <c r="F342">
        <f>IF($C342="","",IFERROR(INDEX(tblAccounts[Owner],MATCH($E342,tblAccounts[Account],0)),"Joint"))</f>
        <v/>
      </c>
      <c r="G342">
        <f>IF($C342="","",IF(HouseholdMode="Couple",IFERROR(IF(INDEX(tblCategories[Default Owner],MATCH($K342,tblCategories[Category],0))="",$F342,INDEX(tblCategories[Default Owner],MATCH($K342,tblCategories[Category],0))),$F342),$F342))</f>
        <v/>
      </c>
      <c r="I342">
        <f>IF($H342="","",$H342)</f>
        <v/>
      </c>
      <c r="J342" s="19" t="n"/>
      <c r="K342">
        <f>IF($H342="","",IFERROR(INDEX(tblRules[Category],SUMPRODUCT(MIN((1-((tblRules[Enabled]&lt;&gt;"No")*(tblRules[Pattern]&lt;&gt;"")*(tblRules[Category]&lt;&gt;"")*((tblRules[Flow]="Any")+(tblRules[Flow]="")+((tblRules[Flow]="Money out")*($J342&lt;0))+((tblRules[Flow]="Money in")*($J342&gt;0)))*(((tblRules[Look In]="Account")*ISNUMBER(SEARCH(tblRules[Pattern],$E342)))+((tblRules[Look In]&lt;&gt;"Account")*(((tblRules[Test]="Word")*ISNUMBER(SEARCH(" "&amp;tblRules[Pattern]&amp;" "," "&amp;$H342&amp;" ")))+((tblRules[Test]&lt;&gt;"Word")*ISNUMBER(SEARCH(tblRules[Pattern],$H342))))))&gt;0))*1E+9+ROW(tblRules[Pattern])))-ROW(tblRules[[#Headers],[Pattern]])),"Uncategorized"))</f>
        <v/>
      </c>
      <c r="L342">
        <f>IF($C342="","",IFERROR(INDEX(tblCategories[Group],MATCH($K342,tblCategories[Category],0)),"Other"))</f>
        <v/>
      </c>
      <c r="M342">
        <f>IF($C342="","",IFERROR(INDEX(tblCategories[Type],MATCH($K342,tblCategories[Category],0)),IF($J342&gt;0,"Income","Expense")))</f>
        <v/>
      </c>
      <c r="N342">
        <f>IF($C342="","",IFERROR(INDEX(tblCategories[Essential],MATCH($K342,tblCategories[Category],0)),"No"))</f>
        <v/>
      </c>
      <c r="O342">
        <f>IF($C342="","",IFERROR(INDEX(tblCategories[Tax Tag],MATCH($K342,tblCategories[Category],0)),""))</f>
        <v/>
      </c>
      <c r="P342" s="20">
        <f>IF($C342="","",IF($G342=PersonA,1,IF($G342=PersonB,0,IFERROR(INDEX(tblCategories[Joint Split A],MATCH($K342,tblCategories[Category],0)),DefaultSplitA))))</f>
        <v/>
      </c>
      <c r="Q342" s="19">
        <f>IF($C342="","",ROUND($J342*N($P342),2))</f>
        <v/>
      </c>
      <c r="R342" s="19">
        <f>IF($C342="","",ROUND($J342-N($Q342),2))</f>
        <v/>
      </c>
      <c r="X342">
        <f>IF($C342="","",IFERROR(IF(_xlfn.ISFORMULA($K342),"Rule","Manual"),""))</f>
        <v/>
      </c>
      <c r="Y342" s="19">
        <f>IF($C342="","",IF(ReportView=PersonA,N($Q342),IF(ReportView=PersonB,N($R342),$J342)))</f>
        <v/>
      </c>
    </row>
    <row r="343">
      <c r="B343">
        <f>IF($C343="","","T"&amp;TEXT(ROW()-ROW(tblTxn[[#Headers],[Txn ID]]),"000000"))</f>
        <v/>
      </c>
      <c r="C343" s="18" t="n"/>
      <c r="D343">
        <f>IF($C343="","",TEXT($C343,"yyyy-mm"))</f>
        <v/>
      </c>
      <c r="F343">
        <f>IF($C343="","",IFERROR(INDEX(tblAccounts[Owner],MATCH($E343,tblAccounts[Account],0)),"Joint"))</f>
        <v/>
      </c>
      <c r="G343">
        <f>IF($C343="","",IF(HouseholdMode="Couple",IFERROR(IF(INDEX(tblCategories[Default Owner],MATCH($K343,tblCategories[Category],0))="",$F343,INDEX(tblCategories[Default Owner],MATCH($K343,tblCategories[Category],0))),$F343),$F343))</f>
        <v/>
      </c>
      <c r="I343">
        <f>IF($H343="","",$H343)</f>
        <v/>
      </c>
      <c r="J343" s="19" t="n"/>
      <c r="K343">
        <f>IF($H343="","",IFERROR(INDEX(tblRules[Category],SUMPRODUCT(MIN((1-((tblRules[Enabled]&lt;&gt;"No")*(tblRules[Pattern]&lt;&gt;"")*(tblRules[Category]&lt;&gt;"")*((tblRules[Flow]="Any")+(tblRules[Flow]="")+((tblRules[Flow]="Money out")*($J343&lt;0))+((tblRules[Flow]="Money in")*($J343&gt;0)))*(((tblRules[Look In]="Account")*ISNUMBER(SEARCH(tblRules[Pattern],$E343)))+((tblRules[Look In]&lt;&gt;"Account")*(((tblRules[Test]="Word")*ISNUMBER(SEARCH(" "&amp;tblRules[Pattern]&amp;" "," "&amp;$H343&amp;" ")))+((tblRules[Test]&lt;&gt;"Word")*ISNUMBER(SEARCH(tblRules[Pattern],$H343))))))&gt;0))*1E+9+ROW(tblRules[Pattern])))-ROW(tblRules[[#Headers],[Pattern]])),"Uncategorized"))</f>
        <v/>
      </c>
      <c r="L343">
        <f>IF($C343="","",IFERROR(INDEX(tblCategories[Group],MATCH($K343,tblCategories[Category],0)),"Other"))</f>
        <v/>
      </c>
      <c r="M343">
        <f>IF($C343="","",IFERROR(INDEX(tblCategories[Type],MATCH($K343,tblCategories[Category],0)),IF($J343&gt;0,"Income","Expense")))</f>
        <v/>
      </c>
      <c r="N343">
        <f>IF($C343="","",IFERROR(INDEX(tblCategories[Essential],MATCH($K343,tblCategories[Category],0)),"No"))</f>
        <v/>
      </c>
      <c r="O343">
        <f>IF($C343="","",IFERROR(INDEX(tblCategories[Tax Tag],MATCH($K343,tblCategories[Category],0)),""))</f>
        <v/>
      </c>
      <c r="P343" s="20">
        <f>IF($C343="","",IF($G343=PersonA,1,IF($G343=PersonB,0,IFERROR(INDEX(tblCategories[Joint Split A],MATCH($K343,tblCategories[Category],0)),DefaultSplitA))))</f>
        <v/>
      </c>
      <c r="Q343" s="19">
        <f>IF($C343="","",ROUND($J343*N($P343),2))</f>
        <v/>
      </c>
      <c r="R343" s="19">
        <f>IF($C343="","",ROUND($J343-N($Q343),2))</f>
        <v/>
      </c>
      <c r="X343">
        <f>IF($C343="","",IFERROR(IF(_xlfn.ISFORMULA($K343),"Rule","Manual"),""))</f>
        <v/>
      </c>
      <c r="Y343" s="19">
        <f>IF($C343="","",IF(ReportView=PersonA,N($Q343),IF(ReportView=PersonB,N($R343),$J343)))</f>
        <v/>
      </c>
    </row>
    <row r="344">
      <c r="B344">
        <f>IF($C344="","","T"&amp;TEXT(ROW()-ROW(tblTxn[[#Headers],[Txn ID]]),"000000"))</f>
        <v/>
      </c>
      <c r="C344" s="18" t="n"/>
      <c r="D344">
        <f>IF($C344="","",TEXT($C344,"yyyy-mm"))</f>
        <v/>
      </c>
      <c r="F344">
        <f>IF($C344="","",IFERROR(INDEX(tblAccounts[Owner],MATCH($E344,tblAccounts[Account],0)),"Joint"))</f>
        <v/>
      </c>
      <c r="G344">
        <f>IF($C344="","",IF(HouseholdMode="Couple",IFERROR(IF(INDEX(tblCategories[Default Owner],MATCH($K344,tblCategories[Category],0))="",$F344,INDEX(tblCategories[Default Owner],MATCH($K344,tblCategories[Category],0))),$F344),$F344))</f>
        <v/>
      </c>
      <c r="I344">
        <f>IF($H344="","",$H344)</f>
        <v/>
      </c>
      <c r="J344" s="19" t="n"/>
      <c r="K344">
        <f>IF($H344="","",IFERROR(INDEX(tblRules[Category],SUMPRODUCT(MIN((1-((tblRules[Enabled]&lt;&gt;"No")*(tblRules[Pattern]&lt;&gt;"")*(tblRules[Category]&lt;&gt;"")*((tblRules[Flow]="Any")+(tblRules[Flow]="")+((tblRules[Flow]="Money out")*($J344&lt;0))+((tblRules[Flow]="Money in")*($J344&gt;0)))*(((tblRules[Look In]="Account")*ISNUMBER(SEARCH(tblRules[Pattern],$E344)))+((tblRules[Look In]&lt;&gt;"Account")*(((tblRules[Test]="Word")*ISNUMBER(SEARCH(" "&amp;tblRules[Pattern]&amp;" "," "&amp;$H344&amp;" ")))+((tblRules[Test]&lt;&gt;"Word")*ISNUMBER(SEARCH(tblRules[Pattern],$H344))))))&gt;0))*1E+9+ROW(tblRules[Pattern])))-ROW(tblRules[[#Headers],[Pattern]])),"Uncategorized"))</f>
        <v/>
      </c>
      <c r="L344">
        <f>IF($C344="","",IFERROR(INDEX(tblCategories[Group],MATCH($K344,tblCategories[Category],0)),"Other"))</f>
        <v/>
      </c>
      <c r="M344">
        <f>IF($C344="","",IFERROR(INDEX(tblCategories[Type],MATCH($K344,tblCategories[Category],0)),IF($J344&gt;0,"Income","Expense")))</f>
        <v/>
      </c>
      <c r="N344">
        <f>IF($C344="","",IFERROR(INDEX(tblCategories[Essential],MATCH($K344,tblCategories[Category],0)),"No"))</f>
        <v/>
      </c>
      <c r="O344">
        <f>IF($C344="","",IFERROR(INDEX(tblCategories[Tax Tag],MATCH($K344,tblCategories[Category],0)),""))</f>
        <v/>
      </c>
      <c r="P344" s="20">
        <f>IF($C344="","",IF($G344=PersonA,1,IF($G344=PersonB,0,IFERROR(INDEX(tblCategories[Joint Split A],MATCH($K344,tblCategories[Category],0)),DefaultSplitA))))</f>
        <v/>
      </c>
      <c r="Q344" s="19">
        <f>IF($C344="","",ROUND($J344*N($P344),2))</f>
        <v/>
      </c>
      <c r="R344" s="19">
        <f>IF($C344="","",ROUND($J344-N($Q344),2))</f>
        <v/>
      </c>
      <c r="X344">
        <f>IF($C344="","",IFERROR(IF(_xlfn.ISFORMULA($K344),"Rule","Manual"),""))</f>
        <v/>
      </c>
      <c r="Y344" s="19">
        <f>IF($C344="","",IF(ReportView=PersonA,N($Q344),IF(ReportView=PersonB,N($R344),$J344)))</f>
        <v/>
      </c>
    </row>
    <row r="345">
      <c r="B345">
        <f>IF($C345="","","T"&amp;TEXT(ROW()-ROW(tblTxn[[#Headers],[Txn ID]]),"000000"))</f>
        <v/>
      </c>
      <c r="C345" s="18" t="n"/>
      <c r="D345">
        <f>IF($C345="","",TEXT($C345,"yyyy-mm"))</f>
        <v/>
      </c>
      <c r="F345">
        <f>IF($C345="","",IFERROR(INDEX(tblAccounts[Owner],MATCH($E345,tblAccounts[Account],0)),"Joint"))</f>
        <v/>
      </c>
      <c r="G345">
        <f>IF($C345="","",IF(HouseholdMode="Couple",IFERROR(IF(INDEX(tblCategories[Default Owner],MATCH($K345,tblCategories[Category],0))="",$F345,INDEX(tblCategories[Default Owner],MATCH($K345,tblCategories[Category],0))),$F345),$F345))</f>
        <v/>
      </c>
      <c r="I345">
        <f>IF($H345="","",$H345)</f>
        <v/>
      </c>
      <c r="J345" s="19" t="n"/>
      <c r="K345">
        <f>IF($H345="","",IFERROR(INDEX(tblRules[Category],SUMPRODUCT(MIN((1-((tblRules[Enabled]&lt;&gt;"No")*(tblRules[Pattern]&lt;&gt;"")*(tblRules[Category]&lt;&gt;"")*((tblRules[Flow]="Any")+(tblRules[Flow]="")+((tblRules[Flow]="Money out")*($J345&lt;0))+((tblRules[Flow]="Money in")*($J345&gt;0)))*(((tblRules[Look In]="Account")*ISNUMBER(SEARCH(tblRules[Pattern],$E345)))+((tblRules[Look In]&lt;&gt;"Account")*(((tblRules[Test]="Word")*ISNUMBER(SEARCH(" "&amp;tblRules[Pattern]&amp;" "," "&amp;$H345&amp;" ")))+((tblRules[Test]&lt;&gt;"Word")*ISNUMBER(SEARCH(tblRules[Pattern],$H345))))))&gt;0))*1E+9+ROW(tblRules[Pattern])))-ROW(tblRules[[#Headers],[Pattern]])),"Uncategorized"))</f>
        <v/>
      </c>
      <c r="L345">
        <f>IF($C345="","",IFERROR(INDEX(tblCategories[Group],MATCH($K345,tblCategories[Category],0)),"Other"))</f>
        <v/>
      </c>
      <c r="M345">
        <f>IF($C345="","",IFERROR(INDEX(tblCategories[Type],MATCH($K345,tblCategories[Category],0)),IF($J345&gt;0,"Income","Expense")))</f>
        <v/>
      </c>
      <c r="N345">
        <f>IF($C345="","",IFERROR(INDEX(tblCategories[Essential],MATCH($K345,tblCategories[Category],0)),"No"))</f>
        <v/>
      </c>
      <c r="O345">
        <f>IF($C345="","",IFERROR(INDEX(tblCategories[Tax Tag],MATCH($K345,tblCategories[Category],0)),""))</f>
        <v/>
      </c>
      <c r="P345" s="20">
        <f>IF($C345="","",IF($G345=PersonA,1,IF($G345=PersonB,0,IFERROR(INDEX(tblCategories[Joint Split A],MATCH($K345,tblCategories[Category],0)),DefaultSplitA))))</f>
        <v/>
      </c>
      <c r="Q345" s="19">
        <f>IF($C345="","",ROUND($J345*N($P345),2))</f>
        <v/>
      </c>
      <c r="R345" s="19">
        <f>IF($C345="","",ROUND($J345-N($Q345),2))</f>
        <v/>
      </c>
      <c r="X345">
        <f>IF($C345="","",IFERROR(IF(_xlfn.ISFORMULA($K345),"Rule","Manual"),""))</f>
        <v/>
      </c>
      <c r="Y345" s="19">
        <f>IF($C345="","",IF(ReportView=PersonA,N($Q345),IF(ReportView=PersonB,N($R345),$J345)))</f>
        <v/>
      </c>
    </row>
    <row r="346">
      <c r="B346">
        <f>IF($C346="","","T"&amp;TEXT(ROW()-ROW(tblTxn[[#Headers],[Txn ID]]),"000000"))</f>
        <v/>
      </c>
      <c r="C346" s="18" t="n"/>
      <c r="D346">
        <f>IF($C346="","",TEXT($C346,"yyyy-mm"))</f>
        <v/>
      </c>
      <c r="F346">
        <f>IF($C346="","",IFERROR(INDEX(tblAccounts[Owner],MATCH($E346,tblAccounts[Account],0)),"Joint"))</f>
        <v/>
      </c>
      <c r="G346">
        <f>IF($C346="","",IF(HouseholdMode="Couple",IFERROR(IF(INDEX(tblCategories[Default Owner],MATCH($K346,tblCategories[Category],0))="",$F346,INDEX(tblCategories[Default Owner],MATCH($K346,tblCategories[Category],0))),$F346),$F346))</f>
        <v/>
      </c>
      <c r="I346">
        <f>IF($H346="","",$H346)</f>
        <v/>
      </c>
      <c r="J346" s="19" t="n"/>
      <c r="K346">
        <f>IF($H346="","",IFERROR(INDEX(tblRules[Category],SUMPRODUCT(MIN((1-((tblRules[Enabled]&lt;&gt;"No")*(tblRules[Pattern]&lt;&gt;"")*(tblRules[Category]&lt;&gt;"")*((tblRules[Flow]="Any")+(tblRules[Flow]="")+((tblRules[Flow]="Money out")*($J346&lt;0))+((tblRules[Flow]="Money in")*($J346&gt;0)))*(((tblRules[Look In]="Account")*ISNUMBER(SEARCH(tblRules[Pattern],$E346)))+((tblRules[Look In]&lt;&gt;"Account")*(((tblRules[Test]="Word")*ISNUMBER(SEARCH(" "&amp;tblRules[Pattern]&amp;" "," "&amp;$H346&amp;" ")))+((tblRules[Test]&lt;&gt;"Word")*ISNUMBER(SEARCH(tblRules[Pattern],$H346))))))&gt;0))*1E+9+ROW(tblRules[Pattern])))-ROW(tblRules[[#Headers],[Pattern]])),"Uncategorized"))</f>
        <v/>
      </c>
      <c r="L346">
        <f>IF($C346="","",IFERROR(INDEX(tblCategories[Group],MATCH($K346,tblCategories[Category],0)),"Other"))</f>
        <v/>
      </c>
      <c r="M346">
        <f>IF($C346="","",IFERROR(INDEX(tblCategories[Type],MATCH($K346,tblCategories[Category],0)),IF($J346&gt;0,"Income","Expense")))</f>
        <v/>
      </c>
      <c r="N346">
        <f>IF($C346="","",IFERROR(INDEX(tblCategories[Essential],MATCH($K346,tblCategories[Category],0)),"No"))</f>
        <v/>
      </c>
      <c r="O346">
        <f>IF($C346="","",IFERROR(INDEX(tblCategories[Tax Tag],MATCH($K346,tblCategories[Category],0)),""))</f>
        <v/>
      </c>
      <c r="P346" s="20">
        <f>IF($C346="","",IF($G346=PersonA,1,IF($G346=PersonB,0,IFERROR(INDEX(tblCategories[Joint Split A],MATCH($K346,tblCategories[Category],0)),DefaultSplitA))))</f>
        <v/>
      </c>
      <c r="Q346" s="19">
        <f>IF($C346="","",ROUND($J346*N($P346),2))</f>
        <v/>
      </c>
      <c r="R346" s="19">
        <f>IF($C346="","",ROUND($J346-N($Q346),2))</f>
        <v/>
      </c>
      <c r="X346">
        <f>IF($C346="","",IFERROR(IF(_xlfn.ISFORMULA($K346),"Rule","Manual"),""))</f>
        <v/>
      </c>
      <c r="Y346" s="19">
        <f>IF($C346="","",IF(ReportView=PersonA,N($Q346),IF(ReportView=PersonB,N($R346),$J346)))</f>
        <v/>
      </c>
    </row>
    <row r="347">
      <c r="B347">
        <f>IF($C347="","","T"&amp;TEXT(ROW()-ROW(tblTxn[[#Headers],[Txn ID]]),"000000"))</f>
        <v/>
      </c>
      <c r="C347" s="18" t="n"/>
      <c r="D347">
        <f>IF($C347="","",TEXT($C347,"yyyy-mm"))</f>
        <v/>
      </c>
      <c r="F347">
        <f>IF($C347="","",IFERROR(INDEX(tblAccounts[Owner],MATCH($E347,tblAccounts[Account],0)),"Joint"))</f>
        <v/>
      </c>
      <c r="G347">
        <f>IF($C347="","",IF(HouseholdMode="Couple",IFERROR(IF(INDEX(tblCategories[Default Owner],MATCH($K347,tblCategories[Category],0))="",$F347,INDEX(tblCategories[Default Owner],MATCH($K347,tblCategories[Category],0))),$F347),$F347))</f>
        <v/>
      </c>
      <c r="I347">
        <f>IF($H347="","",$H347)</f>
        <v/>
      </c>
      <c r="J347" s="19" t="n"/>
      <c r="K347">
        <f>IF($H347="","",IFERROR(INDEX(tblRules[Category],SUMPRODUCT(MIN((1-((tblRules[Enabled]&lt;&gt;"No")*(tblRules[Pattern]&lt;&gt;"")*(tblRules[Category]&lt;&gt;"")*((tblRules[Flow]="Any")+(tblRules[Flow]="")+((tblRules[Flow]="Money out")*($J347&lt;0))+((tblRules[Flow]="Money in")*($J347&gt;0)))*(((tblRules[Look In]="Account")*ISNUMBER(SEARCH(tblRules[Pattern],$E347)))+((tblRules[Look In]&lt;&gt;"Account")*(((tblRules[Test]="Word")*ISNUMBER(SEARCH(" "&amp;tblRules[Pattern]&amp;" "," "&amp;$H347&amp;" ")))+((tblRules[Test]&lt;&gt;"Word")*ISNUMBER(SEARCH(tblRules[Pattern],$H347))))))&gt;0))*1E+9+ROW(tblRules[Pattern])))-ROW(tblRules[[#Headers],[Pattern]])),"Uncategorized"))</f>
        <v/>
      </c>
      <c r="L347">
        <f>IF($C347="","",IFERROR(INDEX(tblCategories[Group],MATCH($K347,tblCategories[Category],0)),"Other"))</f>
        <v/>
      </c>
      <c r="M347">
        <f>IF($C347="","",IFERROR(INDEX(tblCategories[Type],MATCH($K347,tblCategories[Category],0)),IF($J347&gt;0,"Income","Expense")))</f>
        <v/>
      </c>
      <c r="N347">
        <f>IF($C347="","",IFERROR(INDEX(tblCategories[Essential],MATCH($K347,tblCategories[Category],0)),"No"))</f>
        <v/>
      </c>
      <c r="O347">
        <f>IF($C347="","",IFERROR(INDEX(tblCategories[Tax Tag],MATCH($K347,tblCategories[Category],0)),""))</f>
        <v/>
      </c>
      <c r="P347" s="20">
        <f>IF($C347="","",IF($G347=PersonA,1,IF($G347=PersonB,0,IFERROR(INDEX(tblCategories[Joint Split A],MATCH($K347,tblCategories[Category],0)),DefaultSplitA))))</f>
        <v/>
      </c>
      <c r="Q347" s="19">
        <f>IF($C347="","",ROUND($J347*N($P347),2))</f>
        <v/>
      </c>
      <c r="R347" s="19">
        <f>IF($C347="","",ROUND($J347-N($Q347),2))</f>
        <v/>
      </c>
      <c r="X347">
        <f>IF($C347="","",IFERROR(IF(_xlfn.ISFORMULA($K347),"Rule","Manual"),""))</f>
        <v/>
      </c>
      <c r="Y347" s="19">
        <f>IF($C347="","",IF(ReportView=PersonA,N($Q347),IF(ReportView=PersonB,N($R347),$J347)))</f>
        <v/>
      </c>
    </row>
    <row r="348">
      <c r="B348">
        <f>IF($C348="","","T"&amp;TEXT(ROW()-ROW(tblTxn[[#Headers],[Txn ID]]),"000000"))</f>
        <v/>
      </c>
      <c r="C348" s="18" t="n"/>
      <c r="D348">
        <f>IF($C348="","",TEXT($C348,"yyyy-mm"))</f>
        <v/>
      </c>
      <c r="F348">
        <f>IF($C348="","",IFERROR(INDEX(tblAccounts[Owner],MATCH($E348,tblAccounts[Account],0)),"Joint"))</f>
        <v/>
      </c>
      <c r="G348">
        <f>IF($C348="","",IF(HouseholdMode="Couple",IFERROR(IF(INDEX(tblCategories[Default Owner],MATCH($K348,tblCategories[Category],0))="",$F348,INDEX(tblCategories[Default Owner],MATCH($K348,tblCategories[Category],0))),$F348),$F348))</f>
        <v/>
      </c>
      <c r="I348">
        <f>IF($H348="","",$H348)</f>
        <v/>
      </c>
      <c r="J348" s="19" t="n"/>
      <c r="K348">
        <f>IF($H348="","",IFERROR(INDEX(tblRules[Category],SUMPRODUCT(MIN((1-((tblRules[Enabled]&lt;&gt;"No")*(tblRules[Pattern]&lt;&gt;"")*(tblRules[Category]&lt;&gt;"")*((tblRules[Flow]="Any")+(tblRules[Flow]="")+((tblRules[Flow]="Money out")*($J348&lt;0))+((tblRules[Flow]="Money in")*($J348&gt;0)))*(((tblRules[Look In]="Account")*ISNUMBER(SEARCH(tblRules[Pattern],$E348)))+((tblRules[Look In]&lt;&gt;"Account")*(((tblRules[Test]="Word")*ISNUMBER(SEARCH(" "&amp;tblRules[Pattern]&amp;" "," "&amp;$H348&amp;" ")))+((tblRules[Test]&lt;&gt;"Word")*ISNUMBER(SEARCH(tblRules[Pattern],$H348))))))&gt;0))*1E+9+ROW(tblRules[Pattern])))-ROW(tblRules[[#Headers],[Pattern]])),"Uncategorized"))</f>
        <v/>
      </c>
      <c r="L348">
        <f>IF($C348="","",IFERROR(INDEX(tblCategories[Group],MATCH($K348,tblCategories[Category],0)),"Other"))</f>
        <v/>
      </c>
      <c r="M348">
        <f>IF($C348="","",IFERROR(INDEX(tblCategories[Type],MATCH($K348,tblCategories[Category],0)),IF($J348&gt;0,"Income","Expense")))</f>
        <v/>
      </c>
      <c r="N348">
        <f>IF($C348="","",IFERROR(INDEX(tblCategories[Essential],MATCH($K348,tblCategories[Category],0)),"No"))</f>
        <v/>
      </c>
      <c r="O348">
        <f>IF($C348="","",IFERROR(INDEX(tblCategories[Tax Tag],MATCH($K348,tblCategories[Category],0)),""))</f>
        <v/>
      </c>
      <c r="P348" s="20">
        <f>IF($C348="","",IF($G348=PersonA,1,IF($G348=PersonB,0,IFERROR(INDEX(tblCategories[Joint Split A],MATCH($K348,tblCategories[Category],0)),DefaultSplitA))))</f>
        <v/>
      </c>
      <c r="Q348" s="19">
        <f>IF($C348="","",ROUND($J348*N($P348),2))</f>
        <v/>
      </c>
      <c r="R348" s="19">
        <f>IF($C348="","",ROUND($J348-N($Q348),2))</f>
        <v/>
      </c>
      <c r="X348">
        <f>IF($C348="","",IFERROR(IF(_xlfn.ISFORMULA($K348),"Rule","Manual"),""))</f>
        <v/>
      </c>
      <c r="Y348" s="19">
        <f>IF($C348="","",IF(ReportView=PersonA,N($Q348),IF(ReportView=PersonB,N($R348),$J348)))</f>
        <v/>
      </c>
    </row>
    <row r="349">
      <c r="B349">
        <f>IF($C349="","","T"&amp;TEXT(ROW()-ROW(tblTxn[[#Headers],[Txn ID]]),"000000"))</f>
        <v/>
      </c>
      <c r="C349" s="18" t="n"/>
      <c r="D349">
        <f>IF($C349="","",TEXT($C349,"yyyy-mm"))</f>
        <v/>
      </c>
      <c r="F349">
        <f>IF($C349="","",IFERROR(INDEX(tblAccounts[Owner],MATCH($E349,tblAccounts[Account],0)),"Joint"))</f>
        <v/>
      </c>
      <c r="G349">
        <f>IF($C349="","",IF(HouseholdMode="Couple",IFERROR(IF(INDEX(tblCategories[Default Owner],MATCH($K349,tblCategories[Category],0))="",$F349,INDEX(tblCategories[Default Owner],MATCH($K349,tblCategories[Category],0))),$F349),$F349))</f>
        <v/>
      </c>
      <c r="I349">
        <f>IF($H349="","",$H349)</f>
        <v/>
      </c>
      <c r="J349" s="19" t="n"/>
      <c r="K349">
        <f>IF($H349="","",IFERROR(INDEX(tblRules[Category],SUMPRODUCT(MIN((1-((tblRules[Enabled]&lt;&gt;"No")*(tblRules[Pattern]&lt;&gt;"")*(tblRules[Category]&lt;&gt;"")*((tblRules[Flow]="Any")+(tblRules[Flow]="")+((tblRules[Flow]="Money out")*($J349&lt;0))+((tblRules[Flow]="Money in")*($J349&gt;0)))*(((tblRules[Look In]="Account")*ISNUMBER(SEARCH(tblRules[Pattern],$E349)))+((tblRules[Look In]&lt;&gt;"Account")*(((tblRules[Test]="Word")*ISNUMBER(SEARCH(" "&amp;tblRules[Pattern]&amp;" "," "&amp;$H349&amp;" ")))+((tblRules[Test]&lt;&gt;"Word")*ISNUMBER(SEARCH(tblRules[Pattern],$H349))))))&gt;0))*1E+9+ROW(tblRules[Pattern])))-ROW(tblRules[[#Headers],[Pattern]])),"Uncategorized"))</f>
        <v/>
      </c>
      <c r="L349">
        <f>IF($C349="","",IFERROR(INDEX(tblCategories[Group],MATCH($K349,tblCategories[Category],0)),"Other"))</f>
        <v/>
      </c>
      <c r="M349">
        <f>IF($C349="","",IFERROR(INDEX(tblCategories[Type],MATCH($K349,tblCategories[Category],0)),IF($J349&gt;0,"Income","Expense")))</f>
        <v/>
      </c>
      <c r="N349">
        <f>IF($C349="","",IFERROR(INDEX(tblCategories[Essential],MATCH($K349,tblCategories[Category],0)),"No"))</f>
        <v/>
      </c>
      <c r="O349">
        <f>IF($C349="","",IFERROR(INDEX(tblCategories[Tax Tag],MATCH($K349,tblCategories[Category],0)),""))</f>
        <v/>
      </c>
      <c r="P349" s="20">
        <f>IF($C349="","",IF($G349=PersonA,1,IF($G349=PersonB,0,IFERROR(INDEX(tblCategories[Joint Split A],MATCH($K349,tblCategories[Category],0)),DefaultSplitA))))</f>
        <v/>
      </c>
      <c r="Q349" s="19">
        <f>IF($C349="","",ROUND($J349*N($P349),2))</f>
        <v/>
      </c>
      <c r="R349" s="19">
        <f>IF($C349="","",ROUND($J349-N($Q349),2))</f>
        <v/>
      </c>
      <c r="X349">
        <f>IF($C349="","",IFERROR(IF(_xlfn.ISFORMULA($K349),"Rule","Manual"),""))</f>
        <v/>
      </c>
      <c r="Y349" s="19">
        <f>IF($C349="","",IF(ReportView=PersonA,N($Q349),IF(ReportView=PersonB,N($R349),$J349)))</f>
        <v/>
      </c>
    </row>
    <row r="350">
      <c r="B350">
        <f>IF($C350="","","T"&amp;TEXT(ROW()-ROW(tblTxn[[#Headers],[Txn ID]]),"000000"))</f>
        <v/>
      </c>
      <c r="C350" s="18" t="n"/>
      <c r="D350">
        <f>IF($C350="","",TEXT($C350,"yyyy-mm"))</f>
        <v/>
      </c>
      <c r="F350">
        <f>IF($C350="","",IFERROR(INDEX(tblAccounts[Owner],MATCH($E350,tblAccounts[Account],0)),"Joint"))</f>
        <v/>
      </c>
      <c r="G350">
        <f>IF($C350="","",IF(HouseholdMode="Couple",IFERROR(IF(INDEX(tblCategories[Default Owner],MATCH($K350,tblCategories[Category],0))="",$F350,INDEX(tblCategories[Default Owner],MATCH($K350,tblCategories[Category],0))),$F350),$F350))</f>
        <v/>
      </c>
      <c r="I350">
        <f>IF($H350="","",$H350)</f>
        <v/>
      </c>
      <c r="J350" s="19" t="n"/>
      <c r="K350">
        <f>IF($H350="","",IFERROR(INDEX(tblRules[Category],SUMPRODUCT(MIN((1-((tblRules[Enabled]&lt;&gt;"No")*(tblRules[Pattern]&lt;&gt;"")*(tblRules[Category]&lt;&gt;"")*((tblRules[Flow]="Any")+(tblRules[Flow]="")+((tblRules[Flow]="Money out")*($J350&lt;0))+((tblRules[Flow]="Money in")*($J350&gt;0)))*(((tblRules[Look In]="Account")*ISNUMBER(SEARCH(tblRules[Pattern],$E350)))+((tblRules[Look In]&lt;&gt;"Account")*(((tblRules[Test]="Word")*ISNUMBER(SEARCH(" "&amp;tblRules[Pattern]&amp;" "," "&amp;$H350&amp;" ")))+((tblRules[Test]&lt;&gt;"Word")*ISNUMBER(SEARCH(tblRules[Pattern],$H350))))))&gt;0))*1E+9+ROW(tblRules[Pattern])))-ROW(tblRules[[#Headers],[Pattern]])),"Uncategorized"))</f>
        <v/>
      </c>
      <c r="L350">
        <f>IF($C350="","",IFERROR(INDEX(tblCategories[Group],MATCH($K350,tblCategories[Category],0)),"Other"))</f>
        <v/>
      </c>
      <c r="M350">
        <f>IF($C350="","",IFERROR(INDEX(tblCategories[Type],MATCH($K350,tblCategories[Category],0)),IF($J350&gt;0,"Income","Expense")))</f>
        <v/>
      </c>
      <c r="N350">
        <f>IF($C350="","",IFERROR(INDEX(tblCategories[Essential],MATCH($K350,tblCategories[Category],0)),"No"))</f>
        <v/>
      </c>
      <c r="O350">
        <f>IF($C350="","",IFERROR(INDEX(tblCategories[Tax Tag],MATCH($K350,tblCategories[Category],0)),""))</f>
        <v/>
      </c>
      <c r="P350" s="20">
        <f>IF($C350="","",IF($G350=PersonA,1,IF($G350=PersonB,0,IFERROR(INDEX(tblCategories[Joint Split A],MATCH($K350,tblCategories[Category],0)),DefaultSplitA))))</f>
        <v/>
      </c>
      <c r="Q350" s="19">
        <f>IF($C350="","",ROUND($J350*N($P350),2))</f>
        <v/>
      </c>
      <c r="R350" s="19">
        <f>IF($C350="","",ROUND($J350-N($Q350),2))</f>
        <v/>
      </c>
      <c r="X350">
        <f>IF($C350="","",IFERROR(IF(_xlfn.ISFORMULA($K350),"Rule","Manual"),""))</f>
        <v/>
      </c>
      <c r="Y350" s="19">
        <f>IF($C350="","",IF(ReportView=PersonA,N($Q350),IF(ReportView=PersonB,N($R350),$J350)))</f>
        <v/>
      </c>
    </row>
    <row r="351">
      <c r="B351">
        <f>IF($C351="","","T"&amp;TEXT(ROW()-ROW(tblTxn[[#Headers],[Txn ID]]),"000000"))</f>
        <v/>
      </c>
      <c r="C351" s="18" t="n"/>
      <c r="D351">
        <f>IF($C351="","",TEXT($C351,"yyyy-mm"))</f>
        <v/>
      </c>
      <c r="F351">
        <f>IF($C351="","",IFERROR(INDEX(tblAccounts[Owner],MATCH($E351,tblAccounts[Account],0)),"Joint"))</f>
        <v/>
      </c>
      <c r="G351">
        <f>IF($C351="","",IF(HouseholdMode="Couple",IFERROR(IF(INDEX(tblCategories[Default Owner],MATCH($K351,tblCategories[Category],0))="",$F351,INDEX(tblCategories[Default Owner],MATCH($K351,tblCategories[Category],0))),$F351),$F351))</f>
        <v/>
      </c>
      <c r="I351">
        <f>IF($H351="","",$H351)</f>
        <v/>
      </c>
      <c r="J351" s="19" t="n"/>
      <c r="K351">
        <f>IF($H351="","",IFERROR(INDEX(tblRules[Category],SUMPRODUCT(MIN((1-((tblRules[Enabled]&lt;&gt;"No")*(tblRules[Pattern]&lt;&gt;"")*(tblRules[Category]&lt;&gt;"")*((tblRules[Flow]="Any")+(tblRules[Flow]="")+((tblRules[Flow]="Money out")*($J351&lt;0))+((tblRules[Flow]="Money in")*($J351&gt;0)))*(((tblRules[Look In]="Account")*ISNUMBER(SEARCH(tblRules[Pattern],$E351)))+((tblRules[Look In]&lt;&gt;"Account")*(((tblRules[Test]="Word")*ISNUMBER(SEARCH(" "&amp;tblRules[Pattern]&amp;" "," "&amp;$H351&amp;" ")))+((tblRules[Test]&lt;&gt;"Word")*ISNUMBER(SEARCH(tblRules[Pattern],$H351))))))&gt;0))*1E+9+ROW(tblRules[Pattern])))-ROW(tblRules[[#Headers],[Pattern]])),"Uncategorized"))</f>
        <v/>
      </c>
      <c r="L351">
        <f>IF($C351="","",IFERROR(INDEX(tblCategories[Group],MATCH($K351,tblCategories[Category],0)),"Other"))</f>
        <v/>
      </c>
      <c r="M351">
        <f>IF($C351="","",IFERROR(INDEX(tblCategories[Type],MATCH($K351,tblCategories[Category],0)),IF($J351&gt;0,"Income","Expense")))</f>
        <v/>
      </c>
      <c r="N351">
        <f>IF($C351="","",IFERROR(INDEX(tblCategories[Essential],MATCH($K351,tblCategories[Category],0)),"No"))</f>
        <v/>
      </c>
      <c r="O351">
        <f>IF($C351="","",IFERROR(INDEX(tblCategories[Tax Tag],MATCH($K351,tblCategories[Category],0)),""))</f>
        <v/>
      </c>
      <c r="P351" s="20">
        <f>IF($C351="","",IF($G351=PersonA,1,IF($G351=PersonB,0,IFERROR(INDEX(tblCategories[Joint Split A],MATCH($K351,tblCategories[Category],0)),DefaultSplitA))))</f>
        <v/>
      </c>
      <c r="Q351" s="19">
        <f>IF($C351="","",ROUND($J351*N($P351),2))</f>
        <v/>
      </c>
      <c r="R351" s="19">
        <f>IF($C351="","",ROUND($J351-N($Q351),2))</f>
        <v/>
      </c>
      <c r="X351">
        <f>IF($C351="","",IFERROR(IF(_xlfn.ISFORMULA($K351),"Rule","Manual"),""))</f>
        <v/>
      </c>
      <c r="Y351" s="19">
        <f>IF($C351="","",IF(ReportView=PersonA,N($Q351),IF(ReportView=PersonB,N($R351),$J351)))</f>
        <v/>
      </c>
    </row>
    <row r="352">
      <c r="B352">
        <f>IF($C352="","","T"&amp;TEXT(ROW()-ROW(tblTxn[[#Headers],[Txn ID]]),"000000"))</f>
        <v/>
      </c>
      <c r="C352" s="18" t="n"/>
      <c r="D352">
        <f>IF($C352="","",TEXT($C352,"yyyy-mm"))</f>
        <v/>
      </c>
      <c r="F352">
        <f>IF($C352="","",IFERROR(INDEX(tblAccounts[Owner],MATCH($E352,tblAccounts[Account],0)),"Joint"))</f>
        <v/>
      </c>
      <c r="G352">
        <f>IF($C352="","",IF(HouseholdMode="Couple",IFERROR(IF(INDEX(tblCategories[Default Owner],MATCH($K352,tblCategories[Category],0))="",$F352,INDEX(tblCategories[Default Owner],MATCH($K352,tblCategories[Category],0))),$F352),$F352))</f>
        <v/>
      </c>
      <c r="I352">
        <f>IF($H352="","",$H352)</f>
        <v/>
      </c>
      <c r="J352" s="19" t="n"/>
      <c r="K352">
        <f>IF($H352="","",IFERROR(INDEX(tblRules[Category],SUMPRODUCT(MIN((1-((tblRules[Enabled]&lt;&gt;"No")*(tblRules[Pattern]&lt;&gt;"")*(tblRules[Category]&lt;&gt;"")*((tblRules[Flow]="Any")+(tblRules[Flow]="")+((tblRules[Flow]="Money out")*($J352&lt;0))+((tblRules[Flow]="Money in")*($J352&gt;0)))*(((tblRules[Look In]="Account")*ISNUMBER(SEARCH(tblRules[Pattern],$E352)))+((tblRules[Look In]&lt;&gt;"Account")*(((tblRules[Test]="Word")*ISNUMBER(SEARCH(" "&amp;tblRules[Pattern]&amp;" "," "&amp;$H352&amp;" ")))+((tblRules[Test]&lt;&gt;"Word")*ISNUMBER(SEARCH(tblRules[Pattern],$H352))))))&gt;0))*1E+9+ROW(tblRules[Pattern])))-ROW(tblRules[[#Headers],[Pattern]])),"Uncategorized"))</f>
        <v/>
      </c>
      <c r="L352">
        <f>IF($C352="","",IFERROR(INDEX(tblCategories[Group],MATCH($K352,tblCategories[Category],0)),"Other"))</f>
        <v/>
      </c>
      <c r="M352">
        <f>IF($C352="","",IFERROR(INDEX(tblCategories[Type],MATCH($K352,tblCategories[Category],0)),IF($J352&gt;0,"Income","Expense")))</f>
        <v/>
      </c>
      <c r="N352">
        <f>IF($C352="","",IFERROR(INDEX(tblCategories[Essential],MATCH($K352,tblCategories[Category],0)),"No"))</f>
        <v/>
      </c>
      <c r="O352">
        <f>IF($C352="","",IFERROR(INDEX(tblCategories[Tax Tag],MATCH($K352,tblCategories[Category],0)),""))</f>
        <v/>
      </c>
      <c r="P352" s="20">
        <f>IF($C352="","",IF($G352=PersonA,1,IF($G352=PersonB,0,IFERROR(INDEX(tblCategories[Joint Split A],MATCH($K352,tblCategories[Category],0)),DefaultSplitA))))</f>
        <v/>
      </c>
      <c r="Q352" s="19">
        <f>IF($C352="","",ROUND($J352*N($P352),2))</f>
        <v/>
      </c>
      <c r="R352" s="19">
        <f>IF($C352="","",ROUND($J352-N($Q352),2))</f>
        <v/>
      </c>
      <c r="X352">
        <f>IF($C352="","",IFERROR(IF(_xlfn.ISFORMULA($K352),"Rule","Manual"),""))</f>
        <v/>
      </c>
      <c r="Y352" s="19">
        <f>IF($C352="","",IF(ReportView=PersonA,N($Q352),IF(ReportView=PersonB,N($R352),$J352)))</f>
        <v/>
      </c>
    </row>
    <row r="353">
      <c r="B353">
        <f>IF($C353="","","T"&amp;TEXT(ROW()-ROW(tblTxn[[#Headers],[Txn ID]]),"000000"))</f>
        <v/>
      </c>
      <c r="C353" s="18" t="n"/>
      <c r="D353">
        <f>IF($C353="","",TEXT($C353,"yyyy-mm"))</f>
        <v/>
      </c>
      <c r="F353">
        <f>IF($C353="","",IFERROR(INDEX(tblAccounts[Owner],MATCH($E353,tblAccounts[Account],0)),"Joint"))</f>
        <v/>
      </c>
      <c r="G353">
        <f>IF($C353="","",IF(HouseholdMode="Couple",IFERROR(IF(INDEX(tblCategories[Default Owner],MATCH($K353,tblCategories[Category],0))="",$F353,INDEX(tblCategories[Default Owner],MATCH($K353,tblCategories[Category],0))),$F353),$F353))</f>
        <v/>
      </c>
      <c r="I353">
        <f>IF($H353="","",$H353)</f>
        <v/>
      </c>
      <c r="J353" s="19" t="n"/>
      <c r="K353">
        <f>IF($H353="","",IFERROR(INDEX(tblRules[Category],SUMPRODUCT(MIN((1-((tblRules[Enabled]&lt;&gt;"No")*(tblRules[Pattern]&lt;&gt;"")*(tblRules[Category]&lt;&gt;"")*((tblRules[Flow]="Any")+(tblRules[Flow]="")+((tblRules[Flow]="Money out")*($J353&lt;0))+((tblRules[Flow]="Money in")*($J353&gt;0)))*(((tblRules[Look In]="Account")*ISNUMBER(SEARCH(tblRules[Pattern],$E353)))+((tblRules[Look In]&lt;&gt;"Account")*(((tblRules[Test]="Word")*ISNUMBER(SEARCH(" "&amp;tblRules[Pattern]&amp;" "," "&amp;$H353&amp;" ")))+((tblRules[Test]&lt;&gt;"Word")*ISNUMBER(SEARCH(tblRules[Pattern],$H353))))))&gt;0))*1E+9+ROW(tblRules[Pattern])))-ROW(tblRules[[#Headers],[Pattern]])),"Uncategorized"))</f>
        <v/>
      </c>
      <c r="L353">
        <f>IF($C353="","",IFERROR(INDEX(tblCategories[Group],MATCH($K353,tblCategories[Category],0)),"Other"))</f>
        <v/>
      </c>
      <c r="M353">
        <f>IF($C353="","",IFERROR(INDEX(tblCategories[Type],MATCH($K353,tblCategories[Category],0)),IF($J353&gt;0,"Income","Expense")))</f>
        <v/>
      </c>
      <c r="N353">
        <f>IF($C353="","",IFERROR(INDEX(tblCategories[Essential],MATCH($K353,tblCategories[Category],0)),"No"))</f>
        <v/>
      </c>
      <c r="O353">
        <f>IF($C353="","",IFERROR(INDEX(tblCategories[Tax Tag],MATCH($K353,tblCategories[Category],0)),""))</f>
        <v/>
      </c>
      <c r="P353" s="20">
        <f>IF($C353="","",IF($G353=PersonA,1,IF($G353=PersonB,0,IFERROR(INDEX(tblCategories[Joint Split A],MATCH($K353,tblCategories[Category],0)),DefaultSplitA))))</f>
        <v/>
      </c>
      <c r="Q353" s="19">
        <f>IF($C353="","",ROUND($J353*N($P353),2))</f>
        <v/>
      </c>
      <c r="R353" s="19">
        <f>IF($C353="","",ROUND($J353-N($Q353),2))</f>
        <v/>
      </c>
      <c r="X353">
        <f>IF($C353="","",IFERROR(IF(_xlfn.ISFORMULA($K353),"Rule","Manual"),""))</f>
        <v/>
      </c>
      <c r="Y353" s="19">
        <f>IF($C353="","",IF(ReportView=PersonA,N($Q353),IF(ReportView=PersonB,N($R353),$J353)))</f>
        <v/>
      </c>
    </row>
    <row r="354">
      <c r="B354">
        <f>IF($C354="","","T"&amp;TEXT(ROW()-ROW(tblTxn[[#Headers],[Txn ID]]),"000000"))</f>
        <v/>
      </c>
      <c r="C354" s="18" t="n"/>
      <c r="D354">
        <f>IF($C354="","",TEXT($C354,"yyyy-mm"))</f>
        <v/>
      </c>
      <c r="F354">
        <f>IF($C354="","",IFERROR(INDEX(tblAccounts[Owner],MATCH($E354,tblAccounts[Account],0)),"Joint"))</f>
        <v/>
      </c>
      <c r="G354">
        <f>IF($C354="","",IF(HouseholdMode="Couple",IFERROR(IF(INDEX(tblCategories[Default Owner],MATCH($K354,tblCategories[Category],0))="",$F354,INDEX(tblCategories[Default Owner],MATCH($K354,tblCategories[Category],0))),$F354),$F354))</f>
        <v/>
      </c>
      <c r="I354">
        <f>IF($H354="","",$H354)</f>
        <v/>
      </c>
      <c r="J354" s="19" t="n"/>
      <c r="K354">
        <f>IF($H354="","",IFERROR(INDEX(tblRules[Category],SUMPRODUCT(MIN((1-((tblRules[Enabled]&lt;&gt;"No")*(tblRules[Pattern]&lt;&gt;"")*(tblRules[Category]&lt;&gt;"")*((tblRules[Flow]="Any")+(tblRules[Flow]="")+((tblRules[Flow]="Money out")*($J354&lt;0))+((tblRules[Flow]="Money in")*($J354&gt;0)))*(((tblRules[Look In]="Account")*ISNUMBER(SEARCH(tblRules[Pattern],$E354)))+((tblRules[Look In]&lt;&gt;"Account")*(((tblRules[Test]="Word")*ISNUMBER(SEARCH(" "&amp;tblRules[Pattern]&amp;" "," "&amp;$H354&amp;" ")))+((tblRules[Test]&lt;&gt;"Word")*ISNUMBER(SEARCH(tblRules[Pattern],$H354))))))&gt;0))*1E+9+ROW(tblRules[Pattern])))-ROW(tblRules[[#Headers],[Pattern]])),"Uncategorized"))</f>
        <v/>
      </c>
      <c r="L354">
        <f>IF($C354="","",IFERROR(INDEX(tblCategories[Group],MATCH($K354,tblCategories[Category],0)),"Other"))</f>
        <v/>
      </c>
      <c r="M354">
        <f>IF($C354="","",IFERROR(INDEX(tblCategories[Type],MATCH($K354,tblCategories[Category],0)),IF($J354&gt;0,"Income","Expense")))</f>
        <v/>
      </c>
      <c r="N354">
        <f>IF($C354="","",IFERROR(INDEX(tblCategories[Essential],MATCH($K354,tblCategories[Category],0)),"No"))</f>
        <v/>
      </c>
      <c r="O354">
        <f>IF($C354="","",IFERROR(INDEX(tblCategories[Tax Tag],MATCH($K354,tblCategories[Category],0)),""))</f>
        <v/>
      </c>
      <c r="P354" s="20">
        <f>IF($C354="","",IF($G354=PersonA,1,IF($G354=PersonB,0,IFERROR(INDEX(tblCategories[Joint Split A],MATCH($K354,tblCategories[Category],0)),DefaultSplitA))))</f>
        <v/>
      </c>
      <c r="Q354" s="19">
        <f>IF($C354="","",ROUND($J354*N($P354),2))</f>
        <v/>
      </c>
      <c r="R354" s="19">
        <f>IF($C354="","",ROUND($J354-N($Q354),2))</f>
        <v/>
      </c>
      <c r="X354">
        <f>IF($C354="","",IFERROR(IF(_xlfn.ISFORMULA($K354),"Rule","Manual"),""))</f>
        <v/>
      </c>
      <c r="Y354" s="19">
        <f>IF($C354="","",IF(ReportView=PersonA,N($Q354),IF(ReportView=PersonB,N($R354),$J354)))</f>
        <v/>
      </c>
    </row>
    <row r="355">
      <c r="B355">
        <f>IF($C355="","","T"&amp;TEXT(ROW()-ROW(tblTxn[[#Headers],[Txn ID]]),"000000"))</f>
        <v/>
      </c>
      <c r="C355" s="18" t="n"/>
      <c r="D355">
        <f>IF($C355="","",TEXT($C355,"yyyy-mm"))</f>
        <v/>
      </c>
      <c r="F355">
        <f>IF($C355="","",IFERROR(INDEX(tblAccounts[Owner],MATCH($E355,tblAccounts[Account],0)),"Joint"))</f>
        <v/>
      </c>
      <c r="G355">
        <f>IF($C355="","",IF(HouseholdMode="Couple",IFERROR(IF(INDEX(tblCategories[Default Owner],MATCH($K355,tblCategories[Category],0))="",$F355,INDEX(tblCategories[Default Owner],MATCH($K355,tblCategories[Category],0))),$F355),$F355))</f>
        <v/>
      </c>
      <c r="I355">
        <f>IF($H355="","",$H355)</f>
        <v/>
      </c>
      <c r="J355" s="19" t="n"/>
      <c r="K355">
        <f>IF($H355="","",IFERROR(INDEX(tblRules[Category],SUMPRODUCT(MIN((1-((tblRules[Enabled]&lt;&gt;"No")*(tblRules[Pattern]&lt;&gt;"")*(tblRules[Category]&lt;&gt;"")*((tblRules[Flow]="Any")+(tblRules[Flow]="")+((tblRules[Flow]="Money out")*($J355&lt;0))+((tblRules[Flow]="Money in")*($J355&gt;0)))*(((tblRules[Look In]="Account")*ISNUMBER(SEARCH(tblRules[Pattern],$E355)))+((tblRules[Look In]&lt;&gt;"Account")*(((tblRules[Test]="Word")*ISNUMBER(SEARCH(" "&amp;tblRules[Pattern]&amp;" "," "&amp;$H355&amp;" ")))+((tblRules[Test]&lt;&gt;"Word")*ISNUMBER(SEARCH(tblRules[Pattern],$H355))))))&gt;0))*1E+9+ROW(tblRules[Pattern])))-ROW(tblRules[[#Headers],[Pattern]])),"Uncategorized"))</f>
        <v/>
      </c>
      <c r="L355">
        <f>IF($C355="","",IFERROR(INDEX(tblCategories[Group],MATCH($K355,tblCategories[Category],0)),"Other"))</f>
        <v/>
      </c>
      <c r="M355">
        <f>IF($C355="","",IFERROR(INDEX(tblCategories[Type],MATCH($K355,tblCategories[Category],0)),IF($J355&gt;0,"Income","Expense")))</f>
        <v/>
      </c>
      <c r="N355">
        <f>IF($C355="","",IFERROR(INDEX(tblCategories[Essential],MATCH($K355,tblCategories[Category],0)),"No"))</f>
        <v/>
      </c>
      <c r="O355">
        <f>IF($C355="","",IFERROR(INDEX(tblCategories[Tax Tag],MATCH($K355,tblCategories[Category],0)),""))</f>
        <v/>
      </c>
      <c r="P355" s="20">
        <f>IF($C355="","",IF($G355=PersonA,1,IF($G355=PersonB,0,IFERROR(INDEX(tblCategories[Joint Split A],MATCH($K355,tblCategories[Category],0)),DefaultSplitA))))</f>
        <v/>
      </c>
      <c r="Q355" s="19">
        <f>IF($C355="","",ROUND($J355*N($P355),2))</f>
        <v/>
      </c>
      <c r="R355" s="19">
        <f>IF($C355="","",ROUND($J355-N($Q355),2))</f>
        <v/>
      </c>
      <c r="X355">
        <f>IF($C355="","",IFERROR(IF(_xlfn.ISFORMULA($K355),"Rule","Manual"),""))</f>
        <v/>
      </c>
      <c r="Y355" s="19">
        <f>IF($C355="","",IF(ReportView=PersonA,N($Q355),IF(ReportView=PersonB,N($R355),$J355)))</f>
        <v/>
      </c>
    </row>
    <row r="356">
      <c r="B356">
        <f>IF($C356="","","T"&amp;TEXT(ROW()-ROW(tblTxn[[#Headers],[Txn ID]]),"000000"))</f>
        <v/>
      </c>
      <c r="C356" s="18" t="n"/>
      <c r="D356">
        <f>IF($C356="","",TEXT($C356,"yyyy-mm"))</f>
        <v/>
      </c>
      <c r="F356">
        <f>IF($C356="","",IFERROR(INDEX(tblAccounts[Owner],MATCH($E356,tblAccounts[Account],0)),"Joint"))</f>
        <v/>
      </c>
      <c r="G356">
        <f>IF($C356="","",IF(HouseholdMode="Couple",IFERROR(IF(INDEX(tblCategories[Default Owner],MATCH($K356,tblCategories[Category],0))="",$F356,INDEX(tblCategories[Default Owner],MATCH($K356,tblCategories[Category],0))),$F356),$F356))</f>
        <v/>
      </c>
      <c r="I356">
        <f>IF($H356="","",$H356)</f>
        <v/>
      </c>
      <c r="J356" s="19" t="n"/>
      <c r="K356">
        <f>IF($H356="","",IFERROR(INDEX(tblRules[Category],SUMPRODUCT(MIN((1-((tblRules[Enabled]&lt;&gt;"No")*(tblRules[Pattern]&lt;&gt;"")*(tblRules[Category]&lt;&gt;"")*((tblRules[Flow]="Any")+(tblRules[Flow]="")+((tblRules[Flow]="Money out")*($J356&lt;0))+((tblRules[Flow]="Money in")*($J356&gt;0)))*(((tblRules[Look In]="Account")*ISNUMBER(SEARCH(tblRules[Pattern],$E356)))+((tblRules[Look In]&lt;&gt;"Account")*(((tblRules[Test]="Word")*ISNUMBER(SEARCH(" "&amp;tblRules[Pattern]&amp;" "," "&amp;$H356&amp;" ")))+((tblRules[Test]&lt;&gt;"Word")*ISNUMBER(SEARCH(tblRules[Pattern],$H356))))))&gt;0))*1E+9+ROW(tblRules[Pattern])))-ROW(tblRules[[#Headers],[Pattern]])),"Uncategorized"))</f>
        <v/>
      </c>
      <c r="L356">
        <f>IF($C356="","",IFERROR(INDEX(tblCategories[Group],MATCH($K356,tblCategories[Category],0)),"Other"))</f>
        <v/>
      </c>
      <c r="M356">
        <f>IF($C356="","",IFERROR(INDEX(tblCategories[Type],MATCH($K356,tblCategories[Category],0)),IF($J356&gt;0,"Income","Expense")))</f>
        <v/>
      </c>
      <c r="N356">
        <f>IF($C356="","",IFERROR(INDEX(tblCategories[Essential],MATCH($K356,tblCategories[Category],0)),"No"))</f>
        <v/>
      </c>
      <c r="O356">
        <f>IF($C356="","",IFERROR(INDEX(tblCategories[Tax Tag],MATCH($K356,tblCategories[Category],0)),""))</f>
        <v/>
      </c>
      <c r="P356" s="20">
        <f>IF($C356="","",IF($G356=PersonA,1,IF($G356=PersonB,0,IFERROR(INDEX(tblCategories[Joint Split A],MATCH($K356,tblCategories[Category],0)),DefaultSplitA))))</f>
        <v/>
      </c>
      <c r="Q356" s="19">
        <f>IF($C356="","",ROUND($J356*N($P356),2))</f>
        <v/>
      </c>
      <c r="R356" s="19">
        <f>IF($C356="","",ROUND($J356-N($Q356),2))</f>
        <v/>
      </c>
      <c r="X356">
        <f>IF($C356="","",IFERROR(IF(_xlfn.ISFORMULA($K356),"Rule","Manual"),""))</f>
        <v/>
      </c>
      <c r="Y356" s="19">
        <f>IF($C356="","",IF(ReportView=PersonA,N($Q356),IF(ReportView=PersonB,N($R356),$J356)))</f>
        <v/>
      </c>
    </row>
    <row r="357">
      <c r="B357">
        <f>IF($C357="","","T"&amp;TEXT(ROW()-ROW(tblTxn[[#Headers],[Txn ID]]),"000000"))</f>
        <v/>
      </c>
      <c r="C357" s="18" t="n"/>
      <c r="D357">
        <f>IF($C357="","",TEXT($C357,"yyyy-mm"))</f>
        <v/>
      </c>
      <c r="F357">
        <f>IF($C357="","",IFERROR(INDEX(tblAccounts[Owner],MATCH($E357,tblAccounts[Account],0)),"Joint"))</f>
        <v/>
      </c>
      <c r="G357">
        <f>IF($C357="","",IF(HouseholdMode="Couple",IFERROR(IF(INDEX(tblCategories[Default Owner],MATCH($K357,tblCategories[Category],0))="",$F357,INDEX(tblCategories[Default Owner],MATCH($K357,tblCategories[Category],0))),$F357),$F357))</f>
        <v/>
      </c>
      <c r="I357">
        <f>IF($H357="","",$H357)</f>
        <v/>
      </c>
      <c r="J357" s="19" t="n"/>
      <c r="K357">
        <f>IF($H357="","",IFERROR(INDEX(tblRules[Category],SUMPRODUCT(MIN((1-((tblRules[Enabled]&lt;&gt;"No")*(tblRules[Pattern]&lt;&gt;"")*(tblRules[Category]&lt;&gt;"")*((tblRules[Flow]="Any")+(tblRules[Flow]="")+((tblRules[Flow]="Money out")*($J357&lt;0))+((tblRules[Flow]="Money in")*($J357&gt;0)))*(((tblRules[Look In]="Account")*ISNUMBER(SEARCH(tblRules[Pattern],$E357)))+((tblRules[Look In]&lt;&gt;"Account")*(((tblRules[Test]="Word")*ISNUMBER(SEARCH(" "&amp;tblRules[Pattern]&amp;" "," "&amp;$H357&amp;" ")))+((tblRules[Test]&lt;&gt;"Word")*ISNUMBER(SEARCH(tblRules[Pattern],$H357))))))&gt;0))*1E+9+ROW(tblRules[Pattern])))-ROW(tblRules[[#Headers],[Pattern]])),"Uncategorized"))</f>
        <v/>
      </c>
      <c r="L357">
        <f>IF($C357="","",IFERROR(INDEX(tblCategories[Group],MATCH($K357,tblCategories[Category],0)),"Other"))</f>
        <v/>
      </c>
      <c r="M357">
        <f>IF($C357="","",IFERROR(INDEX(tblCategories[Type],MATCH($K357,tblCategories[Category],0)),IF($J357&gt;0,"Income","Expense")))</f>
        <v/>
      </c>
      <c r="N357">
        <f>IF($C357="","",IFERROR(INDEX(tblCategories[Essential],MATCH($K357,tblCategories[Category],0)),"No"))</f>
        <v/>
      </c>
      <c r="O357">
        <f>IF($C357="","",IFERROR(INDEX(tblCategories[Tax Tag],MATCH($K357,tblCategories[Category],0)),""))</f>
        <v/>
      </c>
      <c r="P357" s="20">
        <f>IF($C357="","",IF($G357=PersonA,1,IF($G357=PersonB,0,IFERROR(INDEX(tblCategories[Joint Split A],MATCH($K357,tblCategories[Category],0)),DefaultSplitA))))</f>
        <v/>
      </c>
      <c r="Q357" s="19">
        <f>IF($C357="","",ROUND($J357*N($P357),2))</f>
        <v/>
      </c>
      <c r="R357" s="19">
        <f>IF($C357="","",ROUND($J357-N($Q357),2))</f>
        <v/>
      </c>
      <c r="X357">
        <f>IF($C357="","",IFERROR(IF(_xlfn.ISFORMULA($K357),"Rule","Manual"),""))</f>
        <v/>
      </c>
      <c r="Y357" s="19">
        <f>IF($C357="","",IF(ReportView=PersonA,N($Q357),IF(ReportView=PersonB,N($R357),$J357)))</f>
        <v/>
      </c>
    </row>
    <row r="358">
      <c r="B358">
        <f>IF($C358="","","T"&amp;TEXT(ROW()-ROW(tblTxn[[#Headers],[Txn ID]]),"000000"))</f>
        <v/>
      </c>
      <c r="C358" s="18" t="n"/>
      <c r="D358">
        <f>IF($C358="","",TEXT($C358,"yyyy-mm"))</f>
        <v/>
      </c>
      <c r="F358">
        <f>IF($C358="","",IFERROR(INDEX(tblAccounts[Owner],MATCH($E358,tblAccounts[Account],0)),"Joint"))</f>
        <v/>
      </c>
      <c r="G358">
        <f>IF($C358="","",IF(HouseholdMode="Couple",IFERROR(IF(INDEX(tblCategories[Default Owner],MATCH($K358,tblCategories[Category],0))="",$F358,INDEX(tblCategories[Default Owner],MATCH($K358,tblCategories[Category],0))),$F358),$F358))</f>
        <v/>
      </c>
      <c r="I358">
        <f>IF($H358="","",$H358)</f>
        <v/>
      </c>
      <c r="J358" s="19" t="n"/>
      <c r="K358">
        <f>IF($H358="","",IFERROR(INDEX(tblRules[Category],SUMPRODUCT(MIN((1-((tblRules[Enabled]&lt;&gt;"No")*(tblRules[Pattern]&lt;&gt;"")*(tblRules[Category]&lt;&gt;"")*((tblRules[Flow]="Any")+(tblRules[Flow]="")+((tblRules[Flow]="Money out")*($J358&lt;0))+((tblRules[Flow]="Money in")*($J358&gt;0)))*(((tblRules[Look In]="Account")*ISNUMBER(SEARCH(tblRules[Pattern],$E358)))+((tblRules[Look In]&lt;&gt;"Account")*(((tblRules[Test]="Word")*ISNUMBER(SEARCH(" "&amp;tblRules[Pattern]&amp;" "," "&amp;$H358&amp;" ")))+((tblRules[Test]&lt;&gt;"Word")*ISNUMBER(SEARCH(tblRules[Pattern],$H358))))))&gt;0))*1E+9+ROW(tblRules[Pattern])))-ROW(tblRules[[#Headers],[Pattern]])),"Uncategorized"))</f>
        <v/>
      </c>
      <c r="L358">
        <f>IF($C358="","",IFERROR(INDEX(tblCategories[Group],MATCH($K358,tblCategories[Category],0)),"Other"))</f>
        <v/>
      </c>
      <c r="M358">
        <f>IF($C358="","",IFERROR(INDEX(tblCategories[Type],MATCH($K358,tblCategories[Category],0)),IF($J358&gt;0,"Income","Expense")))</f>
        <v/>
      </c>
      <c r="N358">
        <f>IF($C358="","",IFERROR(INDEX(tblCategories[Essential],MATCH($K358,tblCategories[Category],0)),"No"))</f>
        <v/>
      </c>
      <c r="O358">
        <f>IF($C358="","",IFERROR(INDEX(tblCategories[Tax Tag],MATCH($K358,tblCategories[Category],0)),""))</f>
        <v/>
      </c>
      <c r="P358" s="20">
        <f>IF($C358="","",IF($G358=PersonA,1,IF($G358=PersonB,0,IFERROR(INDEX(tblCategories[Joint Split A],MATCH($K358,tblCategories[Category],0)),DefaultSplitA))))</f>
        <v/>
      </c>
      <c r="Q358" s="19">
        <f>IF($C358="","",ROUND($J358*N($P358),2))</f>
        <v/>
      </c>
      <c r="R358" s="19">
        <f>IF($C358="","",ROUND($J358-N($Q358),2))</f>
        <v/>
      </c>
      <c r="X358">
        <f>IF($C358="","",IFERROR(IF(_xlfn.ISFORMULA($K358),"Rule","Manual"),""))</f>
        <v/>
      </c>
      <c r="Y358" s="19">
        <f>IF($C358="","",IF(ReportView=PersonA,N($Q358),IF(ReportView=PersonB,N($R358),$J358)))</f>
        <v/>
      </c>
    </row>
    <row r="359">
      <c r="B359">
        <f>IF($C359="","","T"&amp;TEXT(ROW()-ROW(tblTxn[[#Headers],[Txn ID]]),"000000"))</f>
        <v/>
      </c>
      <c r="C359" s="18" t="n"/>
      <c r="D359">
        <f>IF($C359="","",TEXT($C359,"yyyy-mm"))</f>
        <v/>
      </c>
      <c r="F359">
        <f>IF($C359="","",IFERROR(INDEX(tblAccounts[Owner],MATCH($E359,tblAccounts[Account],0)),"Joint"))</f>
        <v/>
      </c>
      <c r="G359">
        <f>IF($C359="","",IF(HouseholdMode="Couple",IFERROR(IF(INDEX(tblCategories[Default Owner],MATCH($K359,tblCategories[Category],0))="",$F359,INDEX(tblCategories[Default Owner],MATCH($K359,tblCategories[Category],0))),$F359),$F359))</f>
        <v/>
      </c>
      <c r="I359">
        <f>IF($H359="","",$H359)</f>
        <v/>
      </c>
      <c r="J359" s="19" t="n"/>
      <c r="K359">
        <f>IF($H359="","",IFERROR(INDEX(tblRules[Category],SUMPRODUCT(MIN((1-((tblRules[Enabled]&lt;&gt;"No")*(tblRules[Pattern]&lt;&gt;"")*(tblRules[Category]&lt;&gt;"")*((tblRules[Flow]="Any")+(tblRules[Flow]="")+((tblRules[Flow]="Money out")*($J359&lt;0))+((tblRules[Flow]="Money in")*($J359&gt;0)))*(((tblRules[Look In]="Account")*ISNUMBER(SEARCH(tblRules[Pattern],$E359)))+((tblRules[Look In]&lt;&gt;"Account")*(((tblRules[Test]="Word")*ISNUMBER(SEARCH(" "&amp;tblRules[Pattern]&amp;" "," "&amp;$H359&amp;" ")))+((tblRules[Test]&lt;&gt;"Word")*ISNUMBER(SEARCH(tblRules[Pattern],$H359))))))&gt;0))*1E+9+ROW(tblRules[Pattern])))-ROW(tblRules[[#Headers],[Pattern]])),"Uncategorized"))</f>
        <v/>
      </c>
      <c r="L359">
        <f>IF($C359="","",IFERROR(INDEX(tblCategories[Group],MATCH($K359,tblCategories[Category],0)),"Other"))</f>
        <v/>
      </c>
      <c r="M359">
        <f>IF($C359="","",IFERROR(INDEX(tblCategories[Type],MATCH($K359,tblCategories[Category],0)),IF($J359&gt;0,"Income","Expense")))</f>
        <v/>
      </c>
      <c r="N359">
        <f>IF($C359="","",IFERROR(INDEX(tblCategories[Essential],MATCH($K359,tblCategories[Category],0)),"No"))</f>
        <v/>
      </c>
      <c r="O359">
        <f>IF($C359="","",IFERROR(INDEX(tblCategories[Tax Tag],MATCH($K359,tblCategories[Category],0)),""))</f>
        <v/>
      </c>
      <c r="P359" s="20">
        <f>IF($C359="","",IF($G359=PersonA,1,IF($G359=PersonB,0,IFERROR(INDEX(tblCategories[Joint Split A],MATCH($K359,tblCategories[Category],0)),DefaultSplitA))))</f>
        <v/>
      </c>
      <c r="Q359" s="19">
        <f>IF($C359="","",ROUND($J359*N($P359),2))</f>
        <v/>
      </c>
      <c r="R359" s="19">
        <f>IF($C359="","",ROUND($J359-N($Q359),2))</f>
        <v/>
      </c>
      <c r="X359">
        <f>IF($C359="","",IFERROR(IF(_xlfn.ISFORMULA($K359),"Rule","Manual"),""))</f>
        <v/>
      </c>
      <c r="Y359" s="19">
        <f>IF($C359="","",IF(ReportView=PersonA,N($Q359),IF(ReportView=PersonB,N($R359),$J359)))</f>
        <v/>
      </c>
    </row>
    <row r="360">
      <c r="B360">
        <f>IF($C360="","","T"&amp;TEXT(ROW()-ROW(tblTxn[[#Headers],[Txn ID]]),"000000"))</f>
        <v/>
      </c>
      <c r="C360" s="18" t="n"/>
      <c r="D360">
        <f>IF($C360="","",TEXT($C360,"yyyy-mm"))</f>
        <v/>
      </c>
      <c r="F360">
        <f>IF($C360="","",IFERROR(INDEX(tblAccounts[Owner],MATCH($E360,tblAccounts[Account],0)),"Joint"))</f>
        <v/>
      </c>
      <c r="G360">
        <f>IF($C360="","",IF(HouseholdMode="Couple",IFERROR(IF(INDEX(tblCategories[Default Owner],MATCH($K360,tblCategories[Category],0))="",$F360,INDEX(tblCategories[Default Owner],MATCH($K360,tblCategories[Category],0))),$F360),$F360))</f>
        <v/>
      </c>
      <c r="I360">
        <f>IF($H360="","",$H360)</f>
        <v/>
      </c>
      <c r="J360" s="19" t="n"/>
      <c r="K360">
        <f>IF($H360="","",IFERROR(INDEX(tblRules[Category],SUMPRODUCT(MIN((1-((tblRules[Enabled]&lt;&gt;"No")*(tblRules[Pattern]&lt;&gt;"")*(tblRules[Category]&lt;&gt;"")*((tblRules[Flow]="Any")+(tblRules[Flow]="")+((tblRules[Flow]="Money out")*($J360&lt;0))+((tblRules[Flow]="Money in")*($J360&gt;0)))*(((tblRules[Look In]="Account")*ISNUMBER(SEARCH(tblRules[Pattern],$E360)))+((tblRules[Look In]&lt;&gt;"Account")*(((tblRules[Test]="Word")*ISNUMBER(SEARCH(" "&amp;tblRules[Pattern]&amp;" "," "&amp;$H360&amp;" ")))+((tblRules[Test]&lt;&gt;"Word")*ISNUMBER(SEARCH(tblRules[Pattern],$H360))))))&gt;0))*1E+9+ROW(tblRules[Pattern])))-ROW(tblRules[[#Headers],[Pattern]])),"Uncategorized"))</f>
        <v/>
      </c>
      <c r="L360">
        <f>IF($C360="","",IFERROR(INDEX(tblCategories[Group],MATCH($K360,tblCategories[Category],0)),"Other"))</f>
        <v/>
      </c>
      <c r="M360">
        <f>IF($C360="","",IFERROR(INDEX(tblCategories[Type],MATCH($K360,tblCategories[Category],0)),IF($J360&gt;0,"Income","Expense")))</f>
        <v/>
      </c>
      <c r="N360">
        <f>IF($C360="","",IFERROR(INDEX(tblCategories[Essential],MATCH($K360,tblCategories[Category],0)),"No"))</f>
        <v/>
      </c>
      <c r="O360">
        <f>IF($C360="","",IFERROR(INDEX(tblCategories[Tax Tag],MATCH($K360,tblCategories[Category],0)),""))</f>
        <v/>
      </c>
      <c r="P360" s="20">
        <f>IF($C360="","",IF($G360=PersonA,1,IF($G360=PersonB,0,IFERROR(INDEX(tblCategories[Joint Split A],MATCH($K360,tblCategories[Category],0)),DefaultSplitA))))</f>
        <v/>
      </c>
      <c r="Q360" s="19">
        <f>IF($C360="","",ROUND($J360*N($P360),2))</f>
        <v/>
      </c>
      <c r="R360" s="19">
        <f>IF($C360="","",ROUND($J360-N($Q360),2))</f>
        <v/>
      </c>
      <c r="X360">
        <f>IF($C360="","",IFERROR(IF(_xlfn.ISFORMULA($K360),"Rule","Manual"),""))</f>
        <v/>
      </c>
      <c r="Y360" s="19">
        <f>IF($C360="","",IF(ReportView=PersonA,N($Q360),IF(ReportView=PersonB,N($R360),$J360)))</f>
        <v/>
      </c>
    </row>
    <row r="361">
      <c r="B361">
        <f>IF($C361="","","T"&amp;TEXT(ROW()-ROW(tblTxn[[#Headers],[Txn ID]]),"000000"))</f>
        <v/>
      </c>
      <c r="C361" s="18" t="n"/>
      <c r="D361">
        <f>IF($C361="","",TEXT($C361,"yyyy-mm"))</f>
        <v/>
      </c>
      <c r="F361">
        <f>IF($C361="","",IFERROR(INDEX(tblAccounts[Owner],MATCH($E361,tblAccounts[Account],0)),"Joint"))</f>
        <v/>
      </c>
      <c r="G361">
        <f>IF($C361="","",IF(HouseholdMode="Couple",IFERROR(IF(INDEX(tblCategories[Default Owner],MATCH($K361,tblCategories[Category],0))="",$F361,INDEX(tblCategories[Default Owner],MATCH($K361,tblCategories[Category],0))),$F361),$F361))</f>
        <v/>
      </c>
      <c r="I361">
        <f>IF($H361="","",$H361)</f>
        <v/>
      </c>
      <c r="J361" s="19" t="n"/>
      <c r="K361">
        <f>IF($H361="","",IFERROR(INDEX(tblRules[Category],SUMPRODUCT(MIN((1-((tblRules[Enabled]&lt;&gt;"No")*(tblRules[Pattern]&lt;&gt;"")*(tblRules[Category]&lt;&gt;"")*((tblRules[Flow]="Any")+(tblRules[Flow]="")+((tblRules[Flow]="Money out")*($J361&lt;0))+((tblRules[Flow]="Money in")*($J361&gt;0)))*(((tblRules[Look In]="Account")*ISNUMBER(SEARCH(tblRules[Pattern],$E361)))+((tblRules[Look In]&lt;&gt;"Account")*(((tblRules[Test]="Word")*ISNUMBER(SEARCH(" "&amp;tblRules[Pattern]&amp;" "," "&amp;$H361&amp;" ")))+((tblRules[Test]&lt;&gt;"Word")*ISNUMBER(SEARCH(tblRules[Pattern],$H361))))))&gt;0))*1E+9+ROW(tblRules[Pattern])))-ROW(tblRules[[#Headers],[Pattern]])),"Uncategorized"))</f>
        <v/>
      </c>
      <c r="L361">
        <f>IF($C361="","",IFERROR(INDEX(tblCategories[Group],MATCH($K361,tblCategories[Category],0)),"Other"))</f>
        <v/>
      </c>
      <c r="M361">
        <f>IF($C361="","",IFERROR(INDEX(tblCategories[Type],MATCH($K361,tblCategories[Category],0)),IF($J361&gt;0,"Income","Expense")))</f>
        <v/>
      </c>
      <c r="N361">
        <f>IF($C361="","",IFERROR(INDEX(tblCategories[Essential],MATCH($K361,tblCategories[Category],0)),"No"))</f>
        <v/>
      </c>
      <c r="O361">
        <f>IF($C361="","",IFERROR(INDEX(tblCategories[Tax Tag],MATCH($K361,tblCategories[Category],0)),""))</f>
        <v/>
      </c>
      <c r="P361" s="20">
        <f>IF($C361="","",IF($G361=PersonA,1,IF($G361=PersonB,0,IFERROR(INDEX(tblCategories[Joint Split A],MATCH($K361,tblCategories[Category],0)),DefaultSplitA))))</f>
        <v/>
      </c>
      <c r="Q361" s="19">
        <f>IF($C361="","",ROUND($J361*N($P361),2))</f>
        <v/>
      </c>
      <c r="R361" s="19">
        <f>IF($C361="","",ROUND($J361-N($Q361),2))</f>
        <v/>
      </c>
      <c r="X361">
        <f>IF($C361="","",IFERROR(IF(_xlfn.ISFORMULA($K361),"Rule","Manual"),""))</f>
        <v/>
      </c>
      <c r="Y361" s="19">
        <f>IF($C361="","",IF(ReportView=PersonA,N($Q361),IF(ReportView=PersonB,N($R361),$J361)))</f>
        <v/>
      </c>
    </row>
    <row r="362">
      <c r="B362">
        <f>IF($C362="","","T"&amp;TEXT(ROW()-ROW(tblTxn[[#Headers],[Txn ID]]),"000000"))</f>
        <v/>
      </c>
      <c r="C362" s="18" t="n"/>
      <c r="D362">
        <f>IF($C362="","",TEXT($C362,"yyyy-mm"))</f>
        <v/>
      </c>
      <c r="F362">
        <f>IF($C362="","",IFERROR(INDEX(tblAccounts[Owner],MATCH($E362,tblAccounts[Account],0)),"Joint"))</f>
        <v/>
      </c>
      <c r="G362">
        <f>IF($C362="","",IF(HouseholdMode="Couple",IFERROR(IF(INDEX(tblCategories[Default Owner],MATCH($K362,tblCategories[Category],0))="",$F362,INDEX(tblCategories[Default Owner],MATCH($K362,tblCategories[Category],0))),$F362),$F362))</f>
        <v/>
      </c>
      <c r="I362">
        <f>IF($H362="","",$H362)</f>
        <v/>
      </c>
      <c r="J362" s="19" t="n"/>
      <c r="K362">
        <f>IF($H362="","",IFERROR(INDEX(tblRules[Category],SUMPRODUCT(MIN((1-((tblRules[Enabled]&lt;&gt;"No")*(tblRules[Pattern]&lt;&gt;"")*(tblRules[Category]&lt;&gt;"")*((tblRules[Flow]="Any")+(tblRules[Flow]="")+((tblRules[Flow]="Money out")*($J362&lt;0))+((tblRules[Flow]="Money in")*($J362&gt;0)))*(((tblRules[Look In]="Account")*ISNUMBER(SEARCH(tblRules[Pattern],$E362)))+((tblRules[Look In]&lt;&gt;"Account")*(((tblRules[Test]="Word")*ISNUMBER(SEARCH(" "&amp;tblRules[Pattern]&amp;" "," "&amp;$H362&amp;" ")))+((tblRules[Test]&lt;&gt;"Word")*ISNUMBER(SEARCH(tblRules[Pattern],$H362))))))&gt;0))*1E+9+ROW(tblRules[Pattern])))-ROW(tblRules[[#Headers],[Pattern]])),"Uncategorized"))</f>
        <v/>
      </c>
      <c r="L362">
        <f>IF($C362="","",IFERROR(INDEX(tblCategories[Group],MATCH($K362,tblCategories[Category],0)),"Other"))</f>
        <v/>
      </c>
      <c r="M362">
        <f>IF($C362="","",IFERROR(INDEX(tblCategories[Type],MATCH($K362,tblCategories[Category],0)),IF($J362&gt;0,"Income","Expense")))</f>
        <v/>
      </c>
      <c r="N362">
        <f>IF($C362="","",IFERROR(INDEX(tblCategories[Essential],MATCH($K362,tblCategories[Category],0)),"No"))</f>
        <v/>
      </c>
      <c r="O362">
        <f>IF($C362="","",IFERROR(INDEX(tblCategories[Tax Tag],MATCH($K362,tblCategories[Category],0)),""))</f>
        <v/>
      </c>
      <c r="P362" s="20">
        <f>IF($C362="","",IF($G362=PersonA,1,IF($G362=PersonB,0,IFERROR(INDEX(tblCategories[Joint Split A],MATCH($K362,tblCategories[Category],0)),DefaultSplitA))))</f>
        <v/>
      </c>
      <c r="Q362" s="19">
        <f>IF($C362="","",ROUND($J362*N($P362),2))</f>
        <v/>
      </c>
      <c r="R362" s="19">
        <f>IF($C362="","",ROUND($J362-N($Q362),2))</f>
        <v/>
      </c>
      <c r="X362">
        <f>IF($C362="","",IFERROR(IF(_xlfn.ISFORMULA($K362),"Rule","Manual"),""))</f>
        <v/>
      </c>
      <c r="Y362" s="19">
        <f>IF($C362="","",IF(ReportView=PersonA,N($Q362),IF(ReportView=PersonB,N($R362),$J362)))</f>
        <v/>
      </c>
    </row>
    <row r="363">
      <c r="B363">
        <f>IF($C363="","","T"&amp;TEXT(ROW()-ROW(tblTxn[[#Headers],[Txn ID]]),"000000"))</f>
        <v/>
      </c>
      <c r="C363" s="18" t="n"/>
      <c r="D363">
        <f>IF($C363="","",TEXT($C363,"yyyy-mm"))</f>
        <v/>
      </c>
      <c r="F363">
        <f>IF($C363="","",IFERROR(INDEX(tblAccounts[Owner],MATCH($E363,tblAccounts[Account],0)),"Joint"))</f>
        <v/>
      </c>
      <c r="G363">
        <f>IF($C363="","",IF(HouseholdMode="Couple",IFERROR(IF(INDEX(tblCategories[Default Owner],MATCH($K363,tblCategories[Category],0))="",$F363,INDEX(tblCategories[Default Owner],MATCH($K363,tblCategories[Category],0))),$F363),$F363))</f>
        <v/>
      </c>
      <c r="I363">
        <f>IF($H363="","",$H363)</f>
        <v/>
      </c>
      <c r="J363" s="19" t="n"/>
      <c r="K363">
        <f>IF($H363="","",IFERROR(INDEX(tblRules[Category],SUMPRODUCT(MIN((1-((tblRules[Enabled]&lt;&gt;"No")*(tblRules[Pattern]&lt;&gt;"")*(tblRules[Category]&lt;&gt;"")*((tblRules[Flow]="Any")+(tblRules[Flow]="")+((tblRules[Flow]="Money out")*($J363&lt;0))+((tblRules[Flow]="Money in")*($J363&gt;0)))*(((tblRules[Look In]="Account")*ISNUMBER(SEARCH(tblRules[Pattern],$E363)))+((tblRules[Look In]&lt;&gt;"Account")*(((tblRules[Test]="Word")*ISNUMBER(SEARCH(" "&amp;tblRules[Pattern]&amp;" "," "&amp;$H363&amp;" ")))+((tblRules[Test]&lt;&gt;"Word")*ISNUMBER(SEARCH(tblRules[Pattern],$H363))))))&gt;0))*1E+9+ROW(tblRules[Pattern])))-ROW(tblRules[[#Headers],[Pattern]])),"Uncategorized"))</f>
        <v/>
      </c>
      <c r="L363">
        <f>IF($C363="","",IFERROR(INDEX(tblCategories[Group],MATCH($K363,tblCategories[Category],0)),"Other"))</f>
        <v/>
      </c>
      <c r="M363">
        <f>IF($C363="","",IFERROR(INDEX(tblCategories[Type],MATCH($K363,tblCategories[Category],0)),IF($J363&gt;0,"Income","Expense")))</f>
        <v/>
      </c>
      <c r="N363">
        <f>IF($C363="","",IFERROR(INDEX(tblCategories[Essential],MATCH($K363,tblCategories[Category],0)),"No"))</f>
        <v/>
      </c>
      <c r="O363">
        <f>IF($C363="","",IFERROR(INDEX(tblCategories[Tax Tag],MATCH($K363,tblCategories[Category],0)),""))</f>
        <v/>
      </c>
      <c r="P363" s="20">
        <f>IF($C363="","",IF($G363=PersonA,1,IF($G363=PersonB,0,IFERROR(INDEX(tblCategories[Joint Split A],MATCH($K363,tblCategories[Category],0)),DefaultSplitA))))</f>
        <v/>
      </c>
      <c r="Q363" s="19">
        <f>IF($C363="","",ROUND($J363*N($P363),2))</f>
        <v/>
      </c>
      <c r="R363" s="19">
        <f>IF($C363="","",ROUND($J363-N($Q363),2))</f>
        <v/>
      </c>
      <c r="X363">
        <f>IF($C363="","",IFERROR(IF(_xlfn.ISFORMULA($K363),"Rule","Manual"),""))</f>
        <v/>
      </c>
      <c r="Y363" s="19">
        <f>IF($C363="","",IF(ReportView=PersonA,N($Q363),IF(ReportView=PersonB,N($R363),$J363)))</f>
        <v/>
      </c>
    </row>
    <row r="364">
      <c r="B364">
        <f>IF($C364="","","T"&amp;TEXT(ROW()-ROW(tblTxn[[#Headers],[Txn ID]]),"000000"))</f>
        <v/>
      </c>
      <c r="C364" s="18" t="n"/>
      <c r="D364">
        <f>IF($C364="","",TEXT($C364,"yyyy-mm"))</f>
        <v/>
      </c>
      <c r="F364">
        <f>IF($C364="","",IFERROR(INDEX(tblAccounts[Owner],MATCH($E364,tblAccounts[Account],0)),"Joint"))</f>
        <v/>
      </c>
      <c r="G364">
        <f>IF($C364="","",IF(HouseholdMode="Couple",IFERROR(IF(INDEX(tblCategories[Default Owner],MATCH($K364,tblCategories[Category],0))="",$F364,INDEX(tblCategories[Default Owner],MATCH($K364,tblCategories[Category],0))),$F364),$F364))</f>
        <v/>
      </c>
      <c r="I364">
        <f>IF($H364="","",$H364)</f>
        <v/>
      </c>
      <c r="J364" s="19" t="n"/>
      <c r="K364">
        <f>IF($H364="","",IFERROR(INDEX(tblRules[Category],SUMPRODUCT(MIN((1-((tblRules[Enabled]&lt;&gt;"No")*(tblRules[Pattern]&lt;&gt;"")*(tblRules[Category]&lt;&gt;"")*((tblRules[Flow]="Any")+(tblRules[Flow]="")+((tblRules[Flow]="Money out")*($J364&lt;0))+((tblRules[Flow]="Money in")*($J364&gt;0)))*(((tblRules[Look In]="Account")*ISNUMBER(SEARCH(tblRules[Pattern],$E364)))+((tblRules[Look In]&lt;&gt;"Account")*(((tblRules[Test]="Word")*ISNUMBER(SEARCH(" "&amp;tblRules[Pattern]&amp;" "," "&amp;$H364&amp;" ")))+((tblRules[Test]&lt;&gt;"Word")*ISNUMBER(SEARCH(tblRules[Pattern],$H364))))))&gt;0))*1E+9+ROW(tblRules[Pattern])))-ROW(tblRules[[#Headers],[Pattern]])),"Uncategorized"))</f>
        <v/>
      </c>
      <c r="L364">
        <f>IF($C364="","",IFERROR(INDEX(tblCategories[Group],MATCH($K364,tblCategories[Category],0)),"Other"))</f>
        <v/>
      </c>
      <c r="M364">
        <f>IF($C364="","",IFERROR(INDEX(tblCategories[Type],MATCH($K364,tblCategories[Category],0)),IF($J364&gt;0,"Income","Expense")))</f>
        <v/>
      </c>
      <c r="N364">
        <f>IF($C364="","",IFERROR(INDEX(tblCategories[Essential],MATCH($K364,tblCategories[Category],0)),"No"))</f>
        <v/>
      </c>
      <c r="O364">
        <f>IF($C364="","",IFERROR(INDEX(tblCategories[Tax Tag],MATCH($K364,tblCategories[Category],0)),""))</f>
        <v/>
      </c>
      <c r="P364" s="20">
        <f>IF($C364="","",IF($G364=PersonA,1,IF($G364=PersonB,0,IFERROR(INDEX(tblCategories[Joint Split A],MATCH($K364,tblCategories[Category],0)),DefaultSplitA))))</f>
        <v/>
      </c>
      <c r="Q364" s="19">
        <f>IF($C364="","",ROUND($J364*N($P364),2))</f>
        <v/>
      </c>
      <c r="R364" s="19">
        <f>IF($C364="","",ROUND($J364-N($Q364),2))</f>
        <v/>
      </c>
      <c r="X364">
        <f>IF($C364="","",IFERROR(IF(_xlfn.ISFORMULA($K364),"Rule","Manual"),""))</f>
        <v/>
      </c>
      <c r="Y364" s="19">
        <f>IF($C364="","",IF(ReportView=PersonA,N($Q364),IF(ReportView=PersonB,N($R364),$J364)))</f>
        <v/>
      </c>
    </row>
    <row r="365">
      <c r="B365">
        <f>IF($C365="","","T"&amp;TEXT(ROW()-ROW(tblTxn[[#Headers],[Txn ID]]),"000000"))</f>
        <v/>
      </c>
      <c r="C365" s="18" t="n"/>
      <c r="D365">
        <f>IF($C365="","",TEXT($C365,"yyyy-mm"))</f>
        <v/>
      </c>
      <c r="F365">
        <f>IF($C365="","",IFERROR(INDEX(tblAccounts[Owner],MATCH($E365,tblAccounts[Account],0)),"Joint"))</f>
        <v/>
      </c>
      <c r="G365">
        <f>IF($C365="","",IF(HouseholdMode="Couple",IFERROR(IF(INDEX(tblCategories[Default Owner],MATCH($K365,tblCategories[Category],0))="",$F365,INDEX(tblCategories[Default Owner],MATCH($K365,tblCategories[Category],0))),$F365),$F365))</f>
        <v/>
      </c>
      <c r="I365">
        <f>IF($H365="","",$H365)</f>
        <v/>
      </c>
      <c r="J365" s="19" t="n"/>
      <c r="K365">
        <f>IF($H365="","",IFERROR(INDEX(tblRules[Category],SUMPRODUCT(MIN((1-((tblRules[Enabled]&lt;&gt;"No")*(tblRules[Pattern]&lt;&gt;"")*(tblRules[Category]&lt;&gt;"")*((tblRules[Flow]="Any")+(tblRules[Flow]="")+((tblRules[Flow]="Money out")*($J365&lt;0))+((tblRules[Flow]="Money in")*($J365&gt;0)))*(((tblRules[Look In]="Account")*ISNUMBER(SEARCH(tblRules[Pattern],$E365)))+((tblRules[Look In]&lt;&gt;"Account")*(((tblRules[Test]="Word")*ISNUMBER(SEARCH(" "&amp;tblRules[Pattern]&amp;" "," "&amp;$H365&amp;" ")))+((tblRules[Test]&lt;&gt;"Word")*ISNUMBER(SEARCH(tblRules[Pattern],$H365))))))&gt;0))*1E+9+ROW(tblRules[Pattern])))-ROW(tblRules[[#Headers],[Pattern]])),"Uncategorized"))</f>
        <v/>
      </c>
      <c r="L365">
        <f>IF($C365="","",IFERROR(INDEX(tblCategories[Group],MATCH($K365,tblCategories[Category],0)),"Other"))</f>
        <v/>
      </c>
      <c r="M365">
        <f>IF($C365="","",IFERROR(INDEX(tblCategories[Type],MATCH($K365,tblCategories[Category],0)),IF($J365&gt;0,"Income","Expense")))</f>
        <v/>
      </c>
      <c r="N365">
        <f>IF($C365="","",IFERROR(INDEX(tblCategories[Essential],MATCH($K365,tblCategories[Category],0)),"No"))</f>
        <v/>
      </c>
      <c r="O365">
        <f>IF($C365="","",IFERROR(INDEX(tblCategories[Tax Tag],MATCH($K365,tblCategories[Category],0)),""))</f>
        <v/>
      </c>
      <c r="P365" s="20">
        <f>IF($C365="","",IF($G365=PersonA,1,IF($G365=PersonB,0,IFERROR(INDEX(tblCategories[Joint Split A],MATCH($K365,tblCategories[Category],0)),DefaultSplitA))))</f>
        <v/>
      </c>
      <c r="Q365" s="19">
        <f>IF($C365="","",ROUND($J365*N($P365),2))</f>
        <v/>
      </c>
      <c r="R365" s="19">
        <f>IF($C365="","",ROUND($J365-N($Q365),2))</f>
        <v/>
      </c>
      <c r="X365">
        <f>IF($C365="","",IFERROR(IF(_xlfn.ISFORMULA($K365),"Rule","Manual"),""))</f>
        <v/>
      </c>
      <c r="Y365" s="19">
        <f>IF($C365="","",IF(ReportView=PersonA,N($Q365),IF(ReportView=PersonB,N($R365),$J365)))</f>
        <v/>
      </c>
    </row>
    <row r="366">
      <c r="B366">
        <f>IF($C366="","","T"&amp;TEXT(ROW()-ROW(tblTxn[[#Headers],[Txn ID]]),"000000"))</f>
        <v/>
      </c>
      <c r="C366" s="18" t="n"/>
      <c r="D366">
        <f>IF($C366="","",TEXT($C366,"yyyy-mm"))</f>
        <v/>
      </c>
      <c r="F366">
        <f>IF($C366="","",IFERROR(INDEX(tblAccounts[Owner],MATCH($E366,tblAccounts[Account],0)),"Joint"))</f>
        <v/>
      </c>
      <c r="G366">
        <f>IF($C366="","",IF(HouseholdMode="Couple",IFERROR(IF(INDEX(tblCategories[Default Owner],MATCH($K366,tblCategories[Category],0))="",$F366,INDEX(tblCategories[Default Owner],MATCH($K366,tblCategories[Category],0))),$F366),$F366))</f>
        <v/>
      </c>
      <c r="I366">
        <f>IF($H366="","",$H366)</f>
        <v/>
      </c>
      <c r="J366" s="19" t="n"/>
      <c r="K366">
        <f>IF($H366="","",IFERROR(INDEX(tblRules[Category],SUMPRODUCT(MIN((1-((tblRules[Enabled]&lt;&gt;"No")*(tblRules[Pattern]&lt;&gt;"")*(tblRules[Category]&lt;&gt;"")*((tblRules[Flow]="Any")+(tblRules[Flow]="")+((tblRules[Flow]="Money out")*($J366&lt;0))+((tblRules[Flow]="Money in")*($J366&gt;0)))*(((tblRules[Look In]="Account")*ISNUMBER(SEARCH(tblRules[Pattern],$E366)))+((tblRules[Look In]&lt;&gt;"Account")*(((tblRules[Test]="Word")*ISNUMBER(SEARCH(" "&amp;tblRules[Pattern]&amp;" "," "&amp;$H366&amp;" ")))+((tblRules[Test]&lt;&gt;"Word")*ISNUMBER(SEARCH(tblRules[Pattern],$H366))))))&gt;0))*1E+9+ROW(tblRules[Pattern])))-ROW(tblRules[[#Headers],[Pattern]])),"Uncategorized"))</f>
        <v/>
      </c>
      <c r="L366">
        <f>IF($C366="","",IFERROR(INDEX(tblCategories[Group],MATCH($K366,tblCategories[Category],0)),"Other"))</f>
        <v/>
      </c>
      <c r="M366">
        <f>IF($C366="","",IFERROR(INDEX(tblCategories[Type],MATCH($K366,tblCategories[Category],0)),IF($J366&gt;0,"Income","Expense")))</f>
        <v/>
      </c>
      <c r="N366">
        <f>IF($C366="","",IFERROR(INDEX(tblCategories[Essential],MATCH($K366,tblCategories[Category],0)),"No"))</f>
        <v/>
      </c>
      <c r="O366">
        <f>IF($C366="","",IFERROR(INDEX(tblCategories[Tax Tag],MATCH($K366,tblCategories[Category],0)),""))</f>
        <v/>
      </c>
      <c r="P366" s="20">
        <f>IF($C366="","",IF($G366=PersonA,1,IF($G366=PersonB,0,IFERROR(INDEX(tblCategories[Joint Split A],MATCH($K366,tblCategories[Category],0)),DefaultSplitA))))</f>
        <v/>
      </c>
      <c r="Q366" s="19">
        <f>IF($C366="","",ROUND($J366*N($P366),2))</f>
        <v/>
      </c>
      <c r="R366" s="19">
        <f>IF($C366="","",ROUND($J366-N($Q366),2))</f>
        <v/>
      </c>
      <c r="X366">
        <f>IF($C366="","",IFERROR(IF(_xlfn.ISFORMULA($K366),"Rule","Manual"),""))</f>
        <v/>
      </c>
      <c r="Y366" s="19">
        <f>IF($C366="","",IF(ReportView=PersonA,N($Q366),IF(ReportView=PersonB,N($R366),$J366)))</f>
        <v/>
      </c>
    </row>
    <row r="367">
      <c r="B367">
        <f>IF($C367="","","T"&amp;TEXT(ROW()-ROW(tblTxn[[#Headers],[Txn ID]]),"000000"))</f>
        <v/>
      </c>
      <c r="C367" s="18" t="n"/>
      <c r="D367">
        <f>IF($C367="","",TEXT($C367,"yyyy-mm"))</f>
        <v/>
      </c>
      <c r="F367">
        <f>IF($C367="","",IFERROR(INDEX(tblAccounts[Owner],MATCH($E367,tblAccounts[Account],0)),"Joint"))</f>
        <v/>
      </c>
      <c r="G367">
        <f>IF($C367="","",IF(HouseholdMode="Couple",IFERROR(IF(INDEX(tblCategories[Default Owner],MATCH($K367,tblCategories[Category],0))="",$F367,INDEX(tblCategories[Default Owner],MATCH($K367,tblCategories[Category],0))),$F367),$F367))</f>
        <v/>
      </c>
      <c r="I367">
        <f>IF($H367="","",$H367)</f>
        <v/>
      </c>
      <c r="J367" s="19" t="n"/>
      <c r="K367">
        <f>IF($H367="","",IFERROR(INDEX(tblRules[Category],SUMPRODUCT(MIN((1-((tblRules[Enabled]&lt;&gt;"No")*(tblRules[Pattern]&lt;&gt;"")*(tblRules[Category]&lt;&gt;"")*((tblRules[Flow]="Any")+(tblRules[Flow]="")+((tblRules[Flow]="Money out")*($J367&lt;0))+((tblRules[Flow]="Money in")*($J367&gt;0)))*(((tblRules[Look In]="Account")*ISNUMBER(SEARCH(tblRules[Pattern],$E367)))+((tblRules[Look In]&lt;&gt;"Account")*(((tblRules[Test]="Word")*ISNUMBER(SEARCH(" "&amp;tblRules[Pattern]&amp;" "," "&amp;$H367&amp;" ")))+((tblRules[Test]&lt;&gt;"Word")*ISNUMBER(SEARCH(tblRules[Pattern],$H367))))))&gt;0))*1E+9+ROW(tblRules[Pattern])))-ROW(tblRules[[#Headers],[Pattern]])),"Uncategorized"))</f>
        <v/>
      </c>
      <c r="L367">
        <f>IF($C367="","",IFERROR(INDEX(tblCategories[Group],MATCH($K367,tblCategories[Category],0)),"Other"))</f>
        <v/>
      </c>
      <c r="M367">
        <f>IF($C367="","",IFERROR(INDEX(tblCategories[Type],MATCH($K367,tblCategories[Category],0)),IF($J367&gt;0,"Income","Expense")))</f>
        <v/>
      </c>
      <c r="N367">
        <f>IF($C367="","",IFERROR(INDEX(tblCategories[Essential],MATCH($K367,tblCategories[Category],0)),"No"))</f>
        <v/>
      </c>
      <c r="O367">
        <f>IF($C367="","",IFERROR(INDEX(tblCategories[Tax Tag],MATCH($K367,tblCategories[Category],0)),""))</f>
        <v/>
      </c>
      <c r="P367" s="20">
        <f>IF($C367="","",IF($G367=PersonA,1,IF($G367=PersonB,0,IFERROR(INDEX(tblCategories[Joint Split A],MATCH($K367,tblCategories[Category],0)),DefaultSplitA))))</f>
        <v/>
      </c>
      <c r="Q367" s="19">
        <f>IF($C367="","",ROUND($J367*N($P367),2))</f>
        <v/>
      </c>
      <c r="R367" s="19">
        <f>IF($C367="","",ROUND($J367-N($Q367),2))</f>
        <v/>
      </c>
      <c r="X367">
        <f>IF($C367="","",IFERROR(IF(_xlfn.ISFORMULA($K367),"Rule","Manual"),""))</f>
        <v/>
      </c>
      <c r="Y367" s="19">
        <f>IF($C367="","",IF(ReportView=PersonA,N($Q367),IF(ReportView=PersonB,N($R367),$J367)))</f>
        <v/>
      </c>
    </row>
    <row r="368">
      <c r="B368">
        <f>IF($C368="","","T"&amp;TEXT(ROW()-ROW(tblTxn[[#Headers],[Txn ID]]),"000000"))</f>
        <v/>
      </c>
      <c r="C368" s="18" t="n"/>
      <c r="D368">
        <f>IF($C368="","",TEXT($C368,"yyyy-mm"))</f>
        <v/>
      </c>
      <c r="F368">
        <f>IF($C368="","",IFERROR(INDEX(tblAccounts[Owner],MATCH($E368,tblAccounts[Account],0)),"Joint"))</f>
        <v/>
      </c>
      <c r="G368">
        <f>IF($C368="","",IF(HouseholdMode="Couple",IFERROR(IF(INDEX(tblCategories[Default Owner],MATCH($K368,tblCategories[Category],0))="",$F368,INDEX(tblCategories[Default Owner],MATCH($K368,tblCategories[Category],0))),$F368),$F368))</f>
        <v/>
      </c>
      <c r="I368">
        <f>IF($H368="","",$H368)</f>
        <v/>
      </c>
      <c r="J368" s="19" t="n"/>
      <c r="K368">
        <f>IF($H368="","",IFERROR(INDEX(tblRules[Category],SUMPRODUCT(MIN((1-((tblRules[Enabled]&lt;&gt;"No")*(tblRules[Pattern]&lt;&gt;"")*(tblRules[Category]&lt;&gt;"")*((tblRules[Flow]="Any")+(tblRules[Flow]="")+((tblRules[Flow]="Money out")*($J368&lt;0))+((tblRules[Flow]="Money in")*($J368&gt;0)))*(((tblRules[Look In]="Account")*ISNUMBER(SEARCH(tblRules[Pattern],$E368)))+((tblRules[Look In]&lt;&gt;"Account")*(((tblRules[Test]="Word")*ISNUMBER(SEARCH(" "&amp;tblRules[Pattern]&amp;" "," "&amp;$H368&amp;" ")))+((tblRules[Test]&lt;&gt;"Word")*ISNUMBER(SEARCH(tblRules[Pattern],$H368))))))&gt;0))*1E+9+ROW(tblRules[Pattern])))-ROW(tblRules[[#Headers],[Pattern]])),"Uncategorized"))</f>
        <v/>
      </c>
      <c r="L368">
        <f>IF($C368="","",IFERROR(INDEX(tblCategories[Group],MATCH($K368,tblCategories[Category],0)),"Other"))</f>
        <v/>
      </c>
      <c r="M368">
        <f>IF($C368="","",IFERROR(INDEX(tblCategories[Type],MATCH($K368,tblCategories[Category],0)),IF($J368&gt;0,"Income","Expense")))</f>
        <v/>
      </c>
      <c r="N368">
        <f>IF($C368="","",IFERROR(INDEX(tblCategories[Essential],MATCH($K368,tblCategories[Category],0)),"No"))</f>
        <v/>
      </c>
      <c r="O368">
        <f>IF($C368="","",IFERROR(INDEX(tblCategories[Tax Tag],MATCH($K368,tblCategories[Category],0)),""))</f>
        <v/>
      </c>
      <c r="P368" s="20">
        <f>IF($C368="","",IF($G368=PersonA,1,IF($G368=PersonB,0,IFERROR(INDEX(tblCategories[Joint Split A],MATCH($K368,tblCategories[Category],0)),DefaultSplitA))))</f>
        <v/>
      </c>
      <c r="Q368" s="19">
        <f>IF($C368="","",ROUND($J368*N($P368),2))</f>
        <v/>
      </c>
      <c r="R368" s="19">
        <f>IF($C368="","",ROUND($J368-N($Q368),2))</f>
        <v/>
      </c>
      <c r="X368">
        <f>IF($C368="","",IFERROR(IF(_xlfn.ISFORMULA($K368),"Rule","Manual"),""))</f>
        <v/>
      </c>
      <c r="Y368" s="19">
        <f>IF($C368="","",IF(ReportView=PersonA,N($Q368),IF(ReportView=PersonB,N($R368),$J368)))</f>
        <v/>
      </c>
    </row>
    <row r="369">
      <c r="B369">
        <f>IF($C369="","","T"&amp;TEXT(ROW()-ROW(tblTxn[[#Headers],[Txn ID]]),"000000"))</f>
        <v/>
      </c>
      <c r="C369" s="18" t="n"/>
      <c r="D369">
        <f>IF($C369="","",TEXT($C369,"yyyy-mm"))</f>
        <v/>
      </c>
      <c r="F369">
        <f>IF($C369="","",IFERROR(INDEX(tblAccounts[Owner],MATCH($E369,tblAccounts[Account],0)),"Joint"))</f>
        <v/>
      </c>
      <c r="G369">
        <f>IF($C369="","",IF(HouseholdMode="Couple",IFERROR(IF(INDEX(tblCategories[Default Owner],MATCH($K369,tblCategories[Category],0))="",$F369,INDEX(tblCategories[Default Owner],MATCH($K369,tblCategories[Category],0))),$F369),$F369))</f>
        <v/>
      </c>
      <c r="I369">
        <f>IF($H369="","",$H369)</f>
        <v/>
      </c>
      <c r="J369" s="19" t="n"/>
      <c r="K369">
        <f>IF($H369="","",IFERROR(INDEX(tblRules[Category],SUMPRODUCT(MIN((1-((tblRules[Enabled]&lt;&gt;"No")*(tblRules[Pattern]&lt;&gt;"")*(tblRules[Category]&lt;&gt;"")*((tblRules[Flow]="Any")+(tblRules[Flow]="")+((tblRules[Flow]="Money out")*($J369&lt;0))+((tblRules[Flow]="Money in")*($J369&gt;0)))*(((tblRules[Look In]="Account")*ISNUMBER(SEARCH(tblRules[Pattern],$E369)))+((tblRules[Look In]&lt;&gt;"Account")*(((tblRules[Test]="Word")*ISNUMBER(SEARCH(" "&amp;tblRules[Pattern]&amp;" "," "&amp;$H369&amp;" ")))+((tblRules[Test]&lt;&gt;"Word")*ISNUMBER(SEARCH(tblRules[Pattern],$H369))))))&gt;0))*1E+9+ROW(tblRules[Pattern])))-ROW(tblRules[[#Headers],[Pattern]])),"Uncategorized"))</f>
        <v/>
      </c>
      <c r="L369">
        <f>IF($C369="","",IFERROR(INDEX(tblCategories[Group],MATCH($K369,tblCategories[Category],0)),"Other"))</f>
        <v/>
      </c>
      <c r="M369">
        <f>IF($C369="","",IFERROR(INDEX(tblCategories[Type],MATCH($K369,tblCategories[Category],0)),IF($J369&gt;0,"Income","Expense")))</f>
        <v/>
      </c>
      <c r="N369">
        <f>IF($C369="","",IFERROR(INDEX(tblCategories[Essential],MATCH($K369,tblCategories[Category],0)),"No"))</f>
        <v/>
      </c>
      <c r="O369">
        <f>IF($C369="","",IFERROR(INDEX(tblCategories[Tax Tag],MATCH($K369,tblCategories[Category],0)),""))</f>
        <v/>
      </c>
      <c r="P369" s="20">
        <f>IF($C369="","",IF($G369=PersonA,1,IF($G369=PersonB,0,IFERROR(INDEX(tblCategories[Joint Split A],MATCH($K369,tblCategories[Category],0)),DefaultSplitA))))</f>
        <v/>
      </c>
      <c r="Q369" s="19">
        <f>IF($C369="","",ROUND($J369*N($P369),2))</f>
        <v/>
      </c>
      <c r="R369" s="19">
        <f>IF($C369="","",ROUND($J369-N($Q369),2))</f>
        <v/>
      </c>
      <c r="X369">
        <f>IF($C369="","",IFERROR(IF(_xlfn.ISFORMULA($K369),"Rule","Manual"),""))</f>
        <v/>
      </c>
      <c r="Y369" s="19">
        <f>IF($C369="","",IF(ReportView=PersonA,N($Q369),IF(ReportView=PersonB,N($R369),$J369)))</f>
        <v/>
      </c>
    </row>
    <row r="370">
      <c r="B370">
        <f>IF($C370="","","T"&amp;TEXT(ROW()-ROW(tblTxn[[#Headers],[Txn ID]]),"000000"))</f>
        <v/>
      </c>
      <c r="C370" s="18" t="n"/>
      <c r="D370">
        <f>IF($C370="","",TEXT($C370,"yyyy-mm"))</f>
        <v/>
      </c>
      <c r="F370">
        <f>IF($C370="","",IFERROR(INDEX(tblAccounts[Owner],MATCH($E370,tblAccounts[Account],0)),"Joint"))</f>
        <v/>
      </c>
      <c r="G370">
        <f>IF($C370="","",IF(HouseholdMode="Couple",IFERROR(IF(INDEX(tblCategories[Default Owner],MATCH($K370,tblCategories[Category],0))="",$F370,INDEX(tblCategories[Default Owner],MATCH($K370,tblCategories[Category],0))),$F370),$F370))</f>
        <v/>
      </c>
      <c r="I370">
        <f>IF($H370="","",$H370)</f>
        <v/>
      </c>
      <c r="J370" s="19" t="n"/>
      <c r="K370">
        <f>IF($H370="","",IFERROR(INDEX(tblRules[Category],SUMPRODUCT(MIN((1-((tblRules[Enabled]&lt;&gt;"No")*(tblRules[Pattern]&lt;&gt;"")*(tblRules[Category]&lt;&gt;"")*((tblRules[Flow]="Any")+(tblRules[Flow]="")+((tblRules[Flow]="Money out")*($J370&lt;0))+((tblRules[Flow]="Money in")*($J370&gt;0)))*(((tblRules[Look In]="Account")*ISNUMBER(SEARCH(tblRules[Pattern],$E370)))+((tblRules[Look In]&lt;&gt;"Account")*(((tblRules[Test]="Word")*ISNUMBER(SEARCH(" "&amp;tblRules[Pattern]&amp;" "," "&amp;$H370&amp;" ")))+((tblRules[Test]&lt;&gt;"Word")*ISNUMBER(SEARCH(tblRules[Pattern],$H370))))))&gt;0))*1E+9+ROW(tblRules[Pattern])))-ROW(tblRules[[#Headers],[Pattern]])),"Uncategorized"))</f>
        <v/>
      </c>
      <c r="L370">
        <f>IF($C370="","",IFERROR(INDEX(tblCategories[Group],MATCH($K370,tblCategories[Category],0)),"Other"))</f>
        <v/>
      </c>
      <c r="M370">
        <f>IF($C370="","",IFERROR(INDEX(tblCategories[Type],MATCH($K370,tblCategories[Category],0)),IF($J370&gt;0,"Income","Expense")))</f>
        <v/>
      </c>
      <c r="N370">
        <f>IF($C370="","",IFERROR(INDEX(tblCategories[Essential],MATCH($K370,tblCategories[Category],0)),"No"))</f>
        <v/>
      </c>
      <c r="O370">
        <f>IF($C370="","",IFERROR(INDEX(tblCategories[Tax Tag],MATCH($K370,tblCategories[Category],0)),""))</f>
        <v/>
      </c>
      <c r="P370" s="20">
        <f>IF($C370="","",IF($G370=PersonA,1,IF($G370=PersonB,0,IFERROR(INDEX(tblCategories[Joint Split A],MATCH($K370,tblCategories[Category],0)),DefaultSplitA))))</f>
        <v/>
      </c>
      <c r="Q370" s="19">
        <f>IF($C370="","",ROUND($J370*N($P370),2))</f>
        <v/>
      </c>
      <c r="R370" s="19">
        <f>IF($C370="","",ROUND($J370-N($Q370),2))</f>
        <v/>
      </c>
      <c r="X370">
        <f>IF($C370="","",IFERROR(IF(_xlfn.ISFORMULA($K370),"Rule","Manual"),""))</f>
        <v/>
      </c>
      <c r="Y370" s="19">
        <f>IF($C370="","",IF(ReportView=PersonA,N($Q370),IF(ReportView=PersonB,N($R370),$J370)))</f>
        <v/>
      </c>
    </row>
    <row r="371">
      <c r="B371">
        <f>IF($C371="","","T"&amp;TEXT(ROW()-ROW(tblTxn[[#Headers],[Txn ID]]),"000000"))</f>
        <v/>
      </c>
      <c r="C371" s="18" t="n"/>
      <c r="D371">
        <f>IF($C371="","",TEXT($C371,"yyyy-mm"))</f>
        <v/>
      </c>
      <c r="F371">
        <f>IF($C371="","",IFERROR(INDEX(tblAccounts[Owner],MATCH($E371,tblAccounts[Account],0)),"Joint"))</f>
        <v/>
      </c>
      <c r="G371">
        <f>IF($C371="","",IF(HouseholdMode="Couple",IFERROR(IF(INDEX(tblCategories[Default Owner],MATCH($K371,tblCategories[Category],0))="",$F371,INDEX(tblCategories[Default Owner],MATCH($K371,tblCategories[Category],0))),$F371),$F371))</f>
        <v/>
      </c>
      <c r="I371">
        <f>IF($H371="","",$H371)</f>
        <v/>
      </c>
      <c r="J371" s="19" t="n"/>
      <c r="K371">
        <f>IF($H371="","",IFERROR(INDEX(tblRules[Category],SUMPRODUCT(MIN((1-((tblRules[Enabled]&lt;&gt;"No")*(tblRules[Pattern]&lt;&gt;"")*(tblRules[Category]&lt;&gt;"")*((tblRules[Flow]="Any")+(tblRules[Flow]="")+((tblRules[Flow]="Money out")*($J371&lt;0))+((tblRules[Flow]="Money in")*($J371&gt;0)))*(((tblRules[Look In]="Account")*ISNUMBER(SEARCH(tblRules[Pattern],$E371)))+((tblRules[Look In]&lt;&gt;"Account")*(((tblRules[Test]="Word")*ISNUMBER(SEARCH(" "&amp;tblRules[Pattern]&amp;" "," "&amp;$H371&amp;" ")))+((tblRules[Test]&lt;&gt;"Word")*ISNUMBER(SEARCH(tblRules[Pattern],$H371))))))&gt;0))*1E+9+ROW(tblRules[Pattern])))-ROW(tblRules[[#Headers],[Pattern]])),"Uncategorized"))</f>
        <v/>
      </c>
      <c r="L371">
        <f>IF($C371="","",IFERROR(INDEX(tblCategories[Group],MATCH($K371,tblCategories[Category],0)),"Other"))</f>
        <v/>
      </c>
      <c r="M371">
        <f>IF($C371="","",IFERROR(INDEX(tblCategories[Type],MATCH($K371,tblCategories[Category],0)),IF($J371&gt;0,"Income","Expense")))</f>
        <v/>
      </c>
      <c r="N371">
        <f>IF($C371="","",IFERROR(INDEX(tblCategories[Essential],MATCH($K371,tblCategories[Category],0)),"No"))</f>
        <v/>
      </c>
      <c r="O371">
        <f>IF($C371="","",IFERROR(INDEX(tblCategories[Tax Tag],MATCH($K371,tblCategories[Category],0)),""))</f>
        <v/>
      </c>
      <c r="P371" s="20">
        <f>IF($C371="","",IF($G371=PersonA,1,IF($G371=PersonB,0,IFERROR(INDEX(tblCategories[Joint Split A],MATCH($K371,tblCategories[Category],0)),DefaultSplitA))))</f>
        <v/>
      </c>
      <c r="Q371" s="19">
        <f>IF($C371="","",ROUND($J371*N($P371),2))</f>
        <v/>
      </c>
      <c r="R371" s="19">
        <f>IF($C371="","",ROUND($J371-N($Q371),2))</f>
        <v/>
      </c>
      <c r="X371">
        <f>IF($C371="","",IFERROR(IF(_xlfn.ISFORMULA($K371),"Rule","Manual"),""))</f>
        <v/>
      </c>
      <c r="Y371" s="19">
        <f>IF($C371="","",IF(ReportView=PersonA,N($Q371),IF(ReportView=PersonB,N($R371),$J371)))</f>
        <v/>
      </c>
    </row>
    <row r="372">
      <c r="B372">
        <f>IF($C372="","","T"&amp;TEXT(ROW()-ROW(tblTxn[[#Headers],[Txn ID]]),"000000"))</f>
        <v/>
      </c>
      <c r="C372" s="18" t="n"/>
      <c r="D372">
        <f>IF($C372="","",TEXT($C372,"yyyy-mm"))</f>
        <v/>
      </c>
      <c r="F372">
        <f>IF($C372="","",IFERROR(INDEX(tblAccounts[Owner],MATCH($E372,tblAccounts[Account],0)),"Joint"))</f>
        <v/>
      </c>
      <c r="G372">
        <f>IF($C372="","",IF(HouseholdMode="Couple",IFERROR(IF(INDEX(tblCategories[Default Owner],MATCH($K372,tblCategories[Category],0))="",$F372,INDEX(tblCategories[Default Owner],MATCH($K372,tblCategories[Category],0))),$F372),$F372))</f>
        <v/>
      </c>
      <c r="I372">
        <f>IF($H372="","",$H372)</f>
        <v/>
      </c>
      <c r="J372" s="19" t="n"/>
      <c r="K372">
        <f>IF($H372="","",IFERROR(INDEX(tblRules[Category],SUMPRODUCT(MIN((1-((tblRules[Enabled]&lt;&gt;"No")*(tblRules[Pattern]&lt;&gt;"")*(tblRules[Category]&lt;&gt;"")*((tblRules[Flow]="Any")+(tblRules[Flow]="")+((tblRules[Flow]="Money out")*($J372&lt;0))+((tblRules[Flow]="Money in")*($J372&gt;0)))*(((tblRules[Look In]="Account")*ISNUMBER(SEARCH(tblRules[Pattern],$E372)))+((tblRules[Look In]&lt;&gt;"Account")*(((tblRules[Test]="Word")*ISNUMBER(SEARCH(" "&amp;tblRules[Pattern]&amp;" "," "&amp;$H372&amp;" ")))+((tblRules[Test]&lt;&gt;"Word")*ISNUMBER(SEARCH(tblRules[Pattern],$H372))))))&gt;0))*1E+9+ROW(tblRules[Pattern])))-ROW(tblRules[[#Headers],[Pattern]])),"Uncategorized"))</f>
        <v/>
      </c>
      <c r="L372">
        <f>IF($C372="","",IFERROR(INDEX(tblCategories[Group],MATCH($K372,tblCategories[Category],0)),"Other"))</f>
        <v/>
      </c>
      <c r="M372">
        <f>IF($C372="","",IFERROR(INDEX(tblCategories[Type],MATCH($K372,tblCategories[Category],0)),IF($J372&gt;0,"Income","Expense")))</f>
        <v/>
      </c>
      <c r="N372">
        <f>IF($C372="","",IFERROR(INDEX(tblCategories[Essential],MATCH($K372,tblCategories[Category],0)),"No"))</f>
        <v/>
      </c>
      <c r="O372">
        <f>IF($C372="","",IFERROR(INDEX(tblCategories[Tax Tag],MATCH($K372,tblCategories[Category],0)),""))</f>
        <v/>
      </c>
      <c r="P372" s="20">
        <f>IF($C372="","",IF($G372=PersonA,1,IF($G372=PersonB,0,IFERROR(INDEX(tblCategories[Joint Split A],MATCH($K372,tblCategories[Category],0)),DefaultSplitA))))</f>
        <v/>
      </c>
      <c r="Q372" s="19">
        <f>IF($C372="","",ROUND($J372*N($P372),2))</f>
        <v/>
      </c>
      <c r="R372" s="19">
        <f>IF($C372="","",ROUND($J372-N($Q372),2))</f>
        <v/>
      </c>
      <c r="X372">
        <f>IF($C372="","",IFERROR(IF(_xlfn.ISFORMULA($K372),"Rule","Manual"),""))</f>
        <v/>
      </c>
      <c r="Y372" s="19">
        <f>IF($C372="","",IF(ReportView=PersonA,N($Q372),IF(ReportView=PersonB,N($R372),$J372)))</f>
        <v/>
      </c>
    </row>
    <row r="373">
      <c r="B373">
        <f>IF($C373="","","T"&amp;TEXT(ROW()-ROW(tblTxn[[#Headers],[Txn ID]]),"000000"))</f>
        <v/>
      </c>
      <c r="C373" s="18" t="n"/>
      <c r="D373">
        <f>IF($C373="","",TEXT($C373,"yyyy-mm"))</f>
        <v/>
      </c>
      <c r="F373">
        <f>IF($C373="","",IFERROR(INDEX(tblAccounts[Owner],MATCH($E373,tblAccounts[Account],0)),"Joint"))</f>
        <v/>
      </c>
      <c r="G373">
        <f>IF($C373="","",IF(HouseholdMode="Couple",IFERROR(IF(INDEX(tblCategories[Default Owner],MATCH($K373,tblCategories[Category],0))="",$F373,INDEX(tblCategories[Default Owner],MATCH($K373,tblCategories[Category],0))),$F373),$F373))</f>
        <v/>
      </c>
      <c r="I373">
        <f>IF($H373="","",$H373)</f>
        <v/>
      </c>
      <c r="J373" s="19" t="n"/>
      <c r="K373">
        <f>IF($H373="","",IFERROR(INDEX(tblRules[Category],SUMPRODUCT(MIN((1-((tblRules[Enabled]&lt;&gt;"No")*(tblRules[Pattern]&lt;&gt;"")*(tblRules[Category]&lt;&gt;"")*((tblRules[Flow]="Any")+(tblRules[Flow]="")+((tblRules[Flow]="Money out")*($J373&lt;0))+((tblRules[Flow]="Money in")*($J373&gt;0)))*(((tblRules[Look In]="Account")*ISNUMBER(SEARCH(tblRules[Pattern],$E373)))+((tblRules[Look In]&lt;&gt;"Account")*(((tblRules[Test]="Word")*ISNUMBER(SEARCH(" "&amp;tblRules[Pattern]&amp;" "," "&amp;$H373&amp;" ")))+((tblRules[Test]&lt;&gt;"Word")*ISNUMBER(SEARCH(tblRules[Pattern],$H373))))))&gt;0))*1E+9+ROW(tblRules[Pattern])))-ROW(tblRules[[#Headers],[Pattern]])),"Uncategorized"))</f>
        <v/>
      </c>
      <c r="L373">
        <f>IF($C373="","",IFERROR(INDEX(tblCategories[Group],MATCH($K373,tblCategories[Category],0)),"Other"))</f>
        <v/>
      </c>
      <c r="M373">
        <f>IF($C373="","",IFERROR(INDEX(tblCategories[Type],MATCH($K373,tblCategories[Category],0)),IF($J373&gt;0,"Income","Expense")))</f>
        <v/>
      </c>
      <c r="N373">
        <f>IF($C373="","",IFERROR(INDEX(tblCategories[Essential],MATCH($K373,tblCategories[Category],0)),"No"))</f>
        <v/>
      </c>
      <c r="O373">
        <f>IF($C373="","",IFERROR(INDEX(tblCategories[Tax Tag],MATCH($K373,tblCategories[Category],0)),""))</f>
        <v/>
      </c>
      <c r="P373" s="20">
        <f>IF($C373="","",IF($G373=PersonA,1,IF($G373=PersonB,0,IFERROR(INDEX(tblCategories[Joint Split A],MATCH($K373,tblCategories[Category],0)),DefaultSplitA))))</f>
        <v/>
      </c>
      <c r="Q373" s="19">
        <f>IF($C373="","",ROUND($J373*N($P373),2))</f>
        <v/>
      </c>
      <c r="R373" s="19">
        <f>IF($C373="","",ROUND($J373-N($Q373),2))</f>
        <v/>
      </c>
      <c r="X373">
        <f>IF($C373="","",IFERROR(IF(_xlfn.ISFORMULA($K373),"Rule","Manual"),""))</f>
        <v/>
      </c>
      <c r="Y373" s="19">
        <f>IF($C373="","",IF(ReportView=PersonA,N($Q373),IF(ReportView=PersonB,N($R373),$J373)))</f>
        <v/>
      </c>
    </row>
    <row r="374">
      <c r="B374">
        <f>IF($C374="","","T"&amp;TEXT(ROW()-ROW(tblTxn[[#Headers],[Txn ID]]),"000000"))</f>
        <v/>
      </c>
      <c r="C374" s="18" t="n"/>
      <c r="D374">
        <f>IF($C374="","",TEXT($C374,"yyyy-mm"))</f>
        <v/>
      </c>
      <c r="F374">
        <f>IF($C374="","",IFERROR(INDEX(tblAccounts[Owner],MATCH($E374,tblAccounts[Account],0)),"Joint"))</f>
        <v/>
      </c>
      <c r="G374">
        <f>IF($C374="","",IF(HouseholdMode="Couple",IFERROR(IF(INDEX(tblCategories[Default Owner],MATCH($K374,tblCategories[Category],0))="",$F374,INDEX(tblCategories[Default Owner],MATCH($K374,tblCategories[Category],0))),$F374),$F374))</f>
        <v/>
      </c>
      <c r="I374">
        <f>IF($H374="","",$H374)</f>
        <v/>
      </c>
      <c r="J374" s="19" t="n"/>
      <c r="K374">
        <f>IF($H374="","",IFERROR(INDEX(tblRules[Category],SUMPRODUCT(MIN((1-((tblRules[Enabled]&lt;&gt;"No")*(tblRules[Pattern]&lt;&gt;"")*(tblRules[Category]&lt;&gt;"")*((tblRules[Flow]="Any")+(tblRules[Flow]="")+((tblRules[Flow]="Money out")*($J374&lt;0))+((tblRules[Flow]="Money in")*($J374&gt;0)))*(((tblRules[Look In]="Account")*ISNUMBER(SEARCH(tblRules[Pattern],$E374)))+((tblRules[Look In]&lt;&gt;"Account")*(((tblRules[Test]="Word")*ISNUMBER(SEARCH(" "&amp;tblRules[Pattern]&amp;" "," "&amp;$H374&amp;" ")))+((tblRules[Test]&lt;&gt;"Word")*ISNUMBER(SEARCH(tblRules[Pattern],$H374))))))&gt;0))*1E+9+ROW(tblRules[Pattern])))-ROW(tblRules[[#Headers],[Pattern]])),"Uncategorized"))</f>
        <v/>
      </c>
      <c r="L374">
        <f>IF($C374="","",IFERROR(INDEX(tblCategories[Group],MATCH($K374,tblCategories[Category],0)),"Other"))</f>
        <v/>
      </c>
      <c r="M374">
        <f>IF($C374="","",IFERROR(INDEX(tblCategories[Type],MATCH($K374,tblCategories[Category],0)),IF($J374&gt;0,"Income","Expense")))</f>
        <v/>
      </c>
      <c r="N374">
        <f>IF($C374="","",IFERROR(INDEX(tblCategories[Essential],MATCH($K374,tblCategories[Category],0)),"No"))</f>
        <v/>
      </c>
      <c r="O374">
        <f>IF($C374="","",IFERROR(INDEX(tblCategories[Tax Tag],MATCH($K374,tblCategories[Category],0)),""))</f>
        <v/>
      </c>
      <c r="P374" s="20">
        <f>IF($C374="","",IF($G374=PersonA,1,IF($G374=PersonB,0,IFERROR(INDEX(tblCategories[Joint Split A],MATCH($K374,tblCategories[Category],0)),DefaultSplitA))))</f>
        <v/>
      </c>
      <c r="Q374" s="19">
        <f>IF($C374="","",ROUND($J374*N($P374),2))</f>
        <v/>
      </c>
      <c r="R374" s="19">
        <f>IF($C374="","",ROUND($J374-N($Q374),2))</f>
        <v/>
      </c>
      <c r="X374">
        <f>IF($C374="","",IFERROR(IF(_xlfn.ISFORMULA($K374),"Rule","Manual"),""))</f>
        <v/>
      </c>
      <c r="Y374" s="19">
        <f>IF($C374="","",IF(ReportView=PersonA,N($Q374),IF(ReportView=PersonB,N($R374),$J374)))</f>
        <v/>
      </c>
    </row>
    <row r="375">
      <c r="B375">
        <f>IF($C375="","","T"&amp;TEXT(ROW()-ROW(tblTxn[[#Headers],[Txn ID]]),"000000"))</f>
        <v/>
      </c>
      <c r="C375" s="18" t="n"/>
      <c r="D375">
        <f>IF($C375="","",TEXT($C375,"yyyy-mm"))</f>
        <v/>
      </c>
      <c r="F375">
        <f>IF($C375="","",IFERROR(INDEX(tblAccounts[Owner],MATCH($E375,tblAccounts[Account],0)),"Joint"))</f>
        <v/>
      </c>
      <c r="G375">
        <f>IF($C375="","",IF(HouseholdMode="Couple",IFERROR(IF(INDEX(tblCategories[Default Owner],MATCH($K375,tblCategories[Category],0))="",$F375,INDEX(tblCategories[Default Owner],MATCH($K375,tblCategories[Category],0))),$F375),$F375))</f>
        <v/>
      </c>
      <c r="I375">
        <f>IF($H375="","",$H375)</f>
        <v/>
      </c>
      <c r="J375" s="19" t="n"/>
      <c r="K375">
        <f>IF($H375="","",IFERROR(INDEX(tblRules[Category],SUMPRODUCT(MIN((1-((tblRules[Enabled]&lt;&gt;"No")*(tblRules[Pattern]&lt;&gt;"")*(tblRules[Category]&lt;&gt;"")*((tblRules[Flow]="Any")+(tblRules[Flow]="")+((tblRules[Flow]="Money out")*($J375&lt;0))+((tblRules[Flow]="Money in")*($J375&gt;0)))*(((tblRules[Look In]="Account")*ISNUMBER(SEARCH(tblRules[Pattern],$E375)))+((tblRules[Look In]&lt;&gt;"Account")*(((tblRules[Test]="Word")*ISNUMBER(SEARCH(" "&amp;tblRules[Pattern]&amp;" "," "&amp;$H375&amp;" ")))+((tblRules[Test]&lt;&gt;"Word")*ISNUMBER(SEARCH(tblRules[Pattern],$H375))))))&gt;0))*1E+9+ROW(tblRules[Pattern])))-ROW(tblRules[[#Headers],[Pattern]])),"Uncategorized"))</f>
        <v/>
      </c>
      <c r="L375">
        <f>IF($C375="","",IFERROR(INDEX(tblCategories[Group],MATCH($K375,tblCategories[Category],0)),"Other"))</f>
        <v/>
      </c>
      <c r="M375">
        <f>IF($C375="","",IFERROR(INDEX(tblCategories[Type],MATCH($K375,tblCategories[Category],0)),IF($J375&gt;0,"Income","Expense")))</f>
        <v/>
      </c>
      <c r="N375">
        <f>IF($C375="","",IFERROR(INDEX(tblCategories[Essential],MATCH($K375,tblCategories[Category],0)),"No"))</f>
        <v/>
      </c>
      <c r="O375">
        <f>IF($C375="","",IFERROR(INDEX(tblCategories[Tax Tag],MATCH($K375,tblCategories[Category],0)),""))</f>
        <v/>
      </c>
      <c r="P375" s="20">
        <f>IF($C375="","",IF($G375=PersonA,1,IF($G375=PersonB,0,IFERROR(INDEX(tblCategories[Joint Split A],MATCH($K375,tblCategories[Category],0)),DefaultSplitA))))</f>
        <v/>
      </c>
      <c r="Q375" s="19">
        <f>IF($C375="","",ROUND($J375*N($P375),2))</f>
        <v/>
      </c>
      <c r="R375" s="19">
        <f>IF($C375="","",ROUND($J375-N($Q375),2))</f>
        <v/>
      </c>
      <c r="X375">
        <f>IF($C375="","",IFERROR(IF(_xlfn.ISFORMULA($K375),"Rule","Manual"),""))</f>
        <v/>
      </c>
      <c r="Y375" s="19">
        <f>IF($C375="","",IF(ReportView=PersonA,N($Q375),IF(ReportView=PersonB,N($R375),$J375)))</f>
        <v/>
      </c>
    </row>
    <row r="376">
      <c r="B376">
        <f>IF($C376="","","T"&amp;TEXT(ROW()-ROW(tblTxn[[#Headers],[Txn ID]]),"000000"))</f>
        <v/>
      </c>
      <c r="C376" s="18" t="n"/>
      <c r="D376">
        <f>IF($C376="","",TEXT($C376,"yyyy-mm"))</f>
        <v/>
      </c>
      <c r="F376">
        <f>IF($C376="","",IFERROR(INDEX(tblAccounts[Owner],MATCH($E376,tblAccounts[Account],0)),"Joint"))</f>
        <v/>
      </c>
      <c r="G376">
        <f>IF($C376="","",IF(HouseholdMode="Couple",IFERROR(IF(INDEX(tblCategories[Default Owner],MATCH($K376,tblCategories[Category],0))="",$F376,INDEX(tblCategories[Default Owner],MATCH($K376,tblCategories[Category],0))),$F376),$F376))</f>
        <v/>
      </c>
      <c r="I376">
        <f>IF($H376="","",$H376)</f>
        <v/>
      </c>
      <c r="J376" s="19" t="n"/>
      <c r="K376">
        <f>IF($H376="","",IFERROR(INDEX(tblRules[Category],SUMPRODUCT(MIN((1-((tblRules[Enabled]&lt;&gt;"No")*(tblRules[Pattern]&lt;&gt;"")*(tblRules[Category]&lt;&gt;"")*((tblRules[Flow]="Any")+(tblRules[Flow]="")+((tblRules[Flow]="Money out")*($J376&lt;0))+((tblRules[Flow]="Money in")*($J376&gt;0)))*(((tblRules[Look In]="Account")*ISNUMBER(SEARCH(tblRules[Pattern],$E376)))+((tblRules[Look In]&lt;&gt;"Account")*(((tblRules[Test]="Word")*ISNUMBER(SEARCH(" "&amp;tblRules[Pattern]&amp;" "," "&amp;$H376&amp;" ")))+((tblRules[Test]&lt;&gt;"Word")*ISNUMBER(SEARCH(tblRules[Pattern],$H376))))))&gt;0))*1E+9+ROW(tblRules[Pattern])))-ROW(tblRules[[#Headers],[Pattern]])),"Uncategorized"))</f>
        <v/>
      </c>
      <c r="L376">
        <f>IF($C376="","",IFERROR(INDEX(tblCategories[Group],MATCH($K376,tblCategories[Category],0)),"Other"))</f>
        <v/>
      </c>
      <c r="M376">
        <f>IF($C376="","",IFERROR(INDEX(tblCategories[Type],MATCH($K376,tblCategories[Category],0)),IF($J376&gt;0,"Income","Expense")))</f>
        <v/>
      </c>
      <c r="N376">
        <f>IF($C376="","",IFERROR(INDEX(tblCategories[Essential],MATCH($K376,tblCategories[Category],0)),"No"))</f>
        <v/>
      </c>
      <c r="O376">
        <f>IF($C376="","",IFERROR(INDEX(tblCategories[Tax Tag],MATCH($K376,tblCategories[Category],0)),""))</f>
        <v/>
      </c>
      <c r="P376" s="20">
        <f>IF($C376="","",IF($G376=PersonA,1,IF($G376=PersonB,0,IFERROR(INDEX(tblCategories[Joint Split A],MATCH($K376,tblCategories[Category],0)),DefaultSplitA))))</f>
        <v/>
      </c>
      <c r="Q376" s="19">
        <f>IF($C376="","",ROUND($J376*N($P376),2))</f>
        <v/>
      </c>
      <c r="R376" s="19">
        <f>IF($C376="","",ROUND($J376-N($Q376),2))</f>
        <v/>
      </c>
      <c r="X376">
        <f>IF($C376="","",IFERROR(IF(_xlfn.ISFORMULA($K376),"Rule","Manual"),""))</f>
        <v/>
      </c>
      <c r="Y376" s="19">
        <f>IF($C376="","",IF(ReportView=PersonA,N($Q376),IF(ReportView=PersonB,N($R376),$J376)))</f>
        <v/>
      </c>
    </row>
    <row r="377">
      <c r="B377">
        <f>IF($C377="","","T"&amp;TEXT(ROW()-ROW(tblTxn[[#Headers],[Txn ID]]),"000000"))</f>
        <v/>
      </c>
      <c r="C377" s="18" t="n"/>
      <c r="D377">
        <f>IF($C377="","",TEXT($C377,"yyyy-mm"))</f>
        <v/>
      </c>
      <c r="F377">
        <f>IF($C377="","",IFERROR(INDEX(tblAccounts[Owner],MATCH($E377,tblAccounts[Account],0)),"Joint"))</f>
        <v/>
      </c>
      <c r="G377">
        <f>IF($C377="","",IF(HouseholdMode="Couple",IFERROR(IF(INDEX(tblCategories[Default Owner],MATCH($K377,tblCategories[Category],0))="",$F377,INDEX(tblCategories[Default Owner],MATCH($K377,tblCategories[Category],0))),$F377),$F377))</f>
        <v/>
      </c>
      <c r="I377">
        <f>IF($H377="","",$H377)</f>
        <v/>
      </c>
      <c r="J377" s="19" t="n"/>
      <c r="K377">
        <f>IF($H377="","",IFERROR(INDEX(tblRules[Category],SUMPRODUCT(MIN((1-((tblRules[Enabled]&lt;&gt;"No")*(tblRules[Pattern]&lt;&gt;"")*(tblRules[Category]&lt;&gt;"")*((tblRules[Flow]="Any")+(tblRules[Flow]="")+((tblRules[Flow]="Money out")*($J377&lt;0))+((tblRules[Flow]="Money in")*($J377&gt;0)))*(((tblRules[Look In]="Account")*ISNUMBER(SEARCH(tblRules[Pattern],$E377)))+((tblRules[Look In]&lt;&gt;"Account")*(((tblRules[Test]="Word")*ISNUMBER(SEARCH(" "&amp;tblRules[Pattern]&amp;" "," "&amp;$H377&amp;" ")))+((tblRules[Test]&lt;&gt;"Word")*ISNUMBER(SEARCH(tblRules[Pattern],$H377))))))&gt;0))*1E+9+ROW(tblRules[Pattern])))-ROW(tblRules[[#Headers],[Pattern]])),"Uncategorized"))</f>
        <v/>
      </c>
      <c r="L377">
        <f>IF($C377="","",IFERROR(INDEX(tblCategories[Group],MATCH($K377,tblCategories[Category],0)),"Other"))</f>
        <v/>
      </c>
      <c r="M377">
        <f>IF($C377="","",IFERROR(INDEX(tblCategories[Type],MATCH($K377,tblCategories[Category],0)),IF($J377&gt;0,"Income","Expense")))</f>
        <v/>
      </c>
      <c r="N377">
        <f>IF($C377="","",IFERROR(INDEX(tblCategories[Essential],MATCH($K377,tblCategories[Category],0)),"No"))</f>
        <v/>
      </c>
      <c r="O377">
        <f>IF($C377="","",IFERROR(INDEX(tblCategories[Tax Tag],MATCH($K377,tblCategories[Category],0)),""))</f>
        <v/>
      </c>
      <c r="P377" s="20">
        <f>IF($C377="","",IF($G377=PersonA,1,IF($G377=PersonB,0,IFERROR(INDEX(tblCategories[Joint Split A],MATCH($K377,tblCategories[Category],0)),DefaultSplitA))))</f>
        <v/>
      </c>
      <c r="Q377" s="19">
        <f>IF($C377="","",ROUND($J377*N($P377),2))</f>
        <v/>
      </c>
      <c r="R377" s="19">
        <f>IF($C377="","",ROUND($J377-N($Q377),2))</f>
        <v/>
      </c>
      <c r="X377">
        <f>IF($C377="","",IFERROR(IF(_xlfn.ISFORMULA($K377),"Rule","Manual"),""))</f>
        <v/>
      </c>
      <c r="Y377" s="19">
        <f>IF($C377="","",IF(ReportView=PersonA,N($Q377),IF(ReportView=PersonB,N($R377),$J377)))</f>
        <v/>
      </c>
    </row>
    <row r="378">
      <c r="B378">
        <f>IF($C378="","","T"&amp;TEXT(ROW()-ROW(tblTxn[[#Headers],[Txn ID]]),"000000"))</f>
        <v/>
      </c>
      <c r="C378" s="18" t="n"/>
      <c r="D378">
        <f>IF($C378="","",TEXT($C378,"yyyy-mm"))</f>
        <v/>
      </c>
      <c r="F378">
        <f>IF($C378="","",IFERROR(INDEX(tblAccounts[Owner],MATCH($E378,tblAccounts[Account],0)),"Joint"))</f>
        <v/>
      </c>
      <c r="G378">
        <f>IF($C378="","",IF(HouseholdMode="Couple",IFERROR(IF(INDEX(tblCategories[Default Owner],MATCH($K378,tblCategories[Category],0))="",$F378,INDEX(tblCategories[Default Owner],MATCH($K378,tblCategories[Category],0))),$F378),$F378))</f>
        <v/>
      </c>
      <c r="I378">
        <f>IF($H378="","",$H378)</f>
        <v/>
      </c>
      <c r="J378" s="19" t="n"/>
      <c r="K378">
        <f>IF($H378="","",IFERROR(INDEX(tblRules[Category],SUMPRODUCT(MIN((1-((tblRules[Enabled]&lt;&gt;"No")*(tblRules[Pattern]&lt;&gt;"")*(tblRules[Category]&lt;&gt;"")*((tblRules[Flow]="Any")+(tblRules[Flow]="")+((tblRules[Flow]="Money out")*($J378&lt;0))+((tblRules[Flow]="Money in")*($J378&gt;0)))*(((tblRules[Look In]="Account")*ISNUMBER(SEARCH(tblRules[Pattern],$E378)))+((tblRules[Look In]&lt;&gt;"Account")*(((tblRules[Test]="Word")*ISNUMBER(SEARCH(" "&amp;tblRules[Pattern]&amp;" "," "&amp;$H378&amp;" ")))+((tblRules[Test]&lt;&gt;"Word")*ISNUMBER(SEARCH(tblRules[Pattern],$H378))))))&gt;0))*1E+9+ROW(tblRules[Pattern])))-ROW(tblRules[[#Headers],[Pattern]])),"Uncategorized"))</f>
        <v/>
      </c>
      <c r="L378">
        <f>IF($C378="","",IFERROR(INDEX(tblCategories[Group],MATCH($K378,tblCategories[Category],0)),"Other"))</f>
        <v/>
      </c>
      <c r="M378">
        <f>IF($C378="","",IFERROR(INDEX(tblCategories[Type],MATCH($K378,tblCategories[Category],0)),IF($J378&gt;0,"Income","Expense")))</f>
        <v/>
      </c>
      <c r="N378">
        <f>IF($C378="","",IFERROR(INDEX(tblCategories[Essential],MATCH($K378,tblCategories[Category],0)),"No"))</f>
        <v/>
      </c>
      <c r="O378">
        <f>IF($C378="","",IFERROR(INDEX(tblCategories[Tax Tag],MATCH($K378,tblCategories[Category],0)),""))</f>
        <v/>
      </c>
      <c r="P378" s="20">
        <f>IF($C378="","",IF($G378=PersonA,1,IF($G378=PersonB,0,IFERROR(INDEX(tblCategories[Joint Split A],MATCH($K378,tblCategories[Category],0)),DefaultSplitA))))</f>
        <v/>
      </c>
      <c r="Q378" s="19">
        <f>IF($C378="","",ROUND($J378*N($P378),2))</f>
        <v/>
      </c>
      <c r="R378" s="19">
        <f>IF($C378="","",ROUND($J378-N($Q378),2))</f>
        <v/>
      </c>
      <c r="X378">
        <f>IF($C378="","",IFERROR(IF(_xlfn.ISFORMULA($K378),"Rule","Manual"),""))</f>
        <v/>
      </c>
      <c r="Y378" s="19">
        <f>IF($C378="","",IF(ReportView=PersonA,N($Q378),IF(ReportView=PersonB,N($R378),$J378)))</f>
        <v/>
      </c>
    </row>
    <row r="379">
      <c r="B379">
        <f>IF($C379="","","T"&amp;TEXT(ROW()-ROW(tblTxn[[#Headers],[Txn ID]]),"000000"))</f>
        <v/>
      </c>
      <c r="C379" s="18" t="n"/>
      <c r="D379">
        <f>IF($C379="","",TEXT($C379,"yyyy-mm"))</f>
        <v/>
      </c>
      <c r="F379">
        <f>IF($C379="","",IFERROR(INDEX(tblAccounts[Owner],MATCH($E379,tblAccounts[Account],0)),"Joint"))</f>
        <v/>
      </c>
      <c r="G379">
        <f>IF($C379="","",IF(HouseholdMode="Couple",IFERROR(IF(INDEX(tblCategories[Default Owner],MATCH($K379,tblCategories[Category],0))="",$F379,INDEX(tblCategories[Default Owner],MATCH($K379,tblCategories[Category],0))),$F379),$F379))</f>
        <v/>
      </c>
      <c r="I379">
        <f>IF($H379="","",$H379)</f>
        <v/>
      </c>
      <c r="J379" s="19" t="n"/>
      <c r="K379">
        <f>IF($H379="","",IFERROR(INDEX(tblRules[Category],SUMPRODUCT(MIN((1-((tblRules[Enabled]&lt;&gt;"No")*(tblRules[Pattern]&lt;&gt;"")*(tblRules[Category]&lt;&gt;"")*((tblRules[Flow]="Any")+(tblRules[Flow]="")+((tblRules[Flow]="Money out")*($J379&lt;0))+((tblRules[Flow]="Money in")*($J379&gt;0)))*(((tblRules[Look In]="Account")*ISNUMBER(SEARCH(tblRules[Pattern],$E379)))+((tblRules[Look In]&lt;&gt;"Account")*(((tblRules[Test]="Word")*ISNUMBER(SEARCH(" "&amp;tblRules[Pattern]&amp;" "," "&amp;$H379&amp;" ")))+((tblRules[Test]&lt;&gt;"Word")*ISNUMBER(SEARCH(tblRules[Pattern],$H379))))))&gt;0))*1E+9+ROW(tblRules[Pattern])))-ROW(tblRules[[#Headers],[Pattern]])),"Uncategorized"))</f>
        <v/>
      </c>
      <c r="L379">
        <f>IF($C379="","",IFERROR(INDEX(tblCategories[Group],MATCH($K379,tblCategories[Category],0)),"Other"))</f>
        <v/>
      </c>
      <c r="M379">
        <f>IF($C379="","",IFERROR(INDEX(tblCategories[Type],MATCH($K379,tblCategories[Category],0)),IF($J379&gt;0,"Income","Expense")))</f>
        <v/>
      </c>
      <c r="N379">
        <f>IF($C379="","",IFERROR(INDEX(tblCategories[Essential],MATCH($K379,tblCategories[Category],0)),"No"))</f>
        <v/>
      </c>
      <c r="O379">
        <f>IF($C379="","",IFERROR(INDEX(tblCategories[Tax Tag],MATCH($K379,tblCategories[Category],0)),""))</f>
        <v/>
      </c>
      <c r="P379" s="20">
        <f>IF($C379="","",IF($G379=PersonA,1,IF($G379=PersonB,0,IFERROR(INDEX(tblCategories[Joint Split A],MATCH($K379,tblCategories[Category],0)),DefaultSplitA))))</f>
        <v/>
      </c>
      <c r="Q379" s="19">
        <f>IF($C379="","",ROUND($J379*N($P379),2))</f>
        <v/>
      </c>
      <c r="R379" s="19">
        <f>IF($C379="","",ROUND($J379-N($Q379),2))</f>
        <v/>
      </c>
      <c r="X379">
        <f>IF($C379="","",IFERROR(IF(_xlfn.ISFORMULA($K379),"Rule","Manual"),""))</f>
        <v/>
      </c>
      <c r="Y379" s="19">
        <f>IF($C379="","",IF(ReportView=PersonA,N($Q379),IF(ReportView=PersonB,N($R379),$J379)))</f>
        <v/>
      </c>
    </row>
    <row r="380">
      <c r="B380">
        <f>IF($C380="","","T"&amp;TEXT(ROW()-ROW(tblTxn[[#Headers],[Txn ID]]),"000000"))</f>
        <v/>
      </c>
      <c r="C380" s="18" t="n"/>
      <c r="D380">
        <f>IF($C380="","",TEXT($C380,"yyyy-mm"))</f>
        <v/>
      </c>
      <c r="F380">
        <f>IF($C380="","",IFERROR(INDEX(tblAccounts[Owner],MATCH($E380,tblAccounts[Account],0)),"Joint"))</f>
        <v/>
      </c>
      <c r="G380">
        <f>IF($C380="","",IF(HouseholdMode="Couple",IFERROR(IF(INDEX(tblCategories[Default Owner],MATCH($K380,tblCategories[Category],0))="",$F380,INDEX(tblCategories[Default Owner],MATCH($K380,tblCategories[Category],0))),$F380),$F380))</f>
        <v/>
      </c>
      <c r="I380">
        <f>IF($H380="","",$H380)</f>
        <v/>
      </c>
      <c r="J380" s="19" t="n"/>
      <c r="K380">
        <f>IF($H380="","",IFERROR(INDEX(tblRules[Category],SUMPRODUCT(MIN((1-((tblRules[Enabled]&lt;&gt;"No")*(tblRules[Pattern]&lt;&gt;"")*(tblRules[Category]&lt;&gt;"")*((tblRules[Flow]="Any")+(tblRules[Flow]="")+((tblRules[Flow]="Money out")*($J380&lt;0))+((tblRules[Flow]="Money in")*($J380&gt;0)))*(((tblRules[Look In]="Account")*ISNUMBER(SEARCH(tblRules[Pattern],$E380)))+((tblRules[Look In]&lt;&gt;"Account")*(((tblRules[Test]="Word")*ISNUMBER(SEARCH(" "&amp;tblRules[Pattern]&amp;" "," "&amp;$H380&amp;" ")))+((tblRules[Test]&lt;&gt;"Word")*ISNUMBER(SEARCH(tblRules[Pattern],$H380))))))&gt;0))*1E+9+ROW(tblRules[Pattern])))-ROW(tblRules[[#Headers],[Pattern]])),"Uncategorized"))</f>
        <v/>
      </c>
      <c r="L380">
        <f>IF($C380="","",IFERROR(INDEX(tblCategories[Group],MATCH($K380,tblCategories[Category],0)),"Other"))</f>
        <v/>
      </c>
      <c r="M380">
        <f>IF($C380="","",IFERROR(INDEX(tblCategories[Type],MATCH($K380,tblCategories[Category],0)),IF($J380&gt;0,"Income","Expense")))</f>
        <v/>
      </c>
      <c r="N380">
        <f>IF($C380="","",IFERROR(INDEX(tblCategories[Essential],MATCH($K380,tblCategories[Category],0)),"No"))</f>
        <v/>
      </c>
      <c r="O380">
        <f>IF($C380="","",IFERROR(INDEX(tblCategories[Tax Tag],MATCH($K380,tblCategories[Category],0)),""))</f>
        <v/>
      </c>
      <c r="P380" s="20">
        <f>IF($C380="","",IF($G380=PersonA,1,IF($G380=PersonB,0,IFERROR(INDEX(tblCategories[Joint Split A],MATCH($K380,tblCategories[Category],0)),DefaultSplitA))))</f>
        <v/>
      </c>
      <c r="Q380" s="19">
        <f>IF($C380="","",ROUND($J380*N($P380),2))</f>
        <v/>
      </c>
      <c r="R380" s="19">
        <f>IF($C380="","",ROUND($J380-N($Q380),2))</f>
        <v/>
      </c>
      <c r="X380">
        <f>IF($C380="","",IFERROR(IF(_xlfn.ISFORMULA($K380),"Rule","Manual"),""))</f>
        <v/>
      </c>
      <c r="Y380" s="19">
        <f>IF($C380="","",IF(ReportView=PersonA,N($Q380),IF(ReportView=PersonB,N($R380),$J380)))</f>
        <v/>
      </c>
    </row>
    <row r="381">
      <c r="B381">
        <f>IF($C381="","","T"&amp;TEXT(ROW()-ROW(tblTxn[[#Headers],[Txn ID]]),"000000"))</f>
        <v/>
      </c>
      <c r="C381" s="18" t="n"/>
      <c r="D381">
        <f>IF($C381="","",TEXT($C381,"yyyy-mm"))</f>
        <v/>
      </c>
      <c r="F381">
        <f>IF($C381="","",IFERROR(INDEX(tblAccounts[Owner],MATCH($E381,tblAccounts[Account],0)),"Joint"))</f>
        <v/>
      </c>
      <c r="G381">
        <f>IF($C381="","",IF(HouseholdMode="Couple",IFERROR(IF(INDEX(tblCategories[Default Owner],MATCH($K381,tblCategories[Category],0))="",$F381,INDEX(tblCategories[Default Owner],MATCH($K381,tblCategories[Category],0))),$F381),$F381))</f>
        <v/>
      </c>
      <c r="I381">
        <f>IF($H381="","",$H381)</f>
        <v/>
      </c>
      <c r="J381" s="19" t="n"/>
      <c r="K381">
        <f>IF($H381="","",IFERROR(INDEX(tblRules[Category],SUMPRODUCT(MIN((1-((tblRules[Enabled]&lt;&gt;"No")*(tblRules[Pattern]&lt;&gt;"")*(tblRules[Category]&lt;&gt;"")*((tblRules[Flow]="Any")+(tblRules[Flow]="")+((tblRules[Flow]="Money out")*($J381&lt;0))+((tblRules[Flow]="Money in")*($J381&gt;0)))*(((tblRules[Look In]="Account")*ISNUMBER(SEARCH(tblRules[Pattern],$E381)))+((tblRules[Look In]&lt;&gt;"Account")*(((tblRules[Test]="Word")*ISNUMBER(SEARCH(" "&amp;tblRules[Pattern]&amp;" "," "&amp;$H381&amp;" ")))+((tblRules[Test]&lt;&gt;"Word")*ISNUMBER(SEARCH(tblRules[Pattern],$H381))))))&gt;0))*1E+9+ROW(tblRules[Pattern])))-ROW(tblRules[[#Headers],[Pattern]])),"Uncategorized"))</f>
        <v/>
      </c>
      <c r="L381">
        <f>IF($C381="","",IFERROR(INDEX(tblCategories[Group],MATCH($K381,tblCategories[Category],0)),"Other"))</f>
        <v/>
      </c>
      <c r="M381">
        <f>IF($C381="","",IFERROR(INDEX(tblCategories[Type],MATCH($K381,tblCategories[Category],0)),IF($J381&gt;0,"Income","Expense")))</f>
        <v/>
      </c>
      <c r="N381">
        <f>IF($C381="","",IFERROR(INDEX(tblCategories[Essential],MATCH($K381,tblCategories[Category],0)),"No"))</f>
        <v/>
      </c>
      <c r="O381">
        <f>IF($C381="","",IFERROR(INDEX(tblCategories[Tax Tag],MATCH($K381,tblCategories[Category],0)),""))</f>
        <v/>
      </c>
      <c r="P381" s="20">
        <f>IF($C381="","",IF($G381=PersonA,1,IF($G381=PersonB,0,IFERROR(INDEX(tblCategories[Joint Split A],MATCH($K381,tblCategories[Category],0)),DefaultSplitA))))</f>
        <v/>
      </c>
      <c r="Q381" s="19">
        <f>IF($C381="","",ROUND($J381*N($P381),2))</f>
        <v/>
      </c>
      <c r="R381" s="19">
        <f>IF($C381="","",ROUND($J381-N($Q381),2))</f>
        <v/>
      </c>
      <c r="X381">
        <f>IF($C381="","",IFERROR(IF(_xlfn.ISFORMULA($K381),"Rule","Manual"),""))</f>
        <v/>
      </c>
      <c r="Y381" s="19">
        <f>IF($C381="","",IF(ReportView=PersonA,N($Q381),IF(ReportView=PersonB,N($R381),$J381)))</f>
        <v/>
      </c>
    </row>
    <row r="382">
      <c r="B382">
        <f>IF($C382="","","T"&amp;TEXT(ROW()-ROW(tblTxn[[#Headers],[Txn ID]]),"000000"))</f>
        <v/>
      </c>
      <c r="C382" s="18" t="n"/>
      <c r="D382">
        <f>IF($C382="","",TEXT($C382,"yyyy-mm"))</f>
        <v/>
      </c>
      <c r="F382">
        <f>IF($C382="","",IFERROR(INDEX(tblAccounts[Owner],MATCH($E382,tblAccounts[Account],0)),"Joint"))</f>
        <v/>
      </c>
      <c r="G382">
        <f>IF($C382="","",IF(HouseholdMode="Couple",IFERROR(IF(INDEX(tblCategories[Default Owner],MATCH($K382,tblCategories[Category],0))="",$F382,INDEX(tblCategories[Default Owner],MATCH($K382,tblCategories[Category],0))),$F382),$F382))</f>
        <v/>
      </c>
      <c r="I382">
        <f>IF($H382="","",$H382)</f>
        <v/>
      </c>
      <c r="J382" s="19" t="n"/>
      <c r="K382">
        <f>IF($H382="","",IFERROR(INDEX(tblRules[Category],SUMPRODUCT(MIN((1-((tblRules[Enabled]&lt;&gt;"No")*(tblRules[Pattern]&lt;&gt;"")*(tblRules[Category]&lt;&gt;"")*((tblRules[Flow]="Any")+(tblRules[Flow]="")+((tblRules[Flow]="Money out")*($J382&lt;0))+((tblRules[Flow]="Money in")*($J382&gt;0)))*(((tblRules[Look In]="Account")*ISNUMBER(SEARCH(tblRules[Pattern],$E382)))+((tblRules[Look In]&lt;&gt;"Account")*(((tblRules[Test]="Word")*ISNUMBER(SEARCH(" "&amp;tblRules[Pattern]&amp;" "," "&amp;$H382&amp;" ")))+((tblRules[Test]&lt;&gt;"Word")*ISNUMBER(SEARCH(tblRules[Pattern],$H382))))))&gt;0))*1E+9+ROW(tblRules[Pattern])))-ROW(tblRules[[#Headers],[Pattern]])),"Uncategorized"))</f>
        <v/>
      </c>
      <c r="L382">
        <f>IF($C382="","",IFERROR(INDEX(tblCategories[Group],MATCH($K382,tblCategories[Category],0)),"Other"))</f>
        <v/>
      </c>
      <c r="M382">
        <f>IF($C382="","",IFERROR(INDEX(tblCategories[Type],MATCH($K382,tblCategories[Category],0)),IF($J382&gt;0,"Income","Expense")))</f>
        <v/>
      </c>
      <c r="N382">
        <f>IF($C382="","",IFERROR(INDEX(tblCategories[Essential],MATCH($K382,tblCategories[Category],0)),"No"))</f>
        <v/>
      </c>
      <c r="O382">
        <f>IF($C382="","",IFERROR(INDEX(tblCategories[Tax Tag],MATCH($K382,tblCategories[Category],0)),""))</f>
        <v/>
      </c>
      <c r="P382" s="20">
        <f>IF($C382="","",IF($G382=PersonA,1,IF($G382=PersonB,0,IFERROR(INDEX(tblCategories[Joint Split A],MATCH($K382,tblCategories[Category],0)),DefaultSplitA))))</f>
        <v/>
      </c>
      <c r="Q382" s="19">
        <f>IF($C382="","",ROUND($J382*N($P382),2))</f>
        <v/>
      </c>
      <c r="R382" s="19">
        <f>IF($C382="","",ROUND($J382-N($Q382),2))</f>
        <v/>
      </c>
      <c r="X382">
        <f>IF($C382="","",IFERROR(IF(_xlfn.ISFORMULA($K382),"Rule","Manual"),""))</f>
        <v/>
      </c>
      <c r="Y382" s="19">
        <f>IF($C382="","",IF(ReportView=PersonA,N($Q382),IF(ReportView=PersonB,N($R382),$J382)))</f>
        <v/>
      </c>
    </row>
    <row r="383">
      <c r="B383">
        <f>IF($C383="","","T"&amp;TEXT(ROW()-ROW(tblTxn[[#Headers],[Txn ID]]),"000000"))</f>
        <v/>
      </c>
      <c r="C383" s="18" t="n"/>
      <c r="D383">
        <f>IF($C383="","",TEXT($C383,"yyyy-mm"))</f>
        <v/>
      </c>
      <c r="F383">
        <f>IF($C383="","",IFERROR(INDEX(tblAccounts[Owner],MATCH($E383,tblAccounts[Account],0)),"Joint"))</f>
        <v/>
      </c>
      <c r="G383">
        <f>IF($C383="","",IF(HouseholdMode="Couple",IFERROR(IF(INDEX(tblCategories[Default Owner],MATCH($K383,tblCategories[Category],0))="",$F383,INDEX(tblCategories[Default Owner],MATCH($K383,tblCategories[Category],0))),$F383),$F383))</f>
        <v/>
      </c>
      <c r="I383">
        <f>IF($H383="","",$H383)</f>
        <v/>
      </c>
      <c r="J383" s="19" t="n"/>
      <c r="K383">
        <f>IF($H383="","",IFERROR(INDEX(tblRules[Category],SUMPRODUCT(MIN((1-((tblRules[Enabled]&lt;&gt;"No")*(tblRules[Pattern]&lt;&gt;"")*(tblRules[Category]&lt;&gt;"")*((tblRules[Flow]="Any")+(tblRules[Flow]="")+((tblRules[Flow]="Money out")*($J383&lt;0))+((tblRules[Flow]="Money in")*($J383&gt;0)))*(((tblRules[Look In]="Account")*ISNUMBER(SEARCH(tblRules[Pattern],$E383)))+((tblRules[Look In]&lt;&gt;"Account")*(((tblRules[Test]="Word")*ISNUMBER(SEARCH(" "&amp;tblRules[Pattern]&amp;" "," "&amp;$H383&amp;" ")))+((tblRules[Test]&lt;&gt;"Word")*ISNUMBER(SEARCH(tblRules[Pattern],$H383))))))&gt;0))*1E+9+ROW(tblRules[Pattern])))-ROW(tblRules[[#Headers],[Pattern]])),"Uncategorized"))</f>
        <v/>
      </c>
      <c r="L383">
        <f>IF($C383="","",IFERROR(INDEX(tblCategories[Group],MATCH($K383,tblCategories[Category],0)),"Other"))</f>
        <v/>
      </c>
      <c r="M383">
        <f>IF($C383="","",IFERROR(INDEX(tblCategories[Type],MATCH($K383,tblCategories[Category],0)),IF($J383&gt;0,"Income","Expense")))</f>
        <v/>
      </c>
      <c r="N383">
        <f>IF($C383="","",IFERROR(INDEX(tblCategories[Essential],MATCH($K383,tblCategories[Category],0)),"No"))</f>
        <v/>
      </c>
      <c r="O383">
        <f>IF($C383="","",IFERROR(INDEX(tblCategories[Tax Tag],MATCH($K383,tblCategories[Category],0)),""))</f>
        <v/>
      </c>
      <c r="P383" s="20">
        <f>IF($C383="","",IF($G383=PersonA,1,IF($G383=PersonB,0,IFERROR(INDEX(tblCategories[Joint Split A],MATCH($K383,tblCategories[Category],0)),DefaultSplitA))))</f>
        <v/>
      </c>
      <c r="Q383" s="19">
        <f>IF($C383="","",ROUND($J383*N($P383),2))</f>
        <v/>
      </c>
      <c r="R383" s="19">
        <f>IF($C383="","",ROUND($J383-N($Q383),2))</f>
        <v/>
      </c>
      <c r="X383">
        <f>IF($C383="","",IFERROR(IF(_xlfn.ISFORMULA($K383),"Rule","Manual"),""))</f>
        <v/>
      </c>
      <c r="Y383" s="19">
        <f>IF($C383="","",IF(ReportView=PersonA,N($Q383),IF(ReportView=PersonB,N($R383),$J383)))</f>
        <v/>
      </c>
    </row>
    <row r="384">
      <c r="B384">
        <f>IF($C384="","","T"&amp;TEXT(ROW()-ROW(tblTxn[[#Headers],[Txn ID]]),"000000"))</f>
        <v/>
      </c>
      <c r="C384" s="18" t="n"/>
      <c r="D384">
        <f>IF($C384="","",TEXT($C384,"yyyy-mm"))</f>
        <v/>
      </c>
      <c r="F384">
        <f>IF($C384="","",IFERROR(INDEX(tblAccounts[Owner],MATCH($E384,tblAccounts[Account],0)),"Joint"))</f>
        <v/>
      </c>
      <c r="G384">
        <f>IF($C384="","",IF(HouseholdMode="Couple",IFERROR(IF(INDEX(tblCategories[Default Owner],MATCH($K384,tblCategories[Category],0))="",$F384,INDEX(tblCategories[Default Owner],MATCH($K384,tblCategories[Category],0))),$F384),$F384))</f>
        <v/>
      </c>
      <c r="I384">
        <f>IF($H384="","",$H384)</f>
        <v/>
      </c>
      <c r="J384" s="19" t="n"/>
      <c r="K384">
        <f>IF($H384="","",IFERROR(INDEX(tblRules[Category],SUMPRODUCT(MIN((1-((tblRules[Enabled]&lt;&gt;"No")*(tblRules[Pattern]&lt;&gt;"")*(tblRules[Category]&lt;&gt;"")*((tblRules[Flow]="Any")+(tblRules[Flow]="")+((tblRules[Flow]="Money out")*($J384&lt;0))+((tblRules[Flow]="Money in")*($J384&gt;0)))*(((tblRules[Look In]="Account")*ISNUMBER(SEARCH(tblRules[Pattern],$E384)))+((tblRules[Look In]&lt;&gt;"Account")*(((tblRules[Test]="Word")*ISNUMBER(SEARCH(" "&amp;tblRules[Pattern]&amp;" "," "&amp;$H384&amp;" ")))+((tblRules[Test]&lt;&gt;"Word")*ISNUMBER(SEARCH(tblRules[Pattern],$H384))))))&gt;0))*1E+9+ROW(tblRules[Pattern])))-ROW(tblRules[[#Headers],[Pattern]])),"Uncategorized"))</f>
        <v/>
      </c>
      <c r="L384">
        <f>IF($C384="","",IFERROR(INDEX(tblCategories[Group],MATCH($K384,tblCategories[Category],0)),"Other"))</f>
        <v/>
      </c>
      <c r="M384">
        <f>IF($C384="","",IFERROR(INDEX(tblCategories[Type],MATCH($K384,tblCategories[Category],0)),IF($J384&gt;0,"Income","Expense")))</f>
        <v/>
      </c>
      <c r="N384">
        <f>IF($C384="","",IFERROR(INDEX(tblCategories[Essential],MATCH($K384,tblCategories[Category],0)),"No"))</f>
        <v/>
      </c>
      <c r="O384">
        <f>IF($C384="","",IFERROR(INDEX(tblCategories[Tax Tag],MATCH($K384,tblCategories[Category],0)),""))</f>
        <v/>
      </c>
      <c r="P384" s="20">
        <f>IF($C384="","",IF($G384=PersonA,1,IF($G384=PersonB,0,IFERROR(INDEX(tblCategories[Joint Split A],MATCH($K384,tblCategories[Category],0)),DefaultSplitA))))</f>
        <v/>
      </c>
      <c r="Q384" s="19">
        <f>IF($C384="","",ROUND($J384*N($P384),2))</f>
        <v/>
      </c>
      <c r="R384" s="19">
        <f>IF($C384="","",ROUND($J384-N($Q384),2))</f>
        <v/>
      </c>
      <c r="X384">
        <f>IF($C384="","",IFERROR(IF(_xlfn.ISFORMULA($K384),"Rule","Manual"),""))</f>
        <v/>
      </c>
      <c r="Y384" s="19">
        <f>IF($C384="","",IF(ReportView=PersonA,N($Q384),IF(ReportView=PersonB,N($R384),$J384)))</f>
        <v/>
      </c>
    </row>
    <row r="385">
      <c r="B385">
        <f>IF($C385="","","T"&amp;TEXT(ROW()-ROW(tblTxn[[#Headers],[Txn ID]]),"000000"))</f>
        <v/>
      </c>
      <c r="C385" s="18" t="n"/>
      <c r="D385">
        <f>IF($C385="","",TEXT($C385,"yyyy-mm"))</f>
        <v/>
      </c>
      <c r="F385">
        <f>IF($C385="","",IFERROR(INDEX(tblAccounts[Owner],MATCH($E385,tblAccounts[Account],0)),"Joint"))</f>
        <v/>
      </c>
      <c r="G385">
        <f>IF($C385="","",IF(HouseholdMode="Couple",IFERROR(IF(INDEX(tblCategories[Default Owner],MATCH($K385,tblCategories[Category],0))="",$F385,INDEX(tblCategories[Default Owner],MATCH($K385,tblCategories[Category],0))),$F385),$F385))</f>
        <v/>
      </c>
      <c r="I385">
        <f>IF($H385="","",$H385)</f>
        <v/>
      </c>
      <c r="J385" s="19" t="n"/>
      <c r="K385">
        <f>IF($H385="","",IFERROR(INDEX(tblRules[Category],SUMPRODUCT(MIN((1-((tblRules[Enabled]&lt;&gt;"No")*(tblRules[Pattern]&lt;&gt;"")*(tblRules[Category]&lt;&gt;"")*((tblRules[Flow]="Any")+(tblRules[Flow]="")+((tblRules[Flow]="Money out")*($J385&lt;0))+((tblRules[Flow]="Money in")*($J385&gt;0)))*(((tblRules[Look In]="Account")*ISNUMBER(SEARCH(tblRules[Pattern],$E385)))+((tblRules[Look In]&lt;&gt;"Account")*(((tblRules[Test]="Word")*ISNUMBER(SEARCH(" "&amp;tblRules[Pattern]&amp;" "," "&amp;$H385&amp;" ")))+((tblRules[Test]&lt;&gt;"Word")*ISNUMBER(SEARCH(tblRules[Pattern],$H385))))))&gt;0))*1E+9+ROW(tblRules[Pattern])))-ROW(tblRules[[#Headers],[Pattern]])),"Uncategorized"))</f>
        <v/>
      </c>
      <c r="L385">
        <f>IF($C385="","",IFERROR(INDEX(tblCategories[Group],MATCH($K385,tblCategories[Category],0)),"Other"))</f>
        <v/>
      </c>
      <c r="M385">
        <f>IF($C385="","",IFERROR(INDEX(tblCategories[Type],MATCH($K385,tblCategories[Category],0)),IF($J385&gt;0,"Income","Expense")))</f>
        <v/>
      </c>
      <c r="N385">
        <f>IF($C385="","",IFERROR(INDEX(tblCategories[Essential],MATCH($K385,tblCategories[Category],0)),"No"))</f>
        <v/>
      </c>
      <c r="O385">
        <f>IF($C385="","",IFERROR(INDEX(tblCategories[Tax Tag],MATCH($K385,tblCategories[Category],0)),""))</f>
        <v/>
      </c>
      <c r="P385" s="20">
        <f>IF($C385="","",IF($G385=PersonA,1,IF($G385=PersonB,0,IFERROR(INDEX(tblCategories[Joint Split A],MATCH($K385,tblCategories[Category],0)),DefaultSplitA))))</f>
        <v/>
      </c>
      <c r="Q385" s="19">
        <f>IF($C385="","",ROUND($J385*N($P385),2))</f>
        <v/>
      </c>
      <c r="R385" s="19">
        <f>IF($C385="","",ROUND($J385-N($Q385),2))</f>
        <v/>
      </c>
      <c r="X385">
        <f>IF($C385="","",IFERROR(IF(_xlfn.ISFORMULA($K385),"Rule","Manual"),""))</f>
        <v/>
      </c>
      <c r="Y385" s="19">
        <f>IF($C385="","",IF(ReportView=PersonA,N($Q385),IF(ReportView=PersonB,N($R385),$J385)))</f>
        <v/>
      </c>
    </row>
    <row r="386">
      <c r="B386">
        <f>IF($C386="","","T"&amp;TEXT(ROW()-ROW(tblTxn[[#Headers],[Txn ID]]),"000000"))</f>
        <v/>
      </c>
      <c r="C386" s="18" t="n"/>
      <c r="D386">
        <f>IF($C386="","",TEXT($C386,"yyyy-mm"))</f>
        <v/>
      </c>
      <c r="F386">
        <f>IF($C386="","",IFERROR(INDEX(tblAccounts[Owner],MATCH($E386,tblAccounts[Account],0)),"Joint"))</f>
        <v/>
      </c>
      <c r="G386">
        <f>IF($C386="","",IF(HouseholdMode="Couple",IFERROR(IF(INDEX(tblCategories[Default Owner],MATCH($K386,tblCategories[Category],0))="",$F386,INDEX(tblCategories[Default Owner],MATCH($K386,tblCategories[Category],0))),$F386),$F386))</f>
        <v/>
      </c>
      <c r="I386">
        <f>IF($H386="","",$H386)</f>
        <v/>
      </c>
      <c r="J386" s="19" t="n"/>
      <c r="K386">
        <f>IF($H386="","",IFERROR(INDEX(tblRules[Category],SUMPRODUCT(MIN((1-((tblRules[Enabled]&lt;&gt;"No")*(tblRules[Pattern]&lt;&gt;"")*(tblRules[Category]&lt;&gt;"")*((tblRules[Flow]="Any")+(tblRules[Flow]="")+((tblRules[Flow]="Money out")*($J386&lt;0))+((tblRules[Flow]="Money in")*($J386&gt;0)))*(((tblRules[Look In]="Account")*ISNUMBER(SEARCH(tblRules[Pattern],$E386)))+((tblRules[Look In]&lt;&gt;"Account")*(((tblRules[Test]="Word")*ISNUMBER(SEARCH(" "&amp;tblRules[Pattern]&amp;" "," "&amp;$H386&amp;" ")))+((tblRules[Test]&lt;&gt;"Word")*ISNUMBER(SEARCH(tblRules[Pattern],$H386))))))&gt;0))*1E+9+ROW(tblRules[Pattern])))-ROW(tblRules[[#Headers],[Pattern]])),"Uncategorized"))</f>
        <v/>
      </c>
      <c r="L386">
        <f>IF($C386="","",IFERROR(INDEX(tblCategories[Group],MATCH($K386,tblCategories[Category],0)),"Other"))</f>
        <v/>
      </c>
      <c r="M386">
        <f>IF($C386="","",IFERROR(INDEX(tblCategories[Type],MATCH($K386,tblCategories[Category],0)),IF($J386&gt;0,"Income","Expense")))</f>
        <v/>
      </c>
      <c r="N386">
        <f>IF($C386="","",IFERROR(INDEX(tblCategories[Essential],MATCH($K386,tblCategories[Category],0)),"No"))</f>
        <v/>
      </c>
      <c r="O386">
        <f>IF($C386="","",IFERROR(INDEX(tblCategories[Tax Tag],MATCH($K386,tblCategories[Category],0)),""))</f>
        <v/>
      </c>
      <c r="P386" s="20">
        <f>IF($C386="","",IF($G386=PersonA,1,IF($G386=PersonB,0,IFERROR(INDEX(tblCategories[Joint Split A],MATCH($K386,tblCategories[Category],0)),DefaultSplitA))))</f>
        <v/>
      </c>
      <c r="Q386" s="19">
        <f>IF($C386="","",ROUND($J386*N($P386),2))</f>
        <v/>
      </c>
      <c r="R386" s="19">
        <f>IF($C386="","",ROUND($J386-N($Q386),2))</f>
        <v/>
      </c>
      <c r="X386">
        <f>IF($C386="","",IFERROR(IF(_xlfn.ISFORMULA($K386),"Rule","Manual"),""))</f>
        <v/>
      </c>
      <c r="Y386" s="19">
        <f>IF($C386="","",IF(ReportView=PersonA,N($Q386),IF(ReportView=PersonB,N($R386),$J386)))</f>
        <v/>
      </c>
    </row>
    <row r="387">
      <c r="B387">
        <f>IF($C387="","","T"&amp;TEXT(ROW()-ROW(tblTxn[[#Headers],[Txn ID]]),"000000"))</f>
        <v/>
      </c>
      <c r="C387" s="18" t="n"/>
      <c r="D387">
        <f>IF($C387="","",TEXT($C387,"yyyy-mm"))</f>
        <v/>
      </c>
      <c r="F387">
        <f>IF($C387="","",IFERROR(INDEX(tblAccounts[Owner],MATCH($E387,tblAccounts[Account],0)),"Joint"))</f>
        <v/>
      </c>
      <c r="G387">
        <f>IF($C387="","",IF(HouseholdMode="Couple",IFERROR(IF(INDEX(tblCategories[Default Owner],MATCH($K387,tblCategories[Category],0))="",$F387,INDEX(tblCategories[Default Owner],MATCH($K387,tblCategories[Category],0))),$F387),$F387))</f>
        <v/>
      </c>
      <c r="I387">
        <f>IF($H387="","",$H387)</f>
        <v/>
      </c>
      <c r="J387" s="19" t="n"/>
      <c r="K387">
        <f>IF($H387="","",IFERROR(INDEX(tblRules[Category],SUMPRODUCT(MIN((1-((tblRules[Enabled]&lt;&gt;"No")*(tblRules[Pattern]&lt;&gt;"")*(tblRules[Category]&lt;&gt;"")*((tblRules[Flow]="Any")+(tblRules[Flow]="")+((tblRules[Flow]="Money out")*($J387&lt;0))+((tblRules[Flow]="Money in")*($J387&gt;0)))*(((tblRules[Look In]="Account")*ISNUMBER(SEARCH(tblRules[Pattern],$E387)))+((tblRules[Look In]&lt;&gt;"Account")*(((tblRules[Test]="Word")*ISNUMBER(SEARCH(" "&amp;tblRules[Pattern]&amp;" "," "&amp;$H387&amp;" ")))+((tblRules[Test]&lt;&gt;"Word")*ISNUMBER(SEARCH(tblRules[Pattern],$H387))))))&gt;0))*1E+9+ROW(tblRules[Pattern])))-ROW(tblRules[[#Headers],[Pattern]])),"Uncategorized"))</f>
        <v/>
      </c>
      <c r="L387">
        <f>IF($C387="","",IFERROR(INDEX(tblCategories[Group],MATCH($K387,tblCategories[Category],0)),"Other"))</f>
        <v/>
      </c>
      <c r="M387">
        <f>IF($C387="","",IFERROR(INDEX(tblCategories[Type],MATCH($K387,tblCategories[Category],0)),IF($J387&gt;0,"Income","Expense")))</f>
        <v/>
      </c>
      <c r="N387">
        <f>IF($C387="","",IFERROR(INDEX(tblCategories[Essential],MATCH($K387,tblCategories[Category],0)),"No"))</f>
        <v/>
      </c>
      <c r="O387">
        <f>IF($C387="","",IFERROR(INDEX(tblCategories[Tax Tag],MATCH($K387,tblCategories[Category],0)),""))</f>
        <v/>
      </c>
      <c r="P387" s="20">
        <f>IF($C387="","",IF($G387=PersonA,1,IF($G387=PersonB,0,IFERROR(INDEX(tblCategories[Joint Split A],MATCH($K387,tblCategories[Category],0)),DefaultSplitA))))</f>
        <v/>
      </c>
      <c r="Q387" s="19">
        <f>IF($C387="","",ROUND($J387*N($P387),2))</f>
        <v/>
      </c>
      <c r="R387" s="19">
        <f>IF($C387="","",ROUND($J387-N($Q387),2))</f>
        <v/>
      </c>
      <c r="X387">
        <f>IF($C387="","",IFERROR(IF(_xlfn.ISFORMULA($K387),"Rule","Manual"),""))</f>
        <v/>
      </c>
      <c r="Y387" s="19">
        <f>IF($C387="","",IF(ReportView=PersonA,N($Q387),IF(ReportView=PersonB,N($R387),$J387)))</f>
        <v/>
      </c>
    </row>
    <row r="388">
      <c r="B388">
        <f>IF($C388="","","T"&amp;TEXT(ROW()-ROW(tblTxn[[#Headers],[Txn ID]]),"000000"))</f>
        <v/>
      </c>
      <c r="C388" s="18" t="n"/>
      <c r="D388">
        <f>IF($C388="","",TEXT($C388,"yyyy-mm"))</f>
        <v/>
      </c>
      <c r="F388">
        <f>IF($C388="","",IFERROR(INDEX(tblAccounts[Owner],MATCH($E388,tblAccounts[Account],0)),"Joint"))</f>
        <v/>
      </c>
      <c r="G388">
        <f>IF($C388="","",IF(HouseholdMode="Couple",IFERROR(IF(INDEX(tblCategories[Default Owner],MATCH($K388,tblCategories[Category],0))="",$F388,INDEX(tblCategories[Default Owner],MATCH($K388,tblCategories[Category],0))),$F388),$F388))</f>
        <v/>
      </c>
      <c r="I388">
        <f>IF($H388="","",$H388)</f>
        <v/>
      </c>
      <c r="J388" s="19" t="n"/>
      <c r="K388">
        <f>IF($H388="","",IFERROR(INDEX(tblRules[Category],SUMPRODUCT(MIN((1-((tblRules[Enabled]&lt;&gt;"No")*(tblRules[Pattern]&lt;&gt;"")*(tblRules[Category]&lt;&gt;"")*((tblRules[Flow]="Any")+(tblRules[Flow]="")+((tblRules[Flow]="Money out")*($J388&lt;0))+((tblRules[Flow]="Money in")*($J388&gt;0)))*(((tblRules[Look In]="Account")*ISNUMBER(SEARCH(tblRules[Pattern],$E388)))+((tblRules[Look In]&lt;&gt;"Account")*(((tblRules[Test]="Word")*ISNUMBER(SEARCH(" "&amp;tblRules[Pattern]&amp;" "," "&amp;$H388&amp;" ")))+((tblRules[Test]&lt;&gt;"Word")*ISNUMBER(SEARCH(tblRules[Pattern],$H388))))))&gt;0))*1E+9+ROW(tblRules[Pattern])))-ROW(tblRules[[#Headers],[Pattern]])),"Uncategorized"))</f>
        <v/>
      </c>
      <c r="L388">
        <f>IF($C388="","",IFERROR(INDEX(tblCategories[Group],MATCH($K388,tblCategories[Category],0)),"Other"))</f>
        <v/>
      </c>
      <c r="M388">
        <f>IF($C388="","",IFERROR(INDEX(tblCategories[Type],MATCH($K388,tblCategories[Category],0)),IF($J388&gt;0,"Income","Expense")))</f>
        <v/>
      </c>
      <c r="N388">
        <f>IF($C388="","",IFERROR(INDEX(tblCategories[Essential],MATCH($K388,tblCategories[Category],0)),"No"))</f>
        <v/>
      </c>
      <c r="O388">
        <f>IF($C388="","",IFERROR(INDEX(tblCategories[Tax Tag],MATCH($K388,tblCategories[Category],0)),""))</f>
        <v/>
      </c>
      <c r="P388" s="20">
        <f>IF($C388="","",IF($G388=PersonA,1,IF($G388=PersonB,0,IFERROR(INDEX(tblCategories[Joint Split A],MATCH($K388,tblCategories[Category],0)),DefaultSplitA))))</f>
        <v/>
      </c>
      <c r="Q388" s="19">
        <f>IF($C388="","",ROUND($J388*N($P388),2))</f>
        <v/>
      </c>
      <c r="R388" s="19">
        <f>IF($C388="","",ROUND($J388-N($Q388),2))</f>
        <v/>
      </c>
      <c r="X388">
        <f>IF($C388="","",IFERROR(IF(_xlfn.ISFORMULA($K388),"Rule","Manual"),""))</f>
        <v/>
      </c>
      <c r="Y388" s="19">
        <f>IF($C388="","",IF(ReportView=PersonA,N($Q388),IF(ReportView=PersonB,N($R388),$J388)))</f>
        <v/>
      </c>
    </row>
    <row r="389">
      <c r="B389">
        <f>IF($C389="","","T"&amp;TEXT(ROW()-ROW(tblTxn[[#Headers],[Txn ID]]),"000000"))</f>
        <v/>
      </c>
      <c r="C389" s="18" t="n"/>
      <c r="D389">
        <f>IF($C389="","",TEXT($C389,"yyyy-mm"))</f>
        <v/>
      </c>
      <c r="F389">
        <f>IF($C389="","",IFERROR(INDEX(tblAccounts[Owner],MATCH($E389,tblAccounts[Account],0)),"Joint"))</f>
        <v/>
      </c>
      <c r="G389">
        <f>IF($C389="","",IF(HouseholdMode="Couple",IFERROR(IF(INDEX(tblCategories[Default Owner],MATCH($K389,tblCategories[Category],0))="",$F389,INDEX(tblCategories[Default Owner],MATCH($K389,tblCategories[Category],0))),$F389),$F389))</f>
        <v/>
      </c>
      <c r="I389">
        <f>IF($H389="","",$H389)</f>
        <v/>
      </c>
      <c r="J389" s="19" t="n"/>
      <c r="K389">
        <f>IF($H389="","",IFERROR(INDEX(tblRules[Category],SUMPRODUCT(MIN((1-((tblRules[Enabled]&lt;&gt;"No")*(tblRules[Pattern]&lt;&gt;"")*(tblRules[Category]&lt;&gt;"")*((tblRules[Flow]="Any")+(tblRules[Flow]="")+((tblRules[Flow]="Money out")*($J389&lt;0))+((tblRules[Flow]="Money in")*($J389&gt;0)))*(((tblRules[Look In]="Account")*ISNUMBER(SEARCH(tblRules[Pattern],$E389)))+((tblRules[Look In]&lt;&gt;"Account")*(((tblRules[Test]="Word")*ISNUMBER(SEARCH(" "&amp;tblRules[Pattern]&amp;" "," "&amp;$H389&amp;" ")))+((tblRules[Test]&lt;&gt;"Word")*ISNUMBER(SEARCH(tblRules[Pattern],$H389))))))&gt;0))*1E+9+ROW(tblRules[Pattern])))-ROW(tblRules[[#Headers],[Pattern]])),"Uncategorized"))</f>
        <v/>
      </c>
      <c r="L389">
        <f>IF($C389="","",IFERROR(INDEX(tblCategories[Group],MATCH($K389,tblCategories[Category],0)),"Other"))</f>
        <v/>
      </c>
      <c r="M389">
        <f>IF($C389="","",IFERROR(INDEX(tblCategories[Type],MATCH($K389,tblCategories[Category],0)),IF($J389&gt;0,"Income","Expense")))</f>
        <v/>
      </c>
      <c r="N389">
        <f>IF($C389="","",IFERROR(INDEX(tblCategories[Essential],MATCH($K389,tblCategories[Category],0)),"No"))</f>
        <v/>
      </c>
      <c r="O389">
        <f>IF($C389="","",IFERROR(INDEX(tblCategories[Tax Tag],MATCH($K389,tblCategories[Category],0)),""))</f>
        <v/>
      </c>
      <c r="P389" s="20">
        <f>IF($C389="","",IF($G389=PersonA,1,IF($G389=PersonB,0,IFERROR(INDEX(tblCategories[Joint Split A],MATCH($K389,tblCategories[Category],0)),DefaultSplitA))))</f>
        <v/>
      </c>
      <c r="Q389" s="19">
        <f>IF($C389="","",ROUND($J389*N($P389),2))</f>
        <v/>
      </c>
      <c r="R389" s="19">
        <f>IF($C389="","",ROUND($J389-N($Q389),2))</f>
        <v/>
      </c>
      <c r="X389">
        <f>IF($C389="","",IFERROR(IF(_xlfn.ISFORMULA($K389),"Rule","Manual"),""))</f>
        <v/>
      </c>
      <c r="Y389" s="19">
        <f>IF($C389="","",IF(ReportView=PersonA,N($Q389),IF(ReportView=PersonB,N($R389),$J389)))</f>
        <v/>
      </c>
    </row>
    <row r="390">
      <c r="B390">
        <f>IF($C390="","","T"&amp;TEXT(ROW()-ROW(tblTxn[[#Headers],[Txn ID]]),"000000"))</f>
        <v/>
      </c>
      <c r="C390" s="18" t="n"/>
      <c r="D390">
        <f>IF($C390="","",TEXT($C390,"yyyy-mm"))</f>
        <v/>
      </c>
      <c r="F390">
        <f>IF($C390="","",IFERROR(INDEX(tblAccounts[Owner],MATCH($E390,tblAccounts[Account],0)),"Joint"))</f>
        <v/>
      </c>
      <c r="G390">
        <f>IF($C390="","",IF(HouseholdMode="Couple",IFERROR(IF(INDEX(tblCategories[Default Owner],MATCH($K390,tblCategories[Category],0))="",$F390,INDEX(tblCategories[Default Owner],MATCH($K390,tblCategories[Category],0))),$F390),$F390))</f>
        <v/>
      </c>
      <c r="I390">
        <f>IF($H390="","",$H390)</f>
        <v/>
      </c>
      <c r="J390" s="19" t="n"/>
      <c r="K390">
        <f>IF($H390="","",IFERROR(INDEX(tblRules[Category],SUMPRODUCT(MIN((1-((tblRules[Enabled]&lt;&gt;"No")*(tblRules[Pattern]&lt;&gt;"")*(tblRules[Category]&lt;&gt;"")*((tblRules[Flow]="Any")+(tblRules[Flow]="")+((tblRules[Flow]="Money out")*($J390&lt;0))+((tblRules[Flow]="Money in")*($J390&gt;0)))*(((tblRules[Look In]="Account")*ISNUMBER(SEARCH(tblRules[Pattern],$E390)))+((tblRules[Look In]&lt;&gt;"Account")*(((tblRules[Test]="Word")*ISNUMBER(SEARCH(" "&amp;tblRules[Pattern]&amp;" "," "&amp;$H390&amp;" ")))+((tblRules[Test]&lt;&gt;"Word")*ISNUMBER(SEARCH(tblRules[Pattern],$H390))))))&gt;0))*1E+9+ROW(tblRules[Pattern])))-ROW(tblRules[[#Headers],[Pattern]])),"Uncategorized"))</f>
        <v/>
      </c>
      <c r="L390">
        <f>IF($C390="","",IFERROR(INDEX(tblCategories[Group],MATCH($K390,tblCategories[Category],0)),"Other"))</f>
        <v/>
      </c>
      <c r="M390">
        <f>IF($C390="","",IFERROR(INDEX(tblCategories[Type],MATCH($K390,tblCategories[Category],0)),IF($J390&gt;0,"Income","Expense")))</f>
        <v/>
      </c>
      <c r="N390">
        <f>IF($C390="","",IFERROR(INDEX(tblCategories[Essential],MATCH($K390,tblCategories[Category],0)),"No"))</f>
        <v/>
      </c>
      <c r="O390">
        <f>IF($C390="","",IFERROR(INDEX(tblCategories[Tax Tag],MATCH($K390,tblCategories[Category],0)),""))</f>
        <v/>
      </c>
      <c r="P390" s="20">
        <f>IF($C390="","",IF($G390=PersonA,1,IF($G390=PersonB,0,IFERROR(INDEX(tblCategories[Joint Split A],MATCH($K390,tblCategories[Category],0)),DefaultSplitA))))</f>
        <v/>
      </c>
      <c r="Q390" s="19">
        <f>IF($C390="","",ROUND($J390*N($P390),2))</f>
        <v/>
      </c>
      <c r="R390" s="19">
        <f>IF($C390="","",ROUND($J390-N($Q390),2))</f>
        <v/>
      </c>
      <c r="X390">
        <f>IF($C390="","",IFERROR(IF(_xlfn.ISFORMULA($K390),"Rule","Manual"),""))</f>
        <v/>
      </c>
      <c r="Y390" s="19">
        <f>IF($C390="","",IF(ReportView=PersonA,N($Q390),IF(ReportView=PersonB,N($R390),$J390)))</f>
        <v/>
      </c>
    </row>
    <row r="391">
      <c r="B391">
        <f>IF($C391="","","T"&amp;TEXT(ROW()-ROW(tblTxn[[#Headers],[Txn ID]]),"000000"))</f>
        <v/>
      </c>
      <c r="C391" s="18" t="n"/>
      <c r="D391">
        <f>IF($C391="","",TEXT($C391,"yyyy-mm"))</f>
        <v/>
      </c>
      <c r="F391">
        <f>IF($C391="","",IFERROR(INDEX(tblAccounts[Owner],MATCH($E391,tblAccounts[Account],0)),"Joint"))</f>
        <v/>
      </c>
      <c r="G391">
        <f>IF($C391="","",IF(HouseholdMode="Couple",IFERROR(IF(INDEX(tblCategories[Default Owner],MATCH($K391,tblCategories[Category],0))="",$F391,INDEX(tblCategories[Default Owner],MATCH($K391,tblCategories[Category],0))),$F391),$F391))</f>
        <v/>
      </c>
      <c r="I391">
        <f>IF($H391="","",$H391)</f>
        <v/>
      </c>
      <c r="J391" s="19" t="n"/>
      <c r="K391">
        <f>IF($H391="","",IFERROR(INDEX(tblRules[Category],SUMPRODUCT(MIN((1-((tblRules[Enabled]&lt;&gt;"No")*(tblRules[Pattern]&lt;&gt;"")*(tblRules[Category]&lt;&gt;"")*((tblRules[Flow]="Any")+(tblRules[Flow]="")+((tblRules[Flow]="Money out")*($J391&lt;0))+((tblRules[Flow]="Money in")*($J391&gt;0)))*(((tblRules[Look In]="Account")*ISNUMBER(SEARCH(tblRules[Pattern],$E391)))+((tblRules[Look In]&lt;&gt;"Account")*(((tblRules[Test]="Word")*ISNUMBER(SEARCH(" "&amp;tblRules[Pattern]&amp;" "," "&amp;$H391&amp;" ")))+((tblRules[Test]&lt;&gt;"Word")*ISNUMBER(SEARCH(tblRules[Pattern],$H391))))))&gt;0))*1E+9+ROW(tblRules[Pattern])))-ROW(tblRules[[#Headers],[Pattern]])),"Uncategorized"))</f>
        <v/>
      </c>
      <c r="L391">
        <f>IF($C391="","",IFERROR(INDEX(tblCategories[Group],MATCH($K391,tblCategories[Category],0)),"Other"))</f>
        <v/>
      </c>
      <c r="M391">
        <f>IF($C391="","",IFERROR(INDEX(tblCategories[Type],MATCH($K391,tblCategories[Category],0)),IF($J391&gt;0,"Income","Expense")))</f>
        <v/>
      </c>
      <c r="N391">
        <f>IF($C391="","",IFERROR(INDEX(tblCategories[Essential],MATCH($K391,tblCategories[Category],0)),"No"))</f>
        <v/>
      </c>
      <c r="O391">
        <f>IF($C391="","",IFERROR(INDEX(tblCategories[Tax Tag],MATCH($K391,tblCategories[Category],0)),""))</f>
        <v/>
      </c>
      <c r="P391" s="20">
        <f>IF($C391="","",IF($G391=PersonA,1,IF($G391=PersonB,0,IFERROR(INDEX(tblCategories[Joint Split A],MATCH($K391,tblCategories[Category],0)),DefaultSplitA))))</f>
        <v/>
      </c>
      <c r="Q391" s="19">
        <f>IF($C391="","",ROUND($J391*N($P391),2))</f>
        <v/>
      </c>
      <c r="R391" s="19">
        <f>IF($C391="","",ROUND($J391-N($Q391),2))</f>
        <v/>
      </c>
      <c r="X391">
        <f>IF($C391="","",IFERROR(IF(_xlfn.ISFORMULA($K391),"Rule","Manual"),""))</f>
        <v/>
      </c>
      <c r="Y391" s="19">
        <f>IF($C391="","",IF(ReportView=PersonA,N($Q391),IF(ReportView=PersonB,N($R391),$J391)))</f>
        <v/>
      </c>
    </row>
    <row r="392">
      <c r="B392">
        <f>IF($C392="","","T"&amp;TEXT(ROW()-ROW(tblTxn[[#Headers],[Txn ID]]),"000000"))</f>
        <v/>
      </c>
      <c r="C392" s="18" t="n"/>
      <c r="D392">
        <f>IF($C392="","",TEXT($C392,"yyyy-mm"))</f>
        <v/>
      </c>
      <c r="F392">
        <f>IF($C392="","",IFERROR(INDEX(tblAccounts[Owner],MATCH($E392,tblAccounts[Account],0)),"Joint"))</f>
        <v/>
      </c>
      <c r="G392">
        <f>IF($C392="","",IF(HouseholdMode="Couple",IFERROR(IF(INDEX(tblCategories[Default Owner],MATCH($K392,tblCategories[Category],0))="",$F392,INDEX(tblCategories[Default Owner],MATCH($K392,tblCategories[Category],0))),$F392),$F392))</f>
        <v/>
      </c>
      <c r="I392">
        <f>IF($H392="","",$H392)</f>
        <v/>
      </c>
      <c r="J392" s="19" t="n"/>
      <c r="K392">
        <f>IF($H392="","",IFERROR(INDEX(tblRules[Category],SUMPRODUCT(MIN((1-((tblRules[Enabled]&lt;&gt;"No")*(tblRules[Pattern]&lt;&gt;"")*(tblRules[Category]&lt;&gt;"")*((tblRules[Flow]="Any")+(tblRules[Flow]="")+((tblRules[Flow]="Money out")*($J392&lt;0))+((tblRules[Flow]="Money in")*($J392&gt;0)))*(((tblRules[Look In]="Account")*ISNUMBER(SEARCH(tblRules[Pattern],$E392)))+((tblRules[Look In]&lt;&gt;"Account")*(((tblRules[Test]="Word")*ISNUMBER(SEARCH(" "&amp;tblRules[Pattern]&amp;" "," "&amp;$H392&amp;" ")))+((tblRules[Test]&lt;&gt;"Word")*ISNUMBER(SEARCH(tblRules[Pattern],$H392))))))&gt;0))*1E+9+ROW(tblRules[Pattern])))-ROW(tblRules[[#Headers],[Pattern]])),"Uncategorized"))</f>
        <v/>
      </c>
      <c r="L392">
        <f>IF($C392="","",IFERROR(INDEX(tblCategories[Group],MATCH($K392,tblCategories[Category],0)),"Other"))</f>
        <v/>
      </c>
      <c r="M392">
        <f>IF($C392="","",IFERROR(INDEX(tblCategories[Type],MATCH($K392,tblCategories[Category],0)),IF($J392&gt;0,"Income","Expense")))</f>
        <v/>
      </c>
      <c r="N392">
        <f>IF($C392="","",IFERROR(INDEX(tblCategories[Essential],MATCH($K392,tblCategories[Category],0)),"No"))</f>
        <v/>
      </c>
      <c r="O392">
        <f>IF($C392="","",IFERROR(INDEX(tblCategories[Tax Tag],MATCH($K392,tblCategories[Category],0)),""))</f>
        <v/>
      </c>
      <c r="P392" s="20">
        <f>IF($C392="","",IF($G392=PersonA,1,IF($G392=PersonB,0,IFERROR(INDEX(tblCategories[Joint Split A],MATCH($K392,tblCategories[Category],0)),DefaultSplitA))))</f>
        <v/>
      </c>
      <c r="Q392" s="19">
        <f>IF($C392="","",ROUND($J392*N($P392),2))</f>
        <v/>
      </c>
      <c r="R392" s="19">
        <f>IF($C392="","",ROUND($J392-N($Q392),2))</f>
        <v/>
      </c>
      <c r="X392">
        <f>IF($C392="","",IFERROR(IF(_xlfn.ISFORMULA($K392),"Rule","Manual"),""))</f>
        <v/>
      </c>
      <c r="Y392" s="19">
        <f>IF($C392="","",IF(ReportView=PersonA,N($Q392),IF(ReportView=PersonB,N($R392),$J392)))</f>
        <v/>
      </c>
    </row>
    <row r="393">
      <c r="B393">
        <f>IF($C393="","","T"&amp;TEXT(ROW()-ROW(tblTxn[[#Headers],[Txn ID]]),"000000"))</f>
        <v/>
      </c>
      <c r="C393" s="18" t="n"/>
      <c r="D393">
        <f>IF($C393="","",TEXT($C393,"yyyy-mm"))</f>
        <v/>
      </c>
      <c r="F393">
        <f>IF($C393="","",IFERROR(INDEX(tblAccounts[Owner],MATCH($E393,tblAccounts[Account],0)),"Joint"))</f>
        <v/>
      </c>
      <c r="G393">
        <f>IF($C393="","",IF(HouseholdMode="Couple",IFERROR(IF(INDEX(tblCategories[Default Owner],MATCH($K393,tblCategories[Category],0))="",$F393,INDEX(tblCategories[Default Owner],MATCH($K393,tblCategories[Category],0))),$F393),$F393))</f>
        <v/>
      </c>
      <c r="I393">
        <f>IF($H393="","",$H393)</f>
        <v/>
      </c>
      <c r="J393" s="19" t="n"/>
      <c r="K393">
        <f>IF($H393="","",IFERROR(INDEX(tblRules[Category],SUMPRODUCT(MIN((1-((tblRules[Enabled]&lt;&gt;"No")*(tblRules[Pattern]&lt;&gt;"")*(tblRules[Category]&lt;&gt;"")*((tblRules[Flow]="Any")+(tblRules[Flow]="")+((tblRules[Flow]="Money out")*($J393&lt;0))+((tblRules[Flow]="Money in")*($J393&gt;0)))*(((tblRules[Look In]="Account")*ISNUMBER(SEARCH(tblRules[Pattern],$E393)))+((tblRules[Look In]&lt;&gt;"Account")*(((tblRules[Test]="Word")*ISNUMBER(SEARCH(" "&amp;tblRules[Pattern]&amp;" "," "&amp;$H393&amp;" ")))+((tblRules[Test]&lt;&gt;"Word")*ISNUMBER(SEARCH(tblRules[Pattern],$H393))))))&gt;0))*1E+9+ROW(tblRules[Pattern])))-ROW(tblRules[[#Headers],[Pattern]])),"Uncategorized"))</f>
        <v/>
      </c>
      <c r="L393">
        <f>IF($C393="","",IFERROR(INDEX(tblCategories[Group],MATCH($K393,tblCategories[Category],0)),"Other"))</f>
        <v/>
      </c>
      <c r="M393">
        <f>IF($C393="","",IFERROR(INDEX(tblCategories[Type],MATCH($K393,tblCategories[Category],0)),IF($J393&gt;0,"Income","Expense")))</f>
        <v/>
      </c>
      <c r="N393">
        <f>IF($C393="","",IFERROR(INDEX(tblCategories[Essential],MATCH($K393,tblCategories[Category],0)),"No"))</f>
        <v/>
      </c>
      <c r="O393">
        <f>IF($C393="","",IFERROR(INDEX(tblCategories[Tax Tag],MATCH($K393,tblCategories[Category],0)),""))</f>
        <v/>
      </c>
      <c r="P393" s="20">
        <f>IF($C393="","",IF($G393=PersonA,1,IF($G393=PersonB,0,IFERROR(INDEX(tblCategories[Joint Split A],MATCH($K393,tblCategories[Category],0)),DefaultSplitA))))</f>
        <v/>
      </c>
      <c r="Q393" s="19">
        <f>IF($C393="","",ROUND($J393*N($P393),2))</f>
        <v/>
      </c>
      <c r="R393" s="19">
        <f>IF($C393="","",ROUND($J393-N($Q393),2))</f>
        <v/>
      </c>
      <c r="X393">
        <f>IF($C393="","",IFERROR(IF(_xlfn.ISFORMULA($K393),"Rule","Manual"),""))</f>
        <v/>
      </c>
      <c r="Y393" s="19">
        <f>IF($C393="","",IF(ReportView=PersonA,N($Q393),IF(ReportView=PersonB,N($R393),$J393)))</f>
        <v/>
      </c>
    </row>
    <row r="394">
      <c r="B394">
        <f>IF($C394="","","T"&amp;TEXT(ROW()-ROW(tblTxn[[#Headers],[Txn ID]]),"000000"))</f>
        <v/>
      </c>
      <c r="C394" s="18" t="n"/>
      <c r="D394">
        <f>IF($C394="","",TEXT($C394,"yyyy-mm"))</f>
        <v/>
      </c>
      <c r="F394">
        <f>IF($C394="","",IFERROR(INDEX(tblAccounts[Owner],MATCH($E394,tblAccounts[Account],0)),"Joint"))</f>
        <v/>
      </c>
      <c r="G394">
        <f>IF($C394="","",IF(HouseholdMode="Couple",IFERROR(IF(INDEX(tblCategories[Default Owner],MATCH($K394,tblCategories[Category],0))="",$F394,INDEX(tblCategories[Default Owner],MATCH($K394,tblCategories[Category],0))),$F394),$F394))</f>
        <v/>
      </c>
      <c r="I394">
        <f>IF($H394="","",$H394)</f>
        <v/>
      </c>
      <c r="J394" s="19" t="n"/>
      <c r="K394">
        <f>IF($H394="","",IFERROR(INDEX(tblRules[Category],SUMPRODUCT(MIN((1-((tblRules[Enabled]&lt;&gt;"No")*(tblRules[Pattern]&lt;&gt;"")*(tblRules[Category]&lt;&gt;"")*((tblRules[Flow]="Any")+(tblRules[Flow]="")+((tblRules[Flow]="Money out")*($J394&lt;0))+((tblRules[Flow]="Money in")*($J394&gt;0)))*(((tblRules[Look In]="Account")*ISNUMBER(SEARCH(tblRules[Pattern],$E394)))+((tblRules[Look In]&lt;&gt;"Account")*(((tblRules[Test]="Word")*ISNUMBER(SEARCH(" "&amp;tblRules[Pattern]&amp;" "," "&amp;$H394&amp;" ")))+((tblRules[Test]&lt;&gt;"Word")*ISNUMBER(SEARCH(tblRules[Pattern],$H394))))))&gt;0))*1E+9+ROW(tblRules[Pattern])))-ROW(tblRules[[#Headers],[Pattern]])),"Uncategorized"))</f>
        <v/>
      </c>
      <c r="L394">
        <f>IF($C394="","",IFERROR(INDEX(tblCategories[Group],MATCH($K394,tblCategories[Category],0)),"Other"))</f>
        <v/>
      </c>
      <c r="M394">
        <f>IF($C394="","",IFERROR(INDEX(tblCategories[Type],MATCH($K394,tblCategories[Category],0)),IF($J394&gt;0,"Income","Expense")))</f>
        <v/>
      </c>
      <c r="N394">
        <f>IF($C394="","",IFERROR(INDEX(tblCategories[Essential],MATCH($K394,tblCategories[Category],0)),"No"))</f>
        <v/>
      </c>
      <c r="O394">
        <f>IF($C394="","",IFERROR(INDEX(tblCategories[Tax Tag],MATCH($K394,tblCategories[Category],0)),""))</f>
        <v/>
      </c>
      <c r="P394" s="20">
        <f>IF($C394="","",IF($G394=PersonA,1,IF($G394=PersonB,0,IFERROR(INDEX(tblCategories[Joint Split A],MATCH($K394,tblCategories[Category],0)),DefaultSplitA))))</f>
        <v/>
      </c>
      <c r="Q394" s="19">
        <f>IF($C394="","",ROUND($J394*N($P394),2))</f>
        <v/>
      </c>
      <c r="R394" s="19">
        <f>IF($C394="","",ROUND($J394-N($Q394),2))</f>
        <v/>
      </c>
      <c r="X394">
        <f>IF($C394="","",IFERROR(IF(_xlfn.ISFORMULA($K394),"Rule","Manual"),""))</f>
        <v/>
      </c>
      <c r="Y394" s="19">
        <f>IF($C394="","",IF(ReportView=PersonA,N($Q394),IF(ReportView=PersonB,N($R394),$J394)))</f>
        <v/>
      </c>
    </row>
    <row r="395">
      <c r="B395">
        <f>IF($C395="","","T"&amp;TEXT(ROW()-ROW(tblTxn[[#Headers],[Txn ID]]),"000000"))</f>
        <v/>
      </c>
      <c r="C395" s="18" t="n"/>
      <c r="D395">
        <f>IF($C395="","",TEXT($C395,"yyyy-mm"))</f>
        <v/>
      </c>
      <c r="F395">
        <f>IF($C395="","",IFERROR(INDEX(tblAccounts[Owner],MATCH($E395,tblAccounts[Account],0)),"Joint"))</f>
        <v/>
      </c>
      <c r="G395">
        <f>IF($C395="","",IF(HouseholdMode="Couple",IFERROR(IF(INDEX(tblCategories[Default Owner],MATCH($K395,tblCategories[Category],0))="",$F395,INDEX(tblCategories[Default Owner],MATCH($K395,tblCategories[Category],0))),$F395),$F395))</f>
        <v/>
      </c>
      <c r="I395">
        <f>IF($H395="","",$H395)</f>
        <v/>
      </c>
      <c r="J395" s="19" t="n"/>
      <c r="K395">
        <f>IF($H395="","",IFERROR(INDEX(tblRules[Category],SUMPRODUCT(MIN((1-((tblRules[Enabled]&lt;&gt;"No")*(tblRules[Pattern]&lt;&gt;"")*(tblRules[Category]&lt;&gt;"")*((tblRules[Flow]="Any")+(tblRules[Flow]="")+((tblRules[Flow]="Money out")*($J395&lt;0))+((tblRules[Flow]="Money in")*($J395&gt;0)))*(((tblRules[Look In]="Account")*ISNUMBER(SEARCH(tblRules[Pattern],$E395)))+((tblRules[Look In]&lt;&gt;"Account")*(((tblRules[Test]="Word")*ISNUMBER(SEARCH(" "&amp;tblRules[Pattern]&amp;" "," "&amp;$H395&amp;" ")))+((tblRules[Test]&lt;&gt;"Word")*ISNUMBER(SEARCH(tblRules[Pattern],$H395))))))&gt;0))*1E+9+ROW(tblRules[Pattern])))-ROW(tblRules[[#Headers],[Pattern]])),"Uncategorized"))</f>
        <v/>
      </c>
      <c r="L395">
        <f>IF($C395="","",IFERROR(INDEX(tblCategories[Group],MATCH($K395,tblCategories[Category],0)),"Other"))</f>
        <v/>
      </c>
      <c r="M395">
        <f>IF($C395="","",IFERROR(INDEX(tblCategories[Type],MATCH($K395,tblCategories[Category],0)),IF($J395&gt;0,"Income","Expense")))</f>
        <v/>
      </c>
      <c r="N395">
        <f>IF($C395="","",IFERROR(INDEX(tblCategories[Essential],MATCH($K395,tblCategories[Category],0)),"No"))</f>
        <v/>
      </c>
      <c r="O395">
        <f>IF($C395="","",IFERROR(INDEX(tblCategories[Tax Tag],MATCH($K395,tblCategories[Category],0)),""))</f>
        <v/>
      </c>
      <c r="P395" s="20">
        <f>IF($C395="","",IF($G395=PersonA,1,IF($G395=PersonB,0,IFERROR(INDEX(tblCategories[Joint Split A],MATCH($K395,tblCategories[Category],0)),DefaultSplitA))))</f>
        <v/>
      </c>
      <c r="Q395" s="19">
        <f>IF($C395="","",ROUND($J395*N($P395),2))</f>
        <v/>
      </c>
      <c r="R395" s="19">
        <f>IF($C395="","",ROUND($J395-N($Q395),2))</f>
        <v/>
      </c>
      <c r="X395">
        <f>IF($C395="","",IFERROR(IF(_xlfn.ISFORMULA($K395),"Rule","Manual"),""))</f>
        <v/>
      </c>
      <c r="Y395" s="19">
        <f>IF($C395="","",IF(ReportView=PersonA,N($Q395),IF(ReportView=PersonB,N($R395),$J395)))</f>
        <v/>
      </c>
    </row>
    <row r="396">
      <c r="B396">
        <f>IF($C396="","","T"&amp;TEXT(ROW()-ROW(tblTxn[[#Headers],[Txn ID]]),"000000"))</f>
        <v/>
      </c>
      <c r="C396" s="18" t="n"/>
      <c r="D396">
        <f>IF($C396="","",TEXT($C396,"yyyy-mm"))</f>
        <v/>
      </c>
      <c r="F396">
        <f>IF($C396="","",IFERROR(INDEX(tblAccounts[Owner],MATCH($E396,tblAccounts[Account],0)),"Joint"))</f>
        <v/>
      </c>
      <c r="G396">
        <f>IF($C396="","",IF(HouseholdMode="Couple",IFERROR(IF(INDEX(tblCategories[Default Owner],MATCH($K396,tblCategories[Category],0))="",$F396,INDEX(tblCategories[Default Owner],MATCH($K396,tblCategories[Category],0))),$F396),$F396))</f>
        <v/>
      </c>
      <c r="I396">
        <f>IF($H396="","",$H396)</f>
        <v/>
      </c>
      <c r="J396" s="19" t="n"/>
      <c r="K396">
        <f>IF($H396="","",IFERROR(INDEX(tblRules[Category],SUMPRODUCT(MIN((1-((tblRules[Enabled]&lt;&gt;"No")*(tblRules[Pattern]&lt;&gt;"")*(tblRules[Category]&lt;&gt;"")*((tblRules[Flow]="Any")+(tblRules[Flow]="")+((tblRules[Flow]="Money out")*($J396&lt;0))+((tblRules[Flow]="Money in")*($J396&gt;0)))*(((tblRules[Look In]="Account")*ISNUMBER(SEARCH(tblRules[Pattern],$E396)))+((tblRules[Look In]&lt;&gt;"Account")*(((tblRules[Test]="Word")*ISNUMBER(SEARCH(" "&amp;tblRules[Pattern]&amp;" "," "&amp;$H396&amp;" ")))+((tblRules[Test]&lt;&gt;"Word")*ISNUMBER(SEARCH(tblRules[Pattern],$H396))))))&gt;0))*1E+9+ROW(tblRules[Pattern])))-ROW(tblRules[[#Headers],[Pattern]])),"Uncategorized"))</f>
        <v/>
      </c>
      <c r="L396">
        <f>IF($C396="","",IFERROR(INDEX(tblCategories[Group],MATCH($K396,tblCategories[Category],0)),"Other"))</f>
        <v/>
      </c>
      <c r="M396">
        <f>IF($C396="","",IFERROR(INDEX(tblCategories[Type],MATCH($K396,tblCategories[Category],0)),IF($J396&gt;0,"Income","Expense")))</f>
        <v/>
      </c>
      <c r="N396">
        <f>IF($C396="","",IFERROR(INDEX(tblCategories[Essential],MATCH($K396,tblCategories[Category],0)),"No"))</f>
        <v/>
      </c>
      <c r="O396">
        <f>IF($C396="","",IFERROR(INDEX(tblCategories[Tax Tag],MATCH($K396,tblCategories[Category],0)),""))</f>
        <v/>
      </c>
      <c r="P396" s="20">
        <f>IF($C396="","",IF($G396=PersonA,1,IF($G396=PersonB,0,IFERROR(INDEX(tblCategories[Joint Split A],MATCH($K396,tblCategories[Category],0)),DefaultSplitA))))</f>
        <v/>
      </c>
      <c r="Q396" s="19">
        <f>IF($C396="","",ROUND($J396*N($P396),2))</f>
        <v/>
      </c>
      <c r="R396" s="19">
        <f>IF($C396="","",ROUND($J396-N($Q396),2))</f>
        <v/>
      </c>
      <c r="X396">
        <f>IF($C396="","",IFERROR(IF(_xlfn.ISFORMULA($K396),"Rule","Manual"),""))</f>
        <v/>
      </c>
      <c r="Y396" s="19">
        <f>IF($C396="","",IF(ReportView=PersonA,N($Q396),IF(ReportView=PersonB,N($R396),$J396)))</f>
        <v/>
      </c>
    </row>
    <row r="397">
      <c r="B397">
        <f>IF($C397="","","T"&amp;TEXT(ROW()-ROW(tblTxn[[#Headers],[Txn ID]]),"000000"))</f>
        <v/>
      </c>
      <c r="C397" s="18" t="n"/>
      <c r="D397">
        <f>IF($C397="","",TEXT($C397,"yyyy-mm"))</f>
        <v/>
      </c>
      <c r="F397">
        <f>IF($C397="","",IFERROR(INDEX(tblAccounts[Owner],MATCH($E397,tblAccounts[Account],0)),"Joint"))</f>
        <v/>
      </c>
      <c r="G397">
        <f>IF($C397="","",IF(HouseholdMode="Couple",IFERROR(IF(INDEX(tblCategories[Default Owner],MATCH($K397,tblCategories[Category],0))="",$F397,INDEX(tblCategories[Default Owner],MATCH($K397,tblCategories[Category],0))),$F397),$F397))</f>
        <v/>
      </c>
      <c r="I397">
        <f>IF($H397="","",$H397)</f>
        <v/>
      </c>
      <c r="J397" s="19" t="n"/>
      <c r="K397">
        <f>IF($H397="","",IFERROR(INDEX(tblRules[Category],SUMPRODUCT(MIN((1-((tblRules[Enabled]&lt;&gt;"No")*(tblRules[Pattern]&lt;&gt;"")*(tblRules[Category]&lt;&gt;"")*((tblRules[Flow]="Any")+(tblRules[Flow]="")+((tblRules[Flow]="Money out")*($J397&lt;0))+((tblRules[Flow]="Money in")*($J397&gt;0)))*(((tblRules[Look In]="Account")*ISNUMBER(SEARCH(tblRules[Pattern],$E397)))+((tblRules[Look In]&lt;&gt;"Account")*(((tblRules[Test]="Word")*ISNUMBER(SEARCH(" "&amp;tblRules[Pattern]&amp;" "," "&amp;$H397&amp;" ")))+((tblRules[Test]&lt;&gt;"Word")*ISNUMBER(SEARCH(tblRules[Pattern],$H397))))))&gt;0))*1E+9+ROW(tblRules[Pattern])))-ROW(tblRules[[#Headers],[Pattern]])),"Uncategorized"))</f>
        <v/>
      </c>
      <c r="L397">
        <f>IF($C397="","",IFERROR(INDEX(tblCategories[Group],MATCH($K397,tblCategories[Category],0)),"Other"))</f>
        <v/>
      </c>
      <c r="M397">
        <f>IF($C397="","",IFERROR(INDEX(tblCategories[Type],MATCH($K397,tblCategories[Category],0)),IF($J397&gt;0,"Income","Expense")))</f>
        <v/>
      </c>
      <c r="N397">
        <f>IF($C397="","",IFERROR(INDEX(tblCategories[Essential],MATCH($K397,tblCategories[Category],0)),"No"))</f>
        <v/>
      </c>
      <c r="O397">
        <f>IF($C397="","",IFERROR(INDEX(tblCategories[Tax Tag],MATCH($K397,tblCategories[Category],0)),""))</f>
        <v/>
      </c>
      <c r="P397" s="20">
        <f>IF($C397="","",IF($G397=PersonA,1,IF($G397=PersonB,0,IFERROR(INDEX(tblCategories[Joint Split A],MATCH($K397,tblCategories[Category],0)),DefaultSplitA))))</f>
        <v/>
      </c>
      <c r="Q397" s="19">
        <f>IF($C397="","",ROUND($J397*N($P397),2))</f>
        <v/>
      </c>
      <c r="R397" s="19">
        <f>IF($C397="","",ROUND($J397-N($Q397),2))</f>
        <v/>
      </c>
      <c r="X397">
        <f>IF($C397="","",IFERROR(IF(_xlfn.ISFORMULA($K397),"Rule","Manual"),""))</f>
        <v/>
      </c>
      <c r="Y397" s="19">
        <f>IF($C397="","",IF(ReportView=PersonA,N($Q397),IF(ReportView=PersonB,N($R397),$J397)))</f>
        <v/>
      </c>
    </row>
    <row r="398">
      <c r="B398">
        <f>IF($C398="","","T"&amp;TEXT(ROW()-ROW(tblTxn[[#Headers],[Txn ID]]),"000000"))</f>
        <v/>
      </c>
      <c r="C398" s="18" t="n"/>
      <c r="D398">
        <f>IF($C398="","",TEXT($C398,"yyyy-mm"))</f>
        <v/>
      </c>
      <c r="F398">
        <f>IF($C398="","",IFERROR(INDEX(tblAccounts[Owner],MATCH($E398,tblAccounts[Account],0)),"Joint"))</f>
        <v/>
      </c>
      <c r="G398">
        <f>IF($C398="","",IF(HouseholdMode="Couple",IFERROR(IF(INDEX(tblCategories[Default Owner],MATCH($K398,tblCategories[Category],0))="",$F398,INDEX(tblCategories[Default Owner],MATCH($K398,tblCategories[Category],0))),$F398),$F398))</f>
        <v/>
      </c>
      <c r="I398">
        <f>IF($H398="","",$H398)</f>
        <v/>
      </c>
      <c r="J398" s="19" t="n"/>
      <c r="K398">
        <f>IF($H398="","",IFERROR(INDEX(tblRules[Category],SUMPRODUCT(MIN((1-((tblRules[Enabled]&lt;&gt;"No")*(tblRules[Pattern]&lt;&gt;"")*(tblRules[Category]&lt;&gt;"")*((tblRules[Flow]="Any")+(tblRules[Flow]="")+((tblRules[Flow]="Money out")*($J398&lt;0))+((tblRules[Flow]="Money in")*($J398&gt;0)))*(((tblRules[Look In]="Account")*ISNUMBER(SEARCH(tblRules[Pattern],$E398)))+((tblRules[Look In]&lt;&gt;"Account")*(((tblRules[Test]="Word")*ISNUMBER(SEARCH(" "&amp;tblRules[Pattern]&amp;" "," "&amp;$H398&amp;" ")))+((tblRules[Test]&lt;&gt;"Word")*ISNUMBER(SEARCH(tblRules[Pattern],$H398))))))&gt;0))*1E+9+ROW(tblRules[Pattern])))-ROW(tblRules[[#Headers],[Pattern]])),"Uncategorized"))</f>
        <v/>
      </c>
      <c r="L398">
        <f>IF($C398="","",IFERROR(INDEX(tblCategories[Group],MATCH($K398,tblCategories[Category],0)),"Other"))</f>
        <v/>
      </c>
      <c r="M398">
        <f>IF($C398="","",IFERROR(INDEX(tblCategories[Type],MATCH($K398,tblCategories[Category],0)),IF($J398&gt;0,"Income","Expense")))</f>
        <v/>
      </c>
      <c r="N398">
        <f>IF($C398="","",IFERROR(INDEX(tblCategories[Essential],MATCH($K398,tblCategories[Category],0)),"No"))</f>
        <v/>
      </c>
      <c r="O398">
        <f>IF($C398="","",IFERROR(INDEX(tblCategories[Tax Tag],MATCH($K398,tblCategories[Category],0)),""))</f>
        <v/>
      </c>
      <c r="P398" s="20">
        <f>IF($C398="","",IF($G398=PersonA,1,IF($G398=PersonB,0,IFERROR(INDEX(tblCategories[Joint Split A],MATCH($K398,tblCategories[Category],0)),DefaultSplitA))))</f>
        <v/>
      </c>
      <c r="Q398" s="19">
        <f>IF($C398="","",ROUND($J398*N($P398),2))</f>
        <v/>
      </c>
      <c r="R398" s="19">
        <f>IF($C398="","",ROUND($J398-N($Q398),2))</f>
        <v/>
      </c>
      <c r="X398">
        <f>IF($C398="","",IFERROR(IF(_xlfn.ISFORMULA($K398),"Rule","Manual"),""))</f>
        <v/>
      </c>
      <c r="Y398" s="19">
        <f>IF($C398="","",IF(ReportView=PersonA,N($Q398),IF(ReportView=PersonB,N($R398),$J398)))</f>
        <v/>
      </c>
    </row>
    <row r="399">
      <c r="B399">
        <f>IF($C399="","","T"&amp;TEXT(ROW()-ROW(tblTxn[[#Headers],[Txn ID]]),"000000"))</f>
        <v/>
      </c>
      <c r="C399" s="18" t="n"/>
      <c r="D399">
        <f>IF($C399="","",TEXT($C399,"yyyy-mm"))</f>
        <v/>
      </c>
      <c r="F399">
        <f>IF($C399="","",IFERROR(INDEX(tblAccounts[Owner],MATCH($E399,tblAccounts[Account],0)),"Joint"))</f>
        <v/>
      </c>
      <c r="G399">
        <f>IF($C399="","",IF(HouseholdMode="Couple",IFERROR(IF(INDEX(tblCategories[Default Owner],MATCH($K399,tblCategories[Category],0))="",$F399,INDEX(tblCategories[Default Owner],MATCH($K399,tblCategories[Category],0))),$F399),$F399))</f>
        <v/>
      </c>
      <c r="I399">
        <f>IF($H399="","",$H399)</f>
        <v/>
      </c>
      <c r="J399" s="19" t="n"/>
      <c r="K399">
        <f>IF($H399="","",IFERROR(INDEX(tblRules[Category],SUMPRODUCT(MIN((1-((tblRules[Enabled]&lt;&gt;"No")*(tblRules[Pattern]&lt;&gt;"")*(tblRules[Category]&lt;&gt;"")*((tblRules[Flow]="Any")+(tblRules[Flow]="")+((tblRules[Flow]="Money out")*($J399&lt;0))+((tblRules[Flow]="Money in")*($J399&gt;0)))*(((tblRules[Look In]="Account")*ISNUMBER(SEARCH(tblRules[Pattern],$E399)))+((tblRules[Look In]&lt;&gt;"Account")*(((tblRules[Test]="Word")*ISNUMBER(SEARCH(" "&amp;tblRules[Pattern]&amp;" "," "&amp;$H399&amp;" ")))+((tblRules[Test]&lt;&gt;"Word")*ISNUMBER(SEARCH(tblRules[Pattern],$H399))))))&gt;0))*1E+9+ROW(tblRules[Pattern])))-ROW(tblRules[[#Headers],[Pattern]])),"Uncategorized"))</f>
        <v/>
      </c>
      <c r="L399">
        <f>IF($C399="","",IFERROR(INDEX(tblCategories[Group],MATCH($K399,tblCategories[Category],0)),"Other"))</f>
        <v/>
      </c>
      <c r="M399">
        <f>IF($C399="","",IFERROR(INDEX(tblCategories[Type],MATCH($K399,tblCategories[Category],0)),IF($J399&gt;0,"Income","Expense")))</f>
        <v/>
      </c>
      <c r="N399">
        <f>IF($C399="","",IFERROR(INDEX(tblCategories[Essential],MATCH($K399,tblCategories[Category],0)),"No"))</f>
        <v/>
      </c>
      <c r="O399">
        <f>IF($C399="","",IFERROR(INDEX(tblCategories[Tax Tag],MATCH($K399,tblCategories[Category],0)),""))</f>
        <v/>
      </c>
      <c r="P399" s="20">
        <f>IF($C399="","",IF($G399=PersonA,1,IF($G399=PersonB,0,IFERROR(INDEX(tblCategories[Joint Split A],MATCH($K399,tblCategories[Category],0)),DefaultSplitA))))</f>
        <v/>
      </c>
      <c r="Q399" s="19">
        <f>IF($C399="","",ROUND($J399*N($P399),2))</f>
        <v/>
      </c>
      <c r="R399" s="19">
        <f>IF($C399="","",ROUND($J399-N($Q399),2))</f>
        <v/>
      </c>
      <c r="X399">
        <f>IF($C399="","",IFERROR(IF(_xlfn.ISFORMULA($K399),"Rule","Manual"),""))</f>
        <v/>
      </c>
      <c r="Y399" s="19">
        <f>IF($C399="","",IF(ReportView=PersonA,N($Q399),IF(ReportView=PersonB,N($R399),$J399)))</f>
        <v/>
      </c>
    </row>
    <row r="400">
      <c r="B400">
        <f>IF($C400="","","T"&amp;TEXT(ROW()-ROW(tblTxn[[#Headers],[Txn ID]]),"000000"))</f>
        <v/>
      </c>
      <c r="C400" s="18" t="n"/>
      <c r="D400">
        <f>IF($C400="","",TEXT($C400,"yyyy-mm"))</f>
        <v/>
      </c>
      <c r="F400">
        <f>IF($C400="","",IFERROR(INDEX(tblAccounts[Owner],MATCH($E400,tblAccounts[Account],0)),"Joint"))</f>
        <v/>
      </c>
      <c r="G400">
        <f>IF($C400="","",IF(HouseholdMode="Couple",IFERROR(IF(INDEX(tblCategories[Default Owner],MATCH($K400,tblCategories[Category],0))="",$F400,INDEX(tblCategories[Default Owner],MATCH($K400,tblCategories[Category],0))),$F400),$F400))</f>
        <v/>
      </c>
      <c r="I400">
        <f>IF($H400="","",$H400)</f>
        <v/>
      </c>
      <c r="J400" s="19" t="n"/>
      <c r="K400">
        <f>IF($H400="","",IFERROR(INDEX(tblRules[Category],SUMPRODUCT(MIN((1-((tblRules[Enabled]&lt;&gt;"No")*(tblRules[Pattern]&lt;&gt;"")*(tblRules[Category]&lt;&gt;"")*((tblRules[Flow]="Any")+(tblRules[Flow]="")+((tblRules[Flow]="Money out")*($J400&lt;0))+((tblRules[Flow]="Money in")*($J400&gt;0)))*(((tblRules[Look In]="Account")*ISNUMBER(SEARCH(tblRules[Pattern],$E400)))+((tblRules[Look In]&lt;&gt;"Account")*(((tblRules[Test]="Word")*ISNUMBER(SEARCH(" "&amp;tblRules[Pattern]&amp;" "," "&amp;$H400&amp;" ")))+((tblRules[Test]&lt;&gt;"Word")*ISNUMBER(SEARCH(tblRules[Pattern],$H400))))))&gt;0))*1E+9+ROW(tblRules[Pattern])))-ROW(tblRules[[#Headers],[Pattern]])),"Uncategorized"))</f>
        <v/>
      </c>
      <c r="L400">
        <f>IF($C400="","",IFERROR(INDEX(tblCategories[Group],MATCH($K400,tblCategories[Category],0)),"Other"))</f>
        <v/>
      </c>
      <c r="M400">
        <f>IF($C400="","",IFERROR(INDEX(tblCategories[Type],MATCH($K400,tblCategories[Category],0)),IF($J400&gt;0,"Income","Expense")))</f>
        <v/>
      </c>
      <c r="N400">
        <f>IF($C400="","",IFERROR(INDEX(tblCategories[Essential],MATCH($K400,tblCategories[Category],0)),"No"))</f>
        <v/>
      </c>
      <c r="O400">
        <f>IF($C400="","",IFERROR(INDEX(tblCategories[Tax Tag],MATCH($K400,tblCategories[Category],0)),""))</f>
        <v/>
      </c>
      <c r="P400" s="20">
        <f>IF($C400="","",IF($G400=PersonA,1,IF($G400=PersonB,0,IFERROR(INDEX(tblCategories[Joint Split A],MATCH($K400,tblCategories[Category],0)),DefaultSplitA))))</f>
        <v/>
      </c>
      <c r="Q400" s="19">
        <f>IF($C400="","",ROUND($J400*N($P400),2))</f>
        <v/>
      </c>
      <c r="R400" s="19">
        <f>IF($C400="","",ROUND($J400-N($Q400),2))</f>
        <v/>
      </c>
      <c r="X400">
        <f>IF($C400="","",IFERROR(IF(_xlfn.ISFORMULA($K400),"Rule","Manual"),""))</f>
        <v/>
      </c>
      <c r="Y400" s="19">
        <f>IF($C400="","",IF(ReportView=PersonA,N($Q400),IF(ReportView=PersonB,N($R400),$J400)))</f>
        <v/>
      </c>
    </row>
    <row r="401">
      <c r="B401">
        <f>IF($C401="","","T"&amp;TEXT(ROW()-ROW(tblTxn[[#Headers],[Txn ID]]),"000000"))</f>
        <v/>
      </c>
      <c r="C401" s="18" t="n"/>
      <c r="D401">
        <f>IF($C401="","",TEXT($C401,"yyyy-mm"))</f>
        <v/>
      </c>
      <c r="F401">
        <f>IF($C401="","",IFERROR(INDEX(tblAccounts[Owner],MATCH($E401,tblAccounts[Account],0)),"Joint"))</f>
        <v/>
      </c>
      <c r="G401">
        <f>IF($C401="","",IF(HouseholdMode="Couple",IFERROR(IF(INDEX(tblCategories[Default Owner],MATCH($K401,tblCategories[Category],0))="",$F401,INDEX(tblCategories[Default Owner],MATCH($K401,tblCategories[Category],0))),$F401),$F401))</f>
        <v/>
      </c>
      <c r="I401">
        <f>IF($H401="","",$H401)</f>
        <v/>
      </c>
      <c r="J401" s="19" t="n"/>
      <c r="K401">
        <f>IF($H401="","",IFERROR(INDEX(tblRules[Category],SUMPRODUCT(MIN((1-((tblRules[Enabled]&lt;&gt;"No")*(tblRules[Pattern]&lt;&gt;"")*(tblRules[Category]&lt;&gt;"")*((tblRules[Flow]="Any")+(tblRules[Flow]="")+((tblRules[Flow]="Money out")*($J401&lt;0))+((tblRules[Flow]="Money in")*($J401&gt;0)))*(((tblRules[Look In]="Account")*ISNUMBER(SEARCH(tblRules[Pattern],$E401)))+((tblRules[Look In]&lt;&gt;"Account")*(((tblRules[Test]="Word")*ISNUMBER(SEARCH(" "&amp;tblRules[Pattern]&amp;" "," "&amp;$H401&amp;" ")))+((tblRules[Test]&lt;&gt;"Word")*ISNUMBER(SEARCH(tblRules[Pattern],$H401))))))&gt;0))*1E+9+ROW(tblRules[Pattern])))-ROW(tblRules[[#Headers],[Pattern]])),"Uncategorized"))</f>
        <v/>
      </c>
      <c r="L401">
        <f>IF($C401="","",IFERROR(INDEX(tblCategories[Group],MATCH($K401,tblCategories[Category],0)),"Other"))</f>
        <v/>
      </c>
      <c r="M401">
        <f>IF($C401="","",IFERROR(INDEX(tblCategories[Type],MATCH($K401,tblCategories[Category],0)),IF($J401&gt;0,"Income","Expense")))</f>
        <v/>
      </c>
      <c r="N401">
        <f>IF($C401="","",IFERROR(INDEX(tblCategories[Essential],MATCH($K401,tblCategories[Category],0)),"No"))</f>
        <v/>
      </c>
      <c r="O401">
        <f>IF($C401="","",IFERROR(INDEX(tblCategories[Tax Tag],MATCH($K401,tblCategories[Category],0)),""))</f>
        <v/>
      </c>
      <c r="P401" s="20">
        <f>IF($C401="","",IF($G401=PersonA,1,IF($G401=PersonB,0,IFERROR(INDEX(tblCategories[Joint Split A],MATCH($K401,tblCategories[Category],0)),DefaultSplitA))))</f>
        <v/>
      </c>
      <c r="Q401" s="19">
        <f>IF($C401="","",ROUND($J401*N($P401),2))</f>
        <v/>
      </c>
      <c r="R401" s="19">
        <f>IF($C401="","",ROUND($J401-N($Q401),2))</f>
        <v/>
      </c>
      <c r="X401">
        <f>IF($C401="","",IFERROR(IF(_xlfn.ISFORMULA($K401),"Rule","Manual"),""))</f>
        <v/>
      </c>
      <c r="Y401" s="19">
        <f>IF($C401="","",IF(ReportView=PersonA,N($Q401),IF(ReportView=PersonB,N($R401),$J401)))</f>
        <v/>
      </c>
    </row>
    <row r="402">
      <c r="B402">
        <f>IF($C402="","","T"&amp;TEXT(ROW()-ROW(tblTxn[[#Headers],[Txn ID]]),"000000"))</f>
        <v/>
      </c>
      <c r="C402" s="18" t="n"/>
      <c r="D402">
        <f>IF($C402="","",TEXT($C402,"yyyy-mm"))</f>
        <v/>
      </c>
      <c r="F402">
        <f>IF($C402="","",IFERROR(INDEX(tblAccounts[Owner],MATCH($E402,tblAccounts[Account],0)),"Joint"))</f>
        <v/>
      </c>
      <c r="G402">
        <f>IF($C402="","",IF(HouseholdMode="Couple",IFERROR(IF(INDEX(tblCategories[Default Owner],MATCH($K402,tblCategories[Category],0))="",$F402,INDEX(tblCategories[Default Owner],MATCH($K402,tblCategories[Category],0))),$F402),$F402))</f>
        <v/>
      </c>
      <c r="I402">
        <f>IF($H402="","",$H402)</f>
        <v/>
      </c>
      <c r="J402" s="19" t="n"/>
      <c r="K402">
        <f>IF($H402="","",IFERROR(INDEX(tblRules[Category],SUMPRODUCT(MIN((1-((tblRules[Enabled]&lt;&gt;"No")*(tblRules[Pattern]&lt;&gt;"")*(tblRules[Category]&lt;&gt;"")*((tblRules[Flow]="Any")+(tblRules[Flow]="")+((tblRules[Flow]="Money out")*($J402&lt;0))+((tblRules[Flow]="Money in")*($J402&gt;0)))*(((tblRules[Look In]="Account")*ISNUMBER(SEARCH(tblRules[Pattern],$E402)))+((tblRules[Look In]&lt;&gt;"Account")*(((tblRules[Test]="Word")*ISNUMBER(SEARCH(" "&amp;tblRules[Pattern]&amp;" "," "&amp;$H402&amp;" ")))+((tblRules[Test]&lt;&gt;"Word")*ISNUMBER(SEARCH(tblRules[Pattern],$H402))))))&gt;0))*1E+9+ROW(tblRules[Pattern])))-ROW(tblRules[[#Headers],[Pattern]])),"Uncategorized"))</f>
        <v/>
      </c>
      <c r="L402">
        <f>IF($C402="","",IFERROR(INDEX(tblCategories[Group],MATCH($K402,tblCategories[Category],0)),"Other"))</f>
        <v/>
      </c>
      <c r="M402">
        <f>IF($C402="","",IFERROR(INDEX(tblCategories[Type],MATCH($K402,tblCategories[Category],0)),IF($J402&gt;0,"Income","Expense")))</f>
        <v/>
      </c>
      <c r="N402">
        <f>IF($C402="","",IFERROR(INDEX(tblCategories[Essential],MATCH($K402,tblCategories[Category],0)),"No"))</f>
        <v/>
      </c>
      <c r="O402">
        <f>IF($C402="","",IFERROR(INDEX(tblCategories[Tax Tag],MATCH($K402,tblCategories[Category],0)),""))</f>
        <v/>
      </c>
      <c r="P402" s="20">
        <f>IF($C402="","",IF($G402=PersonA,1,IF($G402=PersonB,0,IFERROR(INDEX(tblCategories[Joint Split A],MATCH($K402,tblCategories[Category],0)),DefaultSplitA))))</f>
        <v/>
      </c>
      <c r="Q402" s="19">
        <f>IF($C402="","",ROUND($J402*N($P402),2))</f>
        <v/>
      </c>
      <c r="R402" s="19">
        <f>IF($C402="","",ROUND($J402-N($Q402),2))</f>
        <v/>
      </c>
      <c r="X402">
        <f>IF($C402="","",IFERROR(IF(_xlfn.ISFORMULA($K402),"Rule","Manual"),""))</f>
        <v/>
      </c>
      <c r="Y402" s="19">
        <f>IF($C402="","",IF(ReportView=PersonA,N($Q402),IF(ReportView=PersonB,N($R402),$J402)))</f>
        <v/>
      </c>
    </row>
    <row r="403">
      <c r="B403">
        <f>IF($C403="","","T"&amp;TEXT(ROW()-ROW(tblTxn[[#Headers],[Txn ID]]),"000000"))</f>
        <v/>
      </c>
      <c r="C403" s="18" t="n"/>
      <c r="D403">
        <f>IF($C403="","",TEXT($C403,"yyyy-mm"))</f>
        <v/>
      </c>
      <c r="F403">
        <f>IF($C403="","",IFERROR(INDEX(tblAccounts[Owner],MATCH($E403,tblAccounts[Account],0)),"Joint"))</f>
        <v/>
      </c>
      <c r="G403">
        <f>IF($C403="","",IF(HouseholdMode="Couple",IFERROR(IF(INDEX(tblCategories[Default Owner],MATCH($K403,tblCategories[Category],0))="",$F403,INDEX(tblCategories[Default Owner],MATCH($K403,tblCategories[Category],0))),$F403),$F403))</f>
        <v/>
      </c>
      <c r="I403">
        <f>IF($H403="","",$H403)</f>
        <v/>
      </c>
      <c r="J403" s="19" t="n"/>
      <c r="K403">
        <f>IF($H403="","",IFERROR(INDEX(tblRules[Category],SUMPRODUCT(MIN((1-((tblRules[Enabled]&lt;&gt;"No")*(tblRules[Pattern]&lt;&gt;"")*(tblRules[Category]&lt;&gt;"")*((tblRules[Flow]="Any")+(tblRules[Flow]="")+((tblRules[Flow]="Money out")*($J403&lt;0))+((tblRules[Flow]="Money in")*($J403&gt;0)))*(((tblRules[Look In]="Account")*ISNUMBER(SEARCH(tblRules[Pattern],$E403)))+((tblRules[Look In]&lt;&gt;"Account")*(((tblRules[Test]="Word")*ISNUMBER(SEARCH(" "&amp;tblRules[Pattern]&amp;" "," "&amp;$H403&amp;" ")))+((tblRules[Test]&lt;&gt;"Word")*ISNUMBER(SEARCH(tblRules[Pattern],$H403))))))&gt;0))*1E+9+ROW(tblRules[Pattern])))-ROW(tblRules[[#Headers],[Pattern]])),"Uncategorized"))</f>
        <v/>
      </c>
      <c r="L403">
        <f>IF($C403="","",IFERROR(INDEX(tblCategories[Group],MATCH($K403,tblCategories[Category],0)),"Other"))</f>
        <v/>
      </c>
      <c r="M403">
        <f>IF($C403="","",IFERROR(INDEX(tblCategories[Type],MATCH($K403,tblCategories[Category],0)),IF($J403&gt;0,"Income","Expense")))</f>
        <v/>
      </c>
      <c r="N403">
        <f>IF($C403="","",IFERROR(INDEX(tblCategories[Essential],MATCH($K403,tblCategories[Category],0)),"No"))</f>
        <v/>
      </c>
      <c r="O403">
        <f>IF($C403="","",IFERROR(INDEX(tblCategories[Tax Tag],MATCH($K403,tblCategories[Category],0)),""))</f>
        <v/>
      </c>
      <c r="P403" s="20">
        <f>IF($C403="","",IF($G403=PersonA,1,IF($G403=PersonB,0,IFERROR(INDEX(tblCategories[Joint Split A],MATCH($K403,tblCategories[Category],0)),DefaultSplitA))))</f>
        <v/>
      </c>
      <c r="Q403" s="19">
        <f>IF($C403="","",ROUND($J403*N($P403),2))</f>
        <v/>
      </c>
      <c r="R403" s="19">
        <f>IF($C403="","",ROUND($J403-N($Q403),2))</f>
        <v/>
      </c>
      <c r="X403">
        <f>IF($C403="","",IFERROR(IF(_xlfn.ISFORMULA($K403),"Rule","Manual"),""))</f>
        <v/>
      </c>
      <c r="Y403" s="19">
        <f>IF($C403="","",IF(ReportView=PersonA,N($Q403),IF(ReportView=PersonB,N($R403),$J403)))</f>
        <v/>
      </c>
    </row>
    <row r="404">
      <c r="B404">
        <f>IF($C404="","","T"&amp;TEXT(ROW()-ROW(tblTxn[[#Headers],[Txn ID]]),"000000"))</f>
        <v/>
      </c>
      <c r="C404" s="18" t="n"/>
      <c r="D404">
        <f>IF($C404="","",TEXT($C404,"yyyy-mm"))</f>
        <v/>
      </c>
      <c r="F404">
        <f>IF($C404="","",IFERROR(INDEX(tblAccounts[Owner],MATCH($E404,tblAccounts[Account],0)),"Joint"))</f>
        <v/>
      </c>
      <c r="G404">
        <f>IF($C404="","",IF(HouseholdMode="Couple",IFERROR(IF(INDEX(tblCategories[Default Owner],MATCH($K404,tblCategories[Category],0))="",$F404,INDEX(tblCategories[Default Owner],MATCH($K404,tblCategories[Category],0))),$F404),$F404))</f>
        <v/>
      </c>
      <c r="I404">
        <f>IF($H404="","",$H404)</f>
        <v/>
      </c>
      <c r="J404" s="19" t="n"/>
      <c r="K404">
        <f>IF($H404="","",IFERROR(INDEX(tblRules[Category],SUMPRODUCT(MIN((1-((tblRules[Enabled]&lt;&gt;"No")*(tblRules[Pattern]&lt;&gt;"")*(tblRules[Category]&lt;&gt;"")*((tblRules[Flow]="Any")+(tblRules[Flow]="")+((tblRules[Flow]="Money out")*($J404&lt;0))+((tblRules[Flow]="Money in")*($J404&gt;0)))*(((tblRules[Look In]="Account")*ISNUMBER(SEARCH(tblRules[Pattern],$E404)))+((tblRules[Look In]&lt;&gt;"Account")*(((tblRules[Test]="Word")*ISNUMBER(SEARCH(" "&amp;tblRules[Pattern]&amp;" "," "&amp;$H404&amp;" ")))+((tblRules[Test]&lt;&gt;"Word")*ISNUMBER(SEARCH(tblRules[Pattern],$H404))))))&gt;0))*1E+9+ROW(tblRules[Pattern])))-ROW(tblRules[[#Headers],[Pattern]])),"Uncategorized"))</f>
        <v/>
      </c>
      <c r="L404">
        <f>IF($C404="","",IFERROR(INDEX(tblCategories[Group],MATCH($K404,tblCategories[Category],0)),"Other"))</f>
        <v/>
      </c>
      <c r="M404">
        <f>IF($C404="","",IFERROR(INDEX(tblCategories[Type],MATCH($K404,tblCategories[Category],0)),IF($J404&gt;0,"Income","Expense")))</f>
        <v/>
      </c>
      <c r="N404">
        <f>IF($C404="","",IFERROR(INDEX(tblCategories[Essential],MATCH($K404,tblCategories[Category],0)),"No"))</f>
        <v/>
      </c>
      <c r="O404">
        <f>IF($C404="","",IFERROR(INDEX(tblCategories[Tax Tag],MATCH($K404,tblCategories[Category],0)),""))</f>
        <v/>
      </c>
      <c r="P404" s="20">
        <f>IF($C404="","",IF($G404=PersonA,1,IF($G404=PersonB,0,IFERROR(INDEX(tblCategories[Joint Split A],MATCH($K404,tblCategories[Category],0)),DefaultSplitA))))</f>
        <v/>
      </c>
      <c r="Q404" s="19">
        <f>IF($C404="","",ROUND($J404*N($P404),2))</f>
        <v/>
      </c>
      <c r="R404" s="19">
        <f>IF($C404="","",ROUND($J404-N($Q404),2))</f>
        <v/>
      </c>
      <c r="X404">
        <f>IF($C404="","",IFERROR(IF(_xlfn.ISFORMULA($K404),"Rule","Manual"),""))</f>
        <v/>
      </c>
      <c r="Y404" s="19">
        <f>IF($C404="","",IF(ReportView=PersonA,N($Q404),IF(ReportView=PersonB,N($R404),$J404)))</f>
        <v/>
      </c>
    </row>
    <row r="405">
      <c r="B405">
        <f>IF($C405="","","T"&amp;TEXT(ROW()-ROW(tblTxn[[#Headers],[Txn ID]]),"000000"))</f>
        <v/>
      </c>
      <c r="C405" s="18" t="n"/>
      <c r="D405">
        <f>IF($C405="","",TEXT($C405,"yyyy-mm"))</f>
        <v/>
      </c>
      <c r="F405">
        <f>IF($C405="","",IFERROR(INDEX(tblAccounts[Owner],MATCH($E405,tblAccounts[Account],0)),"Joint"))</f>
        <v/>
      </c>
      <c r="G405">
        <f>IF($C405="","",IF(HouseholdMode="Couple",IFERROR(IF(INDEX(tblCategories[Default Owner],MATCH($K405,tblCategories[Category],0))="",$F405,INDEX(tblCategories[Default Owner],MATCH($K405,tblCategories[Category],0))),$F405),$F405))</f>
        <v/>
      </c>
      <c r="I405">
        <f>IF($H405="","",$H405)</f>
        <v/>
      </c>
      <c r="J405" s="19" t="n"/>
      <c r="K405">
        <f>IF($H405="","",IFERROR(INDEX(tblRules[Category],SUMPRODUCT(MIN((1-((tblRules[Enabled]&lt;&gt;"No")*(tblRules[Pattern]&lt;&gt;"")*(tblRules[Category]&lt;&gt;"")*((tblRules[Flow]="Any")+(tblRules[Flow]="")+((tblRules[Flow]="Money out")*($J405&lt;0))+((tblRules[Flow]="Money in")*($J405&gt;0)))*(((tblRules[Look In]="Account")*ISNUMBER(SEARCH(tblRules[Pattern],$E405)))+((tblRules[Look In]&lt;&gt;"Account")*(((tblRules[Test]="Word")*ISNUMBER(SEARCH(" "&amp;tblRules[Pattern]&amp;" "," "&amp;$H405&amp;" ")))+((tblRules[Test]&lt;&gt;"Word")*ISNUMBER(SEARCH(tblRules[Pattern],$H405))))))&gt;0))*1E+9+ROW(tblRules[Pattern])))-ROW(tblRules[[#Headers],[Pattern]])),"Uncategorized"))</f>
        <v/>
      </c>
      <c r="L405">
        <f>IF($C405="","",IFERROR(INDEX(tblCategories[Group],MATCH($K405,tblCategories[Category],0)),"Other"))</f>
        <v/>
      </c>
      <c r="M405">
        <f>IF($C405="","",IFERROR(INDEX(tblCategories[Type],MATCH($K405,tblCategories[Category],0)),IF($J405&gt;0,"Income","Expense")))</f>
        <v/>
      </c>
      <c r="N405">
        <f>IF($C405="","",IFERROR(INDEX(tblCategories[Essential],MATCH($K405,tblCategories[Category],0)),"No"))</f>
        <v/>
      </c>
      <c r="O405">
        <f>IF($C405="","",IFERROR(INDEX(tblCategories[Tax Tag],MATCH($K405,tblCategories[Category],0)),""))</f>
        <v/>
      </c>
      <c r="P405" s="20">
        <f>IF($C405="","",IF($G405=PersonA,1,IF($G405=PersonB,0,IFERROR(INDEX(tblCategories[Joint Split A],MATCH($K405,tblCategories[Category],0)),DefaultSplitA))))</f>
        <v/>
      </c>
      <c r="Q405" s="19">
        <f>IF($C405="","",ROUND($J405*N($P405),2))</f>
        <v/>
      </c>
      <c r="R405" s="19">
        <f>IF($C405="","",ROUND($J405-N($Q405),2))</f>
        <v/>
      </c>
      <c r="X405">
        <f>IF($C405="","",IFERROR(IF(_xlfn.ISFORMULA($K405),"Rule","Manual"),""))</f>
        <v/>
      </c>
      <c r="Y405" s="19">
        <f>IF($C405="","",IF(ReportView=PersonA,N($Q405),IF(ReportView=PersonB,N($R405),$J405)))</f>
        <v/>
      </c>
    </row>
    <row r="406">
      <c r="B406">
        <f>IF($C406="","","T"&amp;TEXT(ROW()-ROW(tblTxn[[#Headers],[Txn ID]]),"000000"))</f>
        <v/>
      </c>
      <c r="C406" s="18" t="n"/>
      <c r="D406">
        <f>IF($C406="","",TEXT($C406,"yyyy-mm"))</f>
        <v/>
      </c>
      <c r="F406">
        <f>IF($C406="","",IFERROR(INDEX(tblAccounts[Owner],MATCH($E406,tblAccounts[Account],0)),"Joint"))</f>
        <v/>
      </c>
      <c r="G406">
        <f>IF($C406="","",IF(HouseholdMode="Couple",IFERROR(IF(INDEX(tblCategories[Default Owner],MATCH($K406,tblCategories[Category],0))="",$F406,INDEX(tblCategories[Default Owner],MATCH($K406,tblCategories[Category],0))),$F406),$F406))</f>
        <v/>
      </c>
      <c r="I406">
        <f>IF($H406="","",$H406)</f>
        <v/>
      </c>
      <c r="J406" s="19" t="n"/>
      <c r="K406">
        <f>IF($H406="","",IFERROR(INDEX(tblRules[Category],SUMPRODUCT(MIN((1-((tblRules[Enabled]&lt;&gt;"No")*(tblRules[Pattern]&lt;&gt;"")*(tblRules[Category]&lt;&gt;"")*((tblRules[Flow]="Any")+(tblRules[Flow]="")+((tblRules[Flow]="Money out")*($J406&lt;0))+((tblRules[Flow]="Money in")*($J406&gt;0)))*(((tblRules[Look In]="Account")*ISNUMBER(SEARCH(tblRules[Pattern],$E406)))+((tblRules[Look In]&lt;&gt;"Account")*(((tblRules[Test]="Word")*ISNUMBER(SEARCH(" "&amp;tblRules[Pattern]&amp;" "," "&amp;$H406&amp;" ")))+((tblRules[Test]&lt;&gt;"Word")*ISNUMBER(SEARCH(tblRules[Pattern],$H406))))))&gt;0))*1E+9+ROW(tblRules[Pattern])))-ROW(tblRules[[#Headers],[Pattern]])),"Uncategorized"))</f>
        <v/>
      </c>
      <c r="L406">
        <f>IF($C406="","",IFERROR(INDEX(tblCategories[Group],MATCH($K406,tblCategories[Category],0)),"Other"))</f>
        <v/>
      </c>
      <c r="M406">
        <f>IF($C406="","",IFERROR(INDEX(tblCategories[Type],MATCH($K406,tblCategories[Category],0)),IF($J406&gt;0,"Income","Expense")))</f>
        <v/>
      </c>
      <c r="N406">
        <f>IF($C406="","",IFERROR(INDEX(tblCategories[Essential],MATCH($K406,tblCategories[Category],0)),"No"))</f>
        <v/>
      </c>
      <c r="O406">
        <f>IF($C406="","",IFERROR(INDEX(tblCategories[Tax Tag],MATCH($K406,tblCategories[Category],0)),""))</f>
        <v/>
      </c>
      <c r="P406" s="20">
        <f>IF($C406="","",IF($G406=PersonA,1,IF($G406=PersonB,0,IFERROR(INDEX(tblCategories[Joint Split A],MATCH($K406,tblCategories[Category],0)),DefaultSplitA))))</f>
        <v/>
      </c>
      <c r="Q406" s="19">
        <f>IF($C406="","",ROUND($J406*N($P406),2))</f>
        <v/>
      </c>
      <c r="R406" s="19">
        <f>IF($C406="","",ROUND($J406-N($Q406),2))</f>
        <v/>
      </c>
      <c r="X406">
        <f>IF($C406="","",IFERROR(IF(_xlfn.ISFORMULA($K406),"Rule","Manual"),""))</f>
        <v/>
      </c>
      <c r="Y406" s="19">
        <f>IF($C406="","",IF(ReportView=PersonA,N($Q406),IF(ReportView=PersonB,N($R406),$J406)))</f>
        <v/>
      </c>
    </row>
    <row r="407">
      <c r="B407">
        <f>IF($C407="","","T"&amp;TEXT(ROW()-ROW(tblTxn[[#Headers],[Txn ID]]),"000000"))</f>
        <v/>
      </c>
      <c r="C407" s="18" t="n"/>
      <c r="D407">
        <f>IF($C407="","",TEXT($C407,"yyyy-mm"))</f>
        <v/>
      </c>
      <c r="F407">
        <f>IF($C407="","",IFERROR(INDEX(tblAccounts[Owner],MATCH($E407,tblAccounts[Account],0)),"Joint"))</f>
        <v/>
      </c>
      <c r="G407">
        <f>IF($C407="","",IF(HouseholdMode="Couple",IFERROR(IF(INDEX(tblCategories[Default Owner],MATCH($K407,tblCategories[Category],0))="",$F407,INDEX(tblCategories[Default Owner],MATCH($K407,tblCategories[Category],0))),$F407),$F407))</f>
        <v/>
      </c>
      <c r="I407">
        <f>IF($H407="","",$H407)</f>
        <v/>
      </c>
      <c r="J407" s="19" t="n"/>
      <c r="K407">
        <f>IF($H407="","",IFERROR(INDEX(tblRules[Category],SUMPRODUCT(MIN((1-((tblRules[Enabled]&lt;&gt;"No")*(tblRules[Pattern]&lt;&gt;"")*(tblRules[Category]&lt;&gt;"")*((tblRules[Flow]="Any")+(tblRules[Flow]="")+((tblRules[Flow]="Money out")*($J407&lt;0))+((tblRules[Flow]="Money in")*($J407&gt;0)))*(((tblRules[Look In]="Account")*ISNUMBER(SEARCH(tblRules[Pattern],$E407)))+((tblRules[Look In]&lt;&gt;"Account")*(((tblRules[Test]="Word")*ISNUMBER(SEARCH(" "&amp;tblRules[Pattern]&amp;" "," "&amp;$H407&amp;" ")))+((tblRules[Test]&lt;&gt;"Word")*ISNUMBER(SEARCH(tblRules[Pattern],$H407))))))&gt;0))*1E+9+ROW(tblRules[Pattern])))-ROW(tblRules[[#Headers],[Pattern]])),"Uncategorized"))</f>
        <v/>
      </c>
      <c r="L407">
        <f>IF($C407="","",IFERROR(INDEX(tblCategories[Group],MATCH($K407,tblCategories[Category],0)),"Other"))</f>
        <v/>
      </c>
      <c r="M407">
        <f>IF($C407="","",IFERROR(INDEX(tblCategories[Type],MATCH($K407,tblCategories[Category],0)),IF($J407&gt;0,"Income","Expense")))</f>
        <v/>
      </c>
      <c r="N407">
        <f>IF($C407="","",IFERROR(INDEX(tblCategories[Essential],MATCH($K407,tblCategories[Category],0)),"No"))</f>
        <v/>
      </c>
      <c r="O407">
        <f>IF($C407="","",IFERROR(INDEX(tblCategories[Tax Tag],MATCH($K407,tblCategories[Category],0)),""))</f>
        <v/>
      </c>
      <c r="P407" s="20">
        <f>IF($C407="","",IF($G407=PersonA,1,IF($G407=PersonB,0,IFERROR(INDEX(tblCategories[Joint Split A],MATCH($K407,tblCategories[Category],0)),DefaultSplitA))))</f>
        <v/>
      </c>
      <c r="Q407" s="19">
        <f>IF($C407="","",ROUND($J407*N($P407),2))</f>
        <v/>
      </c>
      <c r="R407" s="19">
        <f>IF($C407="","",ROUND($J407-N($Q407),2))</f>
        <v/>
      </c>
      <c r="X407">
        <f>IF($C407="","",IFERROR(IF(_xlfn.ISFORMULA($K407),"Rule","Manual"),""))</f>
        <v/>
      </c>
      <c r="Y407" s="19">
        <f>IF($C407="","",IF(ReportView=PersonA,N($Q407),IF(ReportView=PersonB,N($R407),$J407)))</f>
        <v/>
      </c>
    </row>
    <row r="408">
      <c r="B408">
        <f>IF($C408="","","T"&amp;TEXT(ROW()-ROW(tblTxn[[#Headers],[Txn ID]]),"000000"))</f>
        <v/>
      </c>
      <c r="C408" s="18" t="n"/>
      <c r="D408">
        <f>IF($C408="","",TEXT($C408,"yyyy-mm"))</f>
        <v/>
      </c>
      <c r="F408">
        <f>IF($C408="","",IFERROR(INDEX(tblAccounts[Owner],MATCH($E408,tblAccounts[Account],0)),"Joint"))</f>
        <v/>
      </c>
      <c r="G408">
        <f>IF($C408="","",IF(HouseholdMode="Couple",IFERROR(IF(INDEX(tblCategories[Default Owner],MATCH($K408,tblCategories[Category],0))="",$F408,INDEX(tblCategories[Default Owner],MATCH($K408,tblCategories[Category],0))),$F408),$F408))</f>
        <v/>
      </c>
      <c r="I408">
        <f>IF($H408="","",$H408)</f>
        <v/>
      </c>
      <c r="J408" s="19" t="n"/>
      <c r="K408">
        <f>IF($H408="","",IFERROR(INDEX(tblRules[Category],SUMPRODUCT(MIN((1-((tblRules[Enabled]&lt;&gt;"No")*(tblRules[Pattern]&lt;&gt;"")*(tblRules[Category]&lt;&gt;"")*((tblRules[Flow]="Any")+(tblRules[Flow]="")+((tblRules[Flow]="Money out")*($J408&lt;0))+((tblRules[Flow]="Money in")*($J408&gt;0)))*(((tblRules[Look In]="Account")*ISNUMBER(SEARCH(tblRules[Pattern],$E408)))+((tblRules[Look In]&lt;&gt;"Account")*(((tblRules[Test]="Word")*ISNUMBER(SEARCH(" "&amp;tblRules[Pattern]&amp;" "," "&amp;$H408&amp;" ")))+((tblRules[Test]&lt;&gt;"Word")*ISNUMBER(SEARCH(tblRules[Pattern],$H408))))))&gt;0))*1E+9+ROW(tblRules[Pattern])))-ROW(tblRules[[#Headers],[Pattern]])),"Uncategorized"))</f>
        <v/>
      </c>
      <c r="L408">
        <f>IF($C408="","",IFERROR(INDEX(tblCategories[Group],MATCH($K408,tblCategories[Category],0)),"Other"))</f>
        <v/>
      </c>
      <c r="M408">
        <f>IF($C408="","",IFERROR(INDEX(tblCategories[Type],MATCH($K408,tblCategories[Category],0)),IF($J408&gt;0,"Income","Expense")))</f>
        <v/>
      </c>
      <c r="N408">
        <f>IF($C408="","",IFERROR(INDEX(tblCategories[Essential],MATCH($K408,tblCategories[Category],0)),"No"))</f>
        <v/>
      </c>
      <c r="O408">
        <f>IF($C408="","",IFERROR(INDEX(tblCategories[Tax Tag],MATCH($K408,tblCategories[Category],0)),""))</f>
        <v/>
      </c>
      <c r="P408" s="20">
        <f>IF($C408="","",IF($G408=PersonA,1,IF($G408=PersonB,0,IFERROR(INDEX(tblCategories[Joint Split A],MATCH($K408,tblCategories[Category],0)),DefaultSplitA))))</f>
        <v/>
      </c>
      <c r="Q408" s="19">
        <f>IF($C408="","",ROUND($J408*N($P408),2))</f>
        <v/>
      </c>
      <c r="R408" s="19">
        <f>IF($C408="","",ROUND($J408-N($Q408),2))</f>
        <v/>
      </c>
      <c r="X408">
        <f>IF($C408="","",IFERROR(IF(_xlfn.ISFORMULA($K408),"Rule","Manual"),""))</f>
        <v/>
      </c>
      <c r="Y408" s="19">
        <f>IF($C408="","",IF(ReportView=PersonA,N($Q408),IF(ReportView=PersonB,N($R408),$J408)))</f>
        <v/>
      </c>
    </row>
    <row r="409">
      <c r="B409">
        <f>IF($C409="","","T"&amp;TEXT(ROW()-ROW(tblTxn[[#Headers],[Txn ID]]),"000000"))</f>
        <v/>
      </c>
      <c r="C409" s="18" t="n"/>
      <c r="D409">
        <f>IF($C409="","",TEXT($C409,"yyyy-mm"))</f>
        <v/>
      </c>
      <c r="F409">
        <f>IF($C409="","",IFERROR(INDEX(tblAccounts[Owner],MATCH($E409,tblAccounts[Account],0)),"Joint"))</f>
        <v/>
      </c>
      <c r="G409">
        <f>IF($C409="","",IF(HouseholdMode="Couple",IFERROR(IF(INDEX(tblCategories[Default Owner],MATCH($K409,tblCategories[Category],0))="",$F409,INDEX(tblCategories[Default Owner],MATCH($K409,tblCategories[Category],0))),$F409),$F409))</f>
        <v/>
      </c>
      <c r="I409">
        <f>IF($H409="","",$H409)</f>
        <v/>
      </c>
      <c r="J409" s="19" t="n"/>
      <c r="K409">
        <f>IF($H409="","",IFERROR(INDEX(tblRules[Category],SUMPRODUCT(MIN((1-((tblRules[Enabled]&lt;&gt;"No")*(tblRules[Pattern]&lt;&gt;"")*(tblRules[Category]&lt;&gt;"")*((tblRules[Flow]="Any")+(tblRules[Flow]="")+((tblRules[Flow]="Money out")*($J409&lt;0))+((tblRules[Flow]="Money in")*($J409&gt;0)))*(((tblRules[Look In]="Account")*ISNUMBER(SEARCH(tblRules[Pattern],$E409)))+((tblRules[Look In]&lt;&gt;"Account")*(((tblRules[Test]="Word")*ISNUMBER(SEARCH(" "&amp;tblRules[Pattern]&amp;" "," "&amp;$H409&amp;" ")))+((tblRules[Test]&lt;&gt;"Word")*ISNUMBER(SEARCH(tblRules[Pattern],$H409))))))&gt;0))*1E+9+ROW(tblRules[Pattern])))-ROW(tblRules[[#Headers],[Pattern]])),"Uncategorized"))</f>
        <v/>
      </c>
      <c r="L409">
        <f>IF($C409="","",IFERROR(INDEX(tblCategories[Group],MATCH($K409,tblCategories[Category],0)),"Other"))</f>
        <v/>
      </c>
      <c r="M409">
        <f>IF($C409="","",IFERROR(INDEX(tblCategories[Type],MATCH($K409,tblCategories[Category],0)),IF($J409&gt;0,"Income","Expense")))</f>
        <v/>
      </c>
      <c r="N409">
        <f>IF($C409="","",IFERROR(INDEX(tblCategories[Essential],MATCH($K409,tblCategories[Category],0)),"No"))</f>
        <v/>
      </c>
      <c r="O409">
        <f>IF($C409="","",IFERROR(INDEX(tblCategories[Tax Tag],MATCH($K409,tblCategories[Category],0)),""))</f>
        <v/>
      </c>
      <c r="P409" s="20">
        <f>IF($C409="","",IF($G409=PersonA,1,IF($G409=PersonB,0,IFERROR(INDEX(tblCategories[Joint Split A],MATCH($K409,tblCategories[Category],0)),DefaultSplitA))))</f>
        <v/>
      </c>
      <c r="Q409" s="19">
        <f>IF($C409="","",ROUND($J409*N($P409),2))</f>
        <v/>
      </c>
      <c r="R409" s="19">
        <f>IF($C409="","",ROUND($J409-N($Q409),2))</f>
        <v/>
      </c>
      <c r="X409">
        <f>IF($C409="","",IFERROR(IF(_xlfn.ISFORMULA($K409),"Rule","Manual"),""))</f>
        <v/>
      </c>
      <c r="Y409" s="19">
        <f>IF($C409="","",IF(ReportView=PersonA,N($Q409),IF(ReportView=PersonB,N($R409),$J409)))</f>
        <v/>
      </c>
    </row>
    <row r="410">
      <c r="B410">
        <f>IF($C410="","","T"&amp;TEXT(ROW()-ROW(tblTxn[[#Headers],[Txn ID]]),"000000"))</f>
        <v/>
      </c>
      <c r="C410" s="18" t="n"/>
      <c r="D410">
        <f>IF($C410="","",TEXT($C410,"yyyy-mm"))</f>
        <v/>
      </c>
      <c r="F410">
        <f>IF($C410="","",IFERROR(INDEX(tblAccounts[Owner],MATCH($E410,tblAccounts[Account],0)),"Joint"))</f>
        <v/>
      </c>
      <c r="G410">
        <f>IF($C410="","",IF(HouseholdMode="Couple",IFERROR(IF(INDEX(tblCategories[Default Owner],MATCH($K410,tblCategories[Category],0))="",$F410,INDEX(tblCategories[Default Owner],MATCH($K410,tblCategories[Category],0))),$F410),$F410))</f>
        <v/>
      </c>
      <c r="I410">
        <f>IF($H410="","",$H410)</f>
        <v/>
      </c>
      <c r="J410" s="19" t="n"/>
      <c r="K410">
        <f>IF($H410="","",IFERROR(INDEX(tblRules[Category],SUMPRODUCT(MIN((1-((tblRules[Enabled]&lt;&gt;"No")*(tblRules[Pattern]&lt;&gt;"")*(tblRules[Category]&lt;&gt;"")*((tblRules[Flow]="Any")+(tblRules[Flow]="")+((tblRules[Flow]="Money out")*($J410&lt;0))+((tblRules[Flow]="Money in")*($J410&gt;0)))*(((tblRules[Look In]="Account")*ISNUMBER(SEARCH(tblRules[Pattern],$E410)))+((tblRules[Look In]&lt;&gt;"Account")*(((tblRules[Test]="Word")*ISNUMBER(SEARCH(" "&amp;tblRules[Pattern]&amp;" "," "&amp;$H410&amp;" ")))+((tblRules[Test]&lt;&gt;"Word")*ISNUMBER(SEARCH(tblRules[Pattern],$H410))))))&gt;0))*1E+9+ROW(tblRules[Pattern])))-ROW(tblRules[[#Headers],[Pattern]])),"Uncategorized"))</f>
        <v/>
      </c>
      <c r="L410">
        <f>IF($C410="","",IFERROR(INDEX(tblCategories[Group],MATCH($K410,tblCategories[Category],0)),"Other"))</f>
        <v/>
      </c>
      <c r="M410">
        <f>IF($C410="","",IFERROR(INDEX(tblCategories[Type],MATCH($K410,tblCategories[Category],0)),IF($J410&gt;0,"Income","Expense")))</f>
        <v/>
      </c>
      <c r="N410">
        <f>IF($C410="","",IFERROR(INDEX(tblCategories[Essential],MATCH($K410,tblCategories[Category],0)),"No"))</f>
        <v/>
      </c>
      <c r="O410">
        <f>IF($C410="","",IFERROR(INDEX(tblCategories[Tax Tag],MATCH($K410,tblCategories[Category],0)),""))</f>
        <v/>
      </c>
      <c r="P410" s="20">
        <f>IF($C410="","",IF($G410=PersonA,1,IF($G410=PersonB,0,IFERROR(INDEX(tblCategories[Joint Split A],MATCH($K410,tblCategories[Category],0)),DefaultSplitA))))</f>
        <v/>
      </c>
      <c r="Q410" s="19">
        <f>IF($C410="","",ROUND($J410*N($P410),2))</f>
        <v/>
      </c>
      <c r="R410" s="19">
        <f>IF($C410="","",ROUND($J410-N($Q410),2))</f>
        <v/>
      </c>
      <c r="X410">
        <f>IF($C410="","",IFERROR(IF(_xlfn.ISFORMULA($K410),"Rule","Manual"),""))</f>
        <v/>
      </c>
      <c r="Y410" s="19">
        <f>IF($C410="","",IF(ReportView=PersonA,N($Q410),IF(ReportView=PersonB,N($R410),$J410)))</f>
        <v/>
      </c>
    </row>
    <row r="411">
      <c r="B411">
        <f>IF($C411="","","T"&amp;TEXT(ROW()-ROW(tblTxn[[#Headers],[Txn ID]]),"000000"))</f>
        <v/>
      </c>
      <c r="C411" s="18" t="n"/>
      <c r="D411">
        <f>IF($C411="","",TEXT($C411,"yyyy-mm"))</f>
        <v/>
      </c>
      <c r="F411">
        <f>IF($C411="","",IFERROR(INDEX(tblAccounts[Owner],MATCH($E411,tblAccounts[Account],0)),"Joint"))</f>
        <v/>
      </c>
      <c r="G411">
        <f>IF($C411="","",IF(HouseholdMode="Couple",IFERROR(IF(INDEX(tblCategories[Default Owner],MATCH($K411,tblCategories[Category],0))="",$F411,INDEX(tblCategories[Default Owner],MATCH($K411,tblCategories[Category],0))),$F411),$F411))</f>
        <v/>
      </c>
      <c r="I411">
        <f>IF($H411="","",$H411)</f>
        <v/>
      </c>
      <c r="J411" s="19" t="n"/>
      <c r="K411">
        <f>IF($H411="","",IFERROR(INDEX(tblRules[Category],SUMPRODUCT(MIN((1-((tblRules[Enabled]&lt;&gt;"No")*(tblRules[Pattern]&lt;&gt;"")*(tblRules[Category]&lt;&gt;"")*((tblRules[Flow]="Any")+(tblRules[Flow]="")+((tblRules[Flow]="Money out")*($J411&lt;0))+((tblRules[Flow]="Money in")*($J411&gt;0)))*(((tblRules[Look In]="Account")*ISNUMBER(SEARCH(tblRules[Pattern],$E411)))+((tblRules[Look In]&lt;&gt;"Account")*(((tblRules[Test]="Word")*ISNUMBER(SEARCH(" "&amp;tblRules[Pattern]&amp;" "," "&amp;$H411&amp;" ")))+((tblRules[Test]&lt;&gt;"Word")*ISNUMBER(SEARCH(tblRules[Pattern],$H411))))))&gt;0))*1E+9+ROW(tblRules[Pattern])))-ROW(tblRules[[#Headers],[Pattern]])),"Uncategorized"))</f>
        <v/>
      </c>
      <c r="L411">
        <f>IF($C411="","",IFERROR(INDEX(tblCategories[Group],MATCH($K411,tblCategories[Category],0)),"Other"))</f>
        <v/>
      </c>
      <c r="M411">
        <f>IF($C411="","",IFERROR(INDEX(tblCategories[Type],MATCH($K411,tblCategories[Category],0)),IF($J411&gt;0,"Income","Expense")))</f>
        <v/>
      </c>
      <c r="N411">
        <f>IF($C411="","",IFERROR(INDEX(tblCategories[Essential],MATCH($K411,tblCategories[Category],0)),"No"))</f>
        <v/>
      </c>
      <c r="O411">
        <f>IF($C411="","",IFERROR(INDEX(tblCategories[Tax Tag],MATCH($K411,tblCategories[Category],0)),""))</f>
        <v/>
      </c>
      <c r="P411" s="20">
        <f>IF($C411="","",IF($G411=PersonA,1,IF($G411=PersonB,0,IFERROR(INDEX(tblCategories[Joint Split A],MATCH($K411,tblCategories[Category],0)),DefaultSplitA))))</f>
        <v/>
      </c>
      <c r="Q411" s="19">
        <f>IF($C411="","",ROUND($J411*N($P411),2))</f>
        <v/>
      </c>
      <c r="R411" s="19">
        <f>IF($C411="","",ROUND($J411-N($Q411),2))</f>
        <v/>
      </c>
      <c r="X411">
        <f>IF($C411="","",IFERROR(IF(_xlfn.ISFORMULA($K411),"Rule","Manual"),""))</f>
        <v/>
      </c>
      <c r="Y411" s="19">
        <f>IF($C411="","",IF(ReportView=PersonA,N($Q411),IF(ReportView=PersonB,N($R411),$J411)))</f>
        <v/>
      </c>
    </row>
    <row r="412">
      <c r="B412">
        <f>IF($C412="","","T"&amp;TEXT(ROW()-ROW(tblTxn[[#Headers],[Txn ID]]),"000000"))</f>
        <v/>
      </c>
      <c r="C412" s="18" t="n"/>
      <c r="D412">
        <f>IF($C412="","",TEXT($C412,"yyyy-mm"))</f>
        <v/>
      </c>
      <c r="F412">
        <f>IF($C412="","",IFERROR(INDEX(tblAccounts[Owner],MATCH($E412,tblAccounts[Account],0)),"Joint"))</f>
        <v/>
      </c>
      <c r="G412">
        <f>IF($C412="","",IF(HouseholdMode="Couple",IFERROR(IF(INDEX(tblCategories[Default Owner],MATCH($K412,tblCategories[Category],0))="",$F412,INDEX(tblCategories[Default Owner],MATCH($K412,tblCategories[Category],0))),$F412),$F412))</f>
        <v/>
      </c>
      <c r="I412">
        <f>IF($H412="","",$H412)</f>
        <v/>
      </c>
      <c r="J412" s="19" t="n"/>
      <c r="K412">
        <f>IF($H412="","",IFERROR(INDEX(tblRules[Category],SUMPRODUCT(MIN((1-((tblRules[Enabled]&lt;&gt;"No")*(tblRules[Pattern]&lt;&gt;"")*(tblRules[Category]&lt;&gt;"")*((tblRules[Flow]="Any")+(tblRules[Flow]="")+((tblRules[Flow]="Money out")*($J412&lt;0))+((tblRules[Flow]="Money in")*($J412&gt;0)))*(((tblRules[Look In]="Account")*ISNUMBER(SEARCH(tblRules[Pattern],$E412)))+((tblRules[Look In]&lt;&gt;"Account")*(((tblRules[Test]="Word")*ISNUMBER(SEARCH(" "&amp;tblRules[Pattern]&amp;" "," "&amp;$H412&amp;" ")))+((tblRules[Test]&lt;&gt;"Word")*ISNUMBER(SEARCH(tblRules[Pattern],$H412))))))&gt;0))*1E+9+ROW(tblRules[Pattern])))-ROW(tblRules[[#Headers],[Pattern]])),"Uncategorized"))</f>
        <v/>
      </c>
      <c r="L412">
        <f>IF($C412="","",IFERROR(INDEX(tblCategories[Group],MATCH($K412,tblCategories[Category],0)),"Other"))</f>
        <v/>
      </c>
      <c r="M412">
        <f>IF($C412="","",IFERROR(INDEX(tblCategories[Type],MATCH($K412,tblCategories[Category],0)),IF($J412&gt;0,"Income","Expense")))</f>
        <v/>
      </c>
      <c r="N412">
        <f>IF($C412="","",IFERROR(INDEX(tblCategories[Essential],MATCH($K412,tblCategories[Category],0)),"No"))</f>
        <v/>
      </c>
      <c r="O412">
        <f>IF($C412="","",IFERROR(INDEX(tblCategories[Tax Tag],MATCH($K412,tblCategories[Category],0)),""))</f>
        <v/>
      </c>
      <c r="P412" s="20">
        <f>IF($C412="","",IF($G412=PersonA,1,IF($G412=PersonB,0,IFERROR(INDEX(tblCategories[Joint Split A],MATCH($K412,tblCategories[Category],0)),DefaultSplitA))))</f>
        <v/>
      </c>
      <c r="Q412" s="19">
        <f>IF($C412="","",ROUND($J412*N($P412),2))</f>
        <v/>
      </c>
      <c r="R412" s="19">
        <f>IF($C412="","",ROUND($J412-N($Q412),2))</f>
        <v/>
      </c>
      <c r="X412">
        <f>IF($C412="","",IFERROR(IF(_xlfn.ISFORMULA($K412),"Rule","Manual"),""))</f>
        <v/>
      </c>
      <c r="Y412" s="19">
        <f>IF($C412="","",IF(ReportView=PersonA,N($Q412),IF(ReportView=PersonB,N($R412),$J412)))</f>
        <v/>
      </c>
    </row>
    <row r="413">
      <c r="B413">
        <f>IF($C413="","","T"&amp;TEXT(ROW()-ROW(tblTxn[[#Headers],[Txn ID]]),"000000"))</f>
        <v/>
      </c>
      <c r="C413" s="18" t="n"/>
      <c r="D413">
        <f>IF($C413="","",TEXT($C413,"yyyy-mm"))</f>
        <v/>
      </c>
      <c r="F413">
        <f>IF($C413="","",IFERROR(INDEX(tblAccounts[Owner],MATCH($E413,tblAccounts[Account],0)),"Joint"))</f>
        <v/>
      </c>
      <c r="G413">
        <f>IF($C413="","",IF(HouseholdMode="Couple",IFERROR(IF(INDEX(tblCategories[Default Owner],MATCH($K413,tblCategories[Category],0))="",$F413,INDEX(tblCategories[Default Owner],MATCH($K413,tblCategories[Category],0))),$F413),$F413))</f>
        <v/>
      </c>
      <c r="I413">
        <f>IF($H413="","",$H413)</f>
        <v/>
      </c>
      <c r="J413" s="19" t="n"/>
      <c r="K413">
        <f>IF($H413="","",IFERROR(INDEX(tblRules[Category],SUMPRODUCT(MIN((1-((tblRules[Enabled]&lt;&gt;"No")*(tblRules[Pattern]&lt;&gt;"")*(tblRules[Category]&lt;&gt;"")*((tblRules[Flow]="Any")+(tblRules[Flow]="")+((tblRules[Flow]="Money out")*($J413&lt;0))+((tblRules[Flow]="Money in")*($J413&gt;0)))*(((tblRules[Look In]="Account")*ISNUMBER(SEARCH(tblRules[Pattern],$E413)))+((tblRules[Look In]&lt;&gt;"Account")*(((tblRules[Test]="Word")*ISNUMBER(SEARCH(" "&amp;tblRules[Pattern]&amp;" "," "&amp;$H413&amp;" ")))+((tblRules[Test]&lt;&gt;"Word")*ISNUMBER(SEARCH(tblRules[Pattern],$H413))))))&gt;0))*1E+9+ROW(tblRules[Pattern])))-ROW(tblRules[[#Headers],[Pattern]])),"Uncategorized"))</f>
        <v/>
      </c>
      <c r="L413">
        <f>IF($C413="","",IFERROR(INDEX(tblCategories[Group],MATCH($K413,tblCategories[Category],0)),"Other"))</f>
        <v/>
      </c>
      <c r="M413">
        <f>IF($C413="","",IFERROR(INDEX(tblCategories[Type],MATCH($K413,tblCategories[Category],0)),IF($J413&gt;0,"Income","Expense")))</f>
        <v/>
      </c>
      <c r="N413">
        <f>IF($C413="","",IFERROR(INDEX(tblCategories[Essential],MATCH($K413,tblCategories[Category],0)),"No"))</f>
        <v/>
      </c>
      <c r="O413">
        <f>IF($C413="","",IFERROR(INDEX(tblCategories[Tax Tag],MATCH($K413,tblCategories[Category],0)),""))</f>
        <v/>
      </c>
      <c r="P413" s="20">
        <f>IF($C413="","",IF($G413=PersonA,1,IF($G413=PersonB,0,IFERROR(INDEX(tblCategories[Joint Split A],MATCH($K413,tblCategories[Category],0)),DefaultSplitA))))</f>
        <v/>
      </c>
      <c r="Q413" s="19">
        <f>IF($C413="","",ROUND($J413*N($P413),2))</f>
        <v/>
      </c>
      <c r="R413" s="19">
        <f>IF($C413="","",ROUND($J413-N($Q413),2))</f>
        <v/>
      </c>
      <c r="X413">
        <f>IF($C413="","",IFERROR(IF(_xlfn.ISFORMULA($K413),"Rule","Manual"),""))</f>
        <v/>
      </c>
      <c r="Y413" s="19">
        <f>IF($C413="","",IF(ReportView=PersonA,N($Q413),IF(ReportView=PersonB,N($R413),$J413)))</f>
        <v/>
      </c>
    </row>
    <row r="414">
      <c r="B414">
        <f>IF($C414="","","T"&amp;TEXT(ROW()-ROW(tblTxn[[#Headers],[Txn ID]]),"000000"))</f>
        <v/>
      </c>
      <c r="C414" s="18" t="n"/>
      <c r="D414">
        <f>IF($C414="","",TEXT($C414,"yyyy-mm"))</f>
        <v/>
      </c>
      <c r="F414">
        <f>IF($C414="","",IFERROR(INDEX(tblAccounts[Owner],MATCH($E414,tblAccounts[Account],0)),"Joint"))</f>
        <v/>
      </c>
      <c r="G414">
        <f>IF($C414="","",IF(HouseholdMode="Couple",IFERROR(IF(INDEX(tblCategories[Default Owner],MATCH($K414,tblCategories[Category],0))="",$F414,INDEX(tblCategories[Default Owner],MATCH($K414,tblCategories[Category],0))),$F414),$F414))</f>
        <v/>
      </c>
      <c r="I414">
        <f>IF($H414="","",$H414)</f>
        <v/>
      </c>
      <c r="J414" s="19" t="n"/>
      <c r="K414">
        <f>IF($H414="","",IFERROR(INDEX(tblRules[Category],SUMPRODUCT(MIN((1-((tblRules[Enabled]&lt;&gt;"No")*(tblRules[Pattern]&lt;&gt;"")*(tblRules[Category]&lt;&gt;"")*((tblRules[Flow]="Any")+(tblRules[Flow]="")+((tblRules[Flow]="Money out")*($J414&lt;0))+((tblRules[Flow]="Money in")*($J414&gt;0)))*(((tblRules[Look In]="Account")*ISNUMBER(SEARCH(tblRules[Pattern],$E414)))+((tblRules[Look In]&lt;&gt;"Account")*(((tblRules[Test]="Word")*ISNUMBER(SEARCH(" "&amp;tblRules[Pattern]&amp;" "," "&amp;$H414&amp;" ")))+((tblRules[Test]&lt;&gt;"Word")*ISNUMBER(SEARCH(tblRules[Pattern],$H414))))))&gt;0))*1E+9+ROW(tblRules[Pattern])))-ROW(tblRules[[#Headers],[Pattern]])),"Uncategorized"))</f>
        <v/>
      </c>
      <c r="L414">
        <f>IF($C414="","",IFERROR(INDEX(tblCategories[Group],MATCH($K414,tblCategories[Category],0)),"Other"))</f>
        <v/>
      </c>
      <c r="M414">
        <f>IF($C414="","",IFERROR(INDEX(tblCategories[Type],MATCH($K414,tblCategories[Category],0)),IF($J414&gt;0,"Income","Expense")))</f>
        <v/>
      </c>
      <c r="N414">
        <f>IF($C414="","",IFERROR(INDEX(tblCategories[Essential],MATCH($K414,tblCategories[Category],0)),"No"))</f>
        <v/>
      </c>
      <c r="O414">
        <f>IF($C414="","",IFERROR(INDEX(tblCategories[Tax Tag],MATCH($K414,tblCategories[Category],0)),""))</f>
        <v/>
      </c>
      <c r="P414" s="20">
        <f>IF($C414="","",IF($G414=PersonA,1,IF($G414=PersonB,0,IFERROR(INDEX(tblCategories[Joint Split A],MATCH($K414,tblCategories[Category],0)),DefaultSplitA))))</f>
        <v/>
      </c>
      <c r="Q414" s="19">
        <f>IF($C414="","",ROUND($J414*N($P414),2))</f>
        <v/>
      </c>
      <c r="R414" s="19">
        <f>IF($C414="","",ROUND($J414-N($Q414),2))</f>
        <v/>
      </c>
      <c r="X414">
        <f>IF($C414="","",IFERROR(IF(_xlfn.ISFORMULA($K414),"Rule","Manual"),""))</f>
        <v/>
      </c>
      <c r="Y414" s="19">
        <f>IF($C414="","",IF(ReportView=PersonA,N($Q414),IF(ReportView=PersonB,N($R414),$J414)))</f>
        <v/>
      </c>
    </row>
    <row r="415">
      <c r="B415">
        <f>IF($C415="","","T"&amp;TEXT(ROW()-ROW(tblTxn[[#Headers],[Txn ID]]),"000000"))</f>
        <v/>
      </c>
      <c r="C415" s="18" t="n"/>
      <c r="D415">
        <f>IF($C415="","",TEXT($C415,"yyyy-mm"))</f>
        <v/>
      </c>
      <c r="F415">
        <f>IF($C415="","",IFERROR(INDEX(tblAccounts[Owner],MATCH($E415,tblAccounts[Account],0)),"Joint"))</f>
        <v/>
      </c>
      <c r="G415">
        <f>IF($C415="","",IF(HouseholdMode="Couple",IFERROR(IF(INDEX(tblCategories[Default Owner],MATCH($K415,tblCategories[Category],0))="",$F415,INDEX(tblCategories[Default Owner],MATCH($K415,tblCategories[Category],0))),$F415),$F415))</f>
        <v/>
      </c>
      <c r="I415">
        <f>IF($H415="","",$H415)</f>
        <v/>
      </c>
      <c r="J415" s="19" t="n"/>
      <c r="K415">
        <f>IF($H415="","",IFERROR(INDEX(tblRules[Category],SUMPRODUCT(MIN((1-((tblRules[Enabled]&lt;&gt;"No")*(tblRules[Pattern]&lt;&gt;"")*(tblRules[Category]&lt;&gt;"")*((tblRules[Flow]="Any")+(tblRules[Flow]="")+((tblRules[Flow]="Money out")*($J415&lt;0))+((tblRules[Flow]="Money in")*($J415&gt;0)))*(((tblRules[Look In]="Account")*ISNUMBER(SEARCH(tblRules[Pattern],$E415)))+((tblRules[Look In]&lt;&gt;"Account")*(((tblRules[Test]="Word")*ISNUMBER(SEARCH(" "&amp;tblRules[Pattern]&amp;" "," "&amp;$H415&amp;" ")))+((tblRules[Test]&lt;&gt;"Word")*ISNUMBER(SEARCH(tblRules[Pattern],$H415))))))&gt;0))*1E+9+ROW(tblRules[Pattern])))-ROW(tblRules[[#Headers],[Pattern]])),"Uncategorized"))</f>
        <v/>
      </c>
      <c r="L415">
        <f>IF($C415="","",IFERROR(INDEX(tblCategories[Group],MATCH($K415,tblCategories[Category],0)),"Other"))</f>
        <v/>
      </c>
      <c r="M415">
        <f>IF($C415="","",IFERROR(INDEX(tblCategories[Type],MATCH($K415,tblCategories[Category],0)),IF($J415&gt;0,"Income","Expense")))</f>
        <v/>
      </c>
      <c r="N415">
        <f>IF($C415="","",IFERROR(INDEX(tblCategories[Essential],MATCH($K415,tblCategories[Category],0)),"No"))</f>
        <v/>
      </c>
      <c r="O415">
        <f>IF($C415="","",IFERROR(INDEX(tblCategories[Tax Tag],MATCH($K415,tblCategories[Category],0)),""))</f>
        <v/>
      </c>
      <c r="P415" s="20">
        <f>IF($C415="","",IF($G415=PersonA,1,IF($G415=PersonB,0,IFERROR(INDEX(tblCategories[Joint Split A],MATCH($K415,tblCategories[Category],0)),DefaultSplitA))))</f>
        <v/>
      </c>
      <c r="Q415" s="19">
        <f>IF($C415="","",ROUND($J415*N($P415),2))</f>
        <v/>
      </c>
      <c r="R415" s="19">
        <f>IF($C415="","",ROUND($J415-N($Q415),2))</f>
        <v/>
      </c>
      <c r="X415">
        <f>IF($C415="","",IFERROR(IF(_xlfn.ISFORMULA($K415),"Rule","Manual"),""))</f>
        <v/>
      </c>
      <c r="Y415" s="19">
        <f>IF($C415="","",IF(ReportView=PersonA,N($Q415),IF(ReportView=PersonB,N($R415),$J415)))</f>
        <v/>
      </c>
    </row>
    <row r="416">
      <c r="B416">
        <f>IF($C416="","","T"&amp;TEXT(ROW()-ROW(tblTxn[[#Headers],[Txn ID]]),"000000"))</f>
        <v/>
      </c>
      <c r="C416" s="18" t="n"/>
      <c r="D416">
        <f>IF($C416="","",TEXT($C416,"yyyy-mm"))</f>
        <v/>
      </c>
      <c r="F416">
        <f>IF($C416="","",IFERROR(INDEX(tblAccounts[Owner],MATCH($E416,tblAccounts[Account],0)),"Joint"))</f>
        <v/>
      </c>
      <c r="G416">
        <f>IF($C416="","",IF(HouseholdMode="Couple",IFERROR(IF(INDEX(tblCategories[Default Owner],MATCH($K416,tblCategories[Category],0))="",$F416,INDEX(tblCategories[Default Owner],MATCH($K416,tblCategories[Category],0))),$F416),$F416))</f>
        <v/>
      </c>
      <c r="I416">
        <f>IF($H416="","",$H416)</f>
        <v/>
      </c>
      <c r="J416" s="19" t="n"/>
      <c r="K416">
        <f>IF($H416="","",IFERROR(INDEX(tblRules[Category],SUMPRODUCT(MIN((1-((tblRules[Enabled]&lt;&gt;"No")*(tblRules[Pattern]&lt;&gt;"")*(tblRules[Category]&lt;&gt;"")*((tblRules[Flow]="Any")+(tblRules[Flow]="")+((tblRules[Flow]="Money out")*($J416&lt;0))+((tblRules[Flow]="Money in")*($J416&gt;0)))*(((tblRules[Look In]="Account")*ISNUMBER(SEARCH(tblRules[Pattern],$E416)))+((tblRules[Look In]&lt;&gt;"Account")*(((tblRules[Test]="Word")*ISNUMBER(SEARCH(" "&amp;tblRules[Pattern]&amp;" "," "&amp;$H416&amp;" ")))+((tblRules[Test]&lt;&gt;"Word")*ISNUMBER(SEARCH(tblRules[Pattern],$H416))))))&gt;0))*1E+9+ROW(tblRules[Pattern])))-ROW(tblRules[[#Headers],[Pattern]])),"Uncategorized"))</f>
        <v/>
      </c>
      <c r="L416">
        <f>IF($C416="","",IFERROR(INDEX(tblCategories[Group],MATCH($K416,tblCategories[Category],0)),"Other"))</f>
        <v/>
      </c>
      <c r="M416">
        <f>IF($C416="","",IFERROR(INDEX(tblCategories[Type],MATCH($K416,tblCategories[Category],0)),IF($J416&gt;0,"Income","Expense")))</f>
        <v/>
      </c>
      <c r="N416">
        <f>IF($C416="","",IFERROR(INDEX(tblCategories[Essential],MATCH($K416,tblCategories[Category],0)),"No"))</f>
        <v/>
      </c>
      <c r="O416">
        <f>IF($C416="","",IFERROR(INDEX(tblCategories[Tax Tag],MATCH($K416,tblCategories[Category],0)),""))</f>
        <v/>
      </c>
      <c r="P416" s="20">
        <f>IF($C416="","",IF($G416=PersonA,1,IF($G416=PersonB,0,IFERROR(INDEX(tblCategories[Joint Split A],MATCH($K416,tblCategories[Category],0)),DefaultSplitA))))</f>
        <v/>
      </c>
      <c r="Q416" s="19">
        <f>IF($C416="","",ROUND($J416*N($P416),2))</f>
        <v/>
      </c>
      <c r="R416" s="19">
        <f>IF($C416="","",ROUND($J416-N($Q416),2))</f>
        <v/>
      </c>
      <c r="X416">
        <f>IF($C416="","",IFERROR(IF(_xlfn.ISFORMULA($K416),"Rule","Manual"),""))</f>
        <v/>
      </c>
      <c r="Y416" s="19">
        <f>IF($C416="","",IF(ReportView=PersonA,N($Q416),IF(ReportView=PersonB,N($R416),$J416)))</f>
        <v/>
      </c>
    </row>
    <row r="417">
      <c r="B417">
        <f>IF($C417="","","T"&amp;TEXT(ROW()-ROW(tblTxn[[#Headers],[Txn ID]]),"000000"))</f>
        <v/>
      </c>
      <c r="C417" s="18" t="n"/>
      <c r="D417">
        <f>IF($C417="","",TEXT($C417,"yyyy-mm"))</f>
        <v/>
      </c>
      <c r="F417">
        <f>IF($C417="","",IFERROR(INDEX(tblAccounts[Owner],MATCH($E417,tblAccounts[Account],0)),"Joint"))</f>
        <v/>
      </c>
      <c r="G417">
        <f>IF($C417="","",IF(HouseholdMode="Couple",IFERROR(IF(INDEX(tblCategories[Default Owner],MATCH($K417,tblCategories[Category],0))="",$F417,INDEX(tblCategories[Default Owner],MATCH($K417,tblCategories[Category],0))),$F417),$F417))</f>
        <v/>
      </c>
      <c r="I417">
        <f>IF($H417="","",$H417)</f>
        <v/>
      </c>
      <c r="J417" s="19" t="n"/>
      <c r="K417">
        <f>IF($H417="","",IFERROR(INDEX(tblRules[Category],SUMPRODUCT(MIN((1-((tblRules[Enabled]&lt;&gt;"No")*(tblRules[Pattern]&lt;&gt;"")*(tblRules[Category]&lt;&gt;"")*((tblRules[Flow]="Any")+(tblRules[Flow]="")+((tblRules[Flow]="Money out")*($J417&lt;0))+((tblRules[Flow]="Money in")*($J417&gt;0)))*(((tblRules[Look In]="Account")*ISNUMBER(SEARCH(tblRules[Pattern],$E417)))+((tblRules[Look In]&lt;&gt;"Account")*(((tblRules[Test]="Word")*ISNUMBER(SEARCH(" "&amp;tblRules[Pattern]&amp;" "," "&amp;$H417&amp;" ")))+((tblRules[Test]&lt;&gt;"Word")*ISNUMBER(SEARCH(tblRules[Pattern],$H417))))))&gt;0))*1E+9+ROW(tblRules[Pattern])))-ROW(tblRules[[#Headers],[Pattern]])),"Uncategorized"))</f>
        <v/>
      </c>
      <c r="L417">
        <f>IF($C417="","",IFERROR(INDEX(tblCategories[Group],MATCH($K417,tblCategories[Category],0)),"Other"))</f>
        <v/>
      </c>
      <c r="M417">
        <f>IF($C417="","",IFERROR(INDEX(tblCategories[Type],MATCH($K417,tblCategories[Category],0)),IF($J417&gt;0,"Income","Expense")))</f>
        <v/>
      </c>
      <c r="N417">
        <f>IF($C417="","",IFERROR(INDEX(tblCategories[Essential],MATCH($K417,tblCategories[Category],0)),"No"))</f>
        <v/>
      </c>
      <c r="O417">
        <f>IF($C417="","",IFERROR(INDEX(tblCategories[Tax Tag],MATCH($K417,tblCategories[Category],0)),""))</f>
        <v/>
      </c>
      <c r="P417" s="20">
        <f>IF($C417="","",IF($G417=PersonA,1,IF($G417=PersonB,0,IFERROR(INDEX(tblCategories[Joint Split A],MATCH($K417,tblCategories[Category],0)),DefaultSplitA))))</f>
        <v/>
      </c>
      <c r="Q417" s="19">
        <f>IF($C417="","",ROUND($J417*N($P417),2))</f>
        <v/>
      </c>
      <c r="R417" s="19">
        <f>IF($C417="","",ROUND($J417-N($Q417),2))</f>
        <v/>
      </c>
      <c r="X417">
        <f>IF($C417="","",IFERROR(IF(_xlfn.ISFORMULA($K417),"Rule","Manual"),""))</f>
        <v/>
      </c>
      <c r="Y417" s="19">
        <f>IF($C417="","",IF(ReportView=PersonA,N($Q417),IF(ReportView=PersonB,N($R417),$J417)))</f>
        <v/>
      </c>
    </row>
    <row r="418">
      <c r="B418">
        <f>IF($C418="","","T"&amp;TEXT(ROW()-ROW(tblTxn[[#Headers],[Txn ID]]),"000000"))</f>
        <v/>
      </c>
      <c r="C418" s="18" t="n"/>
      <c r="D418">
        <f>IF($C418="","",TEXT($C418,"yyyy-mm"))</f>
        <v/>
      </c>
      <c r="F418">
        <f>IF($C418="","",IFERROR(INDEX(tblAccounts[Owner],MATCH($E418,tblAccounts[Account],0)),"Joint"))</f>
        <v/>
      </c>
      <c r="G418">
        <f>IF($C418="","",IF(HouseholdMode="Couple",IFERROR(IF(INDEX(tblCategories[Default Owner],MATCH($K418,tblCategories[Category],0))="",$F418,INDEX(tblCategories[Default Owner],MATCH($K418,tblCategories[Category],0))),$F418),$F418))</f>
        <v/>
      </c>
      <c r="I418">
        <f>IF($H418="","",$H418)</f>
        <v/>
      </c>
      <c r="J418" s="19" t="n"/>
      <c r="K418">
        <f>IF($H418="","",IFERROR(INDEX(tblRules[Category],SUMPRODUCT(MIN((1-((tblRules[Enabled]&lt;&gt;"No")*(tblRules[Pattern]&lt;&gt;"")*(tblRules[Category]&lt;&gt;"")*((tblRules[Flow]="Any")+(tblRules[Flow]="")+((tblRules[Flow]="Money out")*($J418&lt;0))+((tblRules[Flow]="Money in")*($J418&gt;0)))*(((tblRules[Look In]="Account")*ISNUMBER(SEARCH(tblRules[Pattern],$E418)))+((tblRules[Look In]&lt;&gt;"Account")*(((tblRules[Test]="Word")*ISNUMBER(SEARCH(" "&amp;tblRules[Pattern]&amp;" "," "&amp;$H418&amp;" ")))+((tblRules[Test]&lt;&gt;"Word")*ISNUMBER(SEARCH(tblRules[Pattern],$H418))))))&gt;0))*1E+9+ROW(tblRules[Pattern])))-ROW(tblRules[[#Headers],[Pattern]])),"Uncategorized"))</f>
        <v/>
      </c>
      <c r="L418">
        <f>IF($C418="","",IFERROR(INDEX(tblCategories[Group],MATCH($K418,tblCategories[Category],0)),"Other"))</f>
        <v/>
      </c>
      <c r="M418">
        <f>IF($C418="","",IFERROR(INDEX(tblCategories[Type],MATCH($K418,tblCategories[Category],0)),IF($J418&gt;0,"Income","Expense")))</f>
        <v/>
      </c>
      <c r="N418">
        <f>IF($C418="","",IFERROR(INDEX(tblCategories[Essential],MATCH($K418,tblCategories[Category],0)),"No"))</f>
        <v/>
      </c>
      <c r="O418">
        <f>IF($C418="","",IFERROR(INDEX(tblCategories[Tax Tag],MATCH($K418,tblCategories[Category],0)),""))</f>
        <v/>
      </c>
      <c r="P418" s="20">
        <f>IF($C418="","",IF($G418=PersonA,1,IF($G418=PersonB,0,IFERROR(INDEX(tblCategories[Joint Split A],MATCH($K418,tblCategories[Category],0)),DefaultSplitA))))</f>
        <v/>
      </c>
      <c r="Q418" s="19">
        <f>IF($C418="","",ROUND($J418*N($P418),2))</f>
        <v/>
      </c>
      <c r="R418" s="19">
        <f>IF($C418="","",ROUND($J418-N($Q418),2))</f>
        <v/>
      </c>
      <c r="X418">
        <f>IF($C418="","",IFERROR(IF(_xlfn.ISFORMULA($K418),"Rule","Manual"),""))</f>
        <v/>
      </c>
      <c r="Y418" s="19">
        <f>IF($C418="","",IF(ReportView=PersonA,N($Q418),IF(ReportView=PersonB,N($R418),$J418)))</f>
        <v/>
      </c>
    </row>
    <row r="419">
      <c r="B419">
        <f>IF($C419="","","T"&amp;TEXT(ROW()-ROW(tblTxn[[#Headers],[Txn ID]]),"000000"))</f>
        <v/>
      </c>
      <c r="C419" s="18" t="n"/>
      <c r="D419">
        <f>IF($C419="","",TEXT($C419,"yyyy-mm"))</f>
        <v/>
      </c>
      <c r="F419">
        <f>IF($C419="","",IFERROR(INDEX(tblAccounts[Owner],MATCH($E419,tblAccounts[Account],0)),"Joint"))</f>
        <v/>
      </c>
      <c r="G419">
        <f>IF($C419="","",IF(HouseholdMode="Couple",IFERROR(IF(INDEX(tblCategories[Default Owner],MATCH($K419,tblCategories[Category],0))="",$F419,INDEX(tblCategories[Default Owner],MATCH($K419,tblCategories[Category],0))),$F419),$F419))</f>
        <v/>
      </c>
      <c r="I419">
        <f>IF($H419="","",$H419)</f>
        <v/>
      </c>
      <c r="J419" s="19" t="n"/>
      <c r="K419">
        <f>IF($H419="","",IFERROR(INDEX(tblRules[Category],SUMPRODUCT(MIN((1-((tblRules[Enabled]&lt;&gt;"No")*(tblRules[Pattern]&lt;&gt;"")*(tblRules[Category]&lt;&gt;"")*((tblRules[Flow]="Any")+(tblRules[Flow]="")+((tblRules[Flow]="Money out")*($J419&lt;0))+((tblRules[Flow]="Money in")*($J419&gt;0)))*(((tblRules[Look In]="Account")*ISNUMBER(SEARCH(tblRules[Pattern],$E419)))+((tblRules[Look In]&lt;&gt;"Account")*(((tblRules[Test]="Word")*ISNUMBER(SEARCH(" "&amp;tblRules[Pattern]&amp;" "," "&amp;$H419&amp;" ")))+((tblRules[Test]&lt;&gt;"Word")*ISNUMBER(SEARCH(tblRules[Pattern],$H419))))))&gt;0))*1E+9+ROW(tblRules[Pattern])))-ROW(tblRules[[#Headers],[Pattern]])),"Uncategorized"))</f>
        <v/>
      </c>
      <c r="L419">
        <f>IF($C419="","",IFERROR(INDEX(tblCategories[Group],MATCH($K419,tblCategories[Category],0)),"Other"))</f>
        <v/>
      </c>
      <c r="M419">
        <f>IF($C419="","",IFERROR(INDEX(tblCategories[Type],MATCH($K419,tblCategories[Category],0)),IF($J419&gt;0,"Income","Expense")))</f>
        <v/>
      </c>
      <c r="N419">
        <f>IF($C419="","",IFERROR(INDEX(tblCategories[Essential],MATCH($K419,tblCategories[Category],0)),"No"))</f>
        <v/>
      </c>
      <c r="O419">
        <f>IF($C419="","",IFERROR(INDEX(tblCategories[Tax Tag],MATCH($K419,tblCategories[Category],0)),""))</f>
        <v/>
      </c>
      <c r="P419" s="20">
        <f>IF($C419="","",IF($G419=PersonA,1,IF($G419=PersonB,0,IFERROR(INDEX(tblCategories[Joint Split A],MATCH($K419,tblCategories[Category],0)),DefaultSplitA))))</f>
        <v/>
      </c>
      <c r="Q419" s="19">
        <f>IF($C419="","",ROUND($J419*N($P419),2))</f>
        <v/>
      </c>
      <c r="R419" s="19">
        <f>IF($C419="","",ROUND($J419-N($Q419),2))</f>
        <v/>
      </c>
      <c r="X419">
        <f>IF($C419="","",IFERROR(IF(_xlfn.ISFORMULA($K419),"Rule","Manual"),""))</f>
        <v/>
      </c>
      <c r="Y419" s="19">
        <f>IF($C419="","",IF(ReportView=PersonA,N($Q419),IF(ReportView=PersonB,N($R419),$J419)))</f>
        <v/>
      </c>
    </row>
    <row r="420">
      <c r="B420">
        <f>IF($C420="","","T"&amp;TEXT(ROW()-ROW(tblTxn[[#Headers],[Txn ID]]),"000000"))</f>
        <v/>
      </c>
      <c r="C420" s="18" t="n"/>
      <c r="D420">
        <f>IF($C420="","",TEXT($C420,"yyyy-mm"))</f>
        <v/>
      </c>
      <c r="F420">
        <f>IF($C420="","",IFERROR(INDEX(tblAccounts[Owner],MATCH($E420,tblAccounts[Account],0)),"Joint"))</f>
        <v/>
      </c>
      <c r="G420">
        <f>IF($C420="","",IF(HouseholdMode="Couple",IFERROR(IF(INDEX(tblCategories[Default Owner],MATCH($K420,tblCategories[Category],0))="",$F420,INDEX(tblCategories[Default Owner],MATCH($K420,tblCategories[Category],0))),$F420),$F420))</f>
        <v/>
      </c>
      <c r="I420">
        <f>IF($H420="","",$H420)</f>
        <v/>
      </c>
      <c r="J420" s="19" t="n"/>
      <c r="K420">
        <f>IF($H420="","",IFERROR(INDEX(tblRules[Category],SUMPRODUCT(MIN((1-((tblRules[Enabled]&lt;&gt;"No")*(tblRules[Pattern]&lt;&gt;"")*(tblRules[Category]&lt;&gt;"")*((tblRules[Flow]="Any")+(tblRules[Flow]="")+((tblRules[Flow]="Money out")*($J420&lt;0))+((tblRules[Flow]="Money in")*($J420&gt;0)))*(((tblRules[Look In]="Account")*ISNUMBER(SEARCH(tblRules[Pattern],$E420)))+((tblRules[Look In]&lt;&gt;"Account")*(((tblRules[Test]="Word")*ISNUMBER(SEARCH(" "&amp;tblRules[Pattern]&amp;" "," "&amp;$H420&amp;" ")))+((tblRules[Test]&lt;&gt;"Word")*ISNUMBER(SEARCH(tblRules[Pattern],$H420))))))&gt;0))*1E+9+ROW(tblRules[Pattern])))-ROW(tblRules[[#Headers],[Pattern]])),"Uncategorized"))</f>
        <v/>
      </c>
      <c r="L420">
        <f>IF($C420="","",IFERROR(INDEX(tblCategories[Group],MATCH($K420,tblCategories[Category],0)),"Other"))</f>
        <v/>
      </c>
      <c r="M420">
        <f>IF($C420="","",IFERROR(INDEX(tblCategories[Type],MATCH($K420,tblCategories[Category],0)),IF($J420&gt;0,"Income","Expense")))</f>
        <v/>
      </c>
      <c r="N420">
        <f>IF($C420="","",IFERROR(INDEX(tblCategories[Essential],MATCH($K420,tblCategories[Category],0)),"No"))</f>
        <v/>
      </c>
      <c r="O420">
        <f>IF($C420="","",IFERROR(INDEX(tblCategories[Tax Tag],MATCH($K420,tblCategories[Category],0)),""))</f>
        <v/>
      </c>
      <c r="P420" s="20">
        <f>IF($C420="","",IF($G420=PersonA,1,IF($G420=PersonB,0,IFERROR(INDEX(tblCategories[Joint Split A],MATCH($K420,tblCategories[Category],0)),DefaultSplitA))))</f>
        <v/>
      </c>
      <c r="Q420" s="19">
        <f>IF($C420="","",ROUND($J420*N($P420),2))</f>
        <v/>
      </c>
      <c r="R420" s="19">
        <f>IF($C420="","",ROUND($J420-N($Q420),2))</f>
        <v/>
      </c>
      <c r="X420">
        <f>IF($C420="","",IFERROR(IF(_xlfn.ISFORMULA($K420),"Rule","Manual"),""))</f>
        <v/>
      </c>
      <c r="Y420" s="19">
        <f>IF($C420="","",IF(ReportView=PersonA,N($Q420),IF(ReportView=PersonB,N($R420),$J420)))</f>
        <v/>
      </c>
    </row>
    <row r="421">
      <c r="B421">
        <f>IF($C421="","","T"&amp;TEXT(ROW()-ROW(tblTxn[[#Headers],[Txn ID]]),"000000"))</f>
        <v/>
      </c>
      <c r="C421" s="18" t="n"/>
      <c r="D421">
        <f>IF($C421="","",TEXT($C421,"yyyy-mm"))</f>
        <v/>
      </c>
      <c r="F421">
        <f>IF($C421="","",IFERROR(INDEX(tblAccounts[Owner],MATCH($E421,tblAccounts[Account],0)),"Joint"))</f>
        <v/>
      </c>
      <c r="G421">
        <f>IF($C421="","",IF(HouseholdMode="Couple",IFERROR(IF(INDEX(tblCategories[Default Owner],MATCH($K421,tblCategories[Category],0))="",$F421,INDEX(tblCategories[Default Owner],MATCH($K421,tblCategories[Category],0))),$F421),$F421))</f>
        <v/>
      </c>
      <c r="I421">
        <f>IF($H421="","",$H421)</f>
        <v/>
      </c>
      <c r="J421" s="19" t="n"/>
      <c r="K421">
        <f>IF($H421="","",IFERROR(INDEX(tblRules[Category],SUMPRODUCT(MIN((1-((tblRules[Enabled]&lt;&gt;"No")*(tblRules[Pattern]&lt;&gt;"")*(tblRules[Category]&lt;&gt;"")*((tblRules[Flow]="Any")+(tblRules[Flow]="")+((tblRules[Flow]="Money out")*($J421&lt;0))+((tblRules[Flow]="Money in")*($J421&gt;0)))*(((tblRules[Look In]="Account")*ISNUMBER(SEARCH(tblRules[Pattern],$E421)))+((tblRules[Look In]&lt;&gt;"Account")*(((tblRules[Test]="Word")*ISNUMBER(SEARCH(" "&amp;tblRules[Pattern]&amp;" "," "&amp;$H421&amp;" ")))+((tblRules[Test]&lt;&gt;"Word")*ISNUMBER(SEARCH(tblRules[Pattern],$H421))))))&gt;0))*1E+9+ROW(tblRules[Pattern])))-ROW(tblRules[[#Headers],[Pattern]])),"Uncategorized"))</f>
        <v/>
      </c>
      <c r="L421">
        <f>IF($C421="","",IFERROR(INDEX(tblCategories[Group],MATCH($K421,tblCategories[Category],0)),"Other"))</f>
        <v/>
      </c>
      <c r="M421">
        <f>IF($C421="","",IFERROR(INDEX(tblCategories[Type],MATCH($K421,tblCategories[Category],0)),IF($J421&gt;0,"Income","Expense")))</f>
        <v/>
      </c>
      <c r="N421">
        <f>IF($C421="","",IFERROR(INDEX(tblCategories[Essential],MATCH($K421,tblCategories[Category],0)),"No"))</f>
        <v/>
      </c>
      <c r="O421">
        <f>IF($C421="","",IFERROR(INDEX(tblCategories[Tax Tag],MATCH($K421,tblCategories[Category],0)),""))</f>
        <v/>
      </c>
      <c r="P421" s="20">
        <f>IF($C421="","",IF($G421=PersonA,1,IF($G421=PersonB,0,IFERROR(INDEX(tblCategories[Joint Split A],MATCH($K421,tblCategories[Category],0)),DefaultSplitA))))</f>
        <v/>
      </c>
      <c r="Q421" s="19">
        <f>IF($C421="","",ROUND($J421*N($P421),2))</f>
        <v/>
      </c>
      <c r="R421" s="19">
        <f>IF($C421="","",ROUND($J421-N($Q421),2))</f>
        <v/>
      </c>
      <c r="X421">
        <f>IF($C421="","",IFERROR(IF(_xlfn.ISFORMULA($K421),"Rule","Manual"),""))</f>
        <v/>
      </c>
      <c r="Y421" s="19">
        <f>IF($C421="","",IF(ReportView=PersonA,N($Q421),IF(ReportView=PersonB,N($R421),$J421)))</f>
        <v/>
      </c>
    </row>
    <row r="422">
      <c r="B422">
        <f>IF($C422="","","T"&amp;TEXT(ROW()-ROW(tblTxn[[#Headers],[Txn ID]]),"000000"))</f>
        <v/>
      </c>
      <c r="C422" s="18" t="n"/>
      <c r="D422">
        <f>IF($C422="","",TEXT($C422,"yyyy-mm"))</f>
        <v/>
      </c>
      <c r="F422">
        <f>IF($C422="","",IFERROR(INDEX(tblAccounts[Owner],MATCH($E422,tblAccounts[Account],0)),"Joint"))</f>
        <v/>
      </c>
      <c r="G422">
        <f>IF($C422="","",IF(HouseholdMode="Couple",IFERROR(IF(INDEX(tblCategories[Default Owner],MATCH($K422,tblCategories[Category],0))="",$F422,INDEX(tblCategories[Default Owner],MATCH($K422,tblCategories[Category],0))),$F422),$F422))</f>
        <v/>
      </c>
      <c r="I422">
        <f>IF($H422="","",$H422)</f>
        <v/>
      </c>
      <c r="J422" s="19" t="n"/>
      <c r="K422">
        <f>IF($H422="","",IFERROR(INDEX(tblRules[Category],SUMPRODUCT(MIN((1-((tblRules[Enabled]&lt;&gt;"No")*(tblRules[Pattern]&lt;&gt;"")*(tblRules[Category]&lt;&gt;"")*((tblRules[Flow]="Any")+(tblRules[Flow]="")+((tblRules[Flow]="Money out")*($J422&lt;0))+((tblRules[Flow]="Money in")*($J422&gt;0)))*(((tblRules[Look In]="Account")*ISNUMBER(SEARCH(tblRules[Pattern],$E422)))+((tblRules[Look In]&lt;&gt;"Account")*(((tblRules[Test]="Word")*ISNUMBER(SEARCH(" "&amp;tblRules[Pattern]&amp;" "," "&amp;$H422&amp;" ")))+((tblRules[Test]&lt;&gt;"Word")*ISNUMBER(SEARCH(tblRules[Pattern],$H422))))))&gt;0))*1E+9+ROW(tblRules[Pattern])))-ROW(tblRules[[#Headers],[Pattern]])),"Uncategorized"))</f>
        <v/>
      </c>
      <c r="L422">
        <f>IF($C422="","",IFERROR(INDEX(tblCategories[Group],MATCH($K422,tblCategories[Category],0)),"Other"))</f>
        <v/>
      </c>
      <c r="M422">
        <f>IF($C422="","",IFERROR(INDEX(tblCategories[Type],MATCH($K422,tblCategories[Category],0)),IF($J422&gt;0,"Income","Expense")))</f>
        <v/>
      </c>
      <c r="N422">
        <f>IF($C422="","",IFERROR(INDEX(tblCategories[Essential],MATCH($K422,tblCategories[Category],0)),"No"))</f>
        <v/>
      </c>
      <c r="O422">
        <f>IF($C422="","",IFERROR(INDEX(tblCategories[Tax Tag],MATCH($K422,tblCategories[Category],0)),""))</f>
        <v/>
      </c>
      <c r="P422" s="20">
        <f>IF($C422="","",IF($G422=PersonA,1,IF($G422=PersonB,0,IFERROR(INDEX(tblCategories[Joint Split A],MATCH($K422,tblCategories[Category],0)),DefaultSplitA))))</f>
        <v/>
      </c>
      <c r="Q422" s="19">
        <f>IF($C422="","",ROUND($J422*N($P422),2))</f>
        <v/>
      </c>
      <c r="R422" s="19">
        <f>IF($C422="","",ROUND($J422-N($Q422),2))</f>
        <v/>
      </c>
      <c r="X422">
        <f>IF($C422="","",IFERROR(IF(_xlfn.ISFORMULA($K422),"Rule","Manual"),""))</f>
        <v/>
      </c>
      <c r="Y422" s="19">
        <f>IF($C422="","",IF(ReportView=PersonA,N($Q422),IF(ReportView=PersonB,N($R422),$J422)))</f>
        <v/>
      </c>
    </row>
    <row r="423">
      <c r="B423">
        <f>IF($C423="","","T"&amp;TEXT(ROW()-ROW(tblTxn[[#Headers],[Txn ID]]),"000000"))</f>
        <v/>
      </c>
      <c r="C423" s="18" t="n"/>
      <c r="D423">
        <f>IF($C423="","",TEXT($C423,"yyyy-mm"))</f>
        <v/>
      </c>
      <c r="F423">
        <f>IF($C423="","",IFERROR(INDEX(tblAccounts[Owner],MATCH($E423,tblAccounts[Account],0)),"Joint"))</f>
        <v/>
      </c>
      <c r="G423">
        <f>IF($C423="","",IF(HouseholdMode="Couple",IFERROR(IF(INDEX(tblCategories[Default Owner],MATCH($K423,tblCategories[Category],0))="",$F423,INDEX(tblCategories[Default Owner],MATCH($K423,tblCategories[Category],0))),$F423),$F423))</f>
        <v/>
      </c>
      <c r="I423">
        <f>IF($H423="","",$H423)</f>
        <v/>
      </c>
      <c r="J423" s="19" t="n"/>
      <c r="K423">
        <f>IF($H423="","",IFERROR(INDEX(tblRules[Category],SUMPRODUCT(MIN((1-((tblRules[Enabled]&lt;&gt;"No")*(tblRules[Pattern]&lt;&gt;"")*(tblRules[Category]&lt;&gt;"")*((tblRules[Flow]="Any")+(tblRules[Flow]="")+((tblRules[Flow]="Money out")*($J423&lt;0))+((tblRules[Flow]="Money in")*($J423&gt;0)))*(((tblRules[Look In]="Account")*ISNUMBER(SEARCH(tblRules[Pattern],$E423)))+((tblRules[Look In]&lt;&gt;"Account")*(((tblRules[Test]="Word")*ISNUMBER(SEARCH(" "&amp;tblRules[Pattern]&amp;" "," "&amp;$H423&amp;" ")))+((tblRules[Test]&lt;&gt;"Word")*ISNUMBER(SEARCH(tblRules[Pattern],$H423))))))&gt;0))*1E+9+ROW(tblRules[Pattern])))-ROW(tblRules[[#Headers],[Pattern]])),"Uncategorized"))</f>
        <v/>
      </c>
      <c r="L423">
        <f>IF($C423="","",IFERROR(INDEX(tblCategories[Group],MATCH($K423,tblCategories[Category],0)),"Other"))</f>
        <v/>
      </c>
      <c r="M423">
        <f>IF($C423="","",IFERROR(INDEX(tblCategories[Type],MATCH($K423,tblCategories[Category],0)),IF($J423&gt;0,"Income","Expense")))</f>
        <v/>
      </c>
      <c r="N423">
        <f>IF($C423="","",IFERROR(INDEX(tblCategories[Essential],MATCH($K423,tblCategories[Category],0)),"No"))</f>
        <v/>
      </c>
      <c r="O423">
        <f>IF($C423="","",IFERROR(INDEX(tblCategories[Tax Tag],MATCH($K423,tblCategories[Category],0)),""))</f>
        <v/>
      </c>
      <c r="P423" s="20">
        <f>IF($C423="","",IF($G423=PersonA,1,IF($G423=PersonB,0,IFERROR(INDEX(tblCategories[Joint Split A],MATCH($K423,tblCategories[Category],0)),DefaultSplitA))))</f>
        <v/>
      </c>
      <c r="Q423" s="19">
        <f>IF($C423="","",ROUND($J423*N($P423),2))</f>
        <v/>
      </c>
      <c r="R423" s="19">
        <f>IF($C423="","",ROUND($J423-N($Q423),2))</f>
        <v/>
      </c>
      <c r="X423">
        <f>IF($C423="","",IFERROR(IF(_xlfn.ISFORMULA($K423),"Rule","Manual"),""))</f>
        <v/>
      </c>
      <c r="Y423" s="19">
        <f>IF($C423="","",IF(ReportView=PersonA,N($Q423),IF(ReportView=PersonB,N($R423),$J423)))</f>
        <v/>
      </c>
    </row>
    <row r="424">
      <c r="B424">
        <f>IF($C424="","","T"&amp;TEXT(ROW()-ROW(tblTxn[[#Headers],[Txn ID]]),"000000"))</f>
        <v/>
      </c>
      <c r="C424" s="18" t="n"/>
      <c r="D424">
        <f>IF($C424="","",TEXT($C424,"yyyy-mm"))</f>
        <v/>
      </c>
      <c r="F424">
        <f>IF($C424="","",IFERROR(INDEX(tblAccounts[Owner],MATCH($E424,tblAccounts[Account],0)),"Joint"))</f>
        <v/>
      </c>
      <c r="G424">
        <f>IF($C424="","",IF(HouseholdMode="Couple",IFERROR(IF(INDEX(tblCategories[Default Owner],MATCH($K424,tblCategories[Category],0))="",$F424,INDEX(tblCategories[Default Owner],MATCH($K424,tblCategories[Category],0))),$F424),$F424))</f>
        <v/>
      </c>
      <c r="I424">
        <f>IF($H424="","",$H424)</f>
        <v/>
      </c>
      <c r="J424" s="19" t="n"/>
      <c r="K424">
        <f>IF($H424="","",IFERROR(INDEX(tblRules[Category],SUMPRODUCT(MIN((1-((tblRules[Enabled]&lt;&gt;"No")*(tblRules[Pattern]&lt;&gt;"")*(tblRules[Category]&lt;&gt;"")*((tblRules[Flow]="Any")+(tblRules[Flow]="")+((tblRules[Flow]="Money out")*($J424&lt;0))+((tblRules[Flow]="Money in")*($J424&gt;0)))*(((tblRules[Look In]="Account")*ISNUMBER(SEARCH(tblRules[Pattern],$E424)))+((tblRules[Look In]&lt;&gt;"Account")*(((tblRules[Test]="Word")*ISNUMBER(SEARCH(" "&amp;tblRules[Pattern]&amp;" "," "&amp;$H424&amp;" ")))+((tblRules[Test]&lt;&gt;"Word")*ISNUMBER(SEARCH(tblRules[Pattern],$H424))))))&gt;0))*1E+9+ROW(tblRules[Pattern])))-ROW(tblRules[[#Headers],[Pattern]])),"Uncategorized"))</f>
        <v/>
      </c>
      <c r="L424">
        <f>IF($C424="","",IFERROR(INDEX(tblCategories[Group],MATCH($K424,tblCategories[Category],0)),"Other"))</f>
        <v/>
      </c>
      <c r="M424">
        <f>IF($C424="","",IFERROR(INDEX(tblCategories[Type],MATCH($K424,tblCategories[Category],0)),IF($J424&gt;0,"Income","Expense")))</f>
        <v/>
      </c>
      <c r="N424">
        <f>IF($C424="","",IFERROR(INDEX(tblCategories[Essential],MATCH($K424,tblCategories[Category],0)),"No"))</f>
        <v/>
      </c>
      <c r="O424">
        <f>IF($C424="","",IFERROR(INDEX(tblCategories[Tax Tag],MATCH($K424,tblCategories[Category],0)),""))</f>
        <v/>
      </c>
      <c r="P424" s="20">
        <f>IF($C424="","",IF($G424=PersonA,1,IF($G424=PersonB,0,IFERROR(INDEX(tblCategories[Joint Split A],MATCH($K424,tblCategories[Category],0)),DefaultSplitA))))</f>
        <v/>
      </c>
      <c r="Q424" s="19">
        <f>IF($C424="","",ROUND($J424*N($P424),2))</f>
        <v/>
      </c>
      <c r="R424" s="19">
        <f>IF($C424="","",ROUND($J424-N($Q424),2))</f>
        <v/>
      </c>
      <c r="X424">
        <f>IF($C424="","",IFERROR(IF(_xlfn.ISFORMULA($K424),"Rule","Manual"),""))</f>
        <v/>
      </c>
      <c r="Y424" s="19">
        <f>IF($C424="","",IF(ReportView=PersonA,N($Q424),IF(ReportView=PersonB,N($R424),$J424)))</f>
        <v/>
      </c>
    </row>
    <row r="425">
      <c r="B425">
        <f>IF($C425="","","T"&amp;TEXT(ROW()-ROW(tblTxn[[#Headers],[Txn ID]]),"000000"))</f>
        <v/>
      </c>
      <c r="C425" s="18" t="n"/>
      <c r="D425">
        <f>IF($C425="","",TEXT($C425,"yyyy-mm"))</f>
        <v/>
      </c>
      <c r="F425">
        <f>IF($C425="","",IFERROR(INDEX(tblAccounts[Owner],MATCH($E425,tblAccounts[Account],0)),"Joint"))</f>
        <v/>
      </c>
      <c r="G425">
        <f>IF($C425="","",IF(HouseholdMode="Couple",IFERROR(IF(INDEX(tblCategories[Default Owner],MATCH($K425,tblCategories[Category],0))="",$F425,INDEX(tblCategories[Default Owner],MATCH($K425,tblCategories[Category],0))),$F425),$F425))</f>
        <v/>
      </c>
      <c r="I425">
        <f>IF($H425="","",$H425)</f>
        <v/>
      </c>
      <c r="J425" s="19" t="n"/>
      <c r="K425">
        <f>IF($H425="","",IFERROR(INDEX(tblRules[Category],SUMPRODUCT(MIN((1-((tblRules[Enabled]&lt;&gt;"No")*(tblRules[Pattern]&lt;&gt;"")*(tblRules[Category]&lt;&gt;"")*((tblRules[Flow]="Any")+(tblRules[Flow]="")+((tblRules[Flow]="Money out")*($J425&lt;0))+((tblRules[Flow]="Money in")*($J425&gt;0)))*(((tblRules[Look In]="Account")*ISNUMBER(SEARCH(tblRules[Pattern],$E425)))+((tblRules[Look In]&lt;&gt;"Account")*(((tblRules[Test]="Word")*ISNUMBER(SEARCH(" "&amp;tblRules[Pattern]&amp;" "," "&amp;$H425&amp;" ")))+((tblRules[Test]&lt;&gt;"Word")*ISNUMBER(SEARCH(tblRules[Pattern],$H425))))))&gt;0))*1E+9+ROW(tblRules[Pattern])))-ROW(tblRules[[#Headers],[Pattern]])),"Uncategorized"))</f>
        <v/>
      </c>
      <c r="L425">
        <f>IF($C425="","",IFERROR(INDEX(tblCategories[Group],MATCH($K425,tblCategories[Category],0)),"Other"))</f>
        <v/>
      </c>
      <c r="M425">
        <f>IF($C425="","",IFERROR(INDEX(tblCategories[Type],MATCH($K425,tblCategories[Category],0)),IF($J425&gt;0,"Income","Expense")))</f>
        <v/>
      </c>
      <c r="N425">
        <f>IF($C425="","",IFERROR(INDEX(tblCategories[Essential],MATCH($K425,tblCategories[Category],0)),"No"))</f>
        <v/>
      </c>
      <c r="O425">
        <f>IF($C425="","",IFERROR(INDEX(tblCategories[Tax Tag],MATCH($K425,tblCategories[Category],0)),""))</f>
        <v/>
      </c>
      <c r="P425" s="20">
        <f>IF($C425="","",IF($G425=PersonA,1,IF($G425=PersonB,0,IFERROR(INDEX(tblCategories[Joint Split A],MATCH($K425,tblCategories[Category],0)),DefaultSplitA))))</f>
        <v/>
      </c>
      <c r="Q425" s="19">
        <f>IF($C425="","",ROUND($J425*N($P425),2))</f>
        <v/>
      </c>
      <c r="R425" s="19">
        <f>IF($C425="","",ROUND($J425-N($Q425),2))</f>
        <v/>
      </c>
      <c r="X425">
        <f>IF($C425="","",IFERROR(IF(_xlfn.ISFORMULA($K425),"Rule","Manual"),""))</f>
        <v/>
      </c>
      <c r="Y425" s="19">
        <f>IF($C425="","",IF(ReportView=PersonA,N($Q425),IF(ReportView=PersonB,N($R425),$J425)))</f>
        <v/>
      </c>
    </row>
    <row r="426">
      <c r="B426">
        <f>IF($C426="","","T"&amp;TEXT(ROW()-ROW(tblTxn[[#Headers],[Txn ID]]),"000000"))</f>
        <v/>
      </c>
      <c r="C426" s="18" t="n"/>
      <c r="D426">
        <f>IF($C426="","",TEXT($C426,"yyyy-mm"))</f>
        <v/>
      </c>
      <c r="F426">
        <f>IF($C426="","",IFERROR(INDEX(tblAccounts[Owner],MATCH($E426,tblAccounts[Account],0)),"Joint"))</f>
        <v/>
      </c>
      <c r="G426">
        <f>IF($C426="","",IF(HouseholdMode="Couple",IFERROR(IF(INDEX(tblCategories[Default Owner],MATCH($K426,tblCategories[Category],0))="",$F426,INDEX(tblCategories[Default Owner],MATCH($K426,tblCategories[Category],0))),$F426),$F426))</f>
        <v/>
      </c>
      <c r="I426">
        <f>IF($H426="","",$H426)</f>
        <v/>
      </c>
      <c r="J426" s="19" t="n"/>
      <c r="K426">
        <f>IF($H426="","",IFERROR(INDEX(tblRules[Category],SUMPRODUCT(MIN((1-((tblRules[Enabled]&lt;&gt;"No")*(tblRules[Pattern]&lt;&gt;"")*(tblRules[Category]&lt;&gt;"")*((tblRules[Flow]="Any")+(tblRules[Flow]="")+((tblRules[Flow]="Money out")*($J426&lt;0))+((tblRules[Flow]="Money in")*($J426&gt;0)))*(((tblRules[Look In]="Account")*ISNUMBER(SEARCH(tblRules[Pattern],$E426)))+((tblRules[Look In]&lt;&gt;"Account")*(((tblRules[Test]="Word")*ISNUMBER(SEARCH(" "&amp;tblRules[Pattern]&amp;" "," "&amp;$H426&amp;" ")))+((tblRules[Test]&lt;&gt;"Word")*ISNUMBER(SEARCH(tblRules[Pattern],$H426))))))&gt;0))*1E+9+ROW(tblRules[Pattern])))-ROW(tblRules[[#Headers],[Pattern]])),"Uncategorized"))</f>
        <v/>
      </c>
      <c r="L426">
        <f>IF($C426="","",IFERROR(INDEX(tblCategories[Group],MATCH($K426,tblCategories[Category],0)),"Other"))</f>
        <v/>
      </c>
      <c r="M426">
        <f>IF($C426="","",IFERROR(INDEX(tblCategories[Type],MATCH($K426,tblCategories[Category],0)),IF($J426&gt;0,"Income","Expense")))</f>
        <v/>
      </c>
      <c r="N426">
        <f>IF($C426="","",IFERROR(INDEX(tblCategories[Essential],MATCH($K426,tblCategories[Category],0)),"No"))</f>
        <v/>
      </c>
      <c r="O426">
        <f>IF($C426="","",IFERROR(INDEX(tblCategories[Tax Tag],MATCH($K426,tblCategories[Category],0)),""))</f>
        <v/>
      </c>
      <c r="P426" s="20">
        <f>IF($C426="","",IF($G426=PersonA,1,IF($G426=PersonB,0,IFERROR(INDEX(tblCategories[Joint Split A],MATCH($K426,tblCategories[Category],0)),DefaultSplitA))))</f>
        <v/>
      </c>
      <c r="Q426" s="19">
        <f>IF($C426="","",ROUND($J426*N($P426),2))</f>
        <v/>
      </c>
      <c r="R426" s="19">
        <f>IF($C426="","",ROUND($J426-N($Q426),2))</f>
        <v/>
      </c>
      <c r="X426">
        <f>IF($C426="","",IFERROR(IF(_xlfn.ISFORMULA($K426),"Rule","Manual"),""))</f>
        <v/>
      </c>
      <c r="Y426" s="19">
        <f>IF($C426="","",IF(ReportView=PersonA,N($Q426),IF(ReportView=PersonB,N($R426),$J426)))</f>
        <v/>
      </c>
    </row>
    <row r="427">
      <c r="B427">
        <f>IF($C427="","","T"&amp;TEXT(ROW()-ROW(tblTxn[[#Headers],[Txn ID]]),"000000"))</f>
        <v/>
      </c>
      <c r="C427" s="18" t="n"/>
      <c r="D427">
        <f>IF($C427="","",TEXT($C427,"yyyy-mm"))</f>
        <v/>
      </c>
      <c r="F427">
        <f>IF($C427="","",IFERROR(INDEX(tblAccounts[Owner],MATCH($E427,tblAccounts[Account],0)),"Joint"))</f>
        <v/>
      </c>
      <c r="G427">
        <f>IF($C427="","",IF(HouseholdMode="Couple",IFERROR(IF(INDEX(tblCategories[Default Owner],MATCH($K427,tblCategories[Category],0))="",$F427,INDEX(tblCategories[Default Owner],MATCH($K427,tblCategories[Category],0))),$F427),$F427))</f>
        <v/>
      </c>
      <c r="I427">
        <f>IF($H427="","",$H427)</f>
        <v/>
      </c>
      <c r="J427" s="19" t="n"/>
      <c r="K427">
        <f>IF($H427="","",IFERROR(INDEX(tblRules[Category],SUMPRODUCT(MIN((1-((tblRules[Enabled]&lt;&gt;"No")*(tblRules[Pattern]&lt;&gt;"")*(tblRules[Category]&lt;&gt;"")*((tblRules[Flow]="Any")+(tblRules[Flow]="")+((tblRules[Flow]="Money out")*($J427&lt;0))+((tblRules[Flow]="Money in")*($J427&gt;0)))*(((tblRules[Look In]="Account")*ISNUMBER(SEARCH(tblRules[Pattern],$E427)))+((tblRules[Look In]&lt;&gt;"Account")*(((tblRules[Test]="Word")*ISNUMBER(SEARCH(" "&amp;tblRules[Pattern]&amp;" "," "&amp;$H427&amp;" ")))+((tblRules[Test]&lt;&gt;"Word")*ISNUMBER(SEARCH(tblRules[Pattern],$H427))))))&gt;0))*1E+9+ROW(tblRules[Pattern])))-ROW(tblRules[[#Headers],[Pattern]])),"Uncategorized"))</f>
        <v/>
      </c>
      <c r="L427">
        <f>IF($C427="","",IFERROR(INDEX(tblCategories[Group],MATCH($K427,tblCategories[Category],0)),"Other"))</f>
        <v/>
      </c>
      <c r="M427">
        <f>IF($C427="","",IFERROR(INDEX(tblCategories[Type],MATCH($K427,tblCategories[Category],0)),IF($J427&gt;0,"Income","Expense")))</f>
        <v/>
      </c>
      <c r="N427">
        <f>IF($C427="","",IFERROR(INDEX(tblCategories[Essential],MATCH($K427,tblCategories[Category],0)),"No"))</f>
        <v/>
      </c>
      <c r="O427">
        <f>IF($C427="","",IFERROR(INDEX(tblCategories[Tax Tag],MATCH($K427,tblCategories[Category],0)),""))</f>
        <v/>
      </c>
      <c r="P427" s="20">
        <f>IF($C427="","",IF($G427=PersonA,1,IF($G427=PersonB,0,IFERROR(INDEX(tblCategories[Joint Split A],MATCH($K427,tblCategories[Category],0)),DefaultSplitA))))</f>
        <v/>
      </c>
      <c r="Q427" s="19">
        <f>IF($C427="","",ROUND($J427*N($P427),2))</f>
        <v/>
      </c>
      <c r="R427" s="19">
        <f>IF($C427="","",ROUND($J427-N($Q427),2))</f>
        <v/>
      </c>
      <c r="X427">
        <f>IF($C427="","",IFERROR(IF(_xlfn.ISFORMULA($K427),"Rule","Manual"),""))</f>
        <v/>
      </c>
      <c r="Y427" s="19">
        <f>IF($C427="","",IF(ReportView=PersonA,N($Q427),IF(ReportView=PersonB,N($R427),$J427)))</f>
        <v/>
      </c>
    </row>
    <row r="428">
      <c r="B428">
        <f>IF($C428="","","T"&amp;TEXT(ROW()-ROW(tblTxn[[#Headers],[Txn ID]]),"000000"))</f>
        <v/>
      </c>
      <c r="C428" s="18" t="n"/>
      <c r="D428">
        <f>IF($C428="","",TEXT($C428,"yyyy-mm"))</f>
        <v/>
      </c>
      <c r="F428">
        <f>IF($C428="","",IFERROR(INDEX(tblAccounts[Owner],MATCH($E428,tblAccounts[Account],0)),"Joint"))</f>
        <v/>
      </c>
      <c r="G428">
        <f>IF($C428="","",IF(HouseholdMode="Couple",IFERROR(IF(INDEX(tblCategories[Default Owner],MATCH($K428,tblCategories[Category],0))="",$F428,INDEX(tblCategories[Default Owner],MATCH($K428,tblCategories[Category],0))),$F428),$F428))</f>
        <v/>
      </c>
      <c r="I428">
        <f>IF($H428="","",$H428)</f>
        <v/>
      </c>
      <c r="J428" s="19" t="n"/>
      <c r="K428">
        <f>IF($H428="","",IFERROR(INDEX(tblRules[Category],SUMPRODUCT(MIN((1-((tblRules[Enabled]&lt;&gt;"No")*(tblRules[Pattern]&lt;&gt;"")*(tblRules[Category]&lt;&gt;"")*((tblRules[Flow]="Any")+(tblRules[Flow]="")+((tblRules[Flow]="Money out")*($J428&lt;0))+((tblRules[Flow]="Money in")*($J428&gt;0)))*(((tblRules[Look In]="Account")*ISNUMBER(SEARCH(tblRules[Pattern],$E428)))+((tblRules[Look In]&lt;&gt;"Account")*(((tblRules[Test]="Word")*ISNUMBER(SEARCH(" "&amp;tblRules[Pattern]&amp;" "," "&amp;$H428&amp;" ")))+((tblRules[Test]&lt;&gt;"Word")*ISNUMBER(SEARCH(tblRules[Pattern],$H428))))))&gt;0))*1E+9+ROW(tblRules[Pattern])))-ROW(tblRules[[#Headers],[Pattern]])),"Uncategorized"))</f>
        <v/>
      </c>
      <c r="L428">
        <f>IF($C428="","",IFERROR(INDEX(tblCategories[Group],MATCH($K428,tblCategories[Category],0)),"Other"))</f>
        <v/>
      </c>
      <c r="M428">
        <f>IF($C428="","",IFERROR(INDEX(tblCategories[Type],MATCH($K428,tblCategories[Category],0)),IF($J428&gt;0,"Income","Expense")))</f>
        <v/>
      </c>
      <c r="N428">
        <f>IF($C428="","",IFERROR(INDEX(tblCategories[Essential],MATCH($K428,tblCategories[Category],0)),"No"))</f>
        <v/>
      </c>
      <c r="O428">
        <f>IF($C428="","",IFERROR(INDEX(tblCategories[Tax Tag],MATCH($K428,tblCategories[Category],0)),""))</f>
        <v/>
      </c>
      <c r="P428" s="20">
        <f>IF($C428="","",IF($G428=PersonA,1,IF($G428=PersonB,0,IFERROR(INDEX(tblCategories[Joint Split A],MATCH($K428,tblCategories[Category],0)),DefaultSplitA))))</f>
        <v/>
      </c>
      <c r="Q428" s="19">
        <f>IF($C428="","",ROUND($J428*N($P428),2))</f>
        <v/>
      </c>
      <c r="R428" s="19">
        <f>IF($C428="","",ROUND($J428-N($Q428),2))</f>
        <v/>
      </c>
      <c r="X428">
        <f>IF($C428="","",IFERROR(IF(_xlfn.ISFORMULA($K428),"Rule","Manual"),""))</f>
        <v/>
      </c>
      <c r="Y428" s="19">
        <f>IF($C428="","",IF(ReportView=PersonA,N($Q428),IF(ReportView=PersonB,N($R428),$J428)))</f>
        <v/>
      </c>
    </row>
    <row r="429">
      <c r="B429">
        <f>IF($C429="","","T"&amp;TEXT(ROW()-ROW(tblTxn[[#Headers],[Txn ID]]),"000000"))</f>
        <v/>
      </c>
      <c r="C429" s="18" t="n"/>
      <c r="D429">
        <f>IF($C429="","",TEXT($C429,"yyyy-mm"))</f>
        <v/>
      </c>
      <c r="F429">
        <f>IF($C429="","",IFERROR(INDEX(tblAccounts[Owner],MATCH($E429,tblAccounts[Account],0)),"Joint"))</f>
        <v/>
      </c>
      <c r="G429">
        <f>IF($C429="","",IF(HouseholdMode="Couple",IFERROR(IF(INDEX(tblCategories[Default Owner],MATCH($K429,tblCategories[Category],0))="",$F429,INDEX(tblCategories[Default Owner],MATCH($K429,tblCategories[Category],0))),$F429),$F429))</f>
        <v/>
      </c>
      <c r="I429">
        <f>IF($H429="","",$H429)</f>
        <v/>
      </c>
      <c r="J429" s="19" t="n"/>
      <c r="K429">
        <f>IF($H429="","",IFERROR(INDEX(tblRules[Category],SUMPRODUCT(MIN((1-((tblRules[Enabled]&lt;&gt;"No")*(tblRules[Pattern]&lt;&gt;"")*(tblRules[Category]&lt;&gt;"")*((tblRules[Flow]="Any")+(tblRules[Flow]="")+((tblRules[Flow]="Money out")*($J429&lt;0))+((tblRules[Flow]="Money in")*($J429&gt;0)))*(((tblRules[Look In]="Account")*ISNUMBER(SEARCH(tblRules[Pattern],$E429)))+((tblRules[Look In]&lt;&gt;"Account")*(((tblRules[Test]="Word")*ISNUMBER(SEARCH(" "&amp;tblRules[Pattern]&amp;" "," "&amp;$H429&amp;" ")))+((tblRules[Test]&lt;&gt;"Word")*ISNUMBER(SEARCH(tblRules[Pattern],$H429))))))&gt;0))*1E+9+ROW(tblRules[Pattern])))-ROW(tblRules[[#Headers],[Pattern]])),"Uncategorized"))</f>
        <v/>
      </c>
      <c r="L429">
        <f>IF($C429="","",IFERROR(INDEX(tblCategories[Group],MATCH($K429,tblCategories[Category],0)),"Other"))</f>
        <v/>
      </c>
      <c r="M429">
        <f>IF($C429="","",IFERROR(INDEX(tblCategories[Type],MATCH($K429,tblCategories[Category],0)),IF($J429&gt;0,"Income","Expense")))</f>
        <v/>
      </c>
      <c r="N429">
        <f>IF($C429="","",IFERROR(INDEX(tblCategories[Essential],MATCH($K429,tblCategories[Category],0)),"No"))</f>
        <v/>
      </c>
      <c r="O429">
        <f>IF($C429="","",IFERROR(INDEX(tblCategories[Tax Tag],MATCH($K429,tblCategories[Category],0)),""))</f>
        <v/>
      </c>
      <c r="P429" s="20">
        <f>IF($C429="","",IF($G429=PersonA,1,IF($G429=PersonB,0,IFERROR(INDEX(tblCategories[Joint Split A],MATCH($K429,tblCategories[Category],0)),DefaultSplitA))))</f>
        <v/>
      </c>
      <c r="Q429" s="19">
        <f>IF($C429="","",ROUND($J429*N($P429),2))</f>
        <v/>
      </c>
      <c r="R429" s="19">
        <f>IF($C429="","",ROUND($J429-N($Q429),2))</f>
        <v/>
      </c>
      <c r="X429">
        <f>IF($C429="","",IFERROR(IF(_xlfn.ISFORMULA($K429),"Rule","Manual"),""))</f>
        <v/>
      </c>
      <c r="Y429" s="19">
        <f>IF($C429="","",IF(ReportView=PersonA,N($Q429),IF(ReportView=PersonB,N($R429),$J429)))</f>
        <v/>
      </c>
    </row>
    <row r="430">
      <c r="B430">
        <f>IF($C430="","","T"&amp;TEXT(ROW()-ROW(tblTxn[[#Headers],[Txn ID]]),"000000"))</f>
        <v/>
      </c>
      <c r="C430" s="18" t="n"/>
      <c r="D430">
        <f>IF($C430="","",TEXT($C430,"yyyy-mm"))</f>
        <v/>
      </c>
      <c r="F430">
        <f>IF($C430="","",IFERROR(INDEX(tblAccounts[Owner],MATCH($E430,tblAccounts[Account],0)),"Joint"))</f>
        <v/>
      </c>
      <c r="G430">
        <f>IF($C430="","",IF(HouseholdMode="Couple",IFERROR(IF(INDEX(tblCategories[Default Owner],MATCH($K430,tblCategories[Category],0))="",$F430,INDEX(tblCategories[Default Owner],MATCH($K430,tblCategories[Category],0))),$F430),$F430))</f>
        <v/>
      </c>
      <c r="I430">
        <f>IF($H430="","",$H430)</f>
        <v/>
      </c>
      <c r="J430" s="19" t="n"/>
      <c r="K430">
        <f>IF($H430="","",IFERROR(INDEX(tblRules[Category],SUMPRODUCT(MIN((1-((tblRules[Enabled]&lt;&gt;"No")*(tblRules[Pattern]&lt;&gt;"")*(tblRules[Category]&lt;&gt;"")*((tblRules[Flow]="Any")+(tblRules[Flow]="")+((tblRules[Flow]="Money out")*($J430&lt;0))+((tblRules[Flow]="Money in")*($J430&gt;0)))*(((tblRules[Look In]="Account")*ISNUMBER(SEARCH(tblRules[Pattern],$E430)))+((tblRules[Look In]&lt;&gt;"Account")*(((tblRules[Test]="Word")*ISNUMBER(SEARCH(" "&amp;tblRules[Pattern]&amp;" "," "&amp;$H430&amp;" ")))+((tblRules[Test]&lt;&gt;"Word")*ISNUMBER(SEARCH(tblRules[Pattern],$H430))))))&gt;0))*1E+9+ROW(tblRules[Pattern])))-ROW(tblRules[[#Headers],[Pattern]])),"Uncategorized"))</f>
        <v/>
      </c>
      <c r="L430">
        <f>IF($C430="","",IFERROR(INDEX(tblCategories[Group],MATCH($K430,tblCategories[Category],0)),"Other"))</f>
        <v/>
      </c>
      <c r="M430">
        <f>IF($C430="","",IFERROR(INDEX(tblCategories[Type],MATCH($K430,tblCategories[Category],0)),IF($J430&gt;0,"Income","Expense")))</f>
        <v/>
      </c>
      <c r="N430">
        <f>IF($C430="","",IFERROR(INDEX(tblCategories[Essential],MATCH($K430,tblCategories[Category],0)),"No"))</f>
        <v/>
      </c>
      <c r="O430">
        <f>IF($C430="","",IFERROR(INDEX(tblCategories[Tax Tag],MATCH($K430,tblCategories[Category],0)),""))</f>
        <v/>
      </c>
      <c r="P430" s="20">
        <f>IF($C430="","",IF($G430=PersonA,1,IF($G430=PersonB,0,IFERROR(INDEX(tblCategories[Joint Split A],MATCH($K430,tblCategories[Category],0)),DefaultSplitA))))</f>
        <v/>
      </c>
      <c r="Q430" s="19">
        <f>IF($C430="","",ROUND($J430*N($P430),2))</f>
        <v/>
      </c>
      <c r="R430" s="19">
        <f>IF($C430="","",ROUND($J430-N($Q430),2))</f>
        <v/>
      </c>
      <c r="X430">
        <f>IF($C430="","",IFERROR(IF(_xlfn.ISFORMULA($K430),"Rule","Manual"),""))</f>
        <v/>
      </c>
      <c r="Y430" s="19">
        <f>IF($C430="","",IF(ReportView=PersonA,N($Q430),IF(ReportView=PersonB,N($R430),$J430)))</f>
        <v/>
      </c>
    </row>
    <row r="431">
      <c r="B431">
        <f>IF($C431="","","T"&amp;TEXT(ROW()-ROW(tblTxn[[#Headers],[Txn ID]]),"000000"))</f>
        <v/>
      </c>
      <c r="C431" s="18" t="n"/>
      <c r="D431">
        <f>IF($C431="","",TEXT($C431,"yyyy-mm"))</f>
        <v/>
      </c>
      <c r="F431">
        <f>IF($C431="","",IFERROR(INDEX(tblAccounts[Owner],MATCH($E431,tblAccounts[Account],0)),"Joint"))</f>
        <v/>
      </c>
      <c r="G431">
        <f>IF($C431="","",IF(HouseholdMode="Couple",IFERROR(IF(INDEX(tblCategories[Default Owner],MATCH($K431,tblCategories[Category],0))="",$F431,INDEX(tblCategories[Default Owner],MATCH($K431,tblCategories[Category],0))),$F431),$F431))</f>
        <v/>
      </c>
      <c r="I431">
        <f>IF($H431="","",$H431)</f>
        <v/>
      </c>
      <c r="J431" s="19" t="n"/>
      <c r="K431">
        <f>IF($H431="","",IFERROR(INDEX(tblRules[Category],SUMPRODUCT(MIN((1-((tblRules[Enabled]&lt;&gt;"No")*(tblRules[Pattern]&lt;&gt;"")*(tblRules[Category]&lt;&gt;"")*((tblRules[Flow]="Any")+(tblRules[Flow]="")+((tblRules[Flow]="Money out")*($J431&lt;0))+((tblRules[Flow]="Money in")*($J431&gt;0)))*(((tblRules[Look In]="Account")*ISNUMBER(SEARCH(tblRules[Pattern],$E431)))+((tblRules[Look In]&lt;&gt;"Account")*(((tblRules[Test]="Word")*ISNUMBER(SEARCH(" "&amp;tblRules[Pattern]&amp;" "," "&amp;$H431&amp;" ")))+((tblRules[Test]&lt;&gt;"Word")*ISNUMBER(SEARCH(tblRules[Pattern],$H431))))))&gt;0))*1E+9+ROW(tblRules[Pattern])))-ROW(tblRules[[#Headers],[Pattern]])),"Uncategorized"))</f>
        <v/>
      </c>
      <c r="L431">
        <f>IF($C431="","",IFERROR(INDEX(tblCategories[Group],MATCH($K431,tblCategories[Category],0)),"Other"))</f>
        <v/>
      </c>
      <c r="M431">
        <f>IF($C431="","",IFERROR(INDEX(tblCategories[Type],MATCH($K431,tblCategories[Category],0)),IF($J431&gt;0,"Income","Expense")))</f>
        <v/>
      </c>
      <c r="N431">
        <f>IF($C431="","",IFERROR(INDEX(tblCategories[Essential],MATCH($K431,tblCategories[Category],0)),"No"))</f>
        <v/>
      </c>
      <c r="O431">
        <f>IF($C431="","",IFERROR(INDEX(tblCategories[Tax Tag],MATCH($K431,tblCategories[Category],0)),""))</f>
        <v/>
      </c>
      <c r="P431" s="20">
        <f>IF($C431="","",IF($G431=PersonA,1,IF($G431=PersonB,0,IFERROR(INDEX(tblCategories[Joint Split A],MATCH($K431,tblCategories[Category],0)),DefaultSplitA))))</f>
        <v/>
      </c>
      <c r="Q431" s="19">
        <f>IF($C431="","",ROUND($J431*N($P431),2))</f>
        <v/>
      </c>
      <c r="R431" s="19">
        <f>IF($C431="","",ROUND($J431-N($Q431),2))</f>
        <v/>
      </c>
      <c r="X431">
        <f>IF($C431="","",IFERROR(IF(_xlfn.ISFORMULA($K431),"Rule","Manual"),""))</f>
        <v/>
      </c>
      <c r="Y431" s="19">
        <f>IF($C431="","",IF(ReportView=PersonA,N($Q431),IF(ReportView=PersonB,N($R431),$J431)))</f>
        <v/>
      </c>
    </row>
    <row r="432">
      <c r="B432">
        <f>IF($C432="","","T"&amp;TEXT(ROW()-ROW(tblTxn[[#Headers],[Txn ID]]),"000000"))</f>
        <v/>
      </c>
      <c r="C432" s="18" t="n"/>
      <c r="D432">
        <f>IF($C432="","",TEXT($C432,"yyyy-mm"))</f>
        <v/>
      </c>
      <c r="F432">
        <f>IF($C432="","",IFERROR(INDEX(tblAccounts[Owner],MATCH($E432,tblAccounts[Account],0)),"Joint"))</f>
        <v/>
      </c>
      <c r="G432">
        <f>IF($C432="","",IF(HouseholdMode="Couple",IFERROR(IF(INDEX(tblCategories[Default Owner],MATCH($K432,tblCategories[Category],0))="",$F432,INDEX(tblCategories[Default Owner],MATCH($K432,tblCategories[Category],0))),$F432),$F432))</f>
        <v/>
      </c>
      <c r="I432">
        <f>IF($H432="","",$H432)</f>
        <v/>
      </c>
      <c r="J432" s="19" t="n"/>
      <c r="K432">
        <f>IF($H432="","",IFERROR(INDEX(tblRules[Category],SUMPRODUCT(MIN((1-((tblRules[Enabled]&lt;&gt;"No")*(tblRules[Pattern]&lt;&gt;"")*(tblRules[Category]&lt;&gt;"")*((tblRules[Flow]="Any")+(tblRules[Flow]="")+((tblRules[Flow]="Money out")*($J432&lt;0))+((tblRules[Flow]="Money in")*($J432&gt;0)))*(((tblRules[Look In]="Account")*ISNUMBER(SEARCH(tblRules[Pattern],$E432)))+((tblRules[Look In]&lt;&gt;"Account")*(((tblRules[Test]="Word")*ISNUMBER(SEARCH(" "&amp;tblRules[Pattern]&amp;" "," "&amp;$H432&amp;" ")))+((tblRules[Test]&lt;&gt;"Word")*ISNUMBER(SEARCH(tblRules[Pattern],$H432))))))&gt;0))*1E+9+ROW(tblRules[Pattern])))-ROW(tblRules[[#Headers],[Pattern]])),"Uncategorized"))</f>
        <v/>
      </c>
      <c r="L432">
        <f>IF($C432="","",IFERROR(INDEX(tblCategories[Group],MATCH($K432,tblCategories[Category],0)),"Other"))</f>
        <v/>
      </c>
      <c r="M432">
        <f>IF($C432="","",IFERROR(INDEX(tblCategories[Type],MATCH($K432,tblCategories[Category],0)),IF($J432&gt;0,"Income","Expense")))</f>
        <v/>
      </c>
      <c r="N432">
        <f>IF($C432="","",IFERROR(INDEX(tblCategories[Essential],MATCH($K432,tblCategories[Category],0)),"No"))</f>
        <v/>
      </c>
      <c r="O432">
        <f>IF($C432="","",IFERROR(INDEX(tblCategories[Tax Tag],MATCH($K432,tblCategories[Category],0)),""))</f>
        <v/>
      </c>
      <c r="P432" s="20">
        <f>IF($C432="","",IF($G432=PersonA,1,IF($G432=PersonB,0,IFERROR(INDEX(tblCategories[Joint Split A],MATCH($K432,tblCategories[Category],0)),DefaultSplitA))))</f>
        <v/>
      </c>
      <c r="Q432" s="19">
        <f>IF($C432="","",ROUND($J432*N($P432),2))</f>
        <v/>
      </c>
      <c r="R432" s="19">
        <f>IF($C432="","",ROUND($J432-N($Q432),2))</f>
        <v/>
      </c>
      <c r="X432">
        <f>IF($C432="","",IFERROR(IF(_xlfn.ISFORMULA($K432),"Rule","Manual"),""))</f>
        <v/>
      </c>
      <c r="Y432" s="19">
        <f>IF($C432="","",IF(ReportView=PersonA,N($Q432),IF(ReportView=PersonB,N($R432),$J432)))</f>
        <v/>
      </c>
    </row>
    <row r="433">
      <c r="B433">
        <f>IF($C433="","","T"&amp;TEXT(ROW()-ROW(tblTxn[[#Headers],[Txn ID]]),"000000"))</f>
        <v/>
      </c>
      <c r="C433" s="18" t="n"/>
      <c r="D433">
        <f>IF($C433="","",TEXT($C433,"yyyy-mm"))</f>
        <v/>
      </c>
      <c r="F433">
        <f>IF($C433="","",IFERROR(INDEX(tblAccounts[Owner],MATCH($E433,tblAccounts[Account],0)),"Joint"))</f>
        <v/>
      </c>
      <c r="G433">
        <f>IF($C433="","",IF(HouseholdMode="Couple",IFERROR(IF(INDEX(tblCategories[Default Owner],MATCH($K433,tblCategories[Category],0))="",$F433,INDEX(tblCategories[Default Owner],MATCH($K433,tblCategories[Category],0))),$F433),$F433))</f>
        <v/>
      </c>
      <c r="I433">
        <f>IF($H433="","",$H433)</f>
        <v/>
      </c>
      <c r="J433" s="19" t="n"/>
      <c r="K433">
        <f>IF($H433="","",IFERROR(INDEX(tblRules[Category],SUMPRODUCT(MIN((1-((tblRules[Enabled]&lt;&gt;"No")*(tblRules[Pattern]&lt;&gt;"")*(tblRules[Category]&lt;&gt;"")*((tblRules[Flow]="Any")+(tblRules[Flow]="")+((tblRules[Flow]="Money out")*($J433&lt;0))+((tblRules[Flow]="Money in")*($J433&gt;0)))*(((tblRules[Look In]="Account")*ISNUMBER(SEARCH(tblRules[Pattern],$E433)))+((tblRules[Look In]&lt;&gt;"Account")*(((tblRules[Test]="Word")*ISNUMBER(SEARCH(" "&amp;tblRules[Pattern]&amp;" "," "&amp;$H433&amp;" ")))+((tblRules[Test]&lt;&gt;"Word")*ISNUMBER(SEARCH(tblRules[Pattern],$H433))))))&gt;0))*1E+9+ROW(tblRules[Pattern])))-ROW(tblRules[[#Headers],[Pattern]])),"Uncategorized"))</f>
        <v/>
      </c>
      <c r="L433">
        <f>IF($C433="","",IFERROR(INDEX(tblCategories[Group],MATCH($K433,tblCategories[Category],0)),"Other"))</f>
        <v/>
      </c>
      <c r="M433">
        <f>IF($C433="","",IFERROR(INDEX(tblCategories[Type],MATCH($K433,tblCategories[Category],0)),IF($J433&gt;0,"Income","Expense")))</f>
        <v/>
      </c>
      <c r="N433">
        <f>IF($C433="","",IFERROR(INDEX(tblCategories[Essential],MATCH($K433,tblCategories[Category],0)),"No"))</f>
        <v/>
      </c>
      <c r="O433">
        <f>IF($C433="","",IFERROR(INDEX(tblCategories[Tax Tag],MATCH($K433,tblCategories[Category],0)),""))</f>
        <v/>
      </c>
      <c r="P433" s="20">
        <f>IF($C433="","",IF($G433=PersonA,1,IF($G433=PersonB,0,IFERROR(INDEX(tblCategories[Joint Split A],MATCH($K433,tblCategories[Category],0)),DefaultSplitA))))</f>
        <v/>
      </c>
      <c r="Q433" s="19">
        <f>IF($C433="","",ROUND($J433*N($P433),2))</f>
        <v/>
      </c>
      <c r="R433" s="19">
        <f>IF($C433="","",ROUND($J433-N($Q433),2))</f>
        <v/>
      </c>
      <c r="X433">
        <f>IF($C433="","",IFERROR(IF(_xlfn.ISFORMULA($K433),"Rule","Manual"),""))</f>
        <v/>
      </c>
      <c r="Y433" s="19">
        <f>IF($C433="","",IF(ReportView=PersonA,N($Q433),IF(ReportView=PersonB,N($R433),$J433)))</f>
        <v/>
      </c>
    </row>
    <row r="434">
      <c r="B434">
        <f>IF($C434="","","T"&amp;TEXT(ROW()-ROW(tblTxn[[#Headers],[Txn ID]]),"000000"))</f>
        <v/>
      </c>
      <c r="C434" s="18" t="n"/>
      <c r="D434">
        <f>IF($C434="","",TEXT($C434,"yyyy-mm"))</f>
        <v/>
      </c>
      <c r="F434">
        <f>IF($C434="","",IFERROR(INDEX(tblAccounts[Owner],MATCH($E434,tblAccounts[Account],0)),"Joint"))</f>
        <v/>
      </c>
      <c r="G434">
        <f>IF($C434="","",IF(HouseholdMode="Couple",IFERROR(IF(INDEX(tblCategories[Default Owner],MATCH($K434,tblCategories[Category],0))="",$F434,INDEX(tblCategories[Default Owner],MATCH($K434,tblCategories[Category],0))),$F434),$F434))</f>
        <v/>
      </c>
      <c r="I434">
        <f>IF($H434="","",$H434)</f>
        <v/>
      </c>
      <c r="J434" s="19" t="n"/>
      <c r="K434">
        <f>IF($H434="","",IFERROR(INDEX(tblRules[Category],SUMPRODUCT(MIN((1-((tblRules[Enabled]&lt;&gt;"No")*(tblRules[Pattern]&lt;&gt;"")*(tblRules[Category]&lt;&gt;"")*((tblRules[Flow]="Any")+(tblRules[Flow]="")+((tblRules[Flow]="Money out")*($J434&lt;0))+((tblRules[Flow]="Money in")*($J434&gt;0)))*(((tblRules[Look In]="Account")*ISNUMBER(SEARCH(tblRules[Pattern],$E434)))+((tblRules[Look In]&lt;&gt;"Account")*(((tblRules[Test]="Word")*ISNUMBER(SEARCH(" "&amp;tblRules[Pattern]&amp;" "," "&amp;$H434&amp;" ")))+((tblRules[Test]&lt;&gt;"Word")*ISNUMBER(SEARCH(tblRules[Pattern],$H434))))))&gt;0))*1E+9+ROW(tblRules[Pattern])))-ROW(tblRules[[#Headers],[Pattern]])),"Uncategorized"))</f>
        <v/>
      </c>
      <c r="L434">
        <f>IF($C434="","",IFERROR(INDEX(tblCategories[Group],MATCH($K434,tblCategories[Category],0)),"Other"))</f>
        <v/>
      </c>
      <c r="M434">
        <f>IF($C434="","",IFERROR(INDEX(tblCategories[Type],MATCH($K434,tblCategories[Category],0)),IF($J434&gt;0,"Income","Expense")))</f>
        <v/>
      </c>
      <c r="N434">
        <f>IF($C434="","",IFERROR(INDEX(tblCategories[Essential],MATCH($K434,tblCategories[Category],0)),"No"))</f>
        <v/>
      </c>
      <c r="O434">
        <f>IF($C434="","",IFERROR(INDEX(tblCategories[Tax Tag],MATCH($K434,tblCategories[Category],0)),""))</f>
        <v/>
      </c>
      <c r="P434" s="20">
        <f>IF($C434="","",IF($G434=PersonA,1,IF($G434=PersonB,0,IFERROR(INDEX(tblCategories[Joint Split A],MATCH($K434,tblCategories[Category],0)),DefaultSplitA))))</f>
        <v/>
      </c>
      <c r="Q434" s="19">
        <f>IF($C434="","",ROUND($J434*N($P434),2))</f>
        <v/>
      </c>
      <c r="R434" s="19">
        <f>IF($C434="","",ROUND($J434-N($Q434),2))</f>
        <v/>
      </c>
      <c r="X434">
        <f>IF($C434="","",IFERROR(IF(_xlfn.ISFORMULA($K434),"Rule","Manual"),""))</f>
        <v/>
      </c>
      <c r="Y434" s="19">
        <f>IF($C434="","",IF(ReportView=PersonA,N($Q434),IF(ReportView=PersonB,N($R434),$J434)))</f>
        <v/>
      </c>
    </row>
    <row r="435">
      <c r="B435">
        <f>IF($C435="","","T"&amp;TEXT(ROW()-ROW(tblTxn[[#Headers],[Txn ID]]),"000000"))</f>
        <v/>
      </c>
      <c r="C435" s="18" t="n"/>
      <c r="D435">
        <f>IF($C435="","",TEXT($C435,"yyyy-mm"))</f>
        <v/>
      </c>
      <c r="F435">
        <f>IF($C435="","",IFERROR(INDEX(tblAccounts[Owner],MATCH($E435,tblAccounts[Account],0)),"Joint"))</f>
        <v/>
      </c>
      <c r="G435">
        <f>IF($C435="","",IF(HouseholdMode="Couple",IFERROR(IF(INDEX(tblCategories[Default Owner],MATCH($K435,tblCategories[Category],0))="",$F435,INDEX(tblCategories[Default Owner],MATCH($K435,tblCategories[Category],0))),$F435),$F435))</f>
        <v/>
      </c>
      <c r="I435">
        <f>IF($H435="","",$H435)</f>
        <v/>
      </c>
      <c r="J435" s="19" t="n"/>
      <c r="K435">
        <f>IF($H435="","",IFERROR(INDEX(tblRules[Category],SUMPRODUCT(MIN((1-((tblRules[Enabled]&lt;&gt;"No")*(tblRules[Pattern]&lt;&gt;"")*(tblRules[Category]&lt;&gt;"")*((tblRules[Flow]="Any")+(tblRules[Flow]="")+((tblRules[Flow]="Money out")*($J435&lt;0))+((tblRules[Flow]="Money in")*($J435&gt;0)))*(((tblRules[Look In]="Account")*ISNUMBER(SEARCH(tblRules[Pattern],$E435)))+((tblRules[Look In]&lt;&gt;"Account")*(((tblRules[Test]="Word")*ISNUMBER(SEARCH(" "&amp;tblRules[Pattern]&amp;" "," "&amp;$H435&amp;" ")))+((tblRules[Test]&lt;&gt;"Word")*ISNUMBER(SEARCH(tblRules[Pattern],$H435))))))&gt;0))*1E+9+ROW(tblRules[Pattern])))-ROW(tblRules[[#Headers],[Pattern]])),"Uncategorized"))</f>
        <v/>
      </c>
      <c r="L435">
        <f>IF($C435="","",IFERROR(INDEX(tblCategories[Group],MATCH($K435,tblCategories[Category],0)),"Other"))</f>
        <v/>
      </c>
      <c r="M435">
        <f>IF($C435="","",IFERROR(INDEX(tblCategories[Type],MATCH($K435,tblCategories[Category],0)),IF($J435&gt;0,"Income","Expense")))</f>
        <v/>
      </c>
      <c r="N435">
        <f>IF($C435="","",IFERROR(INDEX(tblCategories[Essential],MATCH($K435,tblCategories[Category],0)),"No"))</f>
        <v/>
      </c>
      <c r="O435">
        <f>IF($C435="","",IFERROR(INDEX(tblCategories[Tax Tag],MATCH($K435,tblCategories[Category],0)),""))</f>
        <v/>
      </c>
      <c r="P435" s="20">
        <f>IF($C435="","",IF($G435=PersonA,1,IF($G435=PersonB,0,IFERROR(INDEX(tblCategories[Joint Split A],MATCH($K435,tblCategories[Category],0)),DefaultSplitA))))</f>
        <v/>
      </c>
      <c r="Q435" s="19">
        <f>IF($C435="","",ROUND($J435*N($P435),2))</f>
        <v/>
      </c>
      <c r="R435" s="19">
        <f>IF($C435="","",ROUND($J435-N($Q435),2))</f>
        <v/>
      </c>
      <c r="X435">
        <f>IF($C435="","",IFERROR(IF(_xlfn.ISFORMULA($K435),"Rule","Manual"),""))</f>
        <v/>
      </c>
      <c r="Y435" s="19">
        <f>IF($C435="","",IF(ReportView=PersonA,N($Q435),IF(ReportView=PersonB,N($R435),$J435)))</f>
        <v/>
      </c>
    </row>
    <row r="436">
      <c r="B436">
        <f>IF($C436="","","T"&amp;TEXT(ROW()-ROW(tblTxn[[#Headers],[Txn ID]]),"000000"))</f>
        <v/>
      </c>
      <c r="C436" s="18" t="n"/>
      <c r="D436">
        <f>IF($C436="","",TEXT($C436,"yyyy-mm"))</f>
        <v/>
      </c>
      <c r="F436">
        <f>IF($C436="","",IFERROR(INDEX(tblAccounts[Owner],MATCH($E436,tblAccounts[Account],0)),"Joint"))</f>
        <v/>
      </c>
      <c r="G436">
        <f>IF($C436="","",IF(HouseholdMode="Couple",IFERROR(IF(INDEX(tblCategories[Default Owner],MATCH($K436,tblCategories[Category],0))="",$F436,INDEX(tblCategories[Default Owner],MATCH($K436,tblCategories[Category],0))),$F436),$F436))</f>
        <v/>
      </c>
      <c r="I436">
        <f>IF($H436="","",$H436)</f>
        <v/>
      </c>
      <c r="J436" s="19" t="n"/>
      <c r="K436">
        <f>IF($H436="","",IFERROR(INDEX(tblRules[Category],SUMPRODUCT(MIN((1-((tblRules[Enabled]&lt;&gt;"No")*(tblRules[Pattern]&lt;&gt;"")*(tblRules[Category]&lt;&gt;"")*((tblRules[Flow]="Any")+(tblRules[Flow]="")+((tblRules[Flow]="Money out")*($J436&lt;0))+((tblRules[Flow]="Money in")*($J436&gt;0)))*(((tblRules[Look In]="Account")*ISNUMBER(SEARCH(tblRules[Pattern],$E436)))+((tblRules[Look In]&lt;&gt;"Account")*(((tblRules[Test]="Word")*ISNUMBER(SEARCH(" "&amp;tblRules[Pattern]&amp;" "," "&amp;$H436&amp;" ")))+((tblRules[Test]&lt;&gt;"Word")*ISNUMBER(SEARCH(tblRules[Pattern],$H436))))))&gt;0))*1E+9+ROW(tblRules[Pattern])))-ROW(tblRules[[#Headers],[Pattern]])),"Uncategorized"))</f>
        <v/>
      </c>
      <c r="L436">
        <f>IF($C436="","",IFERROR(INDEX(tblCategories[Group],MATCH($K436,tblCategories[Category],0)),"Other"))</f>
        <v/>
      </c>
      <c r="M436">
        <f>IF($C436="","",IFERROR(INDEX(tblCategories[Type],MATCH($K436,tblCategories[Category],0)),IF($J436&gt;0,"Income","Expense")))</f>
        <v/>
      </c>
      <c r="N436">
        <f>IF($C436="","",IFERROR(INDEX(tblCategories[Essential],MATCH($K436,tblCategories[Category],0)),"No"))</f>
        <v/>
      </c>
      <c r="O436">
        <f>IF($C436="","",IFERROR(INDEX(tblCategories[Tax Tag],MATCH($K436,tblCategories[Category],0)),""))</f>
        <v/>
      </c>
      <c r="P436" s="20">
        <f>IF($C436="","",IF($G436=PersonA,1,IF($G436=PersonB,0,IFERROR(INDEX(tblCategories[Joint Split A],MATCH($K436,tblCategories[Category],0)),DefaultSplitA))))</f>
        <v/>
      </c>
      <c r="Q436" s="19">
        <f>IF($C436="","",ROUND($J436*N($P436),2))</f>
        <v/>
      </c>
      <c r="R436" s="19">
        <f>IF($C436="","",ROUND($J436-N($Q436),2))</f>
        <v/>
      </c>
      <c r="X436">
        <f>IF($C436="","",IFERROR(IF(_xlfn.ISFORMULA($K436),"Rule","Manual"),""))</f>
        <v/>
      </c>
      <c r="Y436" s="19">
        <f>IF($C436="","",IF(ReportView=PersonA,N($Q436),IF(ReportView=PersonB,N($R436),$J436)))</f>
        <v/>
      </c>
    </row>
    <row r="437">
      <c r="B437">
        <f>IF($C437="","","T"&amp;TEXT(ROW()-ROW(tblTxn[[#Headers],[Txn ID]]),"000000"))</f>
        <v/>
      </c>
      <c r="C437" s="18" t="n"/>
      <c r="D437">
        <f>IF($C437="","",TEXT($C437,"yyyy-mm"))</f>
        <v/>
      </c>
      <c r="F437">
        <f>IF($C437="","",IFERROR(INDEX(tblAccounts[Owner],MATCH($E437,tblAccounts[Account],0)),"Joint"))</f>
        <v/>
      </c>
      <c r="G437">
        <f>IF($C437="","",IF(HouseholdMode="Couple",IFERROR(IF(INDEX(tblCategories[Default Owner],MATCH($K437,tblCategories[Category],0))="",$F437,INDEX(tblCategories[Default Owner],MATCH($K437,tblCategories[Category],0))),$F437),$F437))</f>
        <v/>
      </c>
      <c r="I437">
        <f>IF($H437="","",$H437)</f>
        <v/>
      </c>
      <c r="J437" s="19" t="n"/>
      <c r="K437">
        <f>IF($H437="","",IFERROR(INDEX(tblRules[Category],SUMPRODUCT(MIN((1-((tblRules[Enabled]&lt;&gt;"No")*(tblRules[Pattern]&lt;&gt;"")*(tblRules[Category]&lt;&gt;"")*((tblRules[Flow]="Any")+(tblRules[Flow]="")+((tblRules[Flow]="Money out")*($J437&lt;0))+((tblRules[Flow]="Money in")*($J437&gt;0)))*(((tblRules[Look In]="Account")*ISNUMBER(SEARCH(tblRules[Pattern],$E437)))+((tblRules[Look In]&lt;&gt;"Account")*(((tblRules[Test]="Word")*ISNUMBER(SEARCH(" "&amp;tblRules[Pattern]&amp;" "," "&amp;$H437&amp;" ")))+((tblRules[Test]&lt;&gt;"Word")*ISNUMBER(SEARCH(tblRules[Pattern],$H437))))))&gt;0))*1E+9+ROW(tblRules[Pattern])))-ROW(tblRules[[#Headers],[Pattern]])),"Uncategorized"))</f>
        <v/>
      </c>
      <c r="L437">
        <f>IF($C437="","",IFERROR(INDEX(tblCategories[Group],MATCH($K437,tblCategories[Category],0)),"Other"))</f>
        <v/>
      </c>
      <c r="M437">
        <f>IF($C437="","",IFERROR(INDEX(tblCategories[Type],MATCH($K437,tblCategories[Category],0)),IF($J437&gt;0,"Income","Expense")))</f>
        <v/>
      </c>
      <c r="N437">
        <f>IF($C437="","",IFERROR(INDEX(tblCategories[Essential],MATCH($K437,tblCategories[Category],0)),"No"))</f>
        <v/>
      </c>
      <c r="O437">
        <f>IF($C437="","",IFERROR(INDEX(tblCategories[Tax Tag],MATCH($K437,tblCategories[Category],0)),""))</f>
        <v/>
      </c>
      <c r="P437" s="20">
        <f>IF($C437="","",IF($G437=PersonA,1,IF($G437=PersonB,0,IFERROR(INDEX(tblCategories[Joint Split A],MATCH($K437,tblCategories[Category],0)),DefaultSplitA))))</f>
        <v/>
      </c>
      <c r="Q437" s="19">
        <f>IF($C437="","",ROUND($J437*N($P437),2))</f>
        <v/>
      </c>
      <c r="R437" s="19">
        <f>IF($C437="","",ROUND($J437-N($Q437),2))</f>
        <v/>
      </c>
      <c r="X437">
        <f>IF($C437="","",IFERROR(IF(_xlfn.ISFORMULA($K437),"Rule","Manual"),""))</f>
        <v/>
      </c>
      <c r="Y437" s="19">
        <f>IF($C437="","",IF(ReportView=PersonA,N($Q437),IF(ReportView=PersonB,N($R437),$J437)))</f>
        <v/>
      </c>
    </row>
    <row r="438">
      <c r="B438">
        <f>IF($C438="","","T"&amp;TEXT(ROW()-ROW(tblTxn[[#Headers],[Txn ID]]),"000000"))</f>
        <v/>
      </c>
      <c r="C438" s="18" t="n"/>
      <c r="D438">
        <f>IF($C438="","",TEXT($C438,"yyyy-mm"))</f>
        <v/>
      </c>
      <c r="F438">
        <f>IF($C438="","",IFERROR(INDEX(tblAccounts[Owner],MATCH($E438,tblAccounts[Account],0)),"Joint"))</f>
        <v/>
      </c>
      <c r="G438">
        <f>IF($C438="","",IF(HouseholdMode="Couple",IFERROR(IF(INDEX(tblCategories[Default Owner],MATCH($K438,tblCategories[Category],0))="",$F438,INDEX(tblCategories[Default Owner],MATCH($K438,tblCategories[Category],0))),$F438),$F438))</f>
        <v/>
      </c>
      <c r="I438">
        <f>IF($H438="","",$H438)</f>
        <v/>
      </c>
      <c r="J438" s="19" t="n"/>
      <c r="K438">
        <f>IF($H438="","",IFERROR(INDEX(tblRules[Category],SUMPRODUCT(MIN((1-((tblRules[Enabled]&lt;&gt;"No")*(tblRules[Pattern]&lt;&gt;"")*(tblRules[Category]&lt;&gt;"")*((tblRules[Flow]="Any")+(tblRules[Flow]="")+((tblRules[Flow]="Money out")*($J438&lt;0))+((tblRules[Flow]="Money in")*($J438&gt;0)))*(((tblRules[Look In]="Account")*ISNUMBER(SEARCH(tblRules[Pattern],$E438)))+((tblRules[Look In]&lt;&gt;"Account")*(((tblRules[Test]="Word")*ISNUMBER(SEARCH(" "&amp;tblRules[Pattern]&amp;" "," "&amp;$H438&amp;" ")))+((tblRules[Test]&lt;&gt;"Word")*ISNUMBER(SEARCH(tblRules[Pattern],$H438))))))&gt;0))*1E+9+ROW(tblRules[Pattern])))-ROW(tblRules[[#Headers],[Pattern]])),"Uncategorized"))</f>
        <v/>
      </c>
      <c r="L438">
        <f>IF($C438="","",IFERROR(INDEX(tblCategories[Group],MATCH($K438,tblCategories[Category],0)),"Other"))</f>
        <v/>
      </c>
      <c r="M438">
        <f>IF($C438="","",IFERROR(INDEX(tblCategories[Type],MATCH($K438,tblCategories[Category],0)),IF($J438&gt;0,"Income","Expense")))</f>
        <v/>
      </c>
      <c r="N438">
        <f>IF($C438="","",IFERROR(INDEX(tblCategories[Essential],MATCH($K438,tblCategories[Category],0)),"No"))</f>
        <v/>
      </c>
      <c r="O438">
        <f>IF($C438="","",IFERROR(INDEX(tblCategories[Tax Tag],MATCH($K438,tblCategories[Category],0)),""))</f>
        <v/>
      </c>
      <c r="P438" s="20">
        <f>IF($C438="","",IF($G438=PersonA,1,IF($G438=PersonB,0,IFERROR(INDEX(tblCategories[Joint Split A],MATCH($K438,tblCategories[Category],0)),DefaultSplitA))))</f>
        <v/>
      </c>
      <c r="Q438" s="19">
        <f>IF($C438="","",ROUND($J438*N($P438),2))</f>
        <v/>
      </c>
      <c r="R438" s="19">
        <f>IF($C438="","",ROUND($J438-N($Q438),2))</f>
        <v/>
      </c>
      <c r="X438">
        <f>IF($C438="","",IFERROR(IF(_xlfn.ISFORMULA($K438),"Rule","Manual"),""))</f>
        <v/>
      </c>
      <c r="Y438" s="19">
        <f>IF($C438="","",IF(ReportView=PersonA,N($Q438),IF(ReportView=PersonB,N($R438),$J438)))</f>
        <v/>
      </c>
    </row>
    <row r="439">
      <c r="B439">
        <f>IF($C439="","","T"&amp;TEXT(ROW()-ROW(tblTxn[[#Headers],[Txn ID]]),"000000"))</f>
        <v/>
      </c>
      <c r="C439" s="18" t="n"/>
      <c r="D439">
        <f>IF($C439="","",TEXT($C439,"yyyy-mm"))</f>
        <v/>
      </c>
      <c r="F439">
        <f>IF($C439="","",IFERROR(INDEX(tblAccounts[Owner],MATCH($E439,tblAccounts[Account],0)),"Joint"))</f>
        <v/>
      </c>
      <c r="G439">
        <f>IF($C439="","",IF(HouseholdMode="Couple",IFERROR(IF(INDEX(tblCategories[Default Owner],MATCH($K439,tblCategories[Category],0))="",$F439,INDEX(tblCategories[Default Owner],MATCH($K439,tblCategories[Category],0))),$F439),$F439))</f>
        <v/>
      </c>
      <c r="I439">
        <f>IF($H439="","",$H439)</f>
        <v/>
      </c>
      <c r="J439" s="19" t="n"/>
      <c r="K439">
        <f>IF($H439="","",IFERROR(INDEX(tblRules[Category],SUMPRODUCT(MIN((1-((tblRules[Enabled]&lt;&gt;"No")*(tblRules[Pattern]&lt;&gt;"")*(tblRules[Category]&lt;&gt;"")*((tblRules[Flow]="Any")+(tblRules[Flow]="")+((tblRules[Flow]="Money out")*($J439&lt;0))+((tblRules[Flow]="Money in")*($J439&gt;0)))*(((tblRules[Look In]="Account")*ISNUMBER(SEARCH(tblRules[Pattern],$E439)))+((tblRules[Look In]&lt;&gt;"Account")*(((tblRules[Test]="Word")*ISNUMBER(SEARCH(" "&amp;tblRules[Pattern]&amp;" "," "&amp;$H439&amp;" ")))+((tblRules[Test]&lt;&gt;"Word")*ISNUMBER(SEARCH(tblRules[Pattern],$H439))))))&gt;0))*1E+9+ROW(tblRules[Pattern])))-ROW(tblRules[[#Headers],[Pattern]])),"Uncategorized"))</f>
        <v/>
      </c>
      <c r="L439">
        <f>IF($C439="","",IFERROR(INDEX(tblCategories[Group],MATCH($K439,tblCategories[Category],0)),"Other"))</f>
        <v/>
      </c>
      <c r="M439">
        <f>IF($C439="","",IFERROR(INDEX(tblCategories[Type],MATCH($K439,tblCategories[Category],0)),IF($J439&gt;0,"Income","Expense")))</f>
        <v/>
      </c>
      <c r="N439">
        <f>IF($C439="","",IFERROR(INDEX(tblCategories[Essential],MATCH($K439,tblCategories[Category],0)),"No"))</f>
        <v/>
      </c>
      <c r="O439">
        <f>IF($C439="","",IFERROR(INDEX(tblCategories[Tax Tag],MATCH($K439,tblCategories[Category],0)),""))</f>
        <v/>
      </c>
      <c r="P439" s="20">
        <f>IF($C439="","",IF($G439=PersonA,1,IF($G439=PersonB,0,IFERROR(INDEX(tblCategories[Joint Split A],MATCH($K439,tblCategories[Category],0)),DefaultSplitA))))</f>
        <v/>
      </c>
      <c r="Q439" s="19">
        <f>IF($C439="","",ROUND($J439*N($P439),2))</f>
        <v/>
      </c>
      <c r="R439" s="19">
        <f>IF($C439="","",ROUND($J439-N($Q439),2))</f>
        <v/>
      </c>
      <c r="X439">
        <f>IF($C439="","",IFERROR(IF(_xlfn.ISFORMULA($K439),"Rule","Manual"),""))</f>
        <v/>
      </c>
      <c r="Y439" s="19">
        <f>IF($C439="","",IF(ReportView=PersonA,N($Q439),IF(ReportView=PersonB,N($R439),$J439)))</f>
        <v/>
      </c>
    </row>
    <row r="440">
      <c r="B440">
        <f>IF($C440="","","T"&amp;TEXT(ROW()-ROW(tblTxn[[#Headers],[Txn ID]]),"000000"))</f>
        <v/>
      </c>
      <c r="C440" s="18" t="n"/>
      <c r="D440">
        <f>IF($C440="","",TEXT($C440,"yyyy-mm"))</f>
        <v/>
      </c>
      <c r="F440">
        <f>IF($C440="","",IFERROR(INDEX(tblAccounts[Owner],MATCH($E440,tblAccounts[Account],0)),"Joint"))</f>
        <v/>
      </c>
      <c r="G440">
        <f>IF($C440="","",IF(HouseholdMode="Couple",IFERROR(IF(INDEX(tblCategories[Default Owner],MATCH($K440,tblCategories[Category],0))="",$F440,INDEX(tblCategories[Default Owner],MATCH($K440,tblCategories[Category],0))),$F440),$F440))</f>
        <v/>
      </c>
      <c r="I440">
        <f>IF($H440="","",$H440)</f>
        <v/>
      </c>
      <c r="J440" s="19" t="n"/>
      <c r="K440">
        <f>IF($H440="","",IFERROR(INDEX(tblRules[Category],SUMPRODUCT(MIN((1-((tblRules[Enabled]&lt;&gt;"No")*(tblRules[Pattern]&lt;&gt;"")*(tblRules[Category]&lt;&gt;"")*((tblRules[Flow]="Any")+(tblRules[Flow]="")+((tblRules[Flow]="Money out")*($J440&lt;0))+((tblRules[Flow]="Money in")*($J440&gt;0)))*(((tblRules[Look In]="Account")*ISNUMBER(SEARCH(tblRules[Pattern],$E440)))+((tblRules[Look In]&lt;&gt;"Account")*(((tblRules[Test]="Word")*ISNUMBER(SEARCH(" "&amp;tblRules[Pattern]&amp;" "," "&amp;$H440&amp;" ")))+((tblRules[Test]&lt;&gt;"Word")*ISNUMBER(SEARCH(tblRules[Pattern],$H440))))))&gt;0))*1E+9+ROW(tblRules[Pattern])))-ROW(tblRules[[#Headers],[Pattern]])),"Uncategorized"))</f>
        <v/>
      </c>
      <c r="L440">
        <f>IF($C440="","",IFERROR(INDEX(tblCategories[Group],MATCH($K440,tblCategories[Category],0)),"Other"))</f>
        <v/>
      </c>
      <c r="M440">
        <f>IF($C440="","",IFERROR(INDEX(tblCategories[Type],MATCH($K440,tblCategories[Category],0)),IF($J440&gt;0,"Income","Expense")))</f>
        <v/>
      </c>
      <c r="N440">
        <f>IF($C440="","",IFERROR(INDEX(tblCategories[Essential],MATCH($K440,tblCategories[Category],0)),"No"))</f>
        <v/>
      </c>
      <c r="O440">
        <f>IF($C440="","",IFERROR(INDEX(tblCategories[Tax Tag],MATCH($K440,tblCategories[Category],0)),""))</f>
        <v/>
      </c>
      <c r="P440" s="20">
        <f>IF($C440="","",IF($G440=PersonA,1,IF($G440=PersonB,0,IFERROR(INDEX(tblCategories[Joint Split A],MATCH($K440,tblCategories[Category],0)),DefaultSplitA))))</f>
        <v/>
      </c>
      <c r="Q440" s="19">
        <f>IF($C440="","",ROUND($J440*N($P440),2))</f>
        <v/>
      </c>
      <c r="R440" s="19">
        <f>IF($C440="","",ROUND($J440-N($Q440),2))</f>
        <v/>
      </c>
      <c r="X440">
        <f>IF($C440="","",IFERROR(IF(_xlfn.ISFORMULA($K440),"Rule","Manual"),""))</f>
        <v/>
      </c>
      <c r="Y440" s="19">
        <f>IF($C440="","",IF(ReportView=PersonA,N($Q440),IF(ReportView=PersonB,N($R440),$J440)))</f>
        <v/>
      </c>
    </row>
    <row r="441">
      <c r="B441">
        <f>IF($C441="","","T"&amp;TEXT(ROW()-ROW(tblTxn[[#Headers],[Txn ID]]),"000000"))</f>
        <v/>
      </c>
      <c r="C441" s="18" t="n"/>
      <c r="D441">
        <f>IF($C441="","",TEXT($C441,"yyyy-mm"))</f>
        <v/>
      </c>
      <c r="F441">
        <f>IF($C441="","",IFERROR(INDEX(tblAccounts[Owner],MATCH($E441,tblAccounts[Account],0)),"Joint"))</f>
        <v/>
      </c>
      <c r="G441">
        <f>IF($C441="","",IF(HouseholdMode="Couple",IFERROR(IF(INDEX(tblCategories[Default Owner],MATCH($K441,tblCategories[Category],0))="",$F441,INDEX(tblCategories[Default Owner],MATCH($K441,tblCategories[Category],0))),$F441),$F441))</f>
        <v/>
      </c>
      <c r="I441">
        <f>IF($H441="","",$H441)</f>
        <v/>
      </c>
      <c r="J441" s="19" t="n"/>
      <c r="K441">
        <f>IF($H441="","",IFERROR(INDEX(tblRules[Category],SUMPRODUCT(MIN((1-((tblRules[Enabled]&lt;&gt;"No")*(tblRules[Pattern]&lt;&gt;"")*(tblRules[Category]&lt;&gt;"")*((tblRules[Flow]="Any")+(tblRules[Flow]="")+((tblRules[Flow]="Money out")*($J441&lt;0))+((tblRules[Flow]="Money in")*($J441&gt;0)))*(((tblRules[Look In]="Account")*ISNUMBER(SEARCH(tblRules[Pattern],$E441)))+((tblRules[Look In]&lt;&gt;"Account")*(((tblRules[Test]="Word")*ISNUMBER(SEARCH(" "&amp;tblRules[Pattern]&amp;" "," "&amp;$H441&amp;" ")))+((tblRules[Test]&lt;&gt;"Word")*ISNUMBER(SEARCH(tblRules[Pattern],$H441))))))&gt;0))*1E+9+ROW(tblRules[Pattern])))-ROW(tblRules[[#Headers],[Pattern]])),"Uncategorized"))</f>
        <v/>
      </c>
      <c r="L441">
        <f>IF($C441="","",IFERROR(INDEX(tblCategories[Group],MATCH($K441,tblCategories[Category],0)),"Other"))</f>
        <v/>
      </c>
      <c r="M441">
        <f>IF($C441="","",IFERROR(INDEX(tblCategories[Type],MATCH($K441,tblCategories[Category],0)),IF($J441&gt;0,"Income","Expense")))</f>
        <v/>
      </c>
      <c r="N441">
        <f>IF($C441="","",IFERROR(INDEX(tblCategories[Essential],MATCH($K441,tblCategories[Category],0)),"No"))</f>
        <v/>
      </c>
      <c r="O441">
        <f>IF($C441="","",IFERROR(INDEX(tblCategories[Tax Tag],MATCH($K441,tblCategories[Category],0)),""))</f>
        <v/>
      </c>
      <c r="P441" s="20">
        <f>IF($C441="","",IF($G441=PersonA,1,IF($G441=PersonB,0,IFERROR(INDEX(tblCategories[Joint Split A],MATCH($K441,tblCategories[Category],0)),DefaultSplitA))))</f>
        <v/>
      </c>
      <c r="Q441" s="19">
        <f>IF($C441="","",ROUND($J441*N($P441),2))</f>
        <v/>
      </c>
      <c r="R441" s="19">
        <f>IF($C441="","",ROUND($J441-N($Q441),2))</f>
        <v/>
      </c>
      <c r="X441">
        <f>IF($C441="","",IFERROR(IF(_xlfn.ISFORMULA($K441),"Rule","Manual"),""))</f>
        <v/>
      </c>
      <c r="Y441" s="19">
        <f>IF($C441="","",IF(ReportView=PersonA,N($Q441),IF(ReportView=PersonB,N($R441),$J441)))</f>
        <v/>
      </c>
    </row>
    <row r="442">
      <c r="B442">
        <f>IF($C442="","","T"&amp;TEXT(ROW()-ROW(tblTxn[[#Headers],[Txn ID]]),"000000"))</f>
        <v/>
      </c>
      <c r="C442" s="18" t="n"/>
      <c r="D442">
        <f>IF($C442="","",TEXT($C442,"yyyy-mm"))</f>
        <v/>
      </c>
      <c r="F442">
        <f>IF($C442="","",IFERROR(INDEX(tblAccounts[Owner],MATCH($E442,tblAccounts[Account],0)),"Joint"))</f>
        <v/>
      </c>
      <c r="G442">
        <f>IF($C442="","",IF(HouseholdMode="Couple",IFERROR(IF(INDEX(tblCategories[Default Owner],MATCH($K442,tblCategories[Category],0))="",$F442,INDEX(tblCategories[Default Owner],MATCH($K442,tblCategories[Category],0))),$F442),$F442))</f>
        <v/>
      </c>
      <c r="I442">
        <f>IF($H442="","",$H442)</f>
        <v/>
      </c>
      <c r="J442" s="19" t="n"/>
      <c r="K442">
        <f>IF($H442="","",IFERROR(INDEX(tblRules[Category],SUMPRODUCT(MIN((1-((tblRules[Enabled]&lt;&gt;"No")*(tblRules[Pattern]&lt;&gt;"")*(tblRules[Category]&lt;&gt;"")*((tblRules[Flow]="Any")+(tblRules[Flow]="")+((tblRules[Flow]="Money out")*($J442&lt;0))+((tblRules[Flow]="Money in")*($J442&gt;0)))*(((tblRules[Look In]="Account")*ISNUMBER(SEARCH(tblRules[Pattern],$E442)))+((tblRules[Look In]&lt;&gt;"Account")*(((tblRules[Test]="Word")*ISNUMBER(SEARCH(" "&amp;tblRules[Pattern]&amp;" "," "&amp;$H442&amp;" ")))+((tblRules[Test]&lt;&gt;"Word")*ISNUMBER(SEARCH(tblRules[Pattern],$H442))))))&gt;0))*1E+9+ROW(tblRules[Pattern])))-ROW(tblRules[[#Headers],[Pattern]])),"Uncategorized"))</f>
        <v/>
      </c>
      <c r="L442">
        <f>IF($C442="","",IFERROR(INDEX(tblCategories[Group],MATCH($K442,tblCategories[Category],0)),"Other"))</f>
        <v/>
      </c>
      <c r="M442">
        <f>IF($C442="","",IFERROR(INDEX(tblCategories[Type],MATCH($K442,tblCategories[Category],0)),IF($J442&gt;0,"Income","Expense")))</f>
        <v/>
      </c>
      <c r="N442">
        <f>IF($C442="","",IFERROR(INDEX(tblCategories[Essential],MATCH($K442,tblCategories[Category],0)),"No"))</f>
        <v/>
      </c>
      <c r="O442">
        <f>IF($C442="","",IFERROR(INDEX(tblCategories[Tax Tag],MATCH($K442,tblCategories[Category],0)),""))</f>
        <v/>
      </c>
      <c r="P442" s="20">
        <f>IF($C442="","",IF($G442=PersonA,1,IF($G442=PersonB,0,IFERROR(INDEX(tblCategories[Joint Split A],MATCH($K442,tblCategories[Category],0)),DefaultSplitA))))</f>
        <v/>
      </c>
      <c r="Q442" s="19">
        <f>IF($C442="","",ROUND($J442*N($P442),2))</f>
        <v/>
      </c>
      <c r="R442" s="19">
        <f>IF($C442="","",ROUND($J442-N($Q442),2))</f>
        <v/>
      </c>
      <c r="X442">
        <f>IF($C442="","",IFERROR(IF(_xlfn.ISFORMULA($K442),"Rule","Manual"),""))</f>
        <v/>
      </c>
      <c r="Y442" s="19">
        <f>IF($C442="","",IF(ReportView=PersonA,N($Q442),IF(ReportView=PersonB,N($R442),$J442)))</f>
        <v/>
      </c>
    </row>
    <row r="443">
      <c r="B443">
        <f>IF($C443="","","T"&amp;TEXT(ROW()-ROW(tblTxn[[#Headers],[Txn ID]]),"000000"))</f>
        <v/>
      </c>
      <c r="C443" s="18" t="n"/>
      <c r="D443">
        <f>IF($C443="","",TEXT($C443,"yyyy-mm"))</f>
        <v/>
      </c>
      <c r="F443">
        <f>IF($C443="","",IFERROR(INDEX(tblAccounts[Owner],MATCH($E443,tblAccounts[Account],0)),"Joint"))</f>
        <v/>
      </c>
      <c r="G443">
        <f>IF($C443="","",IF(HouseholdMode="Couple",IFERROR(IF(INDEX(tblCategories[Default Owner],MATCH($K443,tblCategories[Category],0))="",$F443,INDEX(tblCategories[Default Owner],MATCH($K443,tblCategories[Category],0))),$F443),$F443))</f>
        <v/>
      </c>
      <c r="I443">
        <f>IF($H443="","",$H443)</f>
        <v/>
      </c>
      <c r="J443" s="19" t="n"/>
      <c r="K443">
        <f>IF($H443="","",IFERROR(INDEX(tblRules[Category],SUMPRODUCT(MIN((1-((tblRules[Enabled]&lt;&gt;"No")*(tblRules[Pattern]&lt;&gt;"")*(tblRules[Category]&lt;&gt;"")*((tblRules[Flow]="Any")+(tblRules[Flow]="")+((tblRules[Flow]="Money out")*($J443&lt;0))+((tblRules[Flow]="Money in")*($J443&gt;0)))*(((tblRules[Look In]="Account")*ISNUMBER(SEARCH(tblRules[Pattern],$E443)))+((tblRules[Look In]&lt;&gt;"Account")*(((tblRules[Test]="Word")*ISNUMBER(SEARCH(" "&amp;tblRules[Pattern]&amp;" "," "&amp;$H443&amp;" ")))+((tblRules[Test]&lt;&gt;"Word")*ISNUMBER(SEARCH(tblRules[Pattern],$H443))))))&gt;0))*1E+9+ROW(tblRules[Pattern])))-ROW(tblRules[[#Headers],[Pattern]])),"Uncategorized"))</f>
        <v/>
      </c>
      <c r="L443">
        <f>IF($C443="","",IFERROR(INDEX(tblCategories[Group],MATCH($K443,tblCategories[Category],0)),"Other"))</f>
        <v/>
      </c>
      <c r="M443">
        <f>IF($C443="","",IFERROR(INDEX(tblCategories[Type],MATCH($K443,tblCategories[Category],0)),IF($J443&gt;0,"Income","Expense")))</f>
        <v/>
      </c>
      <c r="N443">
        <f>IF($C443="","",IFERROR(INDEX(tblCategories[Essential],MATCH($K443,tblCategories[Category],0)),"No"))</f>
        <v/>
      </c>
      <c r="O443">
        <f>IF($C443="","",IFERROR(INDEX(tblCategories[Tax Tag],MATCH($K443,tblCategories[Category],0)),""))</f>
        <v/>
      </c>
      <c r="P443" s="20">
        <f>IF($C443="","",IF($G443=PersonA,1,IF($G443=PersonB,0,IFERROR(INDEX(tblCategories[Joint Split A],MATCH($K443,tblCategories[Category],0)),DefaultSplitA))))</f>
        <v/>
      </c>
      <c r="Q443" s="19">
        <f>IF($C443="","",ROUND($J443*N($P443),2))</f>
        <v/>
      </c>
      <c r="R443" s="19">
        <f>IF($C443="","",ROUND($J443-N($Q443),2))</f>
        <v/>
      </c>
      <c r="X443">
        <f>IF($C443="","",IFERROR(IF(_xlfn.ISFORMULA($K443),"Rule","Manual"),""))</f>
        <v/>
      </c>
      <c r="Y443" s="19">
        <f>IF($C443="","",IF(ReportView=PersonA,N($Q443),IF(ReportView=PersonB,N($R443),$J443)))</f>
        <v/>
      </c>
    </row>
    <row r="444">
      <c r="B444">
        <f>IF($C444="","","T"&amp;TEXT(ROW()-ROW(tblTxn[[#Headers],[Txn ID]]),"000000"))</f>
        <v/>
      </c>
      <c r="C444" s="18" t="n"/>
      <c r="D444">
        <f>IF($C444="","",TEXT($C444,"yyyy-mm"))</f>
        <v/>
      </c>
      <c r="F444">
        <f>IF($C444="","",IFERROR(INDEX(tblAccounts[Owner],MATCH($E444,tblAccounts[Account],0)),"Joint"))</f>
        <v/>
      </c>
      <c r="G444">
        <f>IF($C444="","",IF(HouseholdMode="Couple",IFERROR(IF(INDEX(tblCategories[Default Owner],MATCH($K444,tblCategories[Category],0))="",$F444,INDEX(tblCategories[Default Owner],MATCH($K444,tblCategories[Category],0))),$F444),$F444))</f>
        <v/>
      </c>
      <c r="I444">
        <f>IF($H444="","",$H444)</f>
        <v/>
      </c>
      <c r="J444" s="19" t="n"/>
      <c r="K444">
        <f>IF($H444="","",IFERROR(INDEX(tblRules[Category],SUMPRODUCT(MIN((1-((tblRules[Enabled]&lt;&gt;"No")*(tblRules[Pattern]&lt;&gt;"")*(tblRules[Category]&lt;&gt;"")*((tblRules[Flow]="Any")+(tblRules[Flow]="")+((tblRules[Flow]="Money out")*($J444&lt;0))+((tblRules[Flow]="Money in")*($J444&gt;0)))*(((tblRules[Look In]="Account")*ISNUMBER(SEARCH(tblRules[Pattern],$E444)))+((tblRules[Look In]&lt;&gt;"Account")*(((tblRules[Test]="Word")*ISNUMBER(SEARCH(" "&amp;tblRules[Pattern]&amp;" "," "&amp;$H444&amp;" ")))+((tblRules[Test]&lt;&gt;"Word")*ISNUMBER(SEARCH(tblRules[Pattern],$H444))))))&gt;0))*1E+9+ROW(tblRules[Pattern])))-ROW(tblRules[[#Headers],[Pattern]])),"Uncategorized"))</f>
        <v/>
      </c>
      <c r="L444">
        <f>IF($C444="","",IFERROR(INDEX(tblCategories[Group],MATCH($K444,tblCategories[Category],0)),"Other"))</f>
        <v/>
      </c>
      <c r="M444">
        <f>IF($C444="","",IFERROR(INDEX(tblCategories[Type],MATCH($K444,tblCategories[Category],0)),IF($J444&gt;0,"Income","Expense")))</f>
        <v/>
      </c>
      <c r="N444">
        <f>IF($C444="","",IFERROR(INDEX(tblCategories[Essential],MATCH($K444,tblCategories[Category],0)),"No"))</f>
        <v/>
      </c>
      <c r="O444">
        <f>IF($C444="","",IFERROR(INDEX(tblCategories[Tax Tag],MATCH($K444,tblCategories[Category],0)),""))</f>
        <v/>
      </c>
      <c r="P444" s="20">
        <f>IF($C444="","",IF($G444=PersonA,1,IF($G444=PersonB,0,IFERROR(INDEX(tblCategories[Joint Split A],MATCH($K444,tblCategories[Category],0)),DefaultSplitA))))</f>
        <v/>
      </c>
      <c r="Q444" s="19">
        <f>IF($C444="","",ROUND($J444*N($P444),2))</f>
        <v/>
      </c>
      <c r="R444" s="19">
        <f>IF($C444="","",ROUND($J444-N($Q444),2))</f>
        <v/>
      </c>
      <c r="X444">
        <f>IF($C444="","",IFERROR(IF(_xlfn.ISFORMULA($K444),"Rule","Manual"),""))</f>
        <v/>
      </c>
      <c r="Y444" s="19">
        <f>IF($C444="","",IF(ReportView=PersonA,N($Q444),IF(ReportView=PersonB,N($R444),$J444)))</f>
        <v/>
      </c>
    </row>
    <row r="445">
      <c r="B445">
        <f>IF($C445="","","T"&amp;TEXT(ROW()-ROW(tblTxn[[#Headers],[Txn ID]]),"000000"))</f>
        <v/>
      </c>
      <c r="C445" s="18" t="n"/>
      <c r="D445">
        <f>IF($C445="","",TEXT($C445,"yyyy-mm"))</f>
        <v/>
      </c>
      <c r="F445">
        <f>IF($C445="","",IFERROR(INDEX(tblAccounts[Owner],MATCH($E445,tblAccounts[Account],0)),"Joint"))</f>
        <v/>
      </c>
      <c r="G445">
        <f>IF($C445="","",IF(HouseholdMode="Couple",IFERROR(IF(INDEX(tblCategories[Default Owner],MATCH($K445,tblCategories[Category],0))="",$F445,INDEX(tblCategories[Default Owner],MATCH($K445,tblCategories[Category],0))),$F445),$F445))</f>
        <v/>
      </c>
      <c r="I445">
        <f>IF($H445="","",$H445)</f>
        <v/>
      </c>
      <c r="J445" s="19" t="n"/>
      <c r="K445">
        <f>IF($H445="","",IFERROR(INDEX(tblRules[Category],SUMPRODUCT(MIN((1-((tblRules[Enabled]&lt;&gt;"No")*(tblRules[Pattern]&lt;&gt;"")*(tblRules[Category]&lt;&gt;"")*((tblRules[Flow]="Any")+(tblRules[Flow]="")+((tblRules[Flow]="Money out")*($J445&lt;0))+((tblRules[Flow]="Money in")*($J445&gt;0)))*(((tblRules[Look In]="Account")*ISNUMBER(SEARCH(tblRules[Pattern],$E445)))+((tblRules[Look In]&lt;&gt;"Account")*(((tblRules[Test]="Word")*ISNUMBER(SEARCH(" "&amp;tblRules[Pattern]&amp;" "," "&amp;$H445&amp;" ")))+((tblRules[Test]&lt;&gt;"Word")*ISNUMBER(SEARCH(tblRules[Pattern],$H445))))))&gt;0))*1E+9+ROW(tblRules[Pattern])))-ROW(tblRules[[#Headers],[Pattern]])),"Uncategorized"))</f>
        <v/>
      </c>
      <c r="L445">
        <f>IF($C445="","",IFERROR(INDEX(tblCategories[Group],MATCH($K445,tblCategories[Category],0)),"Other"))</f>
        <v/>
      </c>
      <c r="M445">
        <f>IF($C445="","",IFERROR(INDEX(tblCategories[Type],MATCH($K445,tblCategories[Category],0)),IF($J445&gt;0,"Income","Expense")))</f>
        <v/>
      </c>
      <c r="N445">
        <f>IF($C445="","",IFERROR(INDEX(tblCategories[Essential],MATCH($K445,tblCategories[Category],0)),"No"))</f>
        <v/>
      </c>
      <c r="O445">
        <f>IF($C445="","",IFERROR(INDEX(tblCategories[Tax Tag],MATCH($K445,tblCategories[Category],0)),""))</f>
        <v/>
      </c>
      <c r="P445" s="20">
        <f>IF($C445="","",IF($G445=PersonA,1,IF($G445=PersonB,0,IFERROR(INDEX(tblCategories[Joint Split A],MATCH($K445,tblCategories[Category],0)),DefaultSplitA))))</f>
        <v/>
      </c>
      <c r="Q445" s="19">
        <f>IF($C445="","",ROUND($J445*N($P445),2))</f>
        <v/>
      </c>
      <c r="R445" s="19">
        <f>IF($C445="","",ROUND($J445-N($Q445),2))</f>
        <v/>
      </c>
      <c r="X445">
        <f>IF($C445="","",IFERROR(IF(_xlfn.ISFORMULA($K445),"Rule","Manual"),""))</f>
        <v/>
      </c>
      <c r="Y445" s="19">
        <f>IF($C445="","",IF(ReportView=PersonA,N($Q445),IF(ReportView=PersonB,N($R445),$J445)))</f>
        <v/>
      </c>
    </row>
    <row r="446">
      <c r="B446">
        <f>IF($C446="","","T"&amp;TEXT(ROW()-ROW(tblTxn[[#Headers],[Txn ID]]),"000000"))</f>
        <v/>
      </c>
      <c r="C446" s="18" t="n"/>
      <c r="D446">
        <f>IF($C446="","",TEXT($C446,"yyyy-mm"))</f>
        <v/>
      </c>
      <c r="F446">
        <f>IF($C446="","",IFERROR(INDEX(tblAccounts[Owner],MATCH($E446,tblAccounts[Account],0)),"Joint"))</f>
        <v/>
      </c>
      <c r="G446">
        <f>IF($C446="","",IF(HouseholdMode="Couple",IFERROR(IF(INDEX(tblCategories[Default Owner],MATCH($K446,tblCategories[Category],0))="",$F446,INDEX(tblCategories[Default Owner],MATCH($K446,tblCategories[Category],0))),$F446),$F446))</f>
        <v/>
      </c>
      <c r="I446">
        <f>IF($H446="","",$H446)</f>
        <v/>
      </c>
      <c r="J446" s="19" t="n"/>
      <c r="K446">
        <f>IF($H446="","",IFERROR(INDEX(tblRules[Category],SUMPRODUCT(MIN((1-((tblRules[Enabled]&lt;&gt;"No")*(tblRules[Pattern]&lt;&gt;"")*(tblRules[Category]&lt;&gt;"")*((tblRules[Flow]="Any")+(tblRules[Flow]="")+((tblRules[Flow]="Money out")*($J446&lt;0))+((tblRules[Flow]="Money in")*($J446&gt;0)))*(((tblRules[Look In]="Account")*ISNUMBER(SEARCH(tblRules[Pattern],$E446)))+((tblRules[Look In]&lt;&gt;"Account")*(((tblRules[Test]="Word")*ISNUMBER(SEARCH(" "&amp;tblRules[Pattern]&amp;" "," "&amp;$H446&amp;" ")))+((tblRules[Test]&lt;&gt;"Word")*ISNUMBER(SEARCH(tblRules[Pattern],$H446))))))&gt;0))*1E+9+ROW(tblRules[Pattern])))-ROW(tblRules[[#Headers],[Pattern]])),"Uncategorized"))</f>
        <v/>
      </c>
      <c r="L446">
        <f>IF($C446="","",IFERROR(INDEX(tblCategories[Group],MATCH($K446,tblCategories[Category],0)),"Other"))</f>
        <v/>
      </c>
      <c r="M446">
        <f>IF($C446="","",IFERROR(INDEX(tblCategories[Type],MATCH($K446,tblCategories[Category],0)),IF($J446&gt;0,"Income","Expense")))</f>
        <v/>
      </c>
      <c r="N446">
        <f>IF($C446="","",IFERROR(INDEX(tblCategories[Essential],MATCH($K446,tblCategories[Category],0)),"No"))</f>
        <v/>
      </c>
      <c r="O446">
        <f>IF($C446="","",IFERROR(INDEX(tblCategories[Tax Tag],MATCH($K446,tblCategories[Category],0)),""))</f>
        <v/>
      </c>
      <c r="P446" s="20">
        <f>IF($C446="","",IF($G446=PersonA,1,IF($G446=PersonB,0,IFERROR(INDEX(tblCategories[Joint Split A],MATCH($K446,tblCategories[Category],0)),DefaultSplitA))))</f>
        <v/>
      </c>
      <c r="Q446" s="19">
        <f>IF($C446="","",ROUND($J446*N($P446),2))</f>
        <v/>
      </c>
      <c r="R446" s="19">
        <f>IF($C446="","",ROUND($J446-N($Q446),2))</f>
        <v/>
      </c>
      <c r="X446">
        <f>IF($C446="","",IFERROR(IF(_xlfn.ISFORMULA($K446),"Rule","Manual"),""))</f>
        <v/>
      </c>
      <c r="Y446" s="19">
        <f>IF($C446="","",IF(ReportView=PersonA,N($Q446),IF(ReportView=PersonB,N($R446),$J446)))</f>
        <v/>
      </c>
    </row>
    <row r="447">
      <c r="B447">
        <f>IF($C447="","","T"&amp;TEXT(ROW()-ROW(tblTxn[[#Headers],[Txn ID]]),"000000"))</f>
        <v/>
      </c>
      <c r="C447" s="18" t="n"/>
      <c r="D447">
        <f>IF($C447="","",TEXT($C447,"yyyy-mm"))</f>
        <v/>
      </c>
      <c r="F447">
        <f>IF($C447="","",IFERROR(INDEX(tblAccounts[Owner],MATCH($E447,tblAccounts[Account],0)),"Joint"))</f>
        <v/>
      </c>
      <c r="G447">
        <f>IF($C447="","",IF(HouseholdMode="Couple",IFERROR(IF(INDEX(tblCategories[Default Owner],MATCH($K447,tblCategories[Category],0))="",$F447,INDEX(tblCategories[Default Owner],MATCH($K447,tblCategories[Category],0))),$F447),$F447))</f>
        <v/>
      </c>
      <c r="I447">
        <f>IF($H447="","",$H447)</f>
        <v/>
      </c>
      <c r="J447" s="19" t="n"/>
      <c r="K447">
        <f>IF($H447="","",IFERROR(INDEX(tblRules[Category],SUMPRODUCT(MIN((1-((tblRules[Enabled]&lt;&gt;"No")*(tblRules[Pattern]&lt;&gt;"")*(tblRules[Category]&lt;&gt;"")*((tblRules[Flow]="Any")+(tblRules[Flow]="")+((tblRules[Flow]="Money out")*($J447&lt;0))+((tblRules[Flow]="Money in")*($J447&gt;0)))*(((tblRules[Look In]="Account")*ISNUMBER(SEARCH(tblRules[Pattern],$E447)))+((tblRules[Look In]&lt;&gt;"Account")*(((tblRules[Test]="Word")*ISNUMBER(SEARCH(" "&amp;tblRules[Pattern]&amp;" "," "&amp;$H447&amp;" ")))+((tblRules[Test]&lt;&gt;"Word")*ISNUMBER(SEARCH(tblRules[Pattern],$H447))))))&gt;0))*1E+9+ROW(tblRules[Pattern])))-ROW(tblRules[[#Headers],[Pattern]])),"Uncategorized"))</f>
        <v/>
      </c>
      <c r="L447">
        <f>IF($C447="","",IFERROR(INDEX(tblCategories[Group],MATCH($K447,tblCategories[Category],0)),"Other"))</f>
        <v/>
      </c>
      <c r="M447">
        <f>IF($C447="","",IFERROR(INDEX(tblCategories[Type],MATCH($K447,tblCategories[Category],0)),IF($J447&gt;0,"Income","Expense")))</f>
        <v/>
      </c>
      <c r="N447">
        <f>IF($C447="","",IFERROR(INDEX(tblCategories[Essential],MATCH($K447,tblCategories[Category],0)),"No"))</f>
        <v/>
      </c>
      <c r="O447">
        <f>IF($C447="","",IFERROR(INDEX(tblCategories[Tax Tag],MATCH($K447,tblCategories[Category],0)),""))</f>
        <v/>
      </c>
      <c r="P447" s="20">
        <f>IF($C447="","",IF($G447=PersonA,1,IF($G447=PersonB,0,IFERROR(INDEX(tblCategories[Joint Split A],MATCH($K447,tblCategories[Category],0)),DefaultSplitA))))</f>
        <v/>
      </c>
      <c r="Q447" s="19">
        <f>IF($C447="","",ROUND($J447*N($P447),2))</f>
        <v/>
      </c>
      <c r="R447" s="19">
        <f>IF($C447="","",ROUND($J447-N($Q447),2))</f>
        <v/>
      </c>
      <c r="X447">
        <f>IF($C447="","",IFERROR(IF(_xlfn.ISFORMULA($K447),"Rule","Manual"),""))</f>
        <v/>
      </c>
      <c r="Y447" s="19">
        <f>IF($C447="","",IF(ReportView=PersonA,N($Q447),IF(ReportView=PersonB,N($R447),$J447)))</f>
        <v/>
      </c>
    </row>
    <row r="448">
      <c r="B448">
        <f>IF($C448="","","T"&amp;TEXT(ROW()-ROW(tblTxn[[#Headers],[Txn ID]]),"000000"))</f>
        <v/>
      </c>
      <c r="C448" s="18" t="n"/>
      <c r="D448">
        <f>IF($C448="","",TEXT($C448,"yyyy-mm"))</f>
        <v/>
      </c>
      <c r="F448">
        <f>IF($C448="","",IFERROR(INDEX(tblAccounts[Owner],MATCH($E448,tblAccounts[Account],0)),"Joint"))</f>
        <v/>
      </c>
      <c r="G448">
        <f>IF($C448="","",IF(HouseholdMode="Couple",IFERROR(IF(INDEX(tblCategories[Default Owner],MATCH($K448,tblCategories[Category],0))="",$F448,INDEX(tblCategories[Default Owner],MATCH($K448,tblCategories[Category],0))),$F448),$F448))</f>
        <v/>
      </c>
      <c r="I448">
        <f>IF($H448="","",$H448)</f>
        <v/>
      </c>
      <c r="J448" s="19" t="n"/>
      <c r="K448">
        <f>IF($H448="","",IFERROR(INDEX(tblRules[Category],SUMPRODUCT(MIN((1-((tblRules[Enabled]&lt;&gt;"No")*(tblRules[Pattern]&lt;&gt;"")*(tblRules[Category]&lt;&gt;"")*((tblRules[Flow]="Any")+(tblRules[Flow]="")+((tblRules[Flow]="Money out")*($J448&lt;0))+((tblRules[Flow]="Money in")*($J448&gt;0)))*(((tblRules[Look In]="Account")*ISNUMBER(SEARCH(tblRules[Pattern],$E448)))+((tblRules[Look In]&lt;&gt;"Account")*(((tblRules[Test]="Word")*ISNUMBER(SEARCH(" "&amp;tblRules[Pattern]&amp;" "," "&amp;$H448&amp;" ")))+((tblRules[Test]&lt;&gt;"Word")*ISNUMBER(SEARCH(tblRules[Pattern],$H448))))))&gt;0))*1E+9+ROW(tblRules[Pattern])))-ROW(tblRules[[#Headers],[Pattern]])),"Uncategorized"))</f>
        <v/>
      </c>
      <c r="L448">
        <f>IF($C448="","",IFERROR(INDEX(tblCategories[Group],MATCH($K448,tblCategories[Category],0)),"Other"))</f>
        <v/>
      </c>
      <c r="M448">
        <f>IF($C448="","",IFERROR(INDEX(tblCategories[Type],MATCH($K448,tblCategories[Category],0)),IF($J448&gt;0,"Income","Expense")))</f>
        <v/>
      </c>
      <c r="N448">
        <f>IF($C448="","",IFERROR(INDEX(tblCategories[Essential],MATCH($K448,tblCategories[Category],0)),"No"))</f>
        <v/>
      </c>
      <c r="O448">
        <f>IF($C448="","",IFERROR(INDEX(tblCategories[Tax Tag],MATCH($K448,tblCategories[Category],0)),""))</f>
        <v/>
      </c>
      <c r="P448" s="20">
        <f>IF($C448="","",IF($G448=PersonA,1,IF($G448=PersonB,0,IFERROR(INDEX(tblCategories[Joint Split A],MATCH($K448,tblCategories[Category],0)),DefaultSplitA))))</f>
        <v/>
      </c>
      <c r="Q448" s="19">
        <f>IF($C448="","",ROUND($J448*N($P448),2))</f>
        <v/>
      </c>
      <c r="R448" s="19">
        <f>IF($C448="","",ROUND($J448-N($Q448),2))</f>
        <v/>
      </c>
      <c r="X448">
        <f>IF($C448="","",IFERROR(IF(_xlfn.ISFORMULA($K448),"Rule","Manual"),""))</f>
        <v/>
      </c>
      <c r="Y448" s="19">
        <f>IF($C448="","",IF(ReportView=PersonA,N($Q448),IF(ReportView=PersonB,N($R448),$J448)))</f>
        <v/>
      </c>
    </row>
    <row r="449">
      <c r="B449">
        <f>IF($C449="","","T"&amp;TEXT(ROW()-ROW(tblTxn[[#Headers],[Txn ID]]),"000000"))</f>
        <v/>
      </c>
      <c r="C449" s="18" t="n"/>
      <c r="D449">
        <f>IF($C449="","",TEXT($C449,"yyyy-mm"))</f>
        <v/>
      </c>
      <c r="F449">
        <f>IF($C449="","",IFERROR(INDEX(tblAccounts[Owner],MATCH($E449,tblAccounts[Account],0)),"Joint"))</f>
        <v/>
      </c>
      <c r="G449">
        <f>IF($C449="","",IF(HouseholdMode="Couple",IFERROR(IF(INDEX(tblCategories[Default Owner],MATCH($K449,tblCategories[Category],0))="",$F449,INDEX(tblCategories[Default Owner],MATCH($K449,tblCategories[Category],0))),$F449),$F449))</f>
        <v/>
      </c>
      <c r="I449">
        <f>IF($H449="","",$H449)</f>
        <v/>
      </c>
      <c r="J449" s="19" t="n"/>
      <c r="K449">
        <f>IF($H449="","",IFERROR(INDEX(tblRules[Category],SUMPRODUCT(MIN((1-((tblRules[Enabled]&lt;&gt;"No")*(tblRules[Pattern]&lt;&gt;"")*(tblRules[Category]&lt;&gt;"")*((tblRules[Flow]="Any")+(tblRules[Flow]="")+((tblRules[Flow]="Money out")*($J449&lt;0))+((tblRules[Flow]="Money in")*($J449&gt;0)))*(((tblRules[Look In]="Account")*ISNUMBER(SEARCH(tblRules[Pattern],$E449)))+((tblRules[Look In]&lt;&gt;"Account")*(((tblRules[Test]="Word")*ISNUMBER(SEARCH(" "&amp;tblRules[Pattern]&amp;" "," "&amp;$H449&amp;" ")))+((tblRules[Test]&lt;&gt;"Word")*ISNUMBER(SEARCH(tblRules[Pattern],$H449))))))&gt;0))*1E+9+ROW(tblRules[Pattern])))-ROW(tblRules[[#Headers],[Pattern]])),"Uncategorized"))</f>
        <v/>
      </c>
      <c r="L449">
        <f>IF($C449="","",IFERROR(INDEX(tblCategories[Group],MATCH($K449,tblCategories[Category],0)),"Other"))</f>
        <v/>
      </c>
      <c r="M449">
        <f>IF($C449="","",IFERROR(INDEX(tblCategories[Type],MATCH($K449,tblCategories[Category],0)),IF($J449&gt;0,"Income","Expense")))</f>
        <v/>
      </c>
      <c r="N449">
        <f>IF($C449="","",IFERROR(INDEX(tblCategories[Essential],MATCH($K449,tblCategories[Category],0)),"No"))</f>
        <v/>
      </c>
      <c r="O449">
        <f>IF($C449="","",IFERROR(INDEX(tblCategories[Tax Tag],MATCH($K449,tblCategories[Category],0)),""))</f>
        <v/>
      </c>
      <c r="P449" s="20">
        <f>IF($C449="","",IF($G449=PersonA,1,IF($G449=PersonB,0,IFERROR(INDEX(tblCategories[Joint Split A],MATCH($K449,tblCategories[Category],0)),DefaultSplitA))))</f>
        <v/>
      </c>
      <c r="Q449" s="19">
        <f>IF($C449="","",ROUND($J449*N($P449),2))</f>
        <v/>
      </c>
      <c r="R449" s="19">
        <f>IF($C449="","",ROUND($J449-N($Q449),2))</f>
        <v/>
      </c>
      <c r="X449">
        <f>IF($C449="","",IFERROR(IF(_xlfn.ISFORMULA($K449),"Rule","Manual"),""))</f>
        <v/>
      </c>
      <c r="Y449" s="19">
        <f>IF($C449="","",IF(ReportView=PersonA,N($Q449),IF(ReportView=PersonB,N($R449),$J449)))</f>
        <v/>
      </c>
    </row>
    <row r="450">
      <c r="B450">
        <f>IF($C450="","","T"&amp;TEXT(ROW()-ROW(tblTxn[[#Headers],[Txn ID]]),"000000"))</f>
        <v/>
      </c>
      <c r="C450" s="18" t="n"/>
      <c r="D450">
        <f>IF($C450="","",TEXT($C450,"yyyy-mm"))</f>
        <v/>
      </c>
      <c r="F450">
        <f>IF($C450="","",IFERROR(INDEX(tblAccounts[Owner],MATCH($E450,tblAccounts[Account],0)),"Joint"))</f>
        <v/>
      </c>
      <c r="G450">
        <f>IF($C450="","",IF(HouseholdMode="Couple",IFERROR(IF(INDEX(tblCategories[Default Owner],MATCH($K450,tblCategories[Category],0))="",$F450,INDEX(tblCategories[Default Owner],MATCH($K450,tblCategories[Category],0))),$F450),$F450))</f>
        <v/>
      </c>
      <c r="I450">
        <f>IF($H450="","",$H450)</f>
        <v/>
      </c>
      <c r="J450" s="19" t="n"/>
      <c r="K450">
        <f>IF($H450="","",IFERROR(INDEX(tblRules[Category],SUMPRODUCT(MIN((1-((tblRules[Enabled]&lt;&gt;"No")*(tblRules[Pattern]&lt;&gt;"")*(tblRules[Category]&lt;&gt;"")*((tblRules[Flow]="Any")+(tblRules[Flow]="")+((tblRules[Flow]="Money out")*($J450&lt;0))+((tblRules[Flow]="Money in")*($J450&gt;0)))*(((tblRules[Look In]="Account")*ISNUMBER(SEARCH(tblRules[Pattern],$E450)))+((tblRules[Look In]&lt;&gt;"Account")*(((tblRules[Test]="Word")*ISNUMBER(SEARCH(" "&amp;tblRules[Pattern]&amp;" "," "&amp;$H450&amp;" ")))+((tblRules[Test]&lt;&gt;"Word")*ISNUMBER(SEARCH(tblRules[Pattern],$H450))))))&gt;0))*1E+9+ROW(tblRules[Pattern])))-ROW(tblRules[[#Headers],[Pattern]])),"Uncategorized"))</f>
        <v/>
      </c>
      <c r="L450">
        <f>IF($C450="","",IFERROR(INDEX(tblCategories[Group],MATCH($K450,tblCategories[Category],0)),"Other"))</f>
        <v/>
      </c>
      <c r="M450">
        <f>IF($C450="","",IFERROR(INDEX(tblCategories[Type],MATCH($K450,tblCategories[Category],0)),IF($J450&gt;0,"Income","Expense")))</f>
        <v/>
      </c>
      <c r="N450">
        <f>IF($C450="","",IFERROR(INDEX(tblCategories[Essential],MATCH($K450,tblCategories[Category],0)),"No"))</f>
        <v/>
      </c>
      <c r="O450">
        <f>IF($C450="","",IFERROR(INDEX(tblCategories[Tax Tag],MATCH($K450,tblCategories[Category],0)),""))</f>
        <v/>
      </c>
      <c r="P450" s="20">
        <f>IF($C450="","",IF($G450=PersonA,1,IF($G450=PersonB,0,IFERROR(INDEX(tblCategories[Joint Split A],MATCH($K450,tblCategories[Category],0)),DefaultSplitA))))</f>
        <v/>
      </c>
      <c r="Q450" s="19">
        <f>IF($C450="","",ROUND($J450*N($P450),2))</f>
        <v/>
      </c>
      <c r="R450" s="19">
        <f>IF($C450="","",ROUND($J450-N($Q450),2))</f>
        <v/>
      </c>
      <c r="X450">
        <f>IF($C450="","",IFERROR(IF(_xlfn.ISFORMULA($K450),"Rule","Manual"),""))</f>
        <v/>
      </c>
      <c r="Y450" s="19">
        <f>IF($C450="","",IF(ReportView=PersonA,N($Q450),IF(ReportView=PersonB,N($R450),$J450)))</f>
        <v/>
      </c>
    </row>
    <row r="451">
      <c r="B451">
        <f>IF($C451="","","T"&amp;TEXT(ROW()-ROW(tblTxn[[#Headers],[Txn ID]]),"000000"))</f>
        <v/>
      </c>
      <c r="C451" s="18" t="n"/>
      <c r="D451">
        <f>IF($C451="","",TEXT($C451,"yyyy-mm"))</f>
        <v/>
      </c>
      <c r="F451">
        <f>IF($C451="","",IFERROR(INDEX(tblAccounts[Owner],MATCH($E451,tblAccounts[Account],0)),"Joint"))</f>
        <v/>
      </c>
      <c r="G451">
        <f>IF($C451="","",IF(HouseholdMode="Couple",IFERROR(IF(INDEX(tblCategories[Default Owner],MATCH($K451,tblCategories[Category],0))="",$F451,INDEX(tblCategories[Default Owner],MATCH($K451,tblCategories[Category],0))),$F451),$F451))</f>
        <v/>
      </c>
      <c r="I451">
        <f>IF($H451="","",$H451)</f>
        <v/>
      </c>
      <c r="J451" s="19" t="n"/>
      <c r="K451">
        <f>IF($H451="","",IFERROR(INDEX(tblRules[Category],SUMPRODUCT(MIN((1-((tblRules[Enabled]&lt;&gt;"No")*(tblRules[Pattern]&lt;&gt;"")*(tblRules[Category]&lt;&gt;"")*((tblRules[Flow]="Any")+(tblRules[Flow]="")+((tblRules[Flow]="Money out")*($J451&lt;0))+((tblRules[Flow]="Money in")*($J451&gt;0)))*(((tblRules[Look In]="Account")*ISNUMBER(SEARCH(tblRules[Pattern],$E451)))+((tblRules[Look In]&lt;&gt;"Account")*(((tblRules[Test]="Word")*ISNUMBER(SEARCH(" "&amp;tblRules[Pattern]&amp;" "," "&amp;$H451&amp;" ")))+((tblRules[Test]&lt;&gt;"Word")*ISNUMBER(SEARCH(tblRules[Pattern],$H451))))))&gt;0))*1E+9+ROW(tblRules[Pattern])))-ROW(tblRules[[#Headers],[Pattern]])),"Uncategorized"))</f>
        <v/>
      </c>
      <c r="L451">
        <f>IF($C451="","",IFERROR(INDEX(tblCategories[Group],MATCH($K451,tblCategories[Category],0)),"Other"))</f>
        <v/>
      </c>
      <c r="M451">
        <f>IF($C451="","",IFERROR(INDEX(tblCategories[Type],MATCH($K451,tblCategories[Category],0)),IF($J451&gt;0,"Income","Expense")))</f>
        <v/>
      </c>
      <c r="N451">
        <f>IF($C451="","",IFERROR(INDEX(tblCategories[Essential],MATCH($K451,tblCategories[Category],0)),"No"))</f>
        <v/>
      </c>
      <c r="O451">
        <f>IF($C451="","",IFERROR(INDEX(tblCategories[Tax Tag],MATCH($K451,tblCategories[Category],0)),""))</f>
        <v/>
      </c>
      <c r="P451" s="20">
        <f>IF($C451="","",IF($G451=PersonA,1,IF($G451=PersonB,0,IFERROR(INDEX(tblCategories[Joint Split A],MATCH($K451,tblCategories[Category],0)),DefaultSplitA))))</f>
        <v/>
      </c>
      <c r="Q451" s="19">
        <f>IF($C451="","",ROUND($J451*N($P451),2))</f>
        <v/>
      </c>
      <c r="R451" s="19">
        <f>IF($C451="","",ROUND($J451-N($Q451),2))</f>
        <v/>
      </c>
      <c r="X451">
        <f>IF($C451="","",IFERROR(IF(_xlfn.ISFORMULA($K451),"Rule","Manual"),""))</f>
        <v/>
      </c>
      <c r="Y451" s="19">
        <f>IF($C451="","",IF(ReportView=PersonA,N($Q451),IF(ReportView=PersonB,N($R451),$J451)))</f>
        <v/>
      </c>
    </row>
    <row r="452">
      <c r="B452">
        <f>IF($C452="","","T"&amp;TEXT(ROW()-ROW(tblTxn[[#Headers],[Txn ID]]),"000000"))</f>
        <v/>
      </c>
      <c r="C452" s="18" t="n"/>
      <c r="D452">
        <f>IF($C452="","",TEXT($C452,"yyyy-mm"))</f>
        <v/>
      </c>
      <c r="F452">
        <f>IF($C452="","",IFERROR(INDEX(tblAccounts[Owner],MATCH($E452,tblAccounts[Account],0)),"Joint"))</f>
        <v/>
      </c>
      <c r="G452">
        <f>IF($C452="","",IF(HouseholdMode="Couple",IFERROR(IF(INDEX(tblCategories[Default Owner],MATCH($K452,tblCategories[Category],0))="",$F452,INDEX(tblCategories[Default Owner],MATCH($K452,tblCategories[Category],0))),$F452),$F452))</f>
        <v/>
      </c>
      <c r="I452">
        <f>IF($H452="","",$H452)</f>
        <v/>
      </c>
      <c r="J452" s="19" t="n"/>
      <c r="K452">
        <f>IF($H452="","",IFERROR(INDEX(tblRules[Category],SUMPRODUCT(MIN((1-((tblRules[Enabled]&lt;&gt;"No")*(tblRules[Pattern]&lt;&gt;"")*(tblRules[Category]&lt;&gt;"")*((tblRules[Flow]="Any")+(tblRules[Flow]="")+((tblRules[Flow]="Money out")*($J452&lt;0))+((tblRules[Flow]="Money in")*($J452&gt;0)))*(((tblRules[Look In]="Account")*ISNUMBER(SEARCH(tblRules[Pattern],$E452)))+((tblRules[Look In]&lt;&gt;"Account")*(((tblRules[Test]="Word")*ISNUMBER(SEARCH(" "&amp;tblRules[Pattern]&amp;" "," "&amp;$H452&amp;" ")))+((tblRules[Test]&lt;&gt;"Word")*ISNUMBER(SEARCH(tblRules[Pattern],$H452))))))&gt;0))*1E+9+ROW(tblRules[Pattern])))-ROW(tblRules[[#Headers],[Pattern]])),"Uncategorized"))</f>
        <v/>
      </c>
      <c r="L452">
        <f>IF($C452="","",IFERROR(INDEX(tblCategories[Group],MATCH($K452,tblCategories[Category],0)),"Other"))</f>
        <v/>
      </c>
      <c r="M452">
        <f>IF($C452="","",IFERROR(INDEX(tblCategories[Type],MATCH($K452,tblCategories[Category],0)),IF($J452&gt;0,"Income","Expense")))</f>
        <v/>
      </c>
      <c r="N452">
        <f>IF($C452="","",IFERROR(INDEX(tblCategories[Essential],MATCH($K452,tblCategories[Category],0)),"No"))</f>
        <v/>
      </c>
      <c r="O452">
        <f>IF($C452="","",IFERROR(INDEX(tblCategories[Tax Tag],MATCH($K452,tblCategories[Category],0)),""))</f>
        <v/>
      </c>
      <c r="P452" s="20">
        <f>IF($C452="","",IF($G452=PersonA,1,IF($G452=PersonB,0,IFERROR(INDEX(tblCategories[Joint Split A],MATCH($K452,tblCategories[Category],0)),DefaultSplitA))))</f>
        <v/>
      </c>
      <c r="Q452" s="19">
        <f>IF($C452="","",ROUND($J452*N($P452),2))</f>
        <v/>
      </c>
      <c r="R452" s="19">
        <f>IF($C452="","",ROUND($J452-N($Q452),2))</f>
        <v/>
      </c>
      <c r="X452">
        <f>IF($C452="","",IFERROR(IF(_xlfn.ISFORMULA($K452),"Rule","Manual"),""))</f>
        <v/>
      </c>
      <c r="Y452" s="19">
        <f>IF($C452="","",IF(ReportView=PersonA,N($Q452),IF(ReportView=PersonB,N($R452),$J452)))</f>
        <v/>
      </c>
    </row>
    <row r="453">
      <c r="B453">
        <f>IF($C453="","","T"&amp;TEXT(ROW()-ROW(tblTxn[[#Headers],[Txn ID]]),"000000"))</f>
        <v/>
      </c>
      <c r="C453" s="18" t="n"/>
      <c r="D453">
        <f>IF($C453="","",TEXT($C453,"yyyy-mm"))</f>
        <v/>
      </c>
      <c r="F453">
        <f>IF($C453="","",IFERROR(INDEX(tblAccounts[Owner],MATCH($E453,tblAccounts[Account],0)),"Joint"))</f>
        <v/>
      </c>
      <c r="G453">
        <f>IF($C453="","",IF(HouseholdMode="Couple",IFERROR(IF(INDEX(tblCategories[Default Owner],MATCH($K453,tblCategories[Category],0))="",$F453,INDEX(tblCategories[Default Owner],MATCH($K453,tblCategories[Category],0))),$F453),$F453))</f>
        <v/>
      </c>
      <c r="I453">
        <f>IF($H453="","",$H453)</f>
        <v/>
      </c>
      <c r="J453" s="19" t="n"/>
      <c r="K453">
        <f>IF($H453="","",IFERROR(INDEX(tblRules[Category],SUMPRODUCT(MIN((1-((tblRules[Enabled]&lt;&gt;"No")*(tblRules[Pattern]&lt;&gt;"")*(tblRules[Category]&lt;&gt;"")*((tblRules[Flow]="Any")+(tblRules[Flow]="")+((tblRules[Flow]="Money out")*($J453&lt;0))+((tblRules[Flow]="Money in")*($J453&gt;0)))*(((tblRules[Look In]="Account")*ISNUMBER(SEARCH(tblRules[Pattern],$E453)))+((tblRules[Look In]&lt;&gt;"Account")*(((tblRules[Test]="Word")*ISNUMBER(SEARCH(" "&amp;tblRules[Pattern]&amp;" "," "&amp;$H453&amp;" ")))+((tblRules[Test]&lt;&gt;"Word")*ISNUMBER(SEARCH(tblRules[Pattern],$H453))))))&gt;0))*1E+9+ROW(tblRules[Pattern])))-ROW(tblRules[[#Headers],[Pattern]])),"Uncategorized"))</f>
        <v/>
      </c>
      <c r="L453">
        <f>IF($C453="","",IFERROR(INDEX(tblCategories[Group],MATCH($K453,tblCategories[Category],0)),"Other"))</f>
        <v/>
      </c>
      <c r="M453">
        <f>IF($C453="","",IFERROR(INDEX(tblCategories[Type],MATCH($K453,tblCategories[Category],0)),IF($J453&gt;0,"Income","Expense")))</f>
        <v/>
      </c>
      <c r="N453">
        <f>IF($C453="","",IFERROR(INDEX(tblCategories[Essential],MATCH($K453,tblCategories[Category],0)),"No"))</f>
        <v/>
      </c>
      <c r="O453">
        <f>IF($C453="","",IFERROR(INDEX(tblCategories[Tax Tag],MATCH($K453,tblCategories[Category],0)),""))</f>
        <v/>
      </c>
      <c r="P453" s="20">
        <f>IF($C453="","",IF($G453=PersonA,1,IF($G453=PersonB,0,IFERROR(INDEX(tblCategories[Joint Split A],MATCH($K453,tblCategories[Category],0)),DefaultSplitA))))</f>
        <v/>
      </c>
      <c r="Q453" s="19">
        <f>IF($C453="","",ROUND($J453*N($P453),2))</f>
        <v/>
      </c>
      <c r="R453" s="19">
        <f>IF($C453="","",ROUND($J453-N($Q453),2))</f>
        <v/>
      </c>
      <c r="X453">
        <f>IF($C453="","",IFERROR(IF(_xlfn.ISFORMULA($K453),"Rule","Manual"),""))</f>
        <v/>
      </c>
      <c r="Y453" s="19">
        <f>IF($C453="","",IF(ReportView=PersonA,N($Q453),IF(ReportView=PersonB,N($R453),$J453)))</f>
        <v/>
      </c>
    </row>
    <row r="454">
      <c r="B454">
        <f>IF($C454="","","T"&amp;TEXT(ROW()-ROW(tblTxn[[#Headers],[Txn ID]]),"000000"))</f>
        <v/>
      </c>
      <c r="C454" s="18" t="n"/>
      <c r="D454">
        <f>IF($C454="","",TEXT($C454,"yyyy-mm"))</f>
        <v/>
      </c>
      <c r="F454">
        <f>IF($C454="","",IFERROR(INDEX(tblAccounts[Owner],MATCH($E454,tblAccounts[Account],0)),"Joint"))</f>
        <v/>
      </c>
      <c r="G454">
        <f>IF($C454="","",IF(HouseholdMode="Couple",IFERROR(IF(INDEX(tblCategories[Default Owner],MATCH($K454,tblCategories[Category],0))="",$F454,INDEX(tblCategories[Default Owner],MATCH($K454,tblCategories[Category],0))),$F454),$F454))</f>
        <v/>
      </c>
      <c r="I454">
        <f>IF($H454="","",$H454)</f>
        <v/>
      </c>
      <c r="J454" s="19" t="n"/>
      <c r="K454">
        <f>IF($H454="","",IFERROR(INDEX(tblRules[Category],SUMPRODUCT(MIN((1-((tblRules[Enabled]&lt;&gt;"No")*(tblRules[Pattern]&lt;&gt;"")*(tblRules[Category]&lt;&gt;"")*((tblRules[Flow]="Any")+(tblRules[Flow]="")+((tblRules[Flow]="Money out")*($J454&lt;0))+((tblRules[Flow]="Money in")*($J454&gt;0)))*(((tblRules[Look In]="Account")*ISNUMBER(SEARCH(tblRules[Pattern],$E454)))+((tblRules[Look In]&lt;&gt;"Account")*(((tblRules[Test]="Word")*ISNUMBER(SEARCH(" "&amp;tblRules[Pattern]&amp;" "," "&amp;$H454&amp;" ")))+((tblRules[Test]&lt;&gt;"Word")*ISNUMBER(SEARCH(tblRules[Pattern],$H454))))))&gt;0))*1E+9+ROW(tblRules[Pattern])))-ROW(tblRules[[#Headers],[Pattern]])),"Uncategorized"))</f>
        <v/>
      </c>
      <c r="L454">
        <f>IF($C454="","",IFERROR(INDEX(tblCategories[Group],MATCH($K454,tblCategories[Category],0)),"Other"))</f>
        <v/>
      </c>
      <c r="M454">
        <f>IF($C454="","",IFERROR(INDEX(tblCategories[Type],MATCH($K454,tblCategories[Category],0)),IF($J454&gt;0,"Income","Expense")))</f>
        <v/>
      </c>
      <c r="N454">
        <f>IF($C454="","",IFERROR(INDEX(tblCategories[Essential],MATCH($K454,tblCategories[Category],0)),"No"))</f>
        <v/>
      </c>
      <c r="O454">
        <f>IF($C454="","",IFERROR(INDEX(tblCategories[Tax Tag],MATCH($K454,tblCategories[Category],0)),""))</f>
        <v/>
      </c>
      <c r="P454" s="20">
        <f>IF($C454="","",IF($G454=PersonA,1,IF($G454=PersonB,0,IFERROR(INDEX(tblCategories[Joint Split A],MATCH($K454,tblCategories[Category],0)),DefaultSplitA))))</f>
        <v/>
      </c>
      <c r="Q454" s="19">
        <f>IF($C454="","",ROUND($J454*N($P454),2))</f>
        <v/>
      </c>
      <c r="R454" s="19">
        <f>IF($C454="","",ROUND($J454-N($Q454),2))</f>
        <v/>
      </c>
      <c r="X454">
        <f>IF($C454="","",IFERROR(IF(_xlfn.ISFORMULA($K454),"Rule","Manual"),""))</f>
        <v/>
      </c>
      <c r="Y454" s="19">
        <f>IF($C454="","",IF(ReportView=PersonA,N($Q454),IF(ReportView=PersonB,N($R454),$J454)))</f>
        <v/>
      </c>
    </row>
    <row r="455">
      <c r="B455">
        <f>IF($C455="","","T"&amp;TEXT(ROW()-ROW(tblTxn[[#Headers],[Txn ID]]),"000000"))</f>
        <v/>
      </c>
      <c r="C455" s="18" t="n"/>
      <c r="D455">
        <f>IF($C455="","",TEXT($C455,"yyyy-mm"))</f>
        <v/>
      </c>
      <c r="F455">
        <f>IF($C455="","",IFERROR(INDEX(tblAccounts[Owner],MATCH($E455,tblAccounts[Account],0)),"Joint"))</f>
        <v/>
      </c>
      <c r="G455">
        <f>IF($C455="","",IF(HouseholdMode="Couple",IFERROR(IF(INDEX(tblCategories[Default Owner],MATCH($K455,tblCategories[Category],0))="",$F455,INDEX(tblCategories[Default Owner],MATCH($K455,tblCategories[Category],0))),$F455),$F455))</f>
        <v/>
      </c>
      <c r="I455">
        <f>IF($H455="","",$H455)</f>
        <v/>
      </c>
      <c r="J455" s="19" t="n"/>
      <c r="K455">
        <f>IF($H455="","",IFERROR(INDEX(tblRules[Category],SUMPRODUCT(MIN((1-((tblRules[Enabled]&lt;&gt;"No")*(tblRules[Pattern]&lt;&gt;"")*(tblRules[Category]&lt;&gt;"")*((tblRules[Flow]="Any")+(tblRules[Flow]="")+((tblRules[Flow]="Money out")*($J455&lt;0))+((tblRules[Flow]="Money in")*($J455&gt;0)))*(((tblRules[Look In]="Account")*ISNUMBER(SEARCH(tblRules[Pattern],$E455)))+((tblRules[Look In]&lt;&gt;"Account")*(((tblRules[Test]="Word")*ISNUMBER(SEARCH(" "&amp;tblRules[Pattern]&amp;" "," "&amp;$H455&amp;" ")))+((tblRules[Test]&lt;&gt;"Word")*ISNUMBER(SEARCH(tblRules[Pattern],$H455))))))&gt;0))*1E+9+ROW(tblRules[Pattern])))-ROW(tblRules[[#Headers],[Pattern]])),"Uncategorized"))</f>
        <v/>
      </c>
      <c r="L455">
        <f>IF($C455="","",IFERROR(INDEX(tblCategories[Group],MATCH($K455,tblCategories[Category],0)),"Other"))</f>
        <v/>
      </c>
      <c r="M455">
        <f>IF($C455="","",IFERROR(INDEX(tblCategories[Type],MATCH($K455,tblCategories[Category],0)),IF($J455&gt;0,"Income","Expense")))</f>
        <v/>
      </c>
      <c r="N455">
        <f>IF($C455="","",IFERROR(INDEX(tblCategories[Essential],MATCH($K455,tblCategories[Category],0)),"No"))</f>
        <v/>
      </c>
      <c r="O455">
        <f>IF($C455="","",IFERROR(INDEX(tblCategories[Tax Tag],MATCH($K455,tblCategories[Category],0)),""))</f>
        <v/>
      </c>
      <c r="P455" s="20">
        <f>IF($C455="","",IF($G455=PersonA,1,IF($G455=PersonB,0,IFERROR(INDEX(tblCategories[Joint Split A],MATCH($K455,tblCategories[Category],0)),DefaultSplitA))))</f>
        <v/>
      </c>
      <c r="Q455" s="19">
        <f>IF($C455="","",ROUND($J455*N($P455),2))</f>
        <v/>
      </c>
      <c r="R455" s="19">
        <f>IF($C455="","",ROUND($J455-N($Q455),2))</f>
        <v/>
      </c>
      <c r="X455">
        <f>IF($C455="","",IFERROR(IF(_xlfn.ISFORMULA($K455),"Rule","Manual"),""))</f>
        <v/>
      </c>
      <c r="Y455" s="19">
        <f>IF($C455="","",IF(ReportView=PersonA,N($Q455),IF(ReportView=PersonB,N($R455),$J455)))</f>
        <v/>
      </c>
    </row>
    <row r="456">
      <c r="B456">
        <f>IF($C456="","","T"&amp;TEXT(ROW()-ROW(tblTxn[[#Headers],[Txn ID]]),"000000"))</f>
        <v/>
      </c>
      <c r="C456" s="18" t="n"/>
      <c r="D456">
        <f>IF($C456="","",TEXT($C456,"yyyy-mm"))</f>
        <v/>
      </c>
      <c r="F456">
        <f>IF($C456="","",IFERROR(INDEX(tblAccounts[Owner],MATCH($E456,tblAccounts[Account],0)),"Joint"))</f>
        <v/>
      </c>
      <c r="G456">
        <f>IF($C456="","",IF(HouseholdMode="Couple",IFERROR(IF(INDEX(tblCategories[Default Owner],MATCH($K456,tblCategories[Category],0))="",$F456,INDEX(tblCategories[Default Owner],MATCH($K456,tblCategories[Category],0))),$F456),$F456))</f>
        <v/>
      </c>
      <c r="I456">
        <f>IF($H456="","",$H456)</f>
        <v/>
      </c>
      <c r="J456" s="19" t="n"/>
      <c r="K456">
        <f>IF($H456="","",IFERROR(INDEX(tblRules[Category],SUMPRODUCT(MIN((1-((tblRules[Enabled]&lt;&gt;"No")*(tblRules[Pattern]&lt;&gt;"")*(tblRules[Category]&lt;&gt;"")*((tblRules[Flow]="Any")+(tblRules[Flow]="")+((tblRules[Flow]="Money out")*($J456&lt;0))+((tblRules[Flow]="Money in")*($J456&gt;0)))*(((tblRules[Look In]="Account")*ISNUMBER(SEARCH(tblRules[Pattern],$E456)))+((tblRules[Look In]&lt;&gt;"Account")*(((tblRules[Test]="Word")*ISNUMBER(SEARCH(" "&amp;tblRules[Pattern]&amp;" "," "&amp;$H456&amp;" ")))+((tblRules[Test]&lt;&gt;"Word")*ISNUMBER(SEARCH(tblRules[Pattern],$H456))))))&gt;0))*1E+9+ROW(tblRules[Pattern])))-ROW(tblRules[[#Headers],[Pattern]])),"Uncategorized"))</f>
        <v/>
      </c>
      <c r="L456">
        <f>IF($C456="","",IFERROR(INDEX(tblCategories[Group],MATCH($K456,tblCategories[Category],0)),"Other"))</f>
        <v/>
      </c>
      <c r="M456">
        <f>IF($C456="","",IFERROR(INDEX(tblCategories[Type],MATCH($K456,tblCategories[Category],0)),IF($J456&gt;0,"Income","Expense")))</f>
        <v/>
      </c>
      <c r="N456">
        <f>IF($C456="","",IFERROR(INDEX(tblCategories[Essential],MATCH($K456,tblCategories[Category],0)),"No"))</f>
        <v/>
      </c>
      <c r="O456">
        <f>IF($C456="","",IFERROR(INDEX(tblCategories[Tax Tag],MATCH($K456,tblCategories[Category],0)),""))</f>
        <v/>
      </c>
      <c r="P456" s="20">
        <f>IF($C456="","",IF($G456=PersonA,1,IF($G456=PersonB,0,IFERROR(INDEX(tblCategories[Joint Split A],MATCH($K456,tblCategories[Category],0)),DefaultSplitA))))</f>
        <v/>
      </c>
      <c r="Q456" s="19">
        <f>IF($C456="","",ROUND($J456*N($P456),2))</f>
        <v/>
      </c>
      <c r="R456" s="19">
        <f>IF($C456="","",ROUND($J456-N($Q456),2))</f>
        <v/>
      </c>
      <c r="X456">
        <f>IF($C456="","",IFERROR(IF(_xlfn.ISFORMULA($K456),"Rule","Manual"),""))</f>
        <v/>
      </c>
      <c r="Y456" s="19">
        <f>IF($C456="","",IF(ReportView=PersonA,N($Q456),IF(ReportView=PersonB,N($R456),$J456)))</f>
        <v/>
      </c>
    </row>
    <row r="457">
      <c r="B457">
        <f>IF($C457="","","T"&amp;TEXT(ROW()-ROW(tblTxn[[#Headers],[Txn ID]]),"000000"))</f>
        <v/>
      </c>
      <c r="C457" s="18" t="n"/>
      <c r="D457">
        <f>IF($C457="","",TEXT($C457,"yyyy-mm"))</f>
        <v/>
      </c>
      <c r="F457">
        <f>IF($C457="","",IFERROR(INDEX(tblAccounts[Owner],MATCH($E457,tblAccounts[Account],0)),"Joint"))</f>
        <v/>
      </c>
      <c r="G457">
        <f>IF($C457="","",IF(HouseholdMode="Couple",IFERROR(IF(INDEX(tblCategories[Default Owner],MATCH($K457,tblCategories[Category],0))="",$F457,INDEX(tblCategories[Default Owner],MATCH($K457,tblCategories[Category],0))),$F457),$F457))</f>
        <v/>
      </c>
      <c r="I457">
        <f>IF($H457="","",$H457)</f>
        <v/>
      </c>
      <c r="J457" s="19" t="n"/>
      <c r="K457">
        <f>IF($H457="","",IFERROR(INDEX(tblRules[Category],SUMPRODUCT(MIN((1-((tblRules[Enabled]&lt;&gt;"No")*(tblRules[Pattern]&lt;&gt;"")*(tblRules[Category]&lt;&gt;"")*((tblRules[Flow]="Any")+(tblRules[Flow]="")+((tblRules[Flow]="Money out")*($J457&lt;0))+((tblRules[Flow]="Money in")*($J457&gt;0)))*(((tblRules[Look In]="Account")*ISNUMBER(SEARCH(tblRules[Pattern],$E457)))+((tblRules[Look In]&lt;&gt;"Account")*(((tblRules[Test]="Word")*ISNUMBER(SEARCH(" "&amp;tblRules[Pattern]&amp;" "," "&amp;$H457&amp;" ")))+((tblRules[Test]&lt;&gt;"Word")*ISNUMBER(SEARCH(tblRules[Pattern],$H457))))))&gt;0))*1E+9+ROW(tblRules[Pattern])))-ROW(tblRules[[#Headers],[Pattern]])),"Uncategorized"))</f>
        <v/>
      </c>
      <c r="L457">
        <f>IF($C457="","",IFERROR(INDEX(tblCategories[Group],MATCH($K457,tblCategories[Category],0)),"Other"))</f>
        <v/>
      </c>
      <c r="M457">
        <f>IF($C457="","",IFERROR(INDEX(tblCategories[Type],MATCH($K457,tblCategories[Category],0)),IF($J457&gt;0,"Income","Expense")))</f>
        <v/>
      </c>
      <c r="N457">
        <f>IF($C457="","",IFERROR(INDEX(tblCategories[Essential],MATCH($K457,tblCategories[Category],0)),"No"))</f>
        <v/>
      </c>
      <c r="O457">
        <f>IF($C457="","",IFERROR(INDEX(tblCategories[Tax Tag],MATCH($K457,tblCategories[Category],0)),""))</f>
        <v/>
      </c>
      <c r="P457" s="20">
        <f>IF($C457="","",IF($G457=PersonA,1,IF($G457=PersonB,0,IFERROR(INDEX(tblCategories[Joint Split A],MATCH($K457,tblCategories[Category],0)),DefaultSplitA))))</f>
        <v/>
      </c>
      <c r="Q457" s="19">
        <f>IF($C457="","",ROUND($J457*N($P457),2))</f>
        <v/>
      </c>
      <c r="R457" s="19">
        <f>IF($C457="","",ROUND($J457-N($Q457),2))</f>
        <v/>
      </c>
      <c r="X457">
        <f>IF($C457="","",IFERROR(IF(_xlfn.ISFORMULA($K457),"Rule","Manual"),""))</f>
        <v/>
      </c>
      <c r="Y457" s="19">
        <f>IF($C457="","",IF(ReportView=PersonA,N($Q457),IF(ReportView=PersonB,N($R457),$J457)))</f>
        <v/>
      </c>
    </row>
    <row r="458">
      <c r="B458">
        <f>IF($C458="","","T"&amp;TEXT(ROW()-ROW(tblTxn[[#Headers],[Txn ID]]),"000000"))</f>
        <v/>
      </c>
      <c r="C458" s="18" t="n"/>
      <c r="D458">
        <f>IF($C458="","",TEXT($C458,"yyyy-mm"))</f>
        <v/>
      </c>
      <c r="F458">
        <f>IF($C458="","",IFERROR(INDEX(tblAccounts[Owner],MATCH($E458,tblAccounts[Account],0)),"Joint"))</f>
        <v/>
      </c>
      <c r="G458">
        <f>IF($C458="","",IF(HouseholdMode="Couple",IFERROR(IF(INDEX(tblCategories[Default Owner],MATCH($K458,tblCategories[Category],0))="",$F458,INDEX(tblCategories[Default Owner],MATCH($K458,tblCategories[Category],0))),$F458),$F458))</f>
        <v/>
      </c>
      <c r="I458">
        <f>IF($H458="","",$H458)</f>
        <v/>
      </c>
      <c r="J458" s="19" t="n"/>
      <c r="K458">
        <f>IF($H458="","",IFERROR(INDEX(tblRules[Category],SUMPRODUCT(MIN((1-((tblRules[Enabled]&lt;&gt;"No")*(tblRules[Pattern]&lt;&gt;"")*(tblRules[Category]&lt;&gt;"")*((tblRules[Flow]="Any")+(tblRules[Flow]="")+((tblRules[Flow]="Money out")*($J458&lt;0))+((tblRules[Flow]="Money in")*($J458&gt;0)))*(((tblRules[Look In]="Account")*ISNUMBER(SEARCH(tblRules[Pattern],$E458)))+((tblRules[Look In]&lt;&gt;"Account")*(((tblRules[Test]="Word")*ISNUMBER(SEARCH(" "&amp;tblRules[Pattern]&amp;" "," "&amp;$H458&amp;" ")))+((tblRules[Test]&lt;&gt;"Word")*ISNUMBER(SEARCH(tblRules[Pattern],$H458))))))&gt;0))*1E+9+ROW(tblRules[Pattern])))-ROW(tblRules[[#Headers],[Pattern]])),"Uncategorized"))</f>
        <v/>
      </c>
      <c r="L458">
        <f>IF($C458="","",IFERROR(INDEX(tblCategories[Group],MATCH($K458,tblCategories[Category],0)),"Other"))</f>
        <v/>
      </c>
      <c r="M458">
        <f>IF($C458="","",IFERROR(INDEX(tblCategories[Type],MATCH($K458,tblCategories[Category],0)),IF($J458&gt;0,"Income","Expense")))</f>
        <v/>
      </c>
      <c r="N458">
        <f>IF($C458="","",IFERROR(INDEX(tblCategories[Essential],MATCH($K458,tblCategories[Category],0)),"No"))</f>
        <v/>
      </c>
      <c r="O458">
        <f>IF($C458="","",IFERROR(INDEX(tblCategories[Tax Tag],MATCH($K458,tblCategories[Category],0)),""))</f>
        <v/>
      </c>
      <c r="P458" s="20">
        <f>IF($C458="","",IF($G458=PersonA,1,IF($G458=PersonB,0,IFERROR(INDEX(tblCategories[Joint Split A],MATCH($K458,tblCategories[Category],0)),DefaultSplitA))))</f>
        <v/>
      </c>
      <c r="Q458" s="19">
        <f>IF($C458="","",ROUND($J458*N($P458),2))</f>
        <v/>
      </c>
      <c r="R458" s="19">
        <f>IF($C458="","",ROUND($J458-N($Q458),2))</f>
        <v/>
      </c>
      <c r="X458">
        <f>IF($C458="","",IFERROR(IF(_xlfn.ISFORMULA($K458),"Rule","Manual"),""))</f>
        <v/>
      </c>
      <c r="Y458" s="19">
        <f>IF($C458="","",IF(ReportView=PersonA,N($Q458),IF(ReportView=PersonB,N($R458),$J458)))</f>
        <v/>
      </c>
    </row>
    <row r="459">
      <c r="B459">
        <f>IF($C459="","","T"&amp;TEXT(ROW()-ROW(tblTxn[[#Headers],[Txn ID]]),"000000"))</f>
        <v/>
      </c>
      <c r="C459" s="18" t="n"/>
      <c r="D459">
        <f>IF($C459="","",TEXT($C459,"yyyy-mm"))</f>
        <v/>
      </c>
      <c r="F459">
        <f>IF($C459="","",IFERROR(INDEX(tblAccounts[Owner],MATCH($E459,tblAccounts[Account],0)),"Joint"))</f>
        <v/>
      </c>
      <c r="G459">
        <f>IF($C459="","",IF(HouseholdMode="Couple",IFERROR(IF(INDEX(tblCategories[Default Owner],MATCH($K459,tblCategories[Category],0))="",$F459,INDEX(tblCategories[Default Owner],MATCH($K459,tblCategories[Category],0))),$F459),$F459))</f>
        <v/>
      </c>
      <c r="I459">
        <f>IF($H459="","",$H459)</f>
        <v/>
      </c>
      <c r="J459" s="19" t="n"/>
      <c r="K459">
        <f>IF($H459="","",IFERROR(INDEX(tblRules[Category],SUMPRODUCT(MIN((1-((tblRules[Enabled]&lt;&gt;"No")*(tblRules[Pattern]&lt;&gt;"")*(tblRules[Category]&lt;&gt;"")*((tblRules[Flow]="Any")+(tblRules[Flow]="")+((tblRules[Flow]="Money out")*($J459&lt;0))+((tblRules[Flow]="Money in")*($J459&gt;0)))*(((tblRules[Look In]="Account")*ISNUMBER(SEARCH(tblRules[Pattern],$E459)))+((tblRules[Look In]&lt;&gt;"Account")*(((tblRules[Test]="Word")*ISNUMBER(SEARCH(" "&amp;tblRules[Pattern]&amp;" "," "&amp;$H459&amp;" ")))+((tblRules[Test]&lt;&gt;"Word")*ISNUMBER(SEARCH(tblRules[Pattern],$H459))))))&gt;0))*1E+9+ROW(tblRules[Pattern])))-ROW(tblRules[[#Headers],[Pattern]])),"Uncategorized"))</f>
        <v/>
      </c>
      <c r="L459">
        <f>IF($C459="","",IFERROR(INDEX(tblCategories[Group],MATCH($K459,tblCategories[Category],0)),"Other"))</f>
        <v/>
      </c>
      <c r="M459">
        <f>IF($C459="","",IFERROR(INDEX(tblCategories[Type],MATCH($K459,tblCategories[Category],0)),IF($J459&gt;0,"Income","Expense")))</f>
        <v/>
      </c>
      <c r="N459">
        <f>IF($C459="","",IFERROR(INDEX(tblCategories[Essential],MATCH($K459,tblCategories[Category],0)),"No"))</f>
        <v/>
      </c>
      <c r="O459">
        <f>IF($C459="","",IFERROR(INDEX(tblCategories[Tax Tag],MATCH($K459,tblCategories[Category],0)),""))</f>
        <v/>
      </c>
      <c r="P459" s="20">
        <f>IF($C459="","",IF($G459=PersonA,1,IF($G459=PersonB,0,IFERROR(INDEX(tblCategories[Joint Split A],MATCH($K459,tblCategories[Category],0)),DefaultSplitA))))</f>
        <v/>
      </c>
      <c r="Q459" s="19">
        <f>IF($C459="","",ROUND($J459*N($P459),2))</f>
        <v/>
      </c>
      <c r="R459" s="19">
        <f>IF($C459="","",ROUND($J459-N($Q459),2))</f>
        <v/>
      </c>
      <c r="X459">
        <f>IF($C459="","",IFERROR(IF(_xlfn.ISFORMULA($K459),"Rule","Manual"),""))</f>
        <v/>
      </c>
      <c r="Y459" s="19">
        <f>IF($C459="","",IF(ReportView=PersonA,N($Q459),IF(ReportView=PersonB,N($R459),$J459)))</f>
        <v/>
      </c>
    </row>
    <row r="460">
      <c r="B460">
        <f>IF($C460="","","T"&amp;TEXT(ROW()-ROW(tblTxn[[#Headers],[Txn ID]]),"000000"))</f>
        <v/>
      </c>
      <c r="C460" s="18" t="n"/>
      <c r="D460">
        <f>IF($C460="","",TEXT($C460,"yyyy-mm"))</f>
        <v/>
      </c>
      <c r="F460">
        <f>IF($C460="","",IFERROR(INDEX(tblAccounts[Owner],MATCH($E460,tblAccounts[Account],0)),"Joint"))</f>
        <v/>
      </c>
      <c r="G460">
        <f>IF($C460="","",IF(HouseholdMode="Couple",IFERROR(IF(INDEX(tblCategories[Default Owner],MATCH($K460,tblCategories[Category],0))="",$F460,INDEX(tblCategories[Default Owner],MATCH($K460,tblCategories[Category],0))),$F460),$F460))</f>
        <v/>
      </c>
      <c r="I460">
        <f>IF($H460="","",$H460)</f>
        <v/>
      </c>
      <c r="J460" s="19" t="n"/>
      <c r="K460">
        <f>IF($H460="","",IFERROR(INDEX(tblRules[Category],SUMPRODUCT(MIN((1-((tblRules[Enabled]&lt;&gt;"No")*(tblRules[Pattern]&lt;&gt;"")*(tblRules[Category]&lt;&gt;"")*((tblRules[Flow]="Any")+(tblRules[Flow]="")+((tblRules[Flow]="Money out")*($J460&lt;0))+((tblRules[Flow]="Money in")*($J460&gt;0)))*(((tblRules[Look In]="Account")*ISNUMBER(SEARCH(tblRules[Pattern],$E460)))+((tblRules[Look In]&lt;&gt;"Account")*(((tblRules[Test]="Word")*ISNUMBER(SEARCH(" "&amp;tblRules[Pattern]&amp;" "," "&amp;$H460&amp;" ")))+((tblRules[Test]&lt;&gt;"Word")*ISNUMBER(SEARCH(tblRules[Pattern],$H460))))))&gt;0))*1E+9+ROW(tblRules[Pattern])))-ROW(tblRules[[#Headers],[Pattern]])),"Uncategorized"))</f>
        <v/>
      </c>
      <c r="L460">
        <f>IF($C460="","",IFERROR(INDEX(tblCategories[Group],MATCH($K460,tblCategories[Category],0)),"Other"))</f>
        <v/>
      </c>
      <c r="M460">
        <f>IF($C460="","",IFERROR(INDEX(tblCategories[Type],MATCH($K460,tblCategories[Category],0)),IF($J460&gt;0,"Income","Expense")))</f>
        <v/>
      </c>
      <c r="N460">
        <f>IF($C460="","",IFERROR(INDEX(tblCategories[Essential],MATCH($K460,tblCategories[Category],0)),"No"))</f>
        <v/>
      </c>
      <c r="O460">
        <f>IF($C460="","",IFERROR(INDEX(tblCategories[Tax Tag],MATCH($K460,tblCategories[Category],0)),""))</f>
        <v/>
      </c>
      <c r="P460" s="20">
        <f>IF($C460="","",IF($G460=PersonA,1,IF($G460=PersonB,0,IFERROR(INDEX(tblCategories[Joint Split A],MATCH($K460,tblCategories[Category],0)),DefaultSplitA))))</f>
        <v/>
      </c>
      <c r="Q460" s="19">
        <f>IF($C460="","",ROUND($J460*N($P460),2))</f>
        <v/>
      </c>
      <c r="R460" s="19">
        <f>IF($C460="","",ROUND($J460-N($Q460),2))</f>
        <v/>
      </c>
      <c r="X460">
        <f>IF($C460="","",IFERROR(IF(_xlfn.ISFORMULA($K460),"Rule","Manual"),""))</f>
        <v/>
      </c>
      <c r="Y460" s="19">
        <f>IF($C460="","",IF(ReportView=PersonA,N($Q460),IF(ReportView=PersonB,N($R460),$J460)))</f>
        <v/>
      </c>
    </row>
    <row r="461">
      <c r="B461">
        <f>IF($C461="","","T"&amp;TEXT(ROW()-ROW(tblTxn[[#Headers],[Txn ID]]),"000000"))</f>
        <v/>
      </c>
      <c r="C461" s="18" t="n"/>
      <c r="D461">
        <f>IF($C461="","",TEXT($C461,"yyyy-mm"))</f>
        <v/>
      </c>
      <c r="F461">
        <f>IF($C461="","",IFERROR(INDEX(tblAccounts[Owner],MATCH($E461,tblAccounts[Account],0)),"Joint"))</f>
        <v/>
      </c>
      <c r="G461">
        <f>IF($C461="","",IF(HouseholdMode="Couple",IFERROR(IF(INDEX(tblCategories[Default Owner],MATCH($K461,tblCategories[Category],0))="",$F461,INDEX(tblCategories[Default Owner],MATCH($K461,tblCategories[Category],0))),$F461),$F461))</f>
        <v/>
      </c>
      <c r="I461">
        <f>IF($H461="","",$H461)</f>
        <v/>
      </c>
      <c r="J461" s="19" t="n"/>
      <c r="K461">
        <f>IF($H461="","",IFERROR(INDEX(tblRules[Category],SUMPRODUCT(MIN((1-((tblRules[Enabled]&lt;&gt;"No")*(tblRules[Pattern]&lt;&gt;"")*(tblRules[Category]&lt;&gt;"")*((tblRules[Flow]="Any")+(tblRules[Flow]="")+((tblRules[Flow]="Money out")*($J461&lt;0))+((tblRules[Flow]="Money in")*($J461&gt;0)))*(((tblRules[Look In]="Account")*ISNUMBER(SEARCH(tblRules[Pattern],$E461)))+((tblRules[Look In]&lt;&gt;"Account")*(((tblRules[Test]="Word")*ISNUMBER(SEARCH(" "&amp;tblRules[Pattern]&amp;" "," "&amp;$H461&amp;" ")))+((tblRules[Test]&lt;&gt;"Word")*ISNUMBER(SEARCH(tblRules[Pattern],$H461))))))&gt;0))*1E+9+ROW(tblRules[Pattern])))-ROW(tblRules[[#Headers],[Pattern]])),"Uncategorized"))</f>
        <v/>
      </c>
      <c r="L461">
        <f>IF($C461="","",IFERROR(INDEX(tblCategories[Group],MATCH($K461,tblCategories[Category],0)),"Other"))</f>
        <v/>
      </c>
      <c r="M461">
        <f>IF($C461="","",IFERROR(INDEX(tblCategories[Type],MATCH($K461,tblCategories[Category],0)),IF($J461&gt;0,"Income","Expense")))</f>
        <v/>
      </c>
      <c r="N461">
        <f>IF($C461="","",IFERROR(INDEX(tblCategories[Essential],MATCH($K461,tblCategories[Category],0)),"No"))</f>
        <v/>
      </c>
      <c r="O461">
        <f>IF($C461="","",IFERROR(INDEX(tblCategories[Tax Tag],MATCH($K461,tblCategories[Category],0)),""))</f>
        <v/>
      </c>
      <c r="P461" s="20">
        <f>IF($C461="","",IF($G461=PersonA,1,IF($G461=PersonB,0,IFERROR(INDEX(tblCategories[Joint Split A],MATCH($K461,tblCategories[Category],0)),DefaultSplitA))))</f>
        <v/>
      </c>
      <c r="Q461" s="19">
        <f>IF($C461="","",ROUND($J461*N($P461),2))</f>
        <v/>
      </c>
      <c r="R461" s="19">
        <f>IF($C461="","",ROUND($J461-N($Q461),2))</f>
        <v/>
      </c>
      <c r="X461">
        <f>IF($C461="","",IFERROR(IF(_xlfn.ISFORMULA($K461),"Rule","Manual"),""))</f>
        <v/>
      </c>
      <c r="Y461" s="19">
        <f>IF($C461="","",IF(ReportView=PersonA,N($Q461),IF(ReportView=PersonB,N($R461),$J461)))</f>
        <v/>
      </c>
    </row>
    <row r="462">
      <c r="B462">
        <f>IF($C462="","","T"&amp;TEXT(ROW()-ROW(tblTxn[[#Headers],[Txn ID]]),"000000"))</f>
        <v/>
      </c>
      <c r="C462" s="18" t="n"/>
      <c r="D462">
        <f>IF($C462="","",TEXT($C462,"yyyy-mm"))</f>
        <v/>
      </c>
      <c r="F462">
        <f>IF($C462="","",IFERROR(INDEX(tblAccounts[Owner],MATCH($E462,tblAccounts[Account],0)),"Joint"))</f>
        <v/>
      </c>
      <c r="G462">
        <f>IF($C462="","",IF(HouseholdMode="Couple",IFERROR(IF(INDEX(tblCategories[Default Owner],MATCH($K462,tblCategories[Category],0))="",$F462,INDEX(tblCategories[Default Owner],MATCH($K462,tblCategories[Category],0))),$F462),$F462))</f>
        <v/>
      </c>
      <c r="I462">
        <f>IF($H462="","",$H462)</f>
        <v/>
      </c>
      <c r="J462" s="19" t="n"/>
      <c r="K462">
        <f>IF($H462="","",IFERROR(INDEX(tblRules[Category],SUMPRODUCT(MIN((1-((tblRules[Enabled]&lt;&gt;"No")*(tblRules[Pattern]&lt;&gt;"")*(tblRules[Category]&lt;&gt;"")*((tblRules[Flow]="Any")+(tblRules[Flow]="")+((tblRules[Flow]="Money out")*($J462&lt;0))+((tblRules[Flow]="Money in")*($J462&gt;0)))*(((tblRules[Look In]="Account")*ISNUMBER(SEARCH(tblRules[Pattern],$E462)))+((tblRules[Look In]&lt;&gt;"Account")*(((tblRules[Test]="Word")*ISNUMBER(SEARCH(" "&amp;tblRules[Pattern]&amp;" "," "&amp;$H462&amp;" ")))+((tblRules[Test]&lt;&gt;"Word")*ISNUMBER(SEARCH(tblRules[Pattern],$H462))))))&gt;0))*1E+9+ROW(tblRules[Pattern])))-ROW(tblRules[[#Headers],[Pattern]])),"Uncategorized"))</f>
        <v/>
      </c>
      <c r="L462">
        <f>IF($C462="","",IFERROR(INDEX(tblCategories[Group],MATCH($K462,tblCategories[Category],0)),"Other"))</f>
        <v/>
      </c>
      <c r="M462">
        <f>IF($C462="","",IFERROR(INDEX(tblCategories[Type],MATCH($K462,tblCategories[Category],0)),IF($J462&gt;0,"Income","Expense")))</f>
        <v/>
      </c>
      <c r="N462">
        <f>IF($C462="","",IFERROR(INDEX(tblCategories[Essential],MATCH($K462,tblCategories[Category],0)),"No"))</f>
        <v/>
      </c>
      <c r="O462">
        <f>IF($C462="","",IFERROR(INDEX(tblCategories[Tax Tag],MATCH($K462,tblCategories[Category],0)),""))</f>
        <v/>
      </c>
      <c r="P462" s="20">
        <f>IF($C462="","",IF($G462=PersonA,1,IF($G462=PersonB,0,IFERROR(INDEX(tblCategories[Joint Split A],MATCH($K462,tblCategories[Category],0)),DefaultSplitA))))</f>
        <v/>
      </c>
      <c r="Q462" s="19">
        <f>IF($C462="","",ROUND($J462*N($P462),2))</f>
        <v/>
      </c>
      <c r="R462" s="19">
        <f>IF($C462="","",ROUND($J462-N($Q462),2))</f>
        <v/>
      </c>
      <c r="X462">
        <f>IF($C462="","",IFERROR(IF(_xlfn.ISFORMULA($K462),"Rule","Manual"),""))</f>
        <v/>
      </c>
      <c r="Y462" s="19">
        <f>IF($C462="","",IF(ReportView=PersonA,N($Q462),IF(ReportView=PersonB,N($R462),$J462)))</f>
        <v/>
      </c>
    </row>
    <row r="463">
      <c r="B463">
        <f>IF($C463="","","T"&amp;TEXT(ROW()-ROW(tblTxn[[#Headers],[Txn ID]]),"000000"))</f>
        <v/>
      </c>
      <c r="C463" s="18" t="n"/>
      <c r="D463">
        <f>IF($C463="","",TEXT($C463,"yyyy-mm"))</f>
        <v/>
      </c>
      <c r="F463">
        <f>IF($C463="","",IFERROR(INDEX(tblAccounts[Owner],MATCH($E463,tblAccounts[Account],0)),"Joint"))</f>
        <v/>
      </c>
      <c r="G463">
        <f>IF($C463="","",IF(HouseholdMode="Couple",IFERROR(IF(INDEX(tblCategories[Default Owner],MATCH($K463,tblCategories[Category],0))="",$F463,INDEX(tblCategories[Default Owner],MATCH($K463,tblCategories[Category],0))),$F463),$F463))</f>
        <v/>
      </c>
      <c r="I463">
        <f>IF($H463="","",$H463)</f>
        <v/>
      </c>
      <c r="J463" s="19" t="n"/>
      <c r="K463">
        <f>IF($H463="","",IFERROR(INDEX(tblRules[Category],SUMPRODUCT(MIN((1-((tblRules[Enabled]&lt;&gt;"No")*(tblRules[Pattern]&lt;&gt;"")*(tblRules[Category]&lt;&gt;"")*((tblRules[Flow]="Any")+(tblRules[Flow]="")+((tblRules[Flow]="Money out")*($J463&lt;0))+((tblRules[Flow]="Money in")*($J463&gt;0)))*(((tblRules[Look In]="Account")*ISNUMBER(SEARCH(tblRules[Pattern],$E463)))+((tblRules[Look In]&lt;&gt;"Account")*(((tblRules[Test]="Word")*ISNUMBER(SEARCH(" "&amp;tblRules[Pattern]&amp;" "," "&amp;$H463&amp;" ")))+((tblRules[Test]&lt;&gt;"Word")*ISNUMBER(SEARCH(tblRules[Pattern],$H463))))))&gt;0))*1E+9+ROW(tblRules[Pattern])))-ROW(tblRules[[#Headers],[Pattern]])),"Uncategorized"))</f>
        <v/>
      </c>
      <c r="L463">
        <f>IF($C463="","",IFERROR(INDEX(tblCategories[Group],MATCH($K463,tblCategories[Category],0)),"Other"))</f>
        <v/>
      </c>
      <c r="M463">
        <f>IF($C463="","",IFERROR(INDEX(tblCategories[Type],MATCH($K463,tblCategories[Category],0)),IF($J463&gt;0,"Income","Expense")))</f>
        <v/>
      </c>
      <c r="N463">
        <f>IF($C463="","",IFERROR(INDEX(tblCategories[Essential],MATCH($K463,tblCategories[Category],0)),"No"))</f>
        <v/>
      </c>
      <c r="O463">
        <f>IF($C463="","",IFERROR(INDEX(tblCategories[Tax Tag],MATCH($K463,tblCategories[Category],0)),""))</f>
        <v/>
      </c>
      <c r="P463" s="20">
        <f>IF($C463="","",IF($G463=PersonA,1,IF($G463=PersonB,0,IFERROR(INDEX(tblCategories[Joint Split A],MATCH($K463,tblCategories[Category],0)),DefaultSplitA))))</f>
        <v/>
      </c>
      <c r="Q463" s="19">
        <f>IF($C463="","",ROUND($J463*N($P463),2))</f>
        <v/>
      </c>
      <c r="R463" s="19">
        <f>IF($C463="","",ROUND($J463-N($Q463),2))</f>
        <v/>
      </c>
      <c r="X463">
        <f>IF($C463="","",IFERROR(IF(_xlfn.ISFORMULA($K463),"Rule","Manual"),""))</f>
        <v/>
      </c>
      <c r="Y463" s="19">
        <f>IF($C463="","",IF(ReportView=PersonA,N($Q463),IF(ReportView=PersonB,N($R463),$J463)))</f>
        <v/>
      </c>
    </row>
    <row r="464">
      <c r="B464">
        <f>IF($C464="","","T"&amp;TEXT(ROW()-ROW(tblTxn[[#Headers],[Txn ID]]),"000000"))</f>
        <v/>
      </c>
      <c r="C464" s="18" t="n"/>
      <c r="D464">
        <f>IF($C464="","",TEXT($C464,"yyyy-mm"))</f>
        <v/>
      </c>
      <c r="F464">
        <f>IF($C464="","",IFERROR(INDEX(tblAccounts[Owner],MATCH($E464,tblAccounts[Account],0)),"Joint"))</f>
        <v/>
      </c>
      <c r="G464">
        <f>IF($C464="","",IF(HouseholdMode="Couple",IFERROR(IF(INDEX(tblCategories[Default Owner],MATCH($K464,tblCategories[Category],0))="",$F464,INDEX(tblCategories[Default Owner],MATCH($K464,tblCategories[Category],0))),$F464),$F464))</f>
        <v/>
      </c>
      <c r="I464">
        <f>IF($H464="","",$H464)</f>
        <v/>
      </c>
      <c r="J464" s="19" t="n"/>
      <c r="K464">
        <f>IF($H464="","",IFERROR(INDEX(tblRules[Category],SUMPRODUCT(MIN((1-((tblRules[Enabled]&lt;&gt;"No")*(tblRules[Pattern]&lt;&gt;"")*(tblRules[Category]&lt;&gt;"")*((tblRules[Flow]="Any")+(tblRules[Flow]="")+((tblRules[Flow]="Money out")*($J464&lt;0))+((tblRules[Flow]="Money in")*($J464&gt;0)))*(((tblRules[Look In]="Account")*ISNUMBER(SEARCH(tblRules[Pattern],$E464)))+((tblRules[Look In]&lt;&gt;"Account")*(((tblRules[Test]="Word")*ISNUMBER(SEARCH(" "&amp;tblRules[Pattern]&amp;" "," "&amp;$H464&amp;" ")))+((tblRules[Test]&lt;&gt;"Word")*ISNUMBER(SEARCH(tblRules[Pattern],$H464))))))&gt;0))*1E+9+ROW(tblRules[Pattern])))-ROW(tblRules[[#Headers],[Pattern]])),"Uncategorized"))</f>
        <v/>
      </c>
      <c r="L464">
        <f>IF($C464="","",IFERROR(INDEX(tblCategories[Group],MATCH($K464,tblCategories[Category],0)),"Other"))</f>
        <v/>
      </c>
      <c r="M464">
        <f>IF($C464="","",IFERROR(INDEX(tblCategories[Type],MATCH($K464,tblCategories[Category],0)),IF($J464&gt;0,"Income","Expense")))</f>
        <v/>
      </c>
      <c r="N464">
        <f>IF($C464="","",IFERROR(INDEX(tblCategories[Essential],MATCH($K464,tblCategories[Category],0)),"No"))</f>
        <v/>
      </c>
      <c r="O464">
        <f>IF($C464="","",IFERROR(INDEX(tblCategories[Tax Tag],MATCH($K464,tblCategories[Category],0)),""))</f>
        <v/>
      </c>
      <c r="P464" s="20">
        <f>IF($C464="","",IF($G464=PersonA,1,IF($G464=PersonB,0,IFERROR(INDEX(tblCategories[Joint Split A],MATCH($K464,tblCategories[Category],0)),DefaultSplitA))))</f>
        <v/>
      </c>
      <c r="Q464" s="19">
        <f>IF($C464="","",ROUND($J464*N($P464),2))</f>
        <v/>
      </c>
      <c r="R464" s="19">
        <f>IF($C464="","",ROUND($J464-N($Q464),2))</f>
        <v/>
      </c>
      <c r="X464">
        <f>IF($C464="","",IFERROR(IF(_xlfn.ISFORMULA($K464),"Rule","Manual"),""))</f>
        <v/>
      </c>
      <c r="Y464" s="19">
        <f>IF($C464="","",IF(ReportView=PersonA,N($Q464),IF(ReportView=PersonB,N($R464),$J464)))</f>
        <v/>
      </c>
    </row>
    <row r="465">
      <c r="B465">
        <f>IF($C465="","","T"&amp;TEXT(ROW()-ROW(tblTxn[[#Headers],[Txn ID]]),"000000"))</f>
        <v/>
      </c>
      <c r="C465" s="18" t="n"/>
      <c r="D465">
        <f>IF($C465="","",TEXT($C465,"yyyy-mm"))</f>
        <v/>
      </c>
      <c r="F465">
        <f>IF($C465="","",IFERROR(INDEX(tblAccounts[Owner],MATCH($E465,tblAccounts[Account],0)),"Joint"))</f>
        <v/>
      </c>
      <c r="G465">
        <f>IF($C465="","",IF(HouseholdMode="Couple",IFERROR(IF(INDEX(tblCategories[Default Owner],MATCH($K465,tblCategories[Category],0))="",$F465,INDEX(tblCategories[Default Owner],MATCH($K465,tblCategories[Category],0))),$F465),$F465))</f>
        <v/>
      </c>
      <c r="I465">
        <f>IF($H465="","",$H465)</f>
        <v/>
      </c>
      <c r="J465" s="19" t="n"/>
      <c r="K465">
        <f>IF($H465="","",IFERROR(INDEX(tblRules[Category],SUMPRODUCT(MIN((1-((tblRules[Enabled]&lt;&gt;"No")*(tblRules[Pattern]&lt;&gt;"")*(tblRules[Category]&lt;&gt;"")*((tblRules[Flow]="Any")+(tblRules[Flow]="")+((tblRules[Flow]="Money out")*($J465&lt;0))+((tblRules[Flow]="Money in")*($J465&gt;0)))*(((tblRules[Look In]="Account")*ISNUMBER(SEARCH(tblRules[Pattern],$E465)))+((tblRules[Look In]&lt;&gt;"Account")*(((tblRules[Test]="Word")*ISNUMBER(SEARCH(" "&amp;tblRules[Pattern]&amp;" "," "&amp;$H465&amp;" ")))+((tblRules[Test]&lt;&gt;"Word")*ISNUMBER(SEARCH(tblRules[Pattern],$H465))))))&gt;0))*1E+9+ROW(tblRules[Pattern])))-ROW(tblRules[[#Headers],[Pattern]])),"Uncategorized"))</f>
        <v/>
      </c>
      <c r="L465">
        <f>IF($C465="","",IFERROR(INDEX(tblCategories[Group],MATCH($K465,tblCategories[Category],0)),"Other"))</f>
        <v/>
      </c>
      <c r="M465">
        <f>IF($C465="","",IFERROR(INDEX(tblCategories[Type],MATCH($K465,tblCategories[Category],0)),IF($J465&gt;0,"Income","Expense")))</f>
        <v/>
      </c>
      <c r="N465">
        <f>IF($C465="","",IFERROR(INDEX(tblCategories[Essential],MATCH($K465,tblCategories[Category],0)),"No"))</f>
        <v/>
      </c>
      <c r="O465">
        <f>IF($C465="","",IFERROR(INDEX(tblCategories[Tax Tag],MATCH($K465,tblCategories[Category],0)),""))</f>
        <v/>
      </c>
      <c r="P465" s="20">
        <f>IF($C465="","",IF($G465=PersonA,1,IF($G465=PersonB,0,IFERROR(INDEX(tblCategories[Joint Split A],MATCH($K465,tblCategories[Category],0)),DefaultSplitA))))</f>
        <v/>
      </c>
      <c r="Q465" s="19">
        <f>IF($C465="","",ROUND($J465*N($P465),2))</f>
        <v/>
      </c>
      <c r="R465" s="19">
        <f>IF($C465="","",ROUND($J465-N($Q465),2))</f>
        <v/>
      </c>
      <c r="X465">
        <f>IF($C465="","",IFERROR(IF(_xlfn.ISFORMULA($K465),"Rule","Manual"),""))</f>
        <v/>
      </c>
      <c r="Y465" s="19">
        <f>IF($C465="","",IF(ReportView=PersonA,N($Q465),IF(ReportView=PersonB,N($R465),$J465)))</f>
        <v/>
      </c>
    </row>
    <row r="466">
      <c r="B466">
        <f>IF($C466="","","T"&amp;TEXT(ROW()-ROW(tblTxn[[#Headers],[Txn ID]]),"000000"))</f>
        <v/>
      </c>
      <c r="C466" s="18" t="n"/>
      <c r="D466">
        <f>IF($C466="","",TEXT($C466,"yyyy-mm"))</f>
        <v/>
      </c>
      <c r="F466">
        <f>IF($C466="","",IFERROR(INDEX(tblAccounts[Owner],MATCH($E466,tblAccounts[Account],0)),"Joint"))</f>
        <v/>
      </c>
      <c r="G466">
        <f>IF($C466="","",IF(HouseholdMode="Couple",IFERROR(IF(INDEX(tblCategories[Default Owner],MATCH($K466,tblCategories[Category],0))="",$F466,INDEX(tblCategories[Default Owner],MATCH($K466,tblCategories[Category],0))),$F466),$F466))</f>
        <v/>
      </c>
      <c r="I466">
        <f>IF($H466="","",$H466)</f>
        <v/>
      </c>
      <c r="J466" s="19" t="n"/>
      <c r="K466">
        <f>IF($H466="","",IFERROR(INDEX(tblRules[Category],SUMPRODUCT(MIN((1-((tblRules[Enabled]&lt;&gt;"No")*(tblRules[Pattern]&lt;&gt;"")*(tblRules[Category]&lt;&gt;"")*((tblRules[Flow]="Any")+(tblRules[Flow]="")+((tblRules[Flow]="Money out")*($J466&lt;0))+((tblRules[Flow]="Money in")*($J466&gt;0)))*(((tblRules[Look In]="Account")*ISNUMBER(SEARCH(tblRules[Pattern],$E466)))+((tblRules[Look In]&lt;&gt;"Account")*(((tblRules[Test]="Word")*ISNUMBER(SEARCH(" "&amp;tblRules[Pattern]&amp;" "," "&amp;$H466&amp;" ")))+((tblRules[Test]&lt;&gt;"Word")*ISNUMBER(SEARCH(tblRules[Pattern],$H466))))))&gt;0))*1E+9+ROW(tblRules[Pattern])))-ROW(tblRules[[#Headers],[Pattern]])),"Uncategorized"))</f>
        <v/>
      </c>
      <c r="L466">
        <f>IF($C466="","",IFERROR(INDEX(tblCategories[Group],MATCH($K466,tblCategories[Category],0)),"Other"))</f>
        <v/>
      </c>
      <c r="M466">
        <f>IF($C466="","",IFERROR(INDEX(tblCategories[Type],MATCH($K466,tblCategories[Category],0)),IF($J466&gt;0,"Income","Expense")))</f>
        <v/>
      </c>
      <c r="N466">
        <f>IF($C466="","",IFERROR(INDEX(tblCategories[Essential],MATCH($K466,tblCategories[Category],0)),"No"))</f>
        <v/>
      </c>
      <c r="O466">
        <f>IF($C466="","",IFERROR(INDEX(tblCategories[Tax Tag],MATCH($K466,tblCategories[Category],0)),""))</f>
        <v/>
      </c>
      <c r="P466" s="20">
        <f>IF($C466="","",IF($G466=PersonA,1,IF($G466=PersonB,0,IFERROR(INDEX(tblCategories[Joint Split A],MATCH($K466,tblCategories[Category],0)),DefaultSplitA))))</f>
        <v/>
      </c>
      <c r="Q466" s="19">
        <f>IF($C466="","",ROUND($J466*N($P466),2))</f>
        <v/>
      </c>
      <c r="R466" s="19">
        <f>IF($C466="","",ROUND($J466-N($Q466),2))</f>
        <v/>
      </c>
      <c r="X466">
        <f>IF($C466="","",IFERROR(IF(_xlfn.ISFORMULA($K466),"Rule","Manual"),""))</f>
        <v/>
      </c>
      <c r="Y466" s="19">
        <f>IF($C466="","",IF(ReportView=PersonA,N($Q466),IF(ReportView=PersonB,N($R466),$J466)))</f>
        <v/>
      </c>
    </row>
    <row r="467">
      <c r="B467">
        <f>IF($C467="","","T"&amp;TEXT(ROW()-ROW(tblTxn[[#Headers],[Txn ID]]),"000000"))</f>
        <v/>
      </c>
      <c r="C467" s="18" t="n"/>
      <c r="D467">
        <f>IF($C467="","",TEXT($C467,"yyyy-mm"))</f>
        <v/>
      </c>
      <c r="F467">
        <f>IF($C467="","",IFERROR(INDEX(tblAccounts[Owner],MATCH($E467,tblAccounts[Account],0)),"Joint"))</f>
        <v/>
      </c>
      <c r="G467">
        <f>IF($C467="","",IF(HouseholdMode="Couple",IFERROR(IF(INDEX(tblCategories[Default Owner],MATCH($K467,tblCategories[Category],0))="",$F467,INDEX(tblCategories[Default Owner],MATCH($K467,tblCategories[Category],0))),$F467),$F467))</f>
        <v/>
      </c>
      <c r="I467">
        <f>IF($H467="","",$H467)</f>
        <v/>
      </c>
      <c r="J467" s="19" t="n"/>
      <c r="K467">
        <f>IF($H467="","",IFERROR(INDEX(tblRules[Category],SUMPRODUCT(MIN((1-((tblRules[Enabled]&lt;&gt;"No")*(tblRules[Pattern]&lt;&gt;"")*(tblRules[Category]&lt;&gt;"")*((tblRules[Flow]="Any")+(tblRules[Flow]="")+((tblRules[Flow]="Money out")*($J467&lt;0))+((tblRules[Flow]="Money in")*($J467&gt;0)))*(((tblRules[Look In]="Account")*ISNUMBER(SEARCH(tblRules[Pattern],$E467)))+((tblRules[Look In]&lt;&gt;"Account")*(((tblRules[Test]="Word")*ISNUMBER(SEARCH(" "&amp;tblRules[Pattern]&amp;" "," "&amp;$H467&amp;" ")))+((tblRules[Test]&lt;&gt;"Word")*ISNUMBER(SEARCH(tblRules[Pattern],$H467))))))&gt;0))*1E+9+ROW(tblRules[Pattern])))-ROW(tblRules[[#Headers],[Pattern]])),"Uncategorized"))</f>
        <v/>
      </c>
      <c r="L467">
        <f>IF($C467="","",IFERROR(INDEX(tblCategories[Group],MATCH($K467,tblCategories[Category],0)),"Other"))</f>
        <v/>
      </c>
      <c r="M467">
        <f>IF($C467="","",IFERROR(INDEX(tblCategories[Type],MATCH($K467,tblCategories[Category],0)),IF($J467&gt;0,"Income","Expense")))</f>
        <v/>
      </c>
      <c r="N467">
        <f>IF($C467="","",IFERROR(INDEX(tblCategories[Essential],MATCH($K467,tblCategories[Category],0)),"No"))</f>
        <v/>
      </c>
      <c r="O467">
        <f>IF($C467="","",IFERROR(INDEX(tblCategories[Tax Tag],MATCH($K467,tblCategories[Category],0)),""))</f>
        <v/>
      </c>
      <c r="P467" s="20">
        <f>IF($C467="","",IF($G467=PersonA,1,IF($G467=PersonB,0,IFERROR(INDEX(tblCategories[Joint Split A],MATCH($K467,tblCategories[Category],0)),DefaultSplitA))))</f>
        <v/>
      </c>
      <c r="Q467" s="19">
        <f>IF($C467="","",ROUND($J467*N($P467),2))</f>
        <v/>
      </c>
      <c r="R467" s="19">
        <f>IF($C467="","",ROUND($J467-N($Q467),2))</f>
        <v/>
      </c>
      <c r="X467">
        <f>IF($C467="","",IFERROR(IF(_xlfn.ISFORMULA($K467),"Rule","Manual"),""))</f>
        <v/>
      </c>
      <c r="Y467" s="19">
        <f>IF($C467="","",IF(ReportView=PersonA,N($Q467),IF(ReportView=PersonB,N($R467),$J467)))</f>
        <v/>
      </c>
    </row>
    <row r="468">
      <c r="B468">
        <f>IF($C468="","","T"&amp;TEXT(ROW()-ROW(tblTxn[[#Headers],[Txn ID]]),"000000"))</f>
        <v/>
      </c>
      <c r="C468" s="18" t="n"/>
      <c r="D468">
        <f>IF($C468="","",TEXT($C468,"yyyy-mm"))</f>
        <v/>
      </c>
      <c r="F468">
        <f>IF($C468="","",IFERROR(INDEX(tblAccounts[Owner],MATCH($E468,tblAccounts[Account],0)),"Joint"))</f>
        <v/>
      </c>
      <c r="G468">
        <f>IF($C468="","",IF(HouseholdMode="Couple",IFERROR(IF(INDEX(tblCategories[Default Owner],MATCH($K468,tblCategories[Category],0))="",$F468,INDEX(tblCategories[Default Owner],MATCH($K468,tblCategories[Category],0))),$F468),$F468))</f>
        <v/>
      </c>
      <c r="I468">
        <f>IF($H468="","",$H468)</f>
        <v/>
      </c>
      <c r="J468" s="19" t="n"/>
      <c r="K468">
        <f>IF($H468="","",IFERROR(INDEX(tblRules[Category],SUMPRODUCT(MIN((1-((tblRules[Enabled]&lt;&gt;"No")*(tblRules[Pattern]&lt;&gt;"")*(tblRules[Category]&lt;&gt;"")*((tblRules[Flow]="Any")+(tblRules[Flow]="")+((tblRules[Flow]="Money out")*($J468&lt;0))+((tblRules[Flow]="Money in")*($J468&gt;0)))*(((tblRules[Look In]="Account")*ISNUMBER(SEARCH(tblRules[Pattern],$E468)))+((tblRules[Look In]&lt;&gt;"Account")*(((tblRules[Test]="Word")*ISNUMBER(SEARCH(" "&amp;tblRules[Pattern]&amp;" "," "&amp;$H468&amp;" ")))+((tblRules[Test]&lt;&gt;"Word")*ISNUMBER(SEARCH(tblRules[Pattern],$H468))))))&gt;0))*1E+9+ROW(tblRules[Pattern])))-ROW(tblRules[[#Headers],[Pattern]])),"Uncategorized"))</f>
        <v/>
      </c>
      <c r="L468">
        <f>IF($C468="","",IFERROR(INDEX(tblCategories[Group],MATCH($K468,tblCategories[Category],0)),"Other"))</f>
        <v/>
      </c>
      <c r="M468">
        <f>IF($C468="","",IFERROR(INDEX(tblCategories[Type],MATCH($K468,tblCategories[Category],0)),IF($J468&gt;0,"Income","Expense")))</f>
        <v/>
      </c>
      <c r="N468">
        <f>IF($C468="","",IFERROR(INDEX(tblCategories[Essential],MATCH($K468,tblCategories[Category],0)),"No"))</f>
        <v/>
      </c>
      <c r="O468">
        <f>IF($C468="","",IFERROR(INDEX(tblCategories[Tax Tag],MATCH($K468,tblCategories[Category],0)),""))</f>
        <v/>
      </c>
      <c r="P468" s="20">
        <f>IF($C468="","",IF($G468=PersonA,1,IF($G468=PersonB,0,IFERROR(INDEX(tblCategories[Joint Split A],MATCH($K468,tblCategories[Category],0)),DefaultSplitA))))</f>
        <v/>
      </c>
      <c r="Q468" s="19">
        <f>IF($C468="","",ROUND($J468*N($P468),2))</f>
        <v/>
      </c>
      <c r="R468" s="19">
        <f>IF($C468="","",ROUND($J468-N($Q468),2))</f>
        <v/>
      </c>
      <c r="X468">
        <f>IF($C468="","",IFERROR(IF(_xlfn.ISFORMULA($K468),"Rule","Manual"),""))</f>
        <v/>
      </c>
      <c r="Y468" s="19">
        <f>IF($C468="","",IF(ReportView=PersonA,N($Q468),IF(ReportView=PersonB,N($R468),$J468)))</f>
        <v/>
      </c>
    </row>
    <row r="469">
      <c r="B469">
        <f>IF($C469="","","T"&amp;TEXT(ROW()-ROW(tblTxn[[#Headers],[Txn ID]]),"000000"))</f>
        <v/>
      </c>
      <c r="C469" s="18" t="n"/>
      <c r="D469">
        <f>IF($C469="","",TEXT($C469,"yyyy-mm"))</f>
        <v/>
      </c>
      <c r="F469">
        <f>IF($C469="","",IFERROR(INDEX(tblAccounts[Owner],MATCH($E469,tblAccounts[Account],0)),"Joint"))</f>
        <v/>
      </c>
      <c r="G469">
        <f>IF($C469="","",IF(HouseholdMode="Couple",IFERROR(IF(INDEX(tblCategories[Default Owner],MATCH($K469,tblCategories[Category],0))="",$F469,INDEX(tblCategories[Default Owner],MATCH($K469,tblCategories[Category],0))),$F469),$F469))</f>
        <v/>
      </c>
      <c r="I469">
        <f>IF($H469="","",$H469)</f>
        <v/>
      </c>
      <c r="J469" s="19" t="n"/>
      <c r="K469">
        <f>IF($H469="","",IFERROR(INDEX(tblRules[Category],SUMPRODUCT(MIN((1-((tblRules[Enabled]&lt;&gt;"No")*(tblRules[Pattern]&lt;&gt;"")*(tblRules[Category]&lt;&gt;"")*((tblRules[Flow]="Any")+(tblRules[Flow]="")+((tblRules[Flow]="Money out")*($J469&lt;0))+((tblRules[Flow]="Money in")*($J469&gt;0)))*(((tblRules[Look In]="Account")*ISNUMBER(SEARCH(tblRules[Pattern],$E469)))+((tblRules[Look In]&lt;&gt;"Account")*(((tblRules[Test]="Word")*ISNUMBER(SEARCH(" "&amp;tblRules[Pattern]&amp;" "," "&amp;$H469&amp;" ")))+((tblRules[Test]&lt;&gt;"Word")*ISNUMBER(SEARCH(tblRules[Pattern],$H469))))))&gt;0))*1E+9+ROW(tblRules[Pattern])))-ROW(tblRules[[#Headers],[Pattern]])),"Uncategorized"))</f>
        <v/>
      </c>
      <c r="L469">
        <f>IF($C469="","",IFERROR(INDEX(tblCategories[Group],MATCH($K469,tblCategories[Category],0)),"Other"))</f>
        <v/>
      </c>
      <c r="M469">
        <f>IF($C469="","",IFERROR(INDEX(tblCategories[Type],MATCH($K469,tblCategories[Category],0)),IF($J469&gt;0,"Income","Expense")))</f>
        <v/>
      </c>
      <c r="N469">
        <f>IF($C469="","",IFERROR(INDEX(tblCategories[Essential],MATCH($K469,tblCategories[Category],0)),"No"))</f>
        <v/>
      </c>
      <c r="O469">
        <f>IF($C469="","",IFERROR(INDEX(tblCategories[Tax Tag],MATCH($K469,tblCategories[Category],0)),""))</f>
        <v/>
      </c>
      <c r="P469" s="20">
        <f>IF($C469="","",IF($G469=PersonA,1,IF($G469=PersonB,0,IFERROR(INDEX(tblCategories[Joint Split A],MATCH($K469,tblCategories[Category],0)),DefaultSplitA))))</f>
        <v/>
      </c>
      <c r="Q469" s="19">
        <f>IF($C469="","",ROUND($J469*N($P469),2))</f>
        <v/>
      </c>
      <c r="R469" s="19">
        <f>IF($C469="","",ROUND($J469-N($Q469),2))</f>
        <v/>
      </c>
      <c r="X469">
        <f>IF($C469="","",IFERROR(IF(_xlfn.ISFORMULA($K469),"Rule","Manual"),""))</f>
        <v/>
      </c>
      <c r="Y469" s="19">
        <f>IF($C469="","",IF(ReportView=PersonA,N($Q469),IF(ReportView=PersonB,N($R469),$J469)))</f>
        <v/>
      </c>
    </row>
    <row r="470">
      <c r="B470">
        <f>IF($C470="","","T"&amp;TEXT(ROW()-ROW(tblTxn[[#Headers],[Txn ID]]),"000000"))</f>
        <v/>
      </c>
      <c r="C470" s="18" t="n"/>
      <c r="D470">
        <f>IF($C470="","",TEXT($C470,"yyyy-mm"))</f>
        <v/>
      </c>
      <c r="F470">
        <f>IF($C470="","",IFERROR(INDEX(tblAccounts[Owner],MATCH($E470,tblAccounts[Account],0)),"Joint"))</f>
        <v/>
      </c>
      <c r="G470">
        <f>IF($C470="","",IF(HouseholdMode="Couple",IFERROR(IF(INDEX(tblCategories[Default Owner],MATCH($K470,tblCategories[Category],0))="",$F470,INDEX(tblCategories[Default Owner],MATCH($K470,tblCategories[Category],0))),$F470),$F470))</f>
        <v/>
      </c>
      <c r="I470">
        <f>IF($H470="","",$H470)</f>
        <v/>
      </c>
      <c r="J470" s="19" t="n"/>
      <c r="K470">
        <f>IF($H470="","",IFERROR(INDEX(tblRules[Category],SUMPRODUCT(MIN((1-((tblRules[Enabled]&lt;&gt;"No")*(tblRules[Pattern]&lt;&gt;"")*(tblRules[Category]&lt;&gt;"")*((tblRules[Flow]="Any")+(tblRules[Flow]="")+((tblRules[Flow]="Money out")*($J470&lt;0))+((tblRules[Flow]="Money in")*($J470&gt;0)))*(((tblRules[Look In]="Account")*ISNUMBER(SEARCH(tblRules[Pattern],$E470)))+((tblRules[Look In]&lt;&gt;"Account")*(((tblRules[Test]="Word")*ISNUMBER(SEARCH(" "&amp;tblRules[Pattern]&amp;" "," "&amp;$H470&amp;" ")))+((tblRules[Test]&lt;&gt;"Word")*ISNUMBER(SEARCH(tblRules[Pattern],$H470))))))&gt;0))*1E+9+ROW(tblRules[Pattern])))-ROW(tblRules[[#Headers],[Pattern]])),"Uncategorized"))</f>
        <v/>
      </c>
      <c r="L470">
        <f>IF($C470="","",IFERROR(INDEX(tblCategories[Group],MATCH($K470,tblCategories[Category],0)),"Other"))</f>
        <v/>
      </c>
      <c r="M470">
        <f>IF($C470="","",IFERROR(INDEX(tblCategories[Type],MATCH($K470,tblCategories[Category],0)),IF($J470&gt;0,"Income","Expense")))</f>
        <v/>
      </c>
      <c r="N470">
        <f>IF($C470="","",IFERROR(INDEX(tblCategories[Essential],MATCH($K470,tblCategories[Category],0)),"No"))</f>
        <v/>
      </c>
      <c r="O470">
        <f>IF($C470="","",IFERROR(INDEX(tblCategories[Tax Tag],MATCH($K470,tblCategories[Category],0)),""))</f>
        <v/>
      </c>
      <c r="P470" s="20">
        <f>IF($C470="","",IF($G470=PersonA,1,IF($G470=PersonB,0,IFERROR(INDEX(tblCategories[Joint Split A],MATCH($K470,tblCategories[Category],0)),DefaultSplitA))))</f>
        <v/>
      </c>
      <c r="Q470" s="19">
        <f>IF($C470="","",ROUND($J470*N($P470),2))</f>
        <v/>
      </c>
      <c r="R470" s="19">
        <f>IF($C470="","",ROUND($J470-N($Q470),2))</f>
        <v/>
      </c>
      <c r="X470">
        <f>IF($C470="","",IFERROR(IF(_xlfn.ISFORMULA($K470),"Rule","Manual"),""))</f>
        <v/>
      </c>
      <c r="Y470" s="19">
        <f>IF($C470="","",IF(ReportView=PersonA,N($Q470),IF(ReportView=PersonB,N($R470),$J470)))</f>
        <v/>
      </c>
    </row>
    <row r="471">
      <c r="B471">
        <f>IF($C471="","","T"&amp;TEXT(ROW()-ROW(tblTxn[[#Headers],[Txn ID]]),"000000"))</f>
        <v/>
      </c>
      <c r="C471" s="18" t="n"/>
      <c r="D471">
        <f>IF($C471="","",TEXT($C471,"yyyy-mm"))</f>
        <v/>
      </c>
      <c r="F471">
        <f>IF($C471="","",IFERROR(INDEX(tblAccounts[Owner],MATCH($E471,tblAccounts[Account],0)),"Joint"))</f>
        <v/>
      </c>
      <c r="G471">
        <f>IF($C471="","",IF(HouseholdMode="Couple",IFERROR(IF(INDEX(tblCategories[Default Owner],MATCH($K471,tblCategories[Category],0))="",$F471,INDEX(tblCategories[Default Owner],MATCH($K471,tblCategories[Category],0))),$F471),$F471))</f>
        <v/>
      </c>
      <c r="I471">
        <f>IF($H471="","",$H471)</f>
        <v/>
      </c>
      <c r="J471" s="19" t="n"/>
      <c r="K471">
        <f>IF($H471="","",IFERROR(INDEX(tblRules[Category],SUMPRODUCT(MIN((1-((tblRules[Enabled]&lt;&gt;"No")*(tblRules[Pattern]&lt;&gt;"")*(tblRules[Category]&lt;&gt;"")*((tblRules[Flow]="Any")+(tblRules[Flow]="")+((tblRules[Flow]="Money out")*($J471&lt;0))+((tblRules[Flow]="Money in")*($J471&gt;0)))*(((tblRules[Look In]="Account")*ISNUMBER(SEARCH(tblRules[Pattern],$E471)))+((tblRules[Look In]&lt;&gt;"Account")*(((tblRules[Test]="Word")*ISNUMBER(SEARCH(" "&amp;tblRules[Pattern]&amp;" "," "&amp;$H471&amp;" ")))+((tblRules[Test]&lt;&gt;"Word")*ISNUMBER(SEARCH(tblRules[Pattern],$H471))))))&gt;0))*1E+9+ROW(tblRules[Pattern])))-ROW(tblRules[[#Headers],[Pattern]])),"Uncategorized"))</f>
        <v/>
      </c>
      <c r="L471">
        <f>IF($C471="","",IFERROR(INDEX(tblCategories[Group],MATCH($K471,tblCategories[Category],0)),"Other"))</f>
        <v/>
      </c>
      <c r="M471">
        <f>IF($C471="","",IFERROR(INDEX(tblCategories[Type],MATCH($K471,tblCategories[Category],0)),IF($J471&gt;0,"Income","Expense")))</f>
        <v/>
      </c>
      <c r="N471">
        <f>IF($C471="","",IFERROR(INDEX(tblCategories[Essential],MATCH($K471,tblCategories[Category],0)),"No"))</f>
        <v/>
      </c>
      <c r="O471">
        <f>IF($C471="","",IFERROR(INDEX(tblCategories[Tax Tag],MATCH($K471,tblCategories[Category],0)),""))</f>
        <v/>
      </c>
      <c r="P471" s="20">
        <f>IF($C471="","",IF($G471=PersonA,1,IF($G471=PersonB,0,IFERROR(INDEX(tblCategories[Joint Split A],MATCH($K471,tblCategories[Category],0)),DefaultSplitA))))</f>
        <v/>
      </c>
      <c r="Q471" s="19">
        <f>IF($C471="","",ROUND($J471*N($P471),2))</f>
        <v/>
      </c>
      <c r="R471" s="19">
        <f>IF($C471="","",ROUND($J471-N($Q471),2))</f>
        <v/>
      </c>
      <c r="X471">
        <f>IF($C471="","",IFERROR(IF(_xlfn.ISFORMULA($K471),"Rule","Manual"),""))</f>
        <v/>
      </c>
      <c r="Y471" s="19">
        <f>IF($C471="","",IF(ReportView=PersonA,N($Q471),IF(ReportView=PersonB,N($R471),$J471)))</f>
        <v/>
      </c>
    </row>
    <row r="472">
      <c r="B472">
        <f>IF($C472="","","T"&amp;TEXT(ROW()-ROW(tblTxn[[#Headers],[Txn ID]]),"000000"))</f>
        <v/>
      </c>
      <c r="C472" s="18" t="n"/>
      <c r="D472">
        <f>IF($C472="","",TEXT($C472,"yyyy-mm"))</f>
        <v/>
      </c>
      <c r="F472">
        <f>IF($C472="","",IFERROR(INDEX(tblAccounts[Owner],MATCH($E472,tblAccounts[Account],0)),"Joint"))</f>
        <v/>
      </c>
      <c r="G472">
        <f>IF($C472="","",IF(HouseholdMode="Couple",IFERROR(IF(INDEX(tblCategories[Default Owner],MATCH($K472,tblCategories[Category],0))="",$F472,INDEX(tblCategories[Default Owner],MATCH($K472,tblCategories[Category],0))),$F472),$F472))</f>
        <v/>
      </c>
      <c r="I472">
        <f>IF($H472="","",$H472)</f>
        <v/>
      </c>
      <c r="J472" s="19" t="n"/>
      <c r="K472">
        <f>IF($H472="","",IFERROR(INDEX(tblRules[Category],SUMPRODUCT(MIN((1-((tblRules[Enabled]&lt;&gt;"No")*(tblRules[Pattern]&lt;&gt;"")*(tblRules[Category]&lt;&gt;"")*((tblRules[Flow]="Any")+(tblRules[Flow]="")+((tblRules[Flow]="Money out")*($J472&lt;0))+((tblRules[Flow]="Money in")*($J472&gt;0)))*(((tblRules[Look In]="Account")*ISNUMBER(SEARCH(tblRules[Pattern],$E472)))+((tblRules[Look In]&lt;&gt;"Account")*(((tblRules[Test]="Word")*ISNUMBER(SEARCH(" "&amp;tblRules[Pattern]&amp;" "," "&amp;$H472&amp;" ")))+((tblRules[Test]&lt;&gt;"Word")*ISNUMBER(SEARCH(tblRules[Pattern],$H472))))))&gt;0))*1E+9+ROW(tblRules[Pattern])))-ROW(tblRules[[#Headers],[Pattern]])),"Uncategorized"))</f>
        <v/>
      </c>
      <c r="L472">
        <f>IF($C472="","",IFERROR(INDEX(tblCategories[Group],MATCH($K472,tblCategories[Category],0)),"Other"))</f>
        <v/>
      </c>
      <c r="M472">
        <f>IF($C472="","",IFERROR(INDEX(tblCategories[Type],MATCH($K472,tblCategories[Category],0)),IF($J472&gt;0,"Income","Expense")))</f>
        <v/>
      </c>
      <c r="N472">
        <f>IF($C472="","",IFERROR(INDEX(tblCategories[Essential],MATCH($K472,tblCategories[Category],0)),"No"))</f>
        <v/>
      </c>
      <c r="O472">
        <f>IF($C472="","",IFERROR(INDEX(tblCategories[Tax Tag],MATCH($K472,tblCategories[Category],0)),""))</f>
        <v/>
      </c>
      <c r="P472" s="20">
        <f>IF($C472="","",IF($G472=PersonA,1,IF($G472=PersonB,0,IFERROR(INDEX(tblCategories[Joint Split A],MATCH($K472,tblCategories[Category],0)),DefaultSplitA))))</f>
        <v/>
      </c>
      <c r="Q472" s="19">
        <f>IF($C472="","",ROUND($J472*N($P472),2))</f>
        <v/>
      </c>
      <c r="R472" s="19">
        <f>IF($C472="","",ROUND($J472-N($Q472),2))</f>
        <v/>
      </c>
      <c r="X472">
        <f>IF($C472="","",IFERROR(IF(_xlfn.ISFORMULA($K472),"Rule","Manual"),""))</f>
        <v/>
      </c>
      <c r="Y472" s="19">
        <f>IF($C472="","",IF(ReportView=PersonA,N($Q472),IF(ReportView=PersonB,N($R472),$J472)))</f>
        <v/>
      </c>
    </row>
    <row r="473">
      <c r="B473">
        <f>IF($C473="","","T"&amp;TEXT(ROW()-ROW(tblTxn[[#Headers],[Txn ID]]),"000000"))</f>
        <v/>
      </c>
      <c r="C473" s="18" t="n"/>
      <c r="D473">
        <f>IF($C473="","",TEXT($C473,"yyyy-mm"))</f>
        <v/>
      </c>
      <c r="F473">
        <f>IF($C473="","",IFERROR(INDEX(tblAccounts[Owner],MATCH($E473,tblAccounts[Account],0)),"Joint"))</f>
        <v/>
      </c>
      <c r="G473">
        <f>IF($C473="","",IF(HouseholdMode="Couple",IFERROR(IF(INDEX(tblCategories[Default Owner],MATCH($K473,tblCategories[Category],0))="",$F473,INDEX(tblCategories[Default Owner],MATCH($K473,tblCategories[Category],0))),$F473),$F473))</f>
        <v/>
      </c>
      <c r="I473">
        <f>IF($H473="","",$H473)</f>
        <v/>
      </c>
      <c r="J473" s="19" t="n"/>
      <c r="K473">
        <f>IF($H473="","",IFERROR(INDEX(tblRules[Category],SUMPRODUCT(MIN((1-((tblRules[Enabled]&lt;&gt;"No")*(tblRules[Pattern]&lt;&gt;"")*(tblRules[Category]&lt;&gt;"")*((tblRules[Flow]="Any")+(tblRules[Flow]="")+((tblRules[Flow]="Money out")*($J473&lt;0))+((tblRules[Flow]="Money in")*($J473&gt;0)))*(((tblRules[Look In]="Account")*ISNUMBER(SEARCH(tblRules[Pattern],$E473)))+((tblRules[Look In]&lt;&gt;"Account")*(((tblRules[Test]="Word")*ISNUMBER(SEARCH(" "&amp;tblRules[Pattern]&amp;" "," "&amp;$H473&amp;" ")))+((tblRules[Test]&lt;&gt;"Word")*ISNUMBER(SEARCH(tblRules[Pattern],$H473))))))&gt;0))*1E+9+ROW(tblRules[Pattern])))-ROW(tblRules[[#Headers],[Pattern]])),"Uncategorized"))</f>
        <v/>
      </c>
      <c r="L473">
        <f>IF($C473="","",IFERROR(INDEX(tblCategories[Group],MATCH($K473,tblCategories[Category],0)),"Other"))</f>
        <v/>
      </c>
      <c r="M473">
        <f>IF($C473="","",IFERROR(INDEX(tblCategories[Type],MATCH($K473,tblCategories[Category],0)),IF($J473&gt;0,"Income","Expense")))</f>
        <v/>
      </c>
      <c r="N473">
        <f>IF($C473="","",IFERROR(INDEX(tblCategories[Essential],MATCH($K473,tblCategories[Category],0)),"No"))</f>
        <v/>
      </c>
      <c r="O473">
        <f>IF($C473="","",IFERROR(INDEX(tblCategories[Tax Tag],MATCH($K473,tblCategories[Category],0)),""))</f>
        <v/>
      </c>
      <c r="P473" s="20">
        <f>IF($C473="","",IF($G473=PersonA,1,IF($G473=PersonB,0,IFERROR(INDEX(tblCategories[Joint Split A],MATCH($K473,tblCategories[Category],0)),DefaultSplitA))))</f>
        <v/>
      </c>
      <c r="Q473" s="19">
        <f>IF($C473="","",ROUND($J473*N($P473),2))</f>
        <v/>
      </c>
      <c r="R473" s="19">
        <f>IF($C473="","",ROUND($J473-N($Q473),2))</f>
        <v/>
      </c>
      <c r="X473">
        <f>IF($C473="","",IFERROR(IF(_xlfn.ISFORMULA($K473),"Rule","Manual"),""))</f>
        <v/>
      </c>
      <c r="Y473" s="19">
        <f>IF($C473="","",IF(ReportView=PersonA,N($Q473),IF(ReportView=PersonB,N($R473),$J473)))</f>
        <v/>
      </c>
    </row>
    <row r="474">
      <c r="B474">
        <f>IF($C474="","","T"&amp;TEXT(ROW()-ROW(tblTxn[[#Headers],[Txn ID]]),"000000"))</f>
        <v/>
      </c>
      <c r="C474" s="18" t="n"/>
      <c r="D474">
        <f>IF($C474="","",TEXT($C474,"yyyy-mm"))</f>
        <v/>
      </c>
      <c r="F474">
        <f>IF($C474="","",IFERROR(INDEX(tblAccounts[Owner],MATCH($E474,tblAccounts[Account],0)),"Joint"))</f>
        <v/>
      </c>
      <c r="G474">
        <f>IF($C474="","",IF(HouseholdMode="Couple",IFERROR(IF(INDEX(tblCategories[Default Owner],MATCH($K474,tblCategories[Category],0))="",$F474,INDEX(tblCategories[Default Owner],MATCH($K474,tblCategories[Category],0))),$F474),$F474))</f>
        <v/>
      </c>
      <c r="I474">
        <f>IF($H474="","",$H474)</f>
        <v/>
      </c>
      <c r="J474" s="19" t="n"/>
      <c r="K474">
        <f>IF($H474="","",IFERROR(INDEX(tblRules[Category],SUMPRODUCT(MIN((1-((tblRules[Enabled]&lt;&gt;"No")*(tblRules[Pattern]&lt;&gt;"")*(tblRules[Category]&lt;&gt;"")*((tblRules[Flow]="Any")+(tblRules[Flow]="")+((tblRules[Flow]="Money out")*($J474&lt;0))+((tblRules[Flow]="Money in")*($J474&gt;0)))*(((tblRules[Look In]="Account")*ISNUMBER(SEARCH(tblRules[Pattern],$E474)))+((tblRules[Look In]&lt;&gt;"Account")*(((tblRules[Test]="Word")*ISNUMBER(SEARCH(" "&amp;tblRules[Pattern]&amp;" "," "&amp;$H474&amp;" ")))+((tblRules[Test]&lt;&gt;"Word")*ISNUMBER(SEARCH(tblRules[Pattern],$H474))))))&gt;0))*1E+9+ROW(tblRules[Pattern])))-ROW(tblRules[[#Headers],[Pattern]])),"Uncategorized"))</f>
        <v/>
      </c>
      <c r="L474">
        <f>IF($C474="","",IFERROR(INDEX(tblCategories[Group],MATCH($K474,tblCategories[Category],0)),"Other"))</f>
        <v/>
      </c>
      <c r="M474">
        <f>IF($C474="","",IFERROR(INDEX(tblCategories[Type],MATCH($K474,tblCategories[Category],0)),IF($J474&gt;0,"Income","Expense")))</f>
        <v/>
      </c>
      <c r="N474">
        <f>IF($C474="","",IFERROR(INDEX(tblCategories[Essential],MATCH($K474,tblCategories[Category],0)),"No"))</f>
        <v/>
      </c>
      <c r="O474">
        <f>IF($C474="","",IFERROR(INDEX(tblCategories[Tax Tag],MATCH($K474,tblCategories[Category],0)),""))</f>
        <v/>
      </c>
      <c r="P474" s="20">
        <f>IF($C474="","",IF($G474=PersonA,1,IF($G474=PersonB,0,IFERROR(INDEX(tblCategories[Joint Split A],MATCH($K474,tblCategories[Category],0)),DefaultSplitA))))</f>
        <v/>
      </c>
      <c r="Q474" s="19">
        <f>IF($C474="","",ROUND($J474*N($P474),2))</f>
        <v/>
      </c>
      <c r="R474" s="19">
        <f>IF($C474="","",ROUND($J474-N($Q474),2))</f>
        <v/>
      </c>
      <c r="X474">
        <f>IF($C474="","",IFERROR(IF(_xlfn.ISFORMULA($K474),"Rule","Manual"),""))</f>
        <v/>
      </c>
      <c r="Y474" s="19">
        <f>IF($C474="","",IF(ReportView=PersonA,N($Q474),IF(ReportView=PersonB,N($R474),$J474)))</f>
        <v/>
      </c>
    </row>
    <row r="475">
      <c r="B475">
        <f>IF($C475="","","T"&amp;TEXT(ROW()-ROW(tblTxn[[#Headers],[Txn ID]]),"000000"))</f>
        <v/>
      </c>
      <c r="C475" s="18" t="n"/>
      <c r="D475">
        <f>IF($C475="","",TEXT($C475,"yyyy-mm"))</f>
        <v/>
      </c>
      <c r="F475">
        <f>IF($C475="","",IFERROR(INDEX(tblAccounts[Owner],MATCH($E475,tblAccounts[Account],0)),"Joint"))</f>
        <v/>
      </c>
      <c r="G475">
        <f>IF($C475="","",IF(HouseholdMode="Couple",IFERROR(IF(INDEX(tblCategories[Default Owner],MATCH($K475,tblCategories[Category],0))="",$F475,INDEX(tblCategories[Default Owner],MATCH($K475,tblCategories[Category],0))),$F475),$F475))</f>
        <v/>
      </c>
      <c r="I475">
        <f>IF($H475="","",$H475)</f>
        <v/>
      </c>
      <c r="J475" s="19" t="n"/>
      <c r="K475">
        <f>IF($H475="","",IFERROR(INDEX(tblRules[Category],SUMPRODUCT(MIN((1-((tblRules[Enabled]&lt;&gt;"No")*(tblRules[Pattern]&lt;&gt;"")*(tblRules[Category]&lt;&gt;"")*((tblRules[Flow]="Any")+(tblRules[Flow]="")+((tblRules[Flow]="Money out")*($J475&lt;0))+((tblRules[Flow]="Money in")*($J475&gt;0)))*(((tblRules[Look In]="Account")*ISNUMBER(SEARCH(tblRules[Pattern],$E475)))+((tblRules[Look In]&lt;&gt;"Account")*(((tblRules[Test]="Word")*ISNUMBER(SEARCH(" "&amp;tblRules[Pattern]&amp;" "," "&amp;$H475&amp;" ")))+((tblRules[Test]&lt;&gt;"Word")*ISNUMBER(SEARCH(tblRules[Pattern],$H475))))))&gt;0))*1E+9+ROW(tblRules[Pattern])))-ROW(tblRules[[#Headers],[Pattern]])),"Uncategorized"))</f>
        <v/>
      </c>
      <c r="L475">
        <f>IF($C475="","",IFERROR(INDEX(tblCategories[Group],MATCH($K475,tblCategories[Category],0)),"Other"))</f>
        <v/>
      </c>
      <c r="M475">
        <f>IF($C475="","",IFERROR(INDEX(tblCategories[Type],MATCH($K475,tblCategories[Category],0)),IF($J475&gt;0,"Income","Expense")))</f>
        <v/>
      </c>
      <c r="N475">
        <f>IF($C475="","",IFERROR(INDEX(tblCategories[Essential],MATCH($K475,tblCategories[Category],0)),"No"))</f>
        <v/>
      </c>
      <c r="O475">
        <f>IF($C475="","",IFERROR(INDEX(tblCategories[Tax Tag],MATCH($K475,tblCategories[Category],0)),""))</f>
        <v/>
      </c>
      <c r="P475" s="20">
        <f>IF($C475="","",IF($G475=PersonA,1,IF($G475=PersonB,0,IFERROR(INDEX(tblCategories[Joint Split A],MATCH($K475,tblCategories[Category],0)),DefaultSplitA))))</f>
        <v/>
      </c>
      <c r="Q475" s="19">
        <f>IF($C475="","",ROUND($J475*N($P475),2))</f>
        <v/>
      </c>
      <c r="R475" s="19">
        <f>IF($C475="","",ROUND($J475-N($Q475),2))</f>
        <v/>
      </c>
      <c r="X475">
        <f>IF($C475="","",IFERROR(IF(_xlfn.ISFORMULA($K475),"Rule","Manual"),""))</f>
        <v/>
      </c>
      <c r="Y475" s="19">
        <f>IF($C475="","",IF(ReportView=PersonA,N($Q475),IF(ReportView=PersonB,N($R475),$J475)))</f>
        <v/>
      </c>
    </row>
    <row r="476">
      <c r="B476">
        <f>IF($C476="","","T"&amp;TEXT(ROW()-ROW(tblTxn[[#Headers],[Txn ID]]),"000000"))</f>
        <v/>
      </c>
      <c r="C476" s="18" t="n"/>
      <c r="D476">
        <f>IF($C476="","",TEXT($C476,"yyyy-mm"))</f>
        <v/>
      </c>
      <c r="F476">
        <f>IF($C476="","",IFERROR(INDEX(tblAccounts[Owner],MATCH($E476,tblAccounts[Account],0)),"Joint"))</f>
        <v/>
      </c>
      <c r="G476">
        <f>IF($C476="","",IF(HouseholdMode="Couple",IFERROR(IF(INDEX(tblCategories[Default Owner],MATCH($K476,tblCategories[Category],0))="",$F476,INDEX(tblCategories[Default Owner],MATCH($K476,tblCategories[Category],0))),$F476),$F476))</f>
        <v/>
      </c>
      <c r="I476">
        <f>IF($H476="","",$H476)</f>
        <v/>
      </c>
      <c r="J476" s="19" t="n"/>
      <c r="K476">
        <f>IF($H476="","",IFERROR(INDEX(tblRules[Category],SUMPRODUCT(MIN((1-((tblRules[Enabled]&lt;&gt;"No")*(tblRules[Pattern]&lt;&gt;"")*(tblRules[Category]&lt;&gt;"")*((tblRules[Flow]="Any")+(tblRules[Flow]="")+((tblRules[Flow]="Money out")*($J476&lt;0))+((tblRules[Flow]="Money in")*($J476&gt;0)))*(((tblRules[Look In]="Account")*ISNUMBER(SEARCH(tblRules[Pattern],$E476)))+((tblRules[Look In]&lt;&gt;"Account")*(((tblRules[Test]="Word")*ISNUMBER(SEARCH(" "&amp;tblRules[Pattern]&amp;" "," "&amp;$H476&amp;" ")))+((tblRules[Test]&lt;&gt;"Word")*ISNUMBER(SEARCH(tblRules[Pattern],$H476))))))&gt;0))*1E+9+ROW(tblRules[Pattern])))-ROW(tblRules[[#Headers],[Pattern]])),"Uncategorized"))</f>
        <v/>
      </c>
      <c r="L476">
        <f>IF($C476="","",IFERROR(INDEX(tblCategories[Group],MATCH($K476,tblCategories[Category],0)),"Other"))</f>
        <v/>
      </c>
      <c r="M476">
        <f>IF($C476="","",IFERROR(INDEX(tblCategories[Type],MATCH($K476,tblCategories[Category],0)),IF($J476&gt;0,"Income","Expense")))</f>
        <v/>
      </c>
      <c r="N476">
        <f>IF($C476="","",IFERROR(INDEX(tblCategories[Essential],MATCH($K476,tblCategories[Category],0)),"No"))</f>
        <v/>
      </c>
      <c r="O476">
        <f>IF($C476="","",IFERROR(INDEX(tblCategories[Tax Tag],MATCH($K476,tblCategories[Category],0)),""))</f>
        <v/>
      </c>
      <c r="P476" s="20">
        <f>IF($C476="","",IF($G476=PersonA,1,IF($G476=PersonB,0,IFERROR(INDEX(tblCategories[Joint Split A],MATCH($K476,tblCategories[Category],0)),DefaultSplitA))))</f>
        <v/>
      </c>
      <c r="Q476" s="19">
        <f>IF($C476="","",ROUND($J476*N($P476),2))</f>
        <v/>
      </c>
      <c r="R476" s="19">
        <f>IF($C476="","",ROUND($J476-N($Q476),2))</f>
        <v/>
      </c>
      <c r="X476">
        <f>IF($C476="","",IFERROR(IF(_xlfn.ISFORMULA($K476),"Rule","Manual"),""))</f>
        <v/>
      </c>
      <c r="Y476" s="19">
        <f>IF($C476="","",IF(ReportView=PersonA,N($Q476),IF(ReportView=PersonB,N($R476),$J476)))</f>
        <v/>
      </c>
    </row>
    <row r="477">
      <c r="B477">
        <f>IF($C477="","","T"&amp;TEXT(ROW()-ROW(tblTxn[[#Headers],[Txn ID]]),"000000"))</f>
        <v/>
      </c>
      <c r="C477" s="18" t="n"/>
      <c r="D477">
        <f>IF($C477="","",TEXT($C477,"yyyy-mm"))</f>
        <v/>
      </c>
      <c r="F477">
        <f>IF($C477="","",IFERROR(INDEX(tblAccounts[Owner],MATCH($E477,tblAccounts[Account],0)),"Joint"))</f>
        <v/>
      </c>
      <c r="G477">
        <f>IF($C477="","",IF(HouseholdMode="Couple",IFERROR(IF(INDEX(tblCategories[Default Owner],MATCH($K477,tblCategories[Category],0))="",$F477,INDEX(tblCategories[Default Owner],MATCH($K477,tblCategories[Category],0))),$F477),$F477))</f>
        <v/>
      </c>
      <c r="I477">
        <f>IF($H477="","",$H477)</f>
        <v/>
      </c>
      <c r="J477" s="19" t="n"/>
      <c r="K477">
        <f>IF($H477="","",IFERROR(INDEX(tblRules[Category],SUMPRODUCT(MIN((1-((tblRules[Enabled]&lt;&gt;"No")*(tblRules[Pattern]&lt;&gt;"")*(tblRules[Category]&lt;&gt;"")*((tblRules[Flow]="Any")+(tblRules[Flow]="")+((tblRules[Flow]="Money out")*($J477&lt;0))+((tblRules[Flow]="Money in")*($J477&gt;0)))*(((tblRules[Look In]="Account")*ISNUMBER(SEARCH(tblRules[Pattern],$E477)))+((tblRules[Look In]&lt;&gt;"Account")*(((tblRules[Test]="Word")*ISNUMBER(SEARCH(" "&amp;tblRules[Pattern]&amp;" "," "&amp;$H477&amp;" ")))+((tblRules[Test]&lt;&gt;"Word")*ISNUMBER(SEARCH(tblRules[Pattern],$H477))))))&gt;0))*1E+9+ROW(tblRules[Pattern])))-ROW(tblRules[[#Headers],[Pattern]])),"Uncategorized"))</f>
        <v/>
      </c>
      <c r="L477">
        <f>IF($C477="","",IFERROR(INDEX(tblCategories[Group],MATCH($K477,tblCategories[Category],0)),"Other"))</f>
        <v/>
      </c>
      <c r="M477">
        <f>IF($C477="","",IFERROR(INDEX(tblCategories[Type],MATCH($K477,tblCategories[Category],0)),IF($J477&gt;0,"Income","Expense")))</f>
        <v/>
      </c>
      <c r="N477">
        <f>IF($C477="","",IFERROR(INDEX(tblCategories[Essential],MATCH($K477,tblCategories[Category],0)),"No"))</f>
        <v/>
      </c>
      <c r="O477">
        <f>IF($C477="","",IFERROR(INDEX(tblCategories[Tax Tag],MATCH($K477,tblCategories[Category],0)),""))</f>
        <v/>
      </c>
      <c r="P477" s="20">
        <f>IF($C477="","",IF($G477=PersonA,1,IF($G477=PersonB,0,IFERROR(INDEX(tblCategories[Joint Split A],MATCH($K477,tblCategories[Category],0)),DefaultSplitA))))</f>
        <v/>
      </c>
      <c r="Q477" s="19">
        <f>IF($C477="","",ROUND($J477*N($P477),2))</f>
        <v/>
      </c>
      <c r="R477" s="19">
        <f>IF($C477="","",ROUND($J477-N($Q477),2))</f>
        <v/>
      </c>
      <c r="X477">
        <f>IF($C477="","",IFERROR(IF(_xlfn.ISFORMULA($K477),"Rule","Manual"),""))</f>
        <v/>
      </c>
      <c r="Y477" s="19">
        <f>IF($C477="","",IF(ReportView=PersonA,N($Q477),IF(ReportView=PersonB,N($R477),$J477)))</f>
        <v/>
      </c>
    </row>
    <row r="478">
      <c r="B478">
        <f>IF($C478="","","T"&amp;TEXT(ROW()-ROW(tblTxn[[#Headers],[Txn ID]]),"000000"))</f>
        <v/>
      </c>
      <c r="C478" s="18" t="n"/>
      <c r="D478">
        <f>IF($C478="","",TEXT($C478,"yyyy-mm"))</f>
        <v/>
      </c>
      <c r="F478">
        <f>IF($C478="","",IFERROR(INDEX(tblAccounts[Owner],MATCH($E478,tblAccounts[Account],0)),"Joint"))</f>
        <v/>
      </c>
      <c r="G478">
        <f>IF($C478="","",IF(HouseholdMode="Couple",IFERROR(IF(INDEX(tblCategories[Default Owner],MATCH($K478,tblCategories[Category],0))="",$F478,INDEX(tblCategories[Default Owner],MATCH($K478,tblCategories[Category],0))),$F478),$F478))</f>
        <v/>
      </c>
      <c r="I478">
        <f>IF($H478="","",$H478)</f>
        <v/>
      </c>
      <c r="J478" s="19" t="n"/>
      <c r="K478">
        <f>IF($H478="","",IFERROR(INDEX(tblRules[Category],SUMPRODUCT(MIN((1-((tblRules[Enabled]&lt;&gt;"No")*(tblRules[Pattern]&lt;&gt;"")*(tblRules[Category]&lt;&gt;"")*((tblRules[Flow]="Any")+(tblRules[Flow]="")+((tblRules[Flow]="Money out")*($J478&lt;0))+((tblRules[Flow]="Money in")*($J478&gt;0)))*(((tblRules[Look In]="Account")*ISNUMBER(SEARCH(tblRules[Pattern],$E478)))+((tblRules[Look In]&lt;&gt;"Account")*(((tblRules[Test]="Word")*ISNUMBER(SEARCH(" "&amp;tblRules[Pattern]&amp;" "," "&amp;$H478&amp;" ")))+((tblRules[Test]&lt;&gt;"Word")*ISNUMBER(SEARCH(tblRules[Pattern],$H478))))))&gt;0))*1E+9+ROW(tblRules[Pattern])))-ROW(tblRules[[#Headers],[Pattern]])),"Uncategorized"))</f>
        <v/>
      </c>
      <c r="L478">
        <f>IF($C478="","",IFERROR(INDEX(tblCategories[Group],MATCH($K478,tblCategories[Category],0)),"Other"))</f>
        <v/>
      </c>
      <c r="M478">
        <f>IF($C478="","",IFERROR(INDEX(tblCategories[Type],MATCH($K478,tblCategories[Category],0)),IF($J478&gt;0,"Income","Expense")))</f>
        <v/>
      </c>
      <c r="N478">
        <f>IF($C478="","",IFERROR(INDEX(tblCategories[Essential],MATCH($K478,tblCategories[Category],0)),"No"))</f>
        <v/>
      </c>
      <c r="O478">
        <f>IF($C478="","",IFERROR(INDEX(tblCategories[Tax Tag],MATCH($K478,tblCategories[Category],0)),""))</f>
        <v/>
      </c>
      <c r="P478" s="20">
        <f>IF($C478="","",IF($G478=PersonA,1,IF($G478=PersonB,0,IFERROR(INDEX(tblCategories[Joint Split A],MATCH($K478,tblCategories[Category],0)),DefaultSplitA))))</f>
        <v/>
      </c>
      <c r="Q478" s="19">
        <f>IF($C478="","",ROUND($J478*N($P478),2))</f>
        <v/>
      </c>
      <c r="R478" s="19">
        <f>IF($C478="","",ROUND($J478-N($Q478),2))</f>
        <v/>
      </c>
      <c r="X478">
        <f>IF($C478="","",IFERROR(IF(_xlfn.ISFORMULA($K478),"Rule","Manual"),""))</f>
        <v/>
      </c>
      <c r="Y478" s="19">
        <f>IF($C478="","",IF(ReportView=PersonA,N($Q478),IF(ReportView=PersonB,N($R478),$J478)))</f>
        <v/>
      </c>
    </row>
    <row r="479">
      <c r="B479">
        <f>IF($C479="","","T"&amp;TEXT(ROW()-ROW(tblTxn[[#Headers],[Txn ID]]),"000000"))</f>
        <v/>
      </c>
      <c r="C479" s="18" t="n"/>
      <c r="D479">
        <f>IF($C479="","",TEXT($C479,"yyyy-mm"))</f>
        <v/>
      </c>
      <c r="F479">
        <f>IF($C479="","",IFERROR(INDEX(tblAccounts[Owner],MATCH($E479,tblAccounts[Account],0)),"Joint"))</f>
        <v/>
      </c>
      <c r="G479">
        <f>IF($C479="","",IF(HouseholdMode="Couple",IFERROR(IF(INDEX(tblCategories[Default Owner],MATCH($K479,tblCategories[Category],0))="",$F479,INDEX(tblCategories[Default Owner],MATCH($K479,tblCategories[Category],0))),$F479),$F479))</f>
        <v/>
      </c>
      <c r="I479">
        <f>IF($H479="","",$H479)</f>
        <v/>
      </c>
      <c r="J479" s="19" t="n"/>
      <c r="K479">
        <f>IF($H479="","",IFERROR(INDEX(tblRules[Category],SUMPRODUCT(MIN((1-((tblRules[Enabled]&lt;&gt;"No")*(tblRules[Pattern]&lt;&gt;"")*(tblRules[Category]&lt;&gt;"")*((tblRules[Flow]="Any")+(tblRules[Flow]="")+((tblRules[Flow]="Money out")*($J479&lt;0))+((tblRules[Flow]="Money in")*($J479&gt;0)))*(((tblRules[Look In]="Account")*ISNUMBER(SEARCH(tblRules[Pattern],$E479)))+((tblRules[Look In]&lt;&gt;"Account")*(((tblRules[Test]="Word")*ISNUMBER(SEARCH(" "&amp;tblRules[Pattern]&amp;" "," "&amp;$H479&amp;" ")))+((tblRules[Test]&lt;&gt;"Word")*ISNUMBER(SEARCH(tblRules[Pattern],$H479))))))&gt;0))*1E+9+ROW(tblRules[Pattern])))-ROW(tblRules[[#Headers],[Pattern]])),"Uncategorized"))</f>
        <v/>
      </c>
      <c r="L479">
        <f>IF($C479="","",IFERROR(INDEX(tblCategories[Group],MATCH($K479,tblCategories[Category],0)),"Other"))</f>
        <v/>
      </c>
      <c r="M479">
        <f>IF($C479="","",IFERROR(INDEX(tblCategories[Type],MATCH($K479,tblCategories[Category],0)),IF($J479&gt;0,"Income","Expense")))</f>
        <v/>
      </c>
      <c r="N479">
        <f>IF($C479="","",IFERROR(INDEX(tblCategories[Essential],MATCH($K479,tblCategories[Category],0)),"No"))</f>
        <v/>
      </c>
      <c r="O479">
        <f>IF($C479="","",IFERROR(INDEX(tblCategories[Tax Tag],MATCH($K479,tblCategories[Category],0)),""))</f>
        <v/>
      </c>
      <c r="P479" s="20">
        <f>IF($C479="","",IF($G479=PersonA,1,IF($G479=PersonB,0,IFERROR(INDEX(tblCategories[Joint Split A],MATCH($K479,tblCategories[Category],0)),DefaultSplitA))))</f>
        <v/>
      </c>
      <c r="Q479" s="19">
        <f>IF($C479="","",ROUND($J479*N($P479),2))</f>
        <v/>
      </c>
      <c r="R479" s="19">
        <f>IF($C479="","",ROUND($J479-N($Q479),2))</f>
        <v/>
      </c>
      <c r="X479">
        <f>IF($C479="","",IFERROR(IF(_xlfn.ISFORMULA($K479),"Rule","Manual"),""))</f>
        <v/>
      </c>
      <c r="Y479" s="19">
        <f>IF($C479="","",IF(ReportView=PersonA,N($Q479),IF(ReportView=PersonB,N($R479),$J479)))</f>
        <v/>
      </c>
    </row>
    <row r="480">
      <c r="B480">
        <f>IF($C480="","","T"&amp;TEXT(ROW()-ROW(tblTxn[[#Headers],[Txn ID]]),"000000"))</f>
        <v/>
      </c>
      <c r="C480" s="18" t="n"/>
      <c r="D480">
        <f>IF($C480="","",TEXT($C480,"yyyy-mm"))</f>
        <v/>
      </c>
      <c r="F480">
        <f>IF($C480="","",IFERROR(INDEX(tblAccounts[Owner],MATCH($E480,tblAccounts[Account],0)),"Joint"))</f>
        <v/>
      </c>
      <c r="G480">
        <f>IF($C480="","",IF(HouseholdMode="Couple",IFERROR(IF(INDEX(tblCategories[Default Owner],MATCH($K480,tblCategories[Category],0))="",$F480,INDEX(tblCategories[Default Owner],MATCH($K480,tblCategories[Category],0))),$F480),$F480))</f>
        <v/>
      </c>
      <c r="I480">
        <f>IF($H480="","",$H480)</f>
        <v/>
      </c>
      <c r="J480" s="19" t="n"/>
      <c r="K480">
        <f>IF($H480="","",IFERROR(INDEX(tblRules[Category],SUMPRODUCT(MIN((1-((tblRules[Enabled]&lt;&gt;"No")*(tblRules[Pattern]&lt;&gt;"")*(tblRules[Category]&lt;&gt;"")*((tblRules[Flow]="Any")+(tblRules[Flow]="")+((tblRules[Flow]="Money out")*($J480&lt;0))+((tblRules[Flow]="Money in")*($J480&gt;0)))*(((tblRules[Look In]="Account")*ISNUMBER(SEARCH(tblRules[Pattern],$E480)))+((tblRules[Look In]&lt;&gt;"Account")*(((tblRules[Test]="Word")*ISNUMBER(SEARCH(" "&amp;tblRules[Pattern]&amp;" "," "&amp;$H480&amp;" ")))+((tblRules[Test]&lt;&gt;"Word")*ISNUMBER(SEARCH(tblRules[Pattern],$H480))))))&gt;0))*1E+9+ROW(tblRules[Pattern])))-ROW(tblRules[[#Headers],[Pattern]])),"Uncategorized"))</f>
        <v/>
      </c>
      <c r="L480">
        <f>IF($C480="","",IFERROR(INDEX(tblCategories[Group],MATCH($K480,tblCategories[Category],0)),"Other"))</f>
        <v/>
      </c>
      <c r="M480">
        <f>IF($C480="","",IFERROR(INDEX(tblCategories[Type],MATCH($K480,tblCategories[Category],0)),IF($J480&gt;0,"Income","Expense")))</f>
        <v/>
      </c>
      <c r="N480">
        <f>IF($C480="","",IFERROR(INDEX(tblCategories[Essential],MATCH($K480,tblCategories[Category],0)),"No"))</f>
        <v/>
      </c>
      <c r="O480">
        <f>IF($C480="","",IFERROR(INDEX(tblCategories[Tax Tag],MATCH($K480,tblCategories[Category],0)),""))</f>
        <v/>
      </c>
      <c r="P480" s="20">
        <f>IF($C480="","",IF($G480=PersonA,1,IF($G480=PersonB,0,IFERROR(INDEX(tblCategories[Joint Split A],MATCH($K480,tblCategories[Category],0)),DefaultSplitA))))</f>
        <v/>
      </c>
      <c r="Q480" s="19">
        <f>IF($C480="","",ROUND($J480*N($P480),2))</f>
        <v/>
      </c>
      <c r="R480" s="19">
        <f>IF($C480="","",ROUND($J480-N($Q480),2))</f>
        <v/>
      </c>
      <c r="X480">
        <f>IF($C480="","",IFERROR(IF(_xlfn.ISFORMULA($K480),"Rule","Manual"),""))</f>
        <v/>
      </c>
      <c r="Y480" s="19">
        <f>IF($C480="","",IF(ReportView=PersonA,N($Q480),IF(ReportView=PersonB,N($R480),$J480)))</f>
        <v/>
      </c>
    </row>
    <row r="481">
      <c r="B481">
        <f>IF($C481="","","T"&amp;TEXT(ROW()-ROW(tblTxn[[#Headers],[Txn ID]]),"000000"))</f>
        <v/>
      </c>
      <c r="C481" s="18" t="n"/>
      <c r="D481">
        <f>IF($C481="","",TEXT($C481,"yyyy-mm"))</f>
        <v/>
      </c>
      <c r="F481">
        <f>IF($C481="","",IFERROR(INDEX(tblAccounts[Owner],MATCH($E481,tblAccounts[Account],0)),"Joint"))</f>
        <v/>
      </c>
      <c r="G481">
        <f>IF($C481="","",IF(HouseholdMode="Couple",IFERROR(IF(INDEX(tblCategories[Default Owner],MATCH($K481,tblCategories[Category],0))="",$F481,INDEX(tblCategories[Default Owner],MATCH($K481,tblCategories[Category],0))),$F481),$F481))</f>
        <v/>
      </c>
      <c r="I481">
        <f>IF($H481="","",$H481)</f>
        <v/>
      </c>
      <c r="J481" s="19" t="n"/>
      <c r="K481">
        <f>IF($H481="","",IFERROR(INDEX(tblRules[Category],SUMPRODUCT(MIN((1-((tblRules[Enabled]&lt;&gt;"No")*(tblRules[Pattern]&lt;&gt;"")*(tblRules[Category]&lt;&gt;"")*((tblRules[Flow]="Any")+(tblRules[Flow]="")+((tblRules[Flow]="Money out")*($J481&lt;0))+((tblRules[Flow]="Money in")*($J481&gt;0)))*(((tblRules[Look In]="Account")*ISNUMBER(SEARCH(tblRules[Pattern],$E481)))+((tblRules[Look In]&lt;&gt;"Account")*(((tblRules[Test]="Word")*ISNUMBER(SEARCH(" "&amp;tblRules[Pattern]&amp;" "," "&amp;$H481&amp;" ")))+((tblRules[Test]&lt;&gt;"Word")*ISNUMBER(SEARCH(tblRules[Pattern],$H481))))))&gt;0))*1E+9+ROW(tblRules[Pattern])))-ROW(tblRules[[#Headers],[Pattern]])),"Uncategorized"))</f>
        <v/>
      </c>
      <c r="L481">
        <f>IF($C481="","",IFERROR(INDEX(tblCategories[Group],MATCH($K481,tblCategories[Category],0)),"Other"))</f>
        <v/>
      </c>
      <c r="M481">
        <f>IF($C481="","",IFERROR(INDEX(tblCategories[Type],MATCH($K481,tblCategories[Category],0)),IF($J481&gt;0,"Income","Expense")))</f>
        <v/>
      </c>
      <c r="N481">
        <f>IF($C481="","",IFERROR(INDEX(tblCategories[Essential],MATCH($K481,tblCategories[Category],0)),"No"))</f>
        <v/>
      </c>
      <c r="O481">
        <f>IF($C481="","",IFERROR(INDEX(tblCategories[Tax Tag],MATCH($K481,tblCategories[Category],0)),""))</f>
        <v/>
      </c>
      <c r="P481" s="20">
        <f>IF($C481="","",IF($G481=PersonA,1,IF($G481=PersonB,0,IFERROR(INDEX(tblCategories[Joint Split A],MATCH($K481,tblCategories[Category],0)),DefaultSplitA))))</f>
        <v/>
      </c>
      <c r="Q481" s="19">
        <f>IF($C481="","",ROUND($J481*N($P481),2))</f>
        <v/>
      </c>
      <c r="R481" s="19">
        <f>IF($C481="","",ROUND($J481-N($Q481),2))</f>
        <v/>
      </c>
      <c r="X481">
        <f>IF($C481="","",IFERROR(IF(_xlfn.ISFORMULA($K481),"Rule","Manual"),""))</f>
        <v/>
      </c>
      <c r="Y481" s="19">
        <f>IF($C481="","",IF(ReportView=PersonA,N($Q481),IF(ReportView=PersonB,N($R481),$J481)))</f>
        <v/>
      </c>
    </row>
    <row r="482">
      <c r="B482">
        <f>IF($C482="","","T"&amp;TEXT(ROW()-ROW(tblTxn[[#Headers],[Txn ID]]),"000000"))</f>
        <v/>
      </c>
      <c r="C482" s="18" t="n"/>
      <c r="D482">
        <f>IF($C482="","",TEXT($C482,"yyyy-mm"))</f>
        <v/>
      </c>
      <c r="F482">
        <f>IF($C482="","",IFERROR(INDEX(tblAccounts[Owner],MATCH($E482,tblAccounts[Account],0)),"Joint"))</f>
        <v/>
      </c>
      <c r="G482">
        <f>IF($C482="","",IF(HouseholdMode="Couple",IFERROR(IF(INDEX(tblCategories[Default Owner],MATCH($K482,tblCategories[Category],0))="",$F482,INDEX(tblCategories[Default Owner],MATCH($K482,tblCategories[Category],0))),$F482),$F482))</f>
        <v/>
      </c>
      <c r="I482">
        <f>IF($H482="","",$H482)</f>
        <v/>
      </c>
      <c r="J482" s="19" t="n"/>
      <c r="K482">
        <f>IF($H482="","",IFERROR(INDEX(tblRules[Category],SUMPRODUCT(MIN((1-((tblRules[Enabled]&lt;&gt;"No")*(tblRules[Pattern]&lt;&gt;"")*(tblRules[Category]&lt;&gt;"")*((tblRules[Flow]="Any")+(tblRules[Flow]="")+((tblRules[Flow]="Money out")*($J482&lt;0))+((tblRules[Flow]="Money in")*($J482&gt;0)))*(((tblRules[Look In]="Account")*ISNUMBER(SEARCH(tblRules[Pattern],$E482)))+((tblRules[Look In]&lt;&gt;"Account")*(((tblRules[Test]="Word")*ISNUMBER(SEARCH(" "&amp;tblRules[Pattern]&amp;" "," "&amp;$H482&amp;" ")))+((tblRules[Test]&lt;&gt;"Word")*ISNUMBER(SEARCH(tblRules[Pattern],$H482))))))&gt;0))*1E+9+ROW(tblRules[Pattern])))-ROW(tblRules[[#Headers],[Pattern]])),"Uncategorized"))</f>
        <v/>
      </c>
      <c r="L482">
        <f>IF($C482="","",IFERROR(INDEX(tblCategories[Group],MATCH($K482,tblCategories[Category],0)),"Other"))</f>
        <v/>
      </c>
      <c r="M482">
        <f>IF($C482="","",IFERROR(INDEX(tblCategories[Type],MATCH($K482,tblCategories[Category],0)),IF($J482&gt;0,"Income","Expense")))</f>
        <v/>
      </c>
      <c r="N482">
        <f>IF($C482="","",IFERROR(INDEX(tblCategories[Essential],MATCH($K482,tblCategories[Category],0)),"No"))</f>
        <v/>
      </c>
      <c r="O482">
        <f>IF($C482="","",IFERROR(INDEX(tblCategories[Tax Tag],MATCH($K482,tblCategories[Category],0)),""))</f>
        <v/>
      </c>
      <c r="P482" s="20">
        <f>IF($C482="","",IF($G482=PersonA,1,IF($G482=PersonB,0,IFERROR(INDEX(tblCategories[Joint Split A],MATCH($K482,tblCategories[Category],0)),DefaultSplitA))))</f>
        <v/>
      </c>
      <c r="Q482" s="19">
        <f>IF($C482="","",ROUND($J482*N($P482),2))</f>
        <v/>
      </c>
      <c r="R482" s="19">
        <f>IF($C482="","",ROUND($J482-N($Q482),2))</f>
        <v/>
      </c>
      <c r="X482">
        <f>IF($C482="","",IFERROR(IF(_xlfn.ISFORMULA($K482),"Rule","Manual"),""))</f>
        <v/>
      </c>
      <c r="Y482" s="19">
        <f>IF($C482="","",IF(ReportView=PersonA,N($Q482),IF(ReportView=PersonB,N($R482),$J482)))</f>
        <v/>
      </c>
    </row>
    <row r="483">
      <c r="B483">
        <f>IF($C483="","","T"&amp;TEXT(ROW()-ROW(tblTxn[[#Headers],[Txn ID]]),"000000"))</f>
        <v/>
      </c>
      <c r="C483" s="18" t="n"/>
      <c r="D483">
        <f>IF($C483="","",TEXT($C483,"yyyy-mm"))</f>
        <v/>
      </c>
      <c r="F483">
        <f>IF($C483="","",IFERROR(INDEX(tblAccounts[Owner],MATCH($E483,tblAccounts[Account],0)),"Joint"))</f>
        <v/>
      </c>
      <c r="G483">
        <f>IF($C483="","",IF(HouseholdMode="Couple",IFERROR(IF(INDEX(tblCategories[Default Owner],MATCH($K483,tblCategories[Category],0))="",$F483,INDEX(tblCategories[Default Owner],MATCH($K483,tblCategories[Category],0))),$F483),$F483))</f>
        <v/>
      </c>
      <c r="I483">
        <f>IF($H483="","",$H483)</f>
        <v/>
      </c>
      <c r="J483" s="19" t="n"/>
      <c r="K483">
        <f>IF($H483="","",IFERROR(INDEX(tblRules[Category],SUMPRODUCT(MIN((1-((tblRules[Enabled]&lt;&gt;"No")*(tblRules[Pattern]&lt;&gt;"")*(tblRules[Category]&lt;&gt;"")*((tblRules[Flow]="Any")+(tblRules[Flow]="")+((tblRules[Flow]="Money out")*($J483&lt;0))+((tblRules[Flow]="Money in")*($J483&gt;0)))*(((tblRules[Look In]="Account")*ISNUMBER(SEARCH(tblRules[Pattern],$E483)))+((tblRules[Look In]&lt;&gt;"Account")*(((tblRules[Test]="Word")*ISNUMBER(SEARCH(" "&amp;tblRules[Pattern]&amp;" "," "&amp;$H483&amp;" ")))+((tblRules[Test]&lt;&gt;"Word")*ISNUMBER(SEARCH(tblRules[Pattern],$H483))))))&gt;0))*1E+9+ROW(tblRules[Pattern])))-ROW(tblRules[[#Headers],[Pattern]])),"Uncategorized"))</f>
        <v/>
      </c>
      <c r="L483">
        <f>IF($C483="","",IFERROR(INDEX(tblCategories[Group],MATCH($K483,tblCategories[Category],0)),"Other"))</f>
        <v/>
      </c>
      <c r="M483">
        <f>IF($C483="","",IFERROR(INDEX(tblCategories[Type],MATCH($K483,tblCategories[Category],0)),IF($J483&gt;0,"Income","Expense")))</f>
        <v/>
      </c>
      <c r="N483">
        <f>IF($C483="","",IFERROR(INDEX(tblCategories[Essential],MATCH($K483,tblCategories[Category],0)),"No"))</f>
        <v/>
      </c>
      <c r="O483">
        <f>IF($C483="","",IFERROR(INDEX(tblCategories[Tax Tag],MATCH($K483,tblCategories[Category],0)),""))</f>
        <v/>
      </c>
      <c r="P483" s="20">
        <f>IF($C483="","",IF($G483=PersonA,1,IF($G483=PersonB,0,IFERROR(INDEX(tblCategories[Joint Split A],MATCH($K483,tblCategories[Category],0)),DefaultSplitA))))</f>
        <v/>
      </c>
      <c r="Q483" s="19">
        <f>IF($C483="","",ROUND($J483*N($P483),2))</f>
        <v/>
      </c>
      <c r="R483" s="19">
        <f>IF($C483="","",ROUND($J483-N($Q483),2))</f>
        <v/>
      </c>
      <c r="X483">
        <f>IF($C483="","",IFERROR(IF(_xlfn.ISFORMULA($K483),"Rule","Manual"),""))</f>
        <v/>
      </c>
      <c r="Y483" s="19">
        <f>IF($C483="","",IF(ReportView=PersonA,N($Q483),IF(ReportView=PersonB,N($R483),$J483)))</f>
        <v/>
      </c>
    </row>
    <row r="484">
      <c r="B484">
        <f>IF($C484="","","T"&amp;TEXT(ROW()-ROW(tblTxn[[#Headers],[Txn ID]]),"000000"))</f>
        <v/>
      </c>
      <c r="C484" s="18" t="n"/>
      <c r="D484">
        <f>IF($C484="","",TEXT($C484,"yyyy-mm"))</f>
        <v/>
      </c>
      <c r="F484">
        <f>IF($C484="","",IFERROR(INDEX(tblAccounts[Owner],MATCH($E484,tblAccounts[Account],0)),"Joint"))</f>
        <v/>
      </c>
      <c r="G484">
        <f>IF($C484="","",IF(HouseholdMode="Couple",IFERROR(IF(INDEX(tblCategories[Default Owner],MATCH($K484,tblCategories[Category],0))="",$F484,INDEX(tblCategories[Default Owner],MATCH($K484,tblCategories[Category],0))),$F484),$F484))</f>
        <v/>
      </c>
      <c r="I484">
        <f>IF($H484="","",$H484)</f>
        <v/>
      </c>
      <c r="J484" s="19" t="n"/>
      <c r="K484">
        <f>IF($H484="","",IFERROR(INDEX(tblRules[Category],SUMPRODUCT(MIN((1-((tblRules[Enabled]&lt;&gt;"No")*(tblRules[Pattern]&lt;&gt;"")*(tblRules[Category]&lt;&gt;"")*((tblRules[Flow]="Any")+(tblRules[Flow]="")+((tblRules[Flow]="Money out")*($J484&lt;0))+((tblRules[Flow]="Money in")*($J484&gt;0)))*(((tblRules[Look In]="Account")*ISNUMBER(SEARCH(tblRules[Pattern],$E484)))+((tblRules[Look In]&lt;&gt;"Account")*(((tblRules[Test]="Word")*ISNUMBER(SEARCH(" "&amp;tblRules[Pattern]&amp;" "," "&amp;$H484&amp;" ")))+((tblRules[Test]&lt;&gt;"Word")*ISNUMBER(SEARCH(tblRules[Pattern],$H484))))))&gt;0))*1E+9+ROW(tblRules[Pattern])))-ROW(tblRules[[#Headers],[Pattern]])),"Uncategorized"))</f>
        <v/>
      </c>
      <c r="L484">
        <f>IF($C484="","",IFERROR(INDEX(tblCategories[Group],MATCH($K484,tblCategories[Category],0)),"Other"))</f>
        <v/>
      </c>
      <c r="M484">
        <f>IF($C484="","",IFERROR(INDEX(tblCategories[Type],MATCH($K484,tblCategories[Category],0)),IF($J484&gt;0,"Income","Expense")))</f>
        <v/>
      </c>
      <c r="N484">
        <f>IF($C484="","",IFERROR(INDEX(tblCategories[Essential],MATCH($K484,tblCategories[Category],0)),"No"))</f>
        <v/>
      </c>
      <c r="O484">
        <f>IF($C484="","",IFERROR(INDEX(tblCategories[Tax Tag],MATCH($K484,tblCategories[Category],0)),""))</f>
        <v/>
      </c>
      <c r="P484" s="20">
        <f>IF($C484="","",IF($G484=PersonA,1,IF($G484=PersonB,0,IFERROR(INDEX(tblCategories[Joint Split A],MATCH($K484,tblCategories[Category],0)),DefaultSplitA))))</f>
        <v/>
      </c>
      <c r="Q484" s="19">
        <f>IF($C484="","",ROUND($J484*N($P484),2))</f>
        <v/>
      </c>
      <c r="R484" s="19">
        <f>IF($C484="","",ROUND($J484-N($Q484),2))</f>
        <v/>
      </c>
      <c r="X484">
        <f>IF($C484="","",IFERROR(IF(_xlfn.ISFORMULA($K484),"Rule","Manual"),""))</f>
        <v/>
      </c>
      <c r="Y484" s="19">
        <f>IF($C484="","",IF(ReportView=PersonA,N($Q484),IF(ReportView=PersonB,N($R484),$J484)))</f>
        <v/>
      </c>
    </row>
    <row r="485">
      <c r="B485">
        <f>IF($C485="","","T"&amp;TEXT(ROW()-ROW(tblTxn[[#Headers],[Txn ID]]),"000000"))</f>
        <v/>
      </c>
      <c r="C485" s="18" t="n"/>
      <c r="D485">
        <f>IF($C485="","",TEXT($C485,"yyyy-mm"))</f>
        <v/>
      </c>
      <c r="F485">
        <f>IF($C485="","",IFERROR(INDEX(tblAccounts[Owner],MATCH($E485,tblAccounts[Account],0)),"Joint"))</f>
        <v/>
      </c>
      <c r="G485">
        <f>IF($C485="","",IF(HouseholdMode="Couple",IFERROR(IF(INDEX(tblCategories[Default Owner],MATCH($K485,tblCategories[Category],0))="",$F485,INDEX(tblCategories[Default Owner],MATCH($K485,tblCategories[Category],0))),$F485),$F485))</f>
        <v/>
      </c>
      <c r="I485">
        <f>IF($H485="","",$H485)</f>
        <v/>
      </c>
      <c r="J485" s="19" t="n"/>
      <c r="K485">
        <f>IF($H485="","",IFERROR(INDEX(tblRules[Category],SUMPRODUCT(MIN((1-((tblRules[Enabled]&lt;&gt;"No")*(tblRules[Pattern]&lt;&gt;"")*(tblRules[Category]&lt;&gt;"")*((tblRules[Flow]="Any")+(tblRules[Flow]="")+((tblRules[Flow]="Money out")*($J485&lt;0))+((tblRules[Flow]="Money in")*($J485&gt;0)))*(((tblRules[Look In]="Account")*ISNUMBER(SEARCH(tblRules[Pattern],$E485)))+((tblRules[Look In]&lt;&gt;"Account")*(((tblRules[Test]="Word")*ISNUMBER(SEARCH(" "&amp;tblRules[Pattern]&amp;" "," "&amp;$H485&amp;" ")))+((tblRules[Test]&lt;&gt;"Word")*ISNUMBER(SEARCH(tblRules[Pattern],$H485))))))&gt;0))*1E+9+ROW(tblRules[Pattern])))-ROW(tblRules[[#Headers],[Pattern]])),"Uncategorized"))</f>
        <v/>
      </c>
      <c r="L485">
        <f>IF($C485="","",IFERROR(INDEX(tblCategories[Group],MATCH($K485,tblCategories[Category],0)),"Other"))</f>
        <v/>
      </c>
      <c r="M485">
        <f>IF($C485="","",IFERROR(INDEX(tblCategories[Type],MATCH($K485,tblCategories[Category],0)),IF($J485&gt;0,"Income","Expense")))</f>
        <v/>
      </c>
      <c r="N485">
        <f>IF($C485="","",IFERROR(INDEX(tblCategories[Essential],MATCH($K485,tblCategories[Category],0)),"No"))</f>
        <v/>
      </c>
      <c r="O485">
        <f>IF($C485="","",IFERROR(INDEX(tblCategories[Tax Tag],MATCH($K485,tblCategories[Category],0)),""))</f>
        <v/>
      </c>
      <c r="P485" s="20">
        <f>IF($C485="","",IF($G485=PersonA,1,IF($G485=PersonB,0,IFERROR(INDEX(tblCategories[Joint Split A],MATCH($K485,tblCategories[Category],0)),DefaultSplitA))))</f>
        <v/>
      </c>
      <c r="Q485" s="19">
        <f>IF($C485="","",ROUND($J485*N($P485),2))</f>
        <v/>
      </c>
      <c r="R485" s="19">
        <f>IF($C485="","",ROUND($J485-N($Q485),2))</f>
        <v/>
      </c>
      <c r="X485">
        <f>IF($C485="","",IFERROR(IF(_xlfn.ISFORMULA($K485),"Rule","Manual"),""))</f>
        <v/>
      </c>
      <c r="Y485" s="19">
        <f>IF($C485="","",IF(ReportView=PersonA,N($Q485),IF(ReportView=PersonB,N($R485),$J485)))</f>
        <v/>
      </c>
    </row>
    <row r="486">
      <c r="B486">
        <f>IF($C486="","","T"&amp;TEXT(ROW()-ROW(tblTxn[[#Headers],[Txn ID]]),"000000"))</f>
        <v/>
      </c>
      <c r="C486" s="18" t="n"/>
      <c r="D486">
        <f>IF($C486="","",TEXT($C486,"yyyy-mm"))</f>
        <v/>
      </c>
      <c r="F486">
        <f>IF($C486="","",IFERROR(INDEX(tblAccounts[Owner],MATCH($E486,tblAccounts[Account],0)),"Joint"))</f>
        <v/>
      </c>
      <c r="G486">
        <f>IF($C486="","",IF(HouseholdMode="Couple",IFERROR(IF(INDEX(tblCategories[Default Owner],MATCH($K486,tblCategories[Category],0))="",$F486,INDEX(tblCategories[Default Owner],MATCH($K486,tblCategories[Category],0))),$F486),$F486))</f>
        <v/>
      </c>
      <c r="I486">
        <f>IF($H486="","",$H486)</f>
        <v/>
      </c>
      <c r="J486" s="19" t="n"/>
      <c r="K486">
        <f>IF($H486="","",IFERROR(INDEX(tblRules[Category],SUMPRODUCT(MIN((1-((tblRules[Enabled]&lt;&gt;"No")*(tblRules[Pattern]&lt;&gt;"")*(tblRules[Category]&lt;&gt;"")*((tblRules[Flow]="Any")+(tblRules[Flow]="")+((tblRules[Flow]="Money out")*($J486&lt;0))+((tblRules[Flow]="Money in")*($J486&gt;0)))*(((tblRules[Look In]="Account")*ISNUMBER(SEARCH(tblRules[Pattern],$E486)))+((tblRules[Look In]&lt;&gt;"Account")*(((tblRules[Test]="Word")*ISNUMBER(SEARCH(" "&amp;tblRules[Pattern]&amp;" "," "&amp;$H486&amp;" ")))+((tblRules[Test]&lt;&gt;"Word")*ISNUMBER(SEARCH(tblRules[Pattern],$H486))))))&gt;0))*1E+9+ROW(tblRules[Pattern])))-ROW(tblRules[[#Headers],[Pattern]])),"Uncategorized"))</f>
        <v/>
      </c>
      <c r="L486">
        <f>IF($C486="","",IFERROR(INDEX(tblCategories[Group],MATCH($K486,tblCategories[Category],0)),"Other"))</f>
        <v/>
      </c>
      <c r="M486">
        <f>IF($C486="","",IFERROR(INDEX(tblCategories[Type],MATCH($K486,tblCategories[Category],0)),IF($J486&gt;0,"Income","Expense")))</f>
        <v/>
      </c>
      <c r="N486">
        <f>IF($C486="","",IFERROR(INDEX(tblCategories[Essential],MATCH($K486,tblCategories[Category],0)),"No"))</f>
        <v/>
      </c>
      <c r="O486">
        <f>IF($C486="","",IFERROR(INDEX(tblCategories[Tax Tag],MATCH($K486,tblCategories[Category],0)),""))</f>
        <v/>
      </c>
      <c r="P486" s="20">
        <f>IF($C486="","",IF($G486=PersonA,1,IF($G486=PersonB,0,IFERROR(INDEX(tblCategories[Joint Split A],MATCH($K486,tblCategories[Category],0)),DefaultSplitA))))</f>
        <v/>
      </c>
      <c r="Q486" s="19">
        <f>IF($C486="","",ROUND($J486*N($P486),2))</f>
        <v/>
      </c>
      <c r="R486" s="19">
        <f>IF($C486="","",ROUND($J486-N($Q486),2))</f>
        <v/>
      </c>
      <c r="X486">
        <f>IF($C486="","",IFERROR(IF(_xlfn.ISFORMULA($K486),"Rule","Manual"),""))</f>
        <v/>
      </c>
      <c r="Y486" s="19">
        <f>IF($C486="","",IF(ReportView=PersonA,N($Q486),IF(ReportView=PersonB,N($R486),$J486)))</f>
        <v/>
      </c>
    </row>
    <row r="487">
      <c r="B487">
        <f>IF($C487="","","T"&amp;TEXT(ROW()-ROW(tblTxn[[#Headers],[Txn ID]]),"000000"))</f>
        <v/>
      </c>
      <c r="C487" s="18" t="n"/>
      <c r="D487">
        <f>IF($C487="","",TEXT($C487,"yyyy-mm"))</f>
        <v/>
      </c>
      <c r="F487">
        <f>IF($C487="","",IFERROR(INDEX(tblAccounts[Owner],MATCH($E487,tblAccounts[Account],0)),"Joint"))</f>
        <v/>
      </c>
      <c r="G487">
        <f>IF($C487="","",IF(HouseholdMode="Couple",IFERROR(IF(INDEX(tblCategories[Default Owner],MATCH($K487,tblCategories[Category],0))="",$F487,INDEX(tblCategories[Default Owner],MATCH($K487,tblCategories[Category],0))),$F487),$F487))</f>
        <v/>
      </c>
      <c r="I487">
        <f>IF($H487="","",$H487)</f>
        <v/>
      </c>
      <c r="J487" s="19" t="n"/>
      <c r="K487">
        <f>IF($H487="","",IFERROR(INDEX(tblRules[Category],SUMPRODUCT(MIN((1-((tblRules[Enabled]&lt;&gt;"No")*(tblRules[Pattern]&lt;&gt;"")*(tblRules[Category]&lt;&gt;"")*((tblRules[Flow]="Any")+(tblRules[Flow]="")+((tblRules[Flow]="Money out")*($J487&lt;0))+((tblRules[Flow]="Money in")*($J487&gt;0)))*(((tblRules[Look In]="Account")*ISNUMBER(SEARCH(tblRules[Pattern],$E487)))+((tblRules[Look In]&lt;&gt;"Account")*(((tblRules[Test]="Word")*ISNUMBER(SEARCH(" "&amp;tblRules[Pattern]&amp;" "," "&amp;$H487&amp;" ")))+((tblRules[Test]&lt;&gt;"Word")*ISNUMBER(SEARCH(tblRules[Pattern],$H487))))))&gt;0))*1E+9+ROW(tblRules[Pattern])))-ROW(tblRules[[#Headers],[Pattern]])),"Uncategorized"))</f>
        <v/>
      </c>
      <c r="L487">
        <f>IF($C487="","",IFERROR(INDEX(tblCategories[Group],MATCH($K487,tblCategories[Category],0)),"Other"))</f>
        <v/>
      </c>
      <c r="M487">
        <f>IF($C487="","",IFERROR(INDEX(tblCategories[Type],MATCH($K487,tblCategories[Category],0)),IF($J487&gt;0,"Income","Expense")))</f>
        <v/>
      </c>
      <c r="N487">
        <f>IF($C487="","",IFERROR(INDEX(tblCategories[Essential],MATCH($K487,tblCategories[Category],0)),"No"))</f>
        <v/>
      </c>
      <c r="O487">
        <f>IF($C487="","",IFERROR(INDEX(tblCategories[Tax Tag],MATCH($K487,tblCategories[Category],0)),""))</f>
        <v/>
      </c>
      <c r="P487" s="20">
        <f>IF($C487="","",IF($G487=PersonA,1,IF($G487=PersonB,0,IFERROR(INDEX(tblCategories[Joint Split A],MATCH($K487,tblCategories[Category],0)),DefaultSplitA))))</f>
        <v/>
      </c>
      <c r="Q487" s="19">
        <f>IF($C487="","",ROUND($J487*N($P487),2))</f>
        <v/>
      </c>
      <c r="R487" s="19">
        <f>IF($C487="","",ROUND($J487-N($Q487),2))</f>
        <v/>
      </c>
      <c r="X487">
        <f>IF($C487="","",IFERROR(IF(_xlfn.ISFORMULA($K487),"Rule","Manual"),""))</f>
        <v/>
      </c>
      <c r="Y487" s="19">
        <f>IF($C487="","",IF(ReportView=PersonA,N($Q487),IF(ReportView=PersonB,N($R487),$J487)))</f>
        <v/>
      </c>
    </row>
    <row r="488">
      <c r="B488">
        <f>IF($C488="","","T"&amp;TEXT(ROW()-ROW(tblTxn[[#Headers],[Txn ID]]),"000000"))</f>
        <v/>
      </c>
      <c r="C488" s="18" t="n"/>
      <c r="D488">
        <f>IF($C488="","",TEXT($C488,"yyyy-mm"))</f>
        <v/>
      </c>
      <c r="F488">
        <f>IF($C488="","",IFERROR(INDEX(tblAccounts[Owner],MATCH($E488,tblAccounts[Account],0)),"Joint"))</f>
        <v/>
      </c>
      <c r="G488">
        <f>IF($C488="","",IF(HouseholdMode="Couple",IFERROR(IF(INDEX(tblCategories[Default Owner],MATCH($K488,tblCategories[Category],0))="",$F488,INDEX(tblCategories[Default Owner],MATCH($K488,tblCategories[Category],0))),$F488),$F488))</f>
        <v/>
      </c>
      <c r="I488">
        <f>IF($H488="","",$H488)</f>
        <v/>
      </c>
      <c r="J488" s="19" t="n"/>
      <c r="K488">
        <f>IF($H488="","",IFERROR(INDEX(tblRules[Category],SUMPRODUCT(MIN((1-((tblRules[Enabled]&lt;&gt;"No")*(tblRules[Pattern]&lt;&gt;"")*(tblRules[Category]&lt;&gt;"")*((tblRules[Flow]="Any")+(tblRules[Flow]="")+((tblRules[Flow]="Money out")*($J488&lt;0))+((tblRules[Flow]="Money in")*($J488&gt;0)))*(((tblRules[Look In]="Account")*ISNUMBER(SEARCH(tblRules[Pattern],$E488)))+((tblRules[Look In]&lt;&gt;"Account")*(((tblRules[Test]="Word")*ISNUMBER(SEARCH(" "&amp;tblRules[Pattern]&amp;" "," "&amp;$H488&amp;" ")))+((tblRules[Test]&lt;&gt;"Word")*ISNUMBER(SEARCH(tblRules[Pattern],$H488))))))&gt;0))*1E+9+ROW(tblRules[Pattern])))-ROW(tblRules[[#Headers],[Pattern]])),"Uncategorized"))</f>
        <v/>
      </c>
      <c r="L488">
        <f>IF($C488="","",IFERROR(INDEX(tblCategories[Group],MATCH($K488,tblCategories[Category],0)),"Other"))</f>
        <v/>
      </c>
      <c r="M488">
        <f>IF($C488="","",IFERROR(INDEX(tblCategories[Type],MATCH($K488,tblCategories[Category],0)),IF($J488&gt;0,"Income","Expense")))</f>
        <v/>
      </c>
      <c r="N488">
        <f>IF($C488="","",IFERROR(INDEX(tblCategories[Essential],MATCH($K488,tblCategories[Category],0)),"No"))</f>
        <v/>
      </c>
      <c r="O488">
        <f>IF($C488="","",IFERROR(INDEX(tblCategories[Tax Tag],MATCH($K488,tblCategories[Category],0)),""))</f>
        <v/>
      </c>
      <c r="P488" s="20">
        <f>IF($C488="","",IF($G488=PersonA,1,IF($G488=PersonB,0,IFERROR(INDEX(tblCategories[Joint Split A],MATCH($K488,tblCategories[Category],0)),DefaultSplitA))))</f>
        <v/>
      </c>
      <c r="Q488" s="19">
        <f>IF($C488="","",ROUND($J488*N($P488),2))</f>
        <v/>
      </c>
      <c r="R488" s="19">
        <f>IF($C488="","",ROUND($J488-N($Q488),2))</f>
        <v/>
      </c>
      <c r="X488">
        <f>IF($C488="","",IFERROR(IF(_xlfn.ISFORMULA($K488),"Rule","Manual"),""))</f>
        <v/>
      </c>
      <c r="Y488" s="19">
        <f>IF($C488="","",IF(ReportView=PersonA,N($Q488),IF(ReportView=PersonB,N($R488),$J488)))</f>
        <v/>
      </c>
    </row>
    <row r="489">
      <c r="B489">
        <f>IF($C489="","","T"&amp;TEXT(ROW()-ROW(tblTxn[[#Headers],[Txn ID]]),"000000"))</f>
        <v/>
      </c>
      <c r="C489" s="18" t="n"/>
      <c r="D489">
        <f>IF($C489="","",TEXT($C489,"yyyy-mm"))</f>
        <v/>
      </c>
      <c r="F489">
        <f>IF($C489="","",IFERROR(INDEX(tblAccounts[Owner],MATCH($E489,tblAccounts[Account],0)),"Joint"))</f>
        <v/>
      </c>
      <c r="G489">
        <f>IF($C489="","",IF(HouseholdMode="Couple",IFERROR(IF(INDEX(tblCategories[Default Owner],MATCH($K489,tblCategories[Category],0))="",$F489,INDEX(tblCategories[Default Owner],MATCH($K489,tblCategories[Category],0))),$F489),$F489))</f>
        <v/>
      </c>
      <c r="I489">
        <f>IF($H489="","",$H489)</f>
        <v/>
      </c>
      <c r="J489" s="19" t="n"/>
      <c r="K489">
        <f>IF($H489="","",IFERROR(INDEX(tblRules[Category],SUMPRODUCT(MIN((1-((tblRules[Enabled]&lt;&gt;"No")*(tblRules[Pattern]&lt;&gt;"")*(tblRules[Category]&lt;&gt;"")*((tblRules[Flow]="Any")+(tblRules[Flow]="")+((tblRules[Flow]="Money out")*($J489&lt;0))+((tblRules[Flow]="Money in")*($J489&gt;0)))*(((tblRules[Look In]="Account")*ISNUMBER(SEARCH(tblRules[Pattern],$E489)))+((tblRules[Look In]&lt;&gt;"Account")*(((tblRules[Test]="Word")*ISNUMBER(SEARCH(" "&amp;tblRules[Pattern]&amp;" "," "&amp;$H489&amp;" ")))+((tblRules[Test]&lt;&gt;"Word")*ISNUMBER(SEARCH(tblRules[Pattern],$H489))))))&gt;0))*1E+9+ROW(tblRules[Pattern])))-ROW(tblRules[[#Headers],[Pattern]])),"Uncategorized"))</f>
        <v/>
      </c>
      <c r="L489">
        <f>IF($C489="","",IFERROR(INDEX(tblCategories[Group],MATCH($K489,tblCategories[Category],0)),"Other"))</f>
        <v/>
      </c>
      <c r="M489">
        <f>IF($C489="","",IFERROR(INDEX(tblCategories[Type],MATCH($K489,tblCategories[Category],0)),IF($J489&gt;0,"Income","Expense")))</f>
        <v/>
      </c>
      <c r="N489">
        <f>IF($C489="","",IFERROR(INDEX(tblCategories[Essential],MATCH($K489,tblCategories[Category],0)),"No"))</f>
        <v/>
      </c>
      <c r="O489">
        <f>IF($C489="","",IFERROR(INDEX(tblCategories[Tax Tag],MATCH($K489,tblCategories[Category],0)),""))</f>
        <v/>
      </c>
      <c r="P489" s="20">
        <f>IF($C489="","",IF($G489=PersonA,1,IF($G489=PersonB,0,IFERROR(INDEX(tblCategories[Joint Split A],MATCH($K489,tblCategories[Category],0)),DefaultSplitA))))</f>
        <v/>
      </c>
      <c r="Q489" s="19">
        <f>IF($C489="","",ROUND($J489*N($P489),2))</f>
        <v/>
      </c>
      <c r="R489" s="19">
        <f>IF($C489="","",ROUND($J489-N($Q489),2))</f>
        <v/>
      </c>
      <c r="X489">
        <f>IF($C489="","",IFERROR(IF(_xlfn.ISFORMULA($K489),"Rule","Manual"),""))</f>
        <v/>
      </c>
      <c r="Y489" s="19">
        <f>IF($C489="","",IF(ReportView=PersonA,N($Q489),IF(ReportView=PersonB,N($R489),$J489)))</f>
        <v/>
      </c>
    </row>
    <row r="490">
      <c r="B490">
        <f>IF($C490="","","T"&amp;TEXT(ROW()-ROW(tblTxn[[#Headers],[Txn ID]]),"000000"))</f>
        <v/>
      </c>
      <c r="C490" s="18" t="n"/>
      <c r="D490">
        <f>IF($C490="","",TEXT($C490,"yyyy-mm"))</f>
        <v/>
      </c>
      <c r="F490">
        <f>IF($C490="","",IFERROR(INDEX(tblAccounts[Owner],MATCH($E490,tblAccounts[Account],0)),"Joint"))</f>
        <v/>
      </c>
      <c r="G490">
        <f>IF($C490="","",IF(HouseholdMode="Couple",IFERROR(IF(INDEX(tblCategories[Default Owner],MATCH($K490,tblCategories[Category],0))="",$F490,INDEX(tblCategories[Default Owner],MATCH($K490,tblCategories[Category],0))),$F490),$F490))</f>
        <v/>
      </c>
      <c r="I490">
        <f>IF($H490="","",$H490)</f>
        <v/>
      </c>
      <c r="J490" s="19" t="n"/>
      <c r="K490">
        <f>IF($H490="","",IFERROR(INDEX(tblRules[Category],SUMPRODUCT(MIN((1-((tblRules[Enabled]&lt;&gt;"No")*(tblRules[Pattern]&lt;&gt;"")*(tblRules[Category]&lt;&gt;"")*((tblRules[Flow]="Any")+(tblRules[Flow]="")+((tblRules[Flow]="Money out")*($J490&lt;0))+((tblRules[Flow]="Money in")*($J490&gt;0)))*(((tblRules[Look In]="Account")*ISNUMBER(SEARCH(tblRules[Pattern],$E490)))+((tblRules[Look In]&lt;&gt;"Account")*(((tblRules[Test]="Word")*ISNUMBER(SEARCH(" "&amp;tblRules[Pattern]&amp;" "," "&amp;$H490&amp;" ")))+((tblRules[Test]&lt;&gt;"Word")*ISNUMBER(SEARCH(tblRules[Pattern],$H490))))))&gt;0))*1E+9+ROW(tblRules[Pattern])))-ROW(tblRules[[#Headers],[Pattern]])),"Uncategorized"))</f>
        <v/>
      </c>
      <c r="L490">
        <f>IF($C490="","",IFERROR(INDEX(tblCategories[Group],MATCH($K490,tblCategories[Category],0)),"Other"))</f>
        <v/>
      </c>
      <c r="M490">
        <f>IF($C490="","",IFERROR(INDEX(tblCategories[Type],MATCH($K490,tblCategories[Category],0)),IF($J490&gt;0,"Income","Expense")))</f>
        <v/>
      </c>
      <c r="N490">
        <f>IF($C490="","",IFERROR(INDEX(tblCategories[Essential],MATCH($K490,tblCategories[Category],0)),"No"))</f>
        <v/>
      </c>
      <c r="O490">
        <f>IF($C490="","",IFERROR(INDEX(tblCategories[Tax Tag],MATCH($K490,tblCategories[Category],0)),""))</f>
        <v/>
      </c>
      <c r="P490" s="20">
        <f>IF($C490="","",IF($G490=PersonA,1,IF($G490=PersonB,0,IFERROR(INDEX(tblCategories[Joint Split A],MATCH($K490,tblCategories[Category],0)),DefaultSplitA))))</f>
        <v/>
      </c>
      <c r="Q490" s="19">
        <f>IF($C490="","",ROUND($J490*N($P490),2))</f>
        <v/>
      </c>
      <c r="R490" s="19">
        <f>IF($C490="","",ROUND($J490-N($Q490),2))</f>
        <v/>
      </c>
      <c r="X490">
        <f>IF($C490="","",IFERROR(IF(_xlfn.ISFORMULA($K490),"Rule","Manual"),""))</f>
        <v/>
      </c>
      <c r="Y490" s="19">
        <f>IF($C490="","",IF(ReportView=PersonA,N($Q490),IF(ReportView=PersonB,N($R490),$J490)))</f>
        <v/>
      </c>
    </row>
    <row r="491">
      <c r="B491">
        <f>IF($C491="","","T"&amp;TEXT(ROW()-ROW(tblTxn[[#Headers],[Txn ID]]),"000000"))</f>
        <v/>
      </c>
      <c r="C491" s="18" t="n"/>
      <c r="D491">
        <f>IF($C491="","",TEXT($C491,"yyyy-mm"))</f>
        <v/>
      </c>
      <c r="F491">
        <f>IF($C491="","",IFERROR(INDEX(tblAccounts[Owner],MATCH($E491,tblAccounts[Account],0)),"Joint"))</f>
        <v/>
      </c>
      <c r="G491">
        <f>IF($C491="","",IF(HouseholdMode="Couple",IFERROR(IF(INDEX(tblCategories[Default Owner],MATCH($K491,tblCategories[Category],0))="",$F491,INDEX(tblCategories[Default Owner],MATCH($K491,tblCategories[Category],0))),$F491),$F491))</f>
        <v/>
      </c>
      <c r="I491">
        <f>IF($H491="","",$H491)</f>
        <v/>
      </c>
      <c r="J491" s="19" t="n"/>
      <c r="K491">
        <f>IF($H491="","",IFERROR(INDEX(tblRules[Category],SUMPRODUCT(MIN((1-((tblRules[Enabled]&lt;&gt;"No")*(tblRules[Pattern]&lt;&gt;"")*(tblRules[Category]&lt;&gt;"")*((tblRules[Flow]="Any")+(tblRules[Flow]="")+((tblRules[Flow]="Money out")*($J491&lt;0))+((tblRules[Flow]="Money in")*($J491&gt;0)))*(((tblRules[Look In]="Account")*ISNUMBER(SEARCH(tblRules[Pattern],$E491)))+((tblRules[Look In]&lt;&gt;"Account")*(((tblRules[Test]="Word")*ISNUMBER(SEARCH(" "&amp;tblRules[Pattern]&amp;" "," "&amp;$H491&amp;" ")))+((tblRules[Test]&lt;&gt;"Word")*ISNUMBER(SEARCH(tblRules[Pattern],$H491))))))&gt;0))*1E+9+ROW(tblRules[Pattern])))-ROW(tblRules[[#Headers],[Pattern]])),"Uncategorized"))</f>
        <v/>
      </c>
      <c r="L491">
        <f>IF($C491="","",IFERROR(INDEX(tblCategories[Group],MATCH($K491,tblCategories[Category],0)),"Other"))</f>
        <v/>
      </c>
      <c r="M491">
        <f>IF($C491="","",IFERROR(INDEX(tblCategories[Type],MATCH($K491,tblCategories[Category],0)),IF($J491&gt;0,"Income","Expense")))</f>
        <v/>
      </c>
      <c r="N491">
        <f>IF($C491="","",IFERROR(INDEX(tblCategories[Essential],MATCH($K491,tblCategories[Category],0)),"No"))</f>
        <v/>
      </c>
      <c r="O491">
        <f>IF($C491="","",IFERROR(INDEX(tblCategories[Tax Tag],MATCH($K491,tblCategories[Category],0)),""))</f>
        <v/>
      </c>
      <c r="P491" s="20">
        <f>IF($C491="","",IF($G491=PersonA,1,IF($G491=PersonB,0,IFERROR(INDEX(tblCategories[Joint Split A],MATCH($K491,tblCategories[Category],0)),DefaultSplitA))))</f>
        <v/>
      </c>
      <c r="Q491" s="19">
        <f>IF($C491="","",ROUND($J491*N($P491),2))</f>
        <v/>
      </c>
      <c r="R491" s="19">
        <f>IF($C491="","",ROUND($J491-N($Q491),2))</f>
        <v/>
      </c>
      <c r="X491">
        <f>IF($C491="","",IFERROR(IF(_xlfn.ISFORMULA($K491),"Rule","Manual"),""))</f>
        <v/>
      </c>
      <c r="Y491" s="19">
        <f>IF($C491="","",IF(ReportView=PersonA,N($Q491),IF(ReportView=PersonB,N($R491),$J491)))</f>
        <v/>
      </c>
    </row>
    <row r="492">
      <c r="B492">
        <f>IF($C492="","","T"&amp;TEXT(ROW()-ROW(tblTxn[[#Headers],[Txn ID]]),"000000"))</f>
        <v/>
      </c>
      <c r="C492" s="18" t="n"/>
      <c r="D492">
        <f>IF($C492="","",TEXT($C492,"yyyy-mm"))</f>
        <v/>
      </c>
      <c r="F492">
        <f>IF($C492="","",IFERROR(INDEX(tblAccounts[Owner],MATCH($E492,tblAccounts[Account],0)),"Joint"))</f>
        <v/>
      </c>
      <c r="G492">
        <f>IF($C492="","",IF(HouseholdMode="Couple",IFERROR(IF(INDEX(tblCategories[Default Owner],MATCH($K492,tblCategories[Category],0))="",$F492,INDEX(tblCategories[Default Owner],MATCH($K492,tblCategories[Category],0))),$F492),$F492))</f>
        <v/>
      </c>
      <c r="I492">
        <f>IF($H492="","",$H492)</f>
        <v/>
      </c>
      <c r="J492" s="19" t="n"/>
      <c r="K492">
        <f>IF($H492="","",IFERROR(INDEX(tblRules[Category],SUMPRODUCT(MIN((1-((tblRules[Enabled]&lt;&gt;"No")*(tblRules[Pattern]&lt;&gt;"")*(tblRules[Category]&lt;&gt;"")*((tblRules[Flow]="Any")+(tblRules[Flow]="")+((tblRules[Flow]="Money out")*($J492&lt;0))+((tblRules[Flow]="Money in")*($J492&gt;0)))*(((tblRules[Look In]="Account")*ISNUMBER(SEARCH(tblRules[Pattern],$E492)))+((tblRules[Look In]&lt;&gt;"Account")*(((tblRules[Test]="Word")*ISNUMBER(SEARCH(" "&amp;tblRules[Pattern]&amp;" "," "&amp;$H492&amp;" ")))+((tblRules[Test]&lt;&gt;"Word")*ISNUMBER(SEARCH(tblRules[Pattern],$H492))))))&gt;0))*1E+9+ROW(tblRules[Pattern])))-ROW(tblRules[[#Headers],[Pattern]])),"Uncategorized"))</f>
        <v/>
      </c>
      <c r="L492">
        <f>IF($C492="","",IFERROR(INDEX(tblCategories[Group],MATCH($K492,tblCategories[Category],0)),"Other"))</f>
        <v/>
      </c>
      <c r="M492">
        <f>IF($C492="","",IFERROR(INDEX(tblCategories[Type],MATCH($K492,tblCategories[Category],0)),IF($J492&gt;0,"Income","Expense")))</f>
        <v/>
      </c>
      <c r="N492">
        <f>IF($C492="","",IFERROR(INDEX(tblCategories[Essential],MATCH($K492,tblCategories[Category],0)),"No"))</f>
        <v/>
      </c>
      <c r="O492">
        <f>IF($C492="","",IFERROR(INDEX(tblCategories[Tax Tag],MATCH($K492,tblCategories[Category],0)),""))</f>
        <v/>
      </c>
      <c r="P492" s="20">
        <f>IF($C492="","",IF($G492=PersonA,1,IF($G492=PersonB,0,IFERROR(INDEX(tblCategories[Joint Split A],MATCH($K492,tblCategories[Category],0)),DefaultSplitA))))</f>
        <v/>
      </c>
      <c r="Q492" s="19">
        <f>IF($C492="","",ROUND($J492*N($P492),2))</f>
        <v/>
      </c>
      <c r="R492" s="19">
        <f>IF($C492="","",ROUND($J492-N($Q492),2))</f>
        <v/>
      </c>
      <c r="X492">
        <f>IF($C492="","",IFERROR(IF(_xlfn.ISFORMULA($K492),"Rule","Manual"),""))</f>
        <v/>
      </c>
      <c r="Y492" s="19">
        <f>IF($C492="","",IF(ReportView=PersonA,N($Q492),IF(ReportView=PersonB,N($R492),$J492)))</f>
        <v/>
      </c>
    </row>
    <row r="493">
      <c r="B493">
        <f>IF($C493="","","T"&amp;TEXT(ROW()-ROW(tblTxn[[#Headers],[Txn ID]]),"000000"))</f>
        <v/>
      </c>
      <c r="C493" s="18" t="n"/>
      <c r="D493">
        <f>IF($C493="","",TEXT($C493,"yyyy-mm"))</f>
        <v/>
      </c>
      <c r="F493">
        <f>IF($C493="","",IFERROR(INDEX(tblAccounts[Owner],MATCH($E493,tblAccounts[Account],0)),"Joint"))</f>
        <v/>
      </c>
      <c r="G493">
        <f>IF($C493="","",IF(HouseholdMode="Couple",IFERROR(IF(INDEX(tblCategories[Default Owner],MATCH($K493,tblCategories[Category],0))="",$F493,INDEX(tblCategories[Default Owner],MATCH($K493,tblCategories[Category],0))),$F493),$F493))</f>
        <v/>
      </c>
      <c r="I493">
        <f>IF($H493="","",$H493)</f>
        <v/>
      </c>
      <c r="J493" s="19" t="n"/>
      <c r="K493">
        <f>IF($H493="","",IFERROR(INDEX(tblRules[Category],SUMPRODUCT(MIN((1-((tblRules[Enabled]&lt;&gt;"No")*(tblRules[Pattern]&lt;&gt;"")*(tblRules[Category]&lt;&gt;"")*((tblRules[Flow]="Any")+(tblRules[Flow]="")+((tblRules[Flow]="Money out")*($J493&lt;0))+((tblRules[Flow]="Money in")*($J493&gt;0)))*(((tblRules[Look In]="Account")*ISNUMBER(SEARCH(tblRules[Pattern],$E493)))+((tblRules[Look In]&lt;&gt;"Account")*(((tblRules[Test]="Word")*ISNUMBER(SEARCH(" "&amp;tblRules[Pattern]&amp;" "," "&amp;$H493&amp;" ")))+((tblRules[Test]&lt;&gt;"Word")*ISNUMBER(SEARCH(tblRules[Pattern],$H493))))))&gt;0))*1E+9+ROW(tblRules[Pattern])))-ROW(tblRules[[#Headers],[Pattern]])),"Uncategorized"))</f>
        <v/>
      </c>
      <c r="L493">
        <f>IF($C493="","",IFERROR(INDEX(tblCategories[Group],MATCH($K493,tblCategories[Category],0)),"Other"))</f>
        <v/>
      </c>
      <c r="M493">
        <f>IF($C493="","",IFERROR(INDEX(tblCategories[Type],MATCH($K493,tblCategories[Category],0)),IF($J493&gt;0,"Income","Expense")))</f>
        <v/>
      </c>
      <c r="N493">
        <f>IF($C493="","",IFERROR(INDEX(tblCategories[Essential],MATCH($K493,tblCategories[Category],0)),"No"))</f>
        <v/>
      </c>
      <c r="O493">
        <f>IF($C493="","",IFERROR(INDEX(tblCategories[Tax Tag],MATCH($K493,tblCategories[Category],0)),""))</f>
        <v/>
      </c>
      <c r="P493" s="20">
        <f>IF($C493="","",IF($G493=PersonA,1,IF($G493=PersonB,0,IFERROR(INDEX(tblCategories[Joint Split A],MATCH($K493,tblCategories[Category],0)),DefaultSplitA))))</f>
        <v/>
      </c>
      <c r="Q493" s="19">
        <f>IF($C493="","",ROUND($J493*N($P493),2))</f>
        <v/>
      </c>
      <c r="R493" s="19">
        <f>IF($C493="","",ROUND($J493-N($Q493),2))</f>
        <v/>
      </c>
      <c r="X493">
        <f>IF($C493="","",IFERROR(IF(_xlfn.ISFORMULA($K493),"Rule","Manual"),""))</f>
        <v/>
      </c>
      <c r="Y493" s="19">
        <f>IF($C493="","",IF(ReportView=PersonA,N($Q493),IF(ReportView=PersonB,N($R493),$J493)))</f>
        <v/>
      </c>
    </row>
    <row r="494">
      <c r="B494">
        <f>IF($C494="","","T"&amp;TEXT(ROW()-ROW(tblTxn[[#Headers],[Txn ID]]),"000000"))</f>
        <v/>
      </c>
      <c r="C494" s="18" t="n"/>
      <c r="D494">
        <f>IF($C494="","",TEXT($C494,"yyyy-mm"))</f>
        <v/>
      </c>
      <c r="F494">
        <f>IF($C494="","",IFERROR(INDEX(tblAccounts[Owner],MATCH($E494,tblAccounts[Account],0)),"Joint"))</f>
        <v/>
      </c>
      <c r="G494">
        <f>IF($C494="","",IF(HouseholdMode="Couple",IFERROR(IF(INDEX(tblCategories[Default Owner],MATCH($K494,tblCategories[Category],0))="",$F494,INDEX(tblCategories[Default Owner],MATCH($K494,tblCategories[Category],0))),$F494),$F494))</f>
        <v/>
      </c>
      <c r="I494">
        <f>IF($H494="","",$H494)</f>
        <v/>
      </c>
      <c r="J494" s="19" t="n"/>
      <c r="K494">
        <f>IF($H494="","",IFERROR(INDEX(tblRules[Category],SUMPRODUCT(MIN((1-((tblRules[Enabled]&lt;&gt;"No")*(tblRules[Pattern]&lt;&gt;"")*(tblRules[Category]&lt;&gt;"")*((tblRules[Flow]="Any")+(tblRules[Flow]="")+((tblRules[Flow]="Money out")*($J494&lt;0))+((tblRules[Flow]="Money in")*($J494&gt;0)))*(((tblRules[Look In]="Account")*ISNUMBER(SEARCH(tblRules[Pattern],$E494)))+((tblRules[Look In]&lt;&gt;"Account")*(((tblRules[Test]="Word")*ISNUMBER(SEARCH(" "&amp;tblRules[Pattern]&amp;" "," "&amp;$H494&amp;" ")))+((tblRules[Test]&lt;&gt;"Word")*ISNUMBER(SEARCH(tblRules[Pattern],$H494))))))&gt;0))*1E+9+ROW(tblRules[Pattern])))-ROW(tblRules[[#Headers],[Pattern]])),"Uncategorized"))</f>
        <v/>
      </c>
      <c r="L494">
        <f>IF($C494="","",IFERROR(INDEX(tblCategories[Group],MATCH($K494,tblCategories[Category],0)),"Other"))</f>
        <v/>
      </c>
      <c r="M494">
        <f>IF($C494="","",IFERROR(INDEX(tblCategories[Type],MATCH($K494,tblCategories[Category],0)),IF($J494&gt;0,"Income","Expense")))</f>
        <v/>
      </c>
      <c r="N494">
        <f>IF($C494="","",IFERROR(INDEX(tblCategories[Essential],MATCH($K494,tblCategories[Category],0)),"No"))</f>
        <v/>
      </c>
      <c r="O494">
        <f>IF($C494="","",IFERROR(INDEX(tblCategories[Tax Tag],MATCH($K494,tblCategories[Category],0)),""))</f>
        <v/>
      </c>
      <c r="P494" s="20">
        <f>IF($C494="","",IF($G494=PersonA,1,IF($G494=PersonB,0,IFERROR(INDEX(tblCategories[Joint Split A],MATCH($K494,tblCategories[Category],0)),DefaultSplitA))))</f>
        <v/>
      </c>
      <c r="Q494" s="19">
        <f>IF($C494="","",ROUND($J494*N($P494),2))</f>
        <v/>
      </c>
      <c r="R494" s="19">
        <f>IF($C494="","",ROUND($J494-N($Q494),2))</f>
        <v/>
      </c>
      <c r="X494">
        <f>IF($C494="","",IFERROR(IF(_xlfn.ISFORMULA($K494),"Rule","Manual"),""))</f>
        <v/>
      </c>
      <c r="Y494" s="19">
        <f>IF($C494="","",IF(ReportView=PersonA,N($Q494),IF(ReportView=PersonB,N($R494),$J494)))</f>
        <v/>
      </c>
    </row>
    <row r="495">
      <c r="B495">
        <f>IF($C495="","","T"&amp;TEXT(ROW()-ROW(tblTxn[[#Headers],[Txn ID]]),"000000"))</f>
        <v/>
      </c>
      <c r="C495" s="18" t="n"/>
      <c r="D495">
        <f>IF($C495="","",TEXT($C495,"yyyy-mm"))</f>
        <v/>
      </c>
      <c r="F495">
        <f>IF($C495="","",IFERROR(INDEX(tblAccounts[Owner],MATCH($E495,tblAccounts[Account],0)),"Joint"))</f>
        <v/>
      </c>
      <c r="G495">
        <f>IF($C495="","",IF(HouseholdMode="Couple",IFERROR(IF(INDEX(tblCategories[Default Owner],MATCH($K495,tblCategories[Category],0))="",$F495,INDEX(tblCategories[Default Owner],MATCH($K495,tblCategories[Category],0))),$F495),$F495))</f>
        <v/>
      </c>
      <c r="I495">
        <f>IF($H495="","",$H495)</f>
        <v/>
      </c>
      <c r="J495" s="19" t="n"/>
      <c r="K495">
        <f>IF($H495="","",IFERROR(INDEX(tblRules[Category],SUMPRODUCT(MIN((1-((tblRules[Enabled]&lt;&gt;"No")*(tblRules[Pattern]&lt;&gt;"")*(tblRules[Category]&lt;&gt;"")*((tblRules[Flow]="Any")+(tblRules[Flow]="")+((tblRules[Flow]="Money out")*($J495&lt;0))+((tblRules[Flow]="Money in")*($J495&gt;0)))*(((tblRules[Look In]="Account")*ISNUMBER(SEARCH(tblRules[Pattern],$E495)))+((tblRules[Look In]&lt;&gt;"Account")*(((tblRules[Test]="Word")*ISNUMBER(SEARCH(" "&amp;tblRules[Pattern]&amp;" "," "&amp;$H495&amp;" ")))+((tblRules[Test]&lt;&gt;"Word")*ISNUMBER(SEARCH(tblRules[Pattern],$H495))))))&gt;0))*1E+9+ROW(tblRules[Pattern])))-ROW(tblRules[[#Headers],[Pattern]])),"Uncategorized"))</f>
        <v/>
      </c>
      <c r="L495">
        <f>IF($C495="","",IFERROR(INDEX(tblCategories[Group],MATCH($K495,tblCategories[Category],0)),"Other"))</f>
        <v/>
      </c>
      <c r="M495">
        <f>IF($C495="","",IFERROR(INDEX(tblCategories[Type],MATCH($K495,tblCategories[Category],0)),IF($J495&gt;0,"Income","Expense")))</f>
        <v/>
      </c>
      <c r="N495">
        <f>IF($C495="","",IFERROR(INDEX(tblCategories[Essential],MATCH($K495,tblCategories[Category],0)),"No"))</f>
        <v/>
      </c>
      <c r="O495">
        <f>IF($C495="","",IFERROR(INDEX(tblCategories[Tax Tag],MATCH($K495,tblCategories[Category],0)),""))</f>
        <v/>
      </c>
      <c r="P495" s="20">
        <f>IF($C495="","",IF($G495=PersonA,1,IF($G495=PersonB,0,IFERROR(INDEX(tblCategories[Joint Split A],MATCH($K495,tblCategories[Category],0)),DefaultSplitA))))</f>
        <v/>
      </c>
      <c r="Q495" s="19">
        <f>IF($C495="","",ROUND($J495*N($P495),2))</f>
        <v/>
      </c>
      <c r="R495" s="19">
        <f>IF($C495="","",ROUND($J495-N($Q495),2))</f>
        <v/>
      </c>
      <c r="X495">
        <f>IF($C495="","",IFERROR(IF(_xlfn.ISFORMULA($K495),"Rule","Manual"),""))</f>
        <v/>
      </c>
      <c r="Y495" s="19">
        <f>IF($C495="","",IF(ReportView=PersonA,N($Q495),IF(ReportView=PersonB,N($R495),$J495)))</f>
        <v/>
      </c>
    </row>
    <row r="496">
      <c r="B496">
        <f>IF($C496="","","T"&amp;TEXT(ROW()-ROW(tblTxn[[#Headers],[Txn ID]]),"000000"))</f>
        <v/>
      </c>
      <c r="C496" s="18" t="n"/>
      <c r="D496">
        <f>IF($C496="","",TEXT($C496,"yyyy-mm"))</f>
        <v/>
      </c>
      <c r="F496">
        <f>IF($C496="","",IFERROR(INDEX(tblAccounts[Owner],MATCH($E496,tblAccounts[Account],0)),"Joint"))</f>
        <v/>
      </c>
      <c r="G496">
        <f>IF($C496="","",IF(HouseholdMode="Couple",IFERROR(IF(INDEX(tblCategories[Default Owner],MATCH($K496,tblCategories[Category],0))="",$F496,INDEX(tblCategories[Default Owner],MATCH($K496,tblCategories[Category],0))),$F496),$F496))</f>
        <v/>
      </c>
      <c r="I496">
        <f>IF($H496="","",$H496)</f>
        <v/>
      </c>
      <c r="J496" s="19" t="n"/>
      <c r="K496">
        <f>IF($H496="","",IFERROR(INDEX(tblRules[Category],SUMPRODUCT(MIN((1-((tblRules[Enabled]&lt;&gt;"No")*(tblRules[Pattern]&lt;&gt;"")*(tblRules[Category]&lt;&gt;"")*((tblRules[Flow]="Any")+(tblRules[Flow]="")+((tblRules[Flow]="Money out")*($J496&lt;0))+((tblRules[Flow]="Money in")*($J496&gt;0)))*(((tblRules[Look In]="Account")*ISNUMBER(SEARCH(tblRules[Pattern],$E496)))+((tblRules[Look In]&lt;&gt;"Account")*(((tblRules[Test]="Word")*ISNUMBER(SEARCH(" "&amp;tblRules[Pattern]&amp;" "," "&amp;$H496&amp;" ")))+((tblRules[Test]&lt;&gt;"Word")*ISNUMBER(SEARCH(tblRules[Pattern],$H496))))))&gt;0))*1E+9+ROW(tblRules[Pattern])))-ROW(tblRules[[#Headers],[Pattern]])),"Uncategorized"))</f>
        <v/>
      </c>
      <c r="L496">
        <f>IF($C496="","",IFERROR(INDEX(tblCategories[Group],MATCH($K496,tblCategories[Category],0)),"Other"))</f>
        <v/>
      </c>
      <c r="M496">
        <f>IF($C496="","",IFERROR(INDEX(tblCategories[Type],MATCH($K496,tblCategories[Category],0)),IF($J496&gt;0,"Income","Expense")))</f>
        <v/>
      </c>
      <c r="N496">
        <f>IF($C496="","",IFERROR(INDEX(tblCategories[Essential],MATCH($K496,tblCategories[Category],0)),"No"))</f>
        <v/>
      </c>
      <c r="O496">
        <f>IF($C496="","",IFERROR(INDEX(tblCategories[Tax Tag],MATCH($K496,tblCategories[Category],0)),""))</f>
        <v/>
      </c>
      <c r="P496" s="20">
        <f>IF($C496="","",IF($G496=PersonA,1,IF($G496=PersonB,0,IFERROR(INDEX(tblCategories[Joint Split A],MATCH($K496,tblCategories[Category],0)),DefaultSplitA))))</f>
        <v/>
      </c>
      <c r="Q496" s="19">
        <f>IF($C496="","",ROUND($J496*N($P496),2))</f>
        <v/>
      </c>
      <c r="R496" s="19">
        <f>IF($C496="","",ROUND($J496-N($Q496),2))</f>
        <v/>
      </c>
      <c r="X496">
        <f>IF($C496="","",IFERROR(IF(_xlfn.ISFORMULA($K496),"Rule","Manual"),""))</f>
        <v/>
      </c>
      <c r="Y496" s="19">
        <f>IF($C496="","",IF(ReportView=PersonA,N($Q496),IF(ReportView=PersonB,N($R496),$J496)))</f>
        <v/>
      </c>
    </row>
    <row r="497">
      <c r="B497">
        <f>IF($C497="","","T"&amp;TEXT(ROW()-ROW(tblTxn[[#Headers],[Txn ID]]),"000000"))</f>
        <v/>
      </c>
      <c r="C497" s="18" t="n"/>
      <c r="D497">
        <f>IF($C497="","",TEXT($C497,"yyyy-mm"))</f>
        <v/>
      </c>
      <c r="F497">
        <f>IF($C497="","",IFERROR(INDEX(tblAccounts[Owner],MATCH($E497,tblAccounts[Account],0)),"Joint"))</f>
        <v/>
      </c>
      <c r="G497">
        <f>IF($C497="","",IF(HouseholdMode="Couple",IFERROR(IF(INDEX(tblCategories[Default Owner],MATCH($K497,tblCategories[Category],0))="",$F497,INDEX(tblCategories[Default Owner],MATCH($K497,tblCategories[Category],0))),$F497),$F497))</f>
        <v/>
      </c>
      <c r="I497">
        <f>IF($H497="","",$H497)</f>
        <v/>
      </c>
      <c r="J497" s="19" t="n"/>
      <c r="K497">
        <f>IF($H497="","",IFERROR(INDEX(tblRules[Category],SUMPRODUCT(MIN((1-((tblRules[Enabled]&lt;&gt;"No")*(tblRules[Pattern]&lt;&gt;"")*(tblRules[Category]&lt;&gt;"")*((tblRules[Flow]="Any")+(tblRules[Flow]="")+((tblRules[Flow]="Money out")*($J497&lt;0))+((tblRules[Flow]="Money in")*($J497&gt;0)))*(((tblRules[Look In]="Account")*ISNUMBER(SEARCH(tblRules[Pattern],$E497)))+((tblRules[Look In]&lt;&gt;"Account")*(((tblRules[Test]="Word")*ISNUMBER(SEARCH(" "&amp;tblRules[Pattern]&amp;" "," "&amp;$H497&amp;" ")))+((tblRules[Test]&lt;&gt;"Word")*ISNUMBER(SEARCH(tblRules[Pattern],$H497))))))&gt;0))*1E+9+ROW(tblRules[Pattern])))-ROW(tblRules[[#Headers],[Pattern]])),"Uncategorized"))</f>
        <v/>
      </c>
      <c r="L497">
        <f>IF($C497="","",IFERROR(INDEX(tblCategories[Group],MATCH($K497,tblCategories[Category],0)),"Other"))</f>
        <v/>
      </c>
      <c r="M497">
        <f>IF($C497="","",IFERROR(INDEX(tblCategories[Type],MATCH($K497,tblCategories[Category],0)),IF($J497&gt;0,"Income","Expense")))</f>
        <v/>
      </c>
      <c r="N497">
        <f>IF($C497="","",IFERROR(INDEX(tblCategories[Essential],MATCH($K497,tblCategories[Category],0)),"No"))</f>
        <v/>
      </c>
      <c r="O497">
        <f>IF($C497="","",IFERROR(INDEX(tblCategories[Tax Tag],MATCH($K497,tblCategories[Category],0)),""))</f>
        <v/>
      </c>
      <c r="P497" s="20">
        <f>IF($C497="","",IF($G497=PersonA,1,IF($G497=PersonB,0,IFERROR(INDEX(tblCategories[Joint Split A],MATCH($K497,tblCategories[Category],0)),DefaultSplitA))))</f>
        <v/>
      </c>
      <c r="Q497" s="19">
        <f>IF($C497="","",ROUND($J497*N($P497),2))</f>
        <v/>
      </c>
      <c r="R497" s="19">
        <f>IF($C497="","",ROUND($J497-N($Q497),2))</f>
        <v/>
      </c>
      <c r="X497">
        <f>IF($C497="","",IFERROR(IF(_xlfn.ISFORMULA($K497),"Rule","Manual"),""))</f>
        <v/>
      </c>
      <c r="Y497" s="19">
        <f>IF($C497="","",IF(ReportView=PersonA,N($Q497),IF(ReportView=PersonB,N($R497),$J497)))</f>
        <v/>
      </c>
    </row>
    <row r="498">
      <c r="B498">
        <f>IF($C498="","","T"&amp;TEXT(ROW()-ROW(tblTxn[[#Headers],[Txn ID]]),"000000"))</f>
        <v/>
      </c>
      <c r="C498" s="18" t="n"/>
      <c r="D498">
        <f>IF($C498="","",TEXT($C498,"yyyy-mm"))</f>
        <v/>
      </c>
      <c r="F498">
        <f>IF($C498="","",IFERROR(INDEX(tblAccounts[Owner],MATCH($E498,tblAccounts[Account],0)),"Joint"))</f>
        <v/>
      </c>
      <c r="G498">
        <f>IF($C498="","",IF(HouseholdMode="Couple",IFERROR(IF(INDEX(tblCategories[Default Owner],MATCH($K498,tblCategories[Category],0))="",$F498,INDEX(tblCategories[Default Owner],MATCH($K498,tblCategories[Category],0))),$F498),$F498))</f>
        <v/>
      </c>
      <c r="I498">
        <f>IF($H498="","",$H498)</f>
        <v/>
      </c>
      <c r="J498" s="19" t="n"/>
      <c r="K498">
        <f>IF($H498="","",IFERROR(INDEX(tblRules[Category],SUMPRODUCT(MIN((1-((tblRules[Enabled]&lt;&gt;"No")*(tblRules[Pattern]&lt;&gt;"")*(tblRules[Category]&lt;&gt;"")*((tblRules[Flow]="Any")+(tblRules[Flow]="")+((tblRules[Flow]="Money out")*($J498&lt;0))+((tblRules[Flow]="Money in")*($J498&gt;0)))*(((tblRules[Look In]="Account")*ISNUMBER(SEARCH(tblRules[Pattern],$E498)))+((tblRules[Look In]&lt;&gt;"Account")*(((tblRules[Test]="Word")*ISNUMBER(SEARCH(" "&amp;tblRules[Pattern]&amp;" "," "&amp;$H498&amp;" ")))+((tblRules[Test]&lt;&gt;"Word")*ISNUMBER(SEARCH(tblRules[Pattern],$H498))))))&gt;0))*1E+9+ROW(tblRules[Pattern])))-ROW(tblRules[[#Headers],[Pattern]])),"Uncategorized"))</f>
        <v/>
      </c>
      <c r="L498">
        <f>IF($C498="","",IFERROR(INDEX(tblCategories[Group],MATCH($K498,tblCategories[Category],0)),"Other"))</f>
        <v/>
      </c>
      <c r="M498">
        <f>IF($C498="","",IFERROR(INDEX(tblCategories[Type],MATCH($K498,tblCategories[Category],0)),IF($J498&gt;0,"Income","Expense")))</f>
        <v/>
      </c>
      <c r="N498">
        <f>IF($C498="","",IFERROR(INDEX(tblCategories[Essential],MATCH($K498,tblCategories[Category],0)),"No"))</f>
        <v/>
      </c>
      <c r="O498">
        <f>IF($C498="","",IFERROR(INDEX(tblCategories[Tax Tag],MATCH($K498,tblCategories[Category],0)),""))</f>
        <v/>
      </c>
      <c r="P498" s="20">
        <f>IF($C498="","",IF($G498=PersonA,1,IF($G498=PersonB,0,IFERROR(INDEX(tblCategories[Joint Split A],MATCH($K498,tblCategories[Category],0)),DefaultSplitA))))</f>
        <v/>
      </c>
      <c r="Q498" s="19">
        <f>IF($C498="","",ROUND($J498*N($P498),2))</f>
        <v/>
      </c>
      <c r="R498" s="19">
        <f>IF($C498="","",ROUND($J498-N($Q498),2))</f>
        <v/>
      </c>
      <c r="X498">
        <f>IF($C498="","",IFERROR(IF(_xlfn.ISFORMULA($K498),"Rule","Manual"),""))</f>
        <v/>
      </c>
      <c r="Y498" s="19">
        <f>IF($C498="","",IF(ReportView=PersonA,N($Q498),IF(ReportView=PersonB,N($R498),$J498)))</f>
        <v/>
      </c>
    </row>
    <row r="499">
      <c r="B499">
        <f>IF($C499="","","T"&amp;TEXT(ROW()-ROW(tblTxn[[#Headers],[Txn ID]]),"000000"))</f>
        <v/>
      </c>
      <c r="C499" s="18" t="n"/>
      <c r="D499">
        <f>IF($C499="","",TEXT($C499,"yyyy-mm"))</f>
        <v/>
      </c>
      <c r="F499">
        <f>IF($C499="","",IFERROR(INDEX(tblAccounts[Owner],MATCH($E499,tblAccounts[Account],0)),"Joint"))</f>
        <v/>
      </c>
      <c r="G499">
        <f>IF($C499="","",IF(HouseholdMode="Couple",IFERROR(IF(INDEX(tblCategories[Default Owner],MATCH($K499,tblCategories[Category],0))="",$F499,INDEX(tblCategories[Default Owner],MATCH($K499,tblCategories[Category],0))),$F499),$F499))</f>
        <v/>
      </c>
      <c r="I499">
        <f>IF($H499="","",$H499)</f>
        <v/>
      </c>
      <c r="J499" s="19" t="n"/>
      <c r="K499">
        <f>IF($H499="","",IFERROR(INDEX(tblRules[Category],SUMPRODUCT(MIN((1-((tblRules[Enabled]&lt;&gt;"No")*(tblRules[Pattern]&lt;&gt;"")*(tblRules[Category]&lt;&gt;"")*((tblRules[Flow]="Any")+(tblRules[Flow]="")+((tblRules[Flow]="Money out")*($J499&lt;0))+((tblRules[Flow]="Money in")*($J499&gt;0)))*(((tblRules[Look In]="Account")*ISNUMBER(SEARCH(tblRules[Pattern],$E499)))+((tblRules[Look In]&lt;&gt;"Account")*(((tblRules[Test]="Word")*ISNUMBER(SEARCH(" "&amp;tblRules[Pattern]&amp;" "," "&amp;$H499&amp;" ")))+((tblRules[Test]&lt;&gt;"Word")*ISNUMBER(SEARCH(tblRules[Pattern],$H499))))))&gt;0))*1E+9+ROW(tblRules[Pattern])))-ROW(tblRules[[#Headers],[Pattern]])),"Uncategorized"))</f>
        <v/>
      </c>
      <c r="L499">
        <f>IF($C499="","",IFERROR(INDEX(tblCategories[Group],MATCH($K499,tblCategories[Category],0)),"Other"))</f>
        <v/>
      </c>
      <c r="M499">
        <f>IF($C499="","",IFERROR(INDEX(tblCategories[Type],MATCH($K499,tblCategories[Category],0)),IF($J499&gt;0,"Income","Expense")))</f>
        <v/>
      </c>
      <c r="N499">
        <f>IF($C499="","",IFERROR(INDEX(tblCategories[Essential],MATCH($K499,tblCategories[Category],0)),"No"))</f>
        <v/>
      </c>
      <c r="O499">
        <f>IF($C499="","",IFERROR(INDEX(tblCategories[Tax Tag],MATCH($K499,tblCategories[Category],0)),""))</f>
        <v/>
      </c>
      <c r="P499" s="20">
        <f>IF($C499="","",IF($G499=PersonA,1,IF($G499=PersonB,0,IFERROR(INDEX(tblCategories[Joint Split A],MATCH($K499,tblCategories[Category],0)),DefaultSplitA))))</f>
        <v/>
      </c>
      <c r="Q499" s="19">
        <f>IF($C499="","",ROUND($J499*N($P499),2))</f>
        <v/>
      </c>
      <c r="R499" s="19">
        <f>IF($C499="","",ROUND($J499-N($Q499),2))</f>
        <v/>
      </c>
      <c r="X499">
        <f>IF($C499="","",IFERROR(IF(_xlfn.ISFORMULA($K499),"Rule","Manual"),""))</f>
        <v/>
      </c>
      <c r="Y499" s="19">
        <f>IF($C499="","",IF(ReportView=PersonA,N($Q499),IF(ReportView=PersonB,N($R499),$J499)))</f>
        <v/>
      </c>
    </row>
    <row r="500">
      <c r="B500">
        <f>IF($C500="","","T"&amp;TEXT(ROW()-ROW(tblTxn[[#Headers],[Txn ID]]),"000000"))</f>
        <v/>
      </c>
      <c r="C500" s="18" t="n"/>
      <c r="D500">
        <f>IF($C500="","",TEXT($C500,"yyyy-mm"))</f>
        <v/>
      </c>
      <c r="F500">
        <f>IF($C500="","",IFERROR(INDEX(tblAccounts[Owner],MATCH($E500,tblAccounts[Account],0)),"Joint"))</f>
        <v/>
      </c>
      <c r="G500">
        <f>IF($C500="","",IF(HouseholdMode="Couple",IFERROR(IF(INDEX(tblCategories[Default Owner],MATCH($K500,tblCategories[Category],0))="",$F500,INDEX(tblCategories[Default Owner],MATCH($K500,tblCategories[Category],0))),$F500),$F500))</f>
        <v/>
      </c>
      <c r="I500">
        <f>IF($H500="","",$H500)</f>
        <v/>
      </c>
      <c r="J500" s="19" t="n"/>
      <c r="K500">
        <f>IF($H500="","",IFERROR(INDEX(tblRules[Category],SUMPRODUCT(MIN((1-((tblRules[Enabled]&lt;&gt;"No")*(tblRules[Pattern]&lt;&gt;"")*(tblRules[Category]&lt;&gt;"")*((tblRules[Flow]="Any")+(tblRules[Flow]="")+((tblRules[Flow]="Money out")*($J500&lt;0))+((tblRules[Flow]="Money in")*($J500&gt;0)))*(((tblRules[Look In]="Account")*ISNUMBER(SEARCH(tblRules[Pattern],$E500)))+((tblRules[Look In]&lt;&gt;"Account")*(((tblRules[Test]="Word")*ISNUMBER(SEARCH(" "&amp;tblRules[Pattern]&amp;" "," "&amp;$H500&amp;" ")))+((tblRules[Test]&lt;&gt;"Word")*ISNUMBER(SEARCH(tblRules[Pattern],$H500))))))&gt;0))*1E+9+ROW(tblRules[Pattern])))-ROW(tblRules[[#Headers],[Pattern]])),"Uncategorized"))</f>
        <v/>
      </c>
      <c r="L500">
        <f>IF($C500="","",IFERROR(INDEX(tblCategories[Group],MATCH($K500,tblCategories[Category],0)),"Other"))</f>
        <v/>
      </c>
      <c r="M500">
        <f>IF($C500="","",IFERROR(INDEX(tblCategories[Type],MATCH($K500,tblCategories[Category],0)),IF($J500&gt;0,"Income","Expense")))</f>
        <v/>
      </c>
      <c r="N500">
        <f>IF($C500="","",IFERROR(INDEX(tblCategories[Essential],MATCH($K500,tblCategories[Category],0)),"No"))</f>
        <v/>
      </c>
      <c r="O500">
        <f>IF($C500="","",IFERROR(INDEX(tblCategories[Tax Tag],MATCH($K500,tblCategories[Category],0)),""))</f>
        <v/>
      </c>
      <c r="P500" s="20">
        <f>IF($C500="","",IF($G500=PersonA,1,IF($G500=PersonB,0,IFERROR(INDEX(tblCategories[Joint Split A],MATCH($K500,tblCategories[Category],0)),DefaultSplitA))))</f>
        <v/>
      </c>
      <c r="Q500" s="19">
        <f>IF($C500="","",ROUND($J500*N($P500),2))</f>
        <v/>
      </c>
      <c r="R500" s="19">
        <f>IF($C500="","",ROUND($J500-N($Q500),2))</f>
        <v/>
      </c>
      <c r="X500">
        <f>IF($C500="","",IFERROR(IF(_xlfn.ISFORMULA($K500),"Rule","Manual"),""))</f>
        <v/>
      </c>
      <c r="Y500" s="19">
        <f>IF($C500="","",IF(ReportView=PersonA,N($Q500),IF(ReportView=PersonB,N($R500),$J500)))</f>
        <v/>
      </c>
    </row>
    <row r="501">
      <c r="B501">
        <f>IF($C501="","","T"&amp;TEXT(ROW()-ROW(tblTxn[[#Headers],[Txn ID]]),"000000"))</f>
        <v/>
      </c>
      <c r="C501" s="18" t="n"/>
      <c r="D501">
        <f>IF($C501="","",TEXT($C501,"yyyy-mm"))</f>
        <v/>
      </c>
      <c r="F501">
        <f>IF($C501="","",IFERROR(INDEX(tblAccounts[Owner],MATCH($E501,tblAccounts[Account],0)),"Joint"))</f>
        <v/>
      </c>
      <c r="G501">
        <f>IF($C501="","",IF(HouseholdMode="Couple",IFERROR(IF(INDEX(tblCategories[Default Owner],MATCH($K501,tblCategories[Category],0))="",$F501,INDEX(tblCategories[Default Owner],MATCH($K501,tblCategories[Category],0))),$F501),$F501))</f>
        <v/>
      </c>
      <c r="I501">
        <f>IF($H501="","",$H501)</f>
        <v/>
      </c>
      <c r="J501" s="19" t="n"/>
      <c r="K501">
        <f>IF($H501="","",IFERROR(INDEX(tblRules[Category],SUMPRODUCT(MIN((1-((tblRules[Enabled]&lt;&gt;"No")*(tblRules[Pattern]&lt;&gt;"")*(tblRules[Category]&lt;&gt;"")*((tblRules[Flow]="Any")+(tblRules[Flow]="")+((tblRules[Flow]="Money out")*($J501&lt;0))+((tblRules[Flow]="Money in")*($J501&gt;0)))*(((tblRules[Look In]="Account")*ISNUMBER(SEARCH(tblRules[Pattern],$E501)))+((tblRules[Look In]&lt;&gt;"Account")*(((tblRules[Test]="Word")*ISNUMBER(SEARCH(" "&amp;tblRules[Pattern]&amp;" "," "&amp;$H501&amp;" ")))+((tblRules[Test]&lt;&gt;"Word")*ISNUMBER(SEARCH(tblRules[Pattern],$H501))))))&gt;0))*1E+9+ROW(tblRules[Pattern])))-ROW(tblRules[[#Headers],[Pattern]])),"Uncategorized"))</f>
        <v/>
      </c>
      <c r="L501">
        <f>IF($C501="","",IFERROR(INDEX(tblCategories[Group],MATCH($K501,tblCategories[Category],0)),"Other"))</f>
        <v/>
      </c>
      <c r="M501">
        <f>IF($C501="","",IFERROR(INDEX(tblCategories[Type],MATCH($K501,tblCategories[Category],0)),IF($J501&gt;0,"Income","Expense")))</f>
        <v/>
      </c>
      <c r="N501">
        <f>IF($C501="","",IFERROR(INDEX(tblCategories[Essential],MATCH($K501,tblCategories[Category],0)),"No"))</f>
        <v/>
      </c>
      <c r="O501">
        <f>IF($C501="","",IFERROR(INDEX(tblCategories[Tax Tag],MATCH($K501,tblCategories[Category],0)),""))</f>
        <v/>
      </c>
      <c r="P501" s="20">
        <f>IF($C501="","",IF($G501=PersonA,1,IF($G501=PersonB,0,IFERROR(INDEX(tblCategories[Joint Split A],MATCH($K501,tblCategories[Category],0)),DefaultSplitA))))</f>
        <v/>
      </c>
      <c r="Q501" s="19">
        <f>IF($C501="","",ROUND($J501*N($P501),2))</f>
        <v/>
      </c>
      <c r="R501" s="19">
        <f>IF($C501="","",ROUND($J501-N($Q501),2))</f>
        <v/>
      </c>
      <c r="X501">
        <f>IF($C501="","",IFERROR(IF(_xlfn.ISFORMULA($K501),"Rule","Manual"),""))</f>
        <v/>
      </c>
      <c r="Y501" s="19">
        <f>IF($C501="","",IF(ReportView=PersonA,N($Q501),IF(ReportView=PersonB,N($R501),$J501)))</f>
        <v/>
      </c>
    </row>
    <row r="502">
      <c r="B502">
        <f>IF($C502="","","T"&amp;TEXT(ROW()-ROW(tblTxn[[#Headers],[Txn ID]]),"000000"))</f>
        <v/>
      </c>
      <c r="C502" s="18" t="n"/>
      <c r="D502">
        <f>IF($C502="","",TEXT($C502,"yyyy-mm"))</f>
        <v/>
      </c>
      <c r="F502">
        <f>IF($C502="","",IFERROR(INDEX(tblAccounts[Owner],MATCH($E502,tblAccounts[Account],0)),"Joint"))</f>
        <v/>
      </c>
      <c r="G502">
        <f>IF($C502="","",IF(HouseholdMode="Couple",IFERROR(IF(INDEX(tblCategories[Default Owner],MATCH($K502,tblCategories[Category],0))="",$F502,INDEX(tblCategories[Default Owner],MATCH($K502,tblCategories[Category],0))),$F502),$F502))</f>
        <v/>
      </c>
      <c r="I502">
        <f>IF($H502="","",$H502)</f>
        <v/>
      </c>
      <c r="J502" s="19" t="n"/>
      <c r="K502">
        <f>IF($H502="","",IFERROR(INDEX(tblRules[Category],SUMPRODUCT(MIN((1-((tblRules[Enabled]&lt;&gt;"No")*(tblRules[Pattern]&lt;&gt;"")*(tblRules[Category]&lt;&gt;"")*((tblRules[Flow]="Any")+(tblRules[Flow]="")+((tblRules[Flow]="Money out")*($J502&lt;0))+((tblRules[Flow]="Money in")*($J502&gt;0)))*(((tblRules[Look In]="Account")*ISNUMBER(SEARCH(tblRules[Pattern],$E502)))+((tblRules[Look In]&lt;&gt;"Account")*(((tblRules[Test]="Word")*ISNUMBER(SEARCH(" "&amp;tblRules[Pattern]&amp;" "," "&amp;$H502&amp;" ")))+((tblRules[Test]&lt;&gt;"Word")*ISNUMBER(SEARCH(tblRules[Pattern],$H502))))))&gt;0))*1E+9+ROW(tblRules[Pattern])))-ROW(tblRules[[#Headers],[Pattern]])),"Uncategorized"))</f>
        <v/>
      </c>
      <c r="L502">
        <f>IF($C502="","",IFERROR(INDEX(tblCategories[Group],MATCH($K502,tblCategories[Category],0)),"Other"))</f>
        <v/>
      </c>
      <c r="M502">
        <f>IF($C502="","",IFERROR(INDEX(tblCategories[Type],MATCH($K502,tblCategories[Category],0)),IF($J502&gt;0,"Income","Expense")))</f>
        <v/>
      </c>
      <c r="N502">
        <f>IF($C502="","",IFERROR(INDEX(tblCategories[Essential],MATCH($K502,tblCategories[Category],0)),"No"))</f>
        <v/>
      </c>
      <c r="O502">
        <f>IF($C502="","",IFERROR(INDEX(tblCategories[Tax Tag],MATCH($K502,tblCategories[Category],0)),""))</f>
        <v/>
      </c>
      <c r="P502" s="20">
        <f>IF($C502="","",IF($G502=PersonA,1,IF($G502=PersonB,0,IFERROR(INDEX(tblCategories[Joint Split A],MATCH($K502,tblCategories[Category],0)),DefaultSplitA))))</f>
        <v/>
      </c>
      <c r="Q502" s="19">
        <f>IF($C502="","",ROUND($J502*N($P502),2))</f>
        <v/>
      </c>
      <c r="R502" s="19">
        <f>IF($C502="","",ROUND($J502-N($Q502),2))</f>
        <v/>
      </c>
      <c r="X502">
        <f>IF($C502="","",IFERROR(IF(_xlfn.ISFORMULA($K502),"Rule","Manual"),""))</f>
        <v/>
      </c>
      <c r="Y502" s="19">
        <f>IF($C502="","",IF(ReportView=PersonA,N($Q502),IF(ReportView=PersonB,N($R502),$J502)))</f>
        <v/>
      </c>
    </row>
    <row r="503">
      <c r="B503">
        <f>IF($C503="","","T"&amp;TEXT(ROW()-ROW(tblTxn[[#Headers],[Txn ID]]),"000000"))</f>
        <v/>
      </c>
      <c r="C503" s="18" t="n"/>
      <c r="D503">
        <f>IF($C503="","",TEXT($C503,"yyyy-mm"))</f>
        <v/>
      </c>
      <c r="F503">
        <f>IF($C503="","",IFERROR(INDEX(tblAccounts[Owner],MATCH($E503,tblAccounts[Account],0)),"Joint"))</f>
        <v/>
      </c>
      <c r="G503">
        <f>IF($C503="","",IF(HouseholdMode="Couple",IFERROR(IF(INDEX(tblCategories[Default Owner],MATCH($K503,tblCategories[Category],0))="",$F503,INDEX(tblCategories[Default Owner],MATCH($K503,tblCategories[Category],0))),$F503),$F503))</f>
        <v/>
      </c>
      <c r="I503">
        <f>IF($H503="","",$H503)</f>
        <v/>
      </c>
      <c r="J503" s="19" t="n"/>
      <c r="K503">
        <f>IF($H503="","",IFERROR(INDEX(tblRules[Category],SUMPRODUCT(MIN((1-((tblRules[Enabled]&lt;&gt;"No")*(tblRules[Pattern]&lt;&gt;"")*(tblRules[Category]&lt;&gt;"")*((tblRules[Flow]="Any")+(tblRules[Flow]="")+((tblRules[Flow]="Money out")*($J503&lt;0))+((tblRules[Flow]="Money in")*($J503&gt;0)))*(((tblRules[Look In]="Account")*ISNUMBER(SEARCH(tblRules[Pattern],$E503)))+((tblRules[Look In]&lt;&gt;"Account")*(((tblRules[Test]="Word")*ISNUMBER(SEARCH(" "&amp;tblRules[Pattern]&amp;" "," "&amp;$H503&amp;" ")))+((tblRules[Test]&lt;&gt;"Word")*ISNUMBER(SEARCH(tblRules[Pattern],$H503))))))&gt;0))*1E+9+ROW(tblRules[Pattern])))-ROW(tblRules[[#Headers],[Pattern]])),"Uncategorized"))</f>
        <v/>
      </c>
      <c r="L503">
        <f>IF($C503="","",IFERROR(INDEX(tblCategories[Group],MATCH($K503,tblCategories[Category],0)),"Other"))</f>
        <v/>
      </c>
      <c r="M503">
        <f>IF($C503="","",IFERROR(INDEX(tblCategories[Type],MATCH($K503,tblCategories[Category],0)),IF($J503&gt;0,"Income","Expense")))</f>
        <v/>
      </c>
      <c r="N503">
        <f>IF($C503="","",IFERROR(INDEX(tblCategories[Essential],MATCH($K503,tblCategories[Category],0)),"No"))</f>
        <v/>
      </c>
      <c r="O503">
        <f>IF($C503="","",IFERROR(INDEX(tblCategories[Tax Tag],MATCH($K503,tblCategories[Category],0)),""))</f>
        <v/>
      </c>
      <c r="P503" s="20">
        <f>IF($C503="","",IF($G503=PersonA,1,IF($G503=PersonB,0,IFERROR(INDEX(tblCategories[Joint Split A],MATCH($K503,tblCategories[Category],0)),DefaultSplitA))))</f>
        <v/>
      </c>
      <c r="Q503" s="19">
        <f>IF($C503="","",ROUND($J503*N($P503),2))</f>
        <v/>
      </c>
      <c r="R503" s="19">
        <f>IF($C503="","",ROUND($J503-N($Q503),2))</f>
        <v/>
      </c>
      <c r="X503">
        <f>IF($C503="","",IFERROR(IF(_xlfn.ISFORMULA($K503),"Rule","Manual"),""))</f>
        <v/>
      </c>
      <c r="Y503" s="19">
        <f>IF($C503="","",IF(ReportView=PersonA,N($Q503),IF(ReportView=PersonB,N($R503),$J503)))</f>
        <v/>
      </c>
    </row>
    <row r="504">
      <c r="B504">
        <f>IF($C504="","","T"&amp;TEXT(ROW()-ROW(tblTxn[[#Headers],[Txn ID]]),"000000"))</f>
        <v/>
      </c>
      <c r="C504" s="18" t="n"/>
      <c r="D504">
        <f>IF($C504="","",TEXT($C504,"yyyy-mm"))</f>
        <v/>
      </c>
      <c r="F504">
        <f>IF($C504="","",IFERROR(INDEX(tblAccounts[Owner],MATCH($E504,tblAccounts[Account],0)),"Joint"))</f>
        <v/>
      </c>
      <c r="G504">
        <f>IF($C504="","",IF(HouseholdMode="Couple",IFERROR(IF(INDEX(tblCategories[Default Owner],MATCH($K504,tblCategories[Category],0))="",$F504,INDEX(tblCategories[Default Owner],MATCH($K504,tblCategories[Category],0))),$F504),$F504))</f>
        <v/>
      </c>
      <c r="I504">
        <f>IF($H504="","",$H504)</f>
        <v/>
      </c>
      <c r="J504" s="19" t="n"/>
      <c r="K504">
        <f>IF($H504="","",IFERROR(INDEX(tblRules[Category],SUMPRODUCT(MIN((1-((tblRules[Enabled]&lt;&gt;"No")*(tblRules[Pattern]&lt;&gt;"")*(tblRules[Category]&lt;&gt;"")*((tblRules[Flow]="Any")+(tblRules[Flow]="")+((tblRules[Flow]="Money out")*($J504&lt;0))+((tblRules[Flow]="Money in")*($J504&gt;0)))*(((tblRules[Look In]="Account")*ISNUMBER(SEARCH(tblRules[Pattern],$E504)))+((tblRules[Look In]&lt;&gt;"Account")*(((tblRules[Test]="Word")*ISNUMBER(SEARCH(" "&amp;tblRules[Pattern]&amp;" "," "&amp;$H504&amp;" ")))+((tblRules[Test]&lt;&gt;"Word")*ISNUMBER(SEARCH(tblRules[Pattern],$H504))))))&gt;0))*1E+9+ROW(tblRules[Pattern])))-ROW(tblRules[[#Headers],[Pattern]])),"Uncategorized"))</f>
        <v/>
      </c>
      <c r="L504">
        <f>IF($C504="","",IFERROR(INDEX(tblCategories[Group],MATCH($K504,tblCategories[Category],0)),"Other"))</f>
        <v/>
      </c>
      <c r="M504">
        <f>IF($C504="","",IFERROR(INDEX(tblCategories[Type],MATCH($K504,tblCategories[Category],0)),IF($J504&gt;0,"Income","Expense")))</f>
        <v/>
      </c>
      <c r="N504">
        <f>IF($C504="","",IFERROR(INDEX(tblCategories[Essential],MATCH($K504,tblCategories[Category],0)),"No"))</f>
        <v/>
      </c>
      <c r="O504">
        <f>IF($C504="","",IFERROR(INDEX(tblCategories[Tax Tag],MATCH($K504,tblCategories[Category],0)),""))</f>
        <v/>
      </c>
      <c r="P504" s="20">
        <f>IF($C504="","",IF($G504=PersonA,1,IF($G504=PersonB,0,IFERROR(INDEX(tblCategories[Joint Split A],MATCH($K504,tblCategories[Category],0)),DefaultSplitA))))</f>
        <v/>
      </c>
      <c r="Q504" s="19">
        <f>IF($C504="","",ROUND($J504*N($P504),2))</f>
        <v/>
      </c>
      <c r="R504" s="19">
        <f>IF($C504="","",ROUND($J504-N($Q504),2))</f>
        <v/>
      </c>
      <c r="X504">
        <f>IF($C504="","",IFERROR(IF(_xlfn.ISFORMULA($K504),"Rule","Manual"),""))</f>
        <v/>
      </c>
      <c r="Y504" s="19">
        <f>IF($C504="","",IF(ReportView=PersonA,N($Q504),IF(ReportView=PersonB,N($R504),$J504)))</f>
        <v/>
      </c>
    </row>
    <row r="505">
      <c r="B505">
        <f>IF($C505="","","T"&amp;TEXT(ROW()-ROW(tblTxn[[#Headers],[Txn ID]]),"000000"))</f>
        <v/>
      </c>
      <c r="C505" s="18" t="n"/>
      <c r="D505">
        <f>IF($C505="","",TEXT($C505,"yyyy-mm"))</f>
        <v/>
      </c>
      <c r="F505">
        <f>IF($C505="","",IFERROR(INDEX(tblAccounts[Owner],MATCH($E505,tblAccounts[Account],0)),"Joint"))</f>
        <v/>
      </c>
      <c r="G505">
        <f>IF($C505="","",IF(HouseholdMode="Couple",IFERROR(IF(INDEX(tblCategories[Default Owner],MATCH($K505,tblCategories[Category],0))="",$F505,INDEX(tblCategories[Default Owner],MATCH($K505,tblCategories[Category],0))),$F505),$F505))</f>
        <v/>
      </c>
      <c r="I505">
        <f>IF($H505="","",$H505)</f>
        <v/>
      </c>
      <c r="J505" s="19" t="n"/>
      <c r="K505">
        <f>IF($H505="","",IFERROR(INDEX(tblRules[Category],SUMPRODUCT(MIN((1-((tblRules[Enabled]&lt;&gt;"No")*(tblRules[Pattern]&lt;&gt;"")*(tblRules[Category]&lt;&gt;"")*((tblRules[Flow]="Any")+(tblRules[Flow]="")+((tblRules[Flow]="Money out")*($J505&lt;0))+((tblRules[Flow]="Money in")*($J505&gt;0)))*(((tblRules[Look In]="Account")*ISNUMBER(SEARCH(tblRules[Pattern],$E505)))+((tblRules[Look In]&lt;&gt;"Account")*(((tblRules[Test]="Word")*ISNUMBER(SEARCH(" "&amp;tblRules[Pattern]&amp;" "," "&amp;$H505&amp;" ")))+((tblRules[Test]&lt;&gt;"Word")*ISNUMBER(SEARCH(tblRules[Pattern],$H505))))))&gt;0))*1E+9+ROW(tblRules[Pattern])))-ROW(tblRules[[#Headers],[Pattern]])),"Uncategorized"))</f>
        <v/>
      </c>
      <c r="L505">
        <f>IF($C505="","",IFERROR(INDEX(tblCategories[Group],MATCH($K505,tblCategories[Category],0)),"Other"))</f>
        <v/>
      </c>
      <c r="M505">
        <f>IF($C505="","",IFERROR(INDEX(tblCategories[Type],MATCH($K505,tblCategories[Category],0)),IF($J505&gt;0,"Income","Expense")))</f>
        <v/>
      </c>
      <c r="N505">
        <f>IF($C505="","",IFERROR(INDEX(tblCategories[Essential],MATCH($K505,tblCategories[Category],0)),"No"))</f>
        <v/>
      </c>
      <c r="O505">
        <f>IF($C505="","",IFERROR(INDEX(tblCategories[Tax Tag],MATCH($K505,tblCategories[Category],0)),""))</f>
        <v/>
      </c>
      <c r="P505" s="20">
        <f>IF($C505="","",IF($G505=PersonA,1,IF($G505=PersonB,0,IFERROR(INDEX(tblCategories[Joint Split A],MATCH($K505,tblCategories[Category],0)),DefaultSplitA))))</f>
        <v/>
      </c>
      <c r="Q505" s="19">
        <f>IF($C505="","",ROUND($J505*N($P505),2))</f>
        <v/>
      </c>
      <c r="R505" s="19">
        <f>IF($C505="","",ROUND($J505-N($Q505),2))</f>
        <v/>
      </c>
      <c r="X505">
        <f>IF($C505="","",IFERROR(IF(_xlfn.ISFORMULA($K505),"Rule","Manual"),""))</f>
        <v/>
      </c>
      <c r="Y505" s="19">
        <f>IF($C505="","",IF(ReportView=PersonA,N($Q505),IF(ReportView=PersonB,N($R505),$J505)))</f>
        <v/>
      </c>
    </row>
    <row r="506">
      <c r="B506">
        <f>IF($C506="","","T"&amp;TEXT(ROW()-ROW(tblTxn[[#Headers],[Txn ID]]),"000000"))</f>
        <v/>
      </c>
      <c r="C506" s="18" t="n"/>
      <c r="D506">
        <f>IF($C506="","",TEXT($C506,"yyyy-mm"))</f>
        <v/>
      </c>
      <c r="F506">
        <f>IF($C506="","",IFERROR(INDEX(tblAccounts[Owner],MATCH($E506,tblAccounts[Account],0)),"Joint"))</f>
        <v/>
      </c>
      <c r="G506">
        <f>IF($C506="","",IF(HouseholdMode="Couple",IFERROR(IF(INDEX(tblCategories[Default Owner],MATCH($K506,tblCategories[Category],0))="",$F506,INDEX(tblCategories[Default Owner],MATCH($K506,tblCategories[Category],0))),$F506),$F506))</f>
        <v/>
      </c>
      <c r="I506">
        <f>IF($H506="","",$H506)</f>
        <v/>
      </c>
      <c r="J506" s="19" t="n"/>
      <c r="K506">
        <f>IF($H506="","",IFERROR(INDEX(tblRules[Category],SUMPRODUCT(MIN((1-((tblRules[Enabled]&lt;&gt;"No")*(tblRules[Pattern]&lt;&gt;"")*(tblRules[Category]&lt;&gt;"")*((tblRules[Flow]="Any")+(tblRules[Flow]="")+((tblRules[Flow]="Money out")*($J506&lt;0))+((tblRules[Flow]="Money in")*($J506&gt;0)))*(((tblRules[Look In]="Account")*ISNUMBER(SEARCH(tblRules[Pattern],$E506)))+((tblRules[Look In]&lt;&gt;"Account")*(((tblRules[Test]="Word")*ISNUMBER(SEARCH(" "&amp;tblRules[Pattern]&amp;" "," "&amp;$H506&amp;" ")))+((tblRules[Test]&lt;&gt;"Word")*ISNUMBER(SEARCH(tblRules[Pattern],$H506))))))&gt;0))*1E+9+ROW(tblRules[Pattern])))-ROW(tblRules[[#Headers],[Pattern]])),"Uncategorized"))</f>
        <v/>
      </c>
      <c r="L506">
        <f>IF($C506="","",IFERROR(INDEX(tblCategories[Group],MATCH($K506,tblCategories[Category],0)),"Other"))</f>
        <v/>
      </c>
      <c r="M506">
        <f>IF($C506="","",IFERROR(INDEX(tblCategories[Type],MATCH($K506,tblCategories[Category],0)),IF($J506&gt;0,"Income","Expense")))</f>
        <v/>
      </c>
      <c r="N506">
        <f>IF($C506="","",IFERROR(INDEX(tblCategories[Essential],MATCH($K506,tblCategories[Category],0)),"No"))</f>
        <v/>
      </c>
      <c r="O506">
        <f>IF($C506="","",IFERROR(INDEX(tblCategories[Tax Tag],MATCH($K506,tblCategories[Category],0)),""))</f>
        <v/>
      </c>
      <c r="P506" s="20">
        <f>IF($C506="","",IF($G506=PersonA,1,IF($G506=PersonB,0,IFERROR(INDEX(tblCategories[Joint Split A],MATCH($K506,tblCategories[Category],0)),DefaultSplitA))))</f>
        <v/>
      </c>
      <c r="Q506" s="19">
        <f>IF($C506="","",ROUND($J506*N($P506),2))</f>
        <v/>
      </c>
      <c r="R506" s="19">
        <f>IF($C506="","",ROUND($J506-N($Q506),2))</f>
        <v/>
      </c>
      <c r="X506">
        <f>IF($C506="","",IFERROR(IF(_xlfn.ISFORMULA($K506),"Rule","Manual"),""))</f>
        <v/>
      </c>
      <c r="Y506" s="19">
        <f>IF($C506="","",IF(ReportView=PersonA,N($Q506),IF(ReportView=PersonB,N($R506),$J506)))</f>
        <v/>
      </c>
    </row>
    <row r="507">
      <c r="B507">
        <f>IF($C507="","","T"&amp;TEXT(ROW()-ROW(tblTxn[[#Headers],[Txn ID]]),"000000"))</f>
        <v/>
      </c>
      <c r="C507" s="18" t="n"/>
      <c r="D507">
        <f>IF($C507="","",TEXT($C507,"yyyy-mm"))</f>
        <v/>
      </c>
      <c r="F507">
        <f>IF($C507="","",IFERROR(INDEX(tblAccounts[Owner],MATCH($E507,tblAccounts[Account],0)),"Joint"))</f>
        <v/>
      </c>
      <c r="G507">
        <f>IF($C507="","",IF(HouseholdMode="Couple",IFERROR(IF(INDEX(tblCategories[Default Owner],MATCH($K507,tblCategories[Category],0))="",$F507,INDEX(tblCategories[Default Owner],MATCH($K507,tblCategories[Category],0))),$F507),$F507))</f>
        <v/>
      </c>
      <c r="I507">
        <f>IF($H507="","",$H507)</f>
        <v/>
      </c>
      <c r="J507" s="19" t="n"/>
      <c r="K507">
        <f>IF($H507="","",IFERROR(INDEX(tblRules[Category],SUMPRODUCT(MIN((1-((tblRules[Enabled]&lt;&gt;"No")*(tblRules[Pattern]&lt;&gt;"")*(tblRules[Category]&lt;&gt;"")*((tblRules[Flow]="Any")+(tblRules[Flow]="")+((tblRules[Flow]="Money out")*($J507&lt;0))+((tblRules[Flow]="Money in")*($J507&gt;0)))*(((tblRules[Look In]="Account")*ISNUMBER(SEARCH(tblRules[Pattern],$E507)))+((tblRules[Look In]&lt;&gt;"Account")*(((tblRules[Test]="Word")*ISNUMBER(SEARCH(" "&amp;tblRules[Pattern]&amp;" "," "&amp;$H507&amp;" ")))+((tblRules[Test]&lt;&gt;"Word")*ISNUMBER(SEARCH(tblRules[Pattern],$H507))))))&gt;0))*1E+9+ROW(tblRules[Pattern])))-ROW(tblRules[[#Headers],[Pattern]])),"Uncategorized"))</f>
        <v/>
      </c>
      <c r="L507">
        <f>IF($C507="","",IFERROR(INDEX(tblCategories[Group],MATCH($K507,tblCategories[Category],0)),"Other"))</f>
        <v/>
      </c>
      <c r="M507">
        <f>IF($C507="","",IFERROR(INDEX(tblCategories[Type],MATCH($K507,tblCategories[Category],0)),IF($J507&gt;0,"Income","Expense")))</f>
        <v/>
      </c>
      <c r="N507">
        <f>IF($C507="","",IFERROR(INDEX(tblCategories[Essential],MATCH($K507,tblCategories[Category],0)),"No"))</f>
        <v/>
      </c>
      <c r="O507">
        <f>IF($C507="","",IFERROR(INDEX(tblCategories[Tax Tag],MATCH($K507,tblCategories[Category],0)),""))</f>
        <v/>
      </c>
      <c r="P507" s="20">
        <f>IF($C507="","",IF($G507=PersonA,1,IF($G507=PersonB,0,IFERROR(INDEX(tblCategories[Joint Split A],MATCH($K507,tblCategories[Category],0)),DefaultSplitA))))</f>
        <v/>
      </c>
      <c r="Q507" s="19">
        <f>IF($C507="","",ROUND($J507*N($P507),2))</f>
        <v/>
      </c>
      <c r="R507" s="19">
        <f>IF($C507="","",ROUND($J507-N($Q507),2))</f>
        <v/>
      </c>
      <c r="X507">
        <f>IF($C507="","",IFERROR(IF(_xlfn.ISFORMULA($K507),"Rule","Manual"),""))</f>
        <v/>
      </c>
      <c r="Y507" s="19">
        <f>IF($C507="","",IF(ReportView=PersonA,N($Q507),IF(ReportView=PersonB,N($R507),$J507)))</f>
        <v/>
      </c>
    </row>
    <row r="508">
      <c r="B508">
        <f>IF($C508="","","T"&amp;TEXT(ROW()-ROW(tblTxn[[#Headers],[Txn ID]]),"000000"))</f>
        <v/>
      </c>
      <c r="C508" s="18" t="n"/>
      <c r="D508">
        <f>IF($C508="","",TEXT($C508,"yyyy-mm"))</f>
        <v/>
      </c>
      <c r="F508">
        <f>IF($C508="","",IFERROR(INDEX(tblAccounts[Owner],MATCH($E508,tblAccounts[Account],0)),"Joint"))</f>
        <v/>
      </c>
      <c r="G508">
        <f>IF($C508="","",IF(HouseholdMode="Couple",IFERROR(IF(INDEX(tblCategories[Default Owner],MATCH($K508,tblCategories[Category],0))="",$F508,INDEX(tblCategories[Default Owner],MATCH($K508,tblCategories[Category],0))),$F508),$F508))</f>
        <v/>
      </c>
      <c r="I508">
        <f>IF($H508="","",$H508)</f>
        <v/>
      </c>
      <c r="J508" s="19" t="n"/>
      <c r="K508">
        <f>IF($H508="","",IFERROR(INDEX(tblRules[Category],SUMPRODUCT(MIN((1-((tblRules[Enabled]&lt;&gt;"No")*(tblRules[Pattern]&lt;&gt;"")*(tblRules[Category]&lt;&gt;"")*((tblRules[Flow]="Any")+(tblRules[Flow]="")+((tblRules[Flow]="Money out")*($J508&lt;0))+((tblRules[Flow]="Money in")*($J508&gt;0)))*(((tblRules[Look In]="Account")*ISNUMBER(SEARCH(tblRules[Pattern],$E508)))+((tblRules[Look In]&lt;&gt;"Account")*(((tblRules[Test]="Word")*ISNUMBER(SEARCH(" "&amp;tblRules[Pattern]&amp;" "," "&amp;$H508&amp;" ")))+((tblRules[Test]&lt;&gt;"Word")*ISNUMBER(SEARCH(tblRules[Pattern],$H508))))))&gt;0))*1E+9+ROW(tblRules[Pattern])))-ROW(tblRules[[#Headers],[Pattern]])),"Uncategorized"))</f>
        <v/>
      </c>
      <c r="L508">
        <f>IF($C508="","",IFERROR(INDEX(tblCategories[Group],MATCH($K508,tblCategories[Category],0)),"Other"))</f>
        <v/>
      </c>
      <c r="M508">
        <f>IF($C508="","",IFERROR(INDEX(tblCategories[Type],MATCH($K508,tblCategories[Category],0)),IF($J508&gt;0,"Income","Expense")))</f>
        <v/>
      </c>
      <c r="N508">
        <f>IF($C508="","",IFERROR(INDEX(tblCategories[Essential],MATCH($K508,tblCategories[Category],0)),"No"))</f>
        <v/>
      </c>
      <c r="O508">
        <f>IF($C508="","",IFERROR(INDEX(tblCategories[Tax Tag],MATCH($K508,tblCategories[Category],0)),""))</f>
        <v/>
      </c>
      <c r="P508" s="20">
        <f>IF($C508="","",IF($G508=PersonA,1,IF($G508=PersonB,0,IFERROR(INDEX(tblCategories[Joint Split A],MATCH($K508,tblCategories[Category],0)),DefaultSplitA))))</f>
        <v/>
      </c>
      <c r="Q508" s="19">
        <f>IF($C508="","",ROUND($J508*N($P508),2))</f>
        <v/>
      </c>
      <c r="R508" s="19">
        <f>IF($C508="","",ROUND($J508-N($Q508),2))</f>
        <v/>
      </c>
      <c r="X508">
        <f>IF($C508="","",IFERROR(IF(_xlfn.ISFORMULA($K508),"Rule","Manual"),""))</f>
        <v/>
      </c>
      <c r="Y508" s="19">
        <f>IF($C508="","",IF(ReportView=PersonA,N($Q508),IF(ReportView=PersonB,N($R508),$J508)))</f>
        <v/>
      </c>
    </row>
    <row r="509">
      <c r="B509">
        <f>IF($C509="","","T"&amp;TEXT(ROW()-ROW(tblTxn[[#Headers],[Txn ID]]),"000000"))</f>
        <v/>
      </c>
      <c r="C509" s="18" t="n"/>
      <c r="D509">
        <f>IF($C509="","",TEXT($C509,"yyyy-mm"))</f>
        <v/>
      </c>
      <c r="F509">
        <f>IF($C509="","",IFERROR(INDEX(tblAccounts[Owner],MATCH($E509,tblAccounts[Account],0)),"Joint"))</f>
        <v/>
      </c>
      <c r="G509">
        <f>IF($C509="","",IF(HouseholdMode="Couple",IFERROR(IF(INDEX(tblCategories[Default Owner],MATCH($K509,tblCategories[Category],0))="",$F509,INDEX(tblCategories[Default Owner],MATCH($K509,tblCategories[Category],0))),$F509),$F509))</f>
        <v/>
      </c>
      <c r="I509">
        <f>IF($H509="","",$H509)</f>
        <v/>
      </c>
      <c r="J509" s="19" t="n"/>
      <c r="K509">
        <f>IF($H509="","",IFERROR(INDEX(tblRules[Category],SUMPRODUCT(MIN((1-((tblRules[Enabled]&lt;&gt;"No")*(tblRules[Pattern]&lt;&gt;"")*(tblRules[Category]&lt;&gt;"")*((tblRules[Flow]="Any")+(tblRules[Flow]="")+((tblRules[Flow]="Money out")*($J509&lt;0))+((tblRules[Flow]="Money in")*($J509&gt;0)))*(((tblRules[Look In]="Account")*ISNUMBER(SEARCH(tblRules[Pattern],$E509)))+((tblRules[Look In]&lt;&gt;"Account")*(((tblRules[Test]="Word")*ISNUMBER(SEARCH(" "&amp;tblRules[Pattern]&amp;" "," "&amp;$H509&amp;" ")))+((tblRules[Test]&lt;&gt;"Word")*ISNUMBER(SEARCH(tblRules[Pattern],$H509))))))&gt;0))*1E+9+ROW(tblRules[Pattern])))-ROW(tblRules[[#Headers],[Pattern]])),"Uncategorized"))</f>
        <v/>
      </c>
      <c r="L509">
        <f>IF($C509="","",IFERROR(INDEX(tblCategories[Group],MATCH($K509,tblCategories[Category],0)),"Other"))</f>
        <v/>
      </c>
      <c r="M509">
        <f>IF($C509="","",IFERROR(INDEX(tblCategories[Type],MATCH($K509,tblCategories[Category],0)),IF($J509&gt;0,"Income","Expense")))</f>
        <v/>
      </c>
      <c r="N509">
        <f>IF($C509="","",IFERROR(INDEX(tblCategories[Essential],MATCH($K509,tblCategories[Category],0)),"No"))</f>
        <v/>
      </c>
      <c r="O509">
        <f>IF($C509="","",IFERROR(INDEX(tblCategories[Tax Tag],MATCH($K509,tblCategories[Category],0)),""))</f>
        <v/>
      </c>
      <c r="P509" s="20">
        <f>IF($C509="","",IF($G509=PersonA,1,IF($G509=PersonB,0,IFERROR(INDEX(tblCategories[Joint Split A],MATCH($K509,tblCategories[Category],0)),DefaultSplitA))))</f>
        <v/>
      </c>
      <c r="Q509" s="19">
        <f>IF($C509="","",ROUND($J509*N($P509),2))</f>
        <v/>
      </c>
      <c r="R509" s="19">
        <f>IF($C509="","",ROUND($J509-N($Q509),2))</f>
        <v/>
      </c>
      <c r="X509">
        <f>IF($C509="","",IFERROR(IF(_xlfn.ISFORMULA($K509),"Rule","Manual"),""))</f>
        <v/>
      </c>
      <c r="Y509" s="19">
        <f>IF($C509="","",IF(ReportView=PersonA,N($Q509),IF(ReportView=PersonB,N($R509),$J509)))</f>
        <v/>
      </c>
    </row>
    <row r="510">
      <c r="B510">
        <f>IF($C510="","","T"&amp;TEXT(ROW()-ROW(tblTxn[[#Headers],[Txn ID]]),"000000"))</f>
        <v/>
      </c>
      <c r="C510" s="18" t="n"/>
      <c r="D510">
        <f>IF($C510="","",TEXT($C510,"yyyy-mm"))</f>
        <v/>
      </c>
      <c r="F510">
        <f>IF($C510="","",IFERROR(INDEX(tblAccounts[Owner],MATCH($E510,tblAccounts[Account],0)),"Joint"))</f>
        <v/>
      </c>
      <c r="G510">
        <f>IF($C510="","",IF(HouseholdMode="Couple",IFERROR(IF(INDEX(tblCategories[Default Owner],MATCH($K510,tblCategories[Category],0))="",$F510,INDEX(tblCategories[Default Owner],MATCH($K510,tblCategories[Category],0))),$F510),$F510))</f>
        <v/>
      </c>
      <c r="I510">
        <f>IF($H510="","",$H510)</f>
        <v/>
      </c>
      <c r="J510" s="19" t="n"/>
      <c r="K510">
        <f>IF($H510="","",IFERROR(INDEX(tblRules[Category],SUMPRODUCT(MIN((1-((tblRules[Enabled]&lt;&gt;"No")*(tblRules[Pattern]&lt;&gt;"")*(tblRules[Category]&lt;&gt;"")*((tblRules[Flow]="Any")+(tblRules[Flow]="")+((tblRules[Flow]="Money out")*($J510&lt;0))+((tblRules[Flow]="Money in")*($J510&gt;0)))*(((tblRules[Look In]="Account")*ISNUMBER(SEARCH(tblRules[Pattern],$E510)))+((tblRules[Look In]&lt;&gt;"Account")*(((tblRules[Test]="Word")*ISNUMBER(SEARCH(" "&amp;tblRules[Pattern]&amp;" "," "&amp;$H510&amp;" ")))+((tblRules[Test]&lt;&gt;"Word")*ISNUMBER(SEARCH(tblRules[Pattern],$H510))))))&gt;0))*1E+9+ROW(tblRules[Pattern])))-ROW(tblRules[[#Headers],[Pattern]])),"Uncategorized"))</f>
        <v/>
      </c>
      <c r="L510">
        <f>IF($C510="","",IFERROR(INDEX(tblCategories[Group],MATCH($K510,tblCategories[Category],0)),"Other"))</f>
        <v/>
      </c>
      <c r="M510">
        <f>IF($C510="","",IFERROR(INDEX(tblCategories[Type],MATCH($K510,tblCategories[Category],0)),IF($J510&gt;0,"Income","Expense")))</f>
        <v/>
      </c>
      <c r="N510">
        <f>IF($C510="","",IFERROR(INDEX(tblCategories[Essential],MATCH($K510,tblCategories[Category],0)),"No"))</f>
        <v/>
      </c>
      <c r="O510">
        <f>IF($C510="","",IFERROR(INDEX(tblCategories[Tax Tag],MATCH($K510,tblCategories[Category],0)),""))</f>
        <v/>
      </c>
      <c r="P510" s="20">
        <f>IF($C510="","",IF($G510=PersonA,1,IF($G510=PersonB,0,IFERROR(INDEX(tblCategories[Joint Split A],MATCH($K510,tblCategories[Category],0)),DefaultSplitA))))</f>
        <v/>
      </c>
      <c r="Q510" s="19">
        <f>IF($C510="","",ROUND($J510*N($P510),2))</f>
        <v/>
      </c>
      <c r="R510" s="19">
        <f>IF($C510="","",ROUND($J510-N($Q510),2))</f>
        <v/>
      </c>
      <c r="X510">
        <f>IF($C510="","",IFERROR(IF(_xlfn.ISFORMULA($K510),"Rule","Manual"),""))</f>
        <v/>
      </c>
      <c r="Y510" s="19">
        <f>IF($C510="","",IF(ReportView=PersonA,N($Q510),IF(ReportView=PersonB,N($R510),$J510)))</f>
        <v/>
      </c>
    </row>
    <row r="511">
      <c r="B511">
        <f>IF($C511="","","T"&amp;TEXT(ROW()-ROW(tblTxn[[#Headers],[Txn ID]]),"000000"))</f>
        <v/>
      </c>
      <c r="C511" s="18" t="n"/>
      <c r="D511">
        <f>IF($C511="","",TEXT($C511,"yyyy-mm"))</f>
        <v/>
      </c>
      <c r="F511">
        <f>IF($C511="","",IFERROR(INDEX(tblAccounts[Owner],MATCH($E511,tblAccounts[Account],0)),"Joint"))</f>
        <v/>
      </c>
      <c r="G511">
        <f>IF($C511="","",IF(HouseholdMode="Couple",IFERROR(IF(INDEX(tblCategories[Default Owner],MATCH($K511,tblCategories[Category],0))="",$F511,INDEX(tblCategories[Default Owner],MATCH($K511,tblCategories[Category],0))),$F511),$F511))</f>
        <v/>
      </c>
      <c r="I511">
        <f>IF($H511="","",$H511)</f>
        <v/>
      </c>
      <c r="J511" s="19" t="n"/>
      <c r="K511">
        <f>IF($H511="","",IFERROR(INDEX(tblRules[Category],SUMPRODUCT(MIN((1-((tblRules[Enabled]&lt;&gt;"No")*(tblRules[Pattern]&lt;&gt;"")*(tblRules[Category]&lt;&gt;"")*((tblRules[Flow]="Any")+(tblRules[Flow]="")+((tblRules[Flow]="Money out")*($J511&lt;0))+((tblRules[Flow]="Money in")*($J511&gt;0)))*(((tblRules[Look In]="Account")*ISNUMBER(SEARCH(tblRules[Pattern],$E511)))+((tblRules[Look In]&lt;&gt;"Account")*(((tblRules[Test]="Word")*ISNUMBER(SEARCH(" "&amp;tblRules[Pattern]&amp;" "," "&amp;$H511&amp;" ")))+((tblRules[Test]&lt;&gt;"Word")*ISNUMBER(SEARCH(tblRules[Pattern],$H511))))))&gt;0))*1E+9+ROW(tblRules[Pattern])))-ROW(tblRules[[#Headers],[Pattern]])),"Uncategorized"))</f>
        <v/>
      </c>
      <c r="L511">
        <f>IF($C511="","",IFERROR(INDEX(tblCategories[Group],MATCH($K511,tblCategories[Category],0)),"Other"))</f>
        <v/>
      </c>
      <c r="M511">
        <f>IF($C511="","",IFERROR(INDEX(tblCategories[Type],MATCH($K511,tblCategories[Category],0)),IF($J511&gt;0,"Income","Expense")))</f>
        <v/>
      </c>
      <c r="N511">
        <f>IF($C511="","",IFERROR(INDEX(tblCategories[Essential],MATCH($K511,tblCategories[Category],0)),"No"))</f>
        <v/>
      </c>
      <c r="O511">
        <f>IF($C511="","",IFERROR(INDEX(tblCategories[Tax Tag],MATCH($K511,tblCategories[Category],0)),""))</f>
        <v/>
      </c>
      <c r="P511" s="20">
        <f>IF($C511="","",IF($G511=PersonA,1,IF($G511=PersonB,0,IFERROR(INDEX(tblCategories[Joint Split A],MATCH($K511,tblCategories[Category],0)),DefaultSplitA))))</f>
        <v/>
      </c>
      <c r="Q511" s="19">
        <f>IF($C511="","",ROUND($J511*N($P511),2))</f>
        <v/>
      </c>
      <c r="R511" s="19">
        <f>IF($C511="","",ROUND($J511-N($Q511),2))</f>
        <v/>
      </c>
      <c r="X511">
        <f>IF($C511="","",IFERROR(IF(_xlfn.ISFORMULA($K511),"Rule","Manual"),""))</f>
        <v/>
      </c>
      <c r="Y511" s="19">
        <f>IF($C511="","",IF(ReportView=PersonA,N($Q511),IF(ReportView=PersonB,N($R511),$J511)))</f>
        <v/>
      </c>
    </row>
    <row r="512">
      <c r="B512">
        <f>IF($C512="","","T"&amp;TEXT(ROW()-ROW(tblTxn[[#Headers],[Txn ID]]),"000000"))</f>
        <v/>
      </c>
      <c r="C512" s="18" t="n"/>
      <c r="D512">
        <f>IF($C512="","",TEXT($C512,"yyyy-mm"))</f>
        <v/>
      </c>
      <c r="F512">
        <f>IF($C512="","",IFERROR(INDEX(tblAccounts[Owner],MATCH($E512,tblAccounts[Account],0)),"Joint"))</f>
        <v/>
      </c>
      <c r="G512">
        <f>IF($C512="","",IF(HouseholdMode="Couple",IFERROR(IF(INDEX(tblCategories[Default Owner],MATCH($K512,tblCategories[Category],0))="",$F512,INDEX(tblCategories[Default Owner],MATCH($K512,tblCategories[Category],0))),$F512),$F512))</f>
        <v/>
      </c>
      <c r="I512">
        <f>IF($H512="","",$H512)</f>
        <v/>
      </c>
      <c r="J512" s="19" t="n"/>
      <c r="K512">
        <f>IF($H512="","",IFERROR(INDEX(tblRules[Category],SUMPRODUCT(MIN((1-((tblRules[Enabled]&lt;&gt;"No")*(tblRules[Pattern]&lt;&gt;"")*(tblRules[Category]&lt;&gt;"")*((tblRules[Flow]="Any")+(tblRules[Flow]="")+((tblRules[Flow]="Money out")*($J512&lt;0))+((tblRules[Flow]="Money in")*($J512&gt;0)))*(((tblRules[Look In]="Account")*ISNUMBER(SEARCH(tblRules[Pattern],$E512)))+((tblRules[Look In]&lt;&gt;"Account")*(((tblRules[Test]="Word")*ISNUMBER(SEARCH(" "&amp;tblRules[Pattern]&amp;" "," "&amp;$H512&amp;" ")))+((tblRules[Test]&lt;&gt;"Word")*ISNUMBER(SEARCH(tblRules[Pattern],$H512))))))&gt;0))*1E+9+ROW(tblRules[Pattern])))-ROW(tblRules[[#Headers],[Pattern]])),"Uncategorized"))</f>
        <v/>
      </c>
      <c r="L512">
        <f>IF($C512="","",IFERROR(INDEX(tblCategories[Group],MATCH($K512,tblCategories[Category],0)),"Other"))</f>
        <v/>
      </c>
      <c r="M512">
        <f>IF($C512="","",IFERROR(INDEX(tblCategories[Type],MATCH($K512,tblCategories[Category],0)),IF($J512&gt;0,"Income","Expense")))</f>
        <v/>
      </c>
      <c r="N512">
        <f>IF($C512="","",IFERROR(INDEX(tblCategories[Essential],MATCH($K512,tblCategories[Category],0)),"No"))</f>
        <v/>
      </c>
      <c r="O512">
        <f>IF($C512="","",IFERROR(INDEX(tblCategories[Tax Tag],MATCH($K512,tblCategories[Category],0)),""))</f>
        <v/>
      </c>
      <c r="P512" s="20">
        <f>IF($C512="","",IF($G512=PersonA,1,IF($G512=PersonB,0,IFERROR(INDEX(tblCategories[Joint Split A],MATCH($K512,tblCategories[Category],0)),DefaultSplitA))))</f>
        <v/>
      </c>
      <c r="Q512" s="19">
        <f>IF($C512="","",ROUND($J512*N($P512),2))</f>
        <v/>
      </c>
      <c r="R512" s="19">
        <f>IF($C512="","",ROUND($J512-N($Q512),2))</f>
        <v/>
      </c>
      <c r="X512">
        <f>IF($C512="","",IFERROR(IF(_xlfn.ISFORMULA($K512),"Rule","Manual"),""))</f>
        <v/>
      </c>
      <c r="Y512" s="19">
        <f>IF($C512="","",IF(ReportView=PersonA,N($Q512),IF(ReportView=PersonB,N($R512),$J512)))</f>
        <v/>
      </c>
    </row>
    <row r="513">
      <c r="B513">
        <f>IF($C513="","","T"&amp;TEXT(ROW()-ROW(tblTxn[[#Headers],[Txn ID]]),"000000"))</f>
        <v/>
      </c>
      <c r="C513" s="18" t="n"/>
      <c r="D513">
        <f>IF($C513="","",TEXT($C513,"yyyy-mm"))</f>
        <v/>
      </c>
      <c r="F513">
        <f>IF($C513="","",IFERROR(INDEX(tblAccounts[Owner],MATCH($E513,tblAccounts[Account],0)),"Joint"))</f>
        <v/>
      </c>
      <c r="G513">
        <f>IF($C513="","",IF(HouseholdMode="Couple",IFERROR(IF(INDEX(tblCategories[Default Owner],MATCH($K513,tblCategories[Category],0))="",$F513,INDEX(tblCategories[Default Owner],MATCH($K513,tblCategories[Category],0))),$F513),$F513))</f>
        <v/>
      </c>
      <c r="I513">
        <f>IF($H513="","",$H513)</f>
        <v/>
      </c>
      <c r="J513" s="19" t="n"/>
      <c r="K513">
        <f>IF($H513="","",IFERROR(INDEX(tblRules[Category],SUMPRODUCT(MIN((1-((tblRules[Enabled]&lt;&gt;"No")*(tblRules[Pattern]&lt;&gt;"")*(tblRules[Category]&lt;&gt;"")*((tblRules[Flow]="Any")+(tblRules[Flow]="")+((tblRules[Flow]="Money out")*($J513&lt;0))+((tblRules[Flow]="Money in")*($J513&gt;0)))*(((tblRules[Look In]="Account")*ISNUMBER(SEARCH(tblRules[Pattern],$E513)))+((tblRules[Look In]&lt;&gt;"Account")*(((tblRules[Test]="Word")*ISNUMBER(SEARCH(" "&amp;tblRules[Pattern]&amp;" "," "&amp;$H513&amp;" ")))+((tblRules[Test]&lt;&gt;"Word")*ISNUMBER(SEARCH(tblRules[Pattern],$H513))))))&gt;0))*1E+9+ROW(tblRules[Pattern])))-ROW(tblRules[[#Headers],[Pattern]])),"Uncategorized"))</f>
        <v/>
      </c>
      <c r="L513">
        <f>IF($C513="","",IFERROR(INDEX(tblCategories[Group],MATCH($K513,tblCategories[Category],0)),"Other"))</f>
        <v/>
      </c>
      <c r="M513">
        <f>IF($C513="","",IFERROR(INDEX(tblCategories[Type],MATCH($K513,tblCategories[Category],0)),IF($J513&gt;0,"Income","Expense")))</f>
        <v/>
      </c>
      <c r="N513">
        <f>IF($C513="","",IFERROR(INDEX(tblCategories[Essential],MATCH($K513,tblCategories[Category],0)),"No"))</f>
        <v/>
      </c>
      <c r="O513">
        <f>IF($C513="","",IFERROR(INDEX(tblCategories[Tax Tag],MATCH($K513,tblCategories[Category],0)),""))</f>
        <v/>
      </c>
      <c r="P513" s="20">
        <f>IF($C513="","",IF($G513=PersonA,1,IF($G513=PersonB,0,IFERROR(INDEX(tblCategories[Joint Split A],MATCH($K513,tblCategories[Category],0)),DefaultSplitA))))</f>
        <v/>
      </c>
      <c r="Q513" s="19">
        <f>IF($C513="","",ROUND($J513*N($P513),2))</f>
        <v/>
      </c>
      <c r="R513" s="19">
        <f>IF($C513="","",ROUND($J513-N($Q513),2))</f>
        <v/>
      </c>
      <c r="X513">
        <f>IF($C513="","",IFERROR(IF(_xlfn.ISFORMULA($K513),"Rule","Manual"),""))</f>
        <v/>
      </c>
      <c r="Y513" s="19">
        <f>IF($C513="","",IF(ReportView=PersonA,N($Q513),IF(ReportView=PersonB,N($R513),$J513)))</f>
        <v/>
      </c>
    </row>
    <row r="514">
      <c r="B514">
        <f>IF($C514="","","T"&amp;TEXT(ROW()-ROW(tblTxn[[#Headers],[Txn ID]]),"000000"))</f>
        <v/>
      </c>
      <c r="C514" s="18" t="n"/>
      <c r="D514">
        <f>IF($C514="","",TEXT($C514,"yyyy-mm"))</f>
        <v/>
      </c>
      <c r="F514">
        <f>IF($C514="","",IFERROR(INDEX(tblAccounts[Owner],MATCH($E514,tblAccounts[Account],0)),"Joint"))</f>
        <v/>
      </c>
      <c r="G514">
        <f>IF($C514="","",IF(HouseholdMode="Couple",IFERROR(IF(INDEX(tblCategories[Default Owner],MATCH($K514,tblCategories[Category],0))="",$F514,INDEX(tblCategories[Default Owner],MATCH($K514,tblCategories[Category],0))),$F514),$F514))</f>
        <v/>
      </c>
      <c r="I514">
        <f>IF($H514="","",$H514)</f>
        <v/>
      </c>
      <c r="J514" s="19" t="n"/>
      <c r="K514">
        <f>IF($H514="","",IFERROR(INDEX(tblRules[Category],SUMPRODUCT(MIN((1-((tblRules[Enabled]&lt;&gt;"No")*(tblRules[Pattern]&lt;&gt;"")*(tblRules[Category]&lt;&gt;"")*((tblRules[Flow]="Any")+(tblRules[Flow]="")+((tblRules[Flow]="Money out")*($J514&lt;0))+((tblRules[Flow]="Money in")*($J514&gt;0)))*(((tblRules[Look In]="Account")*ISNUMBER(SEARCH(tblRules[Pattern],$E514)))+((tblRules[Look In]&lt;&gt;"Account")*(((tblRules[Test]="Word")*ISNUMBER(SEARCH(" "&amp;tblRules[Pattern]&amp;" "," "&amp;$H514&amp;" ")))+((tblRules[Test]&lt;&gt;"Word")*ISNUMBER(SEARCH(tblRules[Pattern],$H514))))))&gt;0))*1E+9+ROW(tblRules[Pattern])))-ROW(tblRules[[#Headers],[Pattern]])),"Uncategorized"))</f>
        <v/>
      </c>
      <c r="L514">
        <f>IF($C514="","",IFERROR(INDEX(tblCategories[Group],MATCH($K514,tblCategories[Category],0)),"Other"))</f>
        <v/>
      </c>
      <c r="M514">
        <f>IF($C514="","",IFERROR(INDEX(tblCategories[Type],MATCH($K514,tblCategories[Category],0)),IF($J514&gt;0,"Income","Expense")))</f>
        <v/>
      </c>
      <c r="N514">
        <f>IF($C514="","",IFERROR(INDEX(tblCategories[Essential],MATCH($K514,tblCategories[Category],0)),"No"))</f>
        <v/>
      </c>
      <c r="O514">
        <f>IF($C514="","",IFERROR(INDEX(tblCategories[Tax Tag],MATCH($K514,tblCategories[Category],0)),""))</f>
        <v/>
      </c>
      <c r="P514" s="20">
        <f>IF($C514="","",IF($G514=PersonA,1,IF($G514=PersonB,0,IFERROR(INDEX(tblCategories[Joint Split A],MATCH($K514,tblCategories[Category],0)),DefaultSplitA))))</f>
        <v/>
      </c>
      <c r="Q514" s="19">
        <f>IF($C514="","",ROUND($J514*N($P514),2))</f>
        <v/>
      </c>
      <c r="R514" s="19">
        <f>IF($C514="","",ROUND($J514-N($Q514),2))</f>
        <v/>
      </c>
      <c r="X514">
        <f>IF($C514="","",IFERROR(IF(_xlfn.ISFORMULA($K514),"Rule","Manual"),""))</f>
        <v/>
      </c>
      <c r="Y514" s="19">
        <f>IF($C514="","",IF(ReportView=PersonA,N($Q514),IF(ReportView=PersonB,N($R514),$J514)))</f>
        <v/>
      </c>
    </row>
    <row r="515">
      <c r="B515">
        <f>IF($C515="","","T"&amp;TEXT(ROW()-ROW(tblTxn[[#Headers],[Txn ID]]),"000000"))</f>
        <v/>
      </c>
      <c r="C515" s="18" t="n"/>
      <c r="D515">
        <f>IF($C515="","",TEXT($C515,"yyyy-mm"))</f>
        <v/>
      </c>
      <c r="F515">
        <f>IF($C515="","",IFERROR(INDEX(tblAccounts[Owner],MATCH($E515,tblAccounts[Account],0)),"Joint"))</f>
        <v/>
      </c>
      <c r="G515">
        <f>IF($C515="","",IF(HouseholdMode="Couple",IFERROR(IF(INDEX(tblCategories[Default Owner],MATCH($K515,tblCategories[Category],0))="",$F515,INDEX(tblCategories[Default Owner],MATCH($K515,tblCategories[Category],0))),$F515),$F515))</f>
        <v/>
      </c>
      <c r="I515">
        <f>IF($H515="","",$H515)</f>
        <v/>
      </c>
      <c r="J515" s="19" t="n"/>
      <c r="K515">
        <f>IF($H515="","",IFERROR(INDEX(tblRules[Category],SUMPRODUCT(MIN((1-((tblRules[Enabled]&lt;&gt;"No")*(tblRules[Pattern]&lt;&gt;"")*(tblRules[Category]&lt;&gt;"")*((tblRules[Flow]="Any")+(tblRules[Flow]="")+((tblRules[Flow]="Money out")*($J515&lt;0))+((tblRules[Flow]="Money in")*($J515&gt;0)))*(((tblRules[Look In]="Account")*ISNUMBER(SEARCH(tblRules[Pattern],$E515)))+((tblRules[Look In]&lt;&gt;"Account")*(((tblRules[Test]="Word")*ISNUMBER(SEARCH(" "&amp;tblRules[Pattern]&amp;" "," "&amp;$H515&amp;" ")))+((tblRules[Test]&lt;&gt;"Word")*ISNUMBER(SEARCH(tblRules[Pattern],$H515))))))&gt;0))*1E+9+ROW(tblRules[Pattern])))-ROW(tblRules[[#Headers],[Pattern]])),"Uncategorized"))</f>
        <v/>
      </c>
      <c r="L515">
        <f>IF($C515="","",IFERROR(INDEX(tblCategories[Group],MATCH($K515,tblCategories[Category],0)),"Other"))</f>
        <v/>
      </c>
      <c r="M515">
        <f>IF($C515="","",IFERROR(INDEX(tblCategories[Type],MATCH($K515,tblCategories[Category],0)),IF($J515&gt;0,"Income","Expense")))</f>
        <v/>
      </c>
      <c r="N515">
        <f>IF($C515="","",IFERROR(INDEX(tblCategories[Essential],MATCH($K515,tblCategories[Category],0)),"No"))</f>
        <v/>
      </c>
      <c r="O515">
        <f>IF($C515="","",IFERROR(INDEX(tblCategories[Tax Tag],MATCH($K515,tblCategories[Category],0)),""))</f>
        <v/>
      </c>
      <c r="P515" s="20">
        <f>IF($C515="","",IF($G515=PersonA,1,IF($G515=PersonB,0,IFERROR(INDEX(tblCategories[Joint Split A],MATCH($K515,tblCategories[Category],0)),DefaultSplitA))))</f>
        <v/>
      </c>
      <c r="Q515" s="19">
        <f>IF($C515="","",ROUND($J515*N($P515),2))</f>
        <v/>
      </c>
      <c r="R515" s="19">
        <f>IF($C515="","",ROUND($J515-N($Q515),2))</f>
        <v/>
      </c>
      <c r="X515">
        <f>IF($C515="","",IFERROR(IF(_xlfn.ISFORMULA($K515),"Rule","Manual"),""))</f>
        <v/>
      </c>
      <c r="Y515" s="19">
        <f>IF($C515="","",IF(ReportView=PersonA,N($Q515),IF(ReportView=PersonB,N($R515),$J515)))</f>
        <v/>
      </c>
    </row>
    <row r="516">
      <c r="B516">
        <f>IF($C516="","","T"&amp;TEXT(ROW()-ROW(tblTxn[[#Headers],[Txn ID]]),"000000"))</f>
        <v/>
      </c>
      <c r="C516" s="18" t="n"/>
      <c r="D516">
        <f>IF($C516="","",TEXT($C516,"yyyy-mm"))</f>
        <v/>
      </c>
      <c r="F516">
        <f>IF($C516="","",IFERROR(INDEX(tblAccounts[Owner],MATCH($E516,tblAccounts[Account],0)),"Joint"))</f>
        <v/>
      </c>
      <c r="G516">
        <f>IF($C516="","",IF(HouseholdMode="Couple",IFERROR(IF(INDEX(tblCategories[Default Owner],MATCH($K516,tblCategories[Category],0))="",$F516,INDEX(tblCategories[Default Owner],MATCH($K516,tblCategories[Category],0))),$F516),$F516))</f>
        <v/>
      </c>
      <c r="I516">
        <f>IF($H516="","",$H516)</f>
        <v/>
      </c>
      <c r="J516" s="19" t="n"/>
      <c r="K516">
        <f>IF($H516="","",IFERROR(INDEX(tblRules[Category],SUMPRODUCT(MIN((1-((tblRules[Enabled]&lt;&gt;"No")*(tblRules[Pattern]&lt;&gt;"")*(tblRules[Category]&lt;&gt;"")*((tblRules[Flow]="Any")+(tblRules[Flow]="")+((tblRules[Flow]="Money out")*($J516&lt;0))+((tblRules[Flow]="Money in")*($J516&gt;0)))*(((tblRules[Look In]="Account")*ISNUMBER(SEARCH(tblRules[Pattern],$E516)))+((tblRules[Look In]&lt;&gt;"Account")*(((tblRules[Test]="Word")*ISNUMBER(SEARCH(" "&amp;tblRules[Pattern]&amp;" "," "&amp;$H516&amp;" ")))+((tblRules[Test]&lt;&gt;"Word")*ISNUMBER(SEARCH(tblRules[Pattern],$H516))))))&gt;0))*1E+9+ROW(tblRules[Pattern])))-ROW(tblRules[[#Headers],[Pattern]])),"Uncategorized"))</f>
        <v/>
      </c>
      <c r="L516">
        <f>IF($C516="","",IFERROR(INDEX(tblCategories[Group],MATCH($K516,tblCategories[Category],0)),"Other"))</f>
        <v/>
      </c>
      <c r="M516">
        <f>IF($C516="","",IFERROR(INDEX(tblCategories[Type],MATCH($K516,tblCategories[Category],0)),IF($J516&gt;0,"Income","Expense")))</f>
        <v/>
      </c>
      <c r="N516">
        <f>IF($C516="","",IFERROR(INDEX(tblCategories[Essential],MATCH($K516,tblCategories[Category],0)),"No"))</f>
        <v/>
      </c>
      <c r="O516">
        <f>IF($C516="","",IFERROR(INDEX(tblCategories[Tax Tag],MATCH($K516,tblCategories[Category],0)),""))</f>
        <v/>
      </c>
      <c r="P516" s="20">
        <f>IF($C516="","",IF($G516=PersonA,1,IF($G516=PersonB,0,IFERROR(INDEX(tblCategories[Joint Split A],MATCH($K516,tblCategories[Category],0)),DefaultSplitA))))</f>
        <v/>
      </c>
      <c r="Q516" s="19">
        <f>IF($C516="","",ROUND($J516*N($P516),2))</f>
        <v/>
      </c>
      <c r="R516" s="19">
        <f>IF($C516="","",ROUND($J516-N($Q516),2))</f>
        <v/>
      </c>
      <c r="X516">
        <f>IF($C516="","",IFERROR(IF(_xlfn.ISFORMULA($K516),"Rule","Manual"),""))</f>
        <v/>
      </c>
      <c r="Y516" s="19">
        <f>IF($C516="","",IF(ReportView=PersonA,N($Q516),IF(ReportView=PersonB,N($R516),$J516)))</f>
        <v/>
      </c>
    </row>
    <row r="517">
      <c r="B517">
        <f>IF($C517="","","T"&amp;TEXT(ROW()-ROW(tblTxn[[#Headers],[Txn ID]]),"000000"))</f>
        <v/>
      </c>
      <c r="C517" s="18" t="n"/>
      <c r="D517">
        <f>IF($C517="","",TEXT($C517,"yyyy-mm"))</f>
        <v/>
      </c>
      <c r="F517">
        <f>IF($C517="","",IFERROR(INDEX(tblAccounts[Owner],MATCH($E517,tblAccounts[Account],0)),"Joint"))</f>
        <v/>
      </c>
      <c r="G517">
        <f>IF($C517="","",IF(HouseholdMode="Couple",IFERROR(IF(INDEX(tblCategories[Default Owner],MATCH($K517,tblCategories[Category],0))="",$F517,INDEX(tblCategories[Default Owner],MATCH($K517,tblCategories[Category],0))),$F517),$F517))</f>
        <v/>
      </c>
      <c r="I517">
        <f>IF($H517="","",$H517)</f>
        <v/>
      </c>
      <c r="J517" s="19" t="n"/>
      <c r="K517">
        <f>IF($H517="","",IFERROR(INDEX(tblRules[Category],SUMPRODUCT(MIN((1-((tblRules[Enabled]&lt;&gt;"No")*(tblRules[Pattern]&lt;&gt;"")*(tblRules[Category]&lt;&gt;"")*((tblRules[Flow]="Any")+(tblRules[Flow]="")+((tblRules[Flow]="Money out")*($J517&lt;0))+((tblRules[Flow]="Money in")*($J517&gt;0)))*(((tblRules[Look In]="Account")*ISNUMBER(SEARCH(tblRules[Pattern],$E517)))+((tblRules[Look In]&lt;&gt;"Account")*(((tblRules[Test]="Word")*ISNUMBER(SEARCH(" "&amp;tblRules[Pattern]&amp;" "," "&amp;$H517&amp;" ")))+((tblRules[Test]&lt;&gt;"Word")*ISNUMBER(SEARCH(tblRules[Pattern],$H517))))))&gt;0))*1E+9+ROW(tblRules[Pattern])))-ROW(tblRules[[#Headers],[Pattern]])),"Uncategorized"))</f>
        <v/>
      </c>
      <c r="L517">
        <f>IF($C517="","",IFERROR(INDEX(tblCategories[Group],MATCH($K517,tblCategories[Category],0)),"Other"))</f>
        <v/>
      </c>
      <c r="M517">
        <f>IF($C517="","",IFERROR(INDEX(tblCategories[Type],MATCH($K517,tblCategories[Category],0)),IF($J517&gt;0,"Income","Expense")))</f>
        <v/>
      </c>
      <c r="N517">
        <f>IF($C517="","",IFERROR(INDEX(tblCategories[Essential],MATCH($K517,tblCategories[Category],0)),"No"))</f>
        <v/>
      </c>
      <c r="O517">
        <f>IF($C517="","",IFERROR(INDEX(tblCategories[Tax Tag],MATCH($K517,tblCategories[Category],0)),""))</f>
        <v/>
      </c>
      <c r="P517" s="20">
        <f>IF($C517="","",IF($G517=PersonA,1,IF($G517=PersonB,0,IFERROR(INDEX(tblCategories[Joint Split A],MATCH($K517,tblCategories[Category],0)),DefaultSplitA))))</f>
        <v/>
      </c>
      <c r="Q517" s="19">
        <f>IF($C517="","",ROUND($J517*N($P517),2))</f>
        <v/>
      </c>
      <c r="R517" s="19">
        <f>IF($C517="","",ROUND($J517-N($Q517),2))</f>
        <v/>
      </c>
      <c r="X517">
        <f>IF($C517="","",IFERROR(IF(_xlfn.ISFORMULA($K517),"Rule","Manual"),""))</f>
        <v/>
      </c>
      <c r="Y517" s="19">
        <f>IF($C517="","",IF(ReportView=PersonA,N($Q517),IF(ReportView=PersonB,N($R517),$J517)))</f>
        <v/>
      </c>
    </row>
    <row r="518">
      <c r="B518">
        <f>IF($C518="","","T"&amp;TEXT(ROW()-ROW(tblTxn[[#Headers],[Txn ID]]),"000000"))</f>
        <v/>
      </c>
      <c r="C518" s="18" t="n"/>
      <c r="D518">
        <f>IF($C518="","",TEXT($C518,"yyyy-mm"))</f>
        <v/>
      </c>
      <c r="F518">
        <f>IF($C518="","",IFERROR(INDEX(tblAccounts[Owner],MATCH($E518,tblAccounts[Account],0)),"Joint"))</f>
        <v/>
      </c>
      <c r="G518">
        <f>IF($C518="","",IF(HouseholdMode="Couple",IFERROR(IF(INDEX(tblCategories[Default Owner],MATCH($K518,tblCategories[Category],0))="",$F518,INDEX(tblCategories[Default Owner],MATCH($K518,tblCategories[Category],0))),$F518),$F518))</f>
        <v/>
      </c>
      <c r="I518">
        <f>IF($H518="","",$H518)</f>
        <v/>
      </c>
      <c r="J518" s="19" t="n"/>
      <c r="K518">
        <f>IF($H518="","",IFERROR(INDEX(tblRules[Category],SUMPRODUCT(MIN((1-((tblRules[Enabled]&lt;&gt;"No")*(tblRules[Pattern]&lt;&gt;"")*(tblRules[Category]&lt;&gt;"")*((tblRules[Flow]="Any")+(tblRules[Flow]="")+((tblRules[Flow]="Money out")*($J518&lt;0))+((tblRules[Flow]="Money in")*($J518&gt;0)))*(((tblRules[Look In]="Account")*ISNUMBER(SEARCH(tblRules[Pattern],$E518)))+((tblRules[Look In]&lt;&gt;"Account")*(((tblRules[Test]="Word")*ISNUMBER(SEARCH(" "&amp;tblRules[Pattern]&amp;" "," "&amp;$H518&amp;" ")))+((tblRules[Test]&lt;&gt;"Word")*ISNUMBER(SEARCH(tblRules[Pattern],$H518))))))&gt;0))*1E+9+ROW(tblRules[Pattern])))-ROW(tblRules[[#Headers],[Pattern]])),"Uncategorized"))</f>
        <v/>
      </c>
      <c r="L518">
        <f>IF($C518="","",IFERROR(INDEX(tblCategories[Group],MATCH($K518,tblCategories[Category],0)),"Other"))</f>
        <v/>
      </c>
      <c r="M518">
        <f>IF($C518="","",IFERROR(INDEX(tblCategories[Type],MATCH($K518,tblCategories[Category],0)),IF($J518&gt;0,"Income","Expense")))</f>
        <v/>
      </c>
      <c r="N518">
        <f>IF($C518="","",IFERROR(INDEX(tblCategories[Essential],MATCH($K518,tblCategories[Category],0)),"No"))</f>
        <v/>
      </c>
      <c r="O518">
        <f>IF($C518="","",IFERROR(INDEX(tblCategories[Tax Tag],MATCH($K518,tblCategories[Category],0)),""))</f>
        <v/>
      </c>
      <c r="P518" s="20">
        <f>IF($C518="","",IF($G518=PersonA,1,IF($G518=PersonB,0,IFERROR(INDEX(tblCategories[Joint Split A],MATCH($K518,tblCategories[Category],0)),DefaultSplitA))))</f>
        <v/>
      </c>
      <c r="Q518" s="19">
        <f>IF($C518="","",ROUND($J518*N($P518),2))</f>
        <v/>
      </c>
      <c r="R518" s="19">
        <f>IF($C518="","",ROUND($J518-N($Q518),2))</f>
        <v/>
      </c>
      <c r="X518">
        <f>IF($C518="","",IFERROR(IF(_xlfn.ISFORMULA($K518),"Rule","Manual"),""))</f>
        <v/>
      </c>
      <c r="Y518" s="19">
        <f>IF($C518="","",IF(ReportView=PersonA,N($Q518),IF(ReportView=PersonB,N($R518),$J518)))</f>
        <v/>
      </c>
    </row>
    <row r="519">
      <c r="B519">
        <f>IF($C519="","","T"&amp;TEXT(ROW()-ROW(tblTxn[[#Headers],[Txn ID]]),"000000"))</f>
        <v/>
      </c>
      <c r="C519" s="18" t="n"/>
      <c r="D519">
        <f>IF($C519="","",TEXT($C519,"yyyy-mm"))</f>
        <v/>
      </c>
      <c r="F519">
        <f>IF($C519="","",IFERROR(INDEX(tblAccounts[Owner],MATCH($E519,tblAccounts[Account],0)),"Joint"))</f>
        <v/>
      </c>
      <c r="G519">
        <f>IF($C519="","",IF(HouseholdMode="Couple",IFERROR(IF(INDEX(tblCategories[Default Owner],MATCH($K519,tblCategories[Category],0))="",$F519,INDEX(tblCategories[Default Owner],MATCH($K519,tblCategories[Category],0))),$F519),$F519))</f>
        <v/>
      </c>
      <c r="I519">
        <f>IF($H519="","",$H519)</f>
        <v/>
      </c>
      <c r="J519" s="19" t="n"/>
      <c r="K519">
        <f>IF($H519="","",IFERROR(INDEX(tblRules[Category],SUMPRODUCT(MIN((1-((tblRules[Enabled]&lt;&gt;"No")*(tblRules[Pattern]&lt;&gt;"")*(tblRules[Category]&lt;&gt;"")*((tblRules[Flow]="Any")+(tblRules[Flow]="")+((tblRules[Flow]="Money out")*($J519&lt;0))+((tblRules[Flow]="Money in")*($J519&gt;0)))*(((tblRules[Look In]="Account")*ISNUMBER(SEARCH(tblRules[Pattern],$E519)))+((tblRules[Look In]&lt;&gt;"Account")*(((tblRules[Test]="Word")*ISNUMBER(SEARCH(" "&amp;tblRules[Pattern]&amp;" "," "&amp;$H519&amp;" ")))+((tblRules[Test]&lt;&gt;"Word")*ISNUMBER(SEARCH(tblRules[Pattern],$H519))))))&gt;0))*1E+9+ROW(tblRules[Pattern])))-ROW(tblRules[[#Headers],[Pattern]])),"Uncategorized"))</f>
        <v/>
      </c>
      <c r="L519">
        <f>IF($C519="","",IFERROR(INDEX(tblCategories[Group],MATCH($K519,tblCategories[Category],0)),"Other"))</f>
        <v/>
      </c>
      <c r="M519">
        <f>IF($C519="","",IFERROR(INDEX(tblCategories[Type],MATCH($K519,tblCategories[Category],0)),IF($J519&gt;0,"Income","Expense")))</f>
        <v/>
      </c>
      <c r="N519">
        <f>IF($C519="","",IFERROR(INDEX(tblCategories[Essential],MATCH($K519,tblCategories[Category],0)),"No"))</f>
        <v/>
      </c>
      <c r="O519">
        <f>IF($C519="","",IFERROR(INDEX(tblCategories[Tax Tag],MATCH($K519,tblCategories[Category],0)),""))</f>
        <v/>
      </c>
      <c r="P519" s="20">
        <f>IF($C519="","",IF($G519=PersonA,1,IF($G519=PersonB,0,IFERROR(INDEX(tblCategories[Joint Split A],MATCH($K519,tblCategories[Category],0)),DefaultSplitA))))</f>
        <v/>
      </c>
      <c r="Q519" s="19">
        <f>IF($C519="","",ROUND($J519*N($P519),2))</f>
        <v/>
      </c>
      <c r="R519" s="19">
        <f>IF($C519="","",ROUND($J519-N($Q519),2))</f>
        <v/>
      </c>
      <c r="X519">
        <f>IF($C519="","",IFERROR(IF(_xlfn.ISFORMULA($K519),"Rule","Manual"),""))</f>
        <v/>
      </c>
      <c r="Y519" s="19">
        <f>IF($C519="","",IF(ReportView=PersonA,N($Q519),IF(ReportView=PersonB,N($R519),$J519)))</f>
        <v/>
      </c>
    </row>
    <row r="520">
      <c r="B520">
        <f>IF($C520="","","T"&amp;TEXT(ROW()-ROW(tblTxn[[#Headers],[Txn ID]]),"000000"))</f>
        <v/>
      </c>
      <c r="C520" s="18" t="n"/>
      <c r="D520">
        <f>IF($C520="","",TEXT($C520,"yyyy-mm"))</f>
        <v/>
      </c>
      <c r="F520">
        <f>IF($C520="","",IFERROR(INDEX(tblAccounts[Owner],MATCH($E520,tblAccounts[Account],0)),"Joint"))</f>
        <v/>
      </c>
      <c r="G520">
        <f>IF($C520="","",IF(HouseholdMode="Couple",IFERROR(IF(INDEX(tblCategories[Default Owner],MATCH($K520,tblCategories[Category],0))="",$F520,INDEX(tblCategories[Default Owner],MATCH($K520,tblCategories[Category],0))),$F520),$F520))</f>
        <v/>
      </c>
      <c r="I520">
        <f>IF($H520="","",$H520)</f>
        <v/>
      </c>
      <c r="J520" s="19" t="n"/>
      <c r="K520">
        <f>IF($H520="","",IFERROR(INDEX(tblRules[Category],SUMPRODUCT(MIN((1-((tblRules[Enabled]&lt;&gt;"No")*(tblRules[Pattern]&lt;&gt;"")*(tblRules[Category]&lt;&gt;"")*((tblRules[Flow]="Any")+(tblRules[Flow]="")+((tblRules[Flow]="Money out")*($J520&lt;0))+((tblRules[Flow]="Money in")*($J520&gt;0)))*(((tblRules[Look In]="Account")*ISNUMBER(SEARCH(tblRules[Pattern],$E520)))+((tblRules[Look In]&lt;&gt;"Account")*(((tblRules[Test]="Word")*ISNUMBER(SEARCH(" "&amp;tblRules[Pattern]&amp;" "," "&amp;$H520&amp;" ")))+((tblRules[Test]&lt;&gt;"Word")*ISNUMBER(SEARCH(tblRules[Pattern],$H520))))))&gt;0))*1E+9+ROW(tblRules[Pattern])))-ROW(tblRules[[#Headers],[Pattern]])),"Uncategorized"))</f>
        <v/>
      </c>
      <c r="L520">
        <f>IF($C520="","",IFERROR(INDEX(tblCategories[Group],MATCH($K520,tblCategories[Category],0)),"Other"))</f>
        <v/>
      </c>
      <c r="M520">
        <f>IF($C520="","",IFERROR(INDEX(tblCategories[Type],MATCH($K520,tblCategories[Category],0)),IF($J520&gt;0,"Income","Expense")))</f>
        <v/>
      </c>
      <c r="N520">
        <f>IF($C520="","",IFERROR(INDEX(tblCategories[Essential],MATCH($K520,tblCategories[Category],0)),"No"))</f>
        <v/>
      </c>
      <c r="O520">
        <f>IF($C520="","",IFERROR(INDEX(tblCategories[Tax Tag],MATCH($K520,tblCategories[Category],0)),""))</f>
        <v/>
      </c>
      <c r="P520" s="20">
        <f>IF($C520="","",IF($G520=PersonA,1,IF($G520=PersonB,0,IFERROR(INDEX(tblCategories[Joint Split A],MATCH($K520,tblCategories[Category],0)),DefaultSplitA))))</f>
        <v/>
      </c>
      <c r="Q520" s="19">
        <f>IF($C520="","",ROUND($J520*N($P520),2))</f>
        <v/>
      </c>
      <c r="R520" s="19">
        <f>IF($C520="","",ROUND($J520-N($Q520),2))</f>
        <v/>
      </c>
      <c r="X520">
        <f>IF($C520="","",IFERROR(IF(_xlfn.ISFORMULA($K520),"Rule","Manual"),""))</f>
        <v/>
      </c>
      <c r="Y520" s="19">
        <f>IF($C520="","",IF(ReportView=PersonA,N($Q520),IF(ReportView=PersonB,N($R520),$J520)))</f>
        <v/>
      </c>
    </row>
    <row r="521">
      <c r="B521">
        <f>IF($C521="","","T"&amp;TEXT(ROW()-ROW(tblTxn[[#Headers],[Txn ID]]),"000000"))</f>
        <v/>
      </c>
      <c r="C521" s="18" t="n"/>
      <c r="D521">
        <f>IF($C521="","",TEXT($C521,"yyyy-mm"))</f>
        <v/>
      </c>
      <c r="F521">
        <f>IF($C521="","",IFERROR(INDEX(tblAccounts[Owner],MATCH($E521,tblAccounts[Account],0)),"Joint"))</f>
        <v/>
      </c>
      <c r="G521">
        <f>IF($C521="","",IF(HouseholdMode="Couple",IFERROR(IF(INDEX(tblCategories[Default Owner],MATCH($K521,tblCategories[Category],0))="",$F521,INDEX(tblCategories[Default Owner],MATCH($K521,tblCategories[Category],0))),$F521),$F521))</f>
        <v/>
      </c>
      <c r="I521">
        <f>IF($H521="","",$H521)</f>
        <v/>
      </c>
      <c r="J521" s="19" t="n"/>
      <c r="K521">
        <f>IF($H521="","",IFERROR(INDEX(tblRules[Category],SUMPRODUCT(MIN((1-((tblRules[Enabled]&lt;&gt;"No")*(tblRules[Pattern]&lt;&gt;"")*(tblRules[Category]&lt;&gt;"")*((tblRules[Flow]="Any")+(tblRules[Flow]="")+((tblRules[Flow]="Money out")*($J521&lt;0))+((tblRules[Flow]="Money in")*($J521&gt;0)))*(((tblRules[Look In]="Account")*ISNUMBER(SEARCH(tblRules[Pattern],$E521)))+((tblRules[Look In]&lt;&gt;"Account")*(((tblRules[Test]="Word")*ISNUMBER(SEARCH(" "&amp;tblRules[Pattern]&amp;" "," "&amp;$H521&amp;" ")))+((tblRules[Test]&lt;&gt;"Word")*ISNUMBER(SEARCH(tblRules[Pattern],$H521))))))&gt;0))*1E+9+ROW(tblRules[Pattern])))-ROW(tblRules[[#Headers],[Pattern]])),"Uncategorized"))</f>
        <v/>
      </c>
      <c r="L521">
        <f>IF($C521="","",IFERROR(INDEX(tblCategories[Group],MATCH($K521,tblCategories[Category],0)),"Other"))</f>
        <v/>
      </c>
      <c r="M521">
        <f>IF($C521="","",IFERROR(INDEX(tblCategories[Type],MATCH($K521,tblCategories[Category],0)),IF($J521&gt;0,"Income","Expense")))</f>
        <v/>
      </c>
      <c r="N521">
        <f>IF($C521="","",IFERROR(INDEX(tblCategories[Essential],MATCH($K521,tblCategories[Category],0)),"No"))</f>
        <v/>
      </c>
      <c r="O521">
        <f>IF($C521="","",IFERROR(INDEX(tblCategories[Tax Tag],MATCH($K521,tblCategories[Category],0)),""))</f>
        <v/>
      </c>
      <c r="P521" s="20">
        <f>IF($C521="","",IF($G521=PersonA,1,IF($G521=PersonB,0,IFERROR(INDEX(tblCategories[Joint Split A],MATCH($K521,tblCategories[Category],0)),DefaultSplitA))))</f>
        <v/>
      </c>
      <c r="Q521" s="19">
        <f>IF($C521="","",ROUND($J521*N($P521),2))</f>
        <v/>
      </c>
      <c r="R521" s="19">
        <f>IF($C521="","",ROUND($J521-N($Q521),2))</f>
        <v/>
      </c>
      <c r="X521">
        <f>IF($C521="","",IFERROR(IF(_xlfn.ISFORMULA($K521),"Rule","Manual"),""))</f>
        <v/>
      </c>
      <c r="Y521" s="19">
        <f>IF($C521="","",IF(ReportView=PersonA,N($Q521),IF(ReportView=PersonB,N($R521),$J521)))</f>
        <v/>
      </c>
    </row>
    <row r="522">
      <c r="B522">
        <f>IF($C522="","","T"&amp;TEXT(ROW()-ROW(tblTxn[[#Headers],[Txn ID]]),"000000"))</f>
        <v/>
      </c>
      <c r="C522" s="18" t="n"/>
      <c r="D522">
        <f>IF($C522="","",TEXT($C522,"yyyy-mm"))</f>
        <v/>
      </c>
      <c r="F522">
        <f>IF($C522="","",IFERROR(INDEX(tblAccounts[Owner],MATCH($E522,tblAccounts[Account],0)),"Joint"))</f>
        <v/>
      </c>
      <c r="G522">
        <f>IF($C522="","",IF(HouseholdMode="Couple",IFERROR(IF(INDEX(tblCategories[Default Owner],MATCH($K522,tblCategories[Category],0))="",$F522,INDEX(tblCategories[Default Owner],MATCH($K522,tblCategories[Category],0))),$F522),$F522))</f>
        <v/>
      </c>
      <c r="I522">
        <f>IF($H522="","",$H522)</f>
        <v/>
      </c>
      <c r="J522" s="19" t="n"/>
      <c r="K522">
        <f>IF($H522="","",IFERROR(INDEX(tblRules[Category],SUMPRODUCT(MIN((1-((tblRules[Enabled]&lt;&gt;"No")*(tblRules[Pattern]&lt;&gt;"")*(tblRules[Category]&lt;&gt;"")*((tblRules[Flow]="Any")+(tblRules[Flow]="")+((tblRules[Flow]="Money out")*($J522&lt;0))+((tblRules[Flow]="Money in")*($J522&gt;0)))*(((tblRules[Look In]="Account")*ISNUMBER(SEARCH(tblRules[Pattern],$E522)))+((tblRules[Look In]&lt;&gt;"Account")*(((tblRules[Test]="Word")*ISNUMBER(SEARCH(" "&amp;tblRules[Pattern]&amp;" "," "&amp;$H522&amp;" ")))+((tblRules[Test]&lt;&gt;"Word")*ISNUMBER(SEARCH(tblRules[Pattern],$H522))))))&gt;0))*1E+9+ROW(tblRules[Pattern])))-ROW(tblRules[[#Headers],[Pattern]])),"Uncategorized"))</f>
        <v/>
      </c>
      <c r="L522">
        <f>IF($C522="","",IFERROR(INDEX(tblCategories[Group],MATCH($K522,tblCategories[Category],0)),"Other"))</f>
        <v/>
      </c>
      <c r="M522">
        <f>IF($C522="","",IFERROR(INDEX(tblCategories[Type],MATCH($K522,tblCategories[Category],0)),IF($J522&gt;0,"Income","Expense")))</f>
        <v/>
      </c>
      <c r="N522">
        <f>IF($C522="","",IFERROR(INDEX(tblCategories[Essential],MATCH($K522,tblCategories[Category],0)),"No"))</f>
        <v/>
      </c>
      <c r="O522">
        <f>IF($C522="","",IFERROR(INDEX(tblCategories[Tax Tag],MATCH($K522,tblCategories[Category],0)),""))</f>
        <v/>
      </c>
      <c r="P522" s="20">
        <f>IF($C522="","",IF($G522=PersonA,1,IF($G522=PersonB,0,IFERROR(INDEX(tblCategories[Joint Split A],MATCH($K522,tblCategories[Category],0)),DefaultSplitA))))</f>
        <v/>
      </c>
      <c r="Q522" s="19">
        <f>IF($C522="","",ROUND($J522*N($P522),2))</f>
        <v/>
      </c>
      <c r="R522" s="19">
        <f>IF($C522="","",ROUND($J522-N($Q522),2))</f>
        <v/>
      </c>
      <c r="X522">
        <f>IF($C522="","",IFERROR(IF(_xlfn.ISFORMULA($K522),"Rule","Manual"),""))</f>
        <v/>
      </c>
      <c r="Y522" s="19">
        <f>IF($C522="","",IF(ReportView=PersonA,N($Q522),IF(ReportView=PersonB,N($R522),$J522)))</f>
        <v/>
      </c>
    </row>
    <row r="523">
      <c r="B523">
        <f>IF($C523="","","T"&amp;TEXT(ROW()-ROW(tblTxn[[#Headers],[Txn ID]]),"000000"))</f>
        <v/>
      </c>
      <c r="C523" s="18" t="n"/>
      <c r="D523">
        <f>IF($C523="","",TEXT($C523,"yyyy-mm"))</f>
        <v/>
      </c>
      <c r="F523">
        <f>IF($C523="","",IFERROR(INDEX(tblAccounts[Owner],MATCH($E523,tblAccounts[Account],0)),"Joint"))</f>
        <v/>
      </c>
      <c r="G523">
        <f>IF($C523="","",IF(HouseholdMode="Couple",IFERROR(IF(INDEX(tblCategories[Default Owner],MATCH($K523,tblCategories[Category],0))="",$F523,INDEX(tblCategories[Default Owner],MATCH($K523,tblCategories[Category],0))),$F523),$F523))</f>
        <v/>
      </c>
      <c r="I523">
        <f>IF($H523="","",$H523)</f>
        <v/>
      </c>
      <c r="J523" s="19" t="n"/>
      <c r="K523">
        <f>IF($H523="","",IFERROR(INDEX(tblRules[Category],SUMPRODUCT(MIN((1-((tblRules[Enabled]&lt;&gt;"No")*(tblRules[Pattern]&lt;&gt;"")*(tblRules[Category]&lt;&gt;"")*((tblRules[Flow]="Any")+(tblRules[Flow]="")+((tblRules[Flow]="Money out")*($J523&lt;0))+((tblRules[Flow]="Money in")*($J523&gt;0)))*(((tblRules[Look In]="Account")*ISNUMBER(SEARCH(tblRules[Pattern],$E523)))+((tblRules[Look In]&lt;&gt;"Account")*(((tblRules[Test]="Word")*ISNUMBER(SEARCH(" "&amp;tblRules[Pattern]&amp;" "," "&amp;$H523&amp;" ")))+((tblRules[Test]&lt;&gt;"Word")*ISNUMBER(SEARCH(tblRules[Pattern],$H523))))))&gt;0))*1E+9+ROW(tblRules[Pattern])))-ROW(tblRules[[#Headers],[Pattern]])),"Uncategorized"))</f>
        <v/>
      </c>
      <c r="L523">
        <f>IF($C523="","",IFERROR(INDEX(tblCategories[Group],MATCH($K523,tblCategories[Category],0)),"Other"))</f>
        <v/>
      </c>
      <c r="M523">
        <f>IF($C523="","",IFERROR(INDEX(tblCategories[Type],MATCH($K523,tblCategories[Category],0)),IF($J523&gt;0,"Income","Expense")))</f>
        <v/>
      </c>
      <c r="N523">
        <f>IF($C523="","",IFERROR(INDEX(tblCategories[Essential],MATCH($K523,tblCategories[Category],0)),"No"))</f>
        <v/>
      </c>
      <c r="O523">
        <f>IF($C523="","",IFERROR(INDEX(tblCategories[Tax Tag],MATCH($K523,tblCategories[Category],0)),""))</f>
        <v/>
      </c>
      <c r="P523" s="20">
        <f>IF($C523="","",IF($G523=PersonA,1,IF($G523=PersonB,0,IFERROR(INDEX(tblCategories[Joint Split A],MATCH($K523,tblCategories[Category],0)),DefaultSplitA))))</f>
        <v/>
      </c>
      <c r="Q523" s="19">
        <f>IF($C523="","",ROUND($J523*N($P523),2))</f>
        <v/>
      </c>
      <c r="R523" s="19">
        <f>IF($C523="","",ROUND($J523-N($Q523),2))</f>
        <v/>
      </c>
      <c r="X523">
        <f>IF($C523="","",IFERROR(IF(_xlfn.ISFORMULA($K523),"Rule","Manual"),""))</f>
        <v/>
      </c>
      <c r="Y523" s="19">
        <f>IF($C523="","",IF(ReportView=PersonA,N($Q523),IF(ReportView=PersonB,N($R523),$J523)))</f>
        <v/>
      </c>
    </row>
    <row r="524">
      <c r="B524">
        <f>IF($C524="","","T"&amp;TEXT(ROW()-ROW(tblTxn[[#Headers],[Txn ID]]),"000000"))</f>
        <v/>
      </c>
      <c r="C524" s="18" t="n"/>
      <c r="D524">
        <f>IF($C524="","",TEXT($C524,"yyyy-mm"))</f>
        <v/>
      </c>
      <c r="F524">
        <f>IF($C524="","",IFERROR(INDEX(tblAccounts[Owner],MATCH($E524,tblAccounts[Account],0)),"Joint"))</f>
        <v/>
      </c>
      <c r="G524">
        <f>IF($C524="","",IF(HouseholdMode="Couple",IFERROR(IF(INDEX(tblCategories[Default Owner],MATCH($K524,tblCategories[Category],0))="",$F524,INDEX(tblCategories[Default Owner],MATCH($K524,tblCategories[Category],0))),$F524),$F524))</f>
        <v/>
      </c>
      <c r="I524">
        <f>IF($H524="","",$H524)</f>
        <v/>
      </c>
      <c r="J524" s="19" t="n"/>
      <c r="K524">
        <f>IF($H524="","",IFERROR(INDEX(tblRules[Category],SUMPRODUCT(MIN((1-((tblRules[Enabled]&lt;&gt;"No")*(tblRules[Pattern]&lt;&gt;"")*(tblRules[Category]&lt;&gt;"")*((tblRules[Flow]="Any")+(tblRules[Flow]="")+((tblRules[Flow]="Money out")*($J524&lt;0))+((tblRules[Flow]="Money in")*($J524&gt;0)))*(((tblRules[Look In]="Account")*ISNUMBER(SEARCH(tblRules[Pattern],$E524)))+((tblRules[Look In]&lt;&gt;"Account")*(((tblRules[Test]="Word")*ISNUMBER(SEARCH(" "&amp;tblRules[Pattern]&amp;" "," "&amp;$H524&amp;" ")))+((tblRules[Test]&lt;&gt;"Word")*ISNUMBER(SEARCH(tblRules[Pattern],$H524))))))&gt;0))*1E+9+ROW(tblRules[Pattern])))-ROW(tblRules[[#Headers],[Pattern]])),"Uncategorized"))</f>
        <v/>
      </c>
      <c r="L524">
        <f>IF($C524="","",IFERROR(INDEX(tblCategories[Group],MATCH($K524,tblCategories[Category],0)),"Other"))</f>
        <v/>
      </c>
      <c r="M524">
        <f>IF($C524="","",IFERROR(INDEX(tblCategories[Type],MATCH($K524,tblCategories[Category],0)),IF($J524&gt;0,"Income","Expense")))</f>
        <v/>
      </c>
      <c r="N524">
        <f>IF($C524="","",IFERROR(INDEX(tblCategories[Essential],MATCH($K524,tblCategories[Category],0)),"No"))</f>
        <v/>
      </c>
      <c r="O524">
        <f>IF($C524="","",IFERROR(INDEX(tblCategories[Tax Tag],MATCH($K524,tblCategories[Category],0)),""))</f>
        <v/>
      </c>
      <c r="P524" s="20">
        <f>IF($C524="","",IF($G524=PersonA,1,IF($G524=PersonB,0,IFERROR(INDEX(tblCategories[Joint Split A],MATCH($K524,tblCategories[Category],0)),DefaultSplitA))))</f>
        <v/>
      </c>
      <c r="Q524" s="19">
        <f>IF($C524="","",ROUND($J524*N($P524),2))</f>
        <v/>
      </c>
      <c r="R524" s="19">
        <f>IF($C524="","",ROUND($J524-N($Q524),2))</f>
        <v/>
      </c>
      <c r="X524">
        <f>IF($C524="","",IFERROR(IF(_xlfn.ISFORMULA($K524),"Rule","Manual"),""))</f>
        <v/>
      </c>
      <c r="Y524" s="19">
        <f>IF($C524="","",IF(ReportView=PersonA,N($Q524),IF(ReportView=PersonB,N($R524),$J524)))</f>
        <v/>
      </c>
    </row>
    <row r="525">
      <c r="B525">
        <f>IF($C525="","","T"&amp;TEXT(ROW()-ROW(tblTxn[[#Headers],[Txn ID]]),"000000"))</f>
        <v/>
      </c>
      <c r="C525" s="18" t="n"/>
      <c r="D525">
        <f>IF($C525="","",TEXT($C525,"yyyy-mm"))</f>
        <v/>
      </c>
      <c r="F525">
        <f>IF($C525="","",IFERROR(INDEX(tblAccounts[Owner],MATCH($E525,tblAccounts[Account],0)),"Joint"))</f>
        <v/>
      </c>
      <c r="G525">
        <f>IF($C525="","",IF(HouseholdMode="Couple",IFERROR(IF(INDEX(tblCategories[Default Owner],MATCH($K525,tblCategories[Category],0))="",$F525,INDEX(tblCategories[Default Owner],MATCH($K525,tblCategories[Category],0))),$F525),$F525))</f>
        <v/>
      </c>
      <c r="I525">
        <f>IF($H525="","",$H525)</f>
        <v/>
      </c>
      <c r="J525" s="19" t="n"/>
      <c r="K525">
        <f>IF($H525="","",IFERROR(INDEX(tblRules[Category],SUMPRODUCT(MIN((1-((tblRules[Enabled]&lt;&gt;"No")*(tblRules[Pattern]&lt;&gt;"")*(tblRules[Category]&lt;&gt;"")*((tblRules[Flow]="Any")+(tblRules[Flow]="")+((tblRules[Flow]="Money out")*($J525&lt;0))+((tblRules[Flow]="Money in")*($J525&gt;0)))*(((tblRules[Look In]="Account")*ISNUMBER(SEARCH(tblRules[Pattern],$E525)))+((tblRules[Look In]&lt;&gt;"Account")*(((tblRules[Test]="Word")*ISNUMBER(SEARCH(" "&amp;tblRules[Pattern]&amp;" "," "&amp;$H525&amp;" ")))+((tblRules[Test]&lt;&gt;"Word")*ISNUMBER(SEARCH(tblRules[Pattern],$H525))))))&gt;0))*1E+9+ROW(tblRules[Pattern])))-ROW(tblRules[[#Headers],[Pattern]])),"Uncategorized"))</f>
        <v/>
      </c>
      <c r="L525">
        <f>IF($C525="","",IFERROR(INDEX(tblCategories[Group],MATCH($K525,tblCategories[Category],0)),"Other"))</f>
        <v/>
      </c>
      <c r="M525">
        <f>IF($C525="","",IFERROR(INDEX(tblCategories[Type],MATCH($K525,tblCategories[Category],0)),IF($J525&gt;0,"Income","Expense")))</f>
        <v/>
      </c>
      <c r="N525">
        <f>IF($C525="","",IFERROR(INDEX(tblCategories[Essential],MATCH($K525,tblCategories[Category],0)),"No"))</f>
        <v/>
      </c>
      <c r="O525">
        <f>IF($C525="","",IFERROR(INDEX(tblCategories[Tax Tag],MATCH($K525,tblCategories[Category],0)),""))</f>
        <v/>
      </c>
      <c r="P525" s="20">
        <f>IF($C525="","",IF($G525=PersonA,1,IF($G525=PersonB,0,IFERROR(INDEX(tblCategories[Joint Split A],MATCH($K525,tblCategories[Category],0)),DefaultSplitA))))</f>
        <v/>
      </c>
      <c r="Q525" s="19">
        <f>IF($C525="","",ROUND($J525*N($P525),2))</f>
        <v/>
      </c>
      <c r="R525" s="19">
        <f>IF($C525="","",ROUND($J525-N($Q525),2))</f>
        <v/>
      </c>
      <c r="X525">
        <f>IF($C525="","",IFERROR(IF(_xlfn.ISFORMULA($K525),"Rule","Manual"),""))</f>
        <v/>
      </c>
      <c r="Y525" s="19">
        <f>IF($C525="","",IF(ReportView=PersonA,N($Q525),IF(ReportView=PersonB,N($R525),$J525)))</f>
        <v/>
      </c>
    </row>
    <row r="526">
      <c r="B526">
        <f>IF($C526="","","T"&amp;TEXT(ROW()-ROW(tblTxn[[#Headers],[Txn ID]]),"000000"))</f>
        <v/>
      </c>
      <c r="C526" s="18" t="n"/>
      <c r="D526">
        <f>IF($C526="","",TEXT($C526,"yyyy-mm"))</f>
        <v/>
      </c>
      <c r="F526">
        <f>IF($C526="","",IFERROR(INDEX(tblAccounts[Owner],MATCH($E526,tblAccounts[Account],0)),"Joint"))</f>
        <v/>
      </c>
      <c r="G526">
        <f>IF($C526="","",IF(HouseholdMode="Couple",IFERROR(IF(INDEX(tblCategories[Default Owner],MATCH($K526,tblCategories[Category],0))="",$F526,INDEX(tblCategories[Default Owner],MATCH($K526,tblCategories[Category],0))),$F526),$F526))</f>
        <v/>
      </c>
      <c r="I526">
        <f>IF($H526="","",$H526)</f>
        <v/>
      </c>
      <c r="J526" s="19" t="n"/>
      <c r="K526">
        <f>IF($H526="","",IFERROR(INDEX(tblRules[Category],SUMPRODUCT(MIN((1-((tblRules[Enabled]&lt;&gt;"No")*(tblRules[Pattern]&lt;&gt;"")*(tblRules[Category]&lt;&gt;"")*((tblRules[Flow]="Any")+(tblRules[Flow]="")+((tblRules[Flow]="Money out")*($J526&lt;0))+((tblRules[Flow]="Money in")*($J526&gt;0)))*(((tblRules[Look In]="Account")*ISNUMBER(SEARCH(tblRules[Pattern],$E526)))+((tblRules[Look In]&lt;&gt;"Account")*(((tblRules[Test]="Word")*ISNUMBER(SEARCH(" "&amp;tblRules[Pattern]&amp;" "," "&amp;$H526&amp;" ")))+((tblRules[Test]&lt;&gt;"Word")*ISNUMBER(SEARCH(tblRules[Pattern],$H526))))))&gt;0))*1E+9+ROW(tblRules[Pattern])))-ROW(tblRules[[#Headers],[Pattern]])),"Uncategorized"))</f>
        <v/>
      </c>
      <c r="L526">
        <f>IF($C526="","",IFERROR(INDEX(tblCategories[Group],MATCH($K526,tblCategories[Category],0)),"Other"))</f>
        <v/>
      </c>
      <c r="M526">
        <f>IF($C526="","",IFERROR(INDEX(tblCategories[Type],MATCH($K526,tblCategories[Category],0)),IF($J526&gt;0,"Income","Expense")))</f>
        <v/>
      </c>
      <c r="N526">
        <f>IF($C526="","",IFERROR(INDEX(tblCategories[Essential],MATCH($K526,tblCategories[Category],0)),"No"))</f>
        <v/>
      </c>
      <c r="O526">
        <f>IF($C526="","",IFERROR(INDEX(tblCategories[Tax Tag],MATCH($K526,tblCategories[Category],0)),""))</f>
        <v/>
      </c>
      <c r="P526" s="20">
        <f>IF($C526="","",IF($G526=PersonA,1,IF($G526=PersonB,0,IFERROR(INDEX(tblCategories[Joint Split A],MATCH($K526,tblCategories[Category],0)),DefaultSplitA))))</f>
        <v/>
      </c>
      <c r="Q526" s="19">
        <f>IF($C526="","",ROUND($J526*N($P526),2))</f>
        <v/>
      </c>
      <c r="R526" s="19">
        <f>IF($C526="","",ROUND($J526-N($Q526),2))</f>
        <v/>
      </c>
      <c r="X526">
        <f>IF($C526="","",IFERROR(IF(_xlfn.ISFORMULA($K526),"Rule","Manual"),""))</f>
        <v/>
      </c>
      <c r="Y526" s="19">
        <f>IF($C526="","",IF(ReportView=PersonA,N($Q526),IF(ReportView=PersonB,N($R526),$J526)))</f>
        <v/>
      </c>
    </row>
    <row r="527">
      <c r="B527">
        <f>IF($C527="","","T"&amp;TEXT(ROW()-ROW(tblTxn[[#Headers],[Txn ID]]),"000000"))</f>
        <v/>
      </c>
      <c r="C527" s="18" t="n"/>
      <c r="D527">
        <f>IF($C527="","",TEXT($C527,"yyyy-mm"))</f>
        <v/>
      </c>
      <c r="F527">
        <f>IF($C527="","",IFERROR(INDEX(tblAccounts[Owner],MATCH($E527,tblAccounts[Account],0)),"Joint"))</f>
        <v/>
      </c>
      <c r="G527">
        <f>IF($C527="","",IF(HouseholdMode="Couple",IFERROR(IF(INDEX(tblCategories[Default Owner],MATCH($K527,tblCategories[Category],0))="",$F527,INDEX(tblCategories[Default Owner],MATCH($K527,tblCategories[Category],0))),$F527),$F527))</f>
        <v/>
      </c>
      <c r="I527">
        <f>IF($H527="","",$H527)</f>
        <v/>
      </c>
      <c r="J527" s="19" t="n"/>
      <c r="K527">
        <f>IF($H527="","",IFERROR(INDEX(tblRules[Category],SUMPRODUCT(MIN((1-((tblRules[Enabled]&lt;&gt;"No")*(tblRules[Pattern]&lt;&gt;"")*(tblRules[Category]&lt;&gt;"")*((tblRules[Flow]="Any")+(tblRules[Flow]="")+((tblRules[Flow]="Money out")*($J527&lt;0))+((tblRules[Flow]="Money in")*($J527&gt;0)))*(((tblRules[Look In]="Account")*ISNUMBER(SEARCH(tblRules[Pattern],$E527)))+((tblRules[Look In]&lt;&gt;"Account")*(((tblRules[Test]="Word")*ISNUMBER(SEARCH(" "&amp;tblRules[Pattern]&amp;" "," "&amp;$H527&amp;" ")))+((tblRules[Test]&lt;&gt;"Word")*ISNUMBER(SEARCH(tblRules[Pattern],$H527))))))&gt;0))*1E+9+ROW(tblRules[Pattern])))-ROW(tblRules[[#Headers],[Pattern]])),"Uncategorized"))</f>
        <v/>
      </c>
      <c r="L527">
        <f>IF($C527="","",IFERROR(INDEX(tblCategories[Group],MATCH($K527,tblCategories[Category],0)),"Other"))</f>
        <v/>
      </c>
      <c r="M527">
        <f>IF($C527="","",IFERROR(INDEX(tblCategories[Type],MATCH($K527,tblCategories[Category],0)),IF($J527&gt;0,"Income","Expense")))</f>
        <v/>
      </c>
      <c r="N527">
        <f>IF($C527="","",IFERROR(INDEX(tblCategories[Essential],MATCH($K527,tblCategories[Category],0)),"No"))</f>
        <v/>
      </c>
      <c r="O527">
        <f>IF($C527="","",IFERROR(INDEX(tblCategories[Tax Tag],MATCH($K527,tblCategories[Category],0)),""))</f>
        <v/>
      </c>
      <c r="P527" s="20">
        <f>IF($C527="","",IF($G527=PersonA,1,IF($G527=PersonB,0,IFERROR(INDEX(tblCategories[Joint Split A],MATCH($K527,tblCategories[Category],0)),DefaultSplitA))))</f>
        <v/>
      </c>
      <c r="Q527" s="19">
        <f>IF($C527="","",ROUND($J527*N($P527),2))</f>
        <v/>
      </c>
      <c r="R527" s="19">
        <f>IF($C527="","",ROUND($J527-N($Q527),2))</f>
        <v/>
      </c>
      <c r="X527">
        <f>IF($C527="","",IFERROR(IF(_xlfn.ISFORMULA($K527),"Rule","Manual"),""))</f>
        <v/>
      </c>
      <c r="Y527" s="19">
        <f>IF($C527="","",IF(ReportView=PersonA,N($Q527),IF(ReportView=PersonB,N($R527),$J527)))</f>
        <v/>
      </c>
    </row>
    <row r="528">
      <c r="B528">
        <f>IF($C528="","","T"&amp;TEXT(ROW()-ROW(tblTxn[[#Headers],[Txn ID]]),"000000"))</f>
        <v/>
      </c>
      <c r="C528" s="18" t="n"/>
      <c r="D528">
        <f>IF($C528="","",TEXT($C528,"yyyy-mm"))</f>
        <v/>
      </c>
      <c r="F528">
        <f>IF($C528="","",IFERROR(INDEX(tblAccounts[Owner],MATCH($E528,tblAccounts[Account],0)),"Joint"))</f>
        <v/>
      </c>
      <c r="G528">
        <f>IF($C528="","",IF(HouseholdMode="Couple",IFERROR(IF(INDEX(tblCategories[Default Owner],MATCH($K528,tblCategories[Category],0))="",$F528,INDEX(tblCategories[Default Owner],MATCH($K528,tblCategories[Category],0))),$F528),$F528))</f>
        <v/>
      </c>
      <c r="I528">
        <f>IF($H528="","",$H528)</f>
        <v/>
      </c>
      <c r="J528" s="19" t="n"/>
      <c r="K528">
        <f>IF($H528="","",IFERROR(INDEX(tblRules[Category],SUMPRODUCT(MIN((1-((tblRules[Enabled]&lt;&gt;"No")*(tblRules[Pattern]&lt;&gt;"")*(tblRules[Category]&lt;&gt;"")*((tblRules[Flow]="Any")+(tblRules[Flow]="")+((tblRules[Flow]="Money out")*($J528&lt;0))+((tblRules[Flow]="Money in")*($J528&gt;0)))*(((tblRules[Look In]="Account")*ISNUMBER(SEARCH(tblRules[Pattern],$E528)))+((tblRules[Look In]&lt;&gt;"Account")*(((tblRules[Test]="Word")*ISNUMBER(SEARCH(" "&amp;tblRules[Pattern]&amp;" "," "&amp;$H528&amp;" ")))+((tblRules[Test]&lt;&gt;"Word")*ISNUMBER(SEARCH(tblRules[Pattern],$H528))))))&gt;0))*1E+9+ROW(tblRules[Pattern])))-ROW(tblRules[[#Headers],[Pattern]])),"Uncategorized"))</f>
        <v/>
      </c>
      <c r="L528">
        <f>IF($C528="","",IFERROR(INDEX(tblCategories[Group],MATCH($K528,tblCategories[Category],0)),"Other"))</f>
        <v/>
      </c>
      <c r="M528">
        <f>IF($C528="","",IFERROR(INDEX(tblCategories[Type],MATCH($K528,tblCategories[Category],0)),IF($J528&gt;0,"Income","Expense")))</f>
        <v/>
      </c>
      <c r="N528">
        <f>IF($C528="","",IFERROR(INDEX(tblCategories[Essential],MATCH($K528,tblCategories[Category],0)),"No"))</f>
        <v/>
      </c>
      <c r="O528">
        <f>IF($C528="","",IFERROR(INDEX(tblCategories[Tax Tag],MATCH($K528,tblCategories[Category],0)),""))</f>
        <v/>
      </c>
      <c r="P528" s="20">
        <f>IF($C528="","",IF($G528=PersonA,1,IF($G528=PersonB,0,IFERROR(INDEX(tblCategories[Joint Split A],MATCH($K528,tblCategories[Category],0)),DefaultSplitA))))</f>
        <v/>
      </c>
      <c r="Q528" s="19">
        <f>IF($C528="","",ROUND($J528*N($P528),2))</f>
        <v/>
      </c>
      <c r="R528" s="19">
        <f>IF($C528="","",ROUND($J528-N($Q528),2))</f>
        <v/>
      </c>
      <c r="X528">
        <f>IF($C528="","",IFERROR(IF(_xlfn.ISFORMULA($K528),"Rule","Manual"),""))</f>
        <v/>
      </c>
      <c r="Y528" s="19">
        <f>IF($C528="","",IF(ReportView=PersonA,N($Q528),IF(ReportView=PersonB,N($R528),$J528)))</f>
        <v/>
      </c>
    </row>
    <row r="529">
      <c r="B529">
        <f>IF($C529="","","T"&amp;TEXT(ROW()-ROW(tblTxn[[#Headers],[Txn ID]]),"000000"))</f>
        <v/>
      </c>
      <c r="C529" s="18" t="n"/>
      <c r="D529">
        <f>IF($C529="","",TEXT($C529,"yyyy-mm"))</f>
        <v/>
      </c>
      <c r="F529">
        <f>IF($C529="","",IFERROR(INDEX(tblAccounts[Owner],MATCH($E529,tblAccounts[Account],0)),"Joint"))</f>
        <v/>
      </c>
      <c r="G529">
        <f>IF($C529="","",IF(HouseholdMode="Couple",IFERROR(IF(INDEX(tblCategories[Default Owner],MATCH($K529,tblCategories[Category],0))="",$F529,INDEX(tblCategories[Default Owner],MATCH($K529,tblCategories[Category],0))),$F529),$F529))</f>
        <v/>
      </c>
      <c r="I529">
        <f>IF($H529="","",$H529)</f>
        <v/>
      </c>
      <c r="J529" s="19" t="n"/>
      <c r="K529">
        <f>IF($H529="","",IFERROR(INDEX(tblRules[Category],SUMPRODUCT(MIN((1-((tblRules[Enabled]&lt;&gt;"No")*(tblRules[Pattern]&lt;&gt;"")*(tblRules[Category]&lt;&gt;"")*((tblRules[Flow]="Any")+(tblRules[Flow]="")+((tblRules[Flow]="Money out")*($J529&lt;0))+((tblRules[Flow]="Money in")*($J529&gt;0)))*(((tblRules[Look In]="Account")*ISNUMBER(SEARCH(tblRules[Pattern],$E529)))+((tblRules[Look In]&lt;&gt;"Account")*(((tblRules[Test]="Word")*ISNUMBER(SEARCH(" "&amp;tblRules[Pattern]&amp;" "," "&amp;$H529&amp;" ")))+((tblRules[Test]&lt;&gt;"Word")*ISNUMBER(SEARCH(tblRules[Pattern],$H529))))))&gt;0))*1E+9+ROW(tblRules[Pattern])))-ROW(tblRules[[#Headers],[Pattern]])),"Uncategorized"))</f>
        <v/>
      </c>
      <c r="L529">
        <f>IF($C529="","",IFERROR(INDEX(tblCategories[Group],MATCH($K529,tblCategories[Category],0)),"Other"))</f>
        <v/>
      </c>
      <c r="M529">
        <f>IF($C529="","",IFERROR(INDEX(tblCategories[Type],MATCH($K529,tblCategories[Category],0)),IF($J529&gt;0,"Income","Expense")))</f>
        <v/>
      </c>
      <c r="N529">
        <f>IF($C529="","",IFERROR(INDEX(tblCategories[Essential],MATCH($K529,tblCategories[Category],0)),"No"))</f>
        <v/>
      </c>
      <c r="O529">
        <f>IF($C529="","",IFERROR(INDEX(tblCategories[Tax Tag],MATCH($K529,tblCategories[Category],0)),""))</f>
        <v/>
      </c>
      <c r="P529" s="20">
        <f>IF($C529="","",IF($G529=PersonA,1,IF($G529=PersonB,0,IFERROR(INDEX(tblCategories[Joint Split A],MATCH($K529,tblCategories[Category],0)),DefaultSplitA))))</f>
        <v/>
      </c>
      <c r="Q529" s="19">
        <f>IF($C529="","",ROUND($J529*N($P529),2))</f>
        <v/>
      </c>
      <c r="R529" s="19">
        <f>IF($C529="","",ROUND($J529-N($Q529),2))</f>
        <v/>
      </c>
      <c r="X529">
        <f>IF($C529="","",IFERROR(IF(_xlfn.ISFORMULA($K529),"Rule","Manual"),""))</f>
        <v/>
      </c>
      <c r="Y529" s="19">
        <f>IF($C529="","",IF(ReportView=PersonA,N($Q529),IF(ReportView=PersonB,N($R529),$J529)))</f>
        <v/>
      </c>
    </row>
    <row r="530">
      <c r="B530">
        <f>IF($C530="","","T"&amp;TEXT(ROW()-ROW(tblTxn[[#Headers],[Txn ID]]),"000000"))</f>
        <v/>
      </c>
      <c r="C530" s="18" t="n"/>
      <c r="D530">
        <f>IF($C530="","",TEXT($C530,"yyyy-mm"))</f>
        <v/>
      </c>
      <c r="F530">
        <f>IF($C530="","",IFERROR(INDEX(tblAccounts[Owner],MATCH($E530,tblAccounts[Account],0)),"Joint"))</f>
        <v/>
      </c>
      <c r="G530">
        <f>IF($C530="","",IF(HouseholdMode="Couple",IFERROR(IF(INDEX(tblCategories[Default Owner],MATCH($K530,tblCategories[Category],0))="",$F530,INDEX(tblCategories[Default Owner],MATCH($K530,tblCategories[Category],0))),$F530),$F530))</f>
        <v/>
      </c>
      <c r="I530">
        <f>IF($H530="","",$H530)</f>
        <v/>
      </c>
      <c r="J530" s="19" t="n"/>
      <c r="K530">
        <f>IF($H530="","",IFERROR(INDEX(tblRules[Category],SUMPRODUCT(MIN((1-((tblRules[Enabled]&lt;&gt;"No")*(tblRules[Pattern]&lt;&gt;"")*(tblRules[Category]&lt;&gt;"")*((tblRules[Flow]="Any")+(tblRules[Flow]="")+((tblRules[Flow]="Money out")*($J530&lt;0))+((tblRules[Flow]="Money in")*($J530&gt;0)))*(((tblRules[Look In]="Account")*ISNUMBER(SEARCH(tblRules[Pattern],$E530)))+((tblRules[Look In]&lt;&gt;"Account")*(((tblRules[Test]="Word")*ISNUMBER(SEARCH(" "&amp;tblRules[Pattern]&amp;" "," "&amp;$H530&amp;" ")))+((tblRules[Test]&lt;&gt;"Word")*ISNUMBER(SEARCH(tblRules[Pattern],$H530))))))&gt;0))*1E+9+ROW(tblRules[Pattern])))-ROW(tblRules[[#Headers],[Pattern]])),"Uncategorized"))</f>
        <v/>
      </c>
      <c r="L530">
        <f>IF($C530="","",IFERROR(INDEX(tblCategories[Group],MATCH($K530,tblCategories[Category],0)),"Other"))</f>
        <v/>
      </c>
      <c r="M530">
        <f>IF($C530="","",IFERROR(INDEX(tblCategories[Type],MATCH($K530,tblCategories[Category],0)),IF($J530&gt;0,"Income","Expense")))</f>
        <v/>
      </c>
      <c r="N530">
        <f>IF($C530="","",IFERROR(INDEX(tblCategories[Essential],MATCH($K530,tblCategories[Category],0)),"No"))</f>
        <v/>
      </c>
      <c r="O530">
        <f>IF($C530="","",IFERROR(INDEX(tblCategories[Tax Tag],MATCH($K530,tblCategories[Category],0)),""))</f>
        <v/>
      </c>
      <c r="P530" s="20">
        <f>IF($C530="","",IF($G530=PersonA,1,IF($G530=PersonB,0,IFERROR(INDEX(tblCategories[Joint Split A],MATCH($K530,tblCategories[Category],0)),DefaultSplitA))))</f>
        <v/>
      </c>
      <c r="Q530" s="19">
        <f>IF($C530="","",ROUND($J530*N($P530),2))</f>
        <v/>
      </c>
      <c r="R530" s="19">
        <f>IF($C530="","",ROUND($J530-N($Q530),2))</f>
        <v/>
      </c>
      <c r="X530">
        <f>IF($C530="","",IFERROR(IF(_xlfn.ISFORMULA($K530),"Rule","Manual"),""))</f>
        <v/>
      </c>
      <c r="Y530" s="19">
        <f>IF($C530="","",IF(ReportView=PersonA,N($Q530),IF(ReportView=PersonB,N($R530),$J530)))</f>
        <v/>
      </c>
    </row>
    <row r="531">
      <c r="C531" s="18" t="n"/>
      <c r="J531" s="19" t="n"/>
      <c r="P531" s="20" t="n"/>
      <c r="Q531" s="19" t="n"/>
      <c r="R531" s="19" t="n"/>
      <c r="Y531" s="19" t="n"/>
    </row>
    <row r="532">
      <c r="C532" s="18" t="n"/>
      <c r="J532" s="19" t="n"/>
      <c r="P532" s="20" t="n"/>
      <c r="Q532" s="19" t="n"/>
      <c r="R532" s="19" t="n"/>
      <c r="Y532" s="19" t="n"/>
    </row>
    <row r="533">
      <c r="C533" s="18" t="n"/>
      <c r="J533" s="19" t="n"/>
      <c r="P533" s="20" t="n"/>
      <c r="Q533" s="19" t="n"/>
      <c r="R533" s="19" t="n"/>
      <c r="Y533" s="19" t="n"/>
    </row>
    <row r="534">
      <c r="C534" s="18" t="n"/>
      <c r="J534" s="19" t="n"/>
      <c r="P534" s="20" t="n"/>
      <c r="Q534" s="19" t="n"/>
      <c r="R534" s="19" t="n"/>
      <c r="Y534" s="19" t="n"/>
    </row>
    <row r="535">
      <c r="C535" s="18" t="n"/>
      <c r="J535" s="19" t="n"/>
      <c r="P535" s="20" t="n"/>
      <c r="Q535" s="19" t="n"/>
      <c r="R535" s="19" t="n"/>
      <c r="Y535" s="19" t="n"/>
    </row>
    <row r="536">
      <c r="C536" s="18" t="n"/>
      <c r="J536" s="19" t="n"/>
      <c r="P536" s="20" t="n"/>
      <c r="Q536" s="19" t="n"/>
      <c r="R536" s="19" t="n"/>
      <c r="Y536" s="19" t="n"/>
    </row>
    <row r="537">
      <c r="C537" s="18" t="n"/>
      <c r="J537" s="19" t="n"/>
      <c r="P537" s="20" t="n"/>
      <c r="Q537" s="19" t="n"/>
      <c r="R537" s="19" t="n"/>
      <c r="Y537" s="19" t="n"/>
    </row>
    <row r="538">
      <c r="C538" s="18" t="n"/>
      <c r="J538" s="19" t="n"/>
      <c r="P538" s="20" t="n"/>
      <c r="Q538" s="19" t="n"/>
      <c r="R538" s="19" t="n"/>
      <c r="Y538" s="19" t="n"/>
    </row>
    <row r="539">
      <c r="C539" s="18" t="n"/>
      <c r="J539" s="19" t="n"/>
      <c r="P539" s="20" t="n"/>
      <c r="Q539" s="19" t="n"/>
      <c r="R539" s="19" t="n"/>
      <c r="Y539" s="19" t="n"/>
    </row>
    <row r="540">
      <c r="C540" s="18" t="n"/>
      <c r="J540" s="19" t="n"/>
      <c r="P540" s="20" t="n"/>
      <c r="Q540" s="19" t="n"/>
      <c r="R540" s="19" t="n"/>
      <c r="Y540" s="19" t="n"/>
    </row>
    <row r="541">
      <c r="C541" s="18" t="n"/>
      <c r="J541" s="19" t="n"/>
      <c r="P541" s="20" t="n"/>
      <c r="Q541" s="19" t="n"/>
      <c r="R541" s="19" t="n"/>
      <c r="Y541" s="19" t="n"/>
    </row>
    <row r="542">
      <c r="C542" s="18" t="n"/>
      <c r="J542" s="19" t="n"/>
      <c r="P542" s="20" t="n"/>
      <c r="Q542" s="19" t="n"/>
      <c r="R542" s="19" t="n"/>
      <c r="Y542" s="19" t="n"/>
    </row>
    <row r="543">
      <c r="C543" s="18" t="n"/>
      <c r="J543" s="19" t="n"/>
      <c r="P543" s="20" t="n"/>
      <c r="Q543" s="19" t="n"/>
      <c r="R543" s="19" t="n"/>
      <c r="Y543" s="19" t="n"/>
    </row>
    <row r="544">
      <c r="C544" s="18" t="n"/>
      <c r="J544" s="19" t="n"/>
      <c r="P544" s="20" t="n"/>
      <c r="Q544" s="19" t="n"/>
      <c r="R544" s="19" t="n"/>
      <c r="Y544" s="19" t="n"/>
    </row>
    <row r="545">
      <c r="C545" s="18" t="n"/>
      <c r="J545" s="19" t="n"/>
      <c r="P545" s="20" t="n"/>
      <c r="Q545" s="19" t="n"/>
      <c r="R545" s="19" t="n"/>
      <c r="Y545" s="19" t="n"/>
    </row>
    <row r="546">
      <c r="C546" s="18" t="n"/>
      <c r="J546" s="19" t="n"/>
      <c r="P546" s="20" t="n"/>
      <c r="Q546" s="19" t="n"/>
      <c r="R546" s="19" t="n"/>
      <c r="Y546" s="19" t="n"/>
    </row>
    <row r="547">
      <c r="C547" s="18" t="n"/>
      <c r="J547" s="19" t="n"/>
      <c r="P547" s="20" t="n"/>
      <c r="Q547" s="19" t="n"/>
      <c r="R547" s="19" t="n"/>
      <c r="Y547" s="19" t="n"/>
    </row>
    <row r="548">
      <c r="C548" s="18" t="n"/>
      <c r="J548" s="19" t="n"/>
      <c r="P548" s="20" t="n"/>
      <c r="Q548" s="19" t="n"/>
      <c r="R548" s="19" t="n"/>
      <c r="Y548" s="19" t="n"/>
    </row>
    <row r="549">
      <c r="C549" s="18" t="n"/>
      <c r="J549" s="19" t="n"/>
      <c r="P549" s="20" t="n"/>
      <c r="Q549" s="19" t="n"/>
      <c r="R549" s="19" t="n"/>
      <c r="Y549" s="19" t="n"/>
    </row>
    <row r="550">
      <c r="C550" s="18" t="n"/>
      <c r="J550" s="19" t="n"/>
      <c r="P550" s="20" t="n"/>
      <c r="Q550" s="19" t="n"/>
      <c r="R550" s="19" t="n"/>
      <c r="Y550" s="19" t="n"/>
    </row>
    <row r="551">
      <c r="C551" s="18" t="n"/>
      <c r="J551" s="19" t="n"/>
      <c r="P551" s="20" t="n"/>
      <c r="Q551" s="19" t="n"/>
      <c r="R551" s="19" t="n"/>
      <c r="Y551" s="19" t="n"/>
    </row>
    <row r="552">
      <c r="C552" s="18" t="n"/>
      <c r="J552" s="19" t="n"/>
      <c r="P552" s="20" t="n"/>
      <c r="Q552" s="19" t="n"/>
      <c r="R552" s="19" t="n"/>
      <c r="Y552" s="19" t="n"/>
    </row>
    <row r="553">
      <c r="C553" s="18" t="n"/>
      <c r="J553" s="19" t="n"/>
      <c r="P553" s="20" t="n"/>
      <c r="Q553" s="19" t="n"/>
      <c r="R553" s="19" t="n"/>
      <c r="Y553" s="19" t="n"/>
    </row>
    <row r="554">
      <c r="C554" s="18" t="n"/>
      <c r="J554" s="19" t="n"/>
      <c r="P554" s="20" t="n"/>
      <c r="Q554" s="19" t="n"/>
      <c r="R554" s="19" t="n"/>
      <c r="Y554" s="19" t="n"/>
    </row>
    <row r="555">
      <c r="C555" s="18" t="n"/>
      <c r="J555" s="19" t="n"/>
      <c r="P555" s="20" t="n"/>
      <c r="Q555" s="19" t="n"/>
      <c r="R555" s="19" t="n"/>
      <c r="Y555" s="19" t="n"/>
    </row>
    <row r="556">
      <c r="C556" s="18" t="n"/>
      <c r="J556" s="19" t="n"/>
      <c r="P556" s="20" t="n"/>
      <c r="Q556" s="19" t="n"/>
      <c r="R556" s="19" t="n"/>
      <c r="Y556" s="19" t="n"/>
    </row>
    <row r="557">
      <c r="C557" s="18" t="n"/>
      <c r="J557" s="19" t="n"/>
      <c r="P557" s="20" t="n"/>
      <c r="Q557" s="19" t="n"/>
      <c r="R557" s="19" t="n"/>
      <c r="Y557" s="19" t="n"/>
    </row>
    <row r="558">
      <c r="C558" s="18" t="n"/>
      <c r="J558" s="19" t="n"/>
      <c r="P558" s="20" t="n"/>
      <c r="Q558" s="19" t="n"/>
      <c r="R558" s="19" t="n"/>
      <c r="Y558" s="19" t="n"/>
    </row>
    <row r="559">
      <c r="C559" s="18" t="n"/>
      <c r="J559" s="19" t="n"/>
      <c r="P559" s="20" t="n"/>
      <c r="Q559" s="19" t="n"/>
      <c r="R559" s="19" t="n"/>
      <c r="Y559" s="19" t="n"/>
    </row>
    <row r="560">
      <c r="C560" s="18" t="n"/>
      <c r="J560" s="19" t="n"/>
      <c r="P560" s="20" t="n"/>
      <c r="Q560" s="19" t="n"/>
      <c r="R560" s="19" t="n"/>
      <c r="Y560" s="19" t="n"/>
    </row>
    <row r="561">
      <c r="C561" s="18" t="n"/>
      <c r="J561" s="19" t="n"/>
      <c r="P561" s="20" t="n"/>
      <c r="Q561" s="19" t="n"/>
      <c r="R561" s="19" t="n"/>
      <c r="Y561" s="19" t="n"/>
    </row>
    <row r="562">
      <c r="C562" s="18" t="n"/>
      <c r="J562" s="19" t="n"/>
      <c r="P562" s="20" t="n"/>
      <c r="Q562" s="19" t="n"/>
      <c r="R562" s="19" t="n"/>
      <c r="Y562" s="19" t="n"/>
    </row>
    <row r="563">
      <c r="C563" s="18" t="n"/>
      <c r="J563" s="19" t="n"/>
      <c r="P563" s="20" t="n"/>
      <c r="Q563" s="19" t="n"/>
      <c r="R563" s="19" t="n"/>
      <c r="Y563" s="19" t="n"/>
    </row>
    <row r="564">
      <c r="C564" s="18" t="n"/>
      <c r="J564" s="19" t="n"/>
      <c r="P564" s="20" t="n"/>
      <c r="Q564" s="19" t="n"/>
      <c r="R564" s="19" t="n"/>
      <c r="Y564" s="19" t="n"/>
    </row>
    <row r="565">
      <c r="C565" s="18" t="n"/>
      <c r="J565" s="19" t="n"/>
      <c r="P565" s="20" t="n"/>
      <c r="Q565" s="19" t="n"/>
      <c r="R565" s="19" t="n"/>
      <c r="Y565" s="19" t="n"/>
    </row>
    <row r="566">
      <c r="C566" s="18" t="n"/>
      <c r="J566" s="19" t="n"/>
      <c r="P566" s="20" t="n"/>
      <c r="Q566" s="19" t="n"/>
      <c r="R566" s="19" t="n"/>
      <c r="Y566" s="19" t="n"/>
    </row>
    <row r="567">
      <c r="C567" s="18" t="n"/>
      <c r="J567" s="19" t="n"/>
      <c r="P567" s="20" t="n"/>
      <c r="Q567" s="19" t="n"/>
      <c r="R567" s="19" t="n"/>
      <c r="Y567" s="19" t="n"/>
    </row>
    <row r="568">
      <c r="C568" s="18" t="n"/>
      <c r="J568" s="19" t="n"/>
      <c r="P568" s="20" t="n"/>
      <c r="Q568" s="19" t="n"/>
      <c r="R568" s="19" t="n"/>
      <c r="Y568" s="19" t="n"/>
    </row>
    <row r="569">
      <c r="C569" s="18" t="n"/>
      <c r="J569" s="19" t="n"/>
      <c r="P569" s="20" t="n"/>
      <c r="Q569" s="19" t="n"/>
      <c r="R569" s="19" t="n"/>
      <c r="Y569" s="19" t="n"/>
    </row>
    <row r="570">
      <c r="C570" s="18" t="n"/>
      <c r="J570" s="19" t="n"/>
      <c r="P570" s="20" t="n"/>
      <c r="Q570" s="19" t="n"/>
      <c r="R570" s="19" t="n"/>
      <c r="Y570" s="19" t="n"/>
    </row>
    <row r="571">
      <c r="C571" s="18" t="n"/>
      <c r="J571" s="19" t="n"/>
      <c r="P571" s="20" t="n"/>
      <c r="Q571" s="19" t="n"/>
      <c r="R571" s="19" t="n"/>
      <c r="Y571" s="19" t="n"/>
    </row>
    <row r="572">
      <c r="C572" s="18" t="n"/>
      <c r="J572" s="19" t="n"/>
      <c r="P572" s="20" t="n"/>
      <c r="Q572" s="19" t="n"/>
      <c r="R572" s="19" t="n"/>
      <c r="Y572" s="19" t="n"/>
    </row>
    <row r="573">
      <c r="C573" s="18" t="n"/>
      <c r="J573" s="19" t="n"/>
      <c r="P573" s="20" t="n"/>
      <c r="Q573" s="19" t="n"/>
      <c r="R573" s="19" t="n"/>
      <c r="Y573" s="19" t="n"/>
    </row>
    <row r="574">
      <c r="C574" s="18" t="n"/>
      <c r="J574" s="19" t="n"/>
      <c r="P574" s="20" t="n"/>
      <c r="Q574" s="19" t="n"/>
      <c r="R574" s="19" t="n"/>
      <c r="Y574" s="19" t="n"/>
    </row>
    <row r="575">
      <c r="C575" s="18" t="n"/>
      <c r="J575" s="19" t="n"/>
      <c r="P575" s="20" t="n"/>
      <c r="Q575" s="19" t="n"/>
      <c r="R575" s="19" t="n"/>
      <c r="Y575" s="19" t="n"/>
    </row>
    <row r="576">
      <c r="C576" s="18" t="n"/>
      <c r="J576" s="19" t="n"/>
      <c r="P576" s="20" t="n"/>
      <c r="Q576" s="19" t="n"/>
      <c r="R576" s="19" t="n"/>
      <c r="Y576" s="19" t="n"/>
    </row>
    <row r="577">
      <c r="C577" s="18" t="n"/>
      <c r="J577" s="19" t="n"/>
      <c r="P577" s="20" t="n"/>
      <c r="Q577" s="19" t="n"/>
      <c r="R577" s="19" t="n"/>
      <c r="Y577" s="19" t="n"/>
    </row>
    <row r="578">
      <c r="C578" s="18" t="n"/>
      <c r="J578" s="19" t="n"/>
      <c r="P578" s="20" t="n"/>
      <c r="Q578" s="19" t="n"/>
      <c r="R578" s="19" t="n"/>
      <c r="Y578" s="19" t="n"/>
    </row>
    <row r="579">
      <c r="C579" s="18" t="n"/>
      <c r="J579" s="19" t="n"/>
      <c r="P579" s="20" t="n"/>
      <c r="Q579" s="19" t="n"/>
      <c r="R579" s="19" t="n"/>
      <c r="Y579" s="19" t="n"/>
    </row>
    <row r="580">
      <c r="C580" s="18" t="n"/>
      <c r="J580" s="19" t="n"/>
      <c r="P580" s="20" t="n"/>
      <c r="Q580" s="19" t="n"/>
      <c r="R580" s="19" t="n"/>
      <c r="Y580" s="19" t="n"/>
    </row>
    <row r="581">
      <c r="C581" s="18" t="n"/>
      <c r="J581" s="19" t="n"/>
      <c r="P581" s="20" t="n"/>
      <c r="Q581" s="19" t="n"/>
      <c r="R581" s="19" t="n"/>
      <c r="Y581" s="19" t="n"/>
    </row>
    <row r="582">
      <c r="C582" s="18" t="n"/>
      <c r="J582" s="19" t="n"/>
      <c r="P582" s="20" t="n"/>
      <c r="Q582" s="19" t="n"/>
      <c r="R582" s="19" t="n"/>
      <c r="Y582" s="19" t="n"/>
    </row>
    <row r="583">
      <c r="C583" s="18" t="n"/>
      <c r="J583" s="19" t="n"/>
      <c r="P583" s="20" t="n"/>
      <c r="Q583" s="19" t="n"/>
      <c r="R583" s="19" t="n"/>
      <c r="Y583" s="19" t="n"/>
    </row>
    <row r="584">
      <c r="C584" s="18" t="n"/>
      <c r="J584" s="19" t="n"/>
      <c r="P584" s="20" t="n"/>
      <c r="Q584" s="19" t="n"/>
      <c r="R584" s="19" t="n"/>
      <c r="Y584" s="19" t="n"/>
    </row>
    <row r="585">
      <c r="C585" s="18" t="n"/>
      <c r="J585" s="19" t="n"/>
      <c r="P585" s="20" t="n"/>
      <c r="Q585" s="19" t="n"/>
      <c r="R585" s="19" t="n"/>
      <c r="Y585" s="19" t="n"/>
    </row>
    <row r="586">
      <c r="C586" s="18" t="n"/>
      <c r="J586" s="19" t="n"/>
      <c r="P586" s="20" t="n"/>
      <c r="Q586" s="19" t="n"/>
      <c r="R586" s="19" t="n"/>
      <c r="Y586" s="19" t="n"/>
    </row>
    <row r="587">
      <c r="C587" s="18" t="n"/>
      <c r="J587" s="19" t="n"/>
      <c r="P587" s="20" t="n"/>
      <c r="Q587" s="19" t="n"/>
      <c r="R587" s="19" t="n"/>
      <c r="Y587" s="19" t="n"/>
    </row>
    <row r="588">
      <c r="C588" s="18" t="n"/>
      <c r="J588" s="19" t="n"/>
      <c r="P588" s="20" t="n"/>
      <c r="Q588" s="19" t="n"/>
      <c r="R588" s="19" t="n"/>
      <c r="Y588" s="19" t="n"/>
    </row>
    <row r="589">
      <c r="C589" s="18" t="n"/>
      <c r="J589" s="19" t="n"/>
      <c r="P589" s="20" t="n"/>
      <c r="Q589" s="19" t="n"/>
      <c r="R589" s="19" t="n"/>
      <c r="Y589" s="19" t="n"/>
    </row>
    <row r="590">
      <c r="C590" s="18" t="n"/>
      <c r="J590" s="19" t="n"/>
      <c r="P590" s="20" t="n"/>
      <c r="Q590" s="19" t="n"/>
      <c r="R590" s="19" t="n"/>
      <c r="Y590" s="19" t="n"/>
    </row>
    <row r="591">
      <c r="C591" s="18" t="n"/>
      <c r="J591" s="19" t="n"/>
      <c r="P591" s="20" t="n"/>
      <c r="Q591" s="19" t="n"/>
      <c r="R591" s="19" t="n"/>
      <c r="Y591" s="19" t="n"/>
    </row>
    <row r="592">
      <c r="C592" s="18" t="n"/>
      <c r="J592" s="19" t="n"/>
      <c r="P592" s="20" t="n"/>
      <c r="Q592" s="19" t="n"/>
      <c r="R592" s="19" t="n"/>
      <c r="Y592" s="19" t="n"/>
    </row>
    <row r="593">
      <c r="C593" s="18" t="n"/>
      <c r="J593" s="19" t="n"/>
      <c r="P593" s="20" t="n"/>
      <c r="Q593" s="19" t="n"/>
      <c r="R593" s="19" t="n"/>
      <c r="Y593" s="19" t="n"/>
    </row>
    <row r="594">
      <c r="C594" s="18" t="n"/>
      <c r="J594" s="19" t="n"/>
      <c r="P594" s="20" t="n"/>
      <c r="Q594" s="19" t="n"/>
      <c r="R594" s="19" t="n"/>
      <c r="Y594" s="19" t="n"/>
    </row>
    <row r="595">
      <c r="C595" s="18" t="n"/>
      <c r="J595" s="19" t="n"/>
      <c r="P595" s="20" t="n"/>
      <c r="Q595" s="19" t="n"/>
      <c r="R595" s="19" t="n"/>
      <c r="Y595" s="19" t="n"/>
    </row>
    <row r="596">
      <c r="C596" s="18" t="n"/>
      <c r="J596" s="19" t="n"/>
      <c r="P596" s="20" t="n"/>
      <c r="Q596" s="19" t="n"/>
      <c r="R596" s="19" t="n"/>
      <c r="Y596" s="19" t="n"/>
    </row>
    <row r="597">
      <c r="C597" s="18" t="n"/>
      <c r="J597" s="19" t="n"/>
      <c r="P597" s="20" t="n"/>
      <c r="Q597" s="19" t="n"/>
      <c r="R597" s="19" t="n"/>
      <c r="Y597" s="19" t="n"/>
    </row>
    <row r="598">
      <c r="C598" s="18" t="n"/>
      <c r="J598" s="19" t="n"/>
      <c r="P598" s="20" t="n"/>
      <c r="Q598" s="19" t="n"/>
      <c r="R598" s="19" t="n"/>
      <c r="Y598" s="19" t="n"/>
    </row>
    <row r="599">
      <c r="C599" s="18" t="n"/>
      <c r="J599" s="19" t="n"/>
      <c r="P599" s="20" t="n"/>
      <c r="Q599" s="19" t="n"/>
      <c r="R599" s="19" t="n"/>
      <c r="Y599" s="19" t="n"/>
    </row>
    <row r="600">
      <c r="C600" s="18" t="n"/>
      <c r="J600" s="19" t="n"/>
      <c r="P600" s="20" t="n"/>
      <c r="Q600" s="19" t="n"/>
      <c r="R600" s="19" t="n"/>
      <c r="Y600" s="19" t="n"/>
    </row>
    <row r="601">
      <c r="C601" s="18" t="n"/>
      <c r="J601" s="19" t="n"/>
      <c r="P601" s="20" t="n"/>
      <c r="Q601" s="19" t="n"/>
      <c r="R601" s="19" t="n"/>
      <c r="Y601" s="19" t="n"/>
    </row>
    <row r="602">
      <c r="C602" s="18" t="n"/>
      <c r="J602" s="19" t="n"/>
      <c r="P602" s="20" t="n"/>
      <c r="Q602" s="19" t="n"/>
      <c r="R602" s="19" t="n"/>
      <c r="Y602" s="19" t="n"/>
    </row>
    <row r="603">
      <c r="C603" s="18" t="n"/>
      <c r="J603" s="19" t="n"/>
      <c r="P603" s="20" t="n"/>
      <c r="Q603" s="19" t="n"/>
      <c r="R603" s="19" t="n"/>
      <c r="Y603" s="19" t="n"/>
    </row>
    <row r="604">
      <c r="C604" s="18" t="n"/>
      <c r="J604" s="19" t="n"/>
      <c r="P604" s="20" t="n"/>
      <c r="Q604" s="19" t="n"/>
      <c r="R604" s="19" t="n"/>
      <c r="Y604" s="19" t="n"/>
    </row>
    <row r="605">
      <c r="C605" s="18" t="n"/>
      <c r="J605" s="19" t="n"/>
      <c r="P605" s="20" t="n"/>
      <c r="Q605" s="19" t="n"/>
      <c r="R605" s="19" t="n"/>
      <c r="Y605" s="19" t="n"/>
    </row>
    <row r="606">
      <c r="C606" s="18" t="n"/>
      <c r="J606" s="19" t="n"/>
      <c r="P606" s="20" t="n"/>
      <c r="Q606" s="19" t="n"/>
      <c r="R606" s="19" t="n"/>
      <c r="Y606" s="19" t="n"/>
    </row>
    <row r="607">
      <c r="C607" s="18" t="n"/>
      <c r="J607" s="19" t="n"/>
      <c r="P607" s="20" t="n"/>
      <c r="Q607" s="19" t="n"/>
      <c r="R607" s="19" t="n"/>
      <c r="Y607" s="19" t="n"/>
    </row>
    <row r="608">
      <c r="C608" s="18" t="n"/>
      <c r="J608" s="19" t="n"/>
      <c r="P608" s="20" t="n"/>
      <c r="Q608" s="19" t="n"/>
      <c r="R608" s="19" t="n"/>
      <c r="Y608" s="19" t="n"/>
    </row>
    <row r="609">
      <c r="C609" s="18" t="n"/>
      <c r="J609" s="19" t="n"/>
      <c r="P609" s="20" t="n"/>
      <c r="Q609" s="19" t="n"/>
      <c r="R609" s="19" t="n"/>
      <c r="Y609" s="19" t="n"/>
    </row>
    <row r="610">
      <c r="C610" s="18" t="n"/>
      <c r="J610" s="19" t="n"/>
      <c r="P610" s="20" t="n"/>
      <c r="Q610" s="19" t="n"/>
      <c r="R610" s="19" t="n"/>
      <c r="Y610" s="19" t="n"/>
    </row>
    <row r="611">
      <c r="C611" s="18" t="n"/>
      <c r="J611" s="19" t="n"/>
      <c r="P611" s="20" t="n"/>
      <c r="Q611" s="19" t="n"/>
      <c r="R611" s="19" t="n"/>
      <c r="Y611" s="19" t="n"/>
    </row>
    <row r="612">
      <c r="C612" s="18" t="n"/>
      <c r="J612" s="19" t="n"/>
      <c r="P612" s="20" t="n"/>
      <c r="Q612" s="19" t="n"/>
      <c r="R612" s="19" t="n"/>
      <c r="Y612" s="19" t="n"/>
    </row>
    <row r="613">
      <c r="C613" s="18" t="n"/>
      <c r="J613" s="19" t="n"/>
      <c r="P613" s="20" t="n"/>
      <c r="Q613" s="19" t="n"/>
      <c r="R613" s="19" t="n"/>
      <c r="Y613" s="19" t="n"/>
    </row>
    <row r="614">
      <c r="C614" s="18" t="n"/>
      <c r="J614" s="19" t="n"/>
      <c r="P614" s="20" t="n"/>
      <c r="Q614" s="19" t="n"/>
      <c r="R614" s="19" t="n"/>
      <c r="Y614" s="19" t="n"/>
    </row>
    <row r="615">
      <c r="C615" s="18" t="n"/>
      <c r="J615" s="19" t="n"/>
      <c r="P615" s="20" t="n"/>
      <c r="Q615" s="19" t="n"/>
      <c r="R615" s="19" t="n"/>
      <c r="Y615" s="19" t="n"/>
    </row>
    <row r="616">
      <c r="C616" s="18" t="n"/>
      <c r="J616" s="19" t="n"/>
      <c r="P616" s="20" t="n"/>
      <c r="Q616" s="19" t="n"/>
      <c r="R616" s="19" t="n"/>
      <c r="Y616" s="19" t="n"/>
    </row>
    <row r="617">
      <c r="C617" s="18" t="n"/>
      <c r="J617" s="19" t="n"/>
      <c r="P617" s="20" t="n"/>
      <c r="Q617" s="19" t="n"/>
      <c r="R617" s="19" t="n"/>
      <c r="Y617" s="19" t="n"/>
    </row>
    <row r="618">
      <c r="C618" s="18" t="n"/>
      <c r="J618" s="19" t="n"/>
      <c r="P618" s="20" t="n"/>
      <c r="Q618" s="19" t="n"/>
      <c r="R618" s="19" t="n"/>
      <c r="Y618" s="19" t="n"/>
    </row>
    <row r="619">
      <c r="C619" s="18" t="n"/>
      <c r="J619" s="19" t="n"/>
      <c r="P619" s="20" t="n"/>
      <c r="Q619" s="19" t="n"/>
      <c r="R619" s="19" t="n"/>
      <c r="Y619" s="19" t="n"/>
    </row>
    <row r="620">
      <c r="C620" s="18" t="n"/>
      <c r="J620" s="19" t="n"/>
      <c r="P620" s="20" t="n"/>
      <c r="Q620" s="19" t="n"/>
      <c r="R620" s="19" t="n"/>
      <c r="Y620" s="19" t="n"/>
    </row>
    <row r="621">
      <c r="C621" s="18" t="n"/>
      <c r="J621" s="19" t="n"/>
      <c r="P621" s="20" t="n"/>
      <c r="Q621" s="19" t="n"/>
      <c r="R621" s="19" t="n"/>
      <c r="Y621" s="19" t="n"/>
    </row>
    <row r="622">
      <c r="C622" s="18" t="n"/>
      <c r="J622" s="19" t="n"/>
      <c r="P622" s="20" t="n"/>
      <c r="Q622" s="19" t="n"/>
      <c r="R622" s="19" t="n"/>
      <c r="Y622" s="19" t="n"/>
    </row>
    <row r="623">
      <c r="C623" s="18" t="n"/>
      <c r="J623" s="19" t="n"/>
      <c r="P623" s="20" t="n"/>
      <c r="Q623" s="19" t="n"/>
      <c r="R623" s="19" t="n"/>
      <c r="Y623" s="19" t="n"/>
    </row>
    <row r="624">
      <c r="C624" s="18" t="n"/>
      <c r="J624" s="19" t="n"/>
      <c r="P624" s="20" t="n"/>
      <c r="Q624" s="19" t="n"/>
      <c r="R624" s="19" t="n"/>
      <c r="Y624" s="19" t="n"/>
    </row>
    <row r="625">
      <c r="C625" s="18" t="n"/>
      <c r="J625" s="19" t="n"/>
      <c r="P625" s="20" t="n"/>
      <c r="Q625" s="19" t="n"/>
      <c r="R625" s="19" t="n"/>
      <c r="Y625" s="19" t="n"/>
    </row>
    <row r="626">
      <c r="C626" s="18" t="n"/>
      <c r="J626" s="19" t="n"/>
      <c r="P626" s="20" t="n"/>
      <c r="Q626" s="19" t="n"/>
      <c r="R626" s="19" t="n"/>
      <c r="Y626" s="19" t="n"/>
    </row>
    <row r="627">
      <c r="C627" s="18" t="n"/>
      <c r="J627" s="19" t="n"/>
      <c r="P627" s="20" t="n"/>
      <c r="Q627" s="19" t="n"/>
      <c r="R627" s="19" t="n"/>
      <c r="Y627" s="19" t="n"/>
    </row>
    <row r="628">
      <c r="C628" s="18" t="n"/>
      <c r="J628" s="19" t="n"/>
      <c r="P628" s="20" t="n"/>
      <c r="Q628" s="19" t="n"/>
      <c r="R628" s="19" t="n"/>
      <c r="Y628" s="19" t="n"/>
    </row>
    <row r="629">
      <c r="C629" s="18" t="n"/>
      <c r="J629" s="19" t="n"/>
      <c r="P629" s="20" t="n"/>
      <c r="Q629" s="19" t="n"/>
      <c r="R629" s="19" t="n"/>
      <c r="Y629" s="19" t="n"/>
    </row>
    <row r="630">
      <c r="C630" s="18" t="n"/>
      <c r="J630" s="19" t="n"/>
      <c r="P630" s="20" t="n"/>
      <c r="Q630" s="19" t="n"/>
      <c r="R630" s="19" t="n"/>
      <c r="Y630" s="19" t="n"/>
    </row>
    <row r="631">
      <c r="C631" s="18" t="n"/>
      <c r="J631" s="19" t="n"/>
      <c r="P631" s="20" t="n"/>
      <c r="Q631" s="19" t="n"/>
      <c r="R631" s="19" t="n"/>
      <c r="Y631" s="19" t="n"/>
    </row>
    <row r="632">
      <c r="C632" s="18" t="n"/>
      <c r="J632" s="19" t="n"/>
      <c r="P632" s="20" t="n"/>
      <c r="Q632" s="19" t="n"/>
      <c r="R632" s="19" t="n"/>
      <c r="Y632" s="19" t="n"/>
    </row>
    <row r="633">
      <c r="C633" s="18" t="n"/>
      <c r="J633" s="19" t="n"/>
      <c r="P633" s="20" t="n"/>
      <c r="Q633" s="19" t="n"/>
      <c r="R633" s="19" t="n"/>
      <c r="Y633" s="19" t="n"/>
    </row>
    <row r="634">
      <c r="C634" s="18" t="n"/>
      <c r="J634" s="19" t="n"/>
      <c r="P634" s="20" t="n"/>
      <c r="Q634" s="19" t="n"/>
      <c r="R634" s="19" t="n"/>
      <c r="Y634" s="19" t="n"/>
    </row>
    <row r="635">
      <c r="C635" s="18" t="n"/>
      <c r="J635" s="19" t="n"/>
      <c r="P635" s="20" t="n"/>
      <c r="Q635" s="19" t="n"/>
      <c r="R635" s="19" t="n"/>
      <c r="Y635" s="19" t="n"/>
    </row>
    <row r="636">
      <c r="C636" s="18" t="n"/>
      <c r="J636" s="19" t="n"/>
      <c r="P636" s="20" t="n"/>
      <c r="Q636" s="19" t="n"/>
      <c r="R636" s="19" t="n"/>
      <c r="Y636" s="19" t="n"/>
    </row>
    <row r="637">
      <c r="C637" s="18" t="n"/>
      <c r="J637" s="19" t="n"/>
      <c r="P637" s="20" t="n"/>
      <c r="Q637" s="19" t="n"/>
      <c r="R637" s="19" t="n"/>
      <c r="Y637" s="19" t="n"/>
    </row>
    <row r="638">
      <c r="C638" s="18" t="n"/>
      <c r="J638" s="19" t="n"/>
      <c r="P638" s="20" t="n"/>
      <c r="Q638" s="19" t="n"/>
      <c r="R638" s="19" t="n"/>
      <c r="Y638" s="19" t="n"/>
    </row>
    <row r="639">
      <c r="C639" s="18" t="n"/>
      <c r="J639" s="19" t="n"/>
      <c r="P639" s="20" t="n"/>
      <c r="Q639" s="19" t="n"/>
      <c r="R639" s="19" t="n"/>
      <c r="Y639" s="19" t="n"/>
    </row>
    <row r="640">
      <c r="C640" s="18" t="n"/>
      <c r="J640" s="19" t="n"/>
      <c r="P640" s="20" t="n"/>
      <c r="Q640" s="19" t="n"/>
      <c r="R640" s="19" t="n"/>
      <c r="Y640" s="19" t="n"/>
    </row>
    <row r="641">
      <c r="C641" s="18" t="n"/>
      <c r="J641" s="19" t="n"/>
      <c r="P641" s="20" t="n"/>
      <c r="Q641" s="19" t="n"/>
      <c r="R641" s="19" t="n"/>
      <c r="Y641" s="19" t="n"/>
    </row>
    <row r="642">
      <c r="C642" s="18" t="n"/>
      <c r="J642" s="19" t="n"/>
      <c r="P642" s="20" t="n"/>
      <c r="Q642" s="19" t="n"/>
      <c r="R642" s="19" t="n"/>
      <c r="Y642" s="19" t="n"/>
    </row>
    <row r="643">
      <c r="C643" s="18" t="n"/>
      <c r="J643" s="19" t="n"/>
      <c r="P643" s="20" t="n"/>
      <c r="Q643" s="19" t="n"/>
      <c r="R643" s="19" t="n"/>
      <c r="Y643" s="19" t="n"/>
    </row>
    <row r="644">
      <c r="C644" s="18" t="n"/>
      <c r="J644" s="19" t="n"/>
      <c r="P644" s="20" t="n"/>
      <c r="Q644" s="19" t="n"/>
      <c r="R644" s="19" t="n"/>
      <c r="Y644" s="19" t="n"/>
    </row>
    <row r="645">
      <c r="C645" s="18" t="n"/>
      <c r="J645" s="19" t="n"/>
      <c r="P645" s="20" t="n"/>
      <c r="Q645" s="19" t="n"/>
      <c r="R645" s="19" t="n"/>
      <c r="Y645" s="19" t="n"/>
    </row>
    <row r="646">
      <c r="C646" s="18" t="n"/>
      <c r="J646" s="19" t="n"/>
      <c r="P646" s="20" t="n"/>
      <c r="Q646" s="19" t="n"/>
      <c r="R646" s="19" t="n"/>
      <c r="Y646" s="19" t="n"/>
    </row>
    <row r="647">
      <c r="C647" s="18" t="n"/>
      <c r="J647" s="19" t="n"/>
      <c r="P647" s="20" t="n"/>
      <c r="Q647" s="19" t="n"/>
      <c r="R647" s="19" t="n"/>
      <c r="Y647" s="19" t="n"/>
    </row>
    <row r="648">
      <c r="C648" s="18" t="n"/>
      <c r="J648" s="19" t="n"/>
      <c r="P648" s="20" t="n"/>
      <c r="Q648" s="19" t="n"/>
      <c r="R648" s="19" t="n"/>
      <c r="Y648" s="19" t="n"/>
    </row>
    <row r="649">
      <c r="C649" s="18" t="n"/>
      <c r="J649" s="19" t="n"/>
      <c r="P649" s="20" t="n"/>
      <c r="Q649" s="19" t="n"/>
      <c r="R649" s="19" t="n"/>
      <c r="Y649" s="19" t="n"/>
    </row>
    <row r="650">
      <c r="C650" s="18" t="n"/>
      <c r="J650" s="19" t="n"/>
      <c r="P650" s="20" t="n"/>
      <c r="Q650" s="19" t="n"/>
      <c r="R650" s="19" t="n"/>
      <c r="Y650" s="19" t="n"/>
    </row>
    <row r="651">
      <c r="C651" s="18" t="n"/>
      <c r="J651" s="19" t="n"/>
      <c r="P651" s="20" t="n"/>
      <c r="Q651" s="19" t="n"/>
      <c r="R651" s="19" t="n"/>
      <c r="Y651" s="19" t="n"/>
    </row>
    <row r="652">
      <c r="C652" s="18" t="n"/>
      <c r="J652" s="19" t="n"/>
      <c r="P652" s="20" t="n"/>
      <c r="Q652" s="19" t="n"/>
      <c r="R652" s="19" t="n"/>
      <c r="Y652" s="19" t="n"/>
    </row>
    <row r="653">
      <c r="C653" s="18" t="n"/>
      <c r="J653" s="19" t="n"/>
      <c r="P653" s="20" t="n"/>
      <c r="Q653" s="19" t="n"/>
      <c r="R653" s="19" t="n"/>
      <c r="Y653" s="19" t="n"/>
    </row>
    <row r="654">
      <c r="C654" s="18" t="n"/>
      <c r="J654" s="19" t="n"/>
      <c r="P654" s="20" t="n"/>
      <c r="Q654" s="19" t="n"/>
      <c r="R654" s="19" t="n"/>
      <c r="Y654" s="19" t="n"/>
    </row>
    <row r="655">
      <c r="C655" s="18" t="n"/>
      <c r="J655" s="19" t="n"/>
      <c r="P655" s="20" t="n"/>
      <c r="Q655" s="19" t="n"/>
      <c r="R655" s="19" t="n"/>
      <c r="Y655" s="19" t="n"/>
    </row>
    <row r="656">
      <c r="C656" s="18" t="n"/>
      <c r="J656" s="19" t="n"/>
      <c r="P656" s="20" t="n"/>
      <c r="Q656" s="19" t="n"/>
      <c r="R656" s="19" t="n"/>
      <c r="Y656" s="19" t="n"/>
    </row>
    <row r="657">
      <c r="C657" s="18" t="n"/>
      <c r="J657" s="19" t="n"/>
      <c r="P657" s="20" t="n"/>
      <c r="Q657" s="19" t="n"/>
      <c r="R657" s="19" t="n"/>
      <c r="Y657" s="19" t="n"/>
    </row>
    <row r="658">
      <c r="C658" s="18" t="n"/>
      <c r="J658" s="19" t="n"/>
      <c r="P658" s="20" t="n"/>
      <c r="Q658" s="19" t="n"/>
      <c r="R658" s="19" t="n"/>
      <c r="Y658" s="19" t="n"/>
    </row>
    <row r="659">
      <c r="C659" s="18" t="n"/>
      <c r="J659" s="19" t="n"/>
      <c r="P659" s="20" t="n"/>
      <c r="Q659" s="19" t="n"/>
      <c r="R659" s="19" t="n"/>
      <c r="Y659" s="19" t="n"/>
    </row>
    <row r="660">
      <c r="C660" s="18" t="n"/>
      <c r="J660" s="19" t="n"/>
      <c r="P660" s="20" t="n"/>
      <c r="Q660" s="19" t="n"/>
      <c r="R660" s="19" t="n"/>
      <c r="Y660" s="19" t="n"/>
    </row>
    <row r="661">
      <c r="C661" s="18" t="n"/>
      <c r="J661" s="19" t="n"/>
      <c r="P661" s="20" t="n"/>
      <c r="Q661" s="19" t="n"/>
      <c r="R661" s="19" t="n"/>
      <c r="Y661" s="19" t="n"/>
    </row>
    <row r="662">
      <c r="C662" s="18" t="n"/>
      <c r="J662" s="19" t="n"/>
      <c r="P662" s="20" t="n"/>
      <c r="Q662" s="19" t="n"/>
      <c r="R662" s="19" t="n"/>
      <c r="Y662" s="19" t="n"/>
    </row>
    <row r="663">
      <c r="C663" s="18" t="n"/>
      <c r="J663" s="19" t="n"/>
      <c r="P663" s="20" t="n"/>
      <c r="Q663" s="19" t="n"/>
      <c r="R663" s="19" t="n"/>
      <c r="Y663" s="19" t="n"/>
    </row>
    <row r="664">
      <c r="C664" s="18" t="n"/>
      <c r="J664" s="19" t="n"/>
      <c r="P664" s="20" t="n"/>
      <c r="Q664" s="19" t="n"/>
      <c r="R664" s="19" t="n"/>
      <c r="Y664" s="19" t="n"/>
    </row>
    <row r="665">
      <c r="C665" s="18" t="n"/>
      <c r="J665" s="19" t="n"/>
      <c r="P665" s="20" t="n"/>
      <c r="Q665" s="19" t="n"/>
      <c r="R665" s="19" t="n"/>
      <c r="Y665" s="19" t="n"/>
    </row>
    <row r="666">
      <c r="C666" s="18" t="n"/>
      <c r="J666" s="19" t="n"/>
      <c r="P666" s="20" t="n"/>
      <c r="Q666" s="19" t="n"/>
      <c r="R666" s="19" t="n"/>
      <c r="Y666" s="19" t="n"/>
    </row>
    <row r="667">
      <c r="C667" s="18" t="n"/>
      <c r="J667" s="19" t="n"/>
      <c r="P667" s="20" t="n"/>
      <c r="Q667" s="19" t="n"/>
      <c r="R667" s="19" t="n"/>
      <c r="Y667" s="19" t="n"/>
    </row>
    <row r="668">
      <c r="C668" s="18" t="n"/>
      <c r="J668" s="19" t="n"/>
      <c r="P668" s="20" t="n"/>
      <c r="Q668" s="19" t="n"/>
      <c r="R668" s="19" t="n"/>
      <c r="Y668" s="19" t="n"/>
    </row>
    <row r="669">
      <c r="C669" s="18" t="n"/>
      <c r="J669" s="19" t="n"/>
      <c r="P669" s="20" t="n"/>
      <c r="Q669" s="19" t="n"/>
      <c r="R669" s="19" t="n"/>
      <c r="Y669" s="19" t="n"/>
    </row>
    <row r="670">
      <c r="C670" s="18" t="n"/>
      <c r="J670" s="19" t="n"/>
      <c r="P670" s="20" t="n"/>
      <c r="Q670" s="19" t="n"/>
      <c r="R670" s="19" t="n"/>
      <c r="Y670" s="19" t="n"/>
    </row>
    <row r="671">
      <c r="C671" s="18" t="n"/>
      <c r="J671" s="19" t="n"/>
      <c r="P671" s="20" t="n"/>
      <c r="Q671" s="19" t="n"/>
      <c r="R671" s="19" t="n"/>
      <c r="Y671" s="19" t="n"/>
    </row>
    <row r="672">
      <c r="C672" s="18" t="n"/>
      <c r="J672" s="19" t="n"/>
      <c r="P672" s="20" t="n"/>
      <c r="Q672" s="19" t="n"/>
      <c r="R672" s="19" t="n"/>
      <c r="Y672" s="19" t="n"/>
    </row>
    <row r="673">
      <c r="C673" s="18" t="n"/>
      <c r="J673" s="19" t="n"/>
      <c r="P673" s="20" t="n"/>
      <c r="Q673" s="19" t="n"/>
      <c r="R673" s="19" t="n"/>
      <c r="Y673" s="19" t="n"/>
    </row>
    <row r="674">
      <c r="C674" s="18" t="n"/>
      <c r="J674" s="19" t="n"/>
      <c r="P674" s="20" t="n"/>
      <c r="Q674" s="19" t="n"/>
      <c r="R674" s="19" t="n"/>
      <c r="Y674" s="19" t="n"/>
    </row>
    <row r="675">
      <c r="C675" s="18" t="n"/>
      <c r="J675" s="19" t="n"/>
      <c r="P675" s="20" t="n"/>
      <c r="Q675" s="19" t="n"/>
      <c r="R675" s="19" t="n"/>
      <c r="Y675" s="19" t="n"/>
    </row>
    <row r="676">
      <c r="C676" s="18" t="n"/>
      <c r="J676" s="19" t="n"/>
      <c r="P676" s="20" t="n"/>
      <c r="Q676" s="19" t="n"/>
      <c r="R676" s="19" t="n"/>
      <c r="Y676" s="19" t="n"/>
    </row>
    <row r="677">
      <c r="C677" s="18" t="n"/>
      <c r="J677" s="19" t="n"/>
      <c r="P677" s="20" t="n"/>
      <c r="Q677" s="19" t="n"/>
      <c r="R677" s="19" t="n"/>
      <c r="Y677" s="19" t="n"/>
    </row>
    <row r="678">
      <c r="C678" s="18" t="n"/>
      <c r="J678" s="19" t="n"/>
      <c r="P678" s="20" t="n"/>
      <c r="Q678" s="19" t="n"/>
      <c r="R678" s="19" t="n"/>
      <c r="Y678" s="19" t="n"/>
    </row>
    <row r="679">
      <c r="C679" s="18" t="n"/>
      <c r="J679" s="19" t="n"/>
      <c r="P679" s="20" t="n"/>
      <c r="Q679" s="19" t="n"/>
      <c r="R679" s="19" t="n"/>
      <c r="Y679" s="19" t="n"/>
    </row>
    <row r="680">
      <c r="C680" s="18" t="n"/>
      <c r="J680" s="19" t="n"/>
      <c r="P680" s="20" t="n"/>
      <c r="Q680" s="19" t="n"/>
      <c r="R680" s="19" t="n"/>
      <c r="Y680" s="19" t="n"/>
    </row>
    <row r="681">
      <c r="C681" s="18" t="n"/>
      <c r="J681" s="19" t="n"/>
      <c r="P681" s="20" t="n"/>
      <c r="Q681" s="19" t="n"/>
      <c r="R681" s="19" t="n"/>
      <c r="Y681" s="19" t="n"/>
    </row>
    <row r="682">
      <c r="C682" s="18" t="n"/>
      <c r="J682" s="19" t="n"/>
      <c r="P682" s="20" t="n"/>
      <c r="Q682" s="19" t="n"/>
      <c r="R682" s="19" t="n"/>
      <c r="Y682" s="19" t="n"/>
    </row>
    <row r="683">
      <c r="C683" s="18" t="n"/>
      <c r="J683" s="19" t="n"/>
      <c r="P683" s="20" t="n"/>
      <c r="Q683" s="19" t="n"/>
      <c r="R683" s="19" t="n"/>
      <c r="Y683" s="19" t="n"/>
    </row>
    <row r="684">
      <c r="C684" s="18" t="n"/>
      <c r="J684" s="19" t="n"/>
      <c r="P684" s="20" t="n"/>
      <c r="Q684" s="19" t="n"/>
      <c r="R684" s="19" t="n"/>
      <c r="Y684" s="19" t="n"/>
    </row>
    <row r="685">
      <c r="C685" s="18" t="n"/>
      <c r="J685" s="19" t="n"/>
      <c r="P685" s="20" t="n"/>
      <c r="Q685" s="19" t="n"/>
      <c r="R685" s="19" t="n"/>
      <c r="Y685" s="19" t="n"/>
    </row>
    <row r="686">
      <c r="C686" s="18" t="n"/>
      <c r="J686" s="19" t="n"/>
      <c r="P686" s="20" t="n"/>
      <c r="Q686" s="19" t="n"/>
      <c r="R686" s="19" t="n"/>
      <c r="Y686" s="19" t="n"/>
    </row>
    <row r="687">
      <c r="C687" s="18" t="n"/>
      <c r="J687" s="19" t="n"/>
      <c r="P687" s="20" t="n"/>
      <c r="Q687" s="19" t="n"/>
      <c r="R687" s="19" t="n"/>
      <c r="Y687" s="19" t="n"/>
    </row>
    <row r="688">
      <c r="C688" s="18" t="n"/>
      <c r="J688" s="19" t="n"/>
      <c r="P688" s="20" t="n"/>
      <c r="Q688" s="19" t="n"/>
      <c r="R688" s="19" t="n"/>
      <c r="Y688" s="19" t="n"/>
    </row>
    <row r="689">
      <c r="C689" s="18" t="n"/>
      <c r="J689" s="19" t="n"/>
      <c r="P689" s="20" t="n"/>
      <c r="Q689" s="19" t="n"/>
      <c r="R689" s="19" t="n"/>
      <c r="Y689" s="19" t="n"/>
    </row>
    <row r="690">
      <c r="C690" s="18" t="n"/>
      <c r="J690" s="19" t="n"/>
      <c r="P690" s="20" t="n"/>
      <c r="Q690" s="19" t="n"/>
      <c r="R690" s="19" t="n"/>
      <c r="Y690" s="19" t="n"/>
    </row>
    <row r="691">
      <c r="C691" s="18" t="n"/>
      <c r="J691" s="19" t="n"/>
      <c r="P691" s="20" t="n"/>
      <c r="Q691" s="19" t="n"/>
      <c r="R691" s="19" t="n"/>
      <c r="Y691" s="19" t="n"/>
    </row>
    <row r="692">
      <c r="C692" s="18" t="n"/>
      <c r="J692" s="19" t="n"/>
      <c r="P692" s="20" t="n"/>
      <c r="Q692" s="19" t="n"/>
      <c r="R692" s="19" t="n"/>
      <c r="Y692" s="19" t="n"/>
    </row>
    <row r="693">
      <c r="C693" s="18" t="n"/>
      <c r="J693" s="19" t="n"/>
      <c r="P693" s="20" t="n"/>
      <c r="Q693" s="19" t="n"/>
      <c r="R693" s="19" t="n"/>
      <c r="Y693" s="19" t="n"/>
    </row>
    <row r="694">
      <c r="C694" s="18" t="n"/>
      <c r="J694" s="19" t="n"/>
      <c r="P694" s="20" t="n"/>
      <c r="Q694" s="19" t="n"/>
      <c r="R694" s="19" t="n"/>
      <c r="Y694" s="19" t="n"/>
    </row>
    <row r="695">
      <c r="C695" s="18" t="n"/>
      <c r="J695" s="19" t="n"/>
      <c r="P695" s="20" t="n"/>
      <c r="Q695" s="19" t="n"/>
      <c r="R695" s="19" t="n"/>
      <c r="Y695" s="19" t="n"/>
    </row>
    <row r="696">
      <c r="C696" s="18" t="n"/>
      <c r="J696" s="19" t="n"/>
      <c r="P696" s="20" t="n"/>
      <c r="Q696" s="19" t="n"/>
      <c r="R696" s="19" t="n"/>
      <c r="Y696" s="19" t="n"/>
    </row>
    <row r="697">
      <c r="C697" s="18" t="n"/>
      <c r="J697" s="19" t="n"/>
      <c r="P697" s="20" t="n"/>
      <c r="Q697" s="19" t="n"/>
      <c r="R697" s="19" t="n"/>
      <c r="Y697" s="19" t="n"/>
    </row>
    <row r="698">
      <c r="C698" s="18" t="n"/>
      <c r="J698" s="19" t="n"/>
      <c r="P698" s="20" t="n"/>
      <c r="Q698" s="19" t="n"/>
      <c r="R698" s="19" t="n"/>
      <c r="Y698" s="19" t="n"/>
    </row>
    <row r="699">
      <c r="C699" s="18" t="n"/>
      <c r="J699" s="19" t="n"/>
      <c r="P699" s="20" t="n"/>
      <c r="Q699" s="19" t="n"/>
      <c r="R699" s="19" t="n"/>
      <c r="Y699" s="19" t="n"/>
    </row>
    <row r="700">
      <c r="C700" s="18" t="n"/>
      <c r="J700" s="19" t="n"/>
      <c r="P700" s="20" t="n"/>
      <c r="Q700" s="19" t="n"/>
      <c r="R700" s="19" t="n"/>
      <c r="Y700" s="19" t="n"/>
    </row>
    <row r="701">
      <c r="C701" s="18" t="n"/>
      <c r="J701" s="19" t="n"/>
      <c r="P701" s="20" t="n"/>
      <c r="Q701" s="19" t="n"/>
      <c r="R701" s="19" t="n"/>
      <c r="Y701" s="19" t="n"/>
    </row>
    <row r="702">
      <c r="C702" s="18" t="n"/>
      <c r="J702" s="19" t="n"/>
      <c r="P702" s="20" t="n"/>
      <c r="Q702" s="19" t="n"/>
      <c r="R702" s="19" t="n"/>
      <c r="Y702" s="19" t="n"/>
    </row>
    <row r="703">
      <c r="C703" s="18" t="n"/>
      <c r="J703" s="19" t="n"/>
      <c r="P703" s="20" t="n"/>
      <c r="Q703" s="19" t="n"/>
      <c r="R703" s="19" t="n"/>
      <c r="Y703" s="19" t="n"/>
    </row>
    <row r="704">
      <c r="C704" s="18" t="n"/>
      <c r="J704" s="19" t="n"/>
      <c r="P704" s="20" t="n"/>
      <c r="Q704" s="19" t="n"/>
      <c r="R704" s="19" t="n"/>
      <c r="Y704" s="19" t="n"/>
    </row>
    <row r="705">
      <c r="C705" s="18" t="n"/>
      <c r="J705" s="19" t="n"/>
      <c r="P705" s="20" t="n"/>
      <c r="Q705" s="19" t="n"/>
      <c r="R705" s="19" t="n"/>
      <c r="Y705" s="19" t="n"/>
    </row>
    <row r="706">
      <c r="C706" s="18" t="n"/>
      <c r="J706" s="19" t="n"/>
      <c r="P706" s="20" t="n"/>
      <c r="Q706" s="19" t="n"/>
      <c r="R706" s="19" t="n"/>
      <c r="Y706" s="19" t="n"/>
    </row>
    <row r="707">
      <c r="C707" s="18" t="n"/>
      <c r="J707" s="19" t="n"/>
      <c r="P707" s="20" t="n"/>
      <c r="Q707" s="19" t="n"/>
      <c r="R707" s="19" t="n"/>
      <c r="Y707" s="19" t="n"/>
    </row>
    <row r="708">
      <c r="C708" s="18" t="n"/>
      <c r="J708" s="19" t="n"/>
      <c r="P708" s="20" t="n"/>
      <c r="Q708" s="19" t="n"/>
      <c r="R708" s="19" t="n"/>
      <c r="Y708" s="19" t="n"/>
    </row>
    <row r="709">
      <c r="C709" s="18" t="n"/>
      <c r="J709" s="19" t="n"/>
      <c r="P709" s="20" t="n"/>
      <c r="Q709" s="19" t="n"/>
      <c r="R709" s="19" t="n"/>
      <c r="Y709" s="19" t="n"/>
    </row>
    <row r="710">
      <c r="C710" s="18" t="n"/>
      <c r="J710" s="19" t="n"/>
      <c r="P710" s="20" t="n"/>
      <c r="Q710" s="19" t="n"/>
      <c r="R710" s="19" t="n"/>
      <c r="Y710" s="19" t="n"/>
    </row>
    <row r="711">
      <c r="C711" s="18" t="n"/>
      <c r="J711" s="19" t="n"/>
      <c r="P711" s="20" t="n"/>
      <c r="Q711" s="19" t="n"/>
      <c r="R711" s="19" t="n"/>
      <c r="Y711" s="19" t="n"/>
    </row>
    <row r="712">
      <c r="C712" s="18" t="n"/>
      <c r="J712" s="19" t="n"/>
      <c r="P712" s="20" t="n"/>
      <c r="Q712" s="19" t="n"/>
      <c r="R712" s="19" t="n"/>
      <c r="Y712" s="19" t="n"/>
    </row>
    <row r="713">
      <c r="C713" s="18" t="n"/>
      <c r="J713" s="19" t="n"/>
      <c r="P713" s="20" t="n"/>
      <c r="Q713" s="19" t="n"/>
      <c r="R713" s="19" t="n"/>
      <c r="Y713" s="19" t="n"/>
    </row>
    <row r="714">
      <c r="C714" s="18" t="n"/>
      <c r="J714" s="19" t="n"/>
      <c r="P714" s="20" t="n"/>
      <c r="Q714" s="19" t="n"/>
      <c r="R714" s="19" t="n"/>
      <c r="Y714" s="19" t="n"/>
    </row>
    <row r="715">
      <c r="C715" s="18" t="n"/>
      <c r="J715" s="19" t="n"/>
      <c r="P715" s="20" t="n"/>
      <c r="Q715" s="19" t="n"/>
      <c r="R715" s="19" t="n"/>
      <c r="Y715" s="19" t="n"/>
    </row>
    <row r="716">
      <c r="C716" s="18" t="n"/>
      <c r="J716" s="19" t="n"/>
      <c r="P716" s="20" t="n"/>
      <c r="Q716" s="19" t="n"/>
      <c r="R716" s="19" t="n"/>
      <c r="Y716" s="19" t="n"/>
    </row>
    <row r="717">
      <c r="C717" s="18" t="n"/>
      <c r="J717" s="19" t="n"/>
      <c r="P717" s="20" t="n"/>
      <c r="Q717" s="19" t="n"/>
      <c r="R717" s="19" t="n"/>
      <c r="Y717" s="19" t="n"/>
    </row>
    <row r="718">
      <c r="C718" s="18" t="n"/>
      <c r="J718" s="19" t="n"/>
      <c r="P718" s="20" t="n"/>
      <c r="Q718" s="19" t="n"/>
      <c r="R718" s="19" t="n"/>
      <c r="Y718" s="19" t="n"/>
    </row>
    <row r="719">
      <c r="C719" s="18" t="n"/>
      <c r="J719" s="19" t="n"/>
      <c r="P719" s="20" t="n"/>
      <c r="Q719" s="19" t="n"/>
      <c r="R719" s="19" t="n"/>
      <c r="Y719" s="19" t="n"/>
    </row>
    <row r="720">
      <c r="C720" s="18" t="n"/>
      <c r="J720" s="19" t="n"/>
      <c r="P720" s="20" t="n"/>
      <c r="Q720" s="19" t="n"/>
      <c r="R720" s="19" t="n"/>
      <c r="Y720" s="19" t="n"/>
    </row>
    <row r="721">
      <c r="C721" s="18" t="n"/>
      <c r="J721" s="19" t="n"/>
      <c r="P721" s="20" t="n"/>
      <c r="Q721" s="19" t="n"/>
      <c r="R721" s="19" t="n"/>
      <c r="Y721" s="19" t="n"/>
    </row>
    <row r="722">
      <c r="C722" s="18" t="n"/>
      <c r="J722" s="19" t="n"/>
      <c r="P722" s="20" t="n"/>
      <c r="Q722" s="19" t="n"/>
      <c r="R722" s="19" t="n"/>
      <c r="Y722" s="19" t="n"/>
    </row>
    <row r="723">
      <c r="C723" s="18" t="n"/>
      <c r="J723" s="19" t="n"/>
      <c r="P723" s="20" t="n"/>
      <c r="Q723" s="19" t="n"/>
      <c r="R723" s="19" t="n"/>
      <c r="Y723" s="19" t="n"/>
    </row>
    <row r="724">
      <c r="C724" s="18" t="n"/>
      <c r="J724" s="19" t="n"/>
      <c r="P724" s="20" t="n"/>
      <c r="Q724" s="19" t="n"/>
      <c r="R724" s="19" t="n"/>
      <c r="Y724" s="19" t="n"/>
    </row>
    <row r="725">
      <c r="C725" s="18" t="n"/>
      <c r="J725" s="19" t="n"/>
      <c r="P725" s="20" t="n"/>
      <c r="Q725" s="19" t="n"/>
      <c r="R725" s="19" t="n"/>
      <c r="Y725" s="19" t="n"/>
    </row>
    <row r="726">
      <c r="C726" s="18" t="n"/>
      <c r="J726" s="19" t="n"/>
      <c r="P726" s="20" t="n"/>
      <c r="Q726" s="19" t="n"/>
      <c r="R726" s="19" t="n"/>
      <c r="Y726" s="19" t="n"/>
    </row>
    <row r="727">
      <c r="C727" s="18" t="n"/>
      <c r="J727" s="19" t="n"/>
      <c r="P727" s="20" t="n"/>
      <c r="Q727" s="19" t="n"/>
      <c r="R727" s="19" t="n"/>
      <c r="Y727" s="19" t="n"/>
    </row>
    <row r="728">
      <c r="C728" s="18" t="n"/>
      <c r="J728" s="19" t="n"/>
      <c r="P728" s="20" t="n"/>
      <c r="Q728" s="19" t="n"/>
      <c r="R728" s="19" t="n"/>
      <c r="Y728" s="19" t="n"/>
    </row>
    <row r="729">
      <c r="C729" s="18" t="n"/>
      <c r="J729" s="19" t="n"/>
      <c r="P729" s="20" t="n"/>
      <c r="Q729" s="19" t="n"/>
      <c r="R729" s="19" t="n"/>
      <c r="Y729" s="19" t="n"/>
    </row>
    <row r="730">
      <c r="C730" s="18" t="n"/>
      <c r="J730" s="19" t="n"/>
      <c r="P730" s="20" t="n"/>
      <c r="Q730" s="19" t="n"/>
      <c r="R730" s="19" t="n"/>
      <c r="Y730" s="19" t="n"/>
    </row>
    <row r="731">
      <c r="C731" s="18" t="n"/>
      <c r="J731" s="19" t="n"/>
      <c r="P731" s="20" t="n"/>
      <c r="Q731" s="19" t="n"/>
      <c r="R731" s="19" t="n"/>
      <c r="Y731" s="19" t="n"/>
    </row>
    <row r="732">
      <c r="C732" s="18" t="n"/>
      <c r="J732" s="19" t="n"/>
      <c r="P732" s="20" t="n"/>
      <c r="Q732" s="19" t="n"/>
      <c r="R732" s="19" t="n"/>
      <c r="Y732" s="19" t="n"/>
    </row>
    <row r="733">
      <c r="C733" s="18" t="n"/>
      <c r="J733" s="19" t="n"/>
      <c r="P733" s="20" t="n"/>
      <c r="Q733" s="19" t="n"/>
      <c r="R733" s="19" t="n"/>
      <c r="Y733" s="19" t="n"/>
    </row>
    <row r="734">
      <c r="C734" s="18" t="n"/>
      <c r="J734" s="19" t="n"/>
      <c r="P734" s="20" t="n"/>
      <c r="Q734" s="19" t="n"/>
      <c r="R734" s="19" t="n"/>
      <c r="Y734" s="19" t="n"/>
    </row>
    <row r="735">
      <c r="C735" s="18" t="n"/>
      <c r="J735" s="19" t="n"/>
      <c r="P735" s="20" t="n"/>
      <c r="Q735" s="19" t="n"/>
      <c r="R735" s="19" t="n"/>
      <c r="Y735" s="19" t="n"/>
    </row>
    <row r="736">
      <c r="C736" s="18" t="n"/>
      <c r="J736" s="19" t="n"/>
      <c r="P736" s="20" t="n"/>
      <c r="Q736" s="19" t="n"/>
      <c r="R736" s="19" t="n"/>
      <c r="Y736" s="19" t="n"/>
    </row>
    <row r="737">
      <c r="C737" s="18" t="n"/>
      <c r="J737" s="19" t="n"/>
      <c r="P737" s="20" t="n"/>
      <c r="Q737" s="19" t="n"/>
      <c r="R737" s="19" t="n"/>
      <c r="Y737" s="19" t="n"/>
    </row>
    <row r="738">
      <c r="C738" s="18" t="n"/>
      <c r="J738" s="19" t="n"/>
      <c r="P738" s="20" t="n"/>
      <c r="Q738" s="19" t="n"/>
      <c r="R738" s="19" t="n"/>
      <c r="Y738" s="19" t="n"/>
    </row>
    <row r="739">
      <c r="C739" s="18" t="n"/>
      <c r="J739" s="19" t="n"/>
      <c r="P739" s="20" t="n"/>
      <c r="Q739" s="19" t="n"/>
      <c r="R739" s="19" t="n"/>
      <c r="Y739" s="19" t="n"/>
    </row>
    <row r="740">
      <c r="C740" s="18" t="n"/>
      <c r="J740" s="19" t="n"/>
      <c r="P740" s="20" t="n"/>
      <c r="Q740" s="19" t="n"/>
      <c r="R740" s="19" t="n"/>
      <c r="Y740" s="19" t="n"/>
    </row>
    <row r="741">
      <c r="C741" s="18" t="n"/>
      <c r="J741" s="19" t="n"/>
      <c r="P741" s="20" t="n"/>
      <c r="Q741" s="19" t="n"/>
      <c r="R741" s="19" t="n"/>
      <c r="Y741" s="19" t="n"/>
    </row>
    <row r="742">
      <c r="C742" s="18" t="n"/>
      <c r="J742" s="19" t="n"/>
      <c r="P742" s="20" t="n"/>
      <c r="Q742" s="19" t="n"/>
      <c r="R742" s="19" t="n"/>
      <c r="Y742" s="19" t="n"/>
    </row>
    <row r="743">
      <c r="C743" s="18" t="n"/>
      <c r="J743" s="19" t="n"/>
      <c r="P743" s="20" t="n"/>
      <c r="Q743" s="19" t="n"/>
      <c r="R743" s="19" t="n"/>
      <c r="Y743" s="19" t="n"/>
    </row>
    <row r="744">
      <c r="C744" s="18" t="n"/>
      <c r="J744" s="19" t="n"/>
      <c r="P744" s="20" t="n"/>
      <c r="Q744" s="19" t="n"/>
      <c r="R744" s="19" t="n"/>
      <c r="Y744" s="19" t="n"/>
    </row>
    <row r="745">
      <c r="C745" s="18" t="n"/>
      <c r="J745" s="19" t="n"/>
      <c r="P745" s="20" t="n"/>
      <c r="Q745" s="19" t="n"/>
      <c r="R745" s="19" t="n"/>
      <c r="Y745" s="19" t="n"/>
    </row>
    <row r="746">
      <c r="C746" s="18" t="n"/>
      <c r="J746" s="19" t="n"/>
      <c r="P746" s="20" t="n"/>
      <c r="Q746" s="19" t="n"/>
      <c r="R746" s="19" t="n"/>
      <c r="Y746" s="19" t="n"/>
    </row>
    <row r="747">
      <c r="C747" s="18" t="n"/>
      <c r="J747" s="19" t="n"/>
      <c r="P747" s="20" t="n"/>
      <c r="Q747" s="19" t="n"/>
      <c r="R747" s="19" t="n"/>
      <c r="Y747" s="19" t="n"/>
    </row>
    <row r="748">
      <c r="C748" s="18" t="n"/>
      <c r="J748" s="19" t="n"/>
      <c r="P748" s="20" t="n"/>
      <c r="Q748" s="19" t="n"/>
      <c r="R748" s="19" t="n"/>
      <c r="Y748" s="19" t="n"/>
    </row>
    <row r="749">
      <c r="C749" s="18" t="n"/>
      <c r="J749" s="19" t="n"/>
      <c r="P749" s="20" t="n"/>
      <c r="Q749" s="19" t="n"/>
      <c r="R749" s="19" t="n"/>
      <c r="Y749" s="19" t="n"/>
    </row>
    <row r="750">
      <c r="C750" s="18" t="n"/>
      <c r="J750" s="19" t="n"/>
      <c r="P750" s="20" t="n"/>
      <c r="Q750" s="19" t="n"/>
      <c r="R750" s="19" t="n"/>
      <c r="Y750" s="19" t="n"/>
    </row>
    <row r="751">
      <c r="C751" s="18" t="n"/>
      <c r="J751" s="19" t="n"/>
      <c r="P751" s="20" t="n"/>
      <c r="Q751" s="19" t="n"/>
      <c r="R751" s="19" t="n"/>
      <c r="Y751" s="19" t="n"/>
    </row>
    <row r="752">
      <c r="C752" s="18" t="n"/>
      <c r="J752" s="19" t="n"/>
      <c r="P752" s="20" t="n"/>
      <c r="Q752" s="19" t="n"/>
      <c r="R752" s="19" t="n"/>
      <c r="Y752" s="19" t="n"/>
    </row>
    <row r="753">
      <c r="C753" s="18" t="n"/>
      <c r="J753" s="19" t="n"/>
      <c r="P753" s="20" t="n"/>
      <c r="Q753" s="19" t="n"/>
      <c r="R753" s="19" t="n"/>
      <c r="Y753" s="19" t="n"/>
    </row>
    <row r="754">
      <c r="C754" s="18" t="n"/>
      <c r="J754" s="19" t="n"/>
      <c r="P754" s="20" t="n"/>
      <c r="Q754" s="19" t="n"/>
      <c r="R754" s="19" t="n"/>
      <c r="Y754" s="19" t="n"/>
    </row>
    <row r="755">
      <c r="C755" s="18" t="n"/>
      <c r="J755" s="19" t="n"/>
      <c r="P755" s="20" t="n"/>
      <c r="Q755" s="19" t="n"/>
      <c r="R755" s="19" t="n"/>
      <c r="Y755" s="19" t="n"/>
    </row>
    <row r="756">
      <c r="C756" s="18" t="n"/>
      <c r="J756" s="19" t="n"/>
      <c r="P756" s="20" t="n"/>
      <c r="Q756" s="19" t="n"/>
      <c r="R756" s="19" t="n"/>
      <c r="Y756" s="19" t="n"/>
    </row>
    <row r="757">
      <c r="C757" s="18" t="n"/>
      <c r="J757" s="19" t="n"/>
      <c r="P757" s="20" t="n"/>
      <c r="Q757" s="19" t="n"/>
      <c r="R757" s="19" t="n"/>
      <c r="Y757" s="19" t="n"/>
    </row>
    <row r="758">
      <c r="C758" s="18" t="n"/>
      <c r="J758" s="19" t="n"/>
      <c r="P758" s="20" t="n"/>
      <c r="Q758" s="19" t="n"/>
      <c r="R758" s="19" t="n"/>
      <c r="Y758" s="19" t="n"/>
    </row>
    <row r="759">
      <c r="C759" s="18" t="n"/>
      <c r="J759" s="19" t="n"/>
      <c r="P759" s="20" t="n"/>
      <c r="Q759" s="19" t="n"/>
      <c r="R759" s="19" t="n"/>
      <c r="Y759" s="19" t="n"/>
    </row>
    <row r="760">
      <c r="C760" s="18" t="n"/>
      <c r="J760" s="19" t="n"/>
      <c r="P760" s="20" t="n"/>
      <c r="Q760" s="19" t="n"/>
      <c r="R760" s="19" t="n"/>
      <c r="Y760" s="19" t="n"/>
    </row>
    <row r="761">
      <c r="C761" s="18" t="n"/>
      <c r="J761" s="19" t="n"/>
      <c r="P761" s="20" t="n"/>
      <c r="Q761" s="19" t="n"/>
      <c r="R761" s="19" t="n"/>
      <c r="Y761" s="19" t="n"/>
    </row>
    <row r="762">
      <c r="C762" s="18" t="n"/>
      <c r="J762" s="19" t="n"/>
      <c r="P762" s="20" t="n"/>
      <c r="Q762" s="19" t="n"/>
      <c r="R762" s="19" t="n"/>
      <c r="Y762" s="19" t="n"/>
    </row>
    <row r="763">
      <c r="C763" s="18" t="n"/>
      <c r="J763" s="19" t="n"/>
      <c r="P763" s="20" t="n"/>
      <c r="Q763" s="19" t="n"/>
      <c r="R763" s="19" t="n"/>
      <c r="Y763" s="19" t="n"/>
    </row>
    <row r="764">
      <c r="C764" s="18" t="n"/>
      <c r="J764" s="19" t="n"/>
      <c r="P764" s="20" t="n"/>
      <c r="Q764" s="19" t="n"/>
      <c r="R764" s="19" t="n"/>
      <c r="Y764" s="19" t="n"/>
    </row>
    <row r="765">
      <c r="C765" s="18" t="n"/>
      <c r="J765" s="19" t="n"/>
      <c r="P765" s="20" t="n"/>
      <c r="Q765" s="19" t="n"/>
      <c r="R765" s="19" t="n"/>
      <c r="Y765" s="19" t="n"/>
    </row>
    <row r="766">
      <c r="C766" s="18" t="n"/>
      <c r="J766" s="19" t="n"/>
      <c r="P766" s="20" t="n"/>
      <c r="Q766" s="19" t="n"/>
      <c r="R766" s="19" t="n"/>
      <c r="Y766" s="19" t="n"/>
    </row>
    <row r="767">
      <c r="C767" s="18" t="n"/>
      <c r="J767" s="19" t="n"/>
      <c r="P767" s="20" t="n"/>
      <c r="Q767" s="19" t="n"/>
      <c r="R767" s="19" t="n"/>
      <c r="Y767" s="19" t="n"/>
    </row>
    <row r="768">
      <c r="C768" s="18" t="n"/>
      <c r="J768" s="19" t="n"/>
      <c r="P768" s="20" t="n"/>
      <c r="Q768" s="19" t="n"/>
      <c r="R768" s="19" t="n"/>
      <c r="Y768" s="19" t="n"/>
    </row>
    <row r="769">
      <c r="C769" s="18" t="n"/>
      <c r="J769" s="19" t="n"/>
      <c r="P769" s="20" t="n"/>
      <c r="Q769" s="19" t="n"/>
      <c r="R769" s="19" t="n"/>
      <c r="Y769" s="19" t="n"/>
    </row>
    <row r="770">
      <c r="C770" s="18" t="n"/>
      <c r="J770" s="19" t="n"/>
      <c r="P770" s="20" t="n"/>
      <c r="Q770" s="19" t="n"/>
      <c r="R770" s="19" t="n"/>
      <c r="Y770" s="19" t="n"/>
    </row>
    <row r="771">
      <c r="C771" s="18" t="n"/>
      <c r="J771" s="19" t="n"/>
      <c r="P771" s="20" t="n"/>
      <c r="Q771" s="19" t="n"/>
      <c r="R771" s="19" t="n"/>
      <c r="Y771" s="19" t="n"/>
    </row>
    <row r="772">
      <c r="C772" s="18" t="n"/>
      <c r="J772" s="19" t="n"/>
      <c r="P772" s="20" t="n"/>
      <c r="Q772" s="19" t="n"/>
      <c r="R772" s="19" t="n"/>
      <c r="Y772" s="19" t="n"/>
    </row>
    <row r="773">
      <c r="C773" s="18" t="n"/>
      <c r="J773" s="19" t="n"/>
      <c r="P773" s="20" t="n"/>
      <c r="Q773" s="19" t="n"/>
      <c r="R773" s="19" t="n"/>
      <c r="Y773" s="19" t="n"/>
    </row>
    <row r="774">
      <c r="C774" s="18" t="n"/>
      <c r="J774" s="19" t="n"/>
      <c r="P774" s="20" t="n"/>
      <c r="Q774" s="19" t="n"/>
      <c r="R774" s="19" t="n"/>
      <c r="Y774" s="19" t="n"/>
    </row>
    <row r="775">
      <c r="C775" s="18" t="n"/>
      <c r="J775" s="19" t="n"/>
      <c r="P775" s="20" t="n"/>
      <c r="Q775" s="19" t="n"/>
      <c r="R775" s="19" t="n"/>
      <c r="Y775" s="19" t="n"/>
    </row>
    <row r="776">
      <c r="C776" s="18" t="n"/>
      <c r="J776" s="19" t="n"/>
      <c r="P776" s="20" t="n"/>
      <c r="Q776" s="19" t="n"/>
      <c r="R776" s="19" t="n"/>
      <c r="Y776" s="19" t="n"/>
    </row>
    <row r="777">
      <c r="C777" s="18" t="n"/>
      <c r="J777" s="19" t="n"/>
      <c r="P777" s="20" t="n"/>
      <c r="Q777" s="19" t="n"/>
      <c r="R777" s="19" t="n"/>
      <c r="Y777" s="19" t="n"/>
    </row>
    <row r="778">
      <c r="C778" s="18" t="n"/>
      <c r="J778" s="19" t="n"/>
      <c r="P778" s="20" t="n"/>
      <c r="Q778" s="19" t="n"/>
      <c r="R778" s="19" t="n"/>
      <c r="Y778" s="19" t="n"/>
    </row>
    <row r="779">
      <c r="C779" s="18" t="n"/>
      <c r="J779" s="19" t="n"/>
      <c r="P779" s="20" t="n"/>
      <c r="Q779" s="19" t="n"/>
      <c r="R779" s="19" t="n"/>
      <c r="Y779" s="19" t="n"/>
    </row>
    <row r="780">
      <c r="C780" s="18" t="n"/>
      <c r="J780" s="19" t="n"/>
      <c r="P780" s="20" t="n"/>
      <c r="Q780" s="19" t="n"/>
      <c r="R780" s="19" t="n"/>
      <c r="Y780" s="19" t="n"/>
    </row>
    <row r="781">
      <c r="C781" s="18" t="n"/>
      <c r="J781" s="19" t="n"/>
      <c r="P781" s="20" t="n"/>
      <c r="Q781" s="19" t="n"/>
      <c r="R781" s="19" t="n"/>
      <c r="Y781" s="19" t="n"/>
    </row>
    <row r="782">
      <c r="C782" s="18" t="n"/>
      <c r="J782" s="19" t="n"/>
      <c r="P782" s="20" t="n"/>
      <c r="Q782" s="19" t="n"/>
      <c r="R782" s="19" t="n"/>
      <c r="Y782" s="19" t="n"/>
    </row>
    <row r="783">
      <c r="C783" s="18" t="n"/>
      <c r="J783" s="19" t="n"/>
      <c r="P783" s="20" t="n"/>
      <c r="Q783" s="19" t="n"/>
      <c r="R783" s="19" t="n"/>
      <c r="Y783" s="19" t="n"/>
    </row>
    <row r="784">
      <c r="C784" s="18" t="n"/>
      <c r="J784" s="19" t="n"/>
      <c r="P784" s="20" t="n"/>
      <c r="Q784" s="19" t="n"/>
      <c r="R784" s="19" t="n"/>
      <c r="Y784" s="19" t="n"/>
    </row>
    <row r="785">
      <c r="C785" s="18" t="n"/>
      <c r="J785" s="19" t="n"/>
      <c r="P785" s="20" t="n"/>
      <c r="Q785" s="19" t="n"/>
      <c r="R785" s="19" t="n"/>
      <c r="Y785" s="19" t="n"/>
    </row>
    <row r="786">
      <c r="C786" s="18" t="n"/>
      <c r="J786" s="19" t="n"/>
      <c r="P786" s="20" t="n"/>
      <c r="Q786" s="19" t="n"/>
      <c r="R786" s="19" t="n"/>
      <c r="Y786" s="19" t="n"/>
    </row>
    <row r="787">
      <c r="C787" s="18" t="n"/>
      <c r="J787" s="19" t="n"/>
      <c r="P787" s="20" t="n"/>
      <c r="Q787" s="19" t="n"/>
      <c r="R787" s="19" t="n"/>
      <c r="Y787" s="19" t="n"/>
    </row>
    <row r="788">
      <c r="C788" s="18" t="n"/>
      <c r="J788" s="19" t="n"/>
      <c r="P788" s="20" t="n"/>
      <c r="Q788" s="19" t="n"/>
      <c r="R788" s="19" t="n"/>
      <c r="Y788" s="19" t="n"/>
    </row>
    <row r="789">
      <c r="C789" s="18" t="n"/>
      <c r="J789" s="19" t="n"/>
      <c r="P789" s="20" t="n"/>
      <c r="Q789" s="19" t="n"/>
      <c r="R789" s="19" t="n"/>
      <c r="Y789" s="19" t="n"/>
    </row>
    <row r="790">
      <c r="C790" s="18" t="n"/>
      <c r="J790" s="19" t="n"/>
      <c r="P790" s="20" t="n"/>
      <c r="Q790" s="19" t="n"/>
      <c r="R790" s="19" t="n"/>
      <c r="Y790" s="19" t="n"/>
    </row>
    <row r="791">
      <c r="C791" s="18" t="n"/>
      <c r="J791" s="19" t="n"/>
      <c r="P791" s="20" t="n"/>
      <c r="Q791" s="19" t="n"/>
      <c r="R791" s="19" t="n"/>
      <c r="Y791" s="19" t="n"/>
    </row>
    <row r="792">
      <c r="C792" s="18" t="n"/>
      <c r="J792" s="19" t="n"/>
      <c r="P792" s="20" t="n"/>
      <c r="Q792" s="19" t="n"/>
      <c r="R792" s="19" t="n"/>
      <c r="Y792" s="19" t="n"/>
    </row>
    <row r="793">
      <c r="C793" s="18" t="n"/>
      <c r="J793" s="19" t="n"/>
      <c r="P793" s="20" t="n"/>
      <c r="Q793" s="19" t="n"/>
      <c r="R793" s="19" t="n"/>
      <c r="Y793" s="19" t="n"/>
    </row>
    <row r="794">
      <c r="C794" s="18" t="n"/>
      <c r="J794" s="19" t="n"/>
      <c r="P794" s="20" t="n"/>
      <c r="Q794" s="19" t="n"/>
      <c r="R794" s="19" t="n"/>
      <c r="Y794" s="19" t="n"/>
    </row>
    <row r="795">
      <c r="C795" s="18" t="n"/>
      <c r="J795" s="19" t="n"/>
      <c r="P795" s="20" t="n"/>
      <c r="Q795" s="19" t="n"/>
      <c r="R795" s="19" t="n"/>
      <c r="Y795" s="19" t="n"/>
    </row>
    <row r="796">
      <c r="C796" s="18" t="n"/>
      <c r="J796" s="19" t="n"/>
      <c r="P796" s="20" t="n"/>
      <c r="Q796" s="19" t="n"/>
      <c r="R796" s="19" t="n"/>
      <c r="Y796" s="19" t="n"/>
    </row>
    <row r="797">
      <c r="C797" s="18" t="n"/>
      <c r="J797" s="19" t="n"/>
      <c r="P797" s="20" t="n"/>
      <c r="Q797" s="19" t="n"/>
      <c r="R797" s="19" t="n"/>
      <c r="Y797" s="19" t="n"/>
    </row>
    <row r="798">
      <c r="C798" s="18" t="n"/>
      <c r="J798" s="19" t="n"/>
      <c r="P798" s="20" t="n"/>
      <c r="Q798" s="19" t="n"/>
      <c r="R798" s="19" t="n"/>
      <c r="Y798" s="19" t="n"/>
    </row>
    <row r="799">
      <c r="C799" s="18" t="n"/>
      <c r="J799" s="19" t="n"/>
      <c r="P799" s="20" t="n"/>
      <c r="Q799" s="19" t="n"/>
      <c r="R799" s="19" t="n"/>
      <c r="Y799" s="19" t="n"/>
    </row>
    <row r="800">
      <c r="C800" s="18" t="n"/>
      <c r="J800" s="19" t="n"/>
      <c r="P800" s="20" t="n"/>
      <c r="Q800" s="19" t="n"/>
      <c r="R800" s="19" t="n"/>
      <c r="Y800" s="19" t="n"/>
    </row>
    <row r="801">
      <c r="C801" s="18" t="n"/>
      <c r="J801" s="19" t="n"/>
      <c r="P801" s="20" t="n"/>
      <c r="Q801" s="19" t="n"/>
      <c r="R801" s="19" t="n"/>
      <c r="Y801" s="19" t="n"/>
    </row>
    <row r="802">
      <c r="C802" s="18" t="n"/>
      <c r="J802" s="19" t="n"/>
      <c r="P802" s="20" t="n"/>
      <c r="Q802" s="19" t="n"/>
      <c r="R802" s="19" t="n"/>
      <c r="Y802" s="19" t="n"/>
    </row>
    <row r="803">
      <c r="C803" s="18" t="n"/>
      <c r="J803" s="19" t="n"/>
      <c r="P803" s="20" t="n"/>
      <c r="Q803" s="19" t="n"/>
      <c r="R803" s="19" t="n"/>
      <c r="Y803" s="19" t="n"/>
    </row>
    <row r="804">
      <c r="C804" s="18" t="n"/>
      <c r="J804" s="19" t="n"/>
      <c r="P804" s="20" t="n"/>
      <c r="Q804" s="19" t="n"/>
      <c r="R804" s="19" t="n"/>
      <c r="Y804" s="19" t="n"/>
    </row>
    <row r="805">
      <c r="C805" s="18" t="n"/>
      <c r="J805" s="19" t="n"/>
      <c r="P805" s="20" t="n"/>
      <c r="Q805" s="19" t="n"/>
      <c r="R805" s="19" t="n"/>
      <c r="Y805" s="19" t="n"/>
    </row>
    <row r="806">
      <c r="C806" s="18" t="n"/>
      <c r="J806" s="19" t="n"/>
      <c r="P806" s="20" t="n"/>
      <c r="Q806" s="19" t="n"/>
      <c r="R806" s="19" t="n"/>
      <c r="Y806" s="19" t="n"/>
    </row>
    <row r="807">
      <c r="C807" s="18" t="n"/>
      <c r="J807" s="19" t="n"/>
      <c r="P807" s="20" t="n"/>
      <c r="Q807" s="19" t="n"/>
      <c r="R807" s="19" t="n"/>
      <c r="Y807" s="19" t="n"/>
    </row>
    <row r="808">
      <c r="C808" s="18" t="n"/>
      <c r="J808" s="19" t="n"/>
      <c r="P808" s="20" t="n"/>
      <c r="Q808" s="19" t="n"/>
      <c r="R808" s="19" t="n"/>
      <c r="Y808" s="19" t="n"/>
    </row>
    <row r="809">
      <c r="C809" s="18" t="n"/>
      <c r="J809" s="19" t="n"/>
      <c r="P809" s="20" t="n"/>
      <c r="Q809" s="19" t="n"/>
      <c r="R809" s="19" t="n"/>
      <c r="Y809" s="19" t="n"/>
    </row>
    <row r="810">
      <c r="C810" s="18" t="n"/>
      <c r="J810" s="19" t="n"/>
      <c r="P810" s="20" t="n"/>
      <c r="Q810" s="19" t="n"/>
      <c r="R810" s="19" t="n"/>
      <c r="Y810" s="19" t="n"/>
    </row>
    <row r="811">
      <c r="C811" s="18" t="n"/>
      <c r="J811" s="19" t="n"/>
      <c r="P811" s="20" t="n"/>
      <c r="Q811" s="19" t="n"/>
      <c r="R811" s="19" t="n"/>
      <c r="Y811" s="19" t="n"/>
    </row>
    <row r="812">
      <c r="C812" s="18" t="n"/>
      <c r="J812" s="19" t="n"/>
      <c r="P812" s="20" t="n"/>
      <c r="Q812" s="19" t="n"/>
      <c r="R812" s="19" t="n"/>
      <c r="Y812" s="19" t="n"/>
    </row>
    <row r="813">
      <c r="C813" s="18" t="n"/>
      <c r="J813" s="19" t="n"/>
      <c r="P813" s="20" t="n"/>
      <c r="Q813" s="19" t="n"/>
      <c r="R813" s="19" t="n"/>
      <c r="Y813" s="19" t="n"/>
    </row>
    <row r="814">
      <c r="C814" s="18" t="n"/>
      <c r="J814" s="19" t="n"/>
      <c r="P814" s="20" t="n"/>
      <c r="Q814" s="19" t="n"/>
      <c r="R814" s="19" t="n"/>
      <c r="Y814" s="19" t="n"/>
    </row>
    <row r="815">
      <c r="C815" s="18" t="n"/>
      <c r="J815" s="19" t="n"/>
      <c r="P815" s="20" t="n"/>
      <c r="Q815" s="19" t="n"/>
      <c r="R815" s="19" t="n"/>
      <c r="Y815" s="19" t="n"/>
    </row>
    <row r="816">
      <c r="C816" s="18" t="n"/>
      <c r="J816" s="19" t="n"/>
      <c r="P816" s="20" t="n"/>
      <c r="Q816" s="19" t="n"/>
      <c r="R816" s="19" t="n"/>
      <c r="Y816" s="19" t="n"/>
    </row>
    <row r="817">
      <c r="C817" s="18" t="n"/>
      <c r="J817" s="19" t="n"/>
      <c r="P817" s="20" t="n"/>
      <c r="Q817" s="19" t="n"/>
      <c r="R817" s="19" t="n"/>
      <c r="Y817" s="19" t="n"/>
    </row>
    <row r="818">
      <c r="C818" s="18" t="n"/>
      <c r="J818" s="19" t="n"/>
      <c r="P818" s="20" t="n"/>
      <c r="Q818" s="19" t="n"/>
      <c r="R818" s="19" t="n"/>
      <c r="Y818" s="19" t="n"/>
    </row>
    <row r="819">
      <c r="C819" s="18" t="n"/>
      <c r="J819" s="19" t="n"/>
      <c r="P819" s="20" t="n"/>
      <c r="Q819" s="19" t="n"/>
      <c r="R819" s="19" t="n"/>
      <c r="Y819" s="19" t="n"/>
    </row>
    <row r="820">
      <c r="C820" s="18" t="n"/>
      <c r="J820" s="19" t="n"/>
      <c r="P820" s="20" t="n"/>
      <c r="Q820" s="19" t="n"/>
      <c r="R820" s="19" t="n"/>
      <c r="Y820" s="19" t="n"/>
    </row>
    <row r="821">
      <c r="C821" s="18" t="n"/>
      <c r="J821" s="19" t="n"/>
      <c r="P821" s="20" t="n"/>
      <c r="Q821" s="19" t="n"/>
      <c r="R821" s="19" t="n"/>
      <c r="Y821" s="19" t="n"/>
    </row>
    <row r="822">
      <c r="C822" s="18" t="n"/>
      <c r="J822" s="19" t="n"/>
      <c r="P822" s="20" t="n"/>
      <c r="Q822" s="19" t="n"/>
      <c r="R822" s="19" t="n"/>
      <c r="Y822" s="19" t="n"/>
    </row>
    <row r="823">
      <c r="C823" s="18" t="n"/>
      <c r="J823" s="19" t="n"/>
      <c r="P823" s="20" t="n"/>
      <c r="Q823" s="19" t="n"/>
      <c r="R823" s="19" t="n"/>
      <c r="Y823" s="19" t="n"/>
    </row>
    <row r="824">
      <c r="C824" s="18" t="n"/>
      <c r="J824" s="19" t="n"/>
      <c r="P824" s="20" t="n"/>
      <c r="Q824" s="19" t="n"/>
      <c r="R824" s="19" t="n"/>
      <c r="Y824" s="19" t="n"/>
    </row>
    <row r="825">
      <c r="C825" s="18" t="n"/>
      <c r="J825" s="19" t="n"/>
      <c r="P825" s="20" t="n"/>
      <c r="Q825" s="19" t="n"/>
      <c r="R825" s="19" t="n"/>
      <c r="Y825" s="19" t="n"/>
    </row>
    <row r="826">
      <c r="C826" s="18" t="n"/>
      <c r="J826" s="19" t="n"/>
      <c r="P826" s="20" t="n"/>
      <c r="Q826" s="19" t="n"/>
      <c r="R826" s="19" t="n"/>
      <c r="Y826" s="19" t="n"/>
    </row>
    <row r="827">
      <c r="C827" s="18" t="n"/>
      <c r="J827" s="19" t="n"/>
      <c r="P827" s="20" t="n"/>
      <c r="Q827" s="19" t="n"/>
      <c r="R827" s="19" t="n"/>
      <c r="Y827" s="19" t="n"/>
    </row>
    <row r="828">
      <c r="C828" s="18" t="n"/>
      <c r="J828" s="19" t="n"/>
      <c r="P828" s="20" t="n"/>
      <c r="Q828" s="19" t="n"/>
      <c r="R828" s="19" t="n"/>
      <c r="Y828" s="19" t="n"/>
    </row>
    <row r="829">
      <c r="C829" s="18" t="n"/>
      <c r="J829" s="19" t="n"/>
      <c r="P829" s="20" t="n"/>
      <c r="Q829" s="19" t="n"/>
      <c r="R829" s="19" t="n"/>
      <c r="Y829" s="19" t="n"/>
    </row>
    <row r="830">
      <c r="C830" s="18" t="n"/>
      <c r="J830" s="19" t="n"/>
      <c r="P830" s="20" t="n"/>
      <c r="Q830" s="19" t="n"/>
      <c r="R830" s="19" t="n"/>
      <c r="Y830" s="19" t="n"/>
    </row>
    <row r="831">
      <c r="C831" s="18" t="n"/>
      <c r="J831" s="19" t="n"/>
      <c r="P831" s="20" t="n"/>
      <c r="Q831" s="19" t="n"/>
      <c r="R831" s="19" t="n"/>
      <c r="Y831" s="19" t="n"/>
    </row>
    <row r="832">
      <c r="C832" s="18" t="n"/>
      <c r="J832" s="19" t="n"/>
      <c r="P832" s="20" t="n"/>
      <c r="Q832" s="19" t="n"/>
      <c r="R832" s="19" t="n"/>
      <c r="Y832" s="19" t="n"/>
    </row>
    <row r="833">
      <c r="C833" s="18" t="n"/>
      <c r="J833" s="19" t="n"/>
      <c r="P833" s="20" t="n"/>
      <c r="Q833" s="19" t="n"/>
      <c r="R833" s="19" t="n"/>
      <c r="Y833" s="19" t="n"/>
    </row>
    <row r="834">
      <c r="C834" s="18" t="n"/>
      <c r="J834" s="19" t="n"/>
      <c r="P834" s="20" t="n"/>
      <c r="Q834" s="19" t="n"/>
      <c r="R834" s="19" t="n"/>
      <c r="Y834" s="19" t="n"/>
    </row>
    <row r="835">
      <c r="C835" s="18" t="n"/>
      <c r="J835" s="19" t="n"/>
      <c r="P835" s="20" t="n"/>
      <c r="Q835" s="19" t="n"/>
      <c r="R835" s="19" t="n"/>
      <c r="Y835" s="19" t="n"/>
    </row>
    <row r="836">
      <c r="C836" s="18" t="n"/>
      <c r="J836" s="19" t="n"/>
      <c r="P836" s="20" t="n"/>
      <c r="Q836" s="19" t="n"/>
      <c r="R836" s="19" t="n"/>
      <c r="Y836" s="19" t="n"/>
    </row>
    <row r="837">
      <c r="C837" s="18" t="n"/>
      <c r="J837" s="19" t="n"/>
      <c r="P837" s="20" t="n"/>
      <c r="Q837" s="19" t="n"/>
      <c r="R837" s="19" t="n"/>
      <c r="Y837" s="19" t="n"/>
    </row>
    <row r="838">
      <c r="C838" s="18" t="n"/>
      <c r="J838" s="19" t="n"/>
      <c r="P838" s="20" t="n"/>
      <c r="Q838" s="19" t="n"/>
      <c r="R838" s="19" t="n"/>
      <c r="Y838" s="19" t="n"/>
    </row>
    <row r="839">
      <c r="C839" s="18" t="n"/>
      <c r="J839" s="19" t="n"/>
      <c r="P839" s="20" t="n"/>
      <c r="Q839" s="19" t="n"/>
      <c r="R839" s="19" t="n"/>
      <c r="Y839" s="19" t="n"/>
    </row>
    <row r="840">
      <c r="C840" s="18" t="n"/>
      <c r="J840" s="19" t="n"/>
      <c r="P840" s="20" t="n"/>
      <c r="Q840" s="19" t="n"/>
      <c r="R840" s="19" t="n"/>
      <c r="Y840" s="19" t="n"/>
    </row>
    <row r="841">
      <c r="C841" s="18" t="n"/>
      <c r="J841" s="19" t="n"/>
      <c r="P841" s="20" t="n"/>
      <c r="Q841" s="19" t="n"/>
      <c r="R841" s="19" t="n"/>
      <c r="Y841" s="19" t="n"/>
    </row>
    <row r="842">
      <c r="C842" s="18" t="n"/>
      <c r="J842" s="19" t="n"/>
      <c r="P842" s="20" t="n"/>
      <c r="Q842" s="19" t="n"/>
      <c r="R842" s="19" t="n"/>
      <c r="Y842" s="19" t="n"/>
    </row>
    <row r="843">
      <c r="C843" s="18" t="n"/>
      <c r="J843" s="19" t="n"/>
      <c r="P843" s="20" t="n"/>
      <c r="Q843" s="19" t="n"/>
      <c r="R843" s="19" t="n"/>
      <c r="Y843" s="19" t="n"/>
    </row>
    <row r="844">
      <c r="C844" s="18" t="n"/>
      <c r="J844" s="19" t="n"/>
      <c r="P844" s="20" t="n"/>
      <c r="Q844" s="19" t="n"/>
      <c r="R844" s="19" t="n"/>
      <c r="Y844" s="19" t="n"/>
    </row>
    <row r="845">
      <c r="C845" s="18" t="n"/>
      <c r="J845" s="19" t="n"/>
      <c r="P845" s="20" t="n"/>
      <c r="Q845" s="19" t="n"/>
      <c r="R845" s="19" t="n"/>
      <c r="Y845" s="19" t="n"/>
    </row>
    <row r="846">
      <c r="C846" s="18" t="n"/>
      <c r="J846" s="19" t="n"/>
      <c r="P846" s="20" t="n"/>
      <c r="Q846" s="19" t="n"/>
      <c r="R846" s="19" t="n"/>
      <c r="Y846" s="19" t="n"/>
    </row>
    <row r="847">
      <c r="C847" s="18" t="n"/>
      <c r="J847" s="19" t="n"/>
      <c r="P847" s="20" t="n"/>
      <c r="Q847" s="19" t="n"/>
      <c r="R847" s="19" t="n"/>
      <c r="Y847" s="19" t="n"/>
    </row>
    <row r="848">
      <c r="C848" s="18" t="n"/>
      <c r="J848" s="19" t="n"/>
      <c r="P848" s="20" t="n"/>
      <c r="Q848" s="19" t="n"/>
      <c r="R848" s="19" t="n"/>
      <c r="Y848" s="19" t="n"/>
    </row>
    <row r="849">
      <c r="C849" s="18" t="n"/>
      <c r="J849" s="19" t="n"/>
      <c r="P849" s="20" t="n"/>
      <c r="Q849" s="19" t="n"/>
      <c r="R849" s="19" t="n"/>
      <c r="Y849" s="19" t="n"/>
    </row>
    <row r="850">
      <c r="C850" s="18" t="n"/>
      <c r="J850" s="19" t="n"/>
      <c r="P850" s="20" t="n"/>
      <c r="Q850" s="19" t="n"/>
      <c r="R850" s="19" t="n"/>
      <c r="Y850" s="19" t="n"/>
    </row>
    <row r="851">
      <c r="C851" s="18" t="n"/>
      <c r="J851" s="19" t="n"/>
      <c r="P851" s="20" t="n"/>
      <c r="Q851" s="19" t="n"/>
      <c r="R851" s="19" t="n"/>
      <c r="Y851" s="19" t="n"/>
    </row>
    <row r="852">
      <c r="C852" s="18" t="n"/>
      <c r="J852" s="19" t="n"/>
      <c r="P852" s="20" t="n"/>
      <c r="Q852" s="19" t="n"/>
      <c r="R852" s="19" t="n"/>
      <c r="Y852" s="19" t="n"/>
    </row>
    <row r="853">
      <c r="C853" s="18" t="n"/>
      <c r="J853" s="19" t="n"/>
      <c r="P853" s="20" t="n"/>
      <c r="Q853" s="19" t="n"/>
      <c r="R853" s="19" t="n"/>
      <c r="Y853" s="19" t="n"/>
    </row>
    <row r="854">
      <c r="C854" s="18" t="n"/>
      <c r="J854" s="19" t="n"/>
      <c r="P854" s="20" t="n"/>
      <c r="Q854" s="19" t="n"/>
      <c r="R854" s="19" t="n"/>
      <c r="Y854" s="19" t="n"/>
    </row>
    <row r="855">
      <c r="C855" s="18" t="n"/>
      <c r="J855" s="19" t="n"/>
      <c r="P855" s="20" t="n"/>
      <c r="Q855" s="19" t="n"/>
      <c r="R855" s="19" t="n"/>
      <c r="Y855" s="19" t="n"/>
    </row>
    <row r="856">
      <c r="C856" s="18" t="n"/>
      <c r="J856" s="19" t="n"/>
      <c r="P856" s="20" t="n"/>
      <c r="Q856" s="19" t="n"/>
      <c r="R856" s="19" t="n"/>
      <c r="Y856" s="19" t="n"/>
    </row>
    <row r="857">
      <c r="C857" s="18" t="n"/>
      <c r="J857" s="19" t="n"/>
      <c r="P857" s="20" t="n"/>
      <c r="Q857" s="19" t="n"/>
      <c r="R857" s="19" t="n"/>
      <c r="Y857" s="19" t="n"/>
    </row>
    <row r="858">
      <c r="C858" s="18" t="n"/>
      <c r="J858" s="19" t="n"/>
      <c r="P858" s="20" t="n"/>
      <c r="Q858" s="19" t="n"/>
      <c r="R858" s="19" t="n"/>
      <c r="Y858" s="19" t="n"/>
    </row>
    <row r="859">
      <c r="C859" s="18" t="n"/>
      <c r="J859" s="19" t="n"/>
      <c r="P859" s="20" t="n"/>
      <c r="Q859" s="19" t="n"/>
      <c r="R859" s="19" t="n"/>
      <c r="Y859" s="19" t="n"/>
    </row>
    <row r="860">
      <c r="C860" s="18" t="n"/>
      <c r="J860" s="19" t="n"/>
      <c r="P860" s="20" t="n"/>
      <c r="Q860" s="19" t="n"/>
      <c r="R860" s="19" t="n"/>
      <c r="Y860" s="19" t="n"/>
    </row>
    <row r="861">
      <c r="C861" s="18" t="n"/>
      <c r="J861" s="19" t="n"/>
      <c r="P861" s="20" t="n"/>
      <c r="Q861" s="19" t="n"/>
      <c r="R861" s="19" t="n"/>
      <c r="Y861" s="19" t="n"/>
    </row>
    <row r="862">
      <c r="C862" s="18" t="n"/>
      <c r="J862" s="19" t="n"/>
      <c r="P862" s="20" t="n"/>
      <c r="Q862" s="19" t="n"/>
      <c r="R862" s="19" t="n"/>
      <c r="Y862" s="19" t="n"/>
    </row>
    <row r="863">
      <c r="C863" s="18" t="n"/>
      <c r="J863" s="19" t="n"/>
      <c r="P863" s="20" t="n"/>
      <c r="Q863" s="19" t="n"/>
      <c r="R863" s="19" t="n"/>
      <c r="Y863" s="19" t="n"/>
    </row>
    <row r="864">
      <c r="C864" s="18" t="n"/>
      <c r="J864" s="19" t="n"/>
      <c r="P864" s="20" t="n"/>
      <c r="Q864" s="19" t="n"/>
      <c r="R864" s="19" t="n"/>
      <c r="Y864" s="19" t="n"/>
    </row>
    <row r="865">
      <c r="C865" s="18" t="n"/>
      <c r="J865" s="19" t="n"/>
      <c r="P865" s="20" t="n"/>
      <c r="Q865" s="19" t="n"/>
      <c r="R865" s="19" t="n"/>
      <c r="Y865" s="19" t="n"/>
    </row>
    <row r="866">
      <c r="C866" s="18" t="n"/>
      <c r="J866" s="19" t="n"/>
      <c r="P866" s="20" t="n"/>
      <c r="Q866" s="19" t="n"/>
      <c r="R866" s="19" t="n"/>
      <c r="Y866" s="19" t="n"/>
    </row>
    <row r="867">
      <c r="C867" s="18" t="n"/>
      <c r="J867" s="19" t="n"/>
      <c r="P867" s="20" t="n"/>
      <c r="Q867" s="19" t="n"/>
      <c r="R867" s="19" t="n"/>
      <c r="Y867" s="19" t="n"/>
    </row>
    <row r="868">
      <c r="C868" s="18" t="n"/>
      <c r="J868" s="19" t="n"/>
      <c r="P868" s="20" t="n"/>
      <c r="Q868" s="19" t="n"/>
      <c r="R868" s="19" t="n"/>
      <c r="Y868" s="19" t="n"/>
    </row>
    <row r="869">
      <c r="C869" s="18" t="n"/>
      <c r="J869" s="19" t="n"/>
      <c r="P869" s="20" t="n"/>
      <c r="Q869" s="19" t="n"/>
      <c r="R869" s="19" t="n"/>
      <c r="Y869" s="19" t="n"/>
    </row>
    <row r="870">
      <c r="C870" s="18" t="n"/>
      <c r="J870" s="19" t="n"/>
      <c r="P870" s="20" t="n"/>
      <c r="Q870" s="19" t="n"/>
      <c r="R870" s="19" t="n"/>
      <c r="Y870" s="19" t="n"/>
    </row>
    <row r="871">
      <c r="C871" s="18" t="n"/>
      <c r="J871" s="19" t="n"/>
      <c r="P871" s="20" t="n"/>
      <c r="Q871" s="19" t="n"/>
      <c r="R871" s="19" t="n"/>
      <c r="Y871" s="19" t="n"/>
    </row>
    <row r="872">
      <c r="C872" s="18" t="n"/>
      <c r="J872" s="19" t="n"/>
      <c r="P872" s="20" t="n"/>
      <c r="Q872" s="19" t="n"/>
      <c r="R872" s="19" t="n"/>
      <c r="Y872" s="19" t="n"/>
    </row>
    <row r="873">
      <c r="C873" s="18" t="n"/>
      <c r="J873" s="19" t="n"/>
      <c r="P873" s="20" t="n"/>
      <c r="Q873" s="19" t="n"/>
      <c r="R873" s="19" t="n"/>
      <c r="Y873" s="19" t="n"/>
    </row>
    <row r="874">
      <c r="C874" s="18" t="n"/>
      <c r="J874" s="19" t="n"/>
      <c r="P874" s="20" t="n"/>
      <c r="Q874" s="19" t="n"/>
      <c r="R874" s="19" t="n"/>
      <c r="Y874" s="19" t="n"/>
    </row>
    <row r="875">
      <c r="C875" s="18" t="n"/>
      <c r="J875" s="19" t="n"/>
      <c r="P875" s="20" t="n"/>
      <c r="Q875" s="19" t="n"/>
      <c r="R875" s="19" t="n"/>
      <c r="Y875" s="19" t="n"/>
    </row>
    <row r="876">
      <c r="C876" s="18" t="n"/>
      <c r="J876" s="19" t="n"/>
      <c r="P876" s="20" t="n"/>
      <c r="Q876" s="19" t="n"/>
      <c r="R876" s="19" t="n"/>
      <c r="Y876" s="19" t="n"/>
    </row>
    <row r="877">
      <c r="C877" s="18" t="n"/>
      <c r="J877" s="19" t="n"/>
      <c r="P877" s="20" t="n"/>
      <c r="Q877" s="19" t="n"/>
      <c r="R877" s="19" t="n"/>
      <c r="Y877" s="19" t="n"/>
    </row>
    <row r="878">
      <c r="C878" s="18" t="n"/>
      <c r="J878" s="19" t="n"/>
      <c r="P878" s="20" t="n"/>
      <c r="Q878" s="19" t="n"/>
      <c r="R878" s="19" t="n"/>
      <c r="Y878" s="19" t="n"/>
    </row>
    <row r="879">
      <c r="C879" s="18" t="n"/>
      <c r="J879" s="19" t="n"/>
      <c r="P879" s="20" t="n"/>
      <c r="Q879" s="19" t="n"/>
      <c r="R879" s="19" t="n"/>
      <c r="Y879" s="19" t="n"/>
    </row>
    <row r="880">
      <c r="C880" s="18" t="n"/>
      <c r="J880" s="19" t="n"/>
      <c r="P880" s="20" t="n"/>
      <c r="Q880" s="19" t="n"/>
      <c r="R880" s="19" t="n"/>
      <c r="Y880" s="19" t="n"/>
    </row>
    <row r="881">
      <c r="C881" s="18" t="n"/>
      <c r="J881" s="19" t="n"/>
      <c r="P881" s="20" t="n"/>
      <c r="Q881" s="19" t="n"/>
      <c r="R881" s="19" t="n"/>
      <c r="Y881" s="19" t="n"/>
    </row>
    <row r="882">
      <c r="C882" s="18" t="n"/>
      <c r="J882" s="19" t="n"/>
      <c r="P882" s="20" t="n"/>
      <c r="Q882" s="19" t="n"/>
      <c r="R882" s="19" t="n"/>
      <c r="Y882" s="19" t="n"/>
    </row>
    <row r="883">
      <c r="C883" s="18" t="n"/>
      <c r="J883" s="19" t="n"/>
      <c r="P883" s="20" t="n"/>
      <c r="Q883" s="19" t="n"/>
      <c r="R883" s="19" t="n"/>
      <c r="Y883" s="19" t="n"/>
    </row>
    <row r="884">
      <c r="C884" s="18" t="n"/>
      <c r="J884" s="19" t="n"/>
      <c r="P884" s="20" t="n"/>
      <c r="Q884" s="19" t="n"/>
      <c r="R884" s="19" t="n"/>
      <c r="Y884" s="19" t="n"/>
    </row>
    <row r="885">
      <c r="C885" s="18" t="n"/>
      <c r="J885" s="19" t="n"/>
      <c r="P885" s="20" t="n"/>
      <c r="Q885" s="19" t="n"/>
      <c r="R885" s="19" t="n"/>
      <c r="Y885" s="19" t="n"/>
    </row>
    <row r="886">
      <c r="C886" s="18" t="n"/>
      <c r="J886" s="19" t="n"/>
      <c r="P886" s="20" t="n"/>
      <c r="Q886" s="19" t="n"/>
      <c r="R886" s="19" t="n"/>
      <c r="Y886" s="19" t="n"/>
    </row>
    <row r="887">
      <c r="C887" s="18" t="n"/>
      <c r="J887" s="19" t="n"/>
      <c r="P887" s="20" t="n"/>
      <c r="Q887" s="19" t="n"/>
      <c r="R887" s="19" t="n"/>
      <c r="Y887" s="19" t="n"/>
    </row>
    <row r="888">
      <c r="C888" s="18" t="n"/>
      <c r="J888" s="19" t="n"/>
      <c r="P888" s="20" t="n"/>
      <c r="Q888" s="19" t="n"/>
      <c r="R888" s="19" t="n"/>
      <c r="Y888" s="19" t="n"/>
    </row>
    <row r="889">
      <c r="C889" s="18" t="n"/>
      <c r="J889" s="19" t="n"/>
      <c r="P889" s="20" t="n"/>
      <c r="Q889" s="19" t="n"/>
      <c r="R889" s="19" t="n"/>
      <c r="Y889" s="19" t="n"/>
    </row>
    <row r="890">
      <c r="C890" s="18" t="n"/>
      <c r="J890" s="19" t="n"/>
      <c r="P890" s="20" t="n"/>
      <c r="Q890" s="19" t="n"/>
      <c r="R890" s="19" t="n"/>
      <c r="Y890" s="19" t="n"/>
    </row>
    <row r="891">
      <c r="C891" s="18" t="n"/>
      <c r="J891" s="19" t="n"/>
      <c r="P891" s="20" t="n"/>
      <c r="Q891" s="19" t="n"/>
      <c r="R891" s="19" t="n"/>
      <c r="Y891" s="19" t="n"/>
    </row>
    <row r="892">
      <c r="C892" s="18" t="n"/>
      <c r="J892" s="19" t="n"/>
      <c r="P892" s="20" t="n"/>
      <c r="Q892" s="19" t="n"/>
      <c r="R892" s="19" t="n"/>
      <c r="Y892" s="19" t="n"/>
    </row>
    <row r="893">
      <c r="C893" s="18" t="n"/>
      <c r="J893" s="19" t="n"/>
      <c r="P893" s="20" t="n"/>
      <c r="Q893" s="19" t="n"/>
      <c r="R893" s="19" t="n"/>
      <c r="Y893" s="19" t="n"/>
    </row>
    <row r="894">
      <c r="C894" s="18" t="n"/>
      <c r="J894" s="19" t="n"/>
      <c r="P894" s="20" t="n"/>
      <c r="Q894" s="19" t="n"/>
      <c r="R894" s="19" t="n"/>
      <c r="Y894" s="19" t="n"/>
    </row>
    <row r="895">
      <c r="C895" s="18" t="n"/>
      <c r="J895" s="19" t="n"/>
      <c r="P895" s="20" t="n"/>
      <c r="Q895" s="19" t="n"/>
      <c r="R895" s="19" t="n"/>
      <c r="Y895" s="19" t="n"/>
    </row>
    <row r="896">
      <c r="C896" s="18" t="n"/>
      <c r="J896" s="19" t="n"/>
      <c r="P896" s="20" t="n"/>
      <c r="Q896" s="19" t="n"/>
      <c r="R896" s="19" t="n"/>
      <c r="Y896" s="19" t="n"/>
    </row>
    <row r="897">
      <c r="C897" s="18" t="n"/>
      <c r="J897" s="19" t="n"/>
      <c r="P897" s="20" t="n"/>
      <c r="Q897" s="19" t="n"/>
      <c r="R897" s="19" t="n"/>
      <c r="Y897" s="19" t="n"/>
    </row>
    <row r="898">
      <c r="C898" s="18" t="n"/>
      <c r="J898" s="19" t="n"/>
      <c r="P898" s="20" t="n"/>
      <c r="Q898" s="19" t="n"/>
      <c r="R898" s="19" t="n"/>
      <c r="Y898" s="19" t="n"/>
    </row>
    <row r="899">
      <c r="C899" s="18" t="n"/>
      <c r="J899" s="19" t="n"/>
      <c r="P899" s="20" t="n"/>
      <c r="Q899" s="19" t="n"/>
      <c r="R899" s="19" t="n"/>
      <c r="Y899" s="19" t="n"/>
    </row>
    <row r="900">
      <c r="C900" s="18" t="n"/>
      <c r="J900" s="19" t="n"/>
      <c r="P900" s="20" t="n"/>
      <c r="Q900" s="19" t="n"/>
      <c r="R900" s="19" t="n"/>
      <c r="Y900" s="19" t="n"/>
    </row>
    <row r="901">
      <c r="C901" s="18" t="n"/>
      <c r="J901" s="19" t="n"/>
      <c r="P901" s="20" t="n"/>
      <c r="Q901" s="19" t="n"/>
      <c r="R901" s="19" t="n"/>
      <c r="Y901" s="19" t="n"/>
    </row>
    <row r="902">
      <c r="C902" s="18" t="n"/>
      <c r="J902" s="19" t="n"/>
      <c r="P902" s="20" t="n"/>
      <c r="Q902" s="19" t="n"/>
      <c r="R902" s="19" t="n"/>
      <c r="Y902" s="19" t="n"/>
    </row>
    <row r="903">
      <c r="C903" s="18" t="n"/>
      <c r="J903" s="19" t="n"/>
      <c r="P903" s="20" t="n"/>
      <c r="Q903" s="19" t="n"/>
      <c r="R903" s="19" t="n"/>
      <c r="Y903" s="19" t="n"/>
    </row>
    <row r="904">
      <c r="C904" s="18" t="n"/>
      <c r="J904" s="19" t="n"/>
      <c r="P904" s="20" t="n"/>
      <c r="Q904" s="19" t="n"/>
      <c r="R904" s="19" t="n"/>
      <c r="Y904" s="19" t="n"/>
    </row>
    <row r="905">
      <c r="C905" s="18" t="n"/>
      <c r="J905" s="19" t="n"/>
      <c r="P905" s="20" t="n"/>
      <c r="Q905" s="19" t="n"/>
      <c r="R905" s="19" t="n"/>
      <c r="Y905" s="19" t="n"/>
    </row>
    <row r="906">
      <c r="C906" s="18" t="n"/>
      <c r="J906" s="19" t="n"/>
      <c r="P906" s="20" t="n"/>
      <c r="Q906" s="19" t="n"/>
      <c r="R906" s="19" t="n"/>
      <c r="Y906" s="19" t="n"/>
    </row>
    <row r="907">
      <c r="C907" s="18" t="n"/>
      <c r="J907" s="19" t="n"/>
      <c r="P907" s="20" t="n"/>
      <c r="Q907" s="19" t="n"/>
      <c r="R907" s="19" t="n"/>
      <c r="Y907" s="19" t="n"/>
    </row>
    <row r="908">
      <c r="C908" s="18" t="n"/>
      <c r="J908" s="19" t="n"/>
      <c r="P908" s="20" t="n"/>
      <c r="Q908" s="19" t="n"/>
      <c r="R908" s="19" t="n"/>
      <c r="Y908" s="19" t="n"/>
    </row>
    <row r="909">
      <c r="C909" s="18" t="n"/>
      <c r="J909" s="19" t="n"/>
      <c r="P909" s="20" t="n"/>
      <c r="Q909" s="19" t="n"/>
      <c r="R909" s="19" t="n"/>
      <c r="Y909" s="19" t="n"/>
    </row>
    <row r="910">
      <c r="C910" s="18" t="n"/>
      <c r="J910" s="19" t="n"/>
      <c r="P910" s="20" t="n"/>
      <c r="Q910" s="19" t="n"/>
      <c r="R910" s="19" t="n"/>
      <c r="Y910" s="19" t="n"/>
    </row>
    <row r="911">
      <c r="C911" s="18" t="n"/>
      <c r="J911" s="19" t="n"/>
      <c r="P911" s="20" t="n"/>
      <c r="Q911" s="19" t="n"/>
      <c r="R911" s="19" t="n"/>
      <c r="Y911" s="19" t="n"/>
    </row>
    <row r="912">
      <c r="C912" s="18" t="n"/>
      <c r="J912" s="19" t="n"/>
      <c r="P912" s="20" t="n"/>
      <c r="Q912" s="19" t="n"/>
      <c r="R912" s="19" t="n"/>
      <c r="Y912" s="19" t="n"/>
    </row>
    <row r="913">
      <c r="C913" s="18" t="n"/>
      <c r="J913" s="19" t="n"/>
      <c r="P913" s="20" t="n"/>
      <c r="Q913" s="19" t="n"/>
      <c r="R913" s="19" t="n"/>
      <c r="Y913" s="19" t="n"/>
    </row>
    <row r="914">
      <c r="C914" s="18" t="n"/>
      <c r="J914" s="19" t="n"/>
      <c r="P914" s="20" t="n"/>
      <c r="Q914" s="19" t="n"/>
      <c r="R914" s="19" t="n"/>
      <c r="Y914" s="19" t="n"/>
    </row>
    <row r="915">
      <c r="C915" s="18" t="n"/>
      <c r="J915" s="19" t="n"/>
      <c r="P915" s="20" t="n"/>
      <c r="Q915" s="19" t="n"/>
      <c r="R915" s="19" t="n"/>
      <c r="Y915" s="19" t="n"/>
    </row>
    <row r="916">
      <c r="C916" s="18" t="n"/>
      <c r="J916" s="19" t="n"/>
      <c r="P916" s="20" t="n"/>
      <c r="Q916" s="19" t="n"/>
      <c r="R916" s="19" t="n"/>
      <c r="Y916" s="19" t="n"/>
    </row>
    <row r="917">
      <c r="C917" s="18" t="n"/>
      <c r="J917" s="19" t="n"/>
      <c r="P917" s="20" t="n"/>
      <c r="Q917" s="19" t="n"/>
      <c r="R917" s="19" t="n"/>
      <c r="Y917" s="19" t="n"/>
    </row>
    <row r="918">
      <c r="C918" s="18" t="n"/>
      <c r="J918" s="19" t="n"/>
      <c r="P918" s="20" t="n"/>
      <c r="Q918" s="19" t="n"/>
      <c r="R918" s="19" t="n"/>
      <c r="Y918" s="19" t="n"/>
    </row>
    <row r="919">
      <c r="C919" s="18" t="n"/>
      <c r="J919" s="19" t="n"/>
      <c r="P919" s="20" t="n"/>
      <c r="Q919" s="19" t="n"/>
      <c r="R919" s="19" t="n"/>
      <c r="Y919" s="19" t="n"/>
    </row>
    <row r="920">
      <c r="C920" s="18" t="n"/>
      <c r="J920" s="19" t="n"/>
      <c r="P920" s="20" t="n"/>
      <c r="Q920" s="19" t="n"/>
      <c r="R920" s="19" t="n"/>
      <c r="Y920" s="19" t="n"/>
    </row>
    <row r="921">
      <c r="C921" s="18" t="n"/>
      <c r="J921" s="19" t="n"/>
      <c r="P921" s="20" t="n"/>
      <c r="Q921" s="19" t="n"/>
      <c r="R921" s="19" t="n"/>
      <c r="Y921" s="19" t="n"/>
    </row>
    <row r="922">
      <c r="C922" s="18" t="n"/>
      <c r="J922" s="19" t="n"/>
      <c r="P922" s="20" t="n"/>
      <c r="Q922" s="19" t="n"/>
      <c r="R922" s="19" t="n"/>
      <c r="Y922" s="19" t="n"/>
    </row>
    <row r="923">
      <c r="C923" s="18" t="n"/>
      <c r="J923" s="19" t="n"/>
      <c r="P923" s="20" t="n"/>
      <c r="Q923" s="19" t="n"/>
      <c r="R923" s="19" t="n"/>
      <c r="Y923" s="19" t="n"/>
    </row>
    <row r="924">
      <c r="C924" s="18" t="n"/>
      <c r="J924" s="19" t="n"/>
      <c r="P924" s="20" t="n"/>
      <c r="Q924" s="19" t="n"/>
      <c r="R924" s="19" t="n"/>
      <c r="Y924" s="19" t="n"/>
    </row>
    <row r="925">
      <c r="C925" s="18" t="n"/>
      <c r="J925" s="19" t="n"/>
      <c r="P925" s="20" t="n"/>
      <c r="Q925" s="19" t="n"/>
      <c r="R925" s="19" t="n"/>
      <c r="Y925" s="19" t="n"/>
    </row>
    <row r="926">
      <c r="C926" s="18" t="n"/>
      <c r="J926" s="19" t="n"/>
      <c r="P926" s="20" t="n"/>
      <c r="Q926" s="19" t="n"/>
      <c r="R926" s="19" t="n"/>
      <c r="Y926" s="19" t="n"/>
    </row>
    <row r="927">
      <c r="C927" s="18" t="n"/>
      <c r="J927" s="19" t="n"/>
      <c r="P927" s="20" t="n"/>
      <c r="Q927" s="19" t="n"/>
      <c r="R927" s="19" t="n"/>
      <c r="Y927" s="19" t="n"/>
    </row>
    <row r="928">
      <c r="C928" s="18" t="n"/>
      <c r="J928" s="19" t="n"/>
      <c r="P928" s="20" t="n"/>
      <c r="Q928" s="19" t="n"/>
      <c r="R928" s="19" t="n"/>
      <c r="Y928" s="19" t="n"/>
    </row>
    <row r="929">
      <c r="C929" s="18" t="n"/>
      <c r="J929" s="19" t="n"/>
      <c r="P929" s="20" t="n"/>
      <c r="Q929" s="19" t="n"/>
      <c r="R929" s="19" t="n"/>
      <c r="Y929" s="19" t="n"/>
    </row>
    <row r="930">
      <c r="C930" s="18" t="n"/>
      <c r="J930" s="19" t="n"/>
      <c r="P930" s="20" t="n"/>
      <c r="Q930" s="19" t="n"/>
      <c r="R930" s="19" t="n"/>
      <c r="Y930" s="19" t="n"/>
    </row>
    <row r="931">
      <c r="C931" s="18" t="n"/>
      <c r="J931" s="19" t="n"/>
      <c r="P931" s="20" t="n"/>
      <c r="Q931" s="19" t="n"/>
      <c r="R931" s="19" t="n"/>
      <c r="Y931" s="19" t="n"/>
    </row>
    <row r="932">
      <c r="C932" s="18" t="n"/>
      <c r="J932" s="19" t="n"/>
      <c r="P932" s="20" t="n"/>
      <c r="Q932" s="19" t="n"/>
      <c r="R932" s="19" t="n"/>
      <c r="Y932" s="19" t="n"/>
    </row>
    <row r="933">
      <c r="C933" s="18" t="n"/>
      <c r="J933" s="19" t="n"/>
      <c r="P933" s="20" t="n"/>
      <c r="Q933" s="19" t="n"/>
      <c r="R933" s="19" t="n"/>
      <c r="Y933" s="19" t="n"/>
    </row>
    <row r="934">
      <c r="C934" s="18" t="n"/>
      <c r="J934" s="19" t="n"/>
      <c r="P934" s="20" t="n"/>
      <c r="Q934" s="19" t="n"/>
      <c r="R934" s="19" t="n"/>
      <c r="Y934" s="19" t="n"/>
    </row>
    <row r="935">
      <c r="C935" s="18" t="n"/>
      <c r="J935" s="19" t="n"/>
      <c r="P935" s="20" t="n"/>
      <c r="Q935" s="19" t="n"/>
      <c r="R935" s="19" t="n"/>
      <c r="Y935" s="19" t="n"/>
    </row>
    <row r="936">
      <c r="C936" s="18" t="n"/>
      <c r="J936" s="19" t="n"/>
      <c r="P936" s="20" t="n"/>
      <c r="Q936" s="19" t="n"/>
      <c r="R936" s="19" t="n"/>
      <c r="Y936" s="19" t="n"/>
    </row>
    <row r="937">
      <c r="C937" s="18" t="n"/>
      <c r="J937" s="19" t="n"/>
      <c r="P937" s="20" t="n"/>
      <c r="Q937" s="19" t="n"/>
      <c r="R937" s="19" t="n"/>
      <c r="Y937" s="19" t="n"/>
    </row>
    <row r="938">
      <c r="C938" s="18" t="n"/>
      <c r="J938" s="19" t="n"/>
      <c r="P938" s="20" t="n"/>
      <c r="Q938" s="19" t="n"/>
      <c r="R938" s="19" t="n"/>
      <c r="Y938" s="19" t="n"/>
    </row>
    <row r="939">
      <c r="C939" s="18" t="n"/>
      <c r="J939" s="19" t="n"/>
      <c r="P939" s="20" t="n"/>
      <c r="Q939" s="19" t="n"/>
      <c r="R939" s="19" t="n"/>
      <c r="Y939" s="19" t="n"/>
    </row>
    <row r="940">
      <c r="C940" s="18" t="n"/>
      <c r="J940" s="19" t="n"/>
      <c r="P940" s="20" t="n"/>
      <c r="Q940" s="19" t="n"/>
      <c r="R940" s="19" t="n"/>
      <c r="Y940" s="19" t="n"/>
    </row>
    <row r="941">
      <c r="C941" s="18" t="n"/>
      <c r="J941" s="19" t="n"/>
      <c r="P941" s="20" t="n"/>
      <c r="Q941" s="19" t="n"/>
      <c r="R941" s="19" t="n"/>
      <c r="Y941" s="19" t="n"/>
    </row>
    <row r="942">
      <c r="C942" s="18" t="n"/>
      <c r="J942" s="19" t="n"/>
      <c r="P942" s="20" t="n"/>
      <c r="Q942" s="19" t="n"/>
      <c r="R942" s="19" t="n"/>
      <c r="Y942" s="19" t="n"/>
    </row>
    <row r="943">
      <c r="C943" s="18" t="n"/>
      <c r="J943" s="19" t="n"/>
      <c r="P943" s="20" t="n"/>
      <c r="Q943" s="19" t="n"/>
      <c r="R943" s="19" t="n"/>
      <c r="Y943" s="19" t="n"/>
    </row>
    <row r="944">
      <c r="C944" s="18" t="n"/>
      <c r="J944" s="19" t="n"/>
      <c r="P944" s="20" t="n"/>
      <c r="Q944" s="19" t="n"/>
      <c r="R944" s="19" t="n"/>
      <c r="Y944" s="19" t="n"/>
    </row>
    <row r="945">
      <c r="C945" s="18" t="n"/>
      <c r="J945" s="19" t="n"/>
      <c r="P945" s="20" t="n"/>
      <c r="Q945" s="19" t="n"/>
      <c r="R945" s="19" t="n"/>
      <c r="Y945" s="19" t="n"/>
    </row>
    <row r="946">
      <c r="C946" s="18" t="n"/>
      <c r="J946" s="19" t="n"/>
      <c r="P946" s="20" t="n"/>
      <c r="Q946" s="19" t="n"/>
      <c r="R946" s="19" t="n"/>
      <c r="Y946" s="19" t="n"/>
    </row>
    <row r="947">
      <c r="C947" s="18" t="n"/>
      <c r="J947" s="19" t="n"/>
      <c r="P947" s="20" t="n"/>
      <c r="Q947" s="19" t="n"/>
      <c r="R947" s="19" t="n"/>
      <c r="Y947" s="19" t="n"/>
    </row>
    <row r="948">
      <c r="C948" s="18" t="n"/>
      <c r="J948" s="19" t="n"/>
      <c r="P948" s="20" t="n"/>
      <c r="Q948" s="19" t="n"/>
      <c r="R948" s="19" t="n"/>
      <c r="Y948" s="19" t="n"/>
    </row>
    <row r="949">
      <c r="C949" s="18" t="n"/>
      <c r="J949" s="19" t="n"/>
      <c r="P949" s="20" t="n"/>
      <c r="Q949" s="19" t="n"/>
      <c r="R949" s="19" t="n"/>
      <c r="Y949" s="19" t="n"/>
    </row>
    <row r="950">
      <c r="C950" s="18" t="n"/>
      <c r="J950" s="19" t="n"/>
      <c r="P950" s="20" t="n"/>
      <c r="Q950" s="19" t="n"/>
      <c r="R950" s="19" t="n"/>
      <c r="Y950" s="19" t="n"/>
    </row>
    <row r="951">
      <c r="C951" s="18" t="n"/>
      <c r="J951" s="19" t="n"/>
      <c r="P951" s="20" t="n"/>
      <c r="Q951" s="19" t="n"/>
      <c r="R951" s="19" t="n"/>
      <c r="Y951" s="19" t="n"/>
    </row>
    <row r="952">
      <c r="C952" s="18" t="n"/>
      <c r="J952" s="19" t="n"/>
      <c r="P952" s="20" t="n"/>
      <c r="Q952" s="19" t="n"/>
      <c r="R952" s="19" t="n"/>
      <c r="Y952" s="19" t="n"/>
    </row>
    <row r="953">
      <c r="C953" s="18" t="n"/>
      <c r="J953" s="19" t="n"/>
      <c r="P953" s="20" t="n"/>
      <c r="Q953" s="19" t="n"/>
      <c r="R953" s="19" t="n"/>
      <c r="Y953" s="19" t="n"/>
    </row>
    <row r="954">
      <c r="C954" s="18" t="n"/>
      <c r="J954" s="19" t="n"/>
      <c r="P954" s="20" t="n"/>
      <c r="Q954" s="19" t="n"/>
      <c r="R954" s="19" t="n"/>
      <c r="Y954" s="19" t="n"/>
    </row>
    <row r="955">
      <c r="C955" s="18" t="n"/>
      <c r="J955" s="19" t="n"/>
      <c r="P955" s="20" t="n"/>
      <c r="Q955" s="19" t="n"/>
      <c r="R955" s="19" t="n"/>
      <c r="Y955" s="19" t="n"/>
    </row>
    <row r="956">
      <c r="C956" s="18" t="n"/>
      <c r="J956" s="19" t="n"/>
      <c r="P956" s="20" t="n"/>
      <c r="Q956" s="19" t="n"/>
      <c r="R956" s="19" t="n"/>
      <c r="Y956" s="19" t="n"/>
    </row>
    <row r="957">
      <c r="C957" s="18" t="n"/>
      <c r="J957" s="19" t="n"/>
      <c r="P957" s="20" t="n"/>
      <c r="Q957" s="19" t="n"/>
      <c r="R957" s="19" t="n"/>
      <c r="Y957" s="19" t="n"/>
    </row>
    <row r="958">
      <c r="C958" s="18" t="n"/>
      <c r="J958" s="19" t="n"/>
      <c r="P958" s="20" t="n"/>
      <c r="Q958" s="19" t="n"/>
      <c r="R958" s="19" t="n"/>
      <c r="Y958" s="19" t="n"/>
    </row>
    <row r="959">
      <c r="C959" s="18" t="n"/>
      <c r="J959" s="19" t="n"/>
      <c r="P959" s="20" t="n"/>
      <c r="Q959" s="19" t="n"/>
      <c r="R959" s="19" t="n"/>
      <c r="Y959" s="19" t="n"/>
    </row>
    <row r="960">
      <c r="C960" s="18" t="n"/>
      <c r="J960" s="19" t="n"/>
      <c r="P960" s="20" t="n"/>
      <c r="Q960" s="19" t="n"/>
      <c r="R960" s="19" t="n"/>
      <c r="Y960" s="19" t="n"/>
    </row>
    <row r="961">
      <c r="C961" s="18" t="n"/>
      <c r="J961" s="19" t="n"/>
      <c r="P961" s="20" t="n"/>
      <c r="Q961" s="19" t="n"/>
      <c r="R961" s="19" t="n"/>
      <c r="Y961" s="19" t="n"/>
    </row>
    <row r="962">
      <c r="C962" s="18" t="n"/>
      <c r="J962" s="19" t="n"/>
      <c r="P962" s="20" t="n"/>
      <c r="Q962" s="19" t="n"/>
      <c r="R962" s="19" t="n"/>
      <c r="Y962" s="19" t="n"/>
    </row>
    <row r="963">
      <c r="C963" s="18" t="n"/>
      <c r="J963" s="19" t="n"/>
      <c r="P963" s="20" t="n"/>
      <c r="Q963" s="19" t="n"/>
      <c r="R963" s="19" t="n"/>
      <c r="Y963" s="19" t="n"/>
    </row>
    <row r="964">
      <c r="C964" s="18" t="n"/>
      <c r="J964" s="19" t="n"/>
      <c r="P964" s="20" t="n"/>
      <c r="Q964" s="19" t="n"/>
      <c r="R964" s="19" t="n"/>
      <c r="Y964" s="19" t="n"/>
    </row>
    <row r="965">
      <c r="C965" s="18" t="n"/>
      <c r="J965" s="19" t="n"/>
      <c r="P965" s="20" t="n"/>
      <c r="Q965" s="19" t="n"/>
      <c r="R965" s="19" t="n"/>
      <c r="Y965" s="19" t="n"/>
    </row>
    <row r="966">
      <c r="C966" s="18" t="n"/>
      <c r="J966" s="19" t="n"/>
      <c r="P966" s="20" t="n"/>
      <c r="Q966" s="19" t="n"/>
      <c r="R966" s="19" t="n"/>
      <c r="Y966" s="19" t="n"/>
    </row>
    <row r="967">
      <c r="C967" s="18" t="n"/>
      <c r="J967" s="19" t="n"/>
      <c r="P967" s="20" t="n"/>
      <c r="Q967" s="19" t="n"/>
      <c r="R967" s="19" t="n"/>
      <c r="Y967" s="19" t="n"/>
    </row>
    <row r="968">
      <c r="C968" s="18" t="n"/>
      <c r="J968" s="19" t="n"/>
      <c r="P968" s="20" t="n"/>
      <c r="Q968" s="19" t="n"/>
      <c r="R968" s="19" t="n"/>
      <c r="Y968" s="19" t="n"/>
    </row>
    <row r="969">
      <c r="C969" s="18" t="n"/>
      <c r="J969" s="19" t="n"/>
      <c r="P969" s="20" t="n"/>
      <c r="Q969" s="19" t="n"/>
      <c r="R969" s="19" t="n"/>
      <c r="Y969" s="19" t="n"/>
    </row>
    <row r="970">
      <c r="C970" s="18" t="n"/>
      <c r="J970" s="19" t="n"/>
      <c r="P970" s="20" t="n"/>
      <c r="Q970" s="19" t="n"/>
      <c r="R970" s="19" t="n"/>
      <c r="Y970" s="19" t="n"/>
    </row>
    <row r="971">
      <c r="C971" s="18" t="n"/>
      <c r="J971" s="19" t="n"/>
      <c r="P971" s="20" t="n"/>
      <c r="Q971" s="19" t="n"/>
      <c r="R971" s="19" t="n"/>
      <c r="Y971" s="19" t="n"/>
    </row>
    <row r="972">
      <c r="C972" s="18" t="n"/>
      <c r="J972" s="19" t="n"/>
      <c r="P972" s="20" t="n"/>
      <c r="Q972" s="19" t="n"/>
      <c r="R972" s="19" t="n"/>
      <c r="Y972" s="19" t="n"/>
    </row>
    <row r="973">
      <c r="C973" s="18" t="n"/>
      <c r="J973" s="19" t="n"/>
      <c r="P973" s="20" t="n"/>
      <c r="Q973" s="19" t="n"/>
      <c r="R973" s="19" t="n"/>
      <c r="Y973" s="19" t="n"/>
    </row>
    <row r="974">
      <c r="C974" s="18" t="n"/>
      <c r="J974" s="19" t="n"/>
      <c r="P974" s="20" t="n"/>
      <c r="Q974" s="19" t="n"/>
      <c r="R974" s="19" t="n"/>
      <c r="Y974" s="19" t="n"/>
    </row>
    <row r="975">
      <c r="C975" s="18" t="n"/>
      <c r="J975" s="19" t="n"/>
      <c r="P975" s="20" t="n"/>
      <c r="Q975" s="19" t="n"/>
      <c r="R975" s="19" t="n"/>
      <c r="Y975" s="19" t="n"/>
    </row>
    <row r="976">
      <c r="C976" s="18" t="n"/>
      <c r="J976" s="19" t="n"/>
      <c r="P976" s="20" t="n"/>
      <c r="Q976" s="19" t="n"/>
      <c r="R976" s="19" t="n"/>
      <c r="Y976" s="19" t="n"/>
    </row>
    <row r="977">
      <c r="C977" s="18" t="n"/>
      <c r="J977" s="19" t="n"/>
      <c r="P977" s="20" t="n"/>
      <c r="Q977" s="19" t="n"/>
      <c r="R977" s="19" t="n"/>
      <c r="Y977" s="19" t="n"/>
    </row>
    <row r="978">
      <c r="C978" s="18" t="n"/>
      <c r="J978" s="19" t="n"/>
      <c r="P978" s="20" t="n"/>
      <c r="Q978" s="19" t="n"/>
      <c r="R978" s="19" t="n"/>
      <c r="Y978" s="19" t="n"/>
    </row>
    <row r="979">
      <c r="C979" s="18" t="n"/>
      <c r="J979" s="19" t="n"/>
      <c r="P979" s="20" t="n"/>
      <c r="Q979" s="19" t="n"/>
      <c r="R979" s="19" t="n"/>
      <c r="Y979" s="19" t="n"/>
    </row>
    <row r="980">
      <c r="C980" s="18" t="n"/>
      <c r="J980" s="19" t="n"/>
      <c r="P980" s="20" t="n"/>
      <c r="Q980" s="19" t="n"/>
      <c r="R980" s="19" t="n"/>
      <c r="Y980" s="19" t="n"/>
    </row>
    <row r="981">
      <c r="C981" s="18" t="n"/>
      <c r="J981" s="19" t="n"/>
      <c r="P981" s="20" t="n"/>
      <c r="Q981" s="19" t="n"/>
      <c r="R981" s="19" t="n"/>
      <c r="Y981" s="19" t="n"/>
    </row>
    <row r="982">
      <c r="C982" s="18" t="n"/>
      <c r="J982" s="19" t="n"/>
      <c r="P982" s="20" t="n"/>
      <c r="Q982" s="19" t="n"/>
      <c r="R982" s="19" t="n"/>
      <c r="Y982" s="19" t="n"/>
    </row>
    <row r="983">
      <c r="C983" s="18" t="n"/>
      <c r="J983" s="19" t="n"/>
      <c r="P983" s="20" t="n"/>
      <c r="Q983" s="19" t="n"/>
      <c r="R983" s="19" t="n"/>
      <c r="Y983" s="19" t="n"/>
    </row>
    <row r="984">
      <c r="C984" s="18" t="n"/>
      <c r="J984" s="19" t="n"/>
      <c r="P984" s="20" t="n"/>
      <c r="Q984" s="19" t="n"/>
      <c r="R984" s="19" t="n"/>
      <c r="Y984" s="19" t="n"/>
    </row>
    <row r="985">
      <c r="C985" s="18" t="n"/>
      <c r="J985" s="19" t="n"/>
      <c r="P985" s="20" t="n"/>
      <c r="Q985" s="19" t="n"/>
      <c r="R985" s="19" t="n"/>
      <c r="Y985" s="19" t="n"/>
    </row>
    <row r="986">
      <c r="C986" s="18" t="n"/>
      <c r="J986" s="19" t="n"/>
      <c r="P986" s="20" t="n"/>
      <c r="Q986" s="19" t="n"/>
      <c r="R986" s="19" t="n"/>
      <c r="Y986" s="19" t="n"/>
    </row>
    <row r="987">
      <c r="C987" s="18" t="n"/>
      <c r="J987" s="19" t="n"/>
      <c r="P987" s="20" t="n"/>
      <c r="Q987" s="19" t="n"/>
      <c r="R987" s="19" t="n"/>
      <c r="Y987" s="19" t="n"/>
    </row>
    <row r="988">
      <c r="C988" s="18" t="n"/>
      <c r="J988" s="19" t="n"/>
      <c r="P988" s="20" t="n"/>
      <c r="Q988" s="19" t="n"/>
      <c r="R988" s="19" t="n"/>
      <c r="Y988" s="19" t="n"/>
    </row>
    <row r="989">
      <c r="C989" s="18" t="n"/>
      <c r="J989" s="19" t="n"/>
      <c r="P989" s="20" t="n"/>
      <c r="Q989" s="19" t="n"/>
      <c r="R989" s="19" t="n"/>
      <c r="Y989" s="19" t="n"/>
    </row>
    <row r="990">
      <c r="C990" s="18" t="n"/>
      <c r="J990" s="19" t="n"/>
      <c r="P990" s="20" t="n"/>
      <c r="Q990" s="19" t="n"/>
      <c r="R990" s="19" t="n"/>
      <c r="Y990" s="19" t="n"/>
    </row>
    <row r="991">
      <c r="C991" s="18" t="n"/>
      <c r="J991" s="19" t="n"/>
      <c r="P991" s="20" t="n"/>
      <c r="Q991" s="19" t="n"/>
      <c r="R991" s="19" t="n"/>
      <c r="Y991" s="19" t="n"/>
    </row>
    <row r="992">
      <c r="C992" s="18" t="n"/>
      <c r="J992" s="19" t="n"/>
      <c r="P992" s="20" t="n"/>
      <c r="Q992" s="19" t="n"/>
      <c r="R992" s="19" t="n"/>
      <c r="Y992" s="19" t="n"/>
    </row>
    <row r="993">
      <c r="C993" s="18" t="n"/>
      <c r="J993" s="19" t="n"/>
      <c r="P993" s="20" t="n"/>
      <c r="Q993" s="19" t="n"/>
      <c r="R993" s="19" t="n"/>
      <c r="Y993" s="19" t="n"/>
    </row>
    <row r="994">
      <c r="C994" s="18" t="n"/>
      <c r="J994" s="19" t="n"/>
      <c r="P994" s="20" t="n"/>
      <c r="Q994" s="19" t="n"/>
      <c r="R994" s="19" t="n"/>
      <c r="Y994" s="19" t="n"/>
    </row>
    <row r="995">
      <c r="C995" s="18" t="n"/>
      <c r="J995" s="19" t="n"/>
      <c r="P995" s="20" t="n"/>
      <c r="Q995" s="19" t="n"/>
      <c r="R995" s="19" t="n"/>
      <c r="Y995" s="19" t="n"/>
    </row>
    <row r="996">
      <c r="C996" s="18" t="n"/>
      <c r="J996" s="19" t="n"/>
      <c r="P996" s="20" t="n"/>
      <c r="Q996" s="19" t="n"/>
      <c r="R996" s="19" t="n"/>
      <c r="Y996" s="19" t="n"/>
    </row>
    <row r="997">
      <c r="C997" s="18" t="n"/>
      <c r="J997" s="19" t="n"/>
      <c r="P997" s="20" t="n"/>
      <c r="Q997" s="19" t="n"/>
      <c r="R997" s="19" t="n"/>
      <c r="Y997" s="19" t="n"/>
    </row>
    <row r="998">
      <c r="C998" s="18" t="n"/>
      <c r="J998" s="19" t="n"/>
      <c r="P998" s="20" t="n"/>
      <c r="Q998" s="19" t="n"/>
      <c r="R998" s="19" t="n"/>
      <c r="Y998" s="19" t="n"/>
    </row>
    <row r="999">
      <c r="C999" s="18" t="n"/>
      <c r="J999" s="19" t="n"/>
      <c r="P999" s="20" t="n"/>
      <c r="Q999" s="19" t="n"/>
      <c r="R999" s="19" t="n"/>
      <c r="Y999" s="19" t="n"/>
    </row>
    <row r="1000">
      <c r="C1000" s="18" t="n"/>
      <c r="J1000" s="19" t="n"/>
      <c r="P1000" s="20" t="n"/>
      <c r="Q1000" s="19" t="n"/>
      <c r="R1000" s="19" t="n"/>
      <c r="Y1000" s="19" t="n"/>
    </row>
    <row r="1001">
      <c r="C1001" s="18" t="n"/>
      <c r="J1001" s="19" t="n"/>
      <c r="P1001" s="20" t="n"/>
      <c r="Q1001" s="19" t="n"/>
      <c r="R1001" s="19" t="n"/>
      <c r="Y1001" s="19" t="n"/>
    </row>
    <row r="1002">
      <c r="C1002" s="18" t="n"/>
      <c r="J1002" s="19" t="n"/>
      <c r="P1002" s="20" t="n"/>
      <c r="Q1002" s="19" t="n"/>
      <c r="R1002" s="19" t="n"/>
      <c r="Y1002" s="19" t="n"/>
    </row>
    <row r="1003">
      <c r="C1003" s="18" t="n"/>
      <c r="J1003" s="19" t="n"/>
      <c r="P1003" s="20" t="n"/>
      <c r="Q1003" s="19" t="n"/>
      <c r="R1003" s="19" t="n"/>
      <c r="Y1003" s="19" t="n"/>
    </row>
    <row r="1004">
      <c r="C1004" s="18" t="n"/>
      <c r="J1004" s="19" t="n"/>
      <c r="P1004" s="20" t="n"/>
      <c r="Q1004" s="19" t="n"/>
      <c r="R1004" s="19" t="n"/>
      <c r="Y1004" s="19" t="n"/>
    </row>
    <row r="1005">
      <c r="C1005" s="18" t="n"/>
      <c r="J1005" s="19" t="n"/>
      <c r="P1005" s="20" t="n"/>
      <c r="Q1005" s="19" t="n"/>
      <c r="R1005" s="19" t="n"/>
      <c r="Y1005" s="19" t="n"/>
    </row>
    <row r="1006">
      <c r="C1006" s="18" t="n"/>
      <c r="J1006" s="19" t="n"/>
      <c r="P1006" s="20" t="n"/>
      <c r="Q1006" s="19" t="n"/>
      <c r="R1006" s="19" t="n"/>
      <c r="Y1006" s="19" t="n"/>
    </row>
    <row r="1007">
      <c r="C1007" s="18" t="n"/>
      <c r="J1007" s="19" t="n"/>
      <c r="P1007" s="20" t="n"/>
      <c r="Q1007" s="19" t="n"/>
      <c r="R1007" s="19" t="n"/>
      <c r="Y1007" s="19" t="n"/>
    </row>
    <row r="1008">
      <c r="C1008" s="18" t="n"/>
      <c r="J1008" s="19" t="n"/>
      <c r="P1008" s="20" t="n"/>
      <c r="Q1008" s="19" t="n"/>
      <c r="R1008" s="19" t="n"/>
      <c r="Y1008" s="19" t="n"/>
    </row>
    <row r="1009">
      <c r="C1009" s="18" t="n"/>
      <c r="J1009" s="19" t="n"/>
      <c r="P1009" s="20" t="n"/>
      <c r="Q1009" s="19" t="n"/>
      <c r="R1009" s="19" t="n"/>
      <c r="Y1009" s="19" t="n"/>
    </row>
    <row r="1010">
      <c r="C1010" s="18" t="n"/>
      <c r="J1010" s="19" t="n"/>
      <c r="P1010" s="20" t="n"/>
      <c r="Q1010" s="19" t="n"/>
      <c r="R1010" s="19" t="n"/>
      <c r="Y1010" s="19" t="n"/>
    </row>
    <row r="1011">
      <c r="C1011" s="18" t="n"/>
      <c r="J1011" s="19" t="n"/>
      <c r="P1011" s="20" t="n"/>
      <c r="Q1011" s="19" t="n"/>
      <c r="R1011" s="19" t="n"/>
      <c r="Y1011" s="19" t="n"/>
    </row>
    <row r="1012">
      <c r="C1012" s="18" t="n"/>
      <c r="J1012" s="19" t="n"/>
      <c r="P1012" s="20" t="n"/>
      <c r="Q1012" s="19" t="n"/>
      <c r="R1012" s="19" t="n"/>
      <c r="Y1012" s="19" t="n"/>
    </row>
    <row r="1013">
      <c r="C1013" s="18" t="n"/>
      <c r="J1013" s="19" t="n"/>
      <c r="P1013" s="20" t="n"/>
      <c r="Q1013" s="19" t="n"/>
      <c r="R1013" s="19" t="n"/>
      <c r="Y1013" s="19" t="n"/>
    </row>
    <row r="1014">
      <c r="C1014" s="18" t="n"/>
      <c r="J1014" s="19" t="n"/>
      <c r="P1014" s="20" t="n"/>
      <c r="Q1014" s="19" t="n"/>
      <c r="R1014" s="19" t="n"/>
      <c r="Y1014" s="19" t="n"/>
    </row>
    <row r="1015">
      <c r="C1015" s="18" t="n"/>
      <c r="J1015" s="19" t="n"/>
      <c r="P1015" s="20" t="n"/>
      <c r="Q1015" s="19" t="n"/>
      <c r="R1015" s="19" t="n"/>
      <c r="Y1015" s="19" t="n"/>
    </row>
    <row r="1016">
      <c r="C1016" s="18" t="n"/>
      <c r="J1016" s="19" t="n"/>
      <c r="P1016" s="20" t="n"/>
      <c r="Q1016" s="19" t="n"/>
      <c r="R1016" s="19" t="n"/>
      <c r="Y1016" s="19" t="n"/>
    </row>
    <row r="1017">
      <c r="C1017" s="18" t="n"/>
      <c r="J1017" s="19" t="n"/>
      <c r="P1017" s="20" t="n"/>
      <c r="Q1017" s="19" t="n"/>
      <c r="R1017" s="19" t="n"/>
      <c r="Y1017" s="19" t="n"/>
    </row>
    <row r="1018">
      <c r="C1018" s="18" t="n"/>
      <c r="J1018" s="19" t="n"/>
      <c r="P1018" s="20" t="n"/>
      <c r="Q1018" s="19" t="n"/>
      <c r="R1018" s="19" t="n"/>
      <c r="Y1018" s="19" t="n"/>
    </row>
    <row r="1019">
      <c r="C1019" s="18" t="n"/>
      <c r="J1019" s="19" t="n"/>
      <c r="P1019" s="20" t="n"/>
      <c r="Q1019" s="19" t="n"/>
      <c r="R1019" s="19" t="n"/>
      <c r="Y1019" s="19" t="n"/>
    </row>
    <row r="1020">
      <c r="C1020" s="18" t="n"/>
      <c r="J1020" s="19" t="n"/>
      <c r="P1020" s="20" t="n"/>
      <c r="Q1020" s="19" t="n"/>
      <c r="R1020" s="19" t="n"/>
      <c r="Y1020" s="19" t="n"/>
    </row>
    <row r="1021">
      <c r="C1021" s="18" t="n"/>
      <c r="J1021" s="19" t="n"/>
      <c r="P1021" s="20" t="n"/>
      <c r="Q1021" s="19" t="n"/>
      <c r="R1021" s="19" t="n"/>
      <c r="Y1021" s="19" t="n"/>
    </row>
    <row r="1022">
      <c r="C1022" s="18" t="n"/>
      <c r="J1022" s="19" t="n"/>
      <c r="P1022" s="20" t="n"/>
      <c r="Q1022" s="19" t="n"/>
      <c r="R1022" s="19" t="n"/>
      <c r="Y1022" s="19" t="n"/>
    </row>
    <row r="1023">
      <c r="C1023" s="18" t="n"/>
      <c r="J1023" s="19" t="n"/>
      <c r="P1023" s="20" t="n"/>
      <c r="Q1023" s="19" t="n"/>
      <c r="R1023" s="19" t="n"/>
      <c r="Y1023" s="19" t="n"/>
    </row>
    <row r="1024">
      <c r="C1024" s="18" t="n"/>
      <c r="J1024" s="19" t="n"/>
      <c r="P1024" s="20" t="n"/>
      <c r="Q1024" s="19" t="n"/>
      <c r="R1024" s="19" t="n"/>
      <c r="Y1024" s="19" t="n"/>
    </row>
    <row r="1025">
      <c r="C1025" s="18" t="n"/>
      <c r="J1025" s="19" t="n"/>
      <c r="P1025" s="20" t="n"/>
      <c r="Q1025" s="19" t="n"/>
      <c r="R1025" s="19" t="n"/>
      <c r="Y1025" s="19" t="n"/>
    </row>
    <row r="1026">
      <c r="C1026" s="18" t="n"/>
      <c r="J1026" s="19" t="n"/>
      <c r="P1026" s="20" t="n"/>
      <c r="Q1026" s="19" t="n"/>
      <c r="R1026" s="19" t="n"/>
      <c r="Y1026" s="19" t="n"/>
    </row>
    <row r="1027">
      <c r="C1027" s="18" t="n"/>
      <c r="J1027" s="19" t="n"/>
      <c r="P1027" s="20" t="n"/>
      <c r="Q1027" s="19" t="n"/>
      <c r="R1027" s="19" t="n"/>
      <c r="Y1027" s="19" t="n"/>
    </row>
    <row r="1028">
      <c r="C1028" s="18" t="n"/>
      <c r="J1028" s="19" t="n"/>
      <c r="P1028" s="20" t="n"/>
      <c r="Q1028" s="19" t="n"/>
      <c r="R1028" s="19" t="n"/>
      <c r="Y1028" s="19" t="n"/>
    </row>
    <row r="1029">
      <c r="C1029" s="18" t="n"/>
      <c r="J1029" s="19" t="n"/>
      <c r="P1029" s="20" t="n"/>
      <c r="Q1029" s="19" t="n"/>
      <c r="R1029" s="19" t="n"/>
      <c r="Y1029" s="19" t="n"/>
    </row>
    <row r="1030">
      <c r="C1030" s="18" t="n"/>
      <c r="J1030" s="19" t="n"/>
      <c r="P1030" s="20" t="n"/>
      <c r="Q1030" s="19" t="n"/>
      <c r="R1030" s="19" t="n"/>
      <c r="Y1030" s="19" t="n"/>
    </row>
    <row r="1031">
      <c r="C1031" s="18" t="n"/>
      <c r="J1031" s="19" t="n"/>
      <c r="P1031" s="20" t="n"/>
      <c r="Q1031" s="19" t="n"/>
      <c r="R1031" s="19" t="n"/>
      <c r="Y1031" s="19" t="n"/>
    </row>
    <row r="1032">
      <c r="C1032" s="18" t="n"/>
      <c r="J1032" s="19" t="n"/>
      <c r="P1032" s="20" t="n"/>
      <c r="Q1032" s="19" t="n"/>
      <c r="R1032" s="19" t="n"/>
      <c r="Y1032" s="19" t="n"/>
    </row>
    <row r="1033">
      <c r="C1033" s="18" t="n"/>
      <c r="J1033" s="19" t="n"/>
      <c r="P1033" s="20" t="n"/>
      <c r="Q1033" s="19" t="n"/>
      <c r="R1033" s="19" t="n"/>
      <c r="Y1033" s="19" t="n"/>
    </row>
    <row r="1034">
      <c r="C1034" s="18" t="n"/>
      <c r="J1034" s="19" t="n"/>
      <c r="P1034" s="20" t="n"/>
      <c r="Q1034" s="19" t="n"/>
      <c r="R1034" s="19" t="n"/>
      <c r="Y1034" s="19" t="n"/>
    </row>
    <row r="1035">
      <c r="C1035" s="18" t="n"/>
      <c r="J1035" s="19" t="n"/>
      <c r="P1035" s="20" t="n"/>
      <c r="Q1035" s="19" t="n"/>
      <c r="R1035" s="19" t="n"/>
      <c r="Y1035" s="19" t="n"/>
    </row>
    <row r="1036">
      <c r="C1036" s="18" t="n"/>
      <c r="J1036" s="19" t="n"/>
      <c r="P1036" s="20" t="n"/>
      <c r="Q1036" s="19" t="n"/>
      <c r="R1036" s="19" t="n"/>
      <c r="Y1036" s="19" t="n"/>
    </row>
    <row r="1037">
      <c r="C1037" s="18" t="n"/>
      <c r="J1037" s="19" t="n"/>
      <c r="P1037" s="20" t="n"/>
      <c r="Q1037" s="19" t="n"/>
      <c r="R1037" s="19" t="n"/>
      <c r="Y1037" s="19" t="n"/>
    </row>
    <row r="1038">
      <c r="C1038" s="18" t="n"/>
      <c r="J1038" s="19" t="n"/>
      <c r="P1038" s="20" t="n"/>
      <c r="Q1038" s="19" t="n"/>
      <c r="R1038" s="19" t="n"/>
      <c r="Y1038" s="19" t="n"/>
    </row>
    <row r="1039">
      <c r="C1039" s="18" t="n"/>
      <c r="J1039" s="19" t="n"/>
      <c r="P1039" s="20" t="n"/>
      <c r="Q1039" s="19" t="n"/>
      <c r="R1039" s="19" t="n"/>
      <c r="Y1039" s="19" t="n"/>
    </row>
    <row r="1040">
      <c r="C1040" s="18" t="n"/>
      <c r="J1040" s="19" t="n"/>
      <c r="P1040" s="20" t="n"/>
      <c r="Q1040" s="19" t="n"/>
      <c r="R1040" s="19" t="n"/>
      <c r="Y1040" s="19" t="n"/>
    </row>
    <row r="1041">
      <c r="C1041" s="18" t="n"/>
      <c r="J1041" s="19" t="n"/>
      <c r="P1041" s="20" t="n"/>
      <c r="Q1041" s="19" t="n"/>
      <c r="R1041" s="19" t="n"/>
      <c r="Y1041" s="19" t="n"/>
    </row>
    <row r="1042">
      <c r="C1042" s="18" t="n"/>
      <c r="J1042" s="19" t="n"/>
      <c r="P1042" s="20" t="n"/>
      <c r="Q1042" s="19" t="n"/>
      <c r="R1042" s="19" t="n"/>
      <c r="Y1042" s="19" t="n"/>
    </row>
    <row r="1043">
      <c r="C1043" s="18" t="n"/>
      <c r="J1043" s="19" t="n"/>
      <c r="P1043" s="20" t="n"/>
      <c r="Q1043" s="19" t="n"/>
      <c r="R1043" s="19" t="n"/>
      <c r="Y1043" s="19" t="n"/>
    </row>
    <row r="1044">
      <c r="C1044" s="18" t="n"/>
      <c r="J1044" s="19" t="n"/>
      <c r="P1044" s="20" t="n"/>
      <c r="Q1044" s="19" t="n"/>
      <c r="R1044" s="19" t="n"/>
      <c r="Y1044" s="19" t="n"/>
    </row>
    <row r="1045">
      <c r="C1045" s="18" t="n"/>
      <c r="J1045" s="19" t="n"/>
      <c r="P1045" s="20" t="n"/>
      <c r="Q1045" s="19" t="n"/>
      <c r="R1045" s="19" t="n"/>
      <c r="Y1045" s="19" t="n"/>
    </row>
    <row r="1046">
      <c r="C1046" s="18" t="n"/>
      <c r="J1046" s="19" t="n"/>
      <c r="P1046" s="20" t="n"/>
      <c r="Q1046" s="19" t="n"/>
      <c r="R1046" s="19" t="n"/>
      <c r="Y1046" s="19" t="n"/>
    </row>
    <row r="1047">
      <c r="C1047" s="18" t="n"/>
      <c r="J1047" s="19" t="n"/>
      <c r="P1047" s="20" t="n"/>
      <c r="Q1047" s="19" t="n"/>
      <c r="R1047" s="19" t="n"/>
      <c r="Y1047" s="19" t="n"/>
    </row>
    <row r="1048">
      <c r="C1048" s="18" t="n"/>
      <c r="J1048" s="19" t="n"/>
      <c r="P1048" s="20" t="n"/>
      <c r="Q1048" s="19" t="n"/>
      <c r="R1048" s="19" t="n"/>
      <c r="Y1048" s="19" t="n"/>
    </row>
    <row r="1049">
      <c r="C1049" s="18" t="n"/>
      <c r="J1049" s="19" t="n"/>
      <c r="P1049" s="20" t="n"/>
      <c r="Q1049" s="19" t="n"/>
      <c r="R1049" s="19" t="n"/>
      <c r="Y1049" s="19" t="n"/>
    </row>
    <row r="1050">
      <c r="C1050" s="18" t="n"/>
      <c r="J1050" s="19" t="n"/>
      <c r="P1050" s="20" t="n"/>
      <c r="Q1050" s="19" t="n"/>
      <c r="R1050" s="19" t="n"/>
      <c r="Y1050" s="19" t="n"/>
    </row>
    <row r="1051">
      <c r="C1051" s="18" t="n"/>
      <c r="J1051" s="19" t="n"/>
      <c r="P1051" s="20" t="n"/>
      <c r="Q1051" s="19" t="n"/>
      <c r="R1051" s="19" t="n"/>
      <c r="Y1051" s="19" t="n"/>
    </row>
    <row r="1052">
      <c r="C1052" s="18" t="n"/>
      <c r="J1052" s="19" t="n"/>
      <c r="P1052" s="20" t="n"/>
      <c r="Q1052" s="19" t="n"/>
      <c r="R1052" s="19" t="n"/>
      <c r="Y1052" s="19" t="n"/>
    </row>
    <row r="1053">
      <c r="C1053" s="18" t="n"/>
      <c r="J1053" s="19" t="n"/>
      <c r="P1053" s="20" t="n"/>
      <c r="Q1053" s="19" t="n"/>
      <c r="R1053" s="19" t="n"/>
      <c r="Y1053" s="19" t="n"/>
    </row>
    <row r="1054">
      <c r="C1054" s="18" t="n"/>
      <c r="J1054" s="19" t="n"/>
      <c r="P1054" s="20" t="n"/>
      <c r="Q1054" s="19" t="n"/>
      <c r="R1054" s="19" t="n"/>
      <c r="Y1054" s="19" t="n"/>
    </row>
    <row r="1055">
      <c r="C1055" s="18" t="n"/>
      <c r="J1055" s="19" t="n"/>
      <c r="P1055" s="20" t="n"/>
      <c r="Q1055" s="19" t="n"/>
      <c r="R1055" s="19" t="n"/>
      <c r="Y1055" s="19" t="n"/>
    </row>
    <row r="1056">
      <c r="C1056" s="18" t="n"/>
      <c r="J1056" s="19" t="n"/>
      <c r="P1056" s="20" t="n"/>
      <c r="Q1056" s="19" t="n"/>
      <c r="R1056" s="19" t="n"/>
      <c r="Y1056" s="19" t="n"/>
    </row>
    <row r="1057">
      <c r="C1057" s="18" t="n"/>
      <c r="J1057" s="19" t="n"/>
      <c r="P1057" s="20" t="n"/>
      <c r="Q1057" s="19" t="n"/>
      <c r="R1057" s="19" t="n"/>
      <c r="Y1057" s="19" t="n"/>
    </row>
    <row r="1058">
      <c r="C1058" s="18" t="n"/>
      <c r="J1058" s="19" t="n"/>
      <c r="P1058" s="20" t="n"/>
      <c r="Q1058" s="19" t="n"/>
      <c r="R1058" s="19" t="n"/>
      <c r="Y1058" s="19" t="n"/>
    </row>
    <row r="1059">
      <c r="C1059" s="18" t="n"/>
      <c r="J1059" s="19" t="n"/>
      <c r="P1059" s="20" t="n"/>
      <c r="Q1059" s="19" t="n"/>
      <c r="R1059" s="19" t="n"/>
      <c r="Y1059" s="19" t="n"/>
    </row>
    <row r="1060">
      <c r="C1060" s="18" t="n"/>
      <c r="J1060" s="19" t="n"/>
      <c r="P1060" s="20" t="n"/>
      <c r="Q1060" s="19" t="n"/>
      <c r="R1060" s="19" t="n"/>
      <c r="Y1060" s="19" t="n"/>
    </row>
    <row r="1061">
      <c r="C1061" s="18" t="n"/>
      <c r="J1061" s="19" t="n"/>
      <c r="P1061" s="20" t="n"/>
      <c r="Q1061" s="19" t="n"/>
      <c r="R1061" s="19" t="n"/>
      <c r="Y1061" s="19" t="n"/>
    </row>
    <row r="1062">
      <c r="C1062" s="18" t="n"/>
      <c r="J1062" s="19" t="n"/>
      <c r="P1062" s="20" t="n"/>
      <c r="Q1062" s="19" t="n"/>
      <c r="R1062" s="19" t="n"/>
      <c r="Y1062" s="19" t="n"/>
    </row>
    <row r="1063">
      <c r="C1063" s="18" t="n"/>
      <c r="J1063" s="19" t="n"/>
      <c r="P1063" s="20" t="n"/>
      <c r="Q1063" s="19" t="n"/>
      <c r="R1063" s="19" t="n"/>
      <c r="Y1063" s="19" t="n"/>
    </row>
    <row r="1064">
      <c r="C1064" s="18" t="n"/>
      <c r="J1064" s="19" t="n"/>
      <c r="P1064" s="20" t="n"/>
      <c r="Q1064" s="19" t="n"/>
      <c r="R1064" s="19" t="n"/>
      <c r="Y1064" s="19" t="n"/>
    </row>
    <row r="1065">
      <c r="C1065" s="18" t="n"/>
      <c r="J1065" s="19" t="n"/>
      <c r="P1065" s="20" t="n"/>
      <c r="Q1065" s="19" t="n"/>
      <c r="R1065" s="19" t="n"/>
      <c r="Y1065" s="19" t="n"/>
    </row>
    <row r="1066">
      <c r="C1066" s="18" t="n"/>
      <c r="J1066" s="19" t="n"/>
      <c r="P1066" s="20" t="n"/>
      <c r="Q1066" s="19" t="n"/>
      <c r="R1066" s="19" t="n"/>
      <c r="Y1066" s="19" t="n"/>
    </row>
    <row r="1067">
      <c r="C1067" s="18" t="n"/>
      <c r="J1067" s="19" t="n"/>
      <c r="P1067" s="20" t="n"/>
      <c r="Q1067" s="19" t="n"/>
      <c r="R1067" s="19" t="n"/>
      <c r="Y1067" s="19" t="n"/>
    </row>
    <row r="1068">
      <c r="C1068" s="18" t="n"/>
      <c r="J1068" s="19" t="n"/>
      <c r="P1068" s="20" t="n"/>
      <c r="Q1068" s="19" t="n"/>
      <c r="R1068" s="19" t="n"/>
      <c r="Y1068" s="19" t="n"/>
    </row>
    <row r="1069">
      <c r="C1069" s="18" t="n"/>
      <c r="J1069" s="19" t="n"/>
      <c r="P1069" s="20" t="n"/>
      <c r="Q1069" s="19" t="n"/>
      <c r="R1069" s="19" t="n"/>
      <c r="Y1069" s="19" t="n"/>
    </row>
    <row r="1070">
      <c r="C1070" s="18" t="n"/>
      <c r="J1070" s="19" t="n"/>
      <c r="P1070" s="20" t="n"/>
      <c r="Q1070" s="19" t="n"/>
      <c r="R1070" s="19" t="n"/>
      <c r="Y1070" s="19" t="n"/>
    </row>
    <row r="1071">
      <c r="C1071" s="18" t="n"/>
      <c r="J1071" s="19" t="n"/>
      <c r="P1071" s="20" t="n"/>
      <c r="Q1071" s="19" t="n"/>
      <c r="R1071" s="19" t="n"/>
      <c r="Y1071" s="19" t="n"/>
    </row>
    <row r="1072">
      <c r="C1072" s="18" t="n"/>
      <c r="J1072" s="19" t="n"/>
      <c r="P1072" s="20" t="n"/>
      <c r="Q1072" s="19" t="n"/>
      <c r="R1072" s="19" t="n"/>
      <c r="Y1072" s="19" t="n"/>
    </row>
    <row r="1073">
      <c r="C1073" s="18" t="n"/>
      <c r="J1073" s="19" t="n"/>
      <c r="P1073" s="20" t="n"/>
      <c r="Q1073" s="19" t="n"/>
      <c r="R1073" s="19" t="n"/>
      <c r="Y1073" s="19" t="n"/>
    </row>
    <row r="1074">
      <c r="C1074" s="18" t="n"/>
      <c r="J1074" s="19" t="n"/>
      <c r="P1074" s="20" t="n"/>
      <c r="Q1074" s="19" t="n"/>
      <c r="R1074" s="19" t="n"/>
      <c r="Y1074" s="19" t="n"/>
    </row>
    <row r="1075">
      <c r="C1075" s="18" t="n"/>
      <c r="J1075" s="19" t="n"/>
      <c r="P1075" s="20" t="n"/>
      <c r="Q1075" s="19" t="n"/>
      <c r="R1075" s="19" t="n"/>
      <c r="Y1075" s="19" t="n"/>
    </row>
    <row r="1076">
      <c r="C1076" s="18" t="n"/>
      <c r="J1076" s="19" t="n"/>
      <c r="P1076" s="20" t="n"/>
      <c r="Q1076" s="19" t="n"/>
      <c r="R1076" s="19" t="n"/>
      <c r="Y1076" s="19" t="n"/>
    </row>
    <row r="1077">
      <c r="C1077" s="18" t="n"/>
      <c r="J1077" s="19" t="n"/>
      <c r="P1077" s="20" t="n"/>
      <c r="Q1077" s="19" t="n"/>
      <c r="R1077" s="19" t="n"/>
      <c r="Y1077" s="19" t="n"/>
    </row>
    <row r="1078">
      <c r="C1078" s="18" t="n"/>
      <c r="J1078" s="19" t="n"/>
      <c r="P1078" s="20" t="n"/>
      <c r="Q1078" s="19" t="n"/>
      <c r="R1078" s="19" t="n"/>
      <c r="Y1078" s="19" t="n"/>
    </row>
    <row r="1079">
      <c r="C1079" s="18" t="n"/>
      <c r="J1079" s="19" t="n"/>
      <c r="P1079" s="20" t="n"/>
      <c r="Q1079" s="19" t="n"/>
      <c r="R1079" s="19" t="n"/>
      <c r="Y1079" s="19" t="n"/>
    </row>
    <row r="1080">
      <c r="C1080" s="18" t="n"/>
      <c r="J1080" s="19" t="n"/>
      <c r="P1080" s="20" t="n"/>
      <c r="Q1080" s="19" t="n"/>
      <c r="R1080" s="19" t="n"/>
      <c r="Y1080" s="19" t="n"/>
    </row>
    <row r="1081">
      <c r="C1081" s="18" t="n"/>
      <c r="J1081" s="19" t="n"/>
      <c r="P1081" s="20" t="n"/>
      <c r="Q1081" s="19" t="n"/>
      <c r="R1081" s="19" t="n"/>
      <c r="Y1081" s="19" t="n"/>
    </row>
    <row r="1082">
      <c r="C1082" s="18" t="n"/>
      <c r="J1082" s="19" t="n"/>
      <c r="P1082" s="20" t="n"/>
      <c r="Q1082" s="19" t="n"/>
      <c r="R1082" s="19" t="n"/>
      <c r="Y1082" s="19" t="n"/>
    </row>
    <row r="1083">
      <c r="C1083" s="18" t="n"/>
      <c r="J1083" s="19" t="n"/>
      <c r="P1083" s="20" t="n"/>
      <c r="Q1083" s="19" t="n"/>
      <c r="R1083" s="19" t="n"/>
      <c r="Y1083" s="19" t="n"/>
    </row>
    <row r="1084">
      <c r="C1084" s="18" t="n"/>
      <c r="J1084" s="19" t="n"/>
      <c r="P1084" s="20" t="n"/>
      <c r="Q1084" s="19" t="n"/>
      <c r="R1084" s="19" t="n"/>
      <c r="Y1084" s="19" t="n"/>
    </row>
    <row r="1085">
      <c r="C1085" s="18" t="n"/>
      <c r="J1085" s="19" t="n"/>
      <c r="P1085" s="20" t="n"/>
      <c r="Q1085" s="19" t="n"/>
      <c r="R1085" s="19" t="n"/>
      <c r="Y1085" s="19" t="n"/>
    </row>
    <row r="1086">
      <c r="C1086" s="18" t="n"/>
      <c r="J1086" s="19" t="n"/>
      <c r="P1086" s="20" t="n"/>
      <c r="Q1086" s="19" t="n"/>
      <c r="R1086" s="19" t="n"/>
      <c r="Y1086" s="19" t="n"/>
    </row>
    <row r="1087">
      <c r="C1087" s="18" t="n"/>
      <c r="J1087" s="19" t="n"/>
      <c r="P1087" s="20" t="n"/>
      <c r="Q1087" s="19" t="n"/>
      <c r="R1087" s="19" t="n"/>
      <c r="Y1087" s="19" t="n"/>
    </row>
    <row r="1088">
      <c r="C1088" s="18" t="n"/>
      <c r="J1088" s="19" t="n"/>
      <c r="P1088" s="20" t="n"/>
      <c r="Q1088" s="19" t="n"/>
      <c r="R1088" s="19" t="n"/>
      <c r="Y1088" s="19" t="n"/>
    </row>
    <row r="1089">
      <c r="C1089" s="18" t="n"/>
      <c r="J1089" s="19" t="n"/>
      <c r="P1089" s="20" t="n"/>
      <c r="Q1089" s="19" t="n"/>
      <c r="R1089" s="19" t="n"/>
      <c r="Y1089" s="19" t="n"/>
    </row>
    <row r="1090">
      <c r="C1090" s="18" t="n"/>
      <c r="J1090" s="19" t="n"/>
      <c r="P1090" s="20" t="n"/>
      <c r="Q1090" s="19" t="n"/>
      <c r="R1090" s="19" t="n"/>
      <c r="Y1090" s="19" t="n"/>
    </row>
    <row r="1091">
      <c r="C1091" s="18" t="n"/>
      <c r="J1091" s="19" t="n"/>
      <c r="P1091" s="20" t="n"/>
      <c r="Q1091" s="19" t="n"/>
      <c r="R1091" s="19" t="n"/>
      <c r="Y1091" s="19" t="n"/>
    </row>
    <row r="1092">
      <c r="C1092" s="18" t="n"/>
      <c r="J1092" s="19" t="n"/>
      <c r="P1092" s="20" t="n"/>
      <c r="Q1092" s="19" t="n"/>
      <c r="R1092" s="19" t="n"/>
      <c r="Y1092" s="19" t="n"/>
    </row>
    <row r="1093">
      <c r="C1093" s="18" t="n"/>
      <c r="J1093" s="19" t="n"/>
      <c r="P1093" s="20" t="n"/>
      <c r="Q1093" s="19" t="n"/>
      <c r="R1093" s="19" t="n"/>
      <c r="Y1093" s="19" t="n"/>
    </row>
    <row r="1094">
      <c r="C1094" s="18" t="n"/>
      <c r="J1094" s="19" t="n"/>
      <c r="P1094" s="20" t="n"/>
      <c r="Q1094" s="19" t="n"/>
      <c r="R1094" s="19" t="n"/>
      <c r="Y1094" s="19" t="n"/>
    </row>
    <row r="1095">
      <c r="C1095" s="18" t="n"/>
      <c r="J1095" s="19" t="n"/>
      <c r="P1095" s="20" t="n"/>
      <c r="Q1095" s="19" t="n"/>
      <c r="R1095" s="19" t="n"/>
      <c r="Y1095" s="19" t="n"/>
    </row>
    <row r="1096">
      <c r="C1096" s="18" t="n"/>
      <c r="J1096" s="19" t="n"/>
      <c r="P1096" s="20" t="n"/>
      <c r="Q1096" s="19" t="n"/>
      <c r="R1096" s="19" t="n"/>
      <c r="Y1096" s="19" t="n"/>
    </row>
    <row r="1097">
      <c r="C1097" s="18" t="n"/>
      <c r="J1097" s="19" t="n"/>
      <c r="P1097" s="20" t="n"/>
      <c r="Q1097" s="19" t="n"/>
      <c r="R1097" s="19" t="n"/>
      <c r="Y1097" s="19" t="n"/>
    </row>
    <row r="1098">
      <c r="C1098" s="18" t="n"/>
      <c r="J1098" s="19" t="n"/>
      <c r="P1098" s="20" t="n"/>
      <c r="Q1098" s="19" t="n"/>
      <c r="R1098" s="19" t="n"/>
      <c r="Y1098" s="19" t="n"/>
    </row>
    <row r="1099">
      <c r="C1099" s="18" t="n"/>
      <c r="J1099" s="19" t="n"/>
      <c r="P1099" s="20" t="n"/>
      <c r="Q1099" s="19" t="n"/>
      <c r="R1099" s="19" t="n"/>
      <c r="Y1099" s="19" t="n"/>
    </row>
    <row r="1100">
      <c r="C1100" s="18" t="n"/>
      <c r="J1100" s="19" t="n"/>
      <c r="P1100" s="20" t="n"/>
      <c r="Q1100" s="19" t="n"/>
      <c r="R1100" s="19" t="n"/>
      <c r="Y1100" s="19" t="n"/>
    </row>
    <row r="1101">
      <c r="C1101" s="18" t="n"/>
      <c r="J1101" s="19" t="n"/>
      <c r="P1101" s="20" t="n"/>
      <c r="Q1101" s="19" t="n"/>
      <c r="R1101" s="19" t="n"/>
      <c r="Y1101" s="19" t="n"/>
    </row>
    <row r="1102">
      <c r="C1102" s="18" t="n"/>
      <c r="J1102" s="19" t="n"/>
      <c r="P1102" s="20" t="n"/>
      <c r="Q1102" s="19" t="n"/>
      <c r="R1102" s="19" t="n"/>
      <c r="Y1102" s="19" t="n"/>
    </row>
    <row r="1103">
      <c r="C1103" s="18" t="n"/>
      <c r="J1103" s="19" t="n"/>
      <c r="P1103" s="20" t="n"/>
      <c r="Q1103" s="19" t="n"/>
      <c r="R1103" s="19" t="n"/>
      <c r="Y1103" s="19" t="n"/>
    </row>
    <row r="1104">
      <c r="C1104" s="18" t="n"/>
      <c r="J1104" s="19" t="n"/>
      <c r="P1104" s="20" t="n"/>
      <c r="Q1104" s="19" t="n"/>
      <c r="R1104" s="19" t="n"/>
      <c r="Y1104" s="19" t="n"/>
    </row>
    <row r="1105">
      <c r="C1105" s="18" t="n"/>
      <c r="J1105" s="19" t="n"/>
      <c r="P1105" s="20" t="n"/>
      <c r="Q1105" s="19" t="n"/>
      <c r="R1105" s="19" t="n"/>
      <c r="Y1105" s="19" t="n"/>
    </row>
    <row r="1106">
      <c r="C1106" s="18" t="n"/>
      <c r="J1106" s="19" t="n"/>
      <c r="P1106" s="20" t="n"/>
      <c r="Q1106" s="19" t="n"/>
      <c r="R1106" s="19" t="n"/>
      <c r="Y1106" s="19" t="n"/>
    </row>
    <row r="1107">
      <c r="C1107" s="18" t="n"/>
      <c r="J1107" s="19" t="n"/>
      <c r="P1107" s="20" t="n"/>
      <c r="Q1107" s="19" t="n"/>
      <c r="R1107" s="19" t="n"/>
      <c r="Y1107" s="19" t="n"/>
    </row>
    <row r="1108">
      <c r="C1108" s="18" t="n"/>
      <c r="J1108" s="19" t="n"/>
      <c r="P1108" s="20" t="n"/>
      <c r="Q1108" s="19" t="n"/>
      <c r="R1108" s="19" t="n"/>
      <c r="Y1108" s="19" t="n"/>
    </row>
    <row r="1109">
      <c r="C1109" s="18" t="n"/>
      <c r="J1109" s="19" t="n"/>
      <c r="P1109" s="20" t="n"/>
      <c r="Q1109" s="19" t="n"/>
      <c r="R1109" s="19" t="n"/>
      <c r="Y1109" s="19" t="n"/>
    </row>
    <row r="1110">
      <c r="C1110" s="18" t="n"/>
      <c r="J1110" s="19" t="n"/>
      <c r="P1110" s="20" t="n"/>
      <c r="Q1110" s="19" t="n"/>
      <c r="R1110" s="19" t="n"/>
      <c r="Y1110" s="19" t="n"/>
    </row>
    <row r="1111">
      <c r="C1111" s="18" t="n"/>
      <c r="J1111" s="19" t="n"/>
      <c r="P1111" s="20" t="n"/>
      <c r="Q1111" s="19" t="n"/>
      <c r="R1111" s="19" t="n"/>
      <c r="Y1111" s="19" t="n"/>
    </row>
    <row r="1112">
      <c r="C1112" s="18" t="n"/>
      <c r="J1112" s="19" t="n"/>
      <c r="P1112" s="20" t="n"/>
      <c r="Q1112" s="19" t="n"/>
      <c r="R1112" s="19" t="n"/>
      <c r="Y1112" s="19" t="n"/>
    </row>
    <row r="1113">
      <c r="C1113" s="18" t="n"/>
      <c r="J1113" s="19" t="n"/>
      <c r="P1113" s="20" t="n"/>
      <c r="Q1113" s="19" t="n"/>
      <c r="R1113" s="19" t="n"/>
      <c r="Y1113" s="19" t="n"/>
    </row>
    <row r="1114">
      <c r="C1114" s="18" t="n"/>
      <c r="J1114" s="19" t="n"/>
      <c r="P1114" s="20" t="n"/>
      <c r="Q1114" s="19" t="n"/>
      <c r="R1114" s="19" t="n"/>
      <c r="Y1114" s="19" t="n"/>
    </row>
    <row r="1115">
      <c r="C1115" s="18" t="n"/>
      <c r="J1115" s="19" t="n"/>
      <c r="P1115" s="20" t="n"/>
      <c r="Q1115" s="19" t="n"/>
      <c r="R1115" s="19" t="n"/>
      <c r="Y1115" s="19" t="n"/>
    </row>
    <row r="1116">
      <c r="C1116" s="18" t="n"/>
      <c r="J1116" s="19" t="n"/>
      <c r="P1116" s="20" t="n"/>
      <c r="Q1116" s="19" t="n"/>
      <c r="R1116" s="19" t="n"/>
      <c r="Y1116" s="19" t="n"/>
    </row>
    <row r="1117">
      <c r="C1117" s="18" t="n"/>
      <c r="J1117" s="19" t="n"/>
      <c r="P1117" s="20" t="n"/>
      <c r="Q1117" s="19" t="n"/>
      <c r="R1117" s="19" t="n"/>
      <c r="Y1117" s="19" t="n"/>
    </row>
    <row r="1118">
      <c r="C1118" s="18" t="n"/>
      <c r="J1118" s="19" t="n"/>
      <c r="P1118" s="20" t="n"/>
      <c r="Q1118" s="19" t="n"/>
      <c r="R1118" s="19" t="n"/>
      <c r="Y1118" s="19" t="n"/>
    </row>
    <row r="1119">
      <c r="C1119" s="18" t="n"/>
      <c r="J1119" s="19" t="n"/>
      <c r="P1119" s="20" t="n"/>
      <c r="Q1119" s="19" t="n"/>
      <c r="R1119" s="19" t="n"/>
      <c r="Y1119" s="19" t="n"/>
    </row>
    <row r="1120">
      <c r="C1120" s="18" t="n"/>
      <c r="J1120" s="19" t="n"/>
      <c r="P1120" s="20" t="n"/>
      <c r="Q1120" s="19" t="n"/>
      <c r="R1120" s="19" t="n"/>
      <c r="Y1120" s="19" t="n"/>
    </row>
    <row r="1121">
      <c r="C1121" s="18" t="n"/>
      <c r="J1121" s="19" t="n"/>
      <c r="P1121" s="20" t="n"/>
      <c r="Q1121" s="19" t="n"/>
      <c r="R1121" s="19" t="n"/>
      <c r="Y1121" s="19" t="n"/>
    </row>
    <row r="1122">
      <c r="C1122" s="18" t="n"/>
      <c r="J1122" s="19" t="n"/>
      <c r="P1122" s="20" t="n"/>
      <c r="Q1122" s="19" t="n"/>
      <c r="R1122" s="19" t="n"/>
      <c r="Y1122" s="19" t="n"/>
    </row>
    <row r="1123">
      <c r="C1123" s="18" t="n"/>
      <c r="J1123" s="19" t="n"/>
      <c r="P1123" s="20" t="n"/>
      <c r="Q1123" s="19" t="n"/>
      <c r="R1123" s="19" t="n"/>
      <c r="Y1123" s="19" t="n"/>
    </row>
    <row r="1124">
      <c r="C1124" s="18" t="n"/>
      <c r="J1124" s="19" t="n"/>
      <c r="P1124" s="20" t="n"/>
      <c r="Q1124" s="19" t="n"/>
      <c r="R1124" s="19" t="n"/>
      <c r="Y1124" s="19" t="n"/>
    </row>
    <row r="1125">
      <c r="C1125" s="18" t="n"/>
      <c r="J1125" s="19" t="n"/>
      <c r="P1125" s="20" t="n"/>
      <c r="Q1125" s="19" t="n"/>
      <c r="R1125" s="19" t="n"/>
      <c r="Y1125" s="19" t="n"/>
    </row>
    <row r="1126">
      <c r="C1126" s="18" t="n"/>
      <c r="J1126" s="19" t="n"/>
      <c r="P1126" s="20" t="n"/>
      <c r="Q1126" s="19" t="n"/>
      <c r="R1126" s="19" t="n"/>
      <c r="Y1126" s="19" t="n"/>
    </row>
    <row r="1127">
      <c r="C1127" s="18" t="n"/>
      <c r="J1127" s="19" t="n"/>
      <c r="P1127" s="20" t="n"/>
      <c r="Q1127" s="19" t="n"/>
      <c r="R1127" s="19" t="n"/>
      <c r="Y1127" s="19" t="n"/>
    </row>
    <row r="1128">
      <c r="C1128" s="18" t="n"/>
      <c r="J1128" s="19" t="n"/>
      <c r="P1128" s="20" t="n"/>
      <c r="Q1128" s="19" t="n"/>
      <c r="R1128" s="19" t="n"/>
      <c r="Y1128" s="19" t="n"/>
    </row>
    <row r="1129">
      <c r="C1129" s="18" t="n"/>
      <c r="J1129" s="19" t="n"/>
      <c r="P1129" s="20" t="n"/>
      <c r="Q1129" s="19" t="n"/>
      <c r="R1129" s="19" t="n"/>
      <c r="Y1129" s="19" t="n"/>
    </row>
    <row r="1130">
      <c r="C1130" s="18" t="n"/>
      <c r="J1130" s="19" t="n"/>
      <c r="P1130" s="20" t="n"/>
      <c r="Q1130" s="19" t="n"/>
      <c r="R1130" s="19" t="n"/>
      <c r="Y1130" s="19" t="n"/>
    </row>
    <row r="1131">
      <c r="C1131" s="18" t="n"/>
      <c r="J1131" s="19" t="n"/>
      <c r="P1131" s="20" t="n"/>
      <c r="Q1131" s="19" t="n"/>
      <c r="R1131" s="19" t="n"/>
      <c r="Y1131" s="19" t="n"/>
    </row>
    <row r="1132">
      <c r="C1132" s="18" t="n"/>
      <c r="J1132" s="19" t="n"/>
      <c r="P1132" s="20" t="n"/>
      <c r="Q1132" s="19" t="n"/>
      <c r="R1132" s="19" t="n"/>
      <c r="Y1132" s="19" t="n"/>
    </row>
    <row r="1133">
      <c r="C1133" s="18" t="n"/>
      <c r="J1133" s="19" t="n"/>
      <c r="P1133" s="20" t="n"/>
      <c r="Q1133" s="19" t="n"/>
      <c r="R1133" s="19" t="n"/>
      <c r="Y1133" s="19" t="n"/>
    </row>
    <row r="1134">
      <c r="C1134" s="18" t="n"/>
      <c r="J1134" s="19" t="n"/>
      <c r="P1134" s="20" t="n"/>
      <c r="Q1134" s="19" t="n"/>
      <c r="R1134" s="19" t="n"/>
      <c r="Y1134" s="19" t="n"/>
    </row>
    <row r="1135">
      <c r="C1135" s="18" t="n"/>
      <c r="J1135" s="19" t="n"/>
      <c r="P1135" s="20" t="n"/>
      <c r="Q1135" s="19" t="n"/>
      <c r="R1135" s="19" t="n"/>
      <c r="Y1135" s="19" t="n"/>
    </row>
    <row r="1136">
      <c r="C1136" s="18" t="n"/>
      <c r="J1136" s="19" t="n"/>
      <c r="P1136" s="20" t="n"/>
      <c r="Q1136" s="19" t="n"/>
      <c r="R1136" s="19" t="n"/>
      <c r="Y1136" s="19" t="n"/>
    </row>
    <row r="1137">
      <c r="C1137" s="18" t="n"/>
      <c r="J1137" s="19" t="n"/>
      <c r="P1137" s="20" t="n"/>
      <c r="Q1137" s="19" t="n"/>
      <c r="R1137" s="19" t="n"/>
      <c r="Y1137" s="19" t="n"/>
    </row>
    <row r="1138">
      <c r="C1138" s="18" t="n"/>
      <c r="J1138" s="19" t="n"/>
      <c r="P1138" s="20" t="n"/>
      <c r="Q1138" s="19" t="n"/>
      <c r="R1138" s="19" t="n"/>
      <c r="Y1138" s="19" t="n"/>
    </row>
    <row r="1139">
      <c r="C1139" s="18" t="n"/>
      <c r="J1139" s="19" t="n"/>
      <c r="P1139" s="20" t="n"/>
      <c r="Q1139" s="19" t="n"/>
      <c r="R1139" s="19" t="n"/>
      <c r="Y1139" s="19" t="n"/>
    </row>
    <row r="1140">
      <c r="C1140" s="18" t="n"/>
      <c r="J1140" s="19" t="n"/>
      <c r="P1140" s="20" t="n"/>
      <c r="Q1140" s="19" t="n"/>
      <c r="R1140" s="19" t="n"/>
      <c r="Y1140" s="19" t="n"/>
    </row>
    <row r="1141">
      <c r="C1141" s="18" t="n"/>
      <c r="J1141" s="19" t="n"/>
      <c r="P1141" s="20" t="n"/>
      <c r="Q1141" s="19" t="n"/>
      <c r="R1141" s="19" t="n"/>
      <c r="Y1141" s="19" t="n"/>
    </row>
    <row r="1142">
      <c r="C1142" s="18" t="n"/>
      <c r="J1142" s="19" t="n"/>
      <c r="P1142" s="20" t="n"/>
      <c r="Q1142" s="19" t="n"/>
      <c r="R1142" s="19" t="n"/>
      <c r="Y1142" s="19" t="n"/>
    </row>
    <row r="1143">
      <c r="C1143" s="18" t="n"/>
      <c r="J1143" s="19" t="n"/>
      <c r="P1143" s="20" t="n"/>
      <c r="Q1143" s="19" t="n"/>
      <c r="R1143" s="19" t="n"/>
      <c r="Y1143" s="19" t="n"/>
    </row>
    <row r="1144">
      <c r="C1144" s="18" t="n"/>
      <c r="J1144" s="19" t="n"/>
      <c r="P1144" s="20" t="n"/>
      <c r="Q1144" s="19" t="n"/>
      <c r="R1144" s="19" t="n"/>
      <c r="Y1144" s="19" t="n"/>
    </row>
    <row r="1145">
      <c r="C1145" s="18" t="n"/>
      <c r="J1145" s="19" t="n"/>
      <c r="P1145" s="20" t="n"/>
      <c r="Q1145" s="19" t="n"/>
      <c r="R1145" s="19" t="n"/>
      <c r="Y1145" s="19" t="n"/>
    </row>
    <row r="1146">
      <c r="C1146" s="18" t="n"/>
      <c r="J1146" s="19" t="n"/>
      <c r="P1146" s="20" t="n"/>
      <c r="Q1146" s="19" t="n"/>
      <c r="R1146" s="19" t="n"/>
      <c r="Y1146" s="19" t="n"/>
    </row>
    <row r="1147">
      <c r="C1147" s="18" t="n"/>
      <c r="J1147" s="19" t="n"/>
      <c r="P1147" s="20" t="n"/>
      <c r="Q1147" s="19" t="n"/>
      <c r="R1147" s="19" t="n"/>
      <c r="Y1147" s="19" t="n"/>
    </row>
    <row r="1148">
      <c r="C1148" s="18" t="n"/>
      <c r="J1148" s="19" t="n"/>
      <c r="P1148" s="20" t="n"/>
      <c r="Q1148" s="19" t="n"/>
      <c r="R1148" s="19" t="n"/>
      <c r="Y1148" s="19" t="n"/>
    </row>
    <row r="1149">
      <c r="C1149" s="18" t="n"/>
      <c r="J1149" s="19" t="n"/>
      <c r="P1149" s="20" t="n"/>
      <c r="Q1149" s="19" t="n"/>
      <c r="R1149" s="19" t="n"/>
      <c r="Y1149" s="19" t="n"/>
    </row>
    <row r="1150">
      <c r="C1150" s="18" t="n"/>
      <c r="J1150" s="19" t="n"/>
      <c r="P1150" s="20" t="n"/>
      <c r="Q1150" s="19" t="n"/>
      <c r="R1150" s="19" t="n"/>
      <c r="Y1150" s="19" t="n"/>
    </row>
    <row r="1151">
      <c r="C1151" s="18" t="n"/>
      <c r="J1151" s="19" t="n"/>
      <c r="P1151" s="20" t="n"/>
      <c r="Q1151" s="19" t="n"/>
      <c r="R1151" s="19" t="n"/>
      <c r="Y1151" s="19" t="n"/>
    </row>
    <row r="1152">
      <c r="C1152" s="18" t="n"/>
      <c r="J1152" s="19" t="n"/>
      <c r="P1152" s="20" t="n"/>
      <c r="Q1152" s="19" t="n"/>
      <c r="R1152" s="19" t="n"/>
      <c r="Y1152" s="19" t="n"/>
    </row>
    <row r="1153">
      <c r="C1153" s="18" t="n"/>
      <c r="J1153" s="19" t="n"/>
      <c r="P1153" s="20" t="n"/>
      <c r="Q1153" s="19" t="n"/>
      <c r="R1153" s="19" t="n"/>
      <c r="Y1153" s="19" t="n"/>
    </row>
    <row r="1154">
      <c r="C1154" s="18" t="n"/>
      <c r="J1154" s="19" t="n"/>
      <c r="P1154" s="20" t="n"/>
      <c r="Q1154" s="19" t="n"/>
      <c r="R1154" s="19" t="n"/>
      <c r="Y1154" s="19" t="n"/>
    </row>
    <row r="1155">
      <c r="C1155" s="18" t="n"/>
      <c r="J1155" s="19" t="n"/>
      <c r="P1155" s="20" t="n"/>
      <c r="Q1155" s="19" t="n"/>
      <c r="R1155" s="19" t="n"/>
      <c r="Y1155" s="19" t="n"/>
    </row>
    <row r="1156">
      <c r="C1156" s="18" t="n"/>
      <c r="J1156" s="19" t="n"/>
      <c r="P1156" s="20" t="n"/>
      <c r="Q1156" s="19" t="n"/>
      <c r="R1156" s="19" t="n"/>
      <c r="Y1156" s="19" t="n"/>
    </row>
    <row r="1157">
      <c r="C1157" s="18" t="n"/>
      <c r="J1157" s="19" t="n"/>
      <c r="P1157" s="20" t="n"/>
      <c r="Q1157" s="19" t="n"/>
      <c r="R1157" s="19" t="n"/>
      <c r="Y1157" s="19" t="n"/>
    </row>
    <row r="1158">
      <c r="C1158" s="18" t="n"/>
      <c r="J1158" s="19" t="n"/>
      <c r="P1158" s="20" t="n"/>
      <c r="Q1158" s="19" t="n"/>
      <c r="R1158" s="19" t="n"/>
      <c r="Y1158" s="19" t="n"/>
    </row>
    <row r="1159">
      <c r="C1159" s="18" t="n"/>
      <c r="J1159" s="19" t="n"/>
      <c r="P1159" s="20" t="n"/>
      <c r="Q1159" s="19" t="n"/>
      <c r="R1159" s="19" t="n"/>
      <c r="Y1159" s="19" t="n"/>
    </row>
    <row r="1160">
      <c r="C1160" s="18" t="n"/>
      <c r="J1160" s="19" t="n"/>
      <c r="P1160" s="20" t="n"/>
      <c r="Q1160" s="19" t="n"/>
      <c r="R1160" s="19" t="n"/>
      <c r="Y1160" s="19" t="n"/>
    </row>
    <row r="1161">
      <c r="C1161" s="18" t="n"/>
      <c r="J1161" s="19" t="n"/>
      <c r="P1161" s="20" t="n"/>
      <c r="Q1161" s="19" t="n"/>
      <c r="R1161" s="19" t="n"/>
      <c r="Y1161" s="19" t="n"/>
    </row>
    <row r="1162">
      <c r="C1162" s="18" t="n"/>
      <c r="J1162" s="19" t="n"/>
      <c r="P1162" s="20" t="n"/>
      <c r="Q1162" s="19" t="n"/>
      <c r="R1162" s="19" t="n"/>
      <c r="Y1162" s="19" t="n"/>
    </row>
    <row r="1163">
      <c r="C1163" s="18" t="n"/>
      <c r="J1163" s="19" t="n"/>
      <c r="P1163" s="20" t="n"/>
      <c r="Q1163" s="19" t="n"/>
      <c r="R1163" s="19" t="n"/>
      <c r="Y1163" s="19" t="n"/>
    </row>
    <row r="1164">
      <c r="C1164" s="18" t="n"/>
      <c r="J1164" s="19" t="n"/>
      <c r="P1164" s="20" t="n"/>
      <c r="Q1164" s="19" t="n"/>
      <c r="R1164" s="19" t="n"/>
      <c r="Y1164" s="19" t="n"/>
    </row>
    <row r="1165">
      <c r="C1165" s="18" t="n"/>
      <c r="J1165" s="19" t="n"/>
      <c r="P1165" s="20" t="n"/>
      <c r="Q1165" s="19" t="n"/>
      <c r="R1165" s="19" t="n"/>
      <c r="Y1165" s="19" t="n"/>
    </row>
    <row r="1166">
      <c r="C1166" s="18" t="n"/>
      <c r="J1166" s="19" t="n"/>
      <c r="P1166" s="20" t="n"/>
      <c r="Q1166" s="19" t="n"/>
      <c r="R1166" s="19" t="n"/>
      <c r="Y1166" s="19" t="n"/>
    </row>
    <row r="1167">
      <c r="C1167" s="18" t="n"/>
      <c r="J1167" s="19" t="n"/>
      <c r="P1167" s="20" t="n"/>
      <c r="Q1167" s="19" t="n"/>
      <c r="R1167" s="19" t="n"/>
      <c r="Y1167" s="19" t="n"/>
    </row>
    <row r="1168">
      <c r="C1168" s="18" t="n"/>
      <c r="J1168" s="19" t="n"/>
      <c r="P1168" s="20" t="n"/>
      <c r="Q1168" s="19" t="n"/>
      <c r="R1168" s="19" t="n"/>
      <c r="Y1168" s="19" t="n"/>
    </row>
    <row r="1169">
      <c r="C1169" s="18" t="n"/>
      <c r="J1169" s="19" t="n"/>
      <c r="P1169" s="20" t="n"/>
      <c r="Q1169" s="19" t="n"/>
      <c r="R1169" s="19" t="n"/>
      <c r="Y1169" s="19" t="n"/>
    </row>
    <row r="1170">
      <c r="C1170" s="18" t="n"/>
      <c r="J1170" s="19" t="n"/>
      <c r="P1170" s="20" t="n"/>
      <c r="Q1170" s="19" t="n"/>
      <c r="R1170" s="19" t="n"/>
      <c r="Y1170" s="19" t="n"/>
    </row>
    <row r="1171">
      <c r="C1171" s="18" t="n"/>
      <c r="J1171" s="19" t="n"/>
      <c r="P1171" s="20" t="n"/>
      <c r="Q1171" s="19" t="n"/>
      <c r="R1171" s="19" t="n"/>
      <c r="Y1171" s="19" t="n"/>
    </row>
    <row r="1172">
      <c r="C1172" s="18" t="n"/>
      <c r="J1172" s="19" t="n"/>
      <c r="P1172" s="20" t="n"/>
      <c r="Q1172" s="19" t="n"/>
      <c r="R1172" s="19" t="n"/>
      <c r="Y1172" s="19" t="n"/>
    </row>
    <row r="1173">
      <c r="C1173" s="18" t="n"/>
      <c r="J1173" s="19" t="n"/>
      <c r="P1173" s="20" t="n"/>
      <c r="Q1173" s="19" t="n"/>
      <c r="R1173" s="19" t="n"/>
      <c r="Y1173" s="19" t="n"/>
    </row>
    <row r="1174">
      <c r="C1174" s="18" t="n"/>
      <c r="J1174" s="19" t="n"/>
      <c r="P1174" s="20" t="n"/>
      <c r="Q1174" s="19" t="n"/>
      <c r="R1174" s="19" t="n"/>
      <c r="Y1174" s="19" t="n"/>
    </row>
    <row r="1175">
      <c r="C1175" s="18" t="n"/>
      <c r="J1175" s="19" t="n"/>
      <c r="P1175" s="20" t="n"/>
      <c r="Q1175" s="19" t="n"/>
      <c r="R1175" s="19" t="n"/>
      <c r="Y1175" s="19" t="n"/>
    </row>
    <row r="1176">
      <c r="C1176" s="18" t="n"/>
      <c r="J1176" s="19" t="n"/>
      <c r="P1176" s="20" t="n"/>
      <c r="Q1176" s="19" t="n"/>
      <c r="R1176" s="19" t="n"/>
      <c r="Y1176" s="19" t="n"/>
    </row>
    <row r="1177">
      <c r="C1177" s="18" t="n"/>
      <c r="J1177" s="19" t="n"/>
      <c r="P1177" s="20" t="n"/>
      <c r="Q1177" s="19" t="n"/>
      <c r="R1177" s="19" t="n"/>
      <c r="Y1177" s="19" t="n"/>
    </row>
    <row r="1178">
      <c r="C1178" s="18" t="n"/>
      <c r="J1178" s="19" t="n"/>
      <c r="P1178" s="20" t="n"/>
      <c r="Q1178" s="19" t="n"/>
      <c r="R1178" s="19" t="n"/>
      <c r="Y1178" s="19" t="n"/>
    </row>
    <row r="1179">
      <c r="C1179" s="18" t="n"/>
      <c r="J1179" s="19" t="n"/>
      <c r="P1179" s="20" t="n"/>
      <c r="Q1179" s="19" t="n"/>
      <c r="R1179" s="19" t="n"/>
      <c r="Y1179" s="19" t="n"/>
    </row>
    <row r="1180">
      <c r="C1180" s="18" t="n"/>
      <c r="J1180" s="19" t="n"/>
      <c r="P1180" s="20" t="n"/>
      <c r="Q1180" s="19" t="n"/>
      <c r="R1180" s="19" t="n"/>
      <c r="Y1180" s="19" t="n"/>
    </row>
    <row r="1181">
      <c r="C1181" s="18" t="n"/>
      <c r="J1181" s="19" t="n"/>
      <c r="P1181" s="20" t="n"/>
      <c r="Q1181" s="19" t="n"/>
      <c r="R1181" s="19" t="n"/>
      <c r="Y1181" s="19" t="n"/>
    </row>
    <row r="1182">
      <c r="C1182" s="18" t="n"/>
      <c r="J1182" s="19" t="n"/>
      <c r="P1182" s="20" t="n"/>
      <c r="Q1182" s="19" t="n"/>
      <c r="R1182" s="19" t="n"/>
      <c r="Y1182" s="19" t="n"/>
    </row>
    <row r="1183">
      <c r="C1183" s="18" t="n"/>
      <c r="J1183" s="19" t="n"/>
      <c r="P1183" s="20" t="n"/>
      <c r="Q1183" s="19" t="n"/>
      <c r="R1183" s="19" t="n"/>
      <c r="Y1183" s="19" t="n"/>
    </row>
    <row r="1184">
      <c r="C1184" s="18" t="n"/>
      <c r="J1184" s="19" t="n"/>
      <c r="P1184" s="20" t="n"/>
      <c r="Q1184" s="19" t="n"/>
      <c r="R1184" s="19" t="n"/>
      <c r="Y1184" s="19" t="n"/>
    </row>
    <row r="1185">
      <c r="C1185" s="18" t="n"/>
      <c r="J1185" s="19" t="n"/>
      <c r="P1185" s="20" t="n"/>
      <c r="Q1185" s="19" t="n"/>
      <c r="R1185" s="19" t="n"/>
      <c r="Y1185" s="19" t="n"/>
    </row>
    <row r="1186">
      <c r="C1186" s="18" t="n"/>
      <c r="J1186" s="19" t="n"/>
      <c r="P1186" s="20" t="n"/>
      <c r="Q1186" s="19" t="n"/>
      <c r="R1186" s="19" t="n"/>
      <c r="Y1186" s="19" t="n"/>
    </row>
    <row r="1187">
      <c r="C1187" s="18" t="n"/>
      <c r="J1187" s="19" t="n"/>
      <c r="P1187" s="20" t="n"/>
      <c r="Q1187" s="19" t="n"/>
      <c r="R1187" s="19" t="n"/>
      <c r="Y1187" s="19" t="n"/>
    </row>
    <row r="1188">
      <c r="C1188" s="18" t="n"/>
      <c r="J1188" s="19" t="n"/>
      <c r="P1188" s="20" t="n"/>
      <c r="Q1188" s="19" t="n"/>
      <c r="R1188" s="19" t="n"/>
      <c r="Y1188" s="19" t="n"/>
    </row>
    <row r="1189">
      <c r="C1189" s="18" t="n"/>
      <c r="J1189" s="19" t="n"/>
      <c r="P1189" s="20" t="n"/>
      <c r="Q1189" s="19" t="n"/>
      <c r="R1189" s="19" t="n"/>
      <c r="Y1189" s="19" t="n"/>
    </row>
    <row r="1190">
      <c r="C1190" s="18" t="n"/>
      <c r="J1190" s="19" t="n"/>
      <c r="P1190" s="20" t="n"/>
      <c r="Q1190" s="19" t="n"/>
      <c r="R1190" s="19" t="n"/>
      <c r="Y1190" s="19" t="n"/>
    </row>
    <row r="1191">
      <c r="C1191" s="18" t="n"/>
      <c r="J1191" s="19" t="n"/>
      <c r="P1191" s="20" t="n"/>
      <c r="Q1191" s="19" t="n"/>
      <c r="R1191" s="19" t="n"/>
      <c r="Y1191" s="19" t="n"/>
    </row>
    <row r="1192">
      <c r="C1192" s="18" t="n"/>
      <c r="J1192" s="19" t="n"/>
      <c r="P1192" s="20" t="n"/>
      <c r="Q1192" s="19" t="n"/>
      <c r="R1192" s="19" t="n"/>
      <c r="Y1192" s="19" t="n"/>
    </row>
    <row r="1193">
      <c r="C1193" s="18" t="n"/>
      <c r="J1193" s="19" t="n"/>
      <c r="P1193" s="20" t="n"/>
      <c r="Q1193" s="19" t="n"/>
      <c r="R1193" s="19" t="n"/>
      <c r="Y1193" s="19" t="n"/>
    </row>
    <row r="1194">
      <c r="C1194" s="18" t="n"/>
      <c r="J1194" s="19" t="n"/>
      <c r="P1194" s="20" t="n"/>
      <c r="Q1194" s="19" t="n"/>
      <c r="R1194" s="19" t="n"/>
      <c r="Y1194" s="19" t="n"/>
    </row>
    <row r="1195">
      <c r="C1195" s="18" t="n"/>
      <c r="J1195" s="19" t="n"/>
      <c r="P1195" s="20" t="n"/>
      <c r="Q1195" s="19" t="n"/>
      <c r="R1195" s="19" t="n"/>
      <c r="Y1195" s="19" t="n"/>
    </row>
    <row r="1196">
      <c r="C1196" s="18" t="n"/>
      <c r="J1196" s="19" t="n"/>
      <c r="P1196" s="20" t="n"/>
      <c r="Q1196" s="19" t="n"/>
      <c r="R1196" s="19" t="n"/>
      <c r="Y1196" s="19" t="n"/>
    </row>
    <row r="1197">
      <c r="C1197" s="18" t="n"/>
      <c r="J1197" s="19" t="n"/>
      <c r="P1197" s="20" t="n"/>
      <c r="Q1197" s="19" t="n"/>
      <c r="R1197" s="19" t="n"/>
      <c r="Y1197" s="19" t="n"/>
    </row>
    <row r="1198">
      <c r="C1198" s="18" t="n"/>
      <c r="J1198" s="19" t="n"/>
      <c r="P1198" s="20" t="n"/>
      <c r="Q1198" s="19" t="n"/>
      <c r="R1198" s="19" t="n"/>
      <c r="Y1198" s="19" t="n"/>
    </row>
    <row r="1199">
      <c r="C1199" s="18" t="n"/>
      <c r="J1199" s="19" t="n"/>
      <c r="P1199" s="20" t="n"/>
      <c r="Q1199" s="19" t="n"/>
      <c r="R1199" s="19" t="n"/>
      <c r="Y1199" s="19" t="n"/>
    </row>
    <row r="1200">
      <c r="C1200" s="18" t="n"/>
      <c r="J1200" s="19" t="n"/>
      <c r="P1200" s="20" t="n"/>
      <c r="Q1200" s="19" t="n"/>
      <c r="R1200" s="19" t="n"/>
      <c r="Y1200" s="19" t="n"/>
    </row>
    <row r="1201">
      <c r="C1201" s="18" t="n"/>
      <c r="J1201" s="19" t="n"/>
      <c r="P1201" s="20" t="n"/>
      <c r="Q1201" s="19" t="n"/>
      <c r="R1201" s="19" t="n"/>
      <c r="Y1201" s="19" t="n"/>
    </row>
    <row r="1202">
      <c r="C1202" s="18" t="n"/>
      <c r="J1202" s="19" t="n"/>
      <c r="P1202" s="20" t="n"/>
      <c r="Q1202" s="19" t="n"/>
      <c r="R1202" s="19" t="n"/>
      <c r="Y1202" s="19" t="n"/>
    </row>
    <row r="1203">
      <c r="C1203" s="18" t="n"/>
      <c r="J1203" s="19" t="n"/>
      <c r="P1203" s="20" t="n"/>
      <c r="Q1203" s="19" t="n"/>
      <c r="R1203" s="19" t="n"/>
      <c r="Y1203" s="19" t="n"/>
    </row>
    <row r="1204">
      <c r="C1204" s="18" t="n"/>
      <c r="J1204" s="19" t="n"/>
      <c r="P1204" s="20" t="n"/>
      <c r="Q1204" s="19" t="n"/>
      <c r="R1204" s="19" t="n"/>
      <c r="Y1204" s="19" t="n"/>
    </row>
    <row r="1205">
      <c r="C1205" s="18" t="n"/>
      <c r="J1205" s="19" t="n"/>
      <c r="P1205" s="20" t="n"/>
      <c r="Q1205" s="19" t="n"/>
      <c r="R1205" s="19" t="n"/>
      <c r="Y1205" s="19" t="n"/>
    </row>
    <row r="1206">
      <c r="C1206" s="18" t="n"/>
      <c r="J1206" s="19" t="n"/>
      <c r="P1206" s="20" t="n"/>
      <c r="Q1206" s="19" t="n"/>
      <c r="R1206" s="19" t="n"/>
      <c r="Y1206" s="19" t="n"/>
    </row>
    <row r="1207">
      <c r="C1207" s="18" t="n"/>
      <c r="J1207" s="19" t="n"/>
      <c r="P1207" s="20" t="n"/>
      <c r="Q1207" s="19" t="n"/>
      <c r="R1207" s="19" t="n"/>
      <c r="Y1207" s="19" t="n"/>
    </row>
    <row r="1208">
      <c r="C1208" s="18" t="n"/>
      <c r="J1208" s="19" t="n"/>
      <c r="P1208" s="20" t="n"/>
      <c r="Q1208" s="19" t="n"/>
      <c r="R1208" s="19" t="n"/>
      <c r="Y1208" s="19" t="n"/>
    </row>
    <row r="1209">
      <c r="C1209" s="18" t="n"/>
      <c r="J1209" s="19" t="n"/>
      <c r="P1209" s="20" t="n"/>
      <c r="Q1209" s="19" t="n"/>
      <c r="R1209" s="19" t="n"/>
      <c r="Y1209" s="19" t="n"/>
    </row>
    <row r="1210">
      <c r="C1210" s="18" t="n"/>
      <c r="J1210" s="19" t="n"/>
      <c r="P1210" s="20" t="n"/>
      <c r="Q1210" s="19" t="n"/>
      <c r="R1210" s="19" t="n"/>
      <c r="Y1210" s="19" t="n"/>
    </row>
    <row r="1211">
      <c r="C1211" s="18" t="n"/>
      <c r="J1211" s="19" t="n"/>
      <c r="P1211" s="20" t="n"/>
      <c r="Q1211" s="19" t="n"/>
      <c r="R1211" s="19" t="n"/>
      <c r="Y1211" s="19" t="n"/>
    </row>
    <row r="1212">
      <c r="C1212" s="18" t="n"/>
      <c r="J1212" s="19" t="n"/>
      <c r="P1212" s="20" t="n"/>
      <c r="Q1212" s="19" t="n"/>
      <c r="R1212" s="19" t="n"/>
      <c r="Y1212" s="19" t="n"/>
    </row>
    <row r="1213">
      <c r="C1213" s="18" t="n"/>
      <c r="J1213" s="19" t="n"/>
      <c r="P1213" s="20" t="n"/>
      <c r="Q1213" s="19" t="n"/>
      <c r="R1213" s="19" t="n"/>
      <c r="Y1213" s="19" t="n"/>
    </row>
    <row r="1214">
      <c r="C1214" s="18" t="n"/>
      <c r="J1214" s="19" t="n"/>
      <c r="P1214" s="20" t="n"/>
      <c r="Q1214" s="19" t="n"/>
      <c r="R1214" s="19" t="n"/>
      <c r="Y1214" s="19" t="n"/>
    </row>
    <row r="1215">
      <c r="C1215" s="18" t="n"/>
      <c r="J1215" s="19" t="n"/>
      <c r="P1215" s="20" t="n"/>
      <c r="Q1215" s="19" t="n"/>
      <c r="R1215" s="19" t="n"/>
      <c r="Y1215" s="19" t="n"/>
    </row>
    <row r="1216">
      <c r="C1216" s="18" t="n"/>
      <c r="J1216" s="19" t="n"/>
      <c r="P1216" s="20" t="n"/>
      <c r="Q1216" s="19" t="n"/>
      <c r="R1216" s="19" t="n"/>
      <c r="Y1216" s="19" t="n"/>
    </row>
    <row r="1217">
      <c r="C1217" s="18" t="n"/>
      <c r="J1217" s="19" t="n"/>
      <c r="P1217" s="20" t="n"/>
      <c r="Q1217" s="19" t="n"/>
      <c r="R1217" s="19" t="n"/>
      <c r="Y1217" s="19" t="n"/>
    </row>
    <row r="1218">
      <c r="C1218" s="18" t="n"/>
      <c r="J1218" s="19" t="n"/>
      <c r="P1218" s="20" t="n"/>
      <c r="Q1218" s="19" t="n"/>
      <c r="R1218" s="19" t="n"/>
      <c r="Y1218" s="19" t="n"/>
    </row>
    <row r="1219">
      <c r="C1219" s="18" t="n"/>
      <c r="J1219" s="19" t="n"/>
      <c r="P1219" s="20" t="n"/>
      <c r="Q1219" s="19" t="n"/>
      <c r="R1219" s="19" t="n"/>
      <c r="Y1219" s="19" t="n"/>
    </row>
    <row r="1220">
      <c r="C1220" s="18" t="n"/>
      <c r="J1220" s="19" t="n"/>
      <c r="P1220" s="20" t="n"/>
      <c r="Q1220" s="19" t="n"/>
      <c r="R1220" s="19" t="n"/>
      <c r="Y1220" s="19" t="n"/>
    </row>
    <row r="1221">
      <c r="C1221" s="18" t="n"/>
      <c r="J1221" s="19" t="n"/>
      <c r="P1221" s="20" t="n"/>
      <c r="Q1221" s="19" t="n"/>
      <c r="R1221" s="19" t="n"/>
      <c r="Y1221" s="19" t="n"/>
    </row>
    <row r="1222">
      <c r="C1222" s="18" t="n"/>
      <c r="J1222" s="19" t="n"/>
      <c r="P1222" s="20" t="n"/>
      <c r="Q1222" s="19" t="n"/>
      <c r="R1222" s="19" t="n"/>
      <c r="Y1222" s="19" t="n"/>
    </row>
    <row r="1223">
      <c r="C1223" s="18" t="n"/>
      <c r="J1223" s="19" t="n"/>
      <c r="P1223" s="20" t="n"/>
      <c r="Q1223" s="19" t="n"/>
      <c r="R1223" s="19" t="n"/>
      <c r="Y1223" s="19" t="n"/>
    </row>
    <row r="1224">
      <c r="C1224" s="18" t="n"/>
      <c r="J1224" s="19" t="n"/>
      <c r="P1224" s="20" t="n"/>
      <c r="Q1224" s="19" t="n"/>
      <c r="R1224" s="19" t="n"/>
      <c r="Y1224" s="19" t="n"/>
    </row>
    <row r="1225">
      <c r="C1225" s="18" t="n"/>
      <c r="J1225" s="19" t="n"/>
      <c r="P1225" s="20" t="n"/>
      <c r="Q1225" s="19" t="n"/>
      <c r="R1225" s="19" t="n"/>
      <c r="Y1225" s="19" t="n"/>
    </row>
    <row r="1226">
      <c r="C1226" s="18" t="n"/>
      <c r="J1226" s="19" t="n"/>
      <c r="P1226" s="20" t="n"/>
      <c r="Q1226" s="19" t="n"/>
      <c r="R1226" s="19" t="n"/>
      <c r="Y1226" s="19" t="n"/>
    </row>
    <row r="1227">
      <c r="C1227" s="18" t="n"/>
      <c r="J1227" s="19" t="n"/>
      <c r="P1227" s="20" t="n"/>
      <c r="Q1227" s="19" t="n"/>
      <c r="R1227" s="19" t="n"/>
      <c r="Y1227" s="19" t="n"/>
    </row>
    <row r="1228">
      <c r="C1228" s="18" t="n"/>
      <c r="J1228" s="19" t="n"/>
      <c r="P1228" s="20" t="n"/>
      <c r="Q1228" s="19" t="n"/>
      <c r="R1228" s="19" t="n"/>
      <c r="Y1228" s="19" t="n"/>
    </row>
    <row r="1229">
      <c r="C1229" s="18" t="n"/>
      <c r="J1229" s="19" t="n"/>
      <c r="P1229" s="20" t="n"/>
      <c r="Q1229" s="19" t="n"/>
      <c r="R1229" s="19" t="n"/>
      <c r="Y1229" s="19" t="n"/>
    </row>
    <row r="1230">
      <c r="C1230" s="18" t="n"/>
      <c r="J1230" s="19" t="n"/>
      <c r="P1230" s="20" t="n"/>
      <c r="Q1230" s="19" t="n"/>
      <c r="R1230" s="19" t="n"/>
      <c r="Y1230" s="19" t="n"/>
    </row>
    <row r="1231">
      <c r="C1231" s="18" t="n"/>
      <c r="J1231" s="19" t="n"/>
      <c r="P1231" s="20" t="n"/>
      <c r="Q1231" s="19" t="n"/>
      <c r="R1231" s="19" t="n"/>
      <c r="Y1231" s="19" t="n"/>
    </row>
    <row r="1232">
      <c r="C1232" s="18" t="n"/>
      <c r="J1232" s="19" t="n"/>
      <c r="P1232" s="20" t="n"/>
      <c r="Q1232" s="19" t="n"/>
      <c r="R1232" s="19" t="n"/>
      <c r="Y1232" s="19" t="n"/>
    </row>
    <row r="1233">
      <c r="C1233" s="18" t="n"/>
      <c r="J1233" s="19" t="n"/>
      <c r="P1233" s="20" t="n"/>
      <c r="Q1233" s="19" t="n"/>
      <c r="R1233" s="19" t="n"/>
      <c r="Y1233" s="19" t="n"/>
    </row>
    <row r="1234">
      <c r="C1234" s="18" t="n"/>
      <c r="J1234" s="19" t="n"/>
      <c r="P1234" s="20" t="n"/>
      <c r="Q1234" s="19" t="n"/>
      <c r="R1234" s="19" t="n"/>
      <c r="Y1234" s="19" t="n"/>
    </row>
    <row r="1235">
      <c r="C1235" s="18" t="n"/>
      <c r="J1235" s="19" t="n"/>
      <c r="P1235" s="20" t="n"/>
      <c r="Q1235" s="19" t="n"/>
      <c r="R1235" s="19" t="n"/>
      <c r="Y1235" s="19" t="n"/>
    </row>
    <row r="1236">
      <c r="C1236" s="18" t="n"/>
      <c r="J1236" s="19" t="n"/>
      <c r="P1236" s="20" t="n"/>
      <c r="Q1236" s="19" t="n"/>
      <c r="R1236" s="19" t="n"/>
      <c r="Y1236" s="19" t="n"/>
    </row>
    <row r="1237">
      <c r="C1237" s="18" t="n"/>
      <c r="J1237" s="19" t="n"/>
      <c r="P1237" s="20" t="n"/>
      <c r="Q1237" s="19" t="n"/>
      <c r="R1237" s="19" t="n"/>
      <c r="Y1237" s="19" t="n"/>
    </row>
    <row r="1238">
      <c r="C1238" s="18" t="n"/>
      <c r="J1238" s="19" t="n"/>
      <c r="P1238" s="20" t="n"/>
      <c r="Q1238" s="19" t="n"/>
      <c r="R1238" s="19" t="n"/>
      <c r="Y1238" s="19" t="n"/>
    </row>
    <row r="1239">
      <c r="C1239" s="18" t="n"/>
      <c r="J1239" s="19" t="n"/>
      <c r="P1239" s="20" t="n"/>
      <c r="Q1239" s="19" t="n"/>
      <c r="R1239" s="19" t="n"/>
      <c r="Y1239" s="19" t="n"/>
    </row>
    <row r="1240">
      <c r="C1240" s="18" t="n"/>
      <c r="J1240" s="19" t="n"/>
      <c r="P1240" s="20" t="n"/>
      <c r="Q1240" s="19" t="n"/>
      <c r="R1240" s="19" t="n"/>
      <c r="Y1240" s="19" t="n"/>
    </row>
    <row r="1241">
      <c r="C1241" s="18" t="n"/>
      <c r="J1241" s="19" t="n"/>
      <c r="P1241" s="20" t="n"/>
      <c r="Q1241" s="19" t="n"/>
      <c r="R1241" s="19" t="n"/>
      <c r="Y1241" s="19" t="n"/>
    </row>
    <row r="1242">
      <c r="C1242" s="18" t="n"/>
      <c r="J1242" s="19" t="n"/>
      <c r="P1242" s="20" t="n"/>
      <c r="Q1242" s="19" t="n"/>
      <c r="R1242" s="19" t="n"/>
      <c r="Y1242" s="19" t="n"/>
    </row>
    <row r="1243">
      <c r="C1243" s="18" t="n"/>
      <c r="J1243" s="19" t="n"/>
      <c r="P1243" s="20" t="n"/>
      <c r="Q1243" s="19" t="n"/>
      <c r="R1243" s="19" t="n"/>
      <c r="Y1243" s="19" t="n"/>
    </row>
    <row r="1244">
      <c r="C1244" s="18" t="n"/>
      <c r="J1244" s="19" t="n"/>
      <c r="P1244" s="20" t="n"/>
      <c r="Q1244" s="19" t="n"/>
      <c r="R1244" s="19" t="n"/>
      <c r="Y1244" s="19" t="n"/>
    </row>
    <row r="1245">
      <c r="C1245" s="18" t="n"/>
      <c r="J1245" s="19" t="n"/>
      <c r="P1245" s="20" t="n"/>
      <c r="Q1245" s="19" t="n"/>
      <c r="R1245" s="19" t="n"/>
      <c r="Y1245" s="19" t="n"/>
    </row>
    <row r="1246">
      <c r="C1246" s="18" t="n"/>
      <c r="J1246" s="19" t="n"/>
      <c r="P1246" s="20" t="n"/>
      <c r="Q1246" s="19" t="n"/>
      <c r="R1246" s="19" t="n"/>
      <c r="Y1246" s="19" t="n"/>
    </row>
    <row r="1247">
      <c r="C1247" s="18" t="n"/>
      <c r="J1247" s="19" t="n"/>
      <c r="P1247" s="20" t="n"/>
      <c r="Q1247" s="19" t="n"/>
      <c r="R1247" s="19" t="n"/>
      <c r="Y1247" s="19" t="n"/>
    </row>
    <row r="1248">
      <c r="C1248" s="18" t="n"/>
      <c r="J1248" s="19" t="n"/>
      <c r="P1248" s="20" t="n"/>
      <c r="Q1248" s="19" t="n"/>
      <c r="R1248" s="19" t="n"/>
      <c r="Y1248" s="19" t="n"/>
    </row>
    <row r="1249">
      <c r="C1249" s="18" t="n"/>
      <c r="J1249" s="19" t="n"/>
      <c r="P1249" s="20" t="n"/>
      <c r="Q1249" s="19" t="n"/>
      <c r="R1249" s="19" t="n"/>
      <c r="Y1249" s="19" t="n"/>
    </row>
    <row r="1250">
      <c r="C1250" s="18" t="n"/>
      <c r="J1250" s="19" t="n"/>
      <c r="P1250" s="20" t="n"/>
      <c r="Q1250" s="19" t="n"/>
      <c r="R1250" s="19" t="n"/>
      <c r="Y1250" s="19" t="n"/>
    </row>
    <row r="1251">
      <c r="C1251" s="18" t="n"/>
      <c r="J1251" s="19" t="n"/>
      <c r="P1251" s="20" t="n"/>
      <c r="Q1251" s="19" t="n"/>
      <c r="R1251" s="19" t="n"/>
      <c r="Y1251" s="19" t="n"/>
    </row>
    <row r="1252">
      <c r="C1252" s="18" t="n"/>
      <c r="J1252" s="19" t="n"/>
      <c r="P1252" s="20" t="n"/>
      <c r="Q1252" s="19" t="n"/>
      <c r="R1252" s="19" t="n"/>
      <c r="Y1252" s="19" t="n"/>
    </row>
    <row r="1253">
      <c r="C1253" s="18" t="n"/>
      <c r="J1253" s="19" t="n"/>
      <c r="P1253" s="20" t="n"/>
      <c r="Q1253" s="19" t="n"/>
      <c r="R1253" s="19" t="n"/>
      <c r="Y1253" s="19" t="n"/>
    </row>
    <row r="1254">
      <c r="C1254" s="18" t="n"/>
      <c r="J1254" s="19" t="n"/>
      <c r="P1254" s="20" t="n"/>
      <c r="Q1254" s="19" t="n"/>
      <c r="R1254" s="19" t="n"/>
      <c r="Y1254" s="19" t="n"/>
    </row>
    <row r="1255">
      <c r="C1255" s="18" t="n"/>
      <c r="J1255" s="19" t="n"/>
      <c r="P1255" s="20" t="n"/>
      <c r="Q1255" s="19" t="n"/>
      <c r="R1255" s="19" t="n"/>
      <c r="Y1255" s="19" t="n"/>
    </row>
    <row r="1256">
      <c r="C1256" s="18" t="n"/>
      <c r="J1256" s="19" t="n"/>
      <c r="P1256" s="20" t="n"/>
      <c r="Q1256" s="19" t="n"/>
      <c r="R1256" s="19" t="n"/>
      <c r="Y1256" s="19" t="n"/>
    </row>
    <row r="1257">
      <c r="C1257" s="18" t="n"/>
      <c r="J1257" s="19" t="n"/>
      <c r="P1257" s="20" t="n"/>
      <c r="Q1257" s="19" t="n"/>
      <c r="R1257" s="19" t="n"/>
      <c r="Y1257" s="19" t="n"/>
    </row>
    <row r="1258">
      <c r="C1258" s="18" t="n"/>
      <c r="J1258" s="19" t="n"/>
      <c r="P1258" s="20" t="n"/>
      <c r="Q1258" s="19" t="n"/>
      <c r="R1258" s="19" t="n"/>
      <c r="Y1258" s="19" t="n"/>
    </row>
    <row r="1259">
      <c r="C1259" s="18" t="n"/>
      <c r="J1259" s="19" t="n"/>
      <c r="P1259" s="20" t="n"/>
      <c r="Q1259" s="19" t="n"/>
      <c r="R1259" s="19" t="n"/>
      <c r="Y1259" s="19" t="n"/>
    </row>
    <row r="1260">
      <c r="C1260" s="18" t="n"/>
      <c r="J1260" s="19" t="n"/>
      <c r="P1260" s="20" t="n"/>
      <c r="Q1260" s="19" t="n"/>
      <c r="R1260" s="19" t="n"/>
      <c r="Y1260" s="19" t="n"/>
    </row>
    <row r="1261">
      <c r="C1261" s="18" t="n"/>
      <c r="J1261" s="19" t="n"/>
      <c r="P1261" s="20" t="n"/>
      <c r="Q1261" s="19" t="n"/>
      <c r="R1261" s="19" t="n"/>
      <c r="Y1261" s="19" t="n"/>
    </row>
    <row r="1262">
      <c r="C1262" s="18" t="n"/>
      <c r="J1262" s="19" t="n"/>
      <c r="P1262" s="20" t="n"/>
      <c r="Q1262" s="19" t="n"/>
      <c r="R1262" s="19" t="n"/>
      <c r="Y1262" s="19" t="n"/>
    </row>
    <row r="1263">
      <c r="C1263" s="18" t="n"/>
      <c r="J1263" s="19" t="n"/>
      <c r="P1263" s="20" t="n"/>
      <c r="Q1263" s="19" t="n"/>
      <c r="R1263" s="19" t="n"/>
      <c r="Y1263" s="19" t="n"/>
    </row>
    <row r="1264">
      <c r="C1264" s="18" t="n"/>
      <c r="J1264" s="19" t="n"/>
      <c r="P1264" s="20" t="n"/>
      <c r="Q1264" s="19" t="n"/>
      <c r="R1264" s="19" t="n"/>
      <c r="Y1264" s="19" t="n"/>
    </row>
    <row r="1265">
      <c r="C1265" s="18" t="n"/>
      <c r="J1265" s="19" t="n"/>
      <c r="P1265" s="20" t="n"/>
      <c r="Q1265" s="19" t="n"/>
      <c r="R1265" s="19" t="n"/>
      <c r="Y1265" s="19" t="n"/>
    </row>
    <row r="1266">
      <c r="C1266" s="18" t="n"/>
      <c r="J1266" s="19" t="n"/>
      <c r="P1266" s="20" t="n"/>
      <c r="Q1266" s="19" t="n"/>
      <c r="R1266" s="19" t="n"/>
      <c r="Y1266" s="19" t="n"/>
    </row>
    <row r="1267">
      <c r="C1267" s="18" t="n"/>
      <c r="J1267" s="19" t="n"/>
      <c r="P1267" s="20" t="n"/>
      <c r="Q1267" s="19" t="n"/>
      <c r="R1267" s="19" t="n"/>
      <c r="Y1267" s="19" t="n"/>
    </row>
    <row r="1268">
      <c r="C1268" s="18" t="n"/>
      <c r="J1268" s="19" t="n"/>
      <c r="P1268" s="20" t="n"/>
      <c r="Q1268" s="19" t="n"/>
      <c r="R1268" s="19" t="n"/>
      <c r="Y1268" s="19" t="n"/>
    </row>
    <row r="1269">
      <c r="C1269" s="18" t="n"/>
      <c r="J1269" s="19" t="n"/>
      <c r="P1269" s="20" t="n"/>
      <c r="Q1269" s="19" t="n"/>
      <c r="R1269" s="19" t="n"/>
      <c r="Y1269" s="19" t="n"/>
    </row>
    <row r="1270">
      <c r="C1270" s="18" t="n"/>
      <c r="J1270" s="19" t="n"/>
      <c r="P1270" s="20" t="n"/>
      <c r="Q1270" s="19" t="n"/>
      <c r="R1270" s="19" t="n"/>
      <c r="Y1270" s="19" t="n"/>
    </row>
    <row r="1271">
      <c r="C1271" s="18" t="n"/>
      <c r="J1271" s="19" t="n"/>
      <c r="P1271" s="20" t="n"/>
      <c r="Q1271" s="19" t="n"/>
      <c r="R1271" s="19" t="n"/>
      <c r="Y1271" s="19" t="n"/>
    </row>
    <row r="1272">
      <c r="C1272" s="18" t="n"/>
      <c r="J1272" s="19" t="n"/>
      <c r="P1272" s="20" t="n"/>
      <c r="Q1272" s="19" t="n"/>
      <c r="R1272" s="19" t="n"/>
      <c r="Y1272" s="19" t="n"/>
    </row>
    <row r="1273">
      <c r="C1273" s="18" t="n"/>
      <c r="J1273" s="19" t="n"/>
      <c r="P1273" s="20" t="n"/>
      <c r="Q1273" s="19" t="n"/>
      <c r="R1273" s="19" t="n"/>
      <c r="Y1273" s="19" t="n"/>
    </row>
    <row r="1274">
      <c r="C1274" s="18" t="n"/>
      <c r="J1274" s="19" t="n"/>
      <c r="P1274" s="20" t="n"/>
      <c r="Q1274" s="19" t="n"/>
      <c r="R1274" s="19" t="n"/>
      <c r="Y1274" s="19" t="n"/>
    </row>
    <row r="1275">
      <c r="C1275" s="18" t="n"/>
      <c r="J1275" s="19" t="n"/>
      <c r="P1275" s="20" t="n"/>
      <c r="Q1275" s="19" t="n"/>
      <c r="R1275" s="19" t="n"/>
      <c r="Y1275" s="19" t="n"/>
    </row>
    <row r="1276">
      <c r="C1276" s="18" t="n"/>
      <c r="J1276" s="19" t="n"/>
      <c r="P1276" s="20" t="n"/>
      <c r="Q1276" s="19" t="n"/>
      <c r="R1276" s="19" t="n"/>
      <c r="Y1276" s="19" t="n"/>
    </row>
    <row r="1277">
      <c r="C1277" s="18" t="n"/>
      <c r="J1277" s="19" t="n"/>
      <c r="P1277" s="20" t="n"/>
      <c r="Q1277" s="19" t="n"/>
      <c r="R1277" s="19" t="n"/>
      <c r="Y1277" s="19" t="n"/>
    </row>
    <row r="1278">
      <c r="C1278" s="18" t="n"/>
      <c r="J1278" s="19" t="n"/>
      <c r="P1278" s="20" t="n"/>
      <c r="Q1278" s="19" t="n"/>
      <c r="R1278" s="19" t="n"/>
      <c r="Y1278" s="19" t="n"/>
    </row>
    <row r="1279">
      <c r="C1279" s="18" t="n"/>
      <c r="J1279" s="19" t="n"/>
      <c r="P1279" s="20" t="n"/>
      <c r="Q1279" s="19" t="n"/>
      <c r="R1279" s="19" t="n"/>
      <c r="Y1279" s="19" t="n"/>
    </row>
    <row r="1280">
      <c r="C1280" s="18" t="n"/>
      <c r="J1280" s="19" t="n"/>
      <c r="P1280" s="20" t="n"/>
      <c r="Q1280" s="19" t="n"/>
      <c r="R1280" s="19" t="n"/>
      <c r="Y1280" s="19" t="n"/>
    </row>
    <row r="1281">
      <c r="C1281" s="18" t="n"/>
      <c r="J1281" s="19" t="n"/>
      <c r="P1281" s="20" t="n"/>
      <c r="Q1281" s="19" t="n"/>
      <c r="R1281" s="19" t="n"/>
      <c r="Y1281" s="19" t="n"/>
    </row>
    <row r="1282">
      <c r="C1282" s="18" t="n"/>
      <c r="J1282" s="19" t="n"/>
      <c r="P1282" s="20" t="n"/>
      <c r="Q1282" s="19" t="n"/>
      <c r="R1282" s="19" t="n"/>
      <c r="Y1282" s="19" t="n"/>
    </row>
    <row r="1283">
      <c r="C1283" s="18" t="n"/>
      <c r="J1283" s="19" t="n"/>
      <c r="P1283" s="20" t="n"/>
      <c r="Q1283" s="19" t="n"/>
      <c r="R1283" s="19" t="n"/>
      <c r="Y1283" s="19" t="n"/>
    </row>
    <row r="1284">
      <c r="C1284" s="18" t="n"/>
      <c r="J1284" s="19" t="n"/>
      <c r="P1284" s="20" t="n"/>
      <c r="Q1284" s="19" t="n"/>
      <c r="R1284" s="19" t="n"/>
      <c r="Y1284" s="19" t="n"/>
    </row>
    <row r="1285">
      <c r="C1285" s="18" t="n"/>
      <c r="J1285" s="19" t="n"/>
      <c r="P1285" s="20" t="n"/>
      <c r="Q1285" s="19" t="n"/>
      <c r="R1285" s="19" t="n"/>
      <c r="Y1285" s="19" t="n"/>
    </row>
    <row r="1286">
      <c r="C1286" s="18" t="n"/>
      <c r="J1286" s="19" t="n"/>
      <c r="P1286" s="20" t="n"/>
      <c r="Q1286" s="19" t="n"/>
      <c r="R1286" s="19" t="n"/>
      <c r="Y1286" s="19" t="n"/>
    </row>
    <row r="1287">
      <c r="C1287" s="18" t="n"/>
      <c r="J1287" s="19" t="n"/>
      <c r="P1287" s="20" t="n"/>
      <c r="Q1287" s="19" t="n"/>
      <c r="R1287" s="19" t="n"/>
      <c r="Y1287" s="19" t="n"/>
    </row>
    <row r="1288">
      <c r="C1288" s="18" t="n"/>
      <c r="J1288" s="19" t="n"/>
      <c r="P1288" s="20" t="n"/>
      <c r="Q1288" s="19" t="n"/>
      <c r="R1288" s="19" t="n"/>
      <c r="Y1288" s="19" t="n"/>
    </row>
    <row r="1289">
      <c r="C1289" s="18" t="n"/>
      <c r="J1289" s="19" t="n"/>
      <c r="P1289" s="20" t="n"/>
      <c r="Q1289" s="19" t="n"/>
      <c r="R1289" s="19" t="n"/>
      <c r="Y1289" s="19" t="n"/>
    </row>
    <row r="1290">
      <c r="C1290" s="18" t="n"/>
      <c r="J1290" s="19" t="n"/>
      <c r="P1290" s="20" t="n"/>
      <c r="Q1290" s="19" t="n"/>
      <c r="R1290" s="19" t="n"/>
      <c r="Y1290" s="19" t="n"/>
    </row>
    <row r="1291">
      <c r="C1291" s="18" t="n"/>
      <c r="J1291" s="19" t="n"/>
      <c r="P1291" s="20" t="n"/>
      <c r="Q1291" s="19" t="n"/>
      <c r="R1291" s="19" t="n"/>
      <c r="Y1291" s="19" t="n"/>
    </row>
    <row r="1292">
      <c r="C1292" s="18" t="n"/>
      <c r="J1292" s="19" t="n"/>
      <c r="P1292" s="20" t="n"/>
      <c r="Q1292" s="19" t="n"/>
      <c r="R1292" s="19" t="n"/>
      <c r="Y1292" s="19" t="n"/>
    </row>
    <row r="1293">
      <c r="C1293" s="18" t="n"/>
      <c r="J1293" s="19" t="n"/>
      <c r="P1293" s="20" t="n"/>
      <c r="Q1293" s="19" t="n"/>
      <c r="R1293" s="19" t="n"/>
      <c r="Y1293" s="19" t="n"/>
    </row>
    <row r="1294">
      <c r="C1294" s="18" t="n"/>
      <c r="J1294" s="19" t="n"/>
      <c r="P1294" s="20" t="n"/>
      <c r="Q1294" s="19" t="n"/>
      <c r="R1294" s="19" t="n"/>
      <c r="Y1294" s="19" t="n"/>
    </row>
    <row r="1295">
      <c r="C1295" s="18" t="n"/>
      <c r="J1295" s="19" t="n"/>
      <c r="P1295" s="20" t="n"/>
      <c r="Q1295" s="19" t="n"/>
      <c r="R1295" s="19" t="n"/>
      <c r="Y1295" s="19" t="n"/>
    </row>
    <row r="1296">
      <c r="C1296" s="18" t="n"/>
      <c r="J1296" s="19" t="n"/>
      <c r="P1296" s="20" t="n"/>
      <c r="Q1296" s="19" t="n"/>
      <c r="R1296" s="19" t="n"/>
      <c r="Y1296" s="19" t="n"/>
    </row>
    <row r="1297">
      <c r="C1297" s="18" t="n"/>
      <c r="J1297" s="19" t="n"/>
      <c r="P1297" s="20" t="n"/>
      <c r="Q1297" s="19" t="n"/>
      <c r="R1297" s="19" t="n"/>
      <c r="Y1297" s="19" t="n"/>
    </row>
    <row r="1298">
      <c r="C1298" s="18" t="n"/>
      <c r="J1298" s="19" t="n"/>
      <c r="P1298" s="20" t="n"/>
      <c r="Q1298" s="19" t="n"/>
      <c r="R1298" s="19" t="n"/>
      <c r="Y1298" s="19" t="n"/>
    </row>
    <row r="1299">
      <c r="C1299" s="18" t="n"/>
      <c r="J1299" s="19" t="n"/>
      <c r="P1299" s="20" t="n"/>
      <c r="Q1299" s="19" t="n"/>
      <c r="R1299" s="19" t="n"/>
      <c r="Y1299" s="19" t="n"/>
    </row>
    <row r="1300">
      <c r="C1300" s="18" t="n"/>
      <c r="J1300" s="19" t="n"/>
      <c r="P1300" s="20" t="n"/>
      <c r="Q1300" s="19" t="n"/>
      <c r="R1300" s="19" t="n"/>
      <c r="Y1300" s="19" t="n"/>
    </row>
    <row r="1301">
      <c r="C1301" s="18" t="n"/>
      <c r="J1301" s="19" t="n"/>
      <c r="P1301" s="20" t="n"/>
      <c r="Q1301" s="19" t="n"/>
      <c r="R1301" s="19" t="n"/>
      <c r="Y1301" s="19" t="n"/>
    </row>
    <row r="1302">
      <c r="C1302" s="18" t="n"/>
      <c r="J1302" s="19" t="n"/>
      <c r="P1302" s="20" t="n"/>
      <c r="Q1302" s="19" t="n"/>
      <c r="R1302" s="19" t="n"/>
      <c r="Y1302" s="19" t="n"/>
    </row>
    <row r="1303">
      <c r="C1303" s="18" t="n"/>
      <c r="J1303" s="19" t="n"/>
      <c r="P1303" s="20" t="n"/>
      <c r="Q1303" s="19" t="n"/>
      <c r="R1303" s="19" t="n"/>
      <c r="Y1303" s="19" t="n"/>
    </row>
    <row r="1304">
      <c r="C1304" s="18" t="n"/>
      <c r="J1304" s="19" t="n"/>
      <c r="P1304" s="20" t="n"/>
      <c r="Q1304" s="19" t="n"/>
      <c r="R1304" s="19" t="n"/>
      <c r="Y1304" s="19" t="n"/>
    </row>
    <row r="1305">
      <c r="C1305" s="18" t="n"/>
      <c r="J1305" s="19" t="n"/>
      <c r="P1305" s="20" t="n"/>
      <c r="Q1305" s="19" t="n"/>
      <c r="R1305" s="19" t="n"/>
      <c r="Y1305" s="19" t="n"/>
    </row>
    <row r="1306">
      <c r="C1306" s="18" t="n"/>
      <c r="J1306" s="19" t="n"/>
      <c r="P1306" s="20" t="n"/>
      <c r="Q1306" s="19" t="n"/>
      <c r="R1306" s="19" t="n"/>
      <c r="Y1306" s="19" t="n"/>
    </row>
    <row r="1307">
      <c r="C1307" s="18" t="n"/>
      <c r="J1307" s="19" t="n"/>
      <c r="P1307" s="20" t="n"/>
      <c r="Q1307" s="19" t="n"/>
      <c r="R1307" s="19" t="n"/>
      <c r="Y1307" s="19" t="n"/>
    </row>
    <row r="1308">
      <c r="C1308" s="18" t="n"/>
      <c r="J1308" s="19" t="n"/>
      <c r="P1308" s="20" t="n"/>
      <c r="Q1308" s="19" t="n"/>
      <c r="R1308" s="19" t="n"/>
      <c r="Y1308" s="19" t="n"/>
    </row>
    <row r="1309">
      <c r="C1309" s="18" t="n"/>
      <c r="J1309" s="19" t="n"/>
      <c r="P1309" s="20" t="n"/>
      <c r="Q1309" s="19" t="n"/>
      <c r="R1309" s="19" t="n"/>
      <c r="Y1309" s="19" t="n"/>
    </row>
    <row r="1310">
      <c r="C1310" s="18" t="n"/>
      <c r="J1310" s="19" t="n"/>
      <c r="P1310" s="20" t="n"/>
      <c r="Q1310" s="19" t="n"/>
      <c r="R1310" s="19" t="n"/>
      <c r="Y1310" s="19" t="n"/>
    </row>
    <row r="1311">
      <c r="C1311" s="18" t="n"/>
      <c r="J1311" s="19" t="n"/>
      <c r="P1311" s="20" t="n"/>
      <c r="Q1311" s="19" t="n"/>
      <c r="R1311" s="19" t="n"/>
      <c r="Y1311" s="19" t="n"/>
    </row>
    <row r="1312">
      <c r="C1312" s="18" t="n"/>
      <c r="J1312" s="19" t="n"/>
      <c r="P1312" s="20" t="n"/>
      <c r="Q1312" s="19" t="n"/>
      <c r="R1312" s="19" t="n"/>
      <c r="Y1312" s="19" t="n"/>
    </row>
    <row r="1313">
      <c r="C1313" s="18" t="n"/>
      <c r="J1313" s="19" t="n"/>
      <c r="P1313" s="20" t="n"/>
      <c r="Q1313" s="19" t="n"/>
      <c r="R1313" s="19" t="n"/>
      <c r="Y1313" s="19" t="n"/>
    </row>
    <row r="1314">
      <c r="C1314" s="18" t="n"/>
      <c r="J1314" s="19" t="n"/>
      <c r="P1314" s="20" t="n"/>
      <c r="Q1314" s="19" t="n"/>
      <c r="R1314" s="19" t="n"/>
      <c r="Y1314" s="19" t="n"/>
    </row>
    <row r="1315">
      <c r="C1315" s="18" t="n"/>
      <c r="J1315" s="19" t="n"/>
      <c r="P1315" s="20" t="n"/>
      <c r="Q1315" s="19" t="n"/>
      <c r="R1315" s="19" t="n"/>
      <c r="Y1315" s="19" t="n"/>
    </row>
    <row r="1316">
      <c r="C1316" s="18" t="n"/>
      <c r="J1316" s="19" t="n"/>
      <c r="P1316" s="20" t="n"/>
      <c r="Q1316" s="19" t="n"/>
      <c r="R1316" s="19" t="n"/>
      <c r="Y1316" s="19" t="n"/>
    </row>
    <row r="1317">
      <c r="C1317" s="18" t="n"/>
      <c r="J1317" s="19" t="n"/>
      <c r="P1317" s="20" t="n"/>
      <c r="Q1317" s="19" t="n"/>
      <c r="R1317" s="19" t="n"/>
      <c r="Y1317" s="19" t="n"/>
    </row>
    <row r="1318">
      <c r="C1318" s="18" t="n"/>
      <c r="J1318" s="19" t="n"/>
      <c r="P1318" s="20" t="n"/>
      <c r="Q1318" s="19" t="n"/>
      <c r="R1318" s="19" t="n"/>
      <c r="Y1318" s="19" t="n"/>
    </row>
    <row r="1319">
      <c r="C1319" s="18" t="n"/>
      <c r="J1319" s="19" t="n"/>
      <c r="P1319" s="20" t="n"/>
      <c r="Q1319" s="19" t="n"/>
      <c r="R1319" s="19" t="n"/>
      <c r="Y1319" s="19" t="n"/>
    </row>
    <row r="1320">
      <c r="C1320" s="18" t="n"/>
      <c r="J1320" s="19" t="n"/>
      <c r="P1320" s="20" t="n"/>
      <c r="Q1320" s="19" t="n"/>
      <c r="R1320" s="19" t="n"/>
      <c r="Y1320" s="19" t="n"/>
    </row>
    <row r="1321">
      <c r="C1321" s="18" t="n"/>
      <c r="J1321" s="19" t="n"/>
      <c r="P1321" s="20" t="n"/>
      <c r="Q1321" s="19" t="n"/>
      <c r="R1321" s="19" t="n"/>
      <c r="Y1321" s="19" t="n"/>
    </row>
    <row r="1322">
      <c r="C1322" s="18" t="n"/>
      <c r="J1322" s="19" t="n"/>
      <c r="P1322" s="20" t="n"/>
      <c r="Q1322" s="19" t="n"/>
      <c r="R1322" s="19" t="n"/>
      <c r="Y1322" s="19" t="n"/>
    </row>
    <row r="1323">
      <c r="C1323" s="18" t="n"/>
      <c r="J1323" s="19" t="n"/>
      <c r="P1323" s="20" t="n"/>
      <c r="Q1323" s="19" t="n"/>
      <c r="R1323" s="19" t="n"/>
      <c r="Y1323" s="19" t="n"/>
    </row>
    <row r="1324">
      <c r="C1324" s="18" t="n"/>
      <c r="J1324" s="19" t="n"/>
      <c r="P1324" s="20" t="n"/>
      <c r="Q1324" s="19" t="n"/>
      <c r="R1324" s="19" t="n"/>
      <c r="Y1324" s="19" t="n"/>
    </row>
    <row r="1325">
      <c r="C1325" s="18" t="n"/>
      <c r="J1325" s="19" t="n"/>
      <c r="P1325" s="20" t="n"/>
      <c r="Q1325" s="19" t="n"/>
      <c r="R1325" s="19" t="n"/>
      <c r="Y1325" s="19" t="n"/>
    </row>
    <row r="1326">
      <c r="C1326" s="18" t="n"/>
      <c r="J1326" s="19" t="n"/>
      <c r="P1326" s="20" t="n"/>
      <c r="Q1326" s="19" t="n"/>
      <c r="R1326" s="19" t="n"/>
      <c r="Y1326" s="19" t="n"/>
    </row>
    <row r="1327">
      <c r="C1327" s="18" t="n"/>
      <c r="J1327" s="19" t="n"/>
      <c r="P1327" s="20" t="n"/>
      <c r="Q1327" s="19" t="n"/>
      <c r="R1327" s="19" t="n"/>
      <c r="Y1327" s="19" t="n"/>
    </row>
    <row r="1328">
      <c r="C1328" s="18" t="n"/>
      <c r="J1328" s="19" t="n"/>
      <c r="P1328" s="20" t="n"/>
      <c r="Q1328" s="19" t="n"/>
      <c r="R1328" s="19" t="n"/>
      <c r="Y1328" s="19" t="n"/>
    </row>
    <row r="1329">
      <c r="C1329" s="18" t="n"/>
      <c r="J1329" s="19" t="n"/>
      <c r="P1329" s="20" t="n"/>
      <c r="Q1329" s="19" t="n"/>
      <c r="R1329" s="19" t="n"/>
      <c r="Y1329" s="19" t="n"/>
    </row>
    <row r="1330">
      <c r="C1330" s="18" t="n"/>
      <c r="J1330" s="19" t="n"/>
      <c r="P1330" s="20" t="n"/>
      <c r="Q1330" s="19" t="n"/>
      <c r="R1330" s="19" t="n"/>
      <c r="Y1330" s="19" t="n"/>
    </row>
    <row r="1331">
      <c r="C1331" s="18" t="n"/>
      <c r="J1331" s="19" t="n"/>
      <c r="P1331" s="20" t="n"/>
      <c r="Q1331" s="19" t="n"/>
      <c r="R1331" s="19" t="n"/>
      <c r="Y1331" s="19" t="n"/>
    </row>
    <row r="1332">
      <c r="C1332" s="18" t="n"/>
      <c r="J1332" s="19" t="n"/>
      <c r="P1332" s="20" t="n"/>
      <c r="Q1332" s="19" t="n"/>
      <c r="R1332" s="19" t="n"/>
      <c r="Y1332" s="19" t="n"/>
    </row>
    <row r="1333">
      <c r="C1333" s="18" t="n"/>
      <c r="J1333" s="19" t="n"/>
      <c r="P1333" s="20" t="n"/>
      <c r="Q1333" s="19" t="n"/>
      <c r="R1333" s="19" t="n"/>
      <c r="Y1333" s="19" t="n"/>
    </row>
    <row r="1334">
      <c r="C1334" s="18" t="n"/>
      <c r="J1334" s="19" t="n"/>
      <c r="P1334" s="20" t="n"/>
      <c r="Q1334" s="19" t="n"/>
      <c r="R1334" s="19" t="n"/>
      <c r="Y1334" s="19" t="n"/>
    </row>
    <row r="1335">
      <c r="C1335" s="18" t="n"/>
      <c r="J1335" s="19" t="n"/>
      <c r="P1335" s="20" t="n"/>
      <c r="Q1335" s="19" t="n"/>
      <c r="R1335" s="19" t="n"/>
      <c r="Y1335" s="19" t="n"/>
    </row>
    <row r="1336">
      <c r="C1336" s="18" t="n"/>
      <c r="J1336" s="19" t="n"/>
      <c r="P1336" s="20" t="n"/>
      <c r="Q1336" s="19" t="n"/>
      <c r="R1336" s="19" t="n"/>
      <c r="Y1336" s="19" t="n"/>
    </row>
    <row r="1337">
      <c r="C1337" s="18" t="n"/>
      <c r="J1337" s="19" t="n"/>
      <c r="P1337" s="20" t="n"/>
      <c r="Q1337" s="19" t="n"/>
      <c r="R1337" s="19" t="n"/>
      <c r="Y1337" s="19" t="n"/>
    </row>
    <row r="1338">
      <c r="C1338" s="18" t="n"/>
      <c r="J1338" s="19" t="n"/>
      <c r="P1338" s="20" t="n"/>
      <c r="Q1338" s="19" t="n"/>
      <c r="R1338" s="19" t="n"/>
      <c r="Y1338" s="19" t="n"/>
    </row>
    <row r="1339">
      <c r="C1339" s="18" t="n"/>
      <c r="J1339" s="19" t="n"/>
      <c r="P1339" s="20" t="n"/>
      <c r="Q1339" s="19" t="n"/>
      <c r="R1339" s="19" t="n"/>
      <c r="Y1339" s="19" t="n"/>
    </row>
    <row r="1340">
      <c r="C1340" s="18" t="n"/>
      <c r="J1340" s="19" t="n"/>
      <c r="P1340" s="20" t="n"/>
      <c r="Q1340" s="19" t="n"/>
      <c r="R1340" s="19" t="n"/>
      <c r="Y1340" s="19" t="n"/>
    </row>
    <row r="1341">
      <c r="C1341" s="18" t="n"/>
      <c r="J1341" s="19" t="n"/>
      <c r="P1341" s="20" t="n"/>
      <c r="Q1341" s="19" t="n"/>
      <c r="R1341" s="19" t="n"/>
      <c r="Y1341" s="19" t="n"/>
    </row>
    <row r="1342">
      <c r="C1342" s="18" t="n"/>
      <c r="J1342" s="19" t="n"/>
      <c r="P1342" s="20" t="n"/>
      <c r="Q1342" s="19" t="n"/>
      <c r="R1342" s="19" t="n"/>
      <c r="Y1342" s="19" t="n"/>
    </row>
    <row r="1343">
      <c r="C1343" s="18" t="n"/>
      <c r="J1343" s="19" t="n"/>
      <c r="P1343" s="20" t="n"/>
      <c r="Q1343" s="19" t="n"/>
      <c r="R1343" s="19" t="n"/>
      <c r="Y1343" s="19" t="n"/>
    </row>
    <row r="1344">
      <c r="C1344" s="18" t="n"/>
      <c r="J1344" s="19" t="n"/>
      <c r="P1344" s="20" t="n"/>
      <c r="Q1344" s="19" t="n"/>
      <c r="R1344" s="19" t="n"/>
      <c r="Y1344" s="19" t="n"/>
    </row>
    <row r="1345">
      <c r="C1345" s="18" t="n"/>
      <c r="J1345" s="19" t="n"/>
      <c r="P1345" s="20" t="n"/>
      <c r="Q1345" s="19" t="n"/>
      <c r="R1345" s="19" t="n"/>
      <c r="Y1345" s="19" t="n"/>
    </row>
    <row r="1346">
      <c r="C1346" s="18" t="n"/>
      <c r="J1346" s="19" t="n"/>
      <c r="P1346" s="20" t="n"/>
      <c r="Q1346" s="19" t="n"/>
      <c r="R1346" s="19" t="n"/>
      <c r="Y1346" s="19" t="n"/>
    </row>
    <row r="1347">
      <c r="C1347" s="18" t="n"/>
      <c r="J1347" s="19" t="n"/>
      <c r="P1347" s="20" t="n"/>
      <c r="Q1347" s="19" t="n"/>
      <c r="R1347" s="19" t="n"/>
      <c r="Y1347" s="19" t="n"/>
    </row>
    <row r="1348">
      <c r="C1348" s="18" t="n"/>
      <c r="J1348" s="19" t="n"/>
      <c r="P1348" s="20" t="n"/>
      <c r="Q1348" s="19" t="n"/>
      <c r="R1348" s="19" t="n"/>
      <c r="Y1348" s="19" t="n"/>
    </row>
    <row r="1349">
      <c r="C1349" s="18" t="n"/>
      <c r="J1349" s="19" t="n"/>
      <c r="P1349" s="20" t="n"/>
      <c r="Q1349" s="19" t="n"/>
      <c r="R1349" s="19" t="n"/>
      <c r="Y1349" s="19" t="n"/>
    </row>
    <row r="1350">
      <c r="C1350" s="18" t="n"/>
      <c r="J1350" s="19" t="n"/>
      <c r="P1350" s="20" t="n"/>
      <c r="Q1350" s="19" t="n"/>
      <c r="R1350" s="19" t="n"/>
      <c r="Y1350" s="19" t="n"/>
    </row>
    <row r="1351">
      <c r="C1351" s="18" t="n"/>
      <c r="J1351" s="19" t="n"/>
      <c r="P1351" s="20" t="n"/>
      <c r="Q1351" s="19" t="n"/>
      <c r="R1351" s="19" t="n"/>
      <c r="Y1351" s="19" t="n"/>
    </row>
    <row r="1352">
      <c r="C1352" s="18" t="n"/>
      <c r="J1352" s="19" t="n"/>
      <c r="P1352" s="20" t="n"/>
      <c r="Q1352" s="19" t="n"/>
      <c r="R1352" s="19" t="n"/>
      <c r="Y1352" s="19" t="n"/>
    </row>
    <row r="1353">
      <c r="C1353" s="18" t="n"/>
      <c r="J1353" s="19" t="n"/>
      <c r="P1353" s="20" t="n"/>
      <c r="Q1353" s="19" t="n"/>
      <c r="R1353" s="19" t="n"/>
      <c r="Y1353" s="19" t="n"/>
    </row>
    <row r="1354">
      <c r="C1354" s="18" t="n"/>
      <c r="J1354" s="19" t="n"/>
      <c r="P1354" s="20" t="n"/>
      <c r="Q1354" s="19" t="n"/>
      <c r="R1354" s="19" t="n"/>
      <c r="Y1354" s="19" t="n"/>
    </row>
    <row r="1355">
      <c r="C1355" s="18" t="n"/>
      <c r="J1355" s="19" t="n"/>
      <c r="P1355" s="20" t="n"/>
      <c r="Q1355" s="19" t="n"/>
      <c r="R1355" s="19" t="n"/>
      <c r="Y1355" s="19" t="n"/>
    </row>
    <row r="1356">
      <c r="C1356" s="18" t="n"/>
      <c r="J1356" s="19" t="n"/>
      <c r="P1356" s="20" t="n"/>
      <c r="Q1356" s="19" t="n"/>
      <c r="R1356" s="19" t="n"/>
      <c r="Y1356" s="19" t="n"/>
    </row>
    <row r="1357">
      <c r="C1357" s="18" t="n"/>
      <c r="J1357" s="19" t="n"/>
      <c r="P1357" s="20" t="n"/>
      <c r="Q1357" s="19" t="n"/>
      <c r="R1357" s="19" t="n"/>
      <c r="Y1357" s="19" t="n"/>
    </row>
    <row r="1358">
      <c r="C1358" s="18" t="n"/>
      <c r="J1358" s="19" t="n"/>
      <c r="P1358" s="20" t="n"/>
      <c r="Q1358" s="19" t="n"/>
      <c r="R1358" s="19" t="n"/>
      <c r="Y1358" s="19" t="n"/>
    </row>
    <row r="1359">
      <c r="C1359" s="18" t="n"/>
      <c r="J1359" s="19" t="n"/>
      <c r="P1359" s="20" t="n"/>
      <c r="Q1359" s="19" t="n"/>
      <c r="R1359" s="19" t="n"/>
      <c r="Y1359" s="19" t="n"/>
    </row>
    <row r="1360">
      <c r="C1360" s="18" t="n"/>
      <c r="J1360" s="19" t="n"/>
      <c r="P1360" s="20" t="n"/>
      <c r="Q1360" s="19" t="n"/>
      <c r="R1360" s="19" t="n"/>
      <c r="Y1360" s="19" t="n"/>
    </row>
    <row r="1361">
      <c r="C1361" s="18" t="n"/>
      <c r="J1361" s="19" t="n"/>
      <c r="P1361" s="20" t="n"/>
      <c r="Q1361" s="19" t="n"/>
      <c r="R1361" s="19" t="n"/>
      <c r="Y1361" s="19" t="n"/>
    </row>
    <row r="1362">
      <c r="C1362" s="18" t="n"/>
      <c r="J1362" s="19" t="n"/>
      <c r="P1362" s="20" t="n"/>
      <c r="Q1362" s="19" t="n"/>
      <c r="R1362" s="19" t="n"/>
      <c r="Y1362" s="19" t="n"/>
    </row>
    <row r="1363">
      <c r="C1363" s="18" t="n"/>
      <c r="J1363" s="19" t="n"/>
      <c r="P1363" s="20" t="n"/>
      <c r="Q1363" s="19" t="n"/>
      <c r="R1363" s="19" t="n"/>
      <c r="Y1363" s="19" t="n"/>
    </row>
    <row r="1364">
      <c r="C1364" s="18" t="n"/>
      <c r="J1364" s="19" t="n"/>
      <c r="P1364" s="20" t="n"/>
      <c r="Q1364" s="19" t="n"/>
      <c r="R1364" s="19" t="n"/>
      <c r="Y1364" s="19" t="n"/>
    </row>
    <row r="1365">
      <c r="C1365" s="18" t="n"/>
      <c r="J1365" s="19" t="n"/>
      <c r="P1365" s="20" t="n"/>
      <c r="Q1365" s="19" t="n"/>
      <c r="R1365" s="19" t="n"/>
      <c r="Y1365" s="19" t="n"/>
    </row>
    <row r="1366">
      <c r="C1366" s="18" t="n"/>
      <c r="J1366" s="19" t="n"/>
      <c r="P1366" s="20" t="n"/>
      <c r="Q1366" s="19" t="n"/>
      <c r="R1366" s="19" t="n"/>
      <c r="Y1366" s="19" t="n"/>
    </row>
    <row r="1367">
      <c r="C1367" s="18" t="n"/>
      <c r="J1367" s="19" t="n"/>
      <c r="P1367" s="20" t="n"/>
      <c r="Q1367" s="19" t="n"/>
      <c r="R1367" s="19" t="n"/>
      <c r="Y1367" s="19" t="n"/>
    </row>
    <row r="1368">
      <c r="C1368" s="18" t="n"/>
      <c r="J1368" s="19" t="n"/>
      <c r="P1368" s="20" t="n"/>
      <c r="Q1368" s="19" t="n"/>
      <c r="R1368" s="19" t="n"/>
      <c r="Y1368" s="19" t="n"/>
    </row>
    <row r="1369">
      <c r="C1369" s="18" t="n"/>
      <c r="J1369" s="19" t="n"/>
      <c r="P1369" s="20" t="n"/>
      <c r="Q1369" s="19" t="n"/>
      <c r="R1369" s="19" t="n"/>
      <c r="Y1369" s="19" t="n"/>
    </row>
    <row r="1370">
      <c r="C1370" s="18" t="n"/>
      <c r="J1370" s="19" t="n"/>
      <c r="P1370" s="20" t="n"/>
      <c r="Q1370" s="19" t="n"/>
      <c r="R1370" s="19" t="n"/>
      <c r="Y1370" s="19" t="n"/>
    </row>
    <row r="1371">
      <c r="C1371" s="18" t="n"/>
      <c r="J1371" s="19" t="n"/>
      <c r="P1371" s="20" t="n"/>
      <c r="Q1371" s="19" t="n"/>
      <c r="R1371" s="19" t="n"/>
      <c r="Y1371" s="19" t="n"/>
    </row>
    <row r="1372">
      <c r="C1372" s="18" t="n"/>
      <c r="J1372" s="19" t="n"/>
      <c r="P1372" s="20" t="n"/>
      <c r="Q1372" s="19" t="n"/>
      <c r="R1372" s="19" t="n"/>
      <c r="Y1372" s="19" t="n"/>
    </row>
    <row r="1373">
      <c r="C1373" s="18" t="n"/>
      <c r="J1373" s="19" t="n"/>
      <c r="P1373" s="20" t="n"/>
      <c r="Q1373" s="19" t="n"/>
      <c r="R1373" s="19" t="n"/>
      <c r="Y1373" s="19" t="n"/>
    </row>
    <row r="1374">
      <c r="C1374" s="18" t="n"/>
      <c r="J1374" s="19" t="n"/>
      <c r="P1374" s="20" t="n"/>
      <c r="Q1374" s="19" t="n"/>
      <c r="R1374" s="19" t="n"/>
      <c r="Y1374" s="19" t="n"/>
    </row>
    <row r="1375">
      <c r="C1375" s="18" t="n"/>
      <c r="J1375" s="19" t="n"/>
      <c r="P1375" s="20" t="n"/>
      <c r="Q1375" s="19" t="n"/>
      <c r="R1375" s="19" t="n"/>
      <c r="Y1375" s="19" t="n"/>
    </row>
    <row r="1376">
      <c r="C1376" s="18" t="n"/>
      <c r="J1376" s="19" t="n"/>
      <c r="P1376" s="20" t="n"/>
      <c r="Q1376" s="19" t="n"/>
      <c r="R1376" s="19" t="n"/>
      <c r="Y1376" s="19" t="n"/>
    </row>
    <row r="1377">
      <c r="C1377" s="18" t="n"/>
      <c r="J1377" s="19" t="n"/>
      <c r="P1377" s="20" t="n"/>
      <c r="Q1377" s="19" t="n"/>
      <c r="R1377" s="19" t="n"/>
      <c r="Y1377" s="19" t="n"/>
    </row>
    <row r="1378">
      <c r="C1378" s="18" t="n"/>
      <c r="J1378" s="19" t="n"/>
      <c r="P1378" s="20" t="n"/>
      <c r="Q1378" s="19" t="n"/>
      <c r="R1378" s="19" t="n"/>
      <c r="Y1378" s="19" t="n"/>
    </row>
    <row r="1379">
      <c r="C1379" s="18" t="n"/>
      <c r="J1379" s="19" t="n"/>
      <c r="P1379" s="20" t="n"/>
      <c r="Q1379" s="19" t="n"/>
      <c r="R1379" s="19" t="n"/>
      <c r="Y1379" s="19" t="n"/>
    </row>
    <row r="1380">
      <c r="C1380" s="18" t="n"/>
      <c r="J1380" s="19" t="n"/>
      <c r="P1380" s="20" t="n"/>
      <c r="Q1380" s="19" t="n"/>
      <c r="R1380" s="19" t="n"/>
      <c r="Y1380" s="19" t="n"/>
    </row>
    <row r="1381">
      <c r="C1381" s="18" t="n"/>
      <c r="J1381" s="19" t="n"/>
      <c r="P1381" s="20" t="n"/>
      <c r="Q1381" s="19" t="n"/>
      <c r="R1381" s="19" t="n"/>
      <c r="Y1381" s="19" t="n"/>
    </row>
    <row r="1382">
      <c r="C1382" s="18" t="n"/>
      <c r="J1382" s="19" t="n"/>
      <c r="P1382" s="20" t="n"/>
      <c r="Q1382" s="19" t="n"/>
      <c r="R1382" s="19" t="n"/>
      <c r="Y1382" s="19" t="n"/>
    </row>
    <row r="1383">
      <c r="C1383" s="18" t="n"/>
      <c r="J1383" s="19" t="n"/>
      <c r="P1383" s="20" t="n"/>
      <c r="Q1383" s="19" t="n"/>
      <c r="R1383" s="19" t="n"/>
      <c r="Y1383" s="19" t="n"/>
    </row>
    <row r="1384">
      <c r="C1384" s="18" t="n"/>
      <c r="J1384" s="19" t="n"/>
      <c r="P1384" s="20" t="n"/>
      <c r="Q1384" s="19" t="n"/>
      <c r="R1384" s="19" t="n"/>
      <c r="Y1384" s="19" t="n"/>
    </row>
    <row r="1385">
      <c r="C1385" s="18" t="n"/>
      <c r="J1385" s="19" t="n"/>
      <c r="P1385" s="20" t="n"/>
      <c r="Q1385" s="19" t="n"/>
      <c r="R1385" s="19" t="n"/>
      <c r="Y1385" s="19" t="n"/>
    </row>
    <row r="1386">
      <c r="C1386" s="18" t="n"/>
      <c r="J1386" s="19" t="n"/>
      <c r="P1386" s="20" t="n"/>
      <c r="Q1386" s="19" t="n"/>
      <c r="R1386" s="19" t="n"/>
      <c r="Y1386" s="19" t="n"/>
    </row>
    <row r="1387">
      <c r="C1387" s="18" t="n"/>
      <c r="J1387" s="19" t="n"/>
      <c r="P1387" s="20" t="n"/>
      <c r="Q1387" s="19" t="n"/>
      <c r="R1387" s="19" t="n"/>
      <c r="Y1387" s="19" t="n"/>
    </row>
    <row r="1388">
      <c r="C1388" s="18" t="n"/>
      <c r="J1388" s="19" t="n"/>
      <c r="P1388" s="20" t="n"/>
      <c r="Q1388" s="19" t="n"/>
      <c r="R1388" s="19" t="n"/>
      <c r="Y1388" s="19" t="n"/>
    </row>
    <row r="1389">
      <c r="C1389" s="18" t="n"/>
      <c r="J1389" s="19" t="n"/>
      <c r="P1389" s="20" t="n"/>
      <c r="Q1389" s="19" t="n"/>
      <c r="R1389" s="19" t="n"/>
      <c r="Y1389" s="19" t="n"/>
    </row>
    <row r="1390">
      <c r="C1390" s="18" t="n"/>
      <c r="J1390" s="19" t="n"/>
      <c r="P1390" s="20" t="n"/>
      <c r="Q1390" s="19" t="n"/>
      <c r="R1390" s="19" t="n"/>
      <c r="Y1390" s="19" t="n"/>
    </row>
    <row r="1391">
      <c r="C1391" s="18" t="n"/>
      <c r="J1391" s="19" t="n"/>
      <c r="P1391" s="20" t="n"/>
      <c r="Q1391" s="19" t="n"/>
      <c r="R1391" s="19" t="n"/>
      <c r="Y1391" s="19" t="n"/>
    </row>
    <row r="1392">
      <c r="C1392" s="18" t="n"/>
      <c r="J1392" s="19" t="n"/>
      <c r="P1392" s="20" t="n"/>
      <c r="Q1392" s="19" t="n"/>
      <c r="R1392" s="19" t="n"/>
      <c r="Y1392" s="19" t="n"/>
    </row>
    <row r="1393">
      <c r="C1393" s="18" t="n"/>
      <c r="J1393" s="19" t="n"/>
      <c r="P1393" s="20" t="n"/>
      <c r="Q1393" s="19" t="n"/>
      <c r="R1393" s="19" t="n"/>
      <c r="Y1393" s="19" t="n"/>
    </row>
    <row r="1394">
      <c r="C1394" s="18" t="n"/>
      <c r="J1394" s="19" t="n"/>
      <c r="P1394" s="20" t="n"/>
      <c r="Q1394" s="19" t="n"/>
      <c r="R1394" s="19" t="n"/>
      <c r="Y1394" s="19" t="n"/>
    </row>
    <row r="1395">
      <c r="C1395" s="18" t="n"/>
      <c r="J1395" s="19" t="n"/>
      <c r="P1395" s="20" t="n"/>
      <c r="Q1395" s="19" t="n"/>
      <c r="R1395" s="19" t="n"/>
      <c r="Y1395" s="19" t="n"/>
    </row>
    <row r="1396">
      <c r="C1396" s="18" t="n"/>
      <c r="J1396" s="19" t="n"/>
      <c r="P1396" s="20" t="n"/>
      <c r="Q1396" s="19" t="n"/>
      <c r="R1396" s="19" t="n"/>
      <c r="Y1396" s="19" t="n"/>
    </row>
    <row r="1397">
      <c r="C1397" s="18" t="n"/>
      <c r="J1397" s="19" t="n"/>
      <c r="P1397" s="20" t="n"/>
      <c r="Q1397" s="19" t="n"/>
      <c r="R1397" s="19" t="n"/>
      <c r="Y1397" s="19" t="n"/>
    </row>
    <row r="1398">
      <c r="C1398" s="18" t="n"/>
      <c r="J1398" s="19" t="n"/>
      <c r="P1398" s="20" t="n"/>
      <c r="Q1398" s="19" t="n"/>
      <c r="R1398" s="19" t="n"/>
      <c r="Y1398" s="19" t="n"/>
    </row>
    <row r="1399">
      <c r="C1399" s="18" t="n"/>
      <c r="J1399" s="19" t="n"/>
      <c r="P1399" s="20" t="n"/>
      <c r="Q1399" s="19" t="n"/>
      <c r="R1399" s="19" t="n"/>
      <c r="Y1399" s="19" t="n"/>
    </row>
    <row r="1400">
      <c r="C1400" s="18" t="n"/>
      <c r="J1400" s="19" t="n"/>
      <c r="P1400" s="20" t="n"/>
      <c r="Q1400" s="19" t="n"/>
      <c r="R1400" s="19" t="n"/>
      <c r="Y1400" s="19" t="n"/>
    </row>
    <row r="1401">
      <c r="C1401" s="18" t="n"/>
      <c r="J1401" s="19" t="n"/>
      <c r="P1401" s="20" t="n"/>
      <c r="Q1401" s="19" t="n"/>
      <c r="R1401" s="19" t="n"/>
      <c r="Y1401" s="19" t="n"/>
    </row>
    <row r="1402">
      <c r="C1402" s="18" t="n"/>
      <c r="J1402" s="19" t="n"/>
      <c r="P1402" s="20" t="n"/>
      <c r="Q1402" s="19" t="n"/>
      <c r="R1402" s="19" t="n"/>
      <c r="Y1402" s="19" t="n"/>
    </row>
    <row r="1403">
      <c r="C1403" s="18" t="n"/>
      <c r="J1403" s="19" t="n"/>
      <c r="P1403" s="20" t="n"/>
      <c r="Q1403" s="19" t="n"/>
      <c r="R1403" s="19" t="n"/>
      <c r="Y1403" s="19" t="n"/>
    </row>
    <row r="1404">
      <c r="C1404" s="18" t="n"/>
      <c r="J1404" s="19" t="n"/>
      <c r="P1404" s="20" t="n"/>
      <c r="Q1404" s="19" t="n"/>
      <c r="R1404" s="19" t="n"/>
      <c r="Y1404" s="19" t="n"/>
    </row>
    <row r="1405">
      <c r="C1405" s="18" t="n"/>
      <c r="J1405" s="19" t="n"/>
      <c r="P1405" s="20" t="n"/>
      <c r="Q1405" s="19" t="n"/>
      <c r="R1405" s="19" t="n"/>
      <c r="Y1405" s="19" t="n"/>
    </row>
    <row r="1406">
      <c r="C1406" s="18" t="n"/>
      <c r="J1406" s="19" t="n"/>
      <c r="P1406" s="20" t="n"/>
      <c r="Q1406" s="19" t="n"/>
      <c r="R1406" s="19" t="n"/>
      <c r="Y1406" s="19" t="n"/>
    </row>
    <row r="1407">
      <c r="C1407" s="18" t="n"/>
      <c r="J1407" s="19" t="n"/>
      <c r="P1407" s="20" t="n"/>
      <c r="Q1407" s="19" t="n"/>
      <c r="R1407" s="19" t="n"/>
      <c r="Y1407" s="19" t="n"/>
    </row>
    <row r="1408">
      <c r="C1408" s="18" t="n"/>
      <c r="J1408" s="19" t="n"/>
      <c r="P1408" s="20" t="n"/>
      <c r="Q1408" s="19" t="n"/>
      <c r="R1408" s="19" t="n"/>
      <c r="Y1408" s="19" t="n"/>
    </row>
    <row r="1409">
      <c r="C1409" s="18" t="n"/>
      <c r="J1409" s="19" t="n"/>
      <c r="P1409" s="20" t="n"/>
      <c r="Q1409" s="19" t="n"/>
      <c r="R1409" s="19" t="n"/>
      <c r="Y1409" s="19" t="n"/>
    </row>
    <row r="1410">
      <c r="C1410" s="18" t="n"/>
      <c r="J1410" s="19" t="n"/>
      <c r="P1410" s="20" t="n"/>
      <c r="Q1410" s="19" t="n"/>
      <c r="R1410" s="19" t="n"/>
      <c r="Y1410" s="19" t="n"/>
    </row>
    <row r="1411">
      <c r="C1411" s="18" t="n"/>
      <c r="J1411" s="19" t="n"/>
      <c r="P1411" s="20" t="n"/>
      <c r="Q1411" s="19" t="n"/>
      <c r="R1411" s="19" t="n"/>
      <c r="Y1411" s="19" t="n"/>
    </row>
    <row r="1412">
      <c r="C1412" s="18" t="n"/>
      <c r="J1412" s="19" t="n"/>
      <c r="P1412" s="20" t="n"/>
      <c r="Q1412" s="19" t="n"/>
      <c r="R1412" s="19" t="n"/>
      <c r="Y1412" s="19" t="n"/>
    </row>
    <row r="1413">
      <c r="C1413" s="18" t="n"/>
      <c r="J1413" s="19" t="n"/>
      <c r="P1413" s="20" t="n"/>
      <c r="Q1413" s="19" t="n"/>
      <c r="R1413" s="19" t="n"/>
      <c r="Y1413" s="19" t="n"/>
    </row>
    <row r="1414">
      <c r="C1414" s="18" t="n"/>
      <c r="J1414" s="19" t="n"/>
      <c r="P1414" s="20" t="n"/>
      <c r="Q1414" s="19" t="n"/>
      <c r="R1414" s="19" t="n"/>
      <c r="Y1414" s="19" t="n"/>
    </row>
    <row r="1415">
      <c r="C1415" s="18" t="n"/>
      <c r="J1415" s="19" t="n"/>
      <c r="P1415" s="20" t="n"/>
      <c r="Q1415" s="19" t="n"/>
      <c r="R1415" s="19" t="n"/>
      <c r="Y1415" s="19" t="n"/>
    </row>
    <row r="1416">
      <c r="C1416" s="18" t="n"/>
      <c r="J1416" s="19" t="n"/>
      <c r="P1416" s="20" t="n"/>
      <c r="Q1416" s="19" t="n"/>
      <c r="R1416" s="19" t="n"/>
      <c r="Y1416" s="19" t="n"/>
    </row>
    <row r="1417">
      <c r="C1417" s="18" t="n"/>
      <c r="J1417" s="19" t="n"/>
      <c r="P1417" s="20" t="n"/>
      <c r="Q1417" s="19" t="n"/>
      <c r="R1417" s="19" t="n"/>
      <c r="Y1417" s="19" t="n"/>
    </row>
    <row r="1418">
      <c r="C1418" s="18" t="n"/>
      <c r="J1418" s="19" t="n"/>
      <c r="P1418" s="20" t="n"/>
      <c r="Q1418" s="19" t="n"/>
      <c r="R1418" s="19" t="n"/>
      <c r="Y1418" s="19" t="n"/>
    </row>
    <row r="1419">
      <c r="C1419" s="18" t="n"/>
      <c r="J1419" s="19" t="n"/>
      <c r="P1419" s="20" t="n"/>
      <c r="Q1419" s="19" t="n"/>
      <c r="R1419" s="19" t="n"/>
      <c r="Y1419" s="19" t="n"/>
    </row>
    <row r="1420">
      <c r="C1420" s="18" t="n"/>
      <c r="J1420" s="19" t="n"/>
      <c r="P1420" s="20" t="n"/>
      <c r="Q1420" s="19" t="n"/>
      <c r="R1420" s="19" t="n"/>
      <c r="Y1420" s="19" t="n"/>
    </row>
    <row r="1421">
      <c r="C1421" s="18" t="n"/>
      <c r="J1421" s="19" t="n"/>
      <c r="P1421" s="20" t="n"/>
      <c r="Q1421" s="19" t="n"/>
      <c r="R1421" s="19" t="n"/>
      <c r="Y1421" s="19" t="n"/>
    </row>
    <row r="1422">
      <c r="C1422" s="18" t="n"/>
      <c r="J1422" s="19" t="n"/>
      <c r="P1422" s="20" t="n"/>
      <c r="Q1422" s="19" t="n"/>
      <c r="R1422" s="19" t="n"/>
      <c r="Y1422" s="19" t="n"/>
    </row>
    <row r="1423">
      <c r="C1423" s="18" t="n"/>
      <c r="J1423" s="19" t="n"/>
      <c r="P1423" s="20" t="n"/>
      <c r="Q1423" s="19" t="n"/>
      <c r="R1423" s="19" t="n"/>
      <c r="Y1423" s="19" t="n"/>
    </row>
    <row r="1424">
      <c r="C1424" s="18" t="n"/>
      <c r="J1424" s="19" t="n"/>
      <c r="P1424" s="20" t="n"/>
      <c r="Q1424" s="19" t="n"/>
      <c r="R1424" s="19" t="n"/>
      <c r="Y1424" s="19" t="n"/>
    </row>
    <row r="1425">
      <c r="C1425" s="18" t="n"/>
      <c r="J1425" s="19" t="n"/>
      <c r="P1425" s="20" t="n"/>
      <c r="Q1425" s="19" t="n"/>
      <c r="R1425" s="19" t="n"/>
      <c r="Y1425" s="19" t="n"/>
    </row>
    <row r="1426">
      <c r="C1426" s="18" t="n"/>
      <c r="J1426" s="19" t="n"/>
      <c r="P1426" s="20" t="n"/>
      <c r="Q1426" s="19" t="n"/>
      <c r="R1426" s="19" t="n"/>
      <c r="Y1426" s="19" t="n"/>
    </row>
    <row r="1427">
      <c r="C1427" s="18" t="n"/>
      <c r="J1427" s="19" t="n"/>
      <c r="P1427" s="20" t="n"/>
      <c r="Q1427" s="19" t="n"/>
      <c r="R1427" s="19" t="n"/>
      <c r="Y1427" s="19" t="n"/>
    </row>
    <row r="1428">
      <c r="C1428" s="18" t="n"/>
      <c r="J1428" s="19" t="n"/>
      <c r="P1428" s="20" t="n"/>
      <c r="Q1428" s="19" t="n"/>
      <c r="R1428" s="19" t="n"/>
      <c r="Y1428" s="19" t="n"/>
    </row>
    <row r="1429">
      <c r="C1429" s="18" t="n"/>
      <c r="J1429" s="19" t="n"/>
      <c r="P1429" s="20" t="n"/>
      <c r="Q1429" s="19" t="n"/>
      <c r="R1429" s="19" t="n"/>
      <c r="Y1429" s="19" t="n"/>
    </row>
    <row r="1430">
      <c r="C1430" s="18" t="n"/>
      <c r="J1430" s="19" t="n"/>
      <c r="P1430" s="20" t="n"/>
      <c r="Q1430" s="19" t="n"/>
      <c r="R1430" s="19" t="n"/>
      <c r="Y1430" s="19" t="n"/>
    </row>
    <row r="1431">
      <c r="C1431" s="18" t="n"/>
      <c r="J1431" s="19" t="n"/>
      <c r="P1431" s="20" t="n"/>
      <c r="Q1431" s="19" t="n"/>
      <c r="R1431" s="19" t="n"/>
      <c r="Y1431" s="19" t="n"/>
    </row>
    <row r="1432">
      <c r="C1432" s="18" t="n"/>
      <c r="J1432" s="19" t="n"/>
      <c r="P1432" s="20" t="n"/>
      <c r="Q1432" s="19" t="n"/>
      <c r="R1432" s="19" t="n"/>
      <c r="Y1432" s="19" t="n"/>
    </row>
    <row r="1433">
      <c r="C1433" s="18" t="n"/>
      <c r="J1433" s="19" t="n"/>
      <c r="P1433" s="20" t="n"/>
      <c r="Q1433" s="19" t="n"/>
      <c r="R1433" s="19" t="n"/>
      <c r="Y1433" s="19" t="n"/>
    </row>
    <row r="1434">
      <c r="C1434" s="18" t="n"/>
      <c r="J1434" s="19" t="n"/>
      <c r="P1434" s="20" t="n"/>
      <c r="Q1434" s="19" t="n"/>
      <c r="R1434" s="19" t="n"/>
      <c r="Y1434" s="19" t="n"/>
    </row>
    <row r="1435">
      <c r="C1435" s="18" t="n"/>
      <c r="J1435" s="19" t="n"/>
      <c r="P1435" s="20" t="n"/>
      <c r="Q1435" s="19" t="n"/>
      <c r="R1435" s="19" t="n"/>
      <c r="Y1435" s="19" t="n"/>
    </row>
    <row r="1436">
      <c r="C1436" s="18" t="n"/>
      <c r="J1436" s="19" t="n"/>
      <c r="P1436" s="20" t="n"/>
      <c r="Q1436" s="19" t="n"/>
      <c r="R1436" s="19" t="n"/>
      <c r="Y1436" s="19" t="n"/>
    </row>
    <row r="1437">
      <c r="C1437" s="18" t="n"/>
      <c r="J1437" s="19" t="n"/>
      <c r="P1437" s="20" t="n"/>
      <c r="Q1437" s="19" t="n"/>
      <c r="R1437" s="19" t="n"/>
      <c r="Y1437" s="19" t="n"/>
    </row>
    <row r="1438">
      <c r="C1438" s="18" t="n"/>
      <c r="J1438" s="19" t="n"/>
      <c r="P1438" s="20" t="n"/>
      <c r="Q1438" s="19" t="n"/>
      <c r="R1438" s="19" t="n"/>
      <c r="Y1438" s="19" t="n"/>
    </row>
    <row r="1439">
      <c r="C1439" s="18" t="n"/>
      <c r="J1439" s="19" t="n"/>
      <c r="P1439" s="20" t="n"/>
      <c r="Q1439" s="19" t="n"/>
      <c r="R1439" s="19" t="n"/>
      <c r="Y1439" s="19" t="n"/>
    </row>
    <row r="1440">
      <c r="C1440" s="18" t="n"/>
      <c r="J1440" s="19" t="n"/>
      <c r="P1440" s="20" t="n"/>
      <c r="Q1440" s="19" t="n"/>
      <c r="R1440" s="19" t="n"/>
      <c r="Y1440" s="19" t="n"/>
    </row>
    <row r="1441">
      <c r="C1441" s="18" t="n"/>
      <c r="J1441" s="19" t="n"/>
      <c r="P1441" s="20" t="n"/>
      <c r="Q1441" s="19" t="n"/>
      <c r="R1441" s="19" t="n"/>
      <c r="Y1441" s="19" t="n"/>
    </row>
    <row r="1442">
      <c r="C1442" s="18" t="n"/>
      <c r="J1442" s="19" t="n"/>
      <c r="P1442" s="20" t="n"/>
      <c r="Q1442" s="19" t="n"/>
      <c r="R1442" s="19" t="n"/>
      <c r="Y1442" s="19" t="n"/>
    </row>
    <row r="1443">
      <c r="C1443" s="18" t="n"/>
      <c r="J1443" s="19" t="n"/>
      <c r="P1443" s="20" t="n"/>
      <c r="Q1443" s="19" t="n"/>
      <c r="R1443" s="19" t="n"/>
      <c r="Y1443" s="19" t="n"/>
    </row>
    <row r="1444">
      <c r="C1444" s="18" t="n"/>
      <c r="J1444" s="19" t="n"/>
      <c r="P1444" s="20" t="n"/>
      <c r="Q1444" s="19" t="n"/>
      <c r="R1444" s="19" t="n"/>
      <c r="Y1444" s="19" t="n"/>
    </row>
    <row r="1445">
      <c r="C1445" s="18" t="n"/>
      <c r="J1445" s="19" t="n"/>
      <c r="P1445" s="20" t="n"/>
      <c r="Q1445" s="19" t="n"/>
      <c r="R1445" s="19" t="n"/>
      <c r="Y1445" s="19" t="n"/>
    </row>
    <row r="1446">
      <c r="C1446" s="18" t="n"/>
      <c r="J1446" s="19" t="n"/>
      <c r="P1446" s="20" t="n"/>
      <c r="Q1446" s="19" t="n"/>
      <c r="R1446" s="19" t="n"/>
      <c r="Y1446" s="19" t="n"/>
    </row>
    <row r="1447">
      <c r="C1447" s="18" t="n"/>
      <c r="J1447" s="19" t="n"/>
      <c r="P1447" s="20" t="n"/>
      <c r="Q1447" s="19" t="n"/>
      <c r="R1447" s="19" t="n"/>
      <c r="Y1447" s="19" t="n"/>
    </row>
    <row r="1448">
      <c r="C1448" s="18" t="n"/>
      <c r="J1448" s="19" t="n"/>
      <c r="P1448" s="20" t="n"/>
      <c r="Q1448" s="19" t="n"/>
      <c r="R1448" s="19" t="n"/>
      <c r="Y1448" s="19" t="n"/>
    </row>
    <row r="1449">
      <c r="C1449" s="18" t="n"/>
      <c r="J1449" s="19" t="n"/>
      <c r="P1449" s="20" t="n"/>
      <c r="Q1449" s="19" t="n"/>
      <c r="R1449" s="19" t="n"/>
      <c r="Y1449" s="19" t="n"/>
    </row>
    <row r="1450">
      <c r="C1450" s="18" t="n"/>
      <c r="J1450" s="19" t="n"/>
      <c r="P1450" s="20" t="n"/>
      <c r="Q1450" s="19" t="n"/>
      <c r="R1450" s="19" t="n"/>
      <c r="Y1450" s="19" t="n"/>
    </row>
    <row r="1451">
      <c r="C1451" s="18" t="n"/>
      <c r="J1451" s="19" t="n"/>
      <c r="P1451" s="20" t="n"/>
      <c r="Q1451" s="19" t="n"/>
      <c r="R1451" s="19" t="n"/>
      <c r="Y1451" s="19" t="n"/>
    </row>
    <row r="1452">
      <c r="C1452" s="18" t="n"/>
      <c r="J1452" s="19" t="n"/>
      <c r="P1452" s="20" t="n"/>
      <c r="Q1452" s="19" t="n"/>
      <c r="R1452" s="19" t="n"/>
      <c r="Y1452" s="19" t="n"/>
    </row>
    <row r="1453">
      <c r="C1453" s="18" t="n"/>
      <c r="J1453" s="19" t="n"/>
      <c r="P1453" s="20" t="n"/>
      <c r="Q1453" s="19" t="n"/>
      <c r="R1453" s="19" t="n"/>
      <c r="Y1453" s="19" t="n"/>
    </row>
    <row r="1454">
      <c r="C1454" s="18" t="n"/>
      <c r="J1454" s="19" t="n"/>
      <c r="P1454" s="20" t="n"/>
      <c r="Q1454" s="19" t="n"/>
      <c r="R1454" s="19" t="n"/>
      <c r="Y1454" s="19" t="n"/>
    </row>
    <row r="1455">
      <c r="C1455" s="18" t="n"/>
      <c r="J1455" s="19" t="n"/>
      <c r="P1455" s="20" t="n"/>
      <c r="Q1455" s="19" t="n"/>
      <c r="R1455" s="19" t="n"/>
      <c r="Y1455" s="19" t="n"/>
    </row>
    <row r="1456">
      <c r="C1456" s="18" t="n"/>
      <c r="J1456" s="19" t="n"/>
      <c r="P1456" s="20" t="n"/>
      <c r="Q1456" s="19" t="n"/>
      <c r="R1456" s="19" t="n"/>
      <c r="Y1456" s="19" t="n"/>
    </row>
    <row r="1457">
      <c r="C1457" s="18" t="n"/>
      <c r="J1457" s="19" t="n"/>
      <c r="P1457" s="20" t="n"/>
      <c r="Q1457" s="19" t="n"/>
      <c r="R1457" s="19" t="n"/>
      <c r="Y1457" s="19" t="n"/>
    </row>
    <row r="1458">
      <c r="C1458" s="18" t="n"/>
      <c r="J1458" s="19" t="n"/>
      <c r="P1458" s="20" t="n"/>
      <c r="Q1458" s="19" t="n"/>
      <c r="R1458" s="19" t="n"/>
      <c r="Y1458" s="19" t="n"/>
    </row>
    <row r="1459">
      <c r="C1459" s="18" t="n"/>
      <c r="J1459" s="19" t="n"/>
      <c r="P1459" s="20" t="n"/>
      <c r="Q1459" s="19" t="n"/>
      <c r="R1459" s="19" t="n"/>
      <c r="Y1459" s="19" t="n"/>
    </row>
    <row r="1460">
      <c r="C1460" s="18" t="n"/>
      <c r="J1460" s="19" t="n"/>
      <c r="P1460" s="20" t="n"/>
      <c r="Q1460" s="19" t="n"/>
      <c r="R1460" s="19" t="n"/>
      <c r="Y1460" s="19" t="n"/>
    </row>
    <row r="1461">
      <c r="C1461" s="18" t="n"/>
      <c r="J1461" s="19" t="n"/>
      <c r="P1461" s="20" t="n"/>
      <c r="Q1461" s="19" t="n"/>
      <c r="R1461" s="19" t="n"/>
      <c r="Y1461" s="19" t="n"/>
    </row>
    <row r="1462">
      <c r="C1462" s="18" t="n"/>
      <c r="J1462" s="19" t="n"/>
      <c r="P1462" s="20" t="n"/>
      <c r="Q1462" s="19" t="n"/>
      <c r="R1462" s="19" t="n"/>
      <c r="Y1462" s="19" t="n"/>
    </row>
    <row r="1463">
      <c r="C1463" s="18" t="n"/>
      <c r="J1463" s="19" t="n"/>
      <c r="P1463" s="20" t="n"/>
      <c r="Q1463" s="19" t="n"/>
      <c r="R1463" s="19" t="n"/>
      <c r="Y1463" s="19" t="n"/>
    </row>
    <row r="1464">
      <c r="C1464" s="18" t="n"/>
      <c r="J1464" s="19" t="n"/>
      <c r="P1464" s="20" t="n"/>
      <c r="Q1464" s="19" t="n"/>
      <c r="R1464" s="19" t="n"/>
      <c r="Y1464" s="19" t="n"/>
    </row>
    <row r="1465">
      <c r="C1465" s="18" t="n"/>
      <c r="J1465" s="19" t="n"/>
      <c r="P1465" s="20" t="n"/>
      <c r="Q1465" s="19" t="n"/>
      <c r="R1465" s="19" t="n"/>
      <c r="Y1465" s="19" t="n"/>
    </row>
    <row r="1466">
      <c r="C1466" s="18" t="n"/>
      <c r="J1466" s="19" t="n"/>
      <c r="P1466" s="20" t="n"/>
      <c r="Q1466" s="19" t="n"/>
      <c r="R1466" s="19" t="n"/>
      <c r="Y1466" s="19" t="n"/>
    </row>
    <row r="1467">
      <c r="C1467" s="18" t="n"/>
      <c r="J1467" s="19" t="n"/>
      <c r="P1467" s="20" t="n"/>
      <c r="Q1467" s="19" t="n"/>
      <c r="R1467" s="19" t="n"/>
      <c r="Y1467" s="19" t="n"/>
    </row>
    <row r="1468">
      <c r="C1468" s="18" t="n"/>
      <c r="J1468" s="19" t="n"/>
      <c r="P1468" s="20" t="n"/>
      <c r="Q1468" s="19" t="n"/>
      <c r="R1468" s="19" t="n"/>
      <c r="Y1468" s="19" t="n"/>
    </row>
    <row r="1469">
      <c r="C1469" s="18" t="n"/>
      <c r="J1469" s="19" t="n"/>
      <c r="P1469" s="20" t="n"/>
      <c r="Q1469" s="19" t="n"/>
      <c r="R1469" s="19" t="n"/>
      <c r="Y1469" s="19" t="n"/>
    </row>
    <row r="1470">
      <c r="C1470" s="18" t="n"/>
      <c r="J1470" s="19" t="n"/>
      <c r="P1470" s="20" t="n"/>
      <c r="Q1470" s="19" t="n"/>
      <c r="R1470" s="19" t="n"/>
      <c r="Y1470" s="19" t="n"/>
    </row>
    <row r="1471">
      <c r="C1471" s="18" t="n"/>
      <c r="J1471" s="19" t="n"/>
      <c r="P1471" s="20" t="n"/>
      <c r="Q1471" s="19" t="n"/>
      <c r="R1471" s="19" t="n"/>
      <c r="Y1471" s="19" t="n"/>
    </row>
    <row r="1472">
      <c r="C1472" s="18" t="n"/>
      <c r="J1472" s="19" t="n"/>
      <c r="P1472" s="20" t="n"/>
      <c r="Q1472" s="19" t="n"/>
      <c r="R1472" s="19" t="n"/>
      <c r="Y1472" s="19" t="n"/>
    </row>
    <row r="1473">
      <c r="C1473" s="18" t="n"/>
      <c r="J1473" s="19" t="n"/>
      <c r="P1473" s="20" t="n"/>
      <c r="Q1473" s="19" t="n"/>
      <c r="R1473" s="19" t="n"/>
      <c r="Y1473" s="19" t="n"/>
    </row>
    <row r="1474">
      <c r="C1474" s="18" t="n"/>
      <c r="J1474" s="19" t="n"/>
      <c r="P1474" s="20" t="n"/>
      <c r="Q1474" s="19" t="n"/>
      <c r="R1474" s="19" t="n"/>
      <c r="Y1474" s="19" t="n"/>
    </row>
    <row r="1475">
      <c r="C1475" s="18" t="n"/>
      <c r="J1475" s="19" t="n"/>
      <c r="P1475" s="20" t="n"/>
      <c r="Q1475" s="19" t="n"/>
      <c r="R1475" s="19" t="n"/>
      <c r="Y1475" s="19" t="n"/>
    </row>
    <row r="1476">
      <c r="C1476" s="18" t="n"/>
      <c r="J1476" s="19" t="n"/>
      <c r="P1476" s="20" t="n"/>
      <c r="Q1476" s="19" t="n"/>
      <c r="R1476" s="19" t="n"/>
      <c r="Y1476" s="19" t="n"/>
    </row>
    <row r="1477">
      <c r="C1477" s="18" t="n"/>
      <c r="J1477" s="19" t="n"/>
      <c r="P1477" s="20" t="n"/>
      <c r="Q1477" s="19" t="n"/>
      <c r="R1477" s="19" t="n"/>
      <c r="Y1477" s="19" t="n"/>
    </row>
    <row r="1478">
      <c r="C1478" s="18" t="n"/>
      <c r="J1478" s="19" t="n"/>
      <c r="P1478" s="20" t="n"/>
      <c r="Q1478" s="19" t="n"/>
      <c r="R1478" s="19" t="n"/>
      <c r="Y1478" s="19" t="n"/>
    </row>
    <row r="1479">
      <c r="C1479" s="18" t="n"/>
      <c r="J1479" s="19" t="n"/>
      <c r="P1479" s="20" t="n"/>
      <c r="Q1479" s="19" t="n"/>
      <c r="R1479" s="19" t="n"/>
      <c r="Y1479" s="19" t="n"/>
    </row>
    <row r="1480">
      <c r="C1480" s="18" t="n"/>
      <c r="J1480" s="19" t="n"/>
      <c r="P1480" s="20" t="n"/>
      <c r="Q1480" s="19" t="n"/>
      <c r="R1480" s="19" t="n"/>
      <c r="Y1480" s="19" t="n"/>
    </row>
    <row r="1481">
      <c r="C1481" s="18" t="n"/>
      <c r="J1481" s="19" t="n"/>
      <c r="P1481" s="20" t="n"/>
      <c r="Q1481" s="19" t="n"/>
      <c r="R1481" s="19" t="n"/>
      <c r="Y1481" s="19" t="n"/>
    </row>
    <row r="1482">
      <c r="C1482" s="18" t="n"/>
      <c r="J1482" s="19" t="n"/>
      <c r="P1482" s="20" t="n"/>
      <c r="Q1482" s="19" t="n"/>
      <c r="R1482" s="19" t="n"/>
      <c r="Y1482" s="19" t="n"/>
    </row>
    <row r="1483">
      <c r="C1483" s="18" t="n"/>
      <c r="J1483" s="19" t="n"/>
      <c r="P1483" s="20" t="n"/>
      <c r="Q1483" s="19" t="n"/>
      <c r="R1483" s="19" t="n"/>
      <c r="Y1483" s="19" t="n"/>
    </row>
    <row r="1484">
      <c r="C1484" s="18" t="n"/>
      <c r="J1484" s="19" t="n"/>
      <c r="P1484" s="20" t="n"/>
      <c r="Q1484" s="19" t="n"/>
      <c r="R1484" s="19" t="n"/>
      <c r="Y1484" s="19" t="n"/>
    </row>
    <row r="1485">
      <c r="C1485" s="18" t="n"/>
      <c r="J1485" s="19" t="n"/>
      <c r="P1485" s="20" t="n"/>
      <c r="Q1485" s="19" t="n"/>
      <c r="R1485" s="19" t="n"/>
      <c r="Y1485" s="19" t="n"/>
    </row>
    <row r="1486">
      <c r="C1486" s="18" t="n"/>
      <c r="J1486" s="19" t="n"/>
      <c r="P1486" s="20" t="n"/>
      <c r="Q1486" s="19" t="n"/>
      <c r="R1486" s="19" t="n"/>
      <c r="Y1486" s="19" t="n"/>
    </row>
    <row r="1487">
      <c r="C1487" s="18" t="n"/>
      <c r="J1487" s="19" t="n"/>
      <c r="P1487" s="20" t="n"/>
      <c r="Q1487" s="19" t="n"/>
      <c r="R1487" s="19" t="n"/>
      <c r="Y1487" s="19" t="n"/>
    </row>
    <row r="1488">
      <c r="C1488" s="18" t="n"/>
      <c r="J1488" s="19" t="n"/>
      <c r="P1488" s="20" t="n"/>
      <c r="Q1488" s="19" t="n"/>
      <c r="R1488" s="19" t="n"/>
      <c r="Y1488" s="19" t="n"/>
    </row>
    <row r="1489">
      <c r="C1489" s="18" t="n"/>
      <c r="J1489" s="19" t="n"/>
      <c r="P1489" s="20" t="n"/>
      <c r="Q1489" s="19" t="n"/>
      <c r="R1489" s="19" t="n"/>
      <c r="Y1489" s="19" t="n"/>
    </row>
    <row r="1490">
      <c r="C1490" s="18" t="n"/>
      <c r="J1490" s="19" t="n"/>
      <c r="P1490" s="20" t="n"/>
      <c r="Q1490" s="19" t="n"/>
      <c r="R1490" s="19" t="n"/>
      <c r="Y1490" s="19" t="n"/>
    </row>
    <row r="1491">
      <c r="C1491" s="18" t="n"/>
      <c r="J1491" s="19" t="n"/>
      <c r="P1491" s="20" t="n"/>
      <c r="Q1491" s="19" t="n"/>
      <c r="R1491" s="19" t="n"/>
      <c r="Y1491" s="19" t="n"/>
    </row>
    <row r="1492">
      <c r="C1492" s="18" t="n"/>
      <c r="J1492" s="19" t="n"/>
      <c r="P1492" s="20" t="n"/>
      <c r="Q1492" s="19" t="n"/>
      <c r="R1492" s="19" t="n"/>
      <c r="Y1492" s="19" t="n"/>
    </row>
    <row r="1493">
      <c r="C1493" s="18" t="n"/>
      <c r="J1493" s="19" t="n"/>
      <c r="P1493" s="20" t="n"/>
      <c r="Q1493" s="19" t="n"/>
      <c r="R1493" s="19" t="n"/>
      <c r="Y1493" s="19" t="n"/>
    </row>
    <row r="1494">
      <c r="C1494" s="18" t="n"/>
      <c r="J1494" s="19" t="n"/>
      <c r="P1494" s="20" t="n"/>
      <c r="Q1494" s="19" t="n"/>
      <c r="R1494" s="19" t="n"/>
      <c r="Y1494" s="19" t="n"/>
    </row>
    <row r="1495">
      <c r="C1495" s="18" t="n"/>
      <c r="J1495" s="19" t="n"/>
      <c r="P1495" s="20" t="n"/>
      <c r="Q1495" s="19" t="n"/>
      <c r="R1495" s="19" t="n"/>
      <c r="Y1495" s="19" t="n"/>
    </row>
    <row r="1496">
      <c r="C1496" s="18" t="n"/>
      <c r="J1496" s="19" t="n"/>
      <c r="P1496" s="20" t="n"/>
      <c r="Q1496" s="19" t="n"/>
      <c r="R1496" s="19" t="n"/>
      <c r="Y1496" s="19" t="n"/>
    </row>
    <row r="1497">
      <c r="C1497" s="18" t="n"/>
      <c r="J1497" s="19" t="n"/>
      <c r="P1497" s="20" t="n"/>
      <c r="Q1497" s="19" t="n"/>
      <c r="R1497" s="19" t="n"/>
      <c r="Y1497" s="19" t="n"/>
    </row>
    <row r="1498">
      <c r="C1498" s="18" t="n"/>
      <c r="J1498" s="19" t="n"/>
      <c r="P1498" s="20" t="n"/>
      <c r="Q1498" s="19" t="n"/>
      <c r="R1498" s="19" t="n"/>
      <c r="Y1498" s="19" t="n"/>
    </row>
    <row r="1499">
      <c r="C1499" s="18" t="n"/>
      <c r="J1499" s="19" t="n"/>
      <c r="P1499" s="20" t="n"/>
      <c r="Q1499" s="19" t="n"/>
      <c r="R1499" s="19" t="n"/>
      <c r="Y1499" s="19" t="n"/>
    </row>
    <row r="1500">
      <c r="C1500" s="18" t="n"/>
      <c r="J1500" s="19" t="n"/>
      <c r="P1500" s="20" t="n"/>
      <c r="Q1500" s="19" t="n"/>
      <c r="R1500" s="19" t="n"/>
      <c r="Y1500" s="19" t="n"/>
    </row>
    <row r="1501">
      <c r="C1501" s="18" t="n"/>
      <c r="J1501" s="19" t="n"/>
      <c r="P1501" s="20" t="n"/>
      <c r="Q1501" s="19" t="n"/>
      <c r="R1501" s="19" t="n"/>
      <c r="Y1501" s="19" t="n"/>
    </row>
    <row r="1502">
      <c r="C1502" s="18" t="n"/>
      <c r="J1502" s="19" t="n"/>
      <c r="P1502" s="20" t="n"/>
      <c r="Q1502" s="19" t="n"/>
      <c r="R1502" s="19" t="n"/>
      <c r="Y1502" s="19" t="n"/>
    </row>
    <row r="1503">
      <c r="C1503" s="18" t="n"/>
      <c r="J1503" s="19" t="n"/>
      <c r="P1503" s="20" t="n"/>
      <c r="Q1503" s="19" t="n"/>
      <c r="R1503" s="19" t="n"/>
      <c r="Y1503" s="19" t="n"/>
    </row>
    <row r="1504">
      <c r="C1504" s="18" t="n"/>
      <c r="J1504" s="19" t="n"/>
      <c r="P1504" s="20" t="n"/>
      <c r="Q1504" s="19" t="n"/>
      <c r="R1504" s="19" t="n"/>
      <c r="Y1504" s="19" t="n"/>
    </row>
    <row r="1505">
      <c r="C1505" s="18" t="n"/>
      <c r="J1505" s="19" t="n"/>
      <c r="P1505" s="20" t="n"/>
      <c r="Q1505" s="19" t="n"/>
      <c r="R1505" s="19" t="n"/>
      <c r="Y1505" s="19" t="n"/>
    </row>
    <row r="1506">
      <c r="C1506" s="18" t="n"/>
      <c r="J1506" s="19" t="n"/>
      <c r="P1506" s="20" t="n"/>
      <c r="Q1506" s="19" t="n"/>
      <c r="R1506" s="19" t="n"/>
      <c r="Y1506" s="19" t="n"/>
    </row>
    <row r="1507">
      <c r="C1507" s="18" t="n"/>
      <c r="J1507" s="19" t="n"/>
      <c r="P1507" s="20" t="n"/>
      <c r="Q1507" s="19" t="n"/>
      <c r="R1507" s="19" t="n"/>
      <c r="Y1507" s="19" t="n"/>
    </row>
    <row r="1508">
      <c r="C1508" s="18" t="n"/>
      <c r="J1508" s="19" t="n"/>
      <c r="P1508" s="20" t="n"/>
      <c r="Q1508" s="19" t="n"/>
      <c r="R1508" s="19" t="n"/>
      <c r="Y1508" s="19" t="n"/>
    </row>
    <row r="1509">
      <c r="C1509" s="18" t="n"/>
      <c r="J1509" s="19" t="n"/>
      <c r="P1509" s="20" t="n"/>
      <c r="Q1509" s="19" t="n"/>
      <c r="R1509" s="19" t="n"/>
      <c r="Y1509" s="19" t="n"/>
    </row>
    <row r="1510">
      <c r="C1510" s="18" t="n"/>
      <c r="J1510" s="19" t="n"/>
      <c r="P1510" s="20" t="n"/>
      <c r="Q1510" s="19" t="n"/>
      <c r="R1510" s="19" t="n"/>
      <c r="Y1510" s="19" t="n"/>
    </row>
    <row r="1511">
      <c r="C1511" s="18" t="n"/>
      <c r="J1511" s="19" t="n"/>
      <c r="P1511" s="20" t="n"/>
      <c r="Q1511" s="19" t="n"/>
      <c r="R1511" s="19" t="n"/>
      <c r="Y1511" s="19" t="n"/>
    </row>
    <row r="1512">
      <c r="C1512" s="18" t="n"/>
      <c r="J1512" s="19" t="n"/>
      <c r="P1512" s="20" t="n"/>
      <c r="Q1512" s="19" t="n"/>
      <c r="R1512" s="19" t="n"/>
      <c r="Y1512" s="19" t="n"/>
    </row>
    <row r="1513">
      <c r="C1513" s="18" t="n"/>
      <c r="J1513" s="19" t="n"/>
      <c r="P1513" s="20" t="n"/>
      <c r="Q1513" s="19" t="n"/>
      <c r="R1513" s="19" t="n"/>
      <c r="Y1513" s="19" t="n"/>
    </row>
    <row r="1514">
      <c r="C1514" s="18" t="n"/>
      <c r="J1514" s="19" t="n"/>
      <c r="P1514" s="20" t="n"/>
      <c r="Q1514" s="19" t="n"/>
      <c r="R1514" s="19" t="n"/>
      <c r="Y1514" s="19" t="n"/>
    </row>
    <row r="1515">
      <c r="C1515" s="18" t="n"/>
      <c r="J1515" s="19" t="n"/>
      <c r="P1515" s="20" t="n"/>
      <c r="Q1515" s="19" t="n"/>
      <c r="R1515" s="19" t="n"/>
      <c r="Y1515" s="19" t="n"/>
    </row>
    <row r="1516">
      <c r="C1516" s="18" t="n"/>
      <c r="J1516" s="19" t="n"/>
      <c r="P1516" s="20" t="n"/>
      <c r="Q1516" s="19" t="n"/>
      <c r="R1516" s="19" t="n"/>
      <c r="Y1516" s="19" t="n"/>
    </row>
    <row r="1517">
      <c r="C1517" s="18" t="n"/>
      <c r="J1517" s="19" t="n"/>
      <c r="P1517" s="20" t="n"/>
      <c r="Q1517" s="19" t="n"/>
      <c r="R1517" s="19" t="n"/>
      <c r="Y1517" s="19" t="n"/>
    </row>
    <row r="1518">
      <c r="C1518" s="18" t="n"/>
      <c r="J1518" s="19" t="n"/>
      <c r="P1518" s="20" t="n"/>
      <c r="Q1518" s="19" t="n"/>
      <c r="R1518" s="19" t="n"/>
      <c r="Y1518" s="19" t="n"/>
    </row>
    <row r="1519">
      <c r="C1519" s="18" t="n"/>
      <c r="J1519" s="19" t="n"/>
      <c r="P1519" s="20" t="n"/>
      <c r="Q1519" s="19" t="n"/>
      <c r="R1519" s="19" t="n"/>
      <c r="Y1519" s="19" t="n"/>
    </row>
    <row r="1520">
      <c r="C1520" s="18" t="n"/>
      <c r="J1520" s="19" t="n"/>
      <c r="P1520" s="20" t="n"/>
      <c r="Q1520" s="19" t="n"/>
      <c r="R1520" s="19" t="n"/>
      <c r="Y1520" s="19" t="n"/>
    </row>
    <row r="1521">
      <c r="C1521" s="18" t="n"/>
      <c r="J1521" s="19" t="n"/>
      <c r="P1521" s="20" t="n"/>
      <c r="Q1521" s="19" t="n"/>
      <c r="R1521" s="19" t="n"/>
      <c r="Y1521" s="19" t="n"/>
    </row>
    <row r="1522">
      <c r="C1522" s="18" t="n"/>
      <c r="J1522" s="19" t="n"/>
      <c r="P1522" s="20" t="n"/>
      <c r="Q1522" s="19" t="n"/>
      <c r="R1522" s="19" t="n"/>
      <c r="Y1522" s="19" t="n"/>
    </row>
    <row r="1523">
      <c r="C1523" s="18" t="n"/>
      <c r="J1523" s="19" t="n"/>
      <c r="P1523" s="20" t="n"/>
      <c r="Q1523" s="19" t="n"/>
      <c r="R1523" s="19" t="n"/>
      <c r="Y1523" s="19" t="n"/>
    </row>
    <row r="1524">
      <c r="C1524" s="18" t="n"/>
      <c r="J1524" s="19" t="n"/>
      <c r="P1524" s="20" t="n"/>
      <c r="Q1524" s="19" t="n"/>
      <c r="R1524" s="19" t="n"/>
      <c r="Y1524" s="19" t="n"/>
    </row>
    <row r="1525">
      <c r="C1525" s="18" t="n"/>
      <c r="J1525" s="19" t="n"/>
      <c r="P1525" s="20" t="n"/>
      <c r="Q1525" s="19" t="n"/>
      <c r="R1525" s="19" t="n"/>
      <c r="Y1525" s="19" t="n"/>
    </row>
    <row r="1526">
      <c r="C1526" s="18" t="n"/>
      <c r="J1526" s="19" t="n"/>
      <c r="P1526" s="20" t="n"/>
      <c r="Q1526" s="19" t="n"/>
      <c r="R1526" s="19" t="n"/>
      <c r="Y1526" s="19" t="n"/>
    </row>
    <row r="1527">
      <c r="C1527" s="18" t="n"/>
      <c r="J1527" s="19" t="n"/>
      <c r="P1527" s="20" t="n"/>
      <c r="Q1527" s="19" t="n"/>
      <c r="R1527" s="19" t="n"/>
      <c r="Y1527" s="19" t="n"/>
    </row>
    <row r="1528">
      <c r="C1528" s="18" t="n"/>
      <c r="J1528" s="19" t="n"/>
      <c r="P1528" s="20" t="n"/>
      <c r="Q1528" s="19" t="n"/>
      <c r="R1528" s="19" t="n"/>
      <c r="Y1528" s="19" t="n"/>
    </row>
    <row r="1529">
      <c r="C1529" s="18" t="n"/>
      <c r="J1529" s="19" t="n"/>
      <c r="P1529" s="20" t="n"/>
      <c r="Q1529" s="19" t="n"/>
      <c r="R1529" s="19" t="n"/>
      <c r="Y1529" s="19" t="n"/>
    </row>
    <row r="1530">
      <c r="C1530" s="18" t="n"/>
      <c r="J1530" s="19" t="n"/>
      <c r="P1530" s="20" t="n"/>
      <c r="Q1530" s="19" t="n"/>
      <c r="R1530" s="19" t="n"/>
      <c r="Y1530" s="19" t="n"/>
    </row>
    <row r="1531">
      <c r="C1531" s="18" t="n"/>
      <c r="J1531" s="19" t="n"/>
      <c r="P1531" s="20" t="n"/>
      <c r="Q1531" s="19" t="n"/>
      <c r="R1531" s="19" t="n"/>
      <c r="Y1531" s="19" t="n"/>
    </row>
    <row r="1532">
      <c r="C1532" s="18" t="n"/>
      <c r="J1532" s="19" t="n"/>
      <c r="P1532" s="20" t="n"/>
      <c r="Q1532" s="19" t="n"/>
      <c r="R1532" s="19" t="n"/>
      <c r="Y1532" s="19" t="n"/>
    </row>
    <row r="1533">
      <c r="C1533" s="18" t="n"/>
      <c r="J1533" s="19" t="n"/>
      <c r="P1533" s="20" t="n"/>
      <c r="Q1533" s="19" t="n"/>
      <c r="R1533" s="19" t="n"/>
      <c r="Y1533" s="19" t="n"/>
    </row>
    <row r="1534">
      <c r="C1534" s="18" t="n"/>
      <c r="J1534" s="19" t="n"/>
      <c r="P1534" s="20" t="n"/>
      <c r="Q1534" s="19" t="n"/>
      <c r="R1534" s="19" t="n"/>
      <c r="Y1534" s="19" t="n"/>
    </row>
    <row r="1535">
      <c r="C1535" s="18" t="n"/>
      <c r="J1535" s="19" t="n"/>
      <c r="P1535" s="20" t="n"/>
      <c r="Q1535" s="19" t="n"/>
      <c r="R1535" s="19" t="n"/>
      <c r="Y1535" s="19" t="n"/>
    </row>
    <row r="1536">
      <c r="C1536" s="18" t="n"/>
      <c r="J1536" s="19" t="n"/>
      <c r="P1536" s="20" t="n"/>
      <c r="Q1536" s="19" t="n"/>
      <c r="R1536" s="19" t="n"/>
      <c r="Y1536" s="19" t="n"/>
    </row>
    <row r="1537">
      <c r="C1537" s="18" t="n"/>
      <c r="J1537" s="19" t="n"/>
      <c r="P1537" s="20" t="n"/>
      <c r="Q1537" s="19" t="n"/>
      <c r="R1537" s="19" t="n"/>
      <c r="Y1537" s="19" t="n"/>
    </row>
    <row r="1538">
      <c r="C1538" s="18" t="n"/>
      <c r="J1538" s="19" t="n"/>
      <c r="P1538" s="20" t="n"/>
      <c r="Q1538" s="19" t="n"/>
      <c r="R1538" s="19" t="n"/>
      <c r="Y1538" s="19" t="n"/>
    </row>
    <row r="1539">
      <c r="C1539" s="18" t="n"/>
      <c r="J1539" s="19" t="n"/>
      <c r="P1539" s="20" t="n"/>
      <c r="Q1539" s="19" t="n"/>
      <c r="R1539" s="19" t="n"/>
      <c r="Y1539" s="19" t="n"/>
    </row>
    <row r="1540">
      <c r="C1540" s="18" t="n"/>
      <c r="J1540" s="19" t="n"/>
      <c r="P1540" s="20" t="n"/>
      <c r="Q1540" s="19" t="n"/>
      <c r="R1540" s="19" t="n"/>
      <c r="Y1540" s="19" t="n"/>
    </row>
    <row r="1541">
      <c r="C1541" s="18" t="n"/>
      <c r="J1541" s="19" t="n"/>
      <c r="P1541" s="20" t="n"/>
      <c r="Q1541" s="19" t="n"/>
      <c r="R1541" s="19" t="n"/>
      <c r="Y1541" s="19" t="n"/>
    </row>
    <row r="1542">
      <c r="C1542" s="18" t="n"/>
      <c r="J1542" s="19" t="n"/>
      <c r="P1542" s="20" t="n"/>
      <c r="Q1542" s="19" t="n"/>
      <c r="R1542" s="19" t="n"/>
      <c r="Y1542" s="19" t="n"/>
    </row>
    <row r="1543">
      <c r="C1543" s="18" t="n"/>
      <c r="J1543" s="19" t="n"/>
      <c r="P1543" s="20" t="n"/>
      <c r="Q1543" s="19" t="n"/>
      <c r="R1543" s="19" t="n"/>
      <c r="Y1543" s="19" t="n"/>
    </row>
    <row r="1544">
      <c r="C1544" s="18" t="n"/>
      <c r="J1544" s="19" t="n"/>
      <c r="P1544" s="20" t="n"/>
      <c r="Q1544" s="19" t="n"/>
      <c r="R1544" s="19" t="n"/>
      <c r="Y1544" s="19" t="n"/>
    </row>
    <row r="1545">
      <c r="C1545" s="18" t="n"/>
      <c r="J1545" s="19" t="n"/>
      <c r="P1545" s="20" t="n"/>
      <c r="Q1545" s="19" t="n"/>
      <c r="R1545" s="19" t="n"/>
      <c r="Y1545" s="19" t="n"/>
    </row>
    <row r="1546">
      <c r="C1546" s="18" t="n"/>
      <c r="J1546" s="19" t="n"/>
      <c r="P1546" s="20" t="n"/>
      <c r="Q1546" s="19" t="n"/>
      <c r="R1546" s="19" t="n"/>
      <c r="Y1546" s="19" t="n"/>
    </row>
    <row r="1547">
      <c r="C1547" s="18" t="n"/>
      <c r="J1547" s="19" t="n"/>
      <c r="P1547" s="20" t="n"/>
      <c r="Q1547" s="19" t="n"/>
      <c r="R1547" s="19" t="n"/>
      <c r="Y1547" s="19" t="n"/>
    </row>
    <row r="1548">
      <c r="C1548" s="18" t="n"/>
      <c r="J1548" s="19" t="n"/>
      <c r="P1548" s="20" t="n"/>
      <c r="Q1548" s="19" t="n"/>
      <c r="R1548" s="19" t="n"/>
      <c r="Y1548" s="19" t="n"/>
    </row>
    <row r="1549">
      <c r="C1549" s="18" t="n"/>
      <c r="J1549" s="19" t="n"/>
      <c r="P1549" s="20" t="n"/>
      <c r="Q1549" s="19" t="n"/>
      <c r="R1549" s="19" t="n"/>
      <c r="Y1549" s="19" t="n"/>
    </row>
    <row r="1550">
      <c r="C1550" s="18" t="n"/>
      <c r="J1550" s="19" t="n"/>
      <c r="P1550" s="20" t="n"/>
      <c r="Q1550" s="19" t="n"/>
      <c r="R1550" s="19" t="n"/>
      <c r="Y1550" s="19" t="n"/>
    </row>
    <row r="1551">
      <c r="C1551" s="18" t="n"/>
      <c r="J1551" s="19" t="n"/>
      <c r="P1551" s="20" t="n"/>
      <c r="Q1551" s="19" t="n"/>
      <c r="R1551" s="19" t="n"/>
      <c r="Y1551" s="19" t="n"/>
    </row>
    <row r="1552">
      <c r="C1552" s="18" t="n"/>
      <c r="J1552" s="19" t="n"/>
      <c r="P1552" s="20" t="n"/>
      <c r="Q1552" s="19" t="n"/>
      <c r="R1552" s="19" t="n"/>
      <c r="Y1552" s="19" t="n"/>
    </row>
    <row r="1553">
      <c r="C1553" s="18" t="n"/>
      <c r="J1553" s="19" t="n"/>
      <c r="P1553" s="20" t="n"/>
      <c r="Q1553" s="19" t="n"/>
      <c r="R1553" s="19" t="n"/>
      <c r="Y1553" s="19" t="n"/>
    </row>
    <row r="1554">
      <c r="C1554" s="18" t="n"/>
      <c r="J1554" s="19" t="n"/>
      <c r="P1554" s="20" t="n"/>
      <c r="Q1554" s="19" t="n"/>
      <c r="R1554" s="19" t="n"/>
      <c r="Y1554" s="19" t="n"/>
    </row>
    <row r="1555">
      <c r="C1555" s="18" t="n"/>
      <c r="J1555" s="19" t="n"/>
      <c r="P1555" s="20" t="n"/>
      <c r="Q1555" s="19" t="n"/>
      <c r="R1555" s="19" t="n"/>
      <c r="Y1555" s="19" t="n"/>
    </row>
    <row r="1556">
      <c r="C1556" s="18" t="n"/>
      <c r="J1556" s="19" t="n"/>
      <c r="P1556" s="20" t="n"/>
      <c r="Q1556" s="19" t="n"/>
      <c r="R1556" s="19" t="n"/>
      <c r="Y1556" s="19" t="n"/>
    </row>
    <row r="1557">
      <c r="C1557" s="18" t="n"/>
      <c r="J1557" s="19" t="n"/>
      <c r="P1557" s="20" t="n"/>
      <c r="Q1557" s="19" t="n"/>
      <c r="R1557" s="19" t="n"/>
      <c r="Y1557" s="19" t="n"/>
    </row>
    <row r="1558">
      <c r="C1558" s="18" t="n"/>
      <c r="J1558" s="19" t="n"/>
      <c r="P1558" s="20" t="n"/>
      <c r="Q1558" s="19" t="n"/>
      <c r="R1558" s="19" t="n"/>
      <c r="Y1558" s="19" t="n"/>
    </row>
    <row r="1559">
      <c r="C1559" s="18" t="n"/>
      <c r="J1559" s="19" t="n"/>
      <c r="P1559" s="20" t="n"/>
      <c r="Q1559" s="19" t="n"/>
      <c r="R1559" s="19" t="n"/>
      <c r="Y1559" s="19" t="n"/>
    </row>
    <row r="1560">
      <c r="C1560" s="18" t="n"/>
      <c r="J1560" s="19" t="n"/>
      <c r="P1560" s="20" t="n"/>
      <c r="Q1560" s="19" t="n"/>
      <c r="R1560" s="19" t="n"/>
      <c r="Y1560" s="19" t="n"/>
    </row>
    <row r="1561">
      <c r="C1561" s="18" t="n"/>
      <c r="J1561" s="19" t="n"/>
      <c r="P1561" s="20" t="n"/>
      <c r="Q1561" s="19" t="n"/>
      <c r="R1561" s="19" t="n"/>
      <c r="Y1561" s="19" t="n"/>
    </row>
    <row r="1562">
      <c r="C1562" s="18" t="n"/>
      <c r="J1562" s="19" t="n"/>
      <c r="P1562" s="20" t="n"/>
      <c r="Q1562" s="19" t="n"/>
      <c r="R1562" s="19" t="n"/>
      <c r="Y1562" s="19" t="n"/>
    </row>
    <row r="1563">
      <c r="C1563" s="18" t="n"/>
      <c r="J1563" s="19" t="n"/>
      <c r="P1563" s="20" t="n"/>
      <c r="Q1563" s="19" t="n"/>
      <c r="R1563" s="19" t="n"/>
      <c r="Y1563" s="19" t="n"/>
    </row>
    <row r="1564">
      <c r="C1564" s="18" t="n"/>
      <c r="J1564" s="19" t="n"/>
      <c r="P1564" s="20" t="n"/>
      <c r="Q1564" s="19" t="n"/>
      <c r="R1564" s="19" t="n"/>
      <c r="Y1564" s="19" t="n"/>
    </row>
    <row r="1565">
      <c r="C1565" s="18" t="n"/>
      <c r="J1565" s="19" t="n"/>
      <c r="P1565" s="20" t="n"/>
      <c r="Q1565" s="19" t="n"/>
      <c r="R1565" s="19" t="n"/>
      <c r="Y1565" s="19" t="n"/>
    </row>
    <row r="1566">
      <c r="C1566" s="18" t="n"/>
      <c r="J1566" s="19" t="n"/>
      <c r="P1566" s="20" t="n"/>
      <c r="Q1566" s="19" t="n"/>
      <c r="R1566" s="19" t="n"/>
      <c r="Y1566" s="19" t="n"/>
    </row>
    <row r="1567">
      <c r="C1567" s="18" t="n"/>
      <c r="J1567" s="19" t="n"/>
      <c r="P1567" s="20" t="n"/>
      <c r="Q1567" s="19" t="n"/>
      <c r="R1567" s="19" t="n"/>
      <c r="Y1567" s="19" t="n"/>
    </row>
    <row r="1568">
      <c r="C1568" s="18" t="n"/>
      <c r="J1568" s="19" t="n"/>
      <c r="P1568" s="20" t="n"/>
      <c r="Q1568" s="19" t="n"/>
      <c r="R1568" s="19" t="n"/>
      <c r="Y1568" s="19" t="n"/>
    </row>
    <row r="1569">
      <c r="C1569" s="18" t="n"/>
      <c r="J1569" s="19" t="n"/>
      <c r="P1569" s="20" t="n"/>
      <c r="Q1569" s="19" t="n"/>
      <c r="R1569" s="19" t="n"/>
      <c r="Y1569" s="19" t="n"/>
    </row>
    <row r="1570">
      <c r="C1570" s="18" t="n"/>
      <c r="J1570" s="19" t="n"/>
      <c r="P1570" s="20" t="n"/>
      <c r="Q1570" s="19" t="n"/>
      <c r="R1570" s="19" t="n"/>
      <c r="Y1570" s="19" t="n"/>
    </row>
    <row r="1571">
      <c r="C1571" s="18" t="n"/>
      <c r="J1571" s="19" t="n"/>
      <c r="P1571" s="20" t="n"/>
      <c r="Q1571" s="19" t="n"/>
      <c r="R1571" s="19" t="n"/>
      <c r="Y1571" s="19" t="n"/>
    </row>
    <row r="1572">
      <c r="C1572" s="18" t="n"/>
      <c r="J1572" s="19" t="n"/>
      <c r="P1572" s="20" t="n"/>
      <c r="Q1572" s="19" t="n"/>
      <c r="R1572" s="19" t="n"/>
      <c r="Y1572" s="19" t="n"/>
    </row>
    <row r="1573">
      <c r="C1573" s="18" t="n"/>
      <c r="J1573" s="19" t="n"/>
      <c r="P1573" s="20" t="n"/>
      <c r="Q1573" s="19" t="n"/>
      <c r="R1573" s="19" t="n"/>
      <c r="Y1573" s="19" t="n"/>
    </row>
    <row r="1574">
      <c r="C1574" s="18" t="n"/>
      <c r="J1574" s="19" t="n"/>
      <c r="P1574" s="20" t="n"/>
      <c r="Q1574" s="19" t="n"/>
      <c r="R1574" s="19" t="n"/>
      <c r="Y1574" s="19" t="n"/>
    </row>
    <row r="1575">
      <c r="C1575" s="18" t="n"/>
      <c r="J1575" s="19" t="n"/>
      <c r="P1575" s="20" t="n"/>
      <c r="Q1575" s="19" t="n"/>
      <c r="R1575" s="19" t="n"/>
      <c r="Y1575" s="19" t="n"/>
    </row>
    <row r="1576">
      <c r="C1576" s="18" t="n"/>
      <c r="J1576" s="19" t="n"/>
      <c r="P1576" s="20" t="n"/>
      <c r="Q1576" s="19" t="n"/>
      <c r="R1576" s="19" t="n"/>
      <c r="Y1576" s="19" t="n"/>
    </row>
    <row r="1577">
      <c r="C1577" s="18" t="n"/>
      <c r="J1577" s="19" t="n"/>
      <c r="P1577" s="20" t="n"/>
      <c r="Q1577" s="19" t="n"/>
      <c r="R1577" s="19" t="n"/>
      <c r="Y1577" s="19" t="n"/>
    </row>
    <row r="1578">
      <c r="C1578" s="18" t="n"/>
      <c r="J1578" s="19" t="n"/>
      <c r="P1578" s="20" t="n"/>
      <c r="Q1578" s="19" t="n"/>
      <c r="R1578" s="19" t="n"/>
      <c r="Y1578" s="19" t="n"/>
    </row>
    <row r="1579">
      <c r="C1579" s="18" t="n"/>
      <c r="J1579" s="19" t="n"/>
      <c r="P1579" s="20" t="n"/>
      <c r="Q1579" s="19" t="n"/>
      <c r="R1579" s="19" t="n"/>
      <c r="Y1579" s="19" t="n"/>
    </row>
    <row r="1580">
      <c r="C1580" s="18" t="n"/>
      <c r="J1580" s="19" t="n"/>
      <c r="P1580" s="20" t="n"/>
      <c r="Q1580" s="19" t="n"/>
      <c r="R1580" s="19" t="n"/>
      <c r="Y1580" s="19" t="n"/>
    </row>
    <row r="1581">
      <c r="C1581" s="18" t="n"/>
      <c r="J1581" s="19" t="n"/>
      <c r="P1581" s="20" t="n"/>
      <c r="Q1581" s="19" t="n"/>
      <c r="R1581" s="19" t="n"/>
      <c r="Y1581" s="19" t="n"/>
    </row>
    <row r="1582">
      <c r="C1582" s="18" t="n"/>
      <c r="J1582" s="19" t="n"/>
      <c r="P1582" s="20" t="n"/>
      <c r="Q1582" s="19" t="n"/>
      <c r="R1582" s="19" t="n"/>
      <c r="Y1582" s="19" t="n"/>
    </row>
    <row r="1583">
      <c r="C1583" s="18" t="n"/>
      <c r="J1583" s="19" t="n"/>
      <c r="P1583" s="20" t="n"/>
      <c r="Q1583" s="19" t="n"/>
      <c r="R1583" s="19" t="n"/>
      <c r="Y1583" s="19" t="n"/>
    </row>
    <row r="1584">
      <c r="C1584" s="18" t="n"/>
      <c r="J1584" s="19" t="n"/>
      <c r="P1584" s="20" t="n"/>
      <c r="Q1584" s="19" t="n"/>
      <c r="R1584" s="19" t="n"/>
      <c r="Y1584" s="19" t="n"/>
    </row>
    <row r="1585">
      <c r="C1585" s="18" t="n"/>
      <c r="J1585" s="19" t="n"/>
      <c r="P1585" s="20" t="n"/>
      <c r="Q1585" s="19" t="n"/>
      <c r="R1585" s="19" t="n"/>
      <c r="Y1585" s="19" t="n"/>
    </row>
    <row r="1586">
      <c r="C1586" s="18" t="n"/>
      <c r="J1586" s="19" t="n"/>
      <c r="P1586" s="20" t="n"/>
      <c r="Q1586" s="19" t="n"/>
      <c r="R1586" s="19" t="n"/>
      <c r="Y1586" s="19" t="n"/>
    </row>
    <row r="1587">
      <c r="C1587" s="18" t="n"/>
      <c r="J1587" s="19" t="n"/>
      <c r="P1587" s="20" t="n"/>
      <c r="Q1587" s="19" t="n"/>
      <c r="R1587" s="19" t="n"/>
      <c r="Y1587" s="19" t="n"/>
    </row>
    <row r="1588">
      <c r="C1588" s="18" t="n"/>
      <c r="J1588" s="19" t="n"/>
      <c r="P1588" s="20" t="n"/>
      <c r="Q1588" s="19" t="n"/>
      <c r="R1588" s="19" t="n"/>
      <c r="Y1588" s="19" t="n"/>
    </row>
    <row r="1589">
      <c r="C1589" s="18" t="n"/>
      <c r="J1589" s="19" t="n"/>
      <c r="P1589" s="20" t="n"/>
      <c r="Q1589" s="19" t="n"/>
      <c r="R1589" s="19" t="n"/>
      <c r="Y1589" s="19" t="n"/>
    </row>
    <row r="1590">
      <c r="C1590" s="18" t="n"/>
      <c r="J1590" s="19" t="n"/>
      <c r="P1590" s="20" t="n"/>
      <c r="Q1590" s="19" t="n"/>
      <c r="R1590" s="19" t="n"/>
      <c r="Y1590" s="19" t="n"/>
    </row>
    <row r="1591">
      <c r="C1591" s="18" t="n"/>
      <c r="J1591" s="19" t="n"/>
      <c r="P1591" s="20" t="n"/>
      <c r="Q1591" s="19" t="n"/>
      <c r="R1591" s="19" t="n"/>
      <c r="Y1591" s="19" t="n"/>
    </row>
    <row r="1592">
      <c r="C1592" s="18" t="n"/>
      <c r="J1592" s="19" t="n"/>
      <c r="P1592" s="20" t="n"/>
      <c r="Q1592" s="19" t="n"/>
      <c r="R1592" s="19" t="n"/>
      <c r="Y1592" s="19" t="n"/>
    </row>
    <row r="1593">
      <c r="C1593" s="18" t="n"/>
      <c r="J1593" s="19" t="n"/>
      <c r="P1593" s="20" t="n"/>
      <c r="Q1593" s="19" t="n"/>
      <c r="R1593" s="19" t="n"/>
      <c r="Y1593" s="19" t="n"/>
    </row>
    <row r="1594">
      <c r="C1594" s="18" t="n"/>
      <c r="J1594" s="19" t="n"/>
      <c r="P1594" s="20" t="n"/>
      <c r="Q1594" s="19" t="n"/>
      <c r="R1594" s="19" t="n"/>
      <c r="Y1594" s="19" t="n"/>
    </row>
    <row r="1595">
      <c r="C1595" s="18" t="n"/>
      <c r="J1595" s="19" t="n"/>
      <c r="P1595" s="20" t="n"/>
      <c r="Q1595" s="19" t="n"/>
      <c r="R1595" s="19" t="n"/>
      <c r="Y1595" s="19" t="n"/>
    </row>
    <row r="1596">
      <c r="C1596" s="18" t="n"/>
      <c r="J1596" s="19" t="n"/>
      <c r="P1596" s="20" t="n"/>
      <c r="Q1596" s="19" t="n"/>
      <c r="R1596" s="19" t="n"/>
      <c r="Y1596" s="19" t="n"/>
    </row>
    <row r="1597">
      <c r="C1597" s="18" t="n"/>
      <c r="J1597" s="19" t="n"/>
      <c r="P1597" s="20" t="n"/>
      <c r="Q1597" s="19" t="n"/>
      <c r="R1597" s="19" t="n"/>
      <c r="Y1597" s="19" t="n"/>
    </row>
    <row r="1598">
      <c r="C1598" s="18" t="n"/>
      <c r="J1598" s="19" t="n"/>
      <c r="P1598" s="20" t="n"/>
      <c r="Q1598" s="19" t="n"/>
      <c r="R1598" s="19" t="n"/>
      <c r="Y1598" s="19" t="n"/>
    </row>
    <row r="1599">
      <c r="C1599" s="18" t="n"/>
      <c r="J1599" s="19" t="n"/>
      <c r="P1599" s="20" t="n"/>
      <c r="Q1599" s="19" t="n"/>
      <c r="R1599" s="19" t="n"/>
      <c r="Y1599" s="19" t="n"/>
    </row>
    <row r="1600">
      <c r="C1600" s="18" t="n"/>
      <c r="J1600" s="19" t="n"/>
      <c r="P1600" s="20" t="n"/>
      <c r="Q1600" s="19" t="n"/>
      <c r="R1600" s="19" t="n"/>
      <c r="Y1600" s="19" t="n"/>
    </row>
    <row r="1601">
      <c r="C1601" s="18" t="n"/>
      <c r="J1601" s="19" t="n"/>
      <c r="P1601" s="20" t="n"/>
      <c r="Q1601" s="19" t="n"/>
      <c r="R1601" s="19" t="n"/>
      <c r="Y1601" s="19" t="n"/>
    </row>
    <row r="1602">
      <c r="C1602" s="18" t="n"/>
      <c r="J1602" s="19" t="n"/>
      <c r="P1602" s="20" t="n"/>
      <c r="Q1602" s="19" t="n"/>
      <c r="R1602" s="19" t="n"/>
      <c r="Y1602" s="19" t="n"/>
    </row>
    <row r="1603">
      <c r="C1603" s="18" t="n"/>
      <c r="J1603" s="19" t="n"/>
      <c r="P1603" s="20" t="n"/>
      <c r="Q1603" s="19" t="n"/>
      <c r="R1603" s="19" t="n"/>
      <c r="Y1603" s="19" t="n"/>
    </row>
    <row r="1604">
      <c r="C1604" s="18" t="n"/>
      <c r="J1604" s="19" t="n"/>
      <c r="P1604" s="20" t="n"/>
      <c r="Q1604" s="19" t="n"/>
      <c r="R1604" s="19" t="n"/>
      <c r="Y1604" s="19" t="n"/>
    </row>
    <row r="1605">
      <c r="C1605" s="18" t="n"/>
      <c r="J1605" s="19" t="n"/>
      <c r="P1605" s="20" t="n"/>
      <c r="Q1605" s="19" t="n"/>
      <c r="R1605" s="19" t="n"/>
      <c r="Y1605" s="19" t="n"/>
    </row>
    <row r="1606">
      <c r="C1606" s="18" t="n"/>
      <c r="J1606" s="19" t="n"/>
      <c r="P1606" s="20" t="n"/>
      <c r="Q1606" s="19" t="n"/>
      <c r="R1606" s="19" t="n"/>
      <c r="Y1606" s="19" t="n"/>
    </row>
    <row r="1607">
      <c r="C1607" s="18" t="n"/>
      <c r="J1607" s="19" t="n"/>
      <c r="P1607" s="20" t="n"/>
      <c r="Q1607" s="19" t="n"/>
      <c r="R1607" s="19" t="n"/>
      <c r="Y1607" s="19" t="n"/>
    </row>
    <row r="1608">
      <c r="C1608" s="18" t="n"/>
      <c r="J1608" s="19" t="n"/>
      <c r="P1608" s="20" t="n"/>
      <c r="Q1608" s="19" t="n"/>
      <c r="R1608" s="19" t="n"/>
      <c r="Y1608" s="19" t="n"/>
    </row>
    <row r="1609">
      <c r="C1609" s="18" t="n"/>
      <c r="J1609" s="19" t="n"/>
      <c r="P1609" s="20" t="n"/>
      <c r="Q1609" s="19" t="n"/>
      <c r="R1609" s="19" t="n"/>
      <c r="Y1609" s="19" t="n"/>
    </row>
    <row r="1610">
      <c r="C1610" s="18" t="n"/>
      <c r="J1610" s="19" t="n"/>
      <c r="P1610" s="20" t="n"/>
      <c r="Q1610" s="19" t="n"/>
      <c r="R1610" s="19" t="n"/>
      <c r="Y1610" s="19" t="n"/>
    </row>
    <row r="1611">
      <c r="C1611" s="18" t="n"/>
      <c r="J1611" s="19" t="n"/>
      <c r="P1611" s="20" t="n"/>
      <c r="Q1611" s="19" t="n"/>
      <c r="R1611" s="19" t="n"/>
      <c r="Y1611" s="19" t="n"/>
    </row>
    <row r="1612">
      <c r="C1612" s="18" t="n"/>
      <c r="J1612" s="19" t="n"/>
      <c r="P1612" s="20" t="n"/>
      <c r="Q1612" s="19" t="n"/>
      <c r="R1612" s="19" t="n"/>
      <c r="Y1612" s="19" t="n"/>
    </row>
    <row r="1613">
      <c r="C1613" s="18" t="n"/>
      <c r="J1613" s="19" t="n"/>
      <c r="P1613" s="20" t="n"/>
      <c r="Q1613" s="19" t="n"/>
      <c r="R1613" s="19" t="n"/>
      <c r="Y1613" s="19" t="n"/>
    </row>
    <row r="1614">
      <c r="C1614" s="18" t="n"/>
      <c r="J1614" s="19" t="n"/>
      <c r="P1614" s="20" t="n"/>
      <c r="Q1614" s="19" t="n"/>
      <c r="R1614" s="19" t="n"/>
      <c r="Y1614" s="19" t="n"/>
    </row>
    <row r="1615">
      <c r="C1615" s="18" t="n"/>
      <c r="J1615" s="19" t="n"/>
      <c r="P1615" s="20" t="n"/>
      <c r="Q1615" s="19" t="n"/>
      <c r="R1615" s="19" t="n"/>
      <c r="Y1615" s="19" t="n"/>
    </row>
    <row r="1616">
      <c r="C1616" s="18" t="n"/>
      <c r="J1616" s="19" t="n"/>
      <c r="P1616" s="20" t="n"/>
      <c r="Q1616" s="19" t="n"/>
      <c r="R1616" s="19" t="n"/>
      <c r="Y1616" s="19" t="n"/>
    </row>
    <row r="1617">
      <c r="C1617" s="18" t="n"/>
      <c r="J1617" s="19" t="n"/>
      <c r="P1617" s="20" t="n"/>
      <c r="Q1617" s="19" t="n"/>
      <c r="R1617" s="19" t="n"/>
      <c r="Y1617" s="19" t="n"/>
    </row>
    <row r="1618">
      <c r="C1618" s="18" t="n"/>
      <c r="J1618" s="19" t="n"/>
      <c r="P1618" s="20" t="n"/>
      <c r="Q1618" s="19" t="n"/>
      <c r="R1618" s="19" t="n"/>
      <c r="Y1618" s="19" t="n"/>
    </row>
    <row r="1619">
      <c r="C1619" s="18" t="n"/>
      <c r="J1619" s="19" t="n"/>
      <c r="P1619" s="20" t="n"/>
      <c r="Q1619" s="19" t="n"/>
      <c r="R1619" s="19" t="n"/>
      <c r="Y1619" s="19" t="n"/>
    </row>
    <row r="1620">
      <c r="C1620" s="18" t="n"/>
      <c r="J1620" s="19" t="n"/>
      <c r="P1620" s="20" t="n"/>
      <c r="Q1620" s="19" t="n"/>
      <c r="R1620" s="19" t="n"/>
      <c r="Y1620" s="19" t="n"/>
    </row>
    <row r="1621">
      <c r="C1621" s="18" t="n"/>
      <c r="J1621" s="19" t="n"/>
      <c r="P1621" s="20" t="n"/>
      <c r="Q1621" s="19" t="n"/>
      <c r="R1621" s="19" t="n"/>
      <c r="Y1621" s="19" t="n"/>
    </row>
    <row r="1622">
      <c r="C1622" s="18" t="n"/>
      <c r="J1622" s="19" t="n"/>
      <c r="P1622" s="20" t="n"/>
      <c r="Q1622" s="19" t="n"/>
      <c r="R1622" s="19" t="n"/>
      <c r="Y1622" s="19" t="n"/>
    </row>
    <row r="1623">
      <c r="C1623" s="18" t="n"/>
      <c r="J1623" s="19" t="n"/>
      <c r="P1623" s="20" t="n"/>
      <c r="Q1623" s="19" t="n"/>
      <c r="R1623" s="19" t="n"/>
      <c r="Y1623" s="19" t="n"/>
    </row>
    <row r="1624">
      <c r="C1624" s="18" t="n"/>
      <c r="J1624" s="19" t="n"/>
      <c r="P1624" s="20" t="n"/>
      <c r="Q1624" s="19" t="n"/>
      <c r="R1624" s="19" t="n"/>
      <c r="Y1624" s="19" t="n"/>
    </row>
    <row r="1625">
      <c r="C1625" s="18" t="n"/>
      <c r="J1625" s="19" t="n"/>
      <c r="P1625" s="20" t="n"/>
      <c r="Q1625" s="19" t="n"/>
      <c r="R1625" s="19" t="n"/>
      <c r="Y1625" s="19" t="n"/>
    </row>
    <row r="1626">
      <c r="C1626" s="18" t="n"/>
      <c r="J1626" s="19" t="n"/>
      <c r="P1626" s="20" t="n"/>
      <c r="Q1626" s="19" t="n"/>
      <c r="R1626" s="19" t="n"/>
      <c r="Y1626" s="19" t="n"/>
    </row>
    <row r="1627">
      <c r="C1627" s="18" t="n"/>
      <c r="J1627" s="19" t="n"/>
      <c r="P1627" s="20" t="n"/>
      <c r="Q1627" s="19" t="n"/>
      <c r="R1627" s="19" t="n"/>
      <c r="Y1627" s="19" t="n"/>
    </row>
    <row r="1628">
      <c r="C1628" s="18" t="n"/>
      <c r="J1628" s="19" t="n"/>
      <c r="P1628" s="20" t="n"/>
      <c r="Q1628" s="19" t="n"/>
      <c r="R1628" s="19" t="n"/>
      <c r="Y1628" s="19" t="n"/>
    </row>
    <row r="1629">
      <c r="C1629" s="18" t="n"/>
      <c r="J1629" s="19" t="n"/>
      <c r="P1629" s="20" t="n"/>
      <c r="Q1629" s="19" t="n"/>
      <c r="R1629" s="19" t="n"/>
      <c r="Y1629" s="19" t="n"/>
    </row>
    <row r="1630">
      <c r="C1630" s="18" t="n"/>
      <c r="J1630" s="19" t="n"/>
      <c r="P1630" s="20" t="n"/>
      <c r="Q1630" s="19" t="n"/>
      <c r="R1630" s="19" t="n"/>
      <c r="Y1630" s="19" t="n"/>
    </row>
    <row r="1631">
      <c r="C1631" s="18" t="n"/>
      <c r="J1631" s="19" t="n"/>
      <c r="P1631" s="20" t="n"/>
      <c r="Q1631" s="19" t="n"/>
      <c r="R1631" s="19" t="n"/>
      <c r="Y1631" s="19" t="n"/>
    </row>
    <row r="1632">
      <c r="C1632" s="18" t="n"/>
      <c r="J1632" s="19" t="n"/>
      <c r="P1632" s="20" t="n"/>
      <c r="Q1632" s="19" t="n"/>
      <c r="R1632" s="19" t="n"/>
      <c r="Y1632" s="19" t="n"/>
    </row>
    <row r="1633">
      <c r="C1633" s="18" t="n"/>
      <c r="J1633" s="19" t="n"/>
      <c r="P1633" s="20" t="n"/>
      <c r="Q1633" s="19" t="n"/>
      <c r="R1633" s="19" t="n"/>
      <c r="Y1633" s="19" t="n"/>
    </row>
    <row r="1634">
      <c r="C1634" s="18" t="n"/>
      <c r="J1634" s="19" t="n"/>
      <c r="P1634" s="20" t="n"/>
      <c r="Q1634" s="19" t="n"/>
      <c r="R1634" s="19" t="n"/>
      <c r="Y1634" s="19" t="n"/>
    </row>
    <row r="1635">
      <c r="C1635" s="18" t="n"/>
      <c r="J1635" s="19" t="n"/>
      <c r="P1635" s="20" t="n"/>
      <c r="Q1635" s="19" t="n"/>
      <c r="R1635" s="19" t="n"/>
      <c r="Y1635" s="19" t="n"/>
    </row>
    <row r="1636">
      <c r="C1636" s="18" t="n"/>
      <c r="J1636" s="19" t="n"/>
      <c r="P1636" s="20" t="n"/>
      <c r="Q1636" s="19" t="n"/>
      <c r="R1636" s="19" t="n"/>
      <c r="Y1636" s="19" t="n"/>
    </row>
    <row r="1637">
      <c r="C1637" s="18" t="n"/>
      <c r="J1637" s="19" t="n"/>
      <c r="P1637" s="20" t="n"/>
      <c r="Q1637" s="19" t="n"/>
      <c r="R1637" s="19" t="n"/>
      <c r="Y1637" s="19" t="n"/>
    </row>
    <row r="1638">
      <c r="C1638" s="18" t="n"/>
      <c r="J1638" s="19" t="n"/>
      <c r="P1638" s="20" t="n"/>
      <c r="Q1638" s="19" t="n"/>
      <c r="R1638" s="19" t="n"/>
      <c r="Y1638" s="19" t="n"/>
    </row>
    <row r="1639">
      <c r="C1639" s="18" t="n"/>
      <c r="J1639" s="19" t="n"/>
      <c r="P1639" s="20" t="n"/>
      <c r="Q1639" s="19" t="n"/>
      <c r="R1639" s="19" t="n"/>
      <c r="Y1639" s="19" t="n"/>
    </row>
    <row r="1640">
      <c r="C1640" s="18" t="n"/>
      <c r="J1640" s="19" t="n"/>
      <c r="P1640" s="20" t="n"/>
      <c r="Q1640" s="19" t="n"/>
      <c r="R1640" s="19" t="n"/>
      <c r="Y1640" s="19" t="n"/>
    </row>
    <row r="1641">
      <c r="C1641" s="18" t="n"/>
      <c r="J1641" s="19" t="n"/>
      <c r="P1641" s="20" t="n"/>
      <c r="Q1641" s="19" t="n"/>
      <c r="R1641" s="19" t="n"/>
      <c r="Y1641" s="19" t="n"/>
    </row>
    <row r="1642">
      <c r="C1642" s="18" t="n"/>
      <c r="J1642" s="19" t="n"/>
      <c r="P1642" s="20" t="n"/>
      <c r="Q1642" s="19" t="n"/>
      <c r="R1642" s="19" t="n"/>
      <c r="Y1642" s="19" t="n"/>
    </row>
    <row r="1643">
      <c r="C1643" s="18" t="n"/>
      <c r="J1643" s="19" t="n"/>
      <c r="P1643" s="20" t="n"/>
      <c r="Q1643" s="19" t="n"/>
      <c r="R1643" s="19" t="n"/>
      <c r="Y1643" s="19" t="n"/>
    </row>
    <row r="1644">
      <c r="C1644" s="18" t="n"/>
      <c r="J1644" s="19" t="n"/>
      <c r="P1644" s="20" t="n"/>
      <c r="Q1644" s="19" t="n"/>
      <c r="R1644" s="19" t="n"/>
      <c r="Y1644" s="19" t="n"/>
    </row>
    <row r="1645">
      <c r="C1645" s="18" t="n"/>
      <c r="J1645" s="19" t="n"/>
      <c r="P1645" s="20" t="n"/>
      <c r="Q1645" s="19" t="n"/>
      <c r="R1645" s="19" t="n"/>
      <c r="Y1645" s="19" t="n"/>
    </row>
    <row r="1646">
      <c r="C1646" s="18" t="n"/>
      <c r="J1646" s="19" t="n"/>
      <c r="P1646" s="20" t="n"/>
      <c r="Q1646" s="19" t="n"/>
      <c r="R1646" s="19" t="n"/>
      <c r="Y1646" s="19" t="n"/>
    </row>
    <row r="1647">
      <c r="C1647" s="18" t="n"/>
      <c r="J1647" s="19" t="n"/>
      <c r="P1647" s="20" t="n"/>
      <c r="Q1647" s="19" t="n"/>
      <c r="R1647" s="19" t="n"/>
      <c r="Y1647" s="19" t="n"/>
    </row>
    <row r="1648">
      <c r="C1648" s="18" t="n"/>
      <c r="J1648" s="19" t="n"/>
      <c r="P1648" s="20" t="n"/>
      <c r="Q1648" s="19" t="n"/>
      <c r="R1648" s="19" t="n"/>
      <c r="Y1648" s="19" t="n"/>
    </row>
    <row r="1649">
      <c r="C1649" s="18" t="n"/>
      <c r="J1649" s="19" t="n"/>
      <c r="P1649" s="20" t="n"/>
      <c r="Q1649" s="19" t="n"/>
      <c r="R1649" s="19" t="n"/>
      <c r="Y1649" s="19" t="n"/>
    </row>
    <row r="1650">
      <c r="C1650" s="18" t="n"/>
      <c r="J1650" s="19" t="n"/>
      <c r="P1650" s="20" t="n"/>
      <c r="Q1650" s="19" t="n"/>
      <c r="R1650" s="19" t="n"/>
      <c r="Y1650" s="19" t="n"/>
    </row>
    <row r="1651">
      <c r="C1651" s="18" t="n"/>
      <c r="J1651" s="19" t="n"/>
      <c r="P1651" s="20" t="n"/>
      <c r="Q1651" s="19" t="n"/>
      <c r="R1651" s="19" t="n"/>
      <c r="Y1651" s="19" t="n"/>
    </row>
    <row r="1652">
      <c r="C1652" s="18" t="n"/>
      <c r="J1652" s="19" t="n"/>
      <c r="P1652" s="20" t="n"/>
      <c r="Q1652" s="19" t="n"/>
      <c r="R1652" s="19" t="n"/>
      <c r="Y1652" s="19" t="n"/>
    </row>
    <row r="1653">
      <c r="C1653" s="18" t="n"/>
      <c r="J1653" s="19" t="n"/>
      <c r="P1653" s="20" t="n"/>
      <c r="Q1653" s="19" t="n"/>
      <c r="R1653" s="19" t="n"/>
      <c r="Y1653" s="19" t="n"/>
    </row>
    <row r="1654">
      <c r="C1654" s="18" t="n"/>
      <c r="J1654" s="19" t="n"/>
      <c r="P1654" s="20" t="n"/>
      <c r="Q1654" s="19" t="n"/>
      <c r="R1654" s="19" t="n"/>
      <c r="Y1654" s="19" t="n"/>
    </row>
    <row r="1655">
      <c r="C1655" s="18" t="n"/>
      <c r="J1655" s="19" t="n"/>
      <c r="P1655" s="20" t="n"/>
      <c r="Q1655" s="19" t="n"/>
      <c r="R1655" s="19" t="n"/>
      <c r="Y1655" s="19" t="n"/>
    </row>
    <row r="1656">
      <c r="C1656" s="18" t="n"/>
      <c r="J1656" s="19" t="n"/>
      <c r="P1656" s="20" t="n"/>
      <c r="Q1656" s="19" t="n"/>
      <c r="R1656" s="19" t="n"/>
      <c r="Y1656" s="19" t="n"/>
    </row>
    <row r="1657">
      <c r="C1657" s="18" t="n"/>
      <c r="J1657" s="19" t="n"/>
      <c r="P1657" s="20" t="n"/>
      <c r="Q1657" s="19" t="n"/>
      <c r="R1657" s="19" t="n"/>
      <c r="Y1657" s="19" t="n"/>
    </row>
    <row r="1658">
      <c r="C1658" s="18" t="n"/>
      <c r="J1658" s="19" t="n"/>
      <c r="P1658" s="20" t="n"/>
      <c r="Q1658" s="19" t="n"/>
      <c r="R1658" s="19" t="n"/>
      <c r="Y1658" s="19" t="n"/>
    </row>
    <row r="1659">
      <c r="C1659" s="18" t="n"/>
      <c r="J1659" s="19" t="n"/>
      <c r="P1659" s="20" t="n"/>
      <c r="Q1659" s="19" t="n"/>
      <c r="R1659" s="19" t="n"/>
      <c r="Y1659" s="19" t="n"/>
    </row>
    <row r="1660">
      <c r="C1660" s="18" t="n"/>
      <c r="J1660" s="19" t="n"/>
      <c r="P1660" s="20" t="n"/>
      <c r="Q1660" s="19" t="n"/>
      <c r="R1660" s="19" t="n"/>
      <c r="Y1660" s="19" t="n"/>
    </row>
    <row r="1661">
      <c r="C1661" s="18" t="n"/>
      <c r="J1661" s="19" t="n"/>
      <c r="P1661" s="20" t="n"/>
      <c r="Q1661" s="19" t="n"/>
      <c r="R1661" s="19" t="n"/>
      <c r="Y1661" s="19" t="n"/>
    </row>
    <row r="1662">
      <c r="C1662" s="18" t="n"/>
      <c r="J1662" s="19" t="n"/>
      <c r="P1662" s="20" t="n"/>
      <c r="Q1662" s="19" t="n"/>
      <c r="R1662" s="19" t="n"/>
      <c r="Y1662" s="19" t="n"/>
    </row>
    <row r="1663">
      <c r="C1663" s="18" t="n"/>
      <c r="J1663" s="19" t="n"/>
      <c r="P1663" s="20" t="n"/>
      <c r="Q1663" s="19" t="n"/>
      <c r="R1663" s="19" t="n"/>
      <c r="Y1663" s="19" t="n"/>
    </row>
    <row r="1664">
      <c r="C1664" s="18" t="n"/>
      <c r="J1664" s="19" t="n"/>
      <c r="P1664" s="20" t="n"/>
      <c r="Q1664" s="19" t="n"/>
      <c r="R1664" s="19" t="n"/>
      <c r="Y1664" s="19" t="n"/>
    </row>
    <row r="1665">
      <c r="C1665" s="18" t="n"/>
      <c r="J1665" s="19" t="n"/>
      <c r="P1665" s="20" t="n"/>
      <c r="Q1665" s="19" t="n"/>
      <c r="R1665" s="19" t="n"/>
      <c r="Y1665" s="19" t="n"/>
    </row>
    <row r="1666">
      <c r="C1666" s="18" t="n"/>
      <c r="J1666" s="19" t="n"/>
      <c r="P1666" s="20" t="n"/>
      <c r="Q1666" s="19" t="n"/>
      <c r="R1666" s="19" t="n"/>
      <c r="Y1666" s="19" t="n"/>
    </row>
    <row r="1667">
      <c r="C1667" s="18" t="n"/>
      <c r="J1667" s="19" t="n"/>
      <c r="P1667" s="20" t="n"/>
      <c r="Q1667" s="19" t="n"/>
      <c r="R1667" s="19" t="n"/>
      <c r="Y1667" s="19" t="n"/>
    </row>
    <row r="1668">
      <c r="C1668" s="18" t="n"/>
      <c r="J1668" s="19" t="n"/>
      <c r="P1668" s="20" t="n"/>
      <c r="Q1668" s="19" t="n"/>
      <c r="R1668" s="19" t="n"/>
      <c r="Y1668" s="19" t="n"/>
    </row>
    <row r="1669">
      <c r="C1669" s="18" t="n"/>
      <c r="J1669" s="19" t="n"/>
      <c r="P1669" s="20" t="n"/>
      <c r="Q1669" s="19" t="n"/>
      <c r="R1669" s="19" t="n"/>
      <c r="Y1669" s="19" t="n"/>
    </row>
    <row r="1670">
      <c r="C1670" s="18" t="n"/>
      <c r="J1670" s="19" t="n"/>
      <c r="P1670" s="20" t="n"/>
      <c r="Q1670" s="19" t="n"/>
      <c r="R1670" s="19" t="n"/>
      <c r="Y1670" s="19" t="n"/>
    </row>
    <row r="1671">
      <c r="C1671" s="18" t="n"/>
      <c r="J1671" s="19" t="n"/>
      <c r="P1671" s="20" t="n"/>
      <c r="Q1671" s="19" t="n"/>
      <c r="R1671" s="19" t="n"/>
      <c r="Y1671" s="19" t="n"/>
    </row>
    <row r="1672">
      <c r="C1672" s="18" t="n"/>
      <c r="J1672" s="19" t="n"/>
      <c r="P1672" s="20" t="n"/>
      <c r="Q1672" s="19" t="n"/>
      <c r="R1672" s="19" t="n"/>
      <c r="Y1672" s="19" t="n"/>
    </row>
    <row r="1673">
      <c r="C1673" s="18" t="n"/>
      <c r="J1673" s="19" t="n"/>
      <c r="P1673" s="20" t="n"/>
      <c r="Q1673" s="19" t="n"/>
      <c r="R1673" s="19" t="n"/>
      <c r="Y1673" s="19" t="n"/>
    </row>
    <row r="1674">
      <c r="C1674" s="18" t="n"/>
      <c r="J1674" s="19" t="n"/>
      <c r="P1674" s="20" t="n"/>
      <c r="Q1674" s="19" t="n"/>
      <c r="R1674" s="19" t="n"/>
      <c r="Y1674" s="19" t="n"/>
    </row>
    <row r="1675">
      <c r="C1675" s="18" t="n"/>
      <c r="J1675" s="19" t="n"/>
      <c r="P1675" s="20" t="n"/>
      <c r="Q1675" s="19" t="n"/>
      <c r="R1675" s="19" t="n"/>
      <c r="Y1675" s="19" t="n"/>
    </row>
    <row r="1676">
      <c r="C1676" s="18" t="n"/>
      <c r="J1676" s="19" t="n"/>
      <c r="P1676" s="20" t="n"/>
      <c r="Q1676" s="19" t="n"/>
      <c r="R1676" s="19" t="n"/>
      <c r="Y1676" s="19" t="n"/>
    </row>
    <row r="1677">
      <c r="C1677" s="18" t="n"/>
      <c r="J1677" s="19" t="n"/>
      <c r="P1677" s="20" t="n"/>
      <c r="Q1677" s="19" t="n"/>
      <c r="R1677" s="19" t="n"/>
      <c r="Y1677" s="19" t="n"/>
    </row>
    <row r="1678">
      <c r="C1678" s="18" t="n"/>
      <c r="J1678" s="19" t="n"/>
      <c r="P1678" s="20" t="n"/>
      <c r="Q1678" s="19" t="n"/>
      <c r="R1678" s="19" t="n"/>
      <c r="Y1678" s="19" t="n"/>
    </row>
    <row r="1679">
      <c r="C1679" s="18" t="n"/>
      <c r="J1679" s="19" t="n"/>
      <c r="P1679" s="20" t="n"/>
      <c r="Q1679" s="19" t="n"/>
      <c r="R1679" s="19" t="n"/>
      <c r="Y1679" s="19" t="n"/>
    </row>
    <row r="1680">
      <c r="C1680" s="18" t="n"/>
      <c r="J1680" s="19" t="n"/>
      <c r="P1680" s="20" t="n"/>
      <c r="Q1680" s="19" t="n"/>
      <c r="R1680" s="19" t="n"/>
      <c r="Y1680" s="19" t="n"/>
    </row>
    <row r="1681">
      <c r="C1681" s="18" t="n"/>
      <c r="J1681" s="19" t="n"/>
      <c r="P1681" s="20" t="n"/>
      <c r="Q1681" s="19" t="n"/>
      <c r="R1681" s="19" t="n"/>
      <c r="Y1681" s="19" t="n"/>
    </row>
    <row r="1682">
      <c r="C1682" s="18" t="n"/>
      <c r="J1682" s="19" t="n"/>
      <c r="P1682" s="20" t="n"/>
      <c r="Q1682" s="19" t="n"/>
      <c r="R1682" s="19" t="n"/>
      <c r="Y1682" s="19" t="n"/>
    </row>
    <row r="1683">
      <c r="C1683" s="18" t="n"/>
      <c r="J1683" s="19" t="n"/>
      <c r="P1683" s="20" t="n"/>
      <c r="Q1683" s="19" t="n"/>
      <c r="R1683" s="19" t="n"/>
      <c r="Y1683" s="19" t="n"/>
    </row>
    <row r="1684">
      <c r="C1684" s="18" t="n"/>
      <c r="J1684" s="19" t="n"/>
      <c r="P1684" s="20" t="n"/>
      <c r="Q1684" s="19" t="n"/>
      <c r="R1684" s="19" t="n"/>
      <c r="Y1684" s="19" t="n"/>
    </row>
    <row r="1685">
      <c r="C1685" s="18" t="n"/>
      <c r="J1685" s="19" t="n"/>
      <c r="P1685" s="20" t="n"/>
      <c r="Q1685" s="19" t="n"/>
      <c r="R1685" s="19" t="n"/>
      <c r="Y1685" s="19" t="n"/>
    </row>
    <row r="1686">
      <c r="C1686" s="18" t="n"/>
      <c r="J1686" s="19" t="n"/>
      <c r="P1686" s="20" t="n"/>
      <c r="Q1686" s="19" t="n"/>
      <c r="R1686" s="19" t="n"/>
      <c r="Y1686" s="19" t="n"/>
    </row>
    <row r="1687">
      <c r="C1687" s="18" t="n"/>
      <c r="J1687" s="19" t="n"/>
      <c r="P1687" s="20" t="n"/>
      <c r="Q1687" s="19" t="n"/>
      <c r="R1687" s="19" t="n"/>
      <c r="Y1687" s="19" t="n"/>
    </row>
    <row r="1688">
      <c r="C1688" s="18" t="n"/>
      <c r="J1688" s="19" t="n"/>
      <c r="P1688" s="20" t="n"/>
      <c r="Q1688" s="19" t="n"/>
      <c r="R1688" s="19" t="n"/>
      <c r="Y1688" s="19" t="n"/>
    </row>
    <row r="1689">
      <c r="C1689" s="18" t="n"/>
      <c r="J1689" s="19" t="n"/>
      <c r="P1689" s="20" t="n"/>
      <c r="Q1689" s="19" t="n"/>
      <c r="R1689" s="19" t="n"/>
      <c r="Y1689" s="19" t="n"/>
    </row>
    <row r="1690">
      <c r="C1690" s="18" t="n"/>
      <c r="J1690" s="19" t="n"/>
      <c r="P1690" s="20" t="n"/>
      <c r="Q1690" s="19" t="n"/>
      <c r="R1690" s="19" t="n"/>
      <c r="Y1690" s="19" t="n"/>
    </row>
    <row r="1691">
      <c r="C1691" s="18" t="n"/>
      <c r="J1691" s="19" t="n"/>
      <c r="P1691" s="20" t="n"/>
      <c r="Q1691" s="19" t="n"/>
      <c r="R1691" s="19" t="n"/>
      <c r="Y1691" s="19" t="n"/>
    </row>
    <row r="1692">
      <c r="C1692" s="18" t="n"/>
      <c r="J1692" s="19" t="n"/>
      <c r="P1692" s="20" t="n"/>
      <c r="Q1692" s="19" t="n"/>
      <c r="R1692" s="19" t="n"/>
      <c r="Y1692" s="19" t="n"/>
    </row>
    <row r="1693">
      <c r="C1693" s="18" t="n"/>
      <c r="J1693" s="19" t="n"/>
      <c r="P1693" s="20" t="n"/>
      <c r="Q1693" s="19" t="n"/>
      <c r="R1693" s="19" t="n"/>
      <c r="Y1693" s="19" t="n"/>
    </row>
    <row r="1694">
      <c r="C1694" s="18" t="n"/>
      <c r="J1694" s="19" t="n"/>
      <c r="P1694" s="20" t="n"/>
      <c r="Q1694" s="19" t="n"/>
      <c r="R1694" s="19" t="n"/>
      <c r="Y1694" s="19" t="n"/>
    </row>
    <row r="1695">
      <c r="C1695" s="18" t="n"/>
      <c r="J1695" s="19" t="n"/>
      <c r="P1695" s="20" t="n"/>
      <c r="Q1695" s="19" t="n"/>
      <c r="R1695" s="19" t="n"/>
      <c r="Y1695" s="19" t="n"/>
    </row>
    <row r="1696">
      <c r="C1696" s="18" t="n"/>
      <c r="J1696" s="19" t="n"/>
      <c r="P1696" s="20" t="n"/>
      <c r="Q1696" s="19" t="n"/>
      <c r="R1696" s="19" t="n"/>
      <c r="Y1696" s="19" t="n"/>
    </row>
    <row r="1697">
      <c r="C1697" s="18" t="n"/>
      <c r="J1697" s="19" t="n"/>
      <c r="P1697" s="20" t="n"/>
      <c r="Q1697" s="19" t="n"/>
      <c r="R1697" s="19" t="n"/>
      <c r="Y1697" s="19" t="n"/>
    </row>
    <row r="1698">
      <c r="C1698" s="18" t="n"/>
      <c r="J1698" s="19" t="n"/>
      <c r="P1698" s="20" t="n"/>
      <c r="Q1698" s="19" t="n"/>
      <c r="R1698" s="19" t="n"/>
      <c r="Y1698" s="19" t="n"/>
    </row>
    <row r="1699">
      <c r="C1699" s="18" t="n"/>
      <c r="J1699" s="19" t="n"/>
      <c r="P1699" s="20" t="n"/>
      <c r="Q1699" s="19" t="n"/>
      <c r="R1699" s="19" t="n"/>
      <c r="Y1699" s="19" t="n"/>
    </row>
    <row r="1700">
      <c r="C1700" s="18" t="n"/>
      <c r="J1700" s="19" t="n"/>
      <c r="P1700" s="20" t="n"/>
      <c r="Q1700" s="19" t="n"/>
      <c r="R1700" s="19" t="n"/>
      <c r="Y1700" s="19" t="n"/>
    </row>
    <row r="1701">
      <c r="C1701" s="18" t="n"/>
      <c r="J1701" s="19" t="n"/>
      <c r="P1701" s="20" t="n"/>
      <c r="Q1701" s="19" t="n"/>
      <c r="R1701" s="19" t="n"/>
      <c r="Y1701" s="19" t="n"/>
    </row>
    <row r="1702">
      <c r="C1702" s="18" t="n"/>
      <c r="J1702" s="19" t="n"/>
      <c r="P1702" s="20" t="n"/>
      <c r="Q1702" s="19" t="n"/>
      <c r="R1702" s="19" t="n"/>
      <c r="Y1702" s="19" t="n"/>
    </row>
    <row r="1703">
      <c r="C1703" s="18" t="n"/>
      <c r="J1703" s="19" t="n"/>
      <c r="P1703" s="20" t="n"/>
      <c r="Q1703" s="19" t="n"/>
      <c r="R1703" s="19" t="n"/>
      <c r="Y1703" s="19" t="n"/>
    </row>
    <row r="1704">
      <c r="C1704" s="18" t="n"/>
      <c r="J1704" s="19" t="n"/>
      <c r="P1704" s="20" t="n"/>
      <c r="Q1704" s="19" t="n"/>
      <c r="R1704" s="19" t="n"/>
      <c r="Y1704" s="19" t="n"/>
    </row>
    <row r="1705">
      <c r="C1705" s="18" t="n"/>
      <c r="J1705" s="19" t="n"/>
      <c r="P1705" s="20" t="n"/>
      <c r="Q1705" s="19" t="n"/>
      <c r="R1705" s="19" t="n"/>
      <c r="Y1705" s="19" t="n"/>
    </row>
    <row r="1706">
      <c r="C1706" s="18" t="n"/>
      <c r="J1706" s="19" t="n"/>
      <c r="P1706" s="20" t="n"/>
      <c r="Q1706" s="19" t="n"/>
      <c r="R1706" s="19" t="n"/>
      <c r="Y1706" s="19" t="n"/>
    </row>
    <row r="1707">
      <c r="C1707" s="18" t="n"/>
      <c r="J1707" s="19" t="n"/>
      <c r="P1707" s="20" t="n"/>
      <c r="Q1707" s="19" t="n"/>
      <c r="R1707" s="19" t="n"/>
      <c r="Y1707" s="19" t="n"/>
    </row>
    <row r="1708">
      <c r="C1708" s="18" t="n"/>
      <c r="J1708" s="19" t="n"/>
      <c r="P1708" s="20" t="n"/>
      <c r="Q1708" s="19" t="n"/>
      <c r="R1708" s="19" t="n"/>
      <c r="Y1708" s="19" t="n"/>
    </row>
    <row r="1709">
      <c r="C1709" s="18" t="n"/>
      <c r="J1709" s="19" t="n"/>
      <c r="P1709" s="20" t="n"/>
      <c r="Q1709" s="19" t="n"/>
      <c r="R1709" s="19" t="n"/>
      <c r="Y1709" s="19" t="n"/>
    </row>
    <row r="1710">
      <c r="C1710" s="18" t="n"/>
      <c r="J1710" s="19" t="n"/>
      <c r="P1710" s="20" t="n"/>
      <c r="Q1710" s="19" t="n"/>
      <c r="R1710" s="19" t="n"/>
      <c r="Y1710" s="19" t="n"/>
    </row>
    <row r="1711">
      <c r="C1711" s="18" t="n"/>
      <c r="J1711" s="19" t="n"/>
      <c r="P1711" s="20" t="n"/>
      <c r="Q1711" s="19" t="n"/>
      <c r="R1711" s="19" t="n"/>
      <c r="Y1711" s="19" t="n"/>
    </row>
    <row r="1712">
      <c r="C1712" s="18" t="n"/>
      <c r="J1712" s="19" t="n"/>
      <c r="P1712" s="20" t="n"/>
      <c r="Q1712" s="19" t="n"/>
      <c r="R1712" s="19" t="n"/>
      <c r="Y1712" s="19" t="n"/>
    </row>
    <row r="1713">
      <c r="C1713" s="18" t="n"/>
      <c r="J1713" s="19" t="n"/>
      <c r="P1713" s="20" t="n"/>
      <c r="Q1713" s="19" t="n"/>
      <c r="R1713" s="19" t="n"/>
      <c r="Y1713" s="19" t="n"/>
    </row>
    <row r="1714">
      <c r="C1714" s="18" t="n"/>
      <c r="J1714" s="19" t="n"/>
      <c r="P1714" s="20" t="n"/>
      <c r="Q1714" s="19" t="n"/>
      <c r="R1714" s="19" t="n"/>
      <c r="Y1714" s="19" t="n"/>
    </row>
    <row r="1715">
      <c r="C1715" s="18" t="n"/>
      <c r="J1715" s="19" t="n"/>
      <c r="P1715" s="20" t="n"/>
      <c r="Q1715" s="19" t="n"/>
      <c r="R1715" s="19" t="n"/>
      <c r="Y1715" s="19" t="n"/>
    </row>
    <row r="1716">
      <c r="C1716" s="18" t="n"/>
      <c r="J1716" s="19" t="n"/>
      <c r="P1716" s="20" t="n"/>
      <c r="Q1716" s="19" t="n"/>
      <c r="R1716" s="19" t="n"/>
      <c r="Y1716" s="19" t="n"/>
    </row>
    <row r="1717">
      <c r="C1717" s="18" t="n"/>
      <c r="J1717" s="19" t="n"/>
      <c r="P1717" s="20" t="n"/>
      <c r="Q1717" s="19" t="n"/>
      <c r="R1717" s="19" t="n"/>
      <c r="Y1717" s="19" t="n"/>
    </row>
    <row r="1718">
      <c r="C1718" s="18" t="n"/>
      <c r="J1718" s="19" t="n"/>
      <c r="P1718" s="20" t="n"/>
      <c r="Q1718" s="19" t="n"/>
      <c r="R1718" s="19" t="n"/>
      <c r="Y1718" s="19" t="n"/>
    </row>
    <row r="1719">
      <c r="C1719" s="18" t="n"/>
      <c r="J1719" s="19" t="n"/>
      <c r="P1719" s="20" t="n"/>
      <c r="Q1719" s="19" t="n"/>
      <c r="R1719" s="19" t="n"/>
      <c r="Y1719" s="19" t="n"/>
    </row>
    <row r="1720">
      <c r="C1720" s="18" t="n"/>
      <c r="J1720" s="19" t="n"/>
      <c r="P1720" s="20" t="n"/>
      <c r="Q1720" s="19" t="n"/>
      <c r="R1720" s="19" t="n"/>
      <c r="Y1720" s="19" t="n"/>
    </row>
    <row r="1721">
      <c r="C1721" s="18" t="n"/>
      <c r="J1721" s="19" t="n"/>
      <c r="P1721" s="20" t="n"/>
      <c r="Q1721" s="19" t="n"/>
      <c r="R1721" s="19" t="n"/>
      <c r="Y1721" s="19" t="n"/>
    </row>
    <row r="1722">
      <c r="C1722" s="18" t="n"/>
      <c r="J1722" s="19" t="n"/>
      <c r="P1722" s="20" t="n"/>
      <c r="Q1722" s="19" t="n"/>
      <c r="R1722" s="19" t="n"/>
      <c r="Y1722" s="19" t="n"/>
    </row>
    <row r="1723">
      <c r="C1723" s="18" t="n"/>
      <c r="J1723" s="19" t="n"/>
      <c r="P1723" s="20" t="n"/>
      <c r="Q1723" s="19" t="n"/>
      <c r="R1723" s="19" t="n"/>
      <c r="Y1723" s="19" t="n"/>
    </row>
    <row r="1724">
      <c r="C1724" s="18" t="n"/>
      <c r="J1724" s="19" t="n"/>
      <c r="P1724" s="20" t="n"/>
      <c r="Q1724" s="19" t="n"/>
      <c r="R1724" s="19" t="n"/>
      <c r="Y1724" s="19" t="n"/>
    </row>
    <row r="1725">
      <c r="C1725" s="18" t="n"/>
      <c r="J1725" s="19" t="n"/>
      <c r="P1725" s="20" t="n"/>
      <c r="Q1725" s="19" t="n"/>
      <c r="R1725" s="19" t="n"/>
      <c r="Y1725" s="19" t="n"/>
    </row>
    <row r="1726">
      <c r="C1726" s="18" t="n"/>
      <c r="J1726" s="19" t="n"/>
      <c r="P1726" s="20" t="n"/>
      <c r="Q1726" s="19" t="n"/>
      <c r="R1726" s="19" t="n"/>
      <c r="Y1726" s="19" t="n"/>
    </row>
    <row r="1727">
      <c r="C1727" s="18" t="n"/>
      <c r="J1727" s="19" t="n"/>
      <c r="P1727" s="20" t="n"/>
      <c r="Q1727" s="19" t="n"/>
      <c r="R1727" s="19" t="n"/>
      <c r="Y1727" s="19" t="n"/>
    </row>
    <row r="1728">
      <c r="C1728" s="18" t="n"/>
      <c r="J1728" s="19" t="n"/>
      <c r="P1728" s="20" t="n"/>
      <c r="Q1728" s="19" t="n"/>
      <c r="R1728" s="19" t="n"/>
      <c r="Y1728" s="19" t="n"/>
    </row>
    <row r="1729">
      <c r="C1729" s="18" t="n"/>
      <c r="J1729" s="19" t="n"/>
      <c r="P1729" s="20" t="n"/>
      <c r="Q1729" s="19" t="n"/>
      <c r="R1729" s="19" t="n"/>
      <c r="Y1729" s="19" t="n"/>
    </row>
    <row r="1730">
      <c r="C1730" s="18" t="n"/>
      <c r="J1730" s="19" t="n"/>
      <c r="P1730" s="20" t="n"/>
      <c r="Q1730" s="19" t="n"/>
      <c r="R1730" s="19" t="n"/>
      <c r="Y1730" s="19" t="n"/>
    </row>
    <row r="1731">
      <c r="C1731" s="18" t="n"/>
      <c r="J1731" s="19" t="n"/>
      <c r="P1731" s="20" t="n"/>
      <c r="Q1731" s="19" t="n"/>
      <c r="R1731" s="19" t="n"/>
      <c r="Y1731" s="19" t="n"/>
    </row>
    <row r="1732">
      <c r="C1732" s="18" t="n"/>
      <c r="J1732" s="19" t="n"/>
      <c r="P1732" s="20" t="n"/>
      <c r="Q1732" s="19" t="n"/>
      <c r="R1732" s="19" t="n"/>
      <c r="Y1732" s="19" t="n"/>
    </row>
    <row r="1733">
      <c r="C1733" s="18" t="n"/>
      <c r="J1733" s="19" t="n"/>
      <c r="P1733" s="20" t="n"/>
      <c r="Q1733" s="19" t="n"/>
      <c r="R1733" s="19" t="n"/>
      <c r="Y1733" s="19" t="n"/>
    </row>
    <row r="1734">
      <c r="C1734" s="18" t="n"/>
      <c r="J1734" s="19" t="n"/>
      <c r="P1734" s="20" t="n"/>
      <c r="Q1734" s="19" t="n"/>
      <c r="R1734" s="19" t="n"/>
      <c r="Y1734" s="19" t="n"/>
    </row>
    <row r="1735">
      <c r="C1735" s="18" t="n"/>
      <c r="J1735" s="19" t="n"/>
      <c r="P1735" s="20" t="n"/>
      <c r="Q1735" s="19" t="n"/>
      <c r="R1735" s="19" t="n"/>
      <c r="Y1735" s="19" t="n"/>
    </row>
    <row r="1736">
      <c r="C1736" s="18" t="n"/>
      <c r="J1736" s="19" t="n"/>
      <c r="P1736" s="20" t="n"/>
      <c r="Q1736" s="19" t="n"/>
      <c r="R1736" s="19" t="n"/>
      <c r="Y1736" s="19" t="n"/>
    </row>
    <row r="1737">
      <c r="C1737" s="18" t="n"/>
      <c r="J1737" s="19" t="n"/>
      <c r="P1737" s="20" t="n"/>
      <c r="Q1737" s="19" t="n"/>
      <c r="R1737" s="19" t="n"/>
      <c r="Y1737" s="19" t="n"/>
    </row>
    <row r="1738">
      <c r="C1738" s="18" t="n"/>
      <c r="J1738" s="19" t="n"/>
      <c r="P1738" s="20" t="n"/>
      <c r="Q1738" s="19" t="n"/>
      <c r="R1738" s="19" t="n"/>
      <c r="Y1738" s="19" t="n"/>
    </row>
    <row r="1739">
      <c r="C1739" s="18" t="n"/>
      <c r="J1739" s="19" t="n"/>
      <c r="P1739" s="20" t="n"/>
      <c r="Q1739" s="19" t="n"/>
      <c r="R1739" s="19" t="n"/>
      <c r="Y1739" s="19" t="n"/>
    </row>
    <row r="1740">
      <c r="C1740" s="18" t="n"/>
      <c r="J1740" s="19" t="n"/>
      <c r="P1740" s="20" t="n"/>
      <c r="Q1740" s="19" t="n"/>
      <c r="R1740" s="19" t="n"/>
      <c r="Y1740" s="19" t="n"/>
    </row>
    <row r="1741">
      <c r="C1741" s="18" t="n"/>
      <c r="J1741" s="19" t="n"/>
      <c r="P1741" s="20" t="n"/>
      <c r="Q1741" s="19" t="n"/>
      <c r="R1741" s="19" t="n"/>
      <c r="Y1741" s="19" t="n"/>
    </row>
    <row r="1742">
      <c r="C1742" s="18" t="n"/>
      <c r="J1742" s="19" t="n"/>
      <c r="P1742" s="20" t="n"/>
      <c r="Q1742" s="19" t="n"/>
      <c r="R1742" s="19" t="n"/>
      <c r="Y1742" s="19" t="n"/>
    </row>
    <row r="1743">
      <c r="C1743" s="18" t="n"/>
      <c r="J1743" s="19" t="n"/>
      <c r="P1743" s="20" t="n"/>
      <c r="Q1743" s="19" t="n"/>
      <c r="R1743" s="19" t="n"/>
      <c r="Y1743" s="19" t="n"/>
    </row>
    <row r="1744">
      <c r="C1744" s="18" t="n"/>
      <c r="J1744" s="19" t="n"/>
      <c r="P1744" s="20" t="n"/>
      <c r="Q1744" s="19" t="n"/>
      <c r="R1744" s="19" t="n"/>
      <c r="Y1744" s="19" t="n"/>
    </row>
    <row r="1745">
      <c r="C1745" s="18" t="n"/>
      <c r="J1745" s="19" t="n"/>
      <c r="P1745" s="20" t="n"/>
      <c r="Q1745" s="19" t="n"/>
      <c r="R1745" s="19" t="n"/>
      <c r="Y1745" s="19" t="n"/>
    </row>
    <row r="1746">
      <c r="C1746" s="18" t="n"/>
      <c r="J1746" s="19" t="n"/>
      <c r="P1746" s="20" t="n"/>
      <c r="Q1746" s="19" t="n"/>
      <c r="R1746" s="19" t="n"/>
      <c r="Y1746" s="19" t="n"/>
    </row>
    <row r="1747">
      <c r="C1747" s="18" t="n"/>
      <c r="J1747" s="19" t="n"/>
      <c r="P1747" s="20" t="n"/>
      <c r="Q1747" s="19" t="n"/>
      <c r="R1747" s="19" t="n"/>
      <c r="Y1747" s="19" t="n"/>
    </row>
    <row r="1748">
      <c r="C1748" s="18" t="n"/>
      <c r="J1748" s="19" t="n"/>
      <c r="P1748" s="20" t="n"/>
      <c r="Q1748" s="19" t="n"/>
      <c r="R1748" s="19" t="n"/>
      <c r="Y1748" s="19" t="n"/>
    </row>
    <row r="1749">
      <c r="C1749" s="18" t="n"/>
      <c r="J1749" s="19" t="n"/>
      <c r="P1749" s="20" t="n"/>
      <c r="Q1749" s="19" t="n"/>
      <c r="R1749" s="19" t="n"/>
      <c r="Y1749" s="19" t="n"/>
    </row>
    <row r="1750">
      <c r="C1750" s="18" t="n"/>
      <c r="J1750" s="19" t="n"/>
      <c r="P1750" s="20" t="n"/>
      <c r="Q1750" s="19" t="n"/>
      <c r="R1750" s="19" t="n"/>
      <c r="Y1750" s="19" t="n"/>
    </row>
    <row r="1751">
      <c r="C1751" s="18" t="n"/>
      <c r="J1751" s="19" t="n"/>
      <c r="P1751" s="20" t="n"/>
      <c r="Q1751" s="19" t="n"/>
      <c r="R1751" s="19" t="n"/>
      <c r="Y1751" s="19" t="n"/>
    </row>
    <row r="1752">
      <c r="C1752" s="18" t="n"/>
      <c r="J1752" s="19" t="n"/>
      <c r="P1752" s="20" t="n"/>
      <c r="Q1752" s="19" t="n"/>
      <c r="R1752" s="19" t="n"/>
      <c r="Y1752" s="19" t="n"/>
    </row>
    <row r="1753">
      <c r="C1753" s="18" t="n"/>
      <c r="J1753" s="19" t="n"/>
      <c r="P1753" s="20" t="n"/>
      <c r="Q1753" s="19" t="n"/>
      <c r="R1753" s="19" t="n"/>
      <c r="Y1753" s="19" t="n"/>
    </row>
    <row r="1754">
      <c r="C1754" s="18" t="n"/>
      <c r="J1754" s="19" t="n"/>
      <c r="P1754" s="20" t="n"/>
      <c r="Q1754" s="19" t="n"/>
      <c r="R1754" s="19" t="n"/>
      <c r="Y1754" s="19" t="n"/>
    </row>
    <row r="1755">
      <c r="C1755" s="18" t="n"/>
      <c r="J1755" s="19" t="n"/>
      <c r="P1755" s="20" t="n"/>
      <c r="Q1755" s="19" t="n"/>
      <c r="R1755" s="19" t="n"/>
      <c r="Y1755" s="19" t="n"/>
    </row>
    <row r="1756">
      <c r="C1756" s="18" t="n"/>
      <c r="J1756" s="19" t="n"/>
      <c r="P1756" s="20" t="n"/>
      <c r="Q1756" s="19" t="n"/>
      <c r="R1756" s="19" t="n"/>
      <c r="Y1756" s="19" t="n"/>
    </row>
    <row r="1757">
      <c r="C1757" s="18" t="n"/>
      <c r="J1757" s="19" t="n"/>
      <c r="P1757" s="20" t="n"/>
      <c r="Q1757" s="19" t="n"/>
      <c r="R1757" s="19" t="n"/>
      <c r="Y1757" s="19" t="n"/>
    </row>
    <row r="1758">
      <c r="C1758" s="18" t="n"/>
      <c r="J1758" s="19" t="n"/>
      <c r="P1758" s="20" t="n"/>
      <c r="Q1758" s="19" t="n"/>
      <c r="R1758" s="19" t="n"/>
      <c r="Y1758" s="19" t="n"/>
    </row>
    <row r="1759">
      <c r="C1759" s="18" t="n"/>
      <c r="J1759" s="19" t="n"/>
      <c r="P1759" s="20" t="n"/>
      <c r="Q1759" s="19" t="n"/>
      <c r="R1759" s="19" t="n"/>
      <c r="Y1759" s="19" t="n"/>
    </row>
    <row r="1760">
      <c r="C1760" s="18" t="n"/>
      <c r="J1760" s="19" t="n"/>
      <c r="P1760" s="20" t="n"/>
      <c r="Q1760" s="19" t="n"/>
      <c r="R1760" s="19" t="n"/>
      <c r="Y1760" s="19" t="n"/>
    </row>
    <row r="1761">
      <c r="C1761" s="18" t="n"/>
      <c r="J1761" s="19" t="n"/>
      <c r="P1761" s="20" t="n"/>
      <c r="Q1761" s="19" t="n"/>
      <c r="R1761" s="19" t="n"/>
      <c r="Y1761" s="19" t="n"/>
    </row>
    <row r="1762">
      <c r="C1762" s="18" t="n"/>
      <c r="J1762" s="19" t="n"/>
      <c r="P1762" s="20" t="n"/>
      <c r="Q1762" s="19" t="n"/>
      <c r="R1762" s="19" t="n"/>
      <c r="Y1762" s="19" t="n"/>
    </row>
    <row r="1763">
      <c r="C1763" s="18" t="n"/>
      <c r="J1763" s="19" t="n"/>
      <c r="P1763" s="20" t="n"/>
      <c r="Q1763" s="19" t="n"/>
      <c r="R1763" s="19" t="n"/>
      <c r="Y1763" s="19" t="n"/>
    </row>
    <row r="1764">
      <c r="C1764" s="18" t="n"/>
      <c r="J1764" s="19" t="n"/>
      <c r="P1764" s="20" t="n"/>
      <c r="Q1764" s="19" t="n"/>
      <c r="R1764" s="19" t="n"/>
      <c r="Y1764" s="19" t="n"/>
    </row>
    <row r="1765">
      <c r="C1765" s="18" t="n"/>
      <c r="J1765" s="19" t="n"/>
      <c r="P1765" s="20" t="n"/>
      <c r="Q1765" s="19" t="n"/>
      <c r="R1765" s="19" t="n"/>
      <c r="Y1765" s="19" t="n"/>
    </row>
    <row r="1766">
      <c r="C1766" s="18" t="n"/>
      <c r="J1766" s="19" t="n"/>
      <c r="P1766" s="20" t="n"/>
      <c r="Q1766" s="19" t="n"/>
      <c r="R1766" s="19" t="n"/>
      <c r="Y1766" s="19" t="n"/>
    </row>
    <row r="1767">
      <c r="C1767" s="18" t="n"/>
      <c r="J1767" s="19" t="n"/>
      <c r="P1767" s="20" t="n"/>
      <c r="Q1767" s="19" t="n"/>
      <c r="R1767" s="19" t="n"/>
      <c r="Y1767" s="19" t="n"/>
    </row>
    <row r="1768">
      <c r="C1768" s="18" t="n"/>
      <c r="J1768" s="19" t="n"/>
      <c r="P1768" s="20" t="n"/>
      <c r="Q1768" s="19" t="n"/>
      <c r="R1768" s="19" t="n"/>
      <c r="Y1768" s="19" t="n"/>
    </row>
    <row r="1769">
      <c r="C1769" s="18" t="n"/>
      <c r="J1769" s="19" t="n"/>
      <c r="P1769" s="20" t="n"/>
      <c r="Q1769" s="19" t="n"/>
      <c r="R1769" s="19" t="n"/>
      <c r="Y1769" s="19" t="n"/>
    </row>
    <row r="1770">
      <c r="C1770" s="18" t="n"/>
      <c r="J1770" s="19" t="n"/>
      <c r="P1770" s="20" t="n"/>
      <c r="Q1770" s="19" t="n"/>
      <c r="R1770" s="19" t="n"/>
      <c r="Y1770" s="19" t="n"/>
    </row>
    <row r="1771">
      <c r="C1771" s="18" t="n"/>
      <c r="J1771" s="19" t="n"/>
      <c r="P1771" s="20" t="n"/>
      <c r="Q1771" s="19" t="n"/>
      <c r="R1771" s="19" t="n"/>
      <c r="Y1771" s="19" t="n"/>
    </row>
    <row r="1772">
      <c r="C1772" s="18" t="n"/>
      <c r="J1772" s="19" t="n"/>
      <c r="P1772" s="20" t="n"/>
      <c r="Q1772" s="19" t="n"/>
      <c r="R1772" s="19" t="n"/>
      <c r="Y1772" s="19" t="n"/>
    </row>
    <row r="1773">
      <c r="C1773" s="18" t="n"/>
      <c r="J1773" s="19" t="n"/>
      <c r="P1773" s="20" t="n"/>
      <c r="Q1773" s="19" t="n"/>
      <c r="R1773" s="19" t="n"/>
      <c r="Y1773" s="19" t="n"/>
    </row>
    <row r="1774">
      <c r="C1774" s="18" t="n"/>
      <c r="J1774" s="19" t="n"/>
      <c r="P1774" s="20" t="n"/>
      <c r="Q1774" s="19" t="n"/>
      <c r="R1774" s="19" t="n"/>
      <c r="Y1774" s="19" t="n"/>
    </row>
    <row r="1775">
      <c r="C1775" s="18" t="n"/>
      <c r="J1775" s="19" t="n"/>
      <c r="P1775" s="20" t="n"/>
      <c r="Q1775" s="19" t="n"/>
      <c r="R1775" s="19" t="n"/>
      <c r="Y1775" s="19" t="n"/>
    </row>
    <row r="1776">
      <c r="C1776" s="18" t="n"/>
      <c r="J1776" s="19" t="n"/>
      <c r="P1776" s="20" t="n"/>
      <c r="Q1776" s="19" t="n"/>
      <c r="R1776" s="19" t="n"/>
      <c r="Y1776" s="19" t="n"/>
    </row>
    <row r="1777">
      <c r="C1777" s="18" t="n"/>
      <c r="J1777" s="19" t="n"/>
      <c r="P1777" s="20" t="n"/>
      <c r="Q1777" s="19" t="n"/>
      <c r="R1777" s="19" t="n"/>
      <c r="Y1777" s="19" t="n"/>
    </row>
    <row r="1778">
      <c r="C1778" s="18" t="n"/>
      <c r="J1778" s="19" t="n"/>
      <c r="P1778" s="20" t="n"/>
      <c r="Q1778" s="19" t="n"/>
      <c r="R1778" s="19" t="n"/>
      <c r="Y1778" s="19" t="n"/>
    </row>
    <row r="1779">
      <c r="C1779" s="18" t="n"/>
      <c r="J1779" s="19" t="n"/>
      <c r="P1779" s="20" t="n"/>
      <c r="Q1779" s="19" t="n"/>
      <c r="R1779" s="19" t="n"/>
      <c r="Y1779" s="19" t="n"/>
    </row>
    <row r="1780">
      <c r="C1780" s="18" t="n"/>
      <c r="J1780" s="19" t="n"/>
      <c r="P1780" s="20" t="n"/>
      <c r="Q1780" s="19" t="n"/>
      <c r="R1780" s="19" t="n"/>
      <c r="Y1780" s="19" t="n"/>
    </row>
    <row r="1781">
      <c r="C1781" s="18" t="n"/>
      <c r="J1781" s="19" t="n"/>
      <c r="P1781" s="20" t="n"/>
      <c r="Q1781" s="19" t="n"/>
      <c r="R1781" s="19" t="n"/>
      <c r="Y1781" s="19" t="n"/>
    </row>
    <row r="1782">
      <c r="C1782" s="18" t="n"/>
      <c r="J1782" s="19" t="n"/>
      <c r="P1782" s="20" t="n"/>
      <c r="Q1782" s="19" t="n"/>
      <c r="R1782" s="19" t="n"/>
      <c r="Y1782" s="19" t="n"/>
    </row>
    <row r="1783">
      <c r="C1783" s="18" t="n"/>
      <c r="J1783" s="19" t="n"/>
      <c r="P1783" s="20" t="n"/>
      <c r="Q1783" s="19" t="n"/>
      <c r="R1783" s="19" t="n"/>
      <c r="Y1783" s="19" t="n"/>
    </row>
    <row r="1784">
      <c r="C1784" s="18" t="n"/>
      <c r="J1784" s="19" t="n"/>
      <c r="P1784" s="20" t="n"/>
      <c r="Q1784" s="19" t="n"/>
      <c r="R1784" s="19" t="n"/>
      <c r="Y1784" s="19" t="n"/>
    </row>
    <row r="1785">
      <c r="C1785" s="18" t="n"/>
      <c r="J1785" s="19" t="n"/>
      <c r="P1785" s="20" t="n"/>
      <c r="Q1785" s="19" t="n"/>
      <c r="R1785" s="19" t="n"/>
      <c r="Y1785" s="19" t="n"/>
    </row>
    <row r="1786">
      <c r="C1786" s="18" t="n"/>
      <c r="J1786" s="19" t="n"/>
      <c r="P1786" s="20" t="n"/>
      <c r="Q1786" s="19" t="n"/>
      <c r="R1786" s="19" t="n"/>
      <c r="Y1786" s="19" t="n"/>
    </row>
    <row r="1787">
      <c r="C1787" s="18" t="n"/>
      <c r="J1787" s="19" t="n"/>
      <c r="P1787" s="20" t="n"/>
      <c r="Q1787" s="19" t="n"/>
      <c r="R1787" s="19" t="n"/>
      <c r="Y1787" s="19" t="n"/>
    </row>
    <row r="1788">
      <c r="C1788" s="18" t="n"/>
      <c r="J1788" s="19" t="n"/>
      <c r="P1788" s="20" t="n"/>
      <c r="Q1788" s="19" t="n"/>
      <c r="R1788" s="19" t="n"/>
      <c r="Y1788" s="19" t="n"/>
    </row>
    <row r="1789">
      <c r="C1789" s="18" t="n"/>
      <c r="J1789" s="19" t="n"/>
      <c r="P1789" s="20" t="n"/>
      <c r="Q1789" s="19" t="n"/>
      <c r="R1789" s="19" t="n"/>
      <c r="Y1789" s="19" t="n"/>
    </row>
    <row r="1790">
      <c r="C1790" s="18" t="n"/>
      <c r="J1790" s="19" t="n"/>
      <c r="P1790" s="20" t="n"/>
      <c r="Q1790" s="19" t="n"/>
      <c r="R1790" s="19" t="n"/>
      <c r="Y1790" s="19" t="n"/>
    </row>
    <row r="1791">
      <c r="C1791" s="18" t="n"/>
      <c r="J1791" s="19" t="n"/>
      <c r="P1791" s="20" t="n"/>
      <c r="Q1791" s="19" t="n"/>
      <c r="R1791" s="19" t="n"/>
      <c r="Y1791" s="19" t="n"/>
    </row>
    <row r="1792">
      <c r="C1792" s="18" t="n"/>
      <c r="J1792" s="19" t="n"/>
      <c r="P1792" s="20" t="n"/>
      <c r="Q1792" s="19" t="n"/>
      <c r="R1792" s="19" t="n"/>
      <c r="Y1792" s="19" t="n"/>
    </row>
    <row r="1793">
      <c r="C1793" s="18" t="n"/>
      <c r="J1793" s="19" t="n"/>
      <c r="P1793" s="20" t="n"/>
      <c r="Q1793" s="19" t="n"/>
      <c r="R1793" s="19" t="n"/>
      <c r="Y1793" s="19" t="n"/>
    </row>
    <row r="1794">
      <c r="C1794" s="18" t="n"/>
      <c r="J1794" s="19" t="n"/>
      <c r="P1794" s="20" t="n"/>
      <c r="Q1794" s="19" t="n"/>
      <c r="R1794" s="19" t="n"/>
      <c r="Y1794" s="19" t="n"/>
    </row>
    <row r="1795">
      <c r="C1795" s="18" t="n"/>
      <c r="J1795" s="19" t="n"/>
      <c r="P1795" s="20" t="n"/>
      <c r="Q1795" s="19" t="n"/>
      <c r="R1795" s="19" t="n"/>
      <c r="Y1795" s="19" t="n"/>
    </row>
    <row r="1796">
      <c r="C1796" s="18" t="n"/>
      <c r="J1796" s="19" t="n"/>
      <c r="P1796" s="20" t="n"/>
      <c r="Q1796" s="19" t="n"/>
      <c r="R1796" s="19" t="n"/>
      <c r="Y1796" s="19" t="n"/>
    </row>
    <row r="1797">
      <c r="C1797" s="18" t="n"/>
      <c r="J1797" s="19" t="n"/>
      <c r="P1797" s="20" t="n"/>
      <c r="Q1797" s="19" t="n"/>
      <c r="R1797" s="19" t="n"/>
      <c r="Y1797" s="19" t="n"/>
    </row>
    <row r="1798">
      <c r="C1798" s="18" t="n"/>
      <c r="J1798" s="19" t="n"/>
      <c r="P1798" s="20" t="n"/>
      <c r="Q1798" s="19" t="n"/>
      <c r="R1798" s="19" t="n"/>
      <c r="Y1798" s="19" t="n"/>
    </row>
    <row r="1799">
      <c r="C1799" s="18" t="n"/>
      <c r="J1799" s="19" t="n"/>
      <c r="P1799" s="20" t="n"/>
      <c r="Q1799" s="19" t="n"/>
      <c r="R1799" s="19" t="n"/>
      <c r="Y1799" s="19" t="n"/>
    </row>
    <row r="1800">
      <c r="C1800" s="18" t="n"/>
      <c r="J1800" s="19" t="n"/>
      <c r="P1800" s="20" t="n"/>
      <c r="Q1800" s="19" t="n"/>
      <c r="R1800" s="19" t="n"/>
      <c r="Y1800" s="19" t="n"/>
    </row>
    <row r="1801">
      <c r="C1801" s="18" t="n"/>
      <c r="J1801" s="19" t="n"/>
      <c r="P1801" s="20" t="n"/>
      <c r="Q1801" s="19" t="n"/>
      <c r="R1801" s="19" t="n"/>
      <c r="Y1801" s="19" t="n"/>
    </row>
    <row r="1802">
      <c r="C1802" s="18" t="n"/>
      <c r="J1802" s="19" t="n"/>
      <c r="P1802" s="20" t="n"/>
      <c r="Q1802" s="19" t="n"/>
      <c r="R1802" s="19" t="n"/>
      <c r="Y1802" s="19" t="n"/>
    </row>
    <row r="1803">
      <c r="C1803" s="18" t="n"/>
      <c r="J1803" s="19" t="n"/>
      <c r="P1803" s="20" t="n"/>
      <c r="Q1803" s="19" t="n"/>
      <c r="R1803" s="19" t="n"/>
      <c r="Y1803" s="19" t="n"/>
    </row>
    <row r="1804">
      <c r="C1804" s="18" t="n"/>
      <c r="J1804" s="19" t="n"/>
      <c r="P1804" s="20" t="n"/>
      <c r="Q1804" s="19" t="n"/>
      <c r="R1804" s="19" t="n"/>
      <c r="Y1804" s="19" t="n"/>
    </row>
    <row r="1805">
      <c r="C1805" s="18" t="n"/>
      <c r="J1805" s="19" t="n"/>
      <c r="P1805" s="20" t="n"/>
      <c r="Q1805" s="19" t="n"/>
      <c r="R1805" s="19" t="n"/>
      <c r="Y1805" s="19" t="n"/>
    </row>
    <row r="1806">
      <c r="C1806" s="18" t="n"/>
      <c r="J1806" s="19" t="n"/>
      <c r="P1806" s="20" t="n"/>
      <c r="Q1806" s="19" t="n"/>
      <c r="R1806" s="19" t="n"/>
      <c r="Y1806" s="19" t="n"/>
    </row>
    <row r="1807">
      <c r="C1807" s="18" t="n"/>
      <c r="J1807" s="19" t="n"/>
      <c r="P1807" s="20" t="n"/>
      <c r="Q1807" s="19" t="n"/>
      <c r="R1807" s="19" t="n"/>
      <c r="Y1807" s="19" t="n"/>
    </row>
    <row r="1808">
      <c r="C1808" s="18" t="n"/>
      <c r="J1808" s="19" t="n"/>
      <c r="P1808" s="20" t="n"/>
      <c r="Q1808" s="19" t="n"/>
      <c r="R1808" s="19" t="n"/>
      <c r="Y1808" s="19" t="n"/>
    </row>
    <row r="1809">
      <c r="C1809" s="18" t="n"/>
      <c r="J1809" s="19" t="n"/>
      <c r="P1809" s="20" t="n"/>
      <c r="Q1809" s="19" t="n"/>
      <c r="R1809" s="19" t="n"/>
      <c r="Y1809" s="19" t="n"/>
    </row>
    <row r="1810">
      <c r="C1810" s="18" t="n"/>
      <c r="J1810" s="19" t="n"/>
      <c r="P1810" s="20" t="n"/>
      <c r="Q1810" s="19" t="n"/>
      <c r="R1810" s="19" t="n"/>
      <c r="Y1810" s="19" t="n"/>
    </row>
    <row r="1811">
      <c r="C1811" s="18" t="n"/>
      <c r="J1811" s="19" t="n"/>
      <c r="P1811" s="20" t="n"/>
      <c r="Q1811" s="19" t="n"/>
      <c r="R1811" s="19" t="n"/>
      <c r="Y1811" s="19" t="n"/>
    </row>
    <row r="1812">
      <c r="C1812" s="18" t="n"/>
      <c r="J1812" s="19" t="n"/>
      <c r="P1812" s="20" t="n"/>
      <c r="Q1812" s="19" t="n"/>
      <c r="R1812" s="19" t="n"/>
      <c r="Y1812" s="19" t="n"/>
    </row>
    <row r="1813">
      <c r="C1813" s="18" t="n"/>
      <c r="J1813" s="19" t="n"/>
      <c r="P1813" s="20" t="n"/>
      <c r="Q1813" s="19" t="n"/>
      <c r="R1813" s="19" t="n"/>
      <c r="Y1813" s="19" t="n"/>
    </row>
    <row r="1814">
      <c r="C1814" s="18" t="n"/>
      <c r="J1814" s="19" t="n"/>
      <c r="P1814" s="20" t="n"/>
      <c r="Q1814" s="19" t="n"/>
      <c r="R1814" s="19" t="n"/>
      <c r="Y1814" s="19" t="n"/>
    </row>
    <row r="1815">
      <c r="C1815" s="18" t="n"/>
      <c r="J1815" s="19" t="n"/>
      <c r="P1815" s="20" t="n"/>
      <c r="Q1815" s="19" t="n"/>
      <c r="R1815" s="19" t="n"/>
      <c r="Y1815" s="19" t="n"/>
    </row>
    <row r="1816">
      <c r="C1816" s="18" t="n"/>
      <c r="J1816" s="19" t="n"/>
      <c r="P1816" s="20" t="n"/>
      <c r="Q1816" s="19" t="n"/>
      <c r="R1816" s="19" t="n"/>
      <c r="Y1816" s="19" t="n"/>
    </row>
    <row r="1817">
      <c r="C1817" s="18" t="n"/>
      <c r="J1817" s="19" t="n"/>
      <c r="P1817" s="20" t="n"/>
      <c r="Q1817" s="19" t="n"/>
      <c r="R1817" s="19" t="n"/>
      <c r="Y1817" s="19" t="n"/>
    </row>
    <row r="1818">
      <c r="C1818" s="18" t="n"/>
      <c r="J1818" s="19" t="n"/>
      <c r="P1818" s="20" t="n"/>
      <c r="Q1818" s="19" t="n"/>
      <c r="R1818" s="19" t="n"/>
      <c r="Y1818" s="19" t="n"/>
    </row>
    <row r="1819">
      <c r="C1819" s="18" t="n"/>
      <c r="J1819" s="19" t="n"/>
      <c r="P1819" s="20" t="n"/>
      <c r="Q1819" s="19" t="n"/>
      <c r="R1819" s="19" t="n"/>
      <c r="Y1819" s="19" t="n"/>
    </row>
    <row r="1820">
      <c r="C1820" s="18" t="n"/>
      <c r="J1820" s="19" t="n"/>
      <c r="P1820" s="20" t="n"/>
      <c r="Q1820" s="19" t="n"/>
      <c r="R1820" s="19" t="n"/>
      <c r="Y1820" s="19" t="n"/>
    </row>
    <row r="1821">
      <c r="C1821" s="18" t="n"/>
      <c r="J1821" s="19" t="n"/>
      <c r="P1821" s="20" t="n"/>
      <c r="Q1821" s="19" t="n"/>
      <c r="R1821" s="19" t="n"/>
      <c r="Y1821" s="19" t="n"/>
    </row>
    <row r="1822">
      <c r="C1822" s="18" t="n"/>
      <c r="J1822" s="19" t="n"/>
      <c r="P1822" s="20" t="n"/>
      <c r="Q1822" s="19" t="n"/>
      <c r="R1822" s="19" t="n"/>
      <c r="Y1822" s="19" t="n"/>
    </row>
    <row r="1823">
      <c r="C1823" s="18" t="n"/>
      <c r="J1823" s="19" t="n"/>
      <c r="P1823" s="20" t="n"/>
      <c r="Q1823" s="19" t="n"/>
      <c r="R1823" s="19" t="n"/>
      <c r="Y1823" s="19" t="n"/>
    </row>
    <row r="1824">
      <c r="C1824" s="18" t="n"/>
      <c r="J1824" s="19" t="n"/>
      <c r="P1824" s="20" t="n"/>
      <c r="Q1824" s="19" t="n"/>
      <c r="R1824" s="19" t="n"/>
      <c r="Y1824" s="19" t="n"/>
    </row>
    <row r="1825">
      <c r="C1825" s="18" t="n"/>
      <c r="J1825" s="19" t="n"/>
      <c r="P1825" s="20" t="n"/>
      <c r="Q1825" s="19" t="n"/>
      <c r="R1825" s="19" t="n"/>
      <c r="Y1825" s="19" t="n"/>
    </row>
    <row r="1826">
      <c r="C1826" s="18" t="n"/>
      <c r="J1826" s="19" t="n"/>
      <c r="P1826" s="20" t="n"/>
      <c r="Q1826" s="19" t="n"/>
      <c r="R1826" s="19" t="n"/>
      <c r="Y1826" s="19" t="n"/>
    </row>
    <row r="1827">
      <c r="C1827" s="18" t="n"/>
      <c r="J1827" s="19" t="n"/>
      <c r="P1827" s="20" t="n"/>
      <c r="Q1827" s="19" t="n"/>
      <c r="R1827" s="19" t="n"/>
      <c r="Y1827" s="19" t="n"/>
    </row>
    <row r="1828">
      <c r="C1828" s="18" t="n"/>
      <c r="J1828" s="19" t="n"/>
      <c r="P1828" s="20" t="n"/>
      <c r="Q1828" s="19" t="n"/>
      <c r="R1828" s="19" t="n"/>
      <c r="Y1828" s="19" t="n"/>
    </row>
    <row r="1829">
      <c r="C1829" s="18" t="n"/>
      <c r="J1829" s="19" t="n"/>
      <c r="P1829" s="20" t="n"/>
      <c r="Q1829" s="19" t="n"/>
      <c r="R1829" s="19" t="n"/>
      <c r="Y1829" s="19" t="n"/>
    </row>
    <row r="1830">
      <c r="C1830" s="18" t="n"/>
      <c r="J1830" s="19" t="n"/>
      <c r="P1830" s="20" t="n"/>
      <c r="Q1830" s="19" t="n"/>
      <c r="R1830" s="19" t="n"/>
      <c r="Y1830" s="19" t="n"/>
    </row>
    <row r="1831">
      <c r="C1831" s="18" t="n"/>
      <c r="J1831" s="19" t="n"/>
      <c r="P1831" s="20" t="n"/>
      <c r="Q1831" s="19" t="n"/>
      <c r="R1831" s="19" t="n"/>
      <c r="Y1831" s="19" t="n"/>
    </row>
    <row r="1832">
      <c r="C1832" s="18" t="n"/>
      <c r="J1832" s="19" t="n"/>
      <c r="P1832" s="20" t="n"/>
      <c r="Q1832" s="19" t="n"/>
      <c r="R1832" s="19" t="n"/>
      <c r="Y1832" s="19" t="n"/>
    </row>
    <row r="1833">
      <c r="C1833" s="18" t="n"/>
      <c r="J1833" s="19" t="n"/>
      <c r="P1833" s="20" t="n"/>
      <c r="Q1833" s="19" t="n"/>
      <c r="R1833" s="19" t="n"/>
      <c r="Y1833" s="19" t="n"/>
    </row>
    <row r="1834">
      <c r="C1834" s="18" t="n"/>
      <c r="J1834" s="19" t="n"/>
      <c r="P1834" s="20" t="n"/>
      <c r="Q1834" s="19" t="n"/>
      <c r="R1834" s="19" t="n"/>
      <c r="Y1834" s="19" t="n"/>
    </row>
    <row r="1835">
      <c r="C1835" s="18" t="n"/>
      <c r="J1835" s="19" t="n"/>
      <c r="P1835" s="20" t="n"/>
      <c r="Q1835" s="19" t="n"/>
      <c r="R1835" s="19" t="n"/>
      <c r="Y1835" s="19" t="n"/>
    </row>
    <row r="1836">
      <c r="C1836" s="18" t="n"/>
      <c r="J1836" s="19" t="n"/>
      <c r="P1836" s="20" t="n"/>
      <c r="Q1836" s="19" t="n"/>
      <c r="R1836" s="19" t="n"/>
      <c r="Y1836" s="19" t="n"/>
    </row>
    <row r="1837">
      <c r="C1837" s="18" t="n"/>
      <c r="J1837" s="19" t="n"/>
      <c r="P1837" s="20" t="n"/>
      <c r="Q1837" s="19" t="n"/>
      <c r="R1837" s="19" t="n"/>
      <c r="Y1837" s="19" t="n"/>
    </row>
    <row r="1838">
      <c r="C1838" s="18" t="n"/>
      <c r="J1838" s="19" t="n"/>
      <c r="P1838" s="20" t="n"/>
      <c r="Q1838" s="19" t="n"/>
      <c r="R1838" s="19" t="n"/>
      <c r="Y1838" s="19" t="n"/>
    </row>
    <row r="1839">
      <c r="C1839" s="18" t="n"/>
      <c r="J1839" s="19" t="n"/>
      <c r="P1839" s="20" t="n"/>
      <c r="Q1839" s="19" t="n"/>
      <c r="R1839" s="19" t="n"/>
      <c r="Y1839" s="19" t="n"/>
    </row>
    <row r="1840">
      <c r="C1840" s="18" t="n"/>
      <c r="J1840" s="19" t="n"/>
      <c r="P1840" s="20" t="n"/>
      <c r="Q1840" s="19" t="n"/>
      <c r="R1840" s="19" t="n"/>
      <c r="Y1840" s="19" t="n"/>
    </row>
    <row r="1841">
      <c r="C1841" s="18" t="n"/>
      <c r="J1841" s="19" t="n"/>
      <c r="P1841" s="20" t="n"/>
      <c r="Q1841" s="19" t="n"/>
      <c r="R1841" s="19" t="n"/>
      <c r="Y1841" s="19" t="n"/>
    </row>
    <row r="1842">
      <c r="C1842" s="18" t="n"/>
      <c r="J1842" s="19" t="n"/>
      <c r="P1842" s="20" t="n"/>
      <c r="Q1842" s="19" t="n"/>
      <c r="R1842" s="19" t="n"/>
      <c r="Y1842" s="19" t="n"/>
    </row>
    <row r="1843">
      <c r="C1843" s="18" t="n"/>
      <c r="J1843" s="19" t="n"/>
      <c r="P1843" s="20" t="n"/>
      <c r="Q1843" s="19" t="n"/>
      <c r="R1843" s="19" t="n"/>
      <c r="Y1843" s="19" t="n"/>
    </row>
    <row r="1844">
      <c r="C1844" s="18" t="n"/>
      <c r="J1844" s="19" t="n"/>
      <c r="P1844" s="20" t="n"/>
      <c r="Q1844" s="19" t="n"/>
      <c r="R1844" s="19" t="n"/>
      <c r="Y1844" s="19" t="n"/>
    </row>
    <row r="1845">
      <c r="C1845" s="18" t="n"/>
      <c r="J1845" s="19" t="n"/>
      <c r="P1845" s="20" t="n"/>
      <c r="Q1845" s="19" t="n"/>
      <c r="R1845" s="19" t="n"/>
      <c r="Y1845" s="19" t="n"/>
    </row>
    <row r="1846">
      <c r="C1846" s="18" t="n"/>
      <c r="J1846" s="19" t="n"/>
      <c r="P1846" s="20" t="n"/>
      <c r="Q1846" s="19" t="n"/>
      <c r="R1846" s="19" t="n"/>
      <c r="Y1846" s="19" t="n"/>
    </row>
    <row r="1847">
      <c r="C1847" s="18" t="n"/>
      <c r="J1847" s="19" t="n"/>
      <c r="P1847" s="20" t="n"/>
      <c r="Q1847" s="19" t="n"/>
      <c r="R1847" s="19" t="n"/>
      <c r="Y1847" s="19" t="n"/>
    </row>
    <row r="1848">
      <c r="C1848" s="18" t="n"/>
      <c r="J1848" s="19" t="n"/>
      <c r="P1848" s="20" t="n"/>
      <c r="Q1848" s="19" t="n"/>
      <c r="R1848" s="19" t="n"/>
      <c r="Y1848" s="19" t="n"/>
    </row>
    <row r="1849">
      <c r="C1849" s="18" t="n"/>
      <c r="J1849" s="19" t="n"/>
      <c r="P1849" s="20" t="n"/>
      <c r="Q1849" s="19" t="n"/>
      <c r="R1849" s="19" t="n"/>
      <c r="Y1849" s="19" t="n"/>
    </row>
    <row r="1850">
      <c r="C1850" s="18" t="n"/>
      <c r="J1850" s="19" t="n"/>
      <c r="P1850" s="20" t="n"/>
      <c r="Q1850" s="19" t="n"/>
      <c r="R1850" s="19" t="n"/>
      <c r="Y1850" s="19" t="n"/>
    </row>
    <row r="1851">
      <c r="C1851" s="18" t="n"/>
      <c r="J1851" s="19" t="n"/>
      <c r="P1851" s="20" t="n"/>
      <c r="Q1851" s="19" t="n"/>
      <c r="R1851" s="19" t="n"/>
      <c r="Y1851" s="19" t="n"/>
    </row>
    <row r="1852">
      <c r="C1852" s="18" t="n"/>
      <c r="J1852" s="19" t="n"/>
      <c r="P1852" s="20" t="n"/>
      <c r="Q1852" s="19" t="n"/>
      <c r="R1852" s="19" t="n"/>
      <c r="Y1852" s="19" t="n"/>
    </row>
    <row r="1853">
      <c r="C1853" s="18" t="n"/>
      <c r="J1853" s="19" t="n"/>
      <c r="P1853" s="20" t="n"/>
      <c r="Q1853" s="19" t="n"/>
      <c r="R1853" s="19" t="n"/>
      <c r="Y1853" s="19" t="n"/>
    </row>
    <row r="1854">
      <c r="C1854" s="18" t="n"/>
      <c r="J1854" s="19" t="n"/>
      <c r="P1854" s="20" t="n"/>
      <c r="Q1854" s="19" t="n"/>
      <c r="R1854" s="19" t="n"/>
      <c r="Y1854" s="19" t="n"/>
    </row>
    <row r="1855">
      <c r="C1855" s="18" t="n"/>
      <c r="J1855" s="19" t="n"/>
      <c r="P1855" s="20" t="n"/>
      <c r="Q1855" s="19" t="n"/>
      <c r="R1855" s="19" t="n"/>
      <c r="Y1855" s="19" t="n"/>
    </row>
    <row r="1856">
      <c r="C1856" s="18" t="n"/>
      <c r="J1856" s="19" t="n"/>
      <c r="P1856" s="20" t="n"/>
      <c r="Q1856" s="19" t="n"/>
      <c r="R1856" s="19" t="n"/>
      <c r="Y1856" s="19" t="n"/>
    </row>
    <row r="1857">
      <c r="C1857" s="18" t="n"/>
      <c r="J1857" s="19" t="n"/>
      <c r="P1857" s="20" t="n"/>
      <c r="Q1857" s="19" t="n"/>
      <c r="R1857" s="19" t="n"/>
      <c r="Y1857" s="19" t="n"/>
    </row>
    <row r="1858">
      <c r="C1858" s="18" t="n"/>
      <c r="J1858" s="19" t="n"/>
      <c r="P1858" s="20" t="n"/>
      <c r="Q1858" s="19" t="n"/>
      <c r="R1858" s="19" t="n"/>
      <c r="Y1858" s="19" t="n"/>
    </row>
    <row r="1859">
      <c r="C1859" s="18" t="n"/>
      <c r="J1859" s="19" t="n"/>
      <c r="P1859" s="20" t="n"/>
      <c r="Q1859" s="19" t="n"/>
      <c r="R1859" s="19" t="n"/>
      <c r="Y1859" s="19" t="n"/>
    </row>
    <row r="1860">
      <c r="C1860" s="18" t="n"/>
      <c r="J1860" s="19" t="n"/>
      <c r="P1860" s="20" t="n"/>
      <c r="Q1860" s="19" t="n"/>
      <c r="R1860" s="19" t="n"/>
      <c r="Y1860" s="19" t="n"/>
    </row>
    <row r="1861">
      <c r="C1861" s="18" t="n"/>
      <c r="J1861" s="19" t="n"/>
      <c r="P1861" s="20" t="n"/>
      <c r="Q1861" s="19" t="n"/>
      <c r="R1861" s="19" t="n"/>
      <c r="Y1861" s="19" t="n"/>
    </row>
    <row r="1862">
      <c r="C1862" s="18" t="n"/>
      <c r="J1862" s="19" t="n"/>
      <c r="P1862" s="20" t="n"/>
      <c r="Q1862" s="19" t="n"/>
      <c r="R1862" s="19" t="n"/>
      <c r="Y1862" s="19" t="n"/>
    </row>
    <row r="1863">
      <c r="C1863" s="18" t="n"/>
      <c r="J1863" s="19" t="n"/>
      <c r="P1863" s="20" t="n"/>
      <c r="Q1863" s="19" t="n"/>
      <c r="R1863" s="19" t="n"/>
      <c r="Y1863" s="19" t="n"/>
    </row>
    <row r="1864">
      <c r="C1864" s="18" t="n"/>
      <c r="J1864" s="19" t="n"/>
      <c r="P1864" s="20" t="n"/>
      <c r="Q1864" s="19" t="n"/>
      <c r="R1864" s="19" t="n"/>
      <c r="Y1864" s="19" t="n"/>
    </row>
    <row r="1865">
      <c r="C1865" s="18" t="n"/>
      <c r="J1865" s="19" t="n"/>
      <c r="P1865" s="20" t="n"/>
      <c r="Q1865" s="19" t="n"/>
      <c r="R1865" s="19" t="n"/>
      <c r="Y1865" s="19" t="n"/>
    </row>
    <row r="1866">
      <c r="C1866" s="18" t="n"/>
      <c r="J1866" s="19" t="n"/>
      <c r="P1866" s="20" t="n"/>
      <c r="Q1866" s="19" t="n"/>
      <c r="R1866" s="19" t="n"/>
      <c r="Y1866" s="19" t="n"/>
    </row>
    <row r="1867">
      <c r="C1867" s="18" t="n"/>
      <c r="J1867" s="19" t="n"/>
      <c r="P1867" s="20" t="n"/>
      <c r="Q1867" s="19" t="n"/>
      <c r="R1867" s="19" t="n"/>
      <c r="Y1867" s="19" t="n"/>
    </row>
    <row r="1868">
      <c r="C1868" s="18" t="n"/>
      <c r="J1868" s="19" t="n"/>
      <c r="P1868" s="20" t="n"/>
      <c r="Q1868" s="19" t="n"/>
      <c r="R1868" s="19" t="n"/>
      <c r="Y1868" s="19" t="n"/>
    </row>
    <row r="1869">
      <c r="C1869" s="18" t="n"/>
      <c r="J1869" s="19" t="n"/>
      <c r="P1869" s="20" t="n"/>
      <c r="Q1869" s="19" t="n"/>
      <c r="R1869" s="19" t="n"/>
      <c r="Y1869" s="19" t="n"/>
    </row>
    <row r="1870">
      <c r="C1870" s="18" t="n"/>
      <c r="J1870" s="19" t="n"/>
      <c r="P1870" s="20" t="n"/>
      <c r="Q1870" s="19" t="n"/>
      <c r="R1870" s="19" t="n"/>
      <c r="Y1870" s="19" t="n"/>
    </row>
    <row r="1871">
      <c r="C1871" s="18" t="n"/>
      <c r="J1871" s="19" t="n"/>
      <c r="P1871" s="20" t="n"/>
      <c r="Q1871" s="19" t="n"/>
      <c r="R1871" s="19" t="n"/>
      <c r="Y1871" s="19" t="n"/>
    </row>
    <row r="1872">
      <c r="C1872" s="18" t="n"/>
      <c r="J1872" s="19" t="n"/>
      <c r="P1872" s="20" t="n"/>
      <c r="Q1872" s="19" t="n"/>
      <c r="R1872" s="19" t="n"/>
      <c r="Y1872" s="19" t="n"/>
    </row>
    <row r="1873">
      <c r="C1873" s="18" t="n"/>
      <c r="J1873" s="19" t="n"/>
      <c r="P1873" s="20" t="n"/>
      <c r="Q1873" s="19" t="n"/>
      <c r="R1873" s="19" t="n"/>
      <c r="Y1873" s="19" t="n"/>
    </row>
    <row r="1874">
      <c r="C1874" s="18" t="n"/>
      <c r="J1874" s="19" t="n"/>
      <c r="P1874" s="20" t="n"/>
      <c r="Q1874" s="19" t="n"/>
      <c r="R1874" s="19" t="n"/>
      <c r="Y1874" s="19" t="n"/>
    </row>
    <row r="1875">
      <c r="C1875" s="18" t="n"/>
      <c r="J1875" s="19" t="n"/>
      <c r="P1875" s="20" t="n"/>
      <c r="Q1875" s="19" t="n"/>
      <c r="R1875" s="19" t="n"/>
      <c r="Y1875" s="19" t="n"/>
    </row>
    <row r="1876">
      <c r="C1876" s="18" t="n"/>
      <c r="J1876" s="19" t="n"/>
      <c r="P1876" s="20" t="n"/>
      <c r="Q1876" s="19" t="n"/>
      <c r="R1876" s="19" t="n"/>
      <c r="Y1876" s="19" t="n"/>
    </row>
    <row r="1877">
      <c r="C1877" s="18" t="n"/>
      <c r="J1877" s="19" t="n"/>
      <c r="P1877" s="20" t="n"/>
      <c r="Q1877" s="19" t="n"/>
      <c r="R1877" s="19" t="n"/>
      <c r="Y1877" s="19" t="n"/>
    </row>
    <row r="1878">
      <c r="C1878" s="18" t="n"/>
      <c r="J1878" s="19" t="n"/>
      <c r="P1878" s="20" t="n"/>
      <c r="Q1878" s="19" t="n"/>
      <c r="R1878" s="19" t="n"/>
      <c r="Y1878" s="19" t="n"/>
    </row>
    <row r="1879">
      <c r="C1879" s="18" t="n"/>
      <c r="J1879" s="19" t="n"/>
      <c r="P1879" s="20" t="n"/>
      <c r="Q1879" s="19" t="n"/>
      <c r="R1879" s="19" t="n"/>
      <c r="Y1879" s="19" t="n"/>
    </row>
    <row r="1880">
      <c r="C1880" s="18" t="n"/>
      <c r="J1880" s="19" t="n"/>
      <c r="P1880" s="20" t="n"/>
      <c r="Q1880" s="19" t="n"/>
      <c r="R1880" s="19" t="n"/>
      <c r="Y1880" s="19" t="n"/>
    </row>
    <row r="1881">
      <c r="C1881" s="18" t="n"/>
      <c r="J1881" s="19" t="n"/>
      <c r="P1881" s="20" t="n"/>
      <c r="Q1881" s="19" t="n"/>
      <c r="R1881" s="19" t="n"/>
      <c r="Y1881" s="19" t="n"/>
    </row>
    <row r="1882">
      <c r="C1882" s="18" t="n"/>
      <c r="J1882" s="19" t="n"/>
      <c r="P1882" s="20" t="n"/>
      <c r="Q1882" s="19" t="n"/>
      <c r="R1882" s="19" t="n"/>
      <c r="Y1882" s="19" t="n"/>
    </row>
    <row r="1883">
      <c r="C1883" s="18" t="n"/>
      <c r="J1883" s="19" t="n"/>
      <c r="P1883" s="20" t="n"/>
      <c r="Q1883" s="19" t="n"/>
      <c r="R1883" s="19" t="n"/>
      <c r="Y1883" s="19" t="n"/>
    </row>
    <row r="1884">
      <c r="C1884" s="18" t="n"/>
      <c r="J1884" s="19" t="n"/>
      <c r="P1884" s="20" t="n"/>
      <c r="Q1884" s="19" t="n"/>
      <c r="R1884" s="19" t="n"/>
      <c r="Y1884" s="19" t="n"/>
    </row>
    <row r="1885">
      <c r="C1885" s="18" t="n"/>
      <c r="J1885" s="19" t="n"/>
      <c r="P1885" s="20" t="n"/>
      <c r="Q1885" s="19" t="n"/>
      <c r="R1885" s="19" t="n"/>
      <c r="Y1885" s="19" t="n"/>
    </row>
    <row r="1886">
      <c r="C1886" s="18" t="n"/>
      <c r="J1886" s="19" t="n"/>
      <c r="P1886" s="20" t="n"/>
      <c r="Q1886" s="19" t="n"/>
      <c r="R1886" s="19" t="n"/>
      <c r="Y1886" s="19" t="n"/>
    </row>
    <row r="1887">
      <c r="C1887" s="18" t="n"/>
      <c r="J1887" s="19" t="n"/>
      <c r="P1887" s="20" t="n"/>
      <c r="Q1887" s="19" t="n"/>
      <c r="R1887" s="19" t="n"/>
      <c r="Y1887" s="19" t="n"/>
    </row>
    <row r="1888">
      <c r="C1888" s="18" t="n"/>
      <c r="J1888" s="19" t="n"/>
      <c r="P1888" s="20" t="n"/>
      <c r="Q1888" s="19" t="n"/>
      <c r="R1888" s="19" t="n"/>
      <c r="Y1888" s="19" t="n"/>
    </row>
    <row r="1889">
      <c r="C1889" s="18" t="n"/>
      <c r="J1889" s="19" t="n"/>
      <c r="P1889" s="20" t="n"/>
      <c r="Q1889" s="19" t="n"/>
      <c r="R1889" s="19" t="n"/>
      <c r="Y1889" s="19" t="n"/>
    </row>
    <row r="1890">
      <c r="C1890" s="18" t="n"/>
      <c r="J1890" s="19" t="n"/>
      <c r="P1890" s="20" t="n"/>
      <c r="Q1890" s="19" t="n"/>
      <c r="R1890" s="19" t="n"/>
      <c r="Y1890" s="19" t="n"/>
    </row>
    <row r="1891">
      <c r="C1891" s="18" t="n"/>
      <c r="J1891" s="19" t="n"/>
      <c r="P1891" s="20" t="n"/>
      <c r="Q1891" s="19" t="n"/>
      <c r="R1891" s="19" t="n"/>
      <c r="Y1891" s="19" t="n"/>
    </row>
    <row r="1892">
      <c r="C1892" s="18" t="n"/>
      <c r="J1892" s="19" t="n"/>
      <c r="P1892" s="20" t="n"/>
      <c r="Q1892" s="19" t="n"/>
      <c r="R1892" s="19" t="n"/>
      <c r="Y1892" s="19" t="n"/>
    </row>
    <row r="1893">
      <c r="C1893" s="18" t="n"/>
      <c r="J1893" s="19" t="n"/>
      <c r="P1893" s="20" t="n"/>
      <c r="Q1893" s="19" t="n"/>
      <c r="R1893" s="19" t="n"/>
      <c r="Y1893" s="19" t="n"/>
    </row>
    <row r="1894">
      <c r="C1894" s="18" t="n"/>
      <c r="J1894" s="19" t="n"/>
      <c r="P1894" s="20" t="n"/>
      <c r="Q1894" s="19" t="n"/>
      <c r="R1894" s="19" t="n"/>
      <c r="Y1894" s="19" t="n"/>
    </row>
    <row r="1895">
      <c r="C1895" s="18" t="n"/>
      <c r="J1895" s="19" t="n"/>
      <c r="P1895" s="20" t="n"/>
      <c r="Q1895" s="19" t="n"/>
      <c r="R1895" s="19" t="n"/>
      <c r="Y1895" s="19" t="n"/>
    </row>
    <row r="1896">
      <c r="C1896" s="18" t="n"/>
      <c r="J1896" s="19" t="n"/>
      <c r="P1896" s="20" t="n"/>
      <c r="Q1896" s="19" t="n"/>
      <c r="R1896" s="19" t="n"/>
      <c r="Y1896" s="19" t="n"/>
    </row>
    <row r="1897">
      <c r="C1897" s="18" t="n"/>
      <c r="J1897" s="19" t="n"/>
      <c r="P1897" s="20" t="n"/>
      <c r="Q1897" s="19" t="n"/>
      <c r="R1897" s="19" t="n"/>
      <c r="Y1897" s="19" t="n"/>
    </row>
    <row r="1898">
      <c r="C1898" s="18" t="n"/>
      <c r="J1898" s="19" t="n"/>
      <c r="P1898" s="20" t="n"/>
      <c r="Q1898" s="19" t="n"/>
      <c r="R1898" s="19" t="n"/>
      <c r="Y1898" s="19" t="n"/>
    </row>
    <row r="1899">
      <c r="C1899" s="18" t="n"/>
      <c r="J1899" s="19" t="n"/>
      <c r="P1899" s="20" t="n"/>
      <c r="Q1899" s="19" t="n"/>
      <c r="R1899" s="19" t="n"/>
      <c r="Y1899" s="19" t="n"/>
    </row>
    <row r="1900">
      <c r="C1900" s="18" t="n"/>
      <c r="J1900" s="19" t="n"/>
      <c r="P1900" s="20" t="n"/>
      <c r="Q1900" s="19" t="n"/>
      <c r="R1900" s="19" t="n"/>
      <c r="Y1900" s="19" t="n"/>
    </row>
    <row r="1901">
      <c r="C1901" s="18" t="n"/>
      <c r="J1901" s="19" t="n"/>
      <c r="P1901" s="20" t="n"/>
      <c r="Q1901" s="19" t="n"/>
      <c r="R1901" s="19" t="n"/>
      <c r="Y1901" s="19" t="n"/>
    </row>
    <row r="1902">
      <c r="C1902" s="18" t="n"/>
      <c r="J1902" s="19" t="n"/>
      <c r="P1902" s="20" t="n"/>
      <c r="Q1902" s="19" t="n"/>
      <c r="R1902" s="19" t="n"/>
      <c r="Y1902" s="19" t="n"/>
    </row>
    <row r="1903">
      <c r="C1903" s="18" t="n"/>
      <c r="J1903" s="19" t="n"/>
      <c r="P1903" s="20" t="n"/>
      <c r="Q1903" s="19" t="n"/>
      <c r="R1903" s="19" t="n"/>
      <c r="Y1903" s="19" t="n"/>
    </row>
    <row r="1904">
      <c r="C1904" s="18" t="n"/>
      <c r="J1904" s="19" t="n"/>
      <c r="P1904" s="20" t="n"/>
      <c r="Q1904" s="19" t="n"/>
      <c r="R1904" s="19" t="n"/>
      <c r="Y1904" s="19" t="n"/>
    </row>
    <row r="1905">
      <c r="C1905" s="18" t="n"/>
      <c r="J1905" s="19" t="n"/>
      <c r="P1905" s="20" t="n"/>
      <c r="Q1905" s="19" t="n"/>
      <c r="R1905" s="19" t="n"/>
      <c r="Y1905" s="19" t="n"/>
    </row>
    <row r="1906">
      <c r="C1906" s="18" t="n"/>
      <c r="J1906" s="19" t="n"/>
      <c r="P1906" s="20" t="n"/>
      <c r="Q1906" s="19" t="n"/>
      <c r="R1906" s="19" t="n"/>
      <c r="Y1906" s="19" t="n"/>
    </row>
    <row r="1907">
      <c r="C1907" s="18" t="n"/>
      <c r="J1907" s="19" t="n"/>
      <c r="P1907" s="20" t="n"/>
      <c r="Q1907" s="19" t="n"/>
      <c r="R1907" s="19" t="n"/>
      <c r="Y1907" s="19" t="n"/>
    </row>
    <row r="1908">
      <c r="C1908" s="18" t="n"/>
      <c r="J1908" s="19" t="n"/>
      <c r="P1908" s="20" t="n"/>
      <c r="Q1908" s="19" t="n"/>
      <c r="R1908" s="19" t="n"/>
      <c r="Y1908" s="19" t="n"/>
    </row>
    <row r="1909">
      <c r="C1909" s="18" t="n"/>
      <c r="J1909" s="19" t="n"/>
      <c r="P1909" s="20" t="n"/>
      <c r="Q1909" s="19" t="n"/>
      <c r="R1909" s="19" t="n"/>
      <c r="Y1909" s="19" t="n"/>
    </row>
    <row r="1910">
      <c r="C1910" s="18" t="n"/>
      <c r="J1910" s="19" t="n"/>
      <c r="P1910" s="20" t="n"/>
      <c r="Q1910" s="19" t="n"/>
      <c r="R1910" s="19" t="n"/>
      <c r="Y1910" s="19" t="n"/>
    </row>
    <row r="1911">
      <c r="C1911" s="18" t="n"/>
      <c r="J1911" s="19" t="n"/>
      <c r="P1911" s="20" t="n"/>
      <c r="Q1911" s="19" t="n"/>
      <c r="R1911" s="19" t="n"/>
      <c r="Y1911" s="19" t="n"/>
    </row>
    <row r="1912">
      <c r="C1912" s="18" t="n"/>
      <c r="J1912" s="19" t="n"/>
      <c r="P1912" s="20" t="n"/>
      <c r="Q1912" s="19" t="n"/>
      <c r="R1912" s="19" t="n"/>
      <c r="Y1912" s="19" t="n"/>
    </row>
    <row r="1913">
      <c r="C1913" s="18" t="n"/>
      <c r="J1913" s="19" t="n"/>
      <c r="P1913" s="20" t="n"/>
      <c r="Q1913" s="19" t="n"/>
      <c r="R1913" s="19" t="n"/>
      <c r="Y1913" s="19" t="n"/>
    </row>
    <row r="1914">
      <c r="C1914" s="18" t="n"/>
      <c r="J1914" s="19" t="n"/>
      <c r="P1914" s="20" t="n"/>
      <c r="Q1914" s="19" t="n"/>
      <c r="R1914" s="19" t="n"/>
      <c r="Y1914" s="19" t="n"/>
    </row>
    <row r="1915">
      <c r="C1915" s="18" t="n"/>
      <c r="J1915" s="19" t="n"/>
      <c r="P1915" s="20" t="n"/>
      <c r="Q1915" s="19" t="n"/>
      <c r="R1915" s="19" t="n"/>
      <c r="Y1915" s="19" t="n"/>
    </row>
    <row r="1916">
      <c r="C1916" s="18" t="n"/>
      <c r="J1916" s="19" t="n"/>
      <c r="P1916" s="20" t="n"/>
      <c r="Q1916" s="19" t="n"/>
      <c r="R1916" s="19" t="n"/>
      <c r="Y1916" s="19" t="n"/>
    </row>
    <row r="1917">
      <c r="C1917" s="18" t="n"/>
      <c r="J1917" s="19" t="n"/>
      <c r="P1917" s="20" t="n"/>
      <c r="Q1917" s="19" t="n"/>
      <c r="R1917" s="19" t="n"/>
      <c r="Y1917" s="19" t="n"/>
    </row>
    <row r="1918">
      <c r="C1918" s="18" t="n"/>
      <c r="J1918" s="19" t="n"/>
      <c r="P1918" s="20" t="n"/>
      <c r="Q1918" s="19" t="n"/>
      <c r="R1918" s="19" t="n"/>
      <c r="Y1918" s="19" t="n"/>
    </row>
    <row r="1919">
      <c r="C1919" s="18" t="n"/>
      <c r="J1919" s="19" t="n"/>
      <c r="P1919" s="20" t="n"/>
      <c r="Q1919" s="19" t="n"/>
      <c r="R1919" s="19" t="n"/>
      <c r="Y1919" s="19" t="n"/>
    </row>
    <row r="1920">
      <c r="C1920" s="18" t="n"/>
      <c r="J1920" s="19" t="n"/>
      <c r="P1920" s="20" t="n"/>
      <c r="Q1920" s="19" t="n"/>
      <c r="R1920" s="19" t="n"/>
      <c r="Y1920" s="19" t="n"/>
    </row>
    <row r="1921">
      <c r="C1921" s="18" t="n"/>
      <c r="J1921" s="19" t="n"/>
      <c r="P1921" s="20" t="n"/>
      <c r="Q1921" s="19" t="n"/>
      <c r="R1921" s="19" t="n"/>
      <c r="Y1921" s="19" t="n"/>
    </row>
    <row r="1922">
      <c r="C1922" s="18" t="n"/>
      <c r="J1922" s="19" t="n"/>
      <c r="P1922" s="20" t="n"/>
      <c r="Q1922" s="19" t="n"/>
      <c r="R1922" s="19" t="n"/>
      <c r="Y1922" s="19" t="n"/>
    </row>
    <row r="1923">
      <c r="C1923" s="18" t="n"/>
      <c r="J1923" s="19" t="n"/>
      <c r="P1923" s="20" t="n"/>
      <c r="Q1923" s="19" t="n"/>
      <c r="R1923" s="19" t="n"/>
      <c r="Y1923" s="19" t="n"/>
    </row>
    <row r="1924">
      <c r="C1924" s="18" t="n"/>
      <c r="J1924" s="19" t="n"/>
      <c r="P1924" s="20" t="n"/>
      <c r="Q1924" s="19" t="n"/>
      <c r="R1924" s="19" t="n"/>
      <c r="Y1924" s="19" t="n"/>
    </row>
    <row r="1925">
      <c r="C1925" s="18" t="n"/>
      <c r="J1925" s="19" t="n"/>
      <c r="P1925" s="20" t="n"/>
      <c r="Q1925" s="19" t="n"/>
      <c r="R1925" s="19" t="n"/>
      <c r="Y1925" s="19" t="n"/>
    </row>
    <row r="1926">
      <c r="C1926" s="18" t="n"/>
      <c r="J1926" s="19" t="n"/>
      <c r="P1926" s="20" t="n"/>
      <c r="Q1926" s="19" t="n"/>
      <c r="R1926" s="19" t="n"/>
      <c r="Y1926" s="19" t="n"/>
    </row>
    <row r="1927">
      <c r="C1927" s="18" t="n"/>
      <c r="J1927" s="19" t="n"/>
      <c r="P1927" s="20" t="n"/>
      <c r="Q1927" s="19" t="n"/>
      <c r="R1927" s="19" t="n"/>
      <c r="Y1927" s="19" t="n"/>
    </row>
    <row r="1928">
      <c r="C1928" s="18" t="n"/>
      <c r="J1928" s="19" t="n"/>
      <c r="P1928" s="20" t="n"/>
      <c r="Q1928" s="19" t="n"/>
      <c r="R1928" s="19" t="n"/>
      <c r="Y1928" s="19" t="n"/>
    </row>
    <row r="1929">
      <c r="C1929" s="18" t="n"/>
      <c r="J1929" s="19" t="n"/>
      <c r="P1929" s="20" t="n"/>
      <c r="Q1929" s="19" t="n"/>
      <c r="R1929" s="19" t="n"/>
      <c r="Y1929" s="19" t="n"/>
    </row>
    <row r="1930">
      <c r="C1930" s="18" t="n"/>
      <c r="J1930" s="19" t="n"/>
      <c r="P1930" s="20" t="n"/>
      <c r="Q1930" s="19" t="n"/>
      <c r="R1930" s="19" t="n"/>
      <c r="Y1930" s="19" t="n"/>
    </row>
    <row r="1931">
      <c r="C1931" s="18" t="n"/>
      <c r="J1931" s="19" t="n"/>
      <c r="P1931" s="20" t="n"/>
      <c r="Q1931" s="19" t="n"/>
      <c r="R1931" s="19" t="n"/>
      <c r="Y1931" s="19" t="n"/>
    </row>
    <row r="1932">
      <c r="C1932" s="18" t="n"/>
      <c r="J1932" s="19" t="n"/>
      <c r="P1932" s="20" t="n"/>
      <c r="Q1932" s="19" t="n"/>
      <c r="R1932" s="19" t="n"/>
      <c r="Y1932" s="19" t="n"/>
    </row>
    <row r="1933">
      <c r="C1933" s="18" t="n"/>
      <c r="J1933" s="19" t="n"/>
      <c r="P1933" s="20" t="n"/>
      <c r="Q1933" s="19" t="n"/>
      <c r="R1933" s="19" t="n"/>
      <c r="Y1933" s="19" t="n"/>
    </row>
    <row r="1934">
      <c r="C1934" s="18" t="n"/>
      <c r="J1934" s="19" t="n"/>
      <c r="P1934" s="20" t="n"/>
      <c r="Q1934" s="19" t="n"/>
      <c r="R1934" s="19" t="n"/>
      <c r="Y1934" s="19" t="n"/>
    </row>
    <row r="1935">
      <c r="C1935" s="18" t="n"/>
      <c r="J1935" s="19" t="n"/>
      <c r="P1935" s="20" t="n"/>
      <c r="Q1935" s="19" t="n"/>
      <c r="R1935" s="19" t="n"/>
      <c r="Y1935" s="19" t="n"/>
    </row>
    <row r="1936">
      <c r="C1936" s="18" t="n"/>
      <c r="J1936" s="19" t="n"/>
      <c r="P1936" s="20" t="n"/>
      <c r="Q1936" s="19" t="n"/>
      <c r="R1936" s="19" t="n"/>
      <c r="Y1936" s="19" t="n"/>
    </row>
    <row r="1937">
      <c r="C1937" s="18" t="n"/>
      <c r="J1937" s="19" t="n"/>
      <c r="P1937" s="20" t="n"/>
      <c r="Q1937" s="19" t="n"/>
      <c r="R1937" s="19" t="n"/>
      <c r="Y1937" s="19" t="n"/>
    </row>
    <row r="1938">
      <c r="C1938" s="18" t="n"/>
      <c r="J1938" s="19" t="n"/>
      <c r="P1938" s="20" t="n"/>
      <c r="Q1938" s="19" t="n"/>
      <c r="R1938" s="19" t="n"/>
      <c r="Y1938" s="19" t="n"/>
    </row>
    <row r="1939">
      <c r="C1939" s="18" t="n"/>
      <c r="J1939" s="19" t="n"/>
      <c r="P1939" s="20" t="n"/>
      <c r="Q1939" s="19" t="n"/>
      <c r="R1939" s="19" t="n"/>
      <c r="Y1939" s="19" t="n"/>
    </row>
    <row r="1940">
      <c r="C1940" s="18" t="n"/>
      <c r="J1940" s="19" t="n"/>
      <c r="P1940" s="20" t="n"/>
      <c r="Q1940" s="19" t="n"/>
      <c r="R1940" s="19" t="n"/>
      <c r="Y1940" s="19" t="n"/>
    </row>
    <row r="1941">
      <c r="C1941" s="18" t="n"/>
      <c r="J1941" s="19" t="n"/>
      <c r="P1941" s="20" t="n"/>
      <c r="Q1941" s="19" t="n"/>
      <c r="R1941" s="19" t="n"/>
      <c r="Y1941" s="19" t="n"/>
    </row>
    <row r="1942">
      <c r="C1942" s="18" t="n"/>
      <c r="J1942" s="19" t="n"/>
      <c r="P1942" s="20" t="n"/>
      <c r="Q1942" s="19" t="n"/>
      <c r="R1942" s="19" t="n"/>
      <c r="Y1942" s="19" t="n"/>
    </row>
    <row r="1943">
      <c r="C1943" s="18" t="n"/>
      <c r="J1943" s="19" t="n"/>
      <c r="P1943" s="20" t="n"/>
      <c r="Q1943" s="19" t="n"/>
      <c r="R1943" s="19" t="n"/>
      <c r="Y1943" s="19" t="n"/>
    </row>
    <row r="1944">
      <c r="C1944" s="18" t="n"/>
      <c r="J1944" s="19" t="n"/>
      <c r="P1944" s="20" t="n"/>
      <c r="Q1944" s="19" t="n"/>
      <c r="R1944" s="19" t="n"/>
      <c r="Y1944" s="19" t="n"/>
    </row>
    <row r="1945">
      <c r="C1945" s="18" t="n"/>
      <c r="J1945" s="19" t="n"/>
      <c r="P1945" s="20" t="n"/>
      <c r="Q1945" s="19" t="n"/>
      <c r="R1945" s="19" t="n"/>
      <c r="Y1945" s="19" t="n"/>
    </row>
    <row r="1946">
      <c r="C1946" s="18" t="n"/>
      <c r="J1946" s="19" t="n"/>
      <c r="P1946" s="20" t="n"/>
      <c r="Q1946" s="19" t="n"/>
      <c r="R1946" s="19" t="n"/>
      <c r="Y1946" s="19" t="n"/>
    </row>
    <row r="1947">
      <c r="C1947" s="18" t="n"/>
      <c r="J1947" s="19" t="n"/>
      <c r="P1947" s="20" t="n"/>
      <c r="Q1947" s="19" t="n"/>
      <c r="R1947" s="19" t="n"/>
      <c r="Y1947" s="19" t="n"/>
    </row>
    <row r="1948">
      <c r="C1948" s="18" t="n"/>
      <c r="J1948" s="19" t="n"/>
      <c r="P1948" s="20" t="n"/>
      <c r="Q1948" s="19" t="n"/>
      <c r="R1948" s="19" t="n"/>
      <c r="Y1948" s="19" t="n"/>
    </row>
    <row r="1949">
      <c r="C1949" s="18" t="n"/>
      <c r="J1949" s="19" t="n"/>
      <c r="P1949" s="20" t="n"/>
      <c r="Q1949" s="19" t="n"/>
      <c r="R1949" s="19" t="n"/>
      <c r="Y1949" s="19" t="n"/>
    </row>
    <row r="1950">
      <c r="C1950" s="18" t="n"/>
      <c r="J1950" s="19" t="n"/>
      <c r="P1950" s="20" t="n"/>
      <c r="Q1950" s="19" t="n"/>
      <c r="R1950" s="19" t="n"/>
      <c r="Y1950" s="19" t="n"/>
    </row>
    <row r="1951">
      <c r="C1951" s="18" t="n"/>
      <c r="J1951" s="19" t="n"/>
      <c r="P1951" s="20" t="n"/>
      <c r="Q1951" s="19" t="n"/>
      <c r="R1951" s="19" t="n"/>
      <c r="Y1951" s="19" t="n"/>
    </row>
    <row r="1952">
      <c r="C1952" s="18" t="n"/>
      <c r="J1952" s="19" t="n"/>
      <c r="P1952" s="20" t="n"/>
      <c r="Q1952" s="19" t="n"/>
      <c r="R1952" s="19" t="n"/>
      <c r="Y1952" s="19" t="n"/>
    </row>
    <row r="1953">
      <c r="C1953" s="18" t="n"/>
      <c r="J1953" s="19" t="n"/>
      <c r="P1953" s="20" t="n"/>
      <c r="Q1953" s="19" t="n"/>
      <c r="R1953" s="19" t="n"/>
      <c r="Y1953" s="19" t="n"/>
    </row>
    <row r="1954">
      <c r="C1954" s="18" t="n"/>
      <c r="J1954" s="19" t="n"/>
      <c r="P1954" s="20" t="n"/>
      <c r="Q1954" s="19" t="n"/>
      <c r="R1954" s="19" t="n"/>
      <c r="Y1954" s="19" t="n"/>
    </row>
    <row r="1955">
      <c r="C1955" s="18" t="n"/>
      <c r="J1955" s="19" t="n"/>
      <c r="P1955" s="20" t="n"/>
      <c r="Q1955" s="19" t="n"/>
      <c r="R1955" s="19" t="n"/>
      <c r="Y1955" s="19" t="n"/>
    </row>
    <row r="1956">
      <c r="C1956" s="18" t="n"/>
      <c r="J1956" s="19" t="n"/>
      <c r="P1956" s="20" t="n"/>
      <c r="Q1956" s="19" t="n"/>
      <c r="R1956" s="19" t="n"/>
      <c r="Y1956" s="19" t="n"/>
    </row>
    <row r="1957">
      <c r="C1957" s="18" t="n"/>
      <c r="J1957" s="19" t="n"/>
      <c r="P1957" s="20" t="n"/>
      <c r="Q1957" s="19" t="n"/>
      <c r="R1957" s="19" t="n"/>
      <c r="Y1957" s="19" t="n"/>
    </row>
    <row r="1958">
      <c r="C1958" s="18" t="n"/>
      <c r="J1958" s="19" t="n"/>
      <c r="P1958" s="20" t="n"/>
      <c r="Q1958" s="19" t="n"/>
      <c r="R1958" s="19" t="n"/>
      <c r="Y1958" s="19" t="n"/>
    </row>
    <row r="1959">
      <c r="C1959" s="18" t="n"/>
      <c r="J1959" s="19" t="n"/>
      <c r="P1959" s="20" t="n"/>
      <c r="Q1959" s="19" t="n"/>
      <c r="R1959" s="19" t="n"/>
      <c r="Y1959" s="19" t="n"/>
    </row>
    <row r="1960">
      <c r="C1960" s="18" t="n"/>
      <c r="J1960" s="19" t="n"/>
      <c r="P1960" s="20" t="n"/>
      <c r="Q1960" s="19" t="n"/>
      <c r="R1960" s="19" t="n"/>
      <c r="Y1960" s="19" t="n"/>
    </row>
    <row r="1961">
      <c r="C1961" s="18" t="n"/>
      <c r="J1961" s="19" t="n"/>
      <c r="P1961" s="20" t="n"/>
      <c r="Q1961" s="19" t="n"/>
      <c r="R1961" s="19" t="n"/>
      <c r="Y1961" s="19" t="n"/>
    </row>
    <row r="1962">
      <c r="C1962" s="18" t="n"/>
      <c r="J1962" s="19" t="n"/>
      <c r="P1962" s="20" t="n"/>
      <c r="Q1962" s="19" t="n"/>
      <c r="R1962" s="19" t="n"/>
      <c r="Y1962" s="19" t="n"/>
    </row>
    <row r="1963">
      <c r="C1963" s="18" t="n"/>
      <c r="J1963" s="19" t="n"/>
      <c r="P1963" s="20" t="n"/>
      <c r="Q1963" s="19" t="n"/>
      <c r="R1963" s="19" t="n"/>
      <c r="Y1963" s="19" t="n"/>
    </row>
    <row r="1964">
      <c r="C1964" s="18" t="n"/>
      <c r="J1964" s="19" t="n"/>
      <c r="P1964" s="20" t="n"/>
      <c r="Q1964" s="19" t="n"/>
      <c r="R1964" s="19" t="n"/>
      <c r="Y1964" s="19" t="n"/>
    </row>
    <row r="1965">
      <c r="C1965" s="18" t="n"/>
      <c r="J1965" s="19" t="n"/>
      <c r="P1965" s="20" t="n"/>
      <c r="Q1965" s="19" t="n"/>
      <c r="R1965" s="19" t="n"/>
      <c r="Y1965" s="19" t="n"/>
    </row>
    <row r="1966">
      <c r="C1966" s="18" t="n"/>
      <c r="J1966" s="19" t="n"/>
      <c r="P1966" s="20" t="n"/>
      <c r="Q1966" s="19" t="n"/>
      <c r="R1966" s="19" t="n"/>
      <c r="Y1966" s="19" t="n"/>
    </row>
    <row r="1967">
      <c r="C1967" s="18" t="n"/>
      <c r="J1967" s="19" t="n"/>
      <c r="P1967" s="20" t="n"/>
      <c r="Q1967" s="19" t="n"/>
      <c r="R1967" s="19" t="n"/>
      <c r="Y1967" s="19" t="n"/>
    </row>
    <row r="1968">
      <c r="C1968" s="18" t="n"/>
      <c r="J1968" s="19" t="n"/>
      <c r="P1968" s="20" t="n"/>
      <c r="Q1968" s="19" t="n"/>
      <c r="R1968" s="19" t="n"/>
      <c r="Y1968" s="19" t="n"/>
    </row>
    <row r="1969">
      <c r="C1969" s="18" t="n"/>
      <c r="J1969" s="19" t="n"/>
      <c r="P1969" s="20" t="n"/>
      <c r="Q1969" s="19" t="n"/>
      <c r="R1969" s="19" t="n"/>
      <c r="Y1969" s="19" t="n"/>
    </row>
    <row r="1970">
      <c r="C1970" s="18" t="n"/>
      <c r="J1970" s="19" t="n"/>
      <c r="P1970" s="20" t="n"/>
      <c r="Q1970" s="19" t="n"/>
      <c r="R1970" s="19" t="n"/>
      <c r="Y1970" s="19" t="n"/>
    </row>
    <row r="1971">
      <c r="C1971" s="18" t="n"/>
      <c r="J1971" s="19" t="n"/>
      <c r="P1971" s="20" t="n"/>
      <c r="Q1971" s="19" t="n"/>
      <c r="R1971" s="19" t="n"/>
      <c r="Y1971" s="19" t="n"/>
    </row>
    <row r="1972">
      <c r="C1972" s="18" t="n"/>
      <c r="J1972" s="19" t="n"/>
      <c r="P1972" s="20" t="n"/>
      <c r="Q1972" s="19" t="n"/>
      <c r="R1972" s="19" t="n"/>
      <c r="Y1972" s="19" t="n"/>
    </row>
    <row r="1973">
      <c r="C1973" s="18" t="n"/>
      <c r="J1973" s="19" t="n"/>
      <c r="P1973" s="20" t="n"/>
      <c r="Q1973" s="19" t="n"/>
      <c r="R1973" s="19" t="n"/>
      <c r="Y1973" s="19" t="n"/>
    </row>
    <row r="1974">
      <c r="C1974" s="18" t="n"/>
      <c r="J1974" s="19" t="n"/>
      <c r="P1974" s="20" t="n"/>
      <c r="Q1974" s="19" t="n"/>
      <c r="R1974" s="19" t="n"/>
      <c r="Y1974" s="19" t="n"/>
    </row>
    <row r="1975">
      <c r="C1975" s="18" t="n"/>
      <c r="J1975" s="19" t="n"/>
      <c r="P1975" s="20" t="n"/>
      <c r="Q1975" s="19" t="n"/>
      <c r="R1975" s="19" t="n"/>
      <c r="Y1975" s="19" t="n"/>
    </row>
    <row r="1976">
      <c r="C1976" s="18" t="n"/>
      <c r="J1976" s="19" t="n"/>
      <c r="P1976" s="20" t="n"/>
      <c r="Q1976" s="19" t="n"/>
      <c r="R1976" s="19" t="n"/>
      <c r="Y1976" s="19" t="n"/>
    </row>
    <row r="1977">
      <c r="C1977" s="18" t="n"/>
      <c r="J1977" s="19" t="n"/>
      <c r="P1977" s="20" t="n"/>
      <c r="Q1977" s="19" t="n"/>
      <c r="R1977" s="19" t="n"/>
      <c r="Y1977" s="19" t="n"/>
    </row>
    <row r="1978">
      <c r="C1978" s="18" t="n"/>
      <c r="J1978" s="19" t="n"/>
      <c r="P1978" s="20" t="n"/>
      <c r="Q1978" s="19" t="n"/>
      <c r="R1978" s="19" t="n"/>
      <c r="Y1978" s="19" t="n"/>
    </row>
    <row r="1979">
      <c r="C1979" s="18" t="n"/>
      <c r="J1979" s="19" t="n"/>
      <c r="P1979" s="20" t="n"/>
      <c r="Q1979" s="19" t="n"/>
      <c r="R1979" s="19" t="n"/>
      <c r="Y1979" s="19" t="n"/>
    </row>
    <row r="1980">
      <c r="C1980" s="18" t="n"/>
      <c r="J1980" s="19" t="n"/>
      <c r="P1980" s="20" t="n"/>
      <c r="Q1980" s="19" t="n"/>
      <c r="R1980" s="19" t="n"/>
      <c r="Y1980" s="19" t="n"/>
    </row>
    <row r="1981">
      <c r="C1981" s="18" t="n"/>
      <c r="J1981" s="19" t="n"/>
      <c r="P1981" s="20" t="n"/>
      <c r="Q1981" s="19" t="n"/>
      <c r="R1981" s="19" t="n"/>
      <c r="Y1981" s="19" t="n"/>
    </row>
    <row r="1982">
      <c r="C1982" s="18" t="n"/>
      <c r="J1982" s="19" t="n"/>
      <c r="P1982" s="20" t="n"/>
      <c r="Q1982" s="19" t="n"/>
      <c r="R1982" s="19" t="n"/>
      <c r="Y1982" s="19" t="n"/>
    </row>
    <row r="1983">
      <c r="C1983" s="18" t="n"/>
      <c r="J1983" s="19" t="n"/>
      <c r="P1983" s="20" t="n"/>
      <c r="Q1983" s="19" t="n"/>
      <c r="R1983" s="19" t="n"/>
      <c r="Y1983" s="19" t="n"/>
    </row>
    <row r="1984">
      <c r="C1984" s="18" t="n"/>
      <c r="J1984" s="19" t="n"/>
      <c r="P1984" s="20" t="n"/>
      <c r="Q1984" s="19" t="n"/>
      <c r="R1984" s="19" t="n"/>
      <c r="Y1984" s="19" t="n"/>
    </row>
    <row r="1985">
      <c r="C1985" s="18" t="n"/>
      <c r="J1985" s="19" t="n"/>
      <c r="P1985" s="20" t="n"/>
      <c r="Q1985" s="19" t="n"/>
      <c r="R1985" s="19" t="n"/>
      <c r="Y1985" s="19" t="n"/>
    </row>
    <row r="1986">
      <c r="C1986" s="18" t="n"/>
      <c r="J1986" s="19" t="n"/>
      <c r="P1986" s="20" t="n"/>
      <c r="Q1986" s="19" t="n"/>
      <c r="R1986" s="19" t="n"/>
      <c r="Y1986" s="19" t="n"/>
    </row>
    <row r="1987">
      <c r="C1987" s="18" t="n"/>
      <c r="J1987" s="19" t="n"/>
      <c r="P1987" s="20" t="n"/>
      <c r="Q1987" s="19" t="n"/>
      <c r="R1987" s="19" t="n"/>
      <c r="Y1987" s="19" t="n"/>
    </row>
    <row r="1988">
      <c r="C1988" s="18" t="n"/>
      <c r="J1988" s="19" t="n"/>
      <c r="P1988" s="20" t="n"/>
      <c r="Q1988" s="19" t="n"/>
      <c r="R1988" s="19" t="n"/>
      <c r="Y1988" s="19" t="n"/>
    </row>
    <row r="1989">
      <c r="C1989" s="18" t="n"/>
      <c r="J1989" s="19" t="n"/>
      <c r="P1989" s="20" t="n"/>
      <c r="Q1989" s="19" t="n"/>
      <c r="R1989" s="19" t="n"/>
      <c r="Y1989" s="19" t="n"/>
    </row>
    <row r="1990">
      <c r="C1990" s="18" t="n"/>
      <c r="J1990" s="19" t="n"/>
      <c r="P1990" s="20" t="n"/>
      <c r="Q1990" s="19" t="n"/>
      <c r="R1990" s="19" t="n"/>
      <c r="Y1990" s="19" t="n"/>
    </row>
    <row r="1991">
      <c r="C1991" s="18" t="n"/>
      <c r="J1991" s="19" t="n"/>
      <c r="P1991" s="20" t="n"/>
      <c r="Q1991" s="19" t="n"/>
      <c r="R1991" s="19" t="n"/>
      <c r="Y1991" s="19" t="n"/>
    </row>
    <row r="1992">
      <c r="C1992" s="18" t="n"/>
      <c r="J1992" s="19" t="n"/>
      <c r="P1992" s="20" t="n"/>
      <c r="Q1992" s="19" t="n"/>
      <c r="R1992" s="19" t="n"/>
      <c r="Y1992" s="19" t="n"/>
    </row>
    <row r="1993">
      <c r="C1993" s="18" t="n"/>
      <c r="J1993" s="19" t="n"/>
      <c r="P1993" s="20" t="n"/>
      <c r="Q1993" s="19" t="n"/>
      <c r="R1993" s="19" t="n"/>
      <c r="Y1993" s="19" t="n"/>
    </row>
    <row r="1994">
      <c r="C1994" s="18" t="n"/>
      <c r="J1994" s="19" t="n"/>
      <c r="P1994" s="20" t="n"/>
      <c r="Q1994" s="19" t="n"/>
      <c r="R1994" s="19" t="n"/>
      <c r="Y1994" s="19" t="n"/>
    </row>
    <row r="1995">
      <c r="C1995" s="18" t="n"/>
      <c r="J1995" s="19" t="n"/>
      <c r="P1995" s="20" t="n"/>
      <c r="Q1995" s="19" t="n"/>
      <c r="R1995" s="19" t="n"/>
      <c r="Y1995" s="19" t="n"/>
    </row>
    <row r="1996">
      <c r="C1996" s="18" t="n"/>
      <c r="J1996" s="19" t="n"/>
      <c r="P1996" s="20" t="n"/>
      <c r="Q1996" s="19" t="n"/>
      <c r="R1996" s="19" t="n"/>
      <c r="Y1996" s="19" t="n"/>
    </row>
    <row r="1997">
      <c r="C1997" s="18" t="n"/>
      <c r="J1997" s="19" t="n"/>
      <c r="P1997" s="20" t="n"/>
      <c r="Q1997" s="19" t="n"/>
      <c r="R1997" s="19" t="n"/>
      <c r="Y1997" s="19" t="n"/>
    </row>
    <row r="1998">
      <c r="C1998" s="18" t="n"/>
      <c r="J1998" s="19" t="n"/>
      <c r="P1998" s="20" t="n"/>
      <c r="Q1998" s="19" t="n"/>
      <c r="R1998" s="19" t="n"/>
      <c r="Y1998" s="19" t="n"/>
    </row>
    <row r="1999">
      <c r="C1999" s="18" t="n"/>
      <c r="J1999" s="19" t="n"/>
      <c r="P1999" s="20" t="n"/>
      <c r="Q1999" s="19" t="n"/>
      <c r="R1999" s="19" t="n"/>
      <c r="Y1999" s="19" t="n"/>
    </row>
    <row r="2000">
      <c r="C2000" s="18" t="n"/>
      <c r="J2000" s="19" t="n"/>
      <c r="P2000" s="20" t="n"/>
      <c r="Q2000" s="19" t="n"/>
      <c r="R2000" s="19" t="n"/>
      <c r="Y2000" s="19" t="n"/>
    </row>
    <row r="2001">
      <c r="C2001" s="18" t="n"/>
      <c r="J2001" s="19" t="n"/>
      <c r="P2001" s="20" t="n"/>
      <c r="Q2001" s="19" t="n"/>
      <c r="R2001" s="19" t="n"/>
      <c r="Y2001" s="19" t="n"/>
    </row>
    <row r="2002">
      <c r="C2002" s="18" t="n"/>
      <c r="J2002" s="19" t="n"/>
      <c r="P2002" s="20" t="n"/>
      <c r="Q2002" s="19" t="n"/>
      <c r="R2002" s="19" t="n"/>
      <c r="Y2002" s="19" t="n"/>
    </row>
    <row r="2003">
      <c r="C2003" s="18" t="n"/>
      <c r="J2003" s="19" t="n"/>
      <c r="P2003" s="20" t="n"/>
      <c r="Q2003" s="19" t="n"/>
      <c r="R2003" s="19" t="n"/>
      <c r="Y2003" s="19" t="n"/>
    </row>
    <row r="2004">
      <c r="C2004" s="18" t="n"/>
      <c r="J2004" s="19" t="n"/>
      <c r="P2004" s="20" t="n"/>
      <c r="Q2004" s="19" t="n"/>
      <c r="R2004" s="19" t="n"/>
      <c r="Y2004" s="19" t="n"/>
    </row>
    <row r="2005">
      <c r="C2005" s="18" t="n"/>
      <c r="J2005" s="19" t="n"/>
      <c r="P2005" s="20" t="n"/>
      <c r="Q2005" s="19" t="n"/>
      <c r="R2005" s="19" t="n"/>
      <c r="Y2005" s="19" t="n"/>
    </row>
    <row r="2006">
      <c r="C2006" s="18" t="n"/>
      <c r="J2006" s="19" t="n"/>
      <c r="P2006" s="20" t="n"/>
      <c r="Q2006" s="19" t="n"/>
      <c r="R2006" s="19" t="n"/>
      <c r="Y2006" s="19" t="n"/>
    </row>
    <row r="2007">
      <c r="C2007" s="18" t="n"/>
      <c r="J2007" s="19" t="n"/>
      <c r="P2007" s="20" t="n"/>
      <c r="Q2007" s="19" t="n"/>
      <c r="R2007" s="19" t="n"/>
      <c r="Y2007" s="19" t="n"/>
    </row>
    <row r="2008">
      <c r="C2008" s="18" t="n"/>
      <c r="J2008" s="19" t="n"/>
      <c r="P2008" s="20" t="n"/>
      <c r="Q2008" s="19" t="n"/>
      <c r="R2008" s="19" t="n"/>
      <c r="Y2008" s="19" t="n"/>
    </row>
    <row r="2009">
      <c r="C2009" s="18" t="n"/>
      <c r="J2009" s="19" t="n"/>
      <c r="P2009" s="20" t="n"/>
      <c r="Q2009" s="19" t="n"/>
      <c r="R2009" s="19" t="n"/>
      <c r="Y2009" s="19" t="n"/>
    </row>
    <row r="2010">
      <c r="C2010" s="18" t="n"/>
      <c r="J2010" s="19" t="n"/>
      <c r="P2010" s="20" t="n"/>
      <c r="Q2010" s="19" t="n"/>
      <c r="R2010" s="19" t="n"/>
      <c r="Y2010" s="19" t="n"/>
    </row>
    <row r="2011">
      <c r="C2011" s="18" t="n"/>
      <c r="J2011" s="19" t="n"/>
      <c r="P2011" s="20" t="n"/>
      <c r="Q2011" s="19" t="n"/>
      <c r="R2011" s="19" t="n"/>
      <c r="Y2011" s="19" t="n"/>
    </row>
    <row r="2012">
      <c r="C2012" s="18" t="n"/>
      <c r="J2012" s="19" t="n"/>
      <c r="P2012" s="20" t="n"/>
      <c r="Q2012" s="19" t="n"/>
      <c r="R2012" s="19" t="n"/>
      <c r="Y2012" s="19" t="n"/>
    </row>
    <row r="2013">
      <c r="C2013" s="18" t="n"/>
      <c r="J2013" s="19" t="n"/>
      <c r="P2013" s="20" t="n"/>
      <c r="Q2013" s="19" t="n"/>
      <c r="R2013" s="19" t="n"/>
      <c r="Y2013" s="19" t="n"/>
    </row>
    <row r="2014">
      <c r="C2014" s="18" t="n"/>
      <c r="J2014" s="19" t="n"/>
      <c r="P2014" s="20" t="n"/>
      <c r="Q2014" s="19" t="n"/>
      <c r="R2014" s="19" t="n"/>
      <c r="Y2014" s="19" t="n"/>
    </row>
    <row r="2015">
      <c r="C2015" s="18" t="n"/>
      <c r="J2015" s="19" t="n"/>
      <c r="P2015" s="20" t="n"/>
      <c r="Q2015" s="19" t="n"/>
      <c r="R2015" s="19" t="n"/>
      <c r="Y2015" s="19" t="n"/>
    </row>
    <row r="2016">
      <c r="C2016" s="18" t="n"/>
      <c r="J2016" s="19" t="n"/>
      <c r="P2016" s="20" t="n"/>
      <c r="Q2016" s="19" t="n"/>
      <c r="R2016" s="19" t="n"/>
      <c r="Y2016" s="19" t="n"/>
    </row>
    <row r="2017">
      <c r="C2017" s="18" t="n"/>
      <c r="J2017" s="19" t="n"/>
      <c r="P2017" s="20" t="n"/>
      <c r="Q2017" s="19" t="n"/>
      <c r="R2017" s="19" t="n"/>
      <c r="Y2017" s="19" t="n"/>
    </row>
    <row r="2018">
      <c r="C2018" s="18" t="n"/>
      <c r="J2018" s="19" t="n"/>
      <c r="P2018" s="20" t="n"/>
      <c r="Q2018" s="19" t="n"/>
      <c r="R2018" s="19" t="n"/>
      <c r="Y2018" s="19" t="n"/>
    </row>
    <row r="2019">
      <c r="C2019" s="18" t="n"/>
      <c r="J2019" s="19" t="n"/>
      <c r="P2019" s="20" t="n"/>
      <c r="Q2019" s="19" t="n"/>
      <c r="R2019" s="19" t="n"/>
      <c r="Y2019" s="19" t="n"/>
    </row>
    <row r="2020">
      <c r="C2020" s="18" t="n"/>
      <c r="J2020" s="19" t="n"/>
      <c r="P2020" s="20" t="n"/>
      <c r="Q2020" s="19" t="n"/>
      <c r="R2020" s="19" t="n"/>
      <c r="Y2020" s="19" t="n"/>
    </row>
    <row r="2021">
      <c r="C2021" s="18" t="n"/>
      <c r="J2021" s="19" t="n"/>
      <c r="P2021" s="20" t="n"/>
      <c r="Q2021" s="19" t="n"/>
      <c r="R2021" s="19" t="n"/>
      <c r="Y2021" s="19" t="n"/>
    </row>
    <row r="2022">
      <c r="C2022" s="18" t="n"/>
      <c r="J2022" s="19" t="n"/>
      <c r="P2022" s="20" t="n"/>
      <c r="Q2022" s="19" t="n"/>
      <c r="R2022" s="19" t="n"/>
      <c r="Y2022" s="19" t="n"/>
    </row>
    <row r="2023">
      <c r="C2023" s="18" t="n"/>
      <c r="J2023" s="19" t="n"/>
      <c r="P2023" s="20" t="n"/>
      <c r="Q2023" s="19" t="n"/>
      <c r="R2023" s="19" t="n"/>
      <c r="Y2023" s="19" t="n"/>
    </row>
    <row r="2024">
      <c r="C2024" s="18" t="n"/>
      <c r="J2024" s="19" t="n"/>
      <c r="P2024" s="20" t="n"/>
      <c r="Q2024" s="19" t="n"/>
      <c r="R2024" s="19" t="n"/>
      <c r="Y2024" s="19" t="n"/>
    </row>
    <row r="2025">
      <c r="C2025" s="18" t="n"/>
      <c r="J2025" s="19" t="n"/>
      <c r="P2025" s="20" t="n"/>
      <c r="Q2025" s="19" t="n"/>
      <c r="R2025" s="19" t="n"/>
      <c r="Y2025" s="19" t="n"/>
    </row>
    <row r="2026">
      <c r="C2026" s="18" t="n"/>
      <c r="J2026" s="19" t="n"/>
      <c r="P2026" s="20" t="n"/>
      <c r="Q2026" s="19" t="n"/>
      <c r="R2026" s="19" t="n"/>
      <c r="Y2026" s="19" t="n"/>
    </row>
    <row r="2027">
      <c r="C2027" s="18" t="n"/>
      <c r="J2027" s="19" t="n"/>
      <c r="P2027" s="20" t="n"/>
      <c r="Q2027" s="19" t="n"/>
      <c r="R2027" s="19" t="n"/>
      <c r="Y2027" s="19" t="n"/>
    </row>
    <row r="2028">
      <c r="C2028" s="18" t="n"/>
      <c r="J2028" s="19" t="n"/>
      <c r="P2028" s="20" t="n"/>
      <c r="Q2028" s="19" t="n"/>
      <c r="R2028" s="19" t="n"/>
      <c r="Y2028" s="19" t="n"/>
    </row>
    <row r="2029">
      <c r="C2029" s="18" t="n"/>
      <c r="J2029" s="19" t="n"/>
      <c r="P2029" s="20" t="n"/>
      <c r="Q2029" s="19" t="n"/>
      <c r="R2029" s="19" t="n"/>
      <c r="Y2029" s="19" t="n"/>
    </row>
    <row r="2030">
      <c r="C2030" s="18" t="n"/>
      <c r="J2030" s="19" t="n"/>
      <c r="P2030" s="20" t="n"/>
      <c r="Q2030" s="19" t="n"/>
      <c r="R2030" s="19" t="n"/>
      <c r="Y2030" s="19" t="n"/>
    </row>
    <row r="2031">
      <c r="C2031" s="18" t="n"/>
      <c r="J2031" s="19" t="n"/>
      <c r="P2031" s="20" t="n"/>
      <c r="Q2031" s="19" t="n"/>
      <c r="R2031" s="19" t="n"/>
      <c r="Y2031" s="19" t="n"/>
    </row>
    <row r="2032">
      <c r="C2032" s="18" t="n"/>
      <c r="J2032" s="19" t="n"/>
      <c r="P2032" s="20" t="n"/>
      <c r="Q2032" s="19" t="n"/>
      <c r="R2032" s="19" t="n"/>
      <c r="Y2032" s="19" t="n"/>
    </row>
    <row r="2033">
      <c r="C2033" s="18" t="n"/>
      <c r="J2033" s="19" t="n"/>
      <c r="P2033" s="20" t="n"/>
      <c r="Q2033" s="19" t="n"/>
      <c r="R2033" s="19" t="n"/>
      <c r="Y2033" s="19" t="n"/>
    </row>
    <row r="2034">
      <c r="C2034" s="18" t="n"/>
      <c r="J2034" s="19" t="n"/>
      <c r="P2034" s="20" t="n"/>
      <c r="Q2034" s="19" t="n"/>
      <c r="R2034" s="19" t="n"/>
      <c r="Y2034" s="19" t="n"/>
    </row>
    <row r="2035">
      <c r="C2035" s="18" t="n"/>
      <c r="J2035" s="19" t="n"/>
      <c r="P2035" s="20" t="n"/>
      <c r="Q2035" s="19" t="n"/>
      <c r="R2035" s="19" t="n"/>
      <c r="Y2035" s="19" t="n"/>
    </row>
    <row r="2036">
      <c r="C2036" s="18" t="n"/>
      <c r="J2036" s="19" t="n"/>
      <c r="P2036" s="20" t="n"/>
      <c r="Q2036" s="19" t="n"/>
      <c r="R2036" s="19" t="n"/>
      <c r="Y2036" s="19" t="n"/>
    </row>
    <row r="2037">
      <c r="C2037" s="18" t="n"/>
      <c r="J2037" s="19" t="n"/>
      <c r="P2037" s="20" t="n"/>
      <c r="Q2037" s="19" t="n"/>
      <c r="R2037" s="19" t="n"/>
      <c r="Y2037" s="19" t="n"/>
    </row>
    <row r="2038">
      <c r="C2038" s="18" t="n"/>
      <c r="J2038" s="19" t="n"/>
      <c r="P2038" s="20" t="n"/>
      <c r="Q2038" s="19" t="n"/>
      <c r="R2038" s="19" t="n"/>
      <c r="Y2038" s="19" t="n"/>
    </row>
    <row r="2039">
      <c r="C2039" s="18" t="n"/>
      <c r="J2039" s="19" t="n"/>
      <c r="P2039" s="20" t="n"/>
      <c r="Q2039" s="19" t="n"/>
      <c r="R2039" s="19" t="n"/>
      <c r="Y2039" s="19" t="n"/>
    </row>
    <row r="2040">
      <c r="C2040" s="18" t="n"/>
      <c r="J2040" s="19" t="n"/>
      <c r="P2040" s="20" t="n"/>
      <c r="Q2040" s="19" t="n"/>
      <c r="R2040" s="19" t="n"/>
      <c r="Y2040" s="19" t="n"/>
    </row>
    <row r="2041">
      <c r="C2041" s="18" t="n"/>
      <c r="J2041" s="19" t="n"/>
      <c r="P2041" s="20" t="n"/>
      <c r="Q2041" s="19" t="n"/>
      <c r="R2041" s="19" t="n"/>
      <c r="Y2041" s="19" t="n"/>
    </row>
    <row r="2042">
      <c r="C2042" s="18" t="n"/>
      <c r="J2042" s="19" t="n"/>
      <c r="P2042" s="20" t="n"/>
      <c r="Q2042" s="19" t="n"/>
      <c r="R2042" s="19" t="n"/>
      <c r="Y2042" s="19" t="n"/>
    </row>
    <row r="2043">
      <c r="C2043" s="18" t="n"/>
      <c r="J2043" s="19" t="n"/>
      <c r="P2043" s="20" t="n"/>
      <c r="Q2043" s="19" t="n"/>
      <c r="R2043" s="19" t="n"/>
      <c r="Y2043" s="19" t="n"/>
    </row>
    <row r="2044">
      <c r="C2044" s="18" t="n"/>
      <c r="J2044" s="19" t="n"/>
      <c r="P2044" s="20" t="n"/>
      <c r="Q2044" s="19" t="n"/>
      <c r="R2044" s="19" t="n"/>
      <c r="Y2044" s="19" t="n"/>
    </row>
    <row r="2045">
      <c r="C2045" s="18" t="n"/>
      <c r="J2045" s="19" t="n"/>
      <c r="P2045" s="20" t="n"/>
      <c r="Q2045" s="19" t="n"/>
      <c r="R2045" s="19" t="n"/>
      <c r="Y2045" s="19" t="n"/>
    </row>
    <row r="2046">
      <c r="C2046" s="18" t="n"/>
      <c r="J2046" s="19" t="n"/>
      <c r="P2046" s="20" t="n"/>
      <c r="Q2046" s="19" t="n"/>
      <c r="R2046" s="19" t="n"/>
      <c r="Y2046" s="19" t="n"/>
    </row>
    <row r="2047">
      <c r="C2047" s="18" t="n"/>
      <c r="J2047" s="19" t="n"/>
      <c r="P2047" s="20" t="n"/>
      <c r="Q2047" s="19" t="n"/>
      <c r="R2047" s="19" t="n"/>
      <c r="Y2047" s="19" t="n"/>
    </row>
    <row r="2048">
      <c r="C2048" s="18" t="n"/>
      <c r="J2048" s="19" t="n"/>
      <c r="P2048" s="20" t="n"/>
      <c r="Q2048" s="19" t="n"/>
      <c r="R2048" s="19" t="n"/>
      <c r="Y2048" s="19" t="n"/>
    </row>
    <row r="2049">
      <c r="C2049" s="18" t="n"/>
      <c r="J2049" s="19" t="n"/>
      <c r="P2049" s="20" t="n"/>
      <c r="Q2049" s="19" t="n"/>
      <c r="R2049" s="19" t="n"/>
      <c r="Y2049" s="19" t="n"/>
    </row>
    <row r="2050">
      <c r="C2050" s="18" t="n"/>
      <c r="J2050" s="19" t="n"/>
      <c r="P2050" s="20" t="n"/>
      <c r="Q2050" s="19" t="n"/>
      <c r="R2050" s="19" t="n"/>
      <c r="Y2050" s="19" t="n"/>
    </row>
    <row r="2051">
      <c r="C2051" s="18" t="n"/>
      <c r="J2051" s="19" t="n"/>
      <c r="P2051" s="20" t="n"/>
      <c r="Q2051" s="19" t="n"/>
      <c r="R2051" s="19" t="n"/>
      <c r="Y2051" s="19" t="n"/>
    </row>
    <row r="2052">
      <c r="C2052" s="18" t="n"/>
      <c r="J2052" s="19" t="n"/>
      <c r="P2052" s="20" t="n"/>
      <c r="Q2052" s="19" t="n"/>
      <c r="R2052" s="19" t="n"/>
      <c r="Y2052" s="19" t="n"/>
    </row>
    <row r="2053">
      <c r="C2053" s="18" t="n"/>
      <c r="J2053" s="19" t="n"/>
      <c r="P2053" s="20" t="n"/>
      <c r="Q2053" s="19" t="n"/>
      <c r="R2053" s="19" t="n"/>
      <c r="Y2053" s="19" t="n"/>
    </row>
    <row r="2054">
      <c r="C2054" s="18" t="n"/>
      <c r="J2054" s="19" t="n"/>
      <c r="P2054" s="20" t="n"/>
      <c r="Q2054" s="19" t="n"/>
      <c r="R2054" s="19" t="n"/>
      <c r="Y2054" s="19" t="n"/>
    </row>
    <row r="2055">
      <c r="C2055" s="18" t="n"/>
      <c r="J2055" s="19" t="n"/>
      <c r="P2055" s="20" t="n"/>
      <c r="Q2055" s="19" t="n"/>
      <c r="R2055" s="19" t="n"/>
      <c r="Y2055" s="19" t="n"/>
    </row>
    <row r="2056">
      <c r="C2056" s="18" t="n"/>
      <c r="J2056" s="19" t="n"/>
      <c r="P2056" s="20" t="n"/>
      <c r="Q2056" s="19" t="n"/>
      <c r="R2056" s="19" t="n"/>
      <c r="Y2056" s="19" t="n"/>
    </row>
    <row r="2057">
      <c r="C2057" s="18" t="n"/>
      <c r="J2057" s="19" t="n"/>
      <c r="P2057" s="20" t="n"/>
      <c r="Q2057" s="19" t="n"/>
      <c r="R2057" s="19" t="n"/>
      <c r="Y2057" s="19" t="n"/>
    </row>
    <row r="2058">
      <c r="C2058" s="18" t="n"/>
      <c r="J2058" s="19" t="n"/>
      <c r="P2058" s="20" t="n"/>
      <c r="Q2058" s="19" t="n"/>
      <c r="R2058" s="19" t="n"/>
      <c r="Y2058" s="19" t="n"/>
    </row>
    <row r="2059">
      <c r="C2059" s="18" t="n"/>
      <c r="J2059" s="19" t="n"/>
      <c r="P2059" s="20" t="n"/>
      <c r="Q2059" s="19" t="n"/>
      <c r="R2059" s="19" t="n"/>
      <c r="Y2059" s="19" t="n"/>
    </row>
    <row r="2060">
      <c r="C2060" s="18" t="n"/>
      <c r="J2060" s="19" t="n"/>
      <c r="P2060" s="20" t="n"/>
      <c r="Q2060" s="19" t="n"/>
      <c r="R2060" s="19" t="n"/>
      <c r="Y2060" s="19" t="n"/>
    </row>
    <row r="2061">
      <c r="C2061" s="18" t="n"/>
      <c r="J2061" s="19" t="n"/>
      <c r="P2061" s="20" t="n"/>
      <c r="Q2061" s="19" t="n"/>
      <c r="R2061" s="19" t="n"/>
      <c r="Y2061" s="19" t="n"/>
    </row>
    <row r="2062">
      <c r="C2062" s="18" t="n"/>
      <c r="J2062" s="19" t="n"/>
      <c r="P2062" s="20" t="n"/>
      <c r="Q2062" s="19" t="n"/>
      <c r="R2062" s="19" t="n"/>
      <c r="Y2062" s="19" t="n"/>
    </row>
    <row r="2063">
      <c r="C2063" s="18" t="n"/>
      <c r="J2063" s="19" t="n"/>
      <c r="P2063" s="20" t="n"/>
      <c r="Q2063" s="19" t="n"/>
      <c r="R2063" s="19" t="n"/>
      <c r="Y2063" s="19" t="n"/>
    </row>
    <row r="2064">
      <c r="C2064" s="18" t="n"/>
      <c r="J2064" s="19" t="n"/>
      <c r="P2064" s="20" t="n"/>
      <c r="Q2064" s="19" t="n"/>
      <c r="R2064" s="19" t="n"/>
      <c r="Y2064" s="19" t="n"/>
    </row>
    <row r="2065">
      <c r="C2065" s="18" t="n"/>
      <c r="J2065" s="19" t="n"/>
      <c r="P2065" s="20" t="n"/>
      <c r="Q2065" s="19" t="n"/>
      <c r="R2065" s="19" t="n"/>
      <c r="Y2065" s="19" t="n"/>
    </row>
    <row r="2066">
      <c r="C2066" s="18" t="n"/>
      <c r="J2066" s="19" t="n"/>
      <c r="P2066" s="20" t="n"/>
      <c r="Q2066" s="19" t="n"/>
      <c r="R2066" s="19" t="n"/>
      <c r="Y2066" s="19" t="n"/>
    </row>
    <row r="2067">
      <c r="C2067" s="18" t="n"/>
      <c r="J2067" s="19" t="n"/>
      <c r="P2067" s="20" t="n"/>
      <c r="Q2067" s="19" t="n"/>
      <c r="R2067" s="19" t="n"/>
      <c r="Y2067" s="19" t="n"/>
    </row>
    <row r="2068">
      <c r="C2068" s="18" t="n"/>
      <c r="J2068" s="19" t="n"/>
      <c r="P2068" s="20" t="n"/>
      <c r="Q2068" s="19" t="n"/>
      <c r="R2068" s="19" t="n"/>
      <c r="Y2068" s="19" t="n"/>
    </row>
    <row r="2069">
      <c r="C2069" s="18" t="n"/>
      <c r="J2069" s="19" t="n"/>
      <c r="P2069" s="20" t="n"/>
      <c r="Q2069" s="19" t="n"/>
      <c r="R2069" s="19" t="n"/>
      <c r="Y2069" s="19" t="n"/>
    </row>
    <row r="2070">
      <c r="C2070" s="18" t="n"/>
      <c r="J2070" s="19" t="n"/>
      <c r="P2070" s="20" t="n"/>
      <c r="Q2070" s="19" t="n"/>
      <c r="R2070" s="19" t="n"/>
      <c r="Y2070" s="19" t="n"/>
    </row>
    <row r="2071">
      <c r="C2071" s="18" t="n"/>
      <c r="J2071" s="19" t="n"/>
      <c r="P2071" s="20" t="n"/>
      <c r="Q2071" s="19" t="n"/>
      <c r="R2071" s="19" t="n"/>
      <c r="Y2071" s="19" t="n"/>
    </row>
    <row r="2072">
      <c r="C2072" s="18" t="n"/>
      <c r="J2072" s="19" t="n"/>
      <c r="P2072" s="20" t="n"/>
      <c r="Q2072" s="19" t="n"/>
      <c r="R2072" s="19" t="n"/>
      <c r="Y2072" s="19" t="n"/>
    </row>
    <row r="2073">
      <c r="C2073" s="18" t="n"/>
      <c r="J2073" s="19" t="n"/>
      <c r="P2073" s="20" t="n"/>
      <c r="Q2073" s="19" t="n"/>
      <c r="R2073" s="19" t="n"/>
      <c r="Y2073" s="19" t="n"/>
    </row>
    <row r="2074">
      <c r="C2074" s="18" t="n"/>
      <c r="J2074" s="19" t="n"/>
      <c r="P2074" s="20" t="n"/>
      <c r="Q2074" s="19" t="n"/>
      <c r="R2074" s="19" t="n"/>
      <c r="Y2074" s="19" t="n"/>
    </row>
    <row r="2075">
      <c r="C2075" s="18" t="n"/>
      <c r="J2075" s="19" t="n"/>
      <c r="P2075" s="20" t="n"/>
      <c r="Q2075" s="19" t="n"/>
      <c r="R2075" s="19" t="n"/>
      <c r="Y2075" s="19" t="n"/>
    </row>
    <row r="2076">
      <c r="C2076" s="18" t="n"/>
      <c r="J2076" s="19" t="n"/>
      <c r="P2076" s="20" t="n"/>
      <c r="Q2076" s="19" t="n"/>
      <c r="R2076" s="19" t="n"/>
      <c r="Y2076" s="19" t="n"/>
    </row>
    <row r="2077">
      <c r="C2077" s="18" t="n"/>
      <c r="J2077" s="19" t="n"/>
      <c r="P2077" s="20" t="n"/>
      <c r="Q2077" s="19" t="n"/>
      <c r="R2077" s="19" t="n"/>
      <c r="Y2077" s="19" t="n"/>
    </row>
    <row r="2078">
      <c r="C2078" s="18" t="n"/>
      <c r="J2078" s="19" t="n"/>
      <c r="P2078" s="20" t="n"/>
      <c r="Q2078" s="19" t="n"/>
      <c r="R2078" s="19" t="n"/>
      <c r="Y2078" s="19" t="n"/>
    </row>
    <row r="2079">
      <c r="C2079" s="18" t="n"/>
      <c r="J2079" s="19" t="n"/>
      <c r="P2079" s="20" t="n"/>
      <c r="Q2079" s="19" t="n"/>
      <c r="R2079" s="19" t="n"/>
      <c r="Y2079" s="19" t="n"/>
    </row>
    <row r="2080">
      <c r="C2080" s="18" t="n"/>
      <c r="J2080" s="19" t="n"/>
      <c r="P2080" s="20" t="n"/>
      <c r="Q2080" s="19" t="n"/>
      <c r="R2080" s="19" t="n"/>
      <c r="Y2080" s="19" t="n"/>
    </row>
    <row r="2081">
      <c r="C2081" s="18" t="n"/>
      <c r="J2081" s="19" t="n"/>
      <c r="P2081" s="20" t="n"/>
      <c r="Q2081" s="19" t="n"/>
      <c r="R2081" s="19" t="n"/>
      <c r="Y2081" s="19" t="n"/>
    </row>
    <row r="2082">
      <c r="C2082" s="18" t="n"/>
      <c r="J2082" s="19" t="n"/>
      <c r="P2082" s="20" t="n"/>
      <c r="Q2082" s="19" t="n"/>
      <c r="R2082" s="19" t="n"/>
      <c r="Y2082" s="19" t="n"/>
    </row>
    <row r="2083">
      <c r="C2083" s="18" t="n"/>
      <c r="J2083" s="19" t="n"/>
      <c r="P2083" s="20" t="n"/>
      <c r="Q2083" s="19" t="n"/>
      <c r="R2083" s="19" t="n"/>
      <c r="Y2083" s="19" t="n"/>
    </row>
    <row r="2084">
      <c r="C2084" s="18" t="n"/>
      <c r="J2084" s="19" t="n"/>
      <c r="P2084" s="20" t="n"/>
      <c r="Q2084" s="19" t="n"/>
      <c r="R2084" s="19" t="n"/>
      <c r="Y2084" s="19" t="n"/>
    </row>
    <row r="2085">
      <c r="C2085" s="18" t="n"/>
      <c r="J2085" s="19" t="n"/>
      <c r="P2085" s="20" t="n"/>
      <c r="Q2085" s="19" t="n"/>
      <c r="R2085" s="19" t="n"/>
      <c r="Y2085" s="19" t="n"/>
    </row>
    <row r="2086">
      <c r="C2086" s="18" t="n"/>
      <c r="J2086" s="19" t="n"/>
      <c r="P2086" s="20" t="n"/>
      <c r="Q2086" s="19" t="n"/>
      <c r="R2086" s="19" t="n"/>
      <c r="Y2086" s="19" t="n"/>
    </row>
    <row r="2087">
      <c r="C2087" s="18" t="n"/>
      <c r="J2087" s="19" t="n"/>
      <c r="P2087" s="20" t="n"/>
      <c r="Q2087" s="19" t="n"/>
      <c r="R2087" s="19" t="n"/>
      <c r="Y2087" s="19" t="n"/>
    </row>
    <row r="2088">
      <c r="C2088" s="18" t="n"/>
      <c r="J2088" s="19" t="n"/>
      <c r="P2088" s="20" t="n"/>
      <c r="Q2088" s="19" t="n"/>
      <c r="R2088" s="19" t="n"/>
      <c r="Y2088" s="19" t="n"/>
    </row>
    <row r="2089">
      <c r="C2089" s="18" t="n"/>
      <c r="J2089" s="19" t="n"/>
      <c r="P2089" s="20" t="n"/>
      <c r="Q2089" s="19" t="n"/>
      <c r="R2089" s="19" t="n"/>
      <c r="Y2089" s="19" t="n"/>
    </row>
    <row r="2090">
      <c r="C2090" s="18" t="n"/>
      <c r="J2090" s="19" t="n"/>
      <c r="P2090" s="20" t="n"/>
      <c r="Q2090" s="19" t="n"/>
      <c r="R2090" s="19" t="n"/>
      <c r="Y2090" s="19" t="n"/>
    </row>
    <row r="2091">
      <c r="C2091" s="18" t="n"/>
      <c r="J2091" s="19" t="n"/>
      <c r="P2091" s="20" t="n"/>
      <c r="Q2091" s="19" t="n"/>
      <c r="R2091" s="19" t="n"/>
      <c r="Y2091" s="19" t="n"/>
    </row>
    <row r="2092">
      <c r="C2092" s="18" t="n"/>
      <c r="J2092" s="19" t="n"/>
      <c r="P2092" s="20" t="n"/>
      <c r="Q2092" s="19" t="n"/>
      <c r="R2092" s="19" t="n"/>
      <c r="Y2092" s="19" t="n"/>
    </row>
    <row r="2093">
      <c r="C2093" s="18" t="n"/>
      <c r="J2093" s="19" t="n"/>
      <c r="P2093" s="20" t="n"/>
      <c r="Q2093" s="19" t="n"/>
      <c r="R2093" s="19" t="n"/>
      <c r="Y2093" s="19" t="n"/>
    </row>
    <row r="2094">
      <c r="C2094" s="18" t="n"/>
      <c r="J2094" s="19" t="n"/>
      <c r="P2094" s="20" t="n"/>
      <c r="Q2094" s="19" t="n"/>
      <c r="R2094" s="19" t="n"/>
      <c r="Y2094" s="19" t="n"/>
    </row>
    <row r="2095">
      <c r="C2095" s="18" t="n"/>
      <c r="J2095" s="19" t="n"/>
      <c r="P2095" s="20" t="n"/>
      <c r="Q2095" s="19" t="n"/>
      <c r="R2095" s="19" t="n"/>
      <c r="Y2095" s="19" t="n"/>
    </row>
    <row r="2096">
      <c r="C2096" s="18" t="n"/>
      <c r="J2096" s="19" t="n"/>
      <c r="P2096" s="20" t="n"/>
      <c r="Q2096" s="19" t="n"/>
      <c r="R2096" s="19" t="n"/>
      <c r="Y2096" s="19" t="n"/>
    </row>
    <row r="2097">
      <c r="C2097" s="18" t="n"/>
      <c r="J2097" s="19" t="n"/>
      <c r="P2097" s="20" t="n"/>
      <c r="Q2097" s="19" t="n"/>
      <c r="R2097" s="19" t="n"/>
      <c r="Y2097" s="19" t="n"/>
    </row>
    <row r="2098">
      <c r="C2098" s="18" t="n"/>
      <c r="J2098" s="19" t="n"/>
      <c r="P2098" s="20" t="n"/>
      <c r="Q2098" s="19" t="n"/>
      <c r="R2098" s="19" t="n"/>
      <c r="Y2098" s="19" t="n"/>
    </row>
    <row r="2099">
      <c r="C2099" s="18" t="n"/>
      <c r="J2099" s="19" t="n"/>
      <c r="P2099" s="20" t="n"/>
      <c r="Q2099" s="19" t="n"/>
      <c r="R2099" s="19" t="n"/>
      <c r="Y2099" s="19" t="n"/>
    </row>
    <row r="2100">
      <c r="C2100" s="18" t="n"/>
      <c r="J2100" s="19" t="n"/>
      <c r="P2100" s="20" t="n"/>
      <c r="Q2100" s="19" t="n"/>
      <c r="R2100" s="19" t="n"/>
      <c r="Y2100" s="19" t="n"/>
    </row>
    <row r="2101">
      <c r="C2101" s="18" t="n"/>
      <c r="J2101" s="19" t="n"/>
      <c r="P2101" s="20" t="n"/>
      <c r="Q2101" s="19" t="n"/>
      <c r="R2101" s="19" t="n"/>
      <c r="Y2101" s="19" t="n"/>
    </row>
    <row r="2102">
      <c r="C2102" s="18" t="n"/>
      <c r="J2102" s="19" t="n"/>
      <c r="P2102" s="20" t="n"/>
      <c r="Q2102" s="19" t="n"/>
      <c r="R2102" s="19" t="n"/>
      <c r="Y2102" s="19" t="n"/>
    </row>
    <row r="2103">
      <c r="C2103" s="18" t="n"/>
      <c r="J2103" s="19" t="n"/>
      <c r="P2103" s="20" t="n"/>
      <c r="Q2103" s="19" t="n"/>
      <c r="R2103" s="19" t="n"/>
      <c r="Y2103" s="19" t="n"/>
    </row>
    <row r="2104">
      <c r="C2104" s="18" t="n"/>
      <c r="J2104" s="19" t="n"/>
      <c r="P2104" s="20" t="n"/>
      <c r="Q2104" s="19" t="n"/>
      <c r="R2104" s="19" t="n"/>
      <c r="Y2104" s="19" t="n"/>
    </row>
    <row r="2105">
      <c r="C2105" s="18" t="n"/>
      <c r="J2105" s="19" t="n"/>
      <c r="P2105" s="20" t="n"/>
      <c r="Q2105" s="19" t="n"/>
      <c r="R2105" s="19" t="n"/>
      <c r="Y2105" s="19" t="n"/>
    </row>
    <row r="2106">
      <c r="C2106" s="18" t="n"/>
      <c r="J2106" s="19" t="n"/>
      <c r="P2106" s="20" t="n"/>
      <c r="Q2106" s="19" t="n"/>
      <c r="R2106" s="19" t="n"/>
      <c r="Y2106" s="19" t="n"/>
    </row>
    <row r="2107">
      <c r="C2107" s="18" t="n"/>
      <c r="J2107" s="19" t="n"/>
      <c r="P2107" s="20" t="n"/>
      <c r="Q2107" s="19" t="n"/>
      <c r="R2107" s="19" t="n"/>
      <c r="Y2107" s="19" t="n"/>
    </row>
    <row r="2108">
      <c r="C2108" s="18" t="n"/>
      <c r="J2108" s="19" t="n"/>
      <c r="P2108" s="20" t="n"/>
      <c r="Q2108" s="19" t="n"/>
      <c r="R2108" s="19" t="n"/>
      <c r="Y2108" s="19" t="n"/>
    </row>
    <row r="2109">
      <c r="C2109" s="18" t="n"/>
      <c r="J2109" s="19" t="n"/>
      <c r="P2109" s="20" t="n"/>
      <c r="Q2109" s="19" t="n"/>
      <c r="R2109" s="19" t="n"/>
      <c r="Y2109" s="19" t="n"/>
    </row>
    <row r="2110">
      <c r="C2110" s="18" t="n"/>
      <c r="J2110" s="19" t="n"/>
      <c r="P2110" s="20" t="n"/>
      <c r="Q2110" s="19" t="n"/>
      <c r="R2110" s="19" t="n"/>
      <c r="Y2110" s="19" t="n"/>
    </row>
    <row r="2111">
      <c r="C2111" s="18" t="n"/>
      <c r="J2111" s="19" t="n"/>
      <c r="P2111" s="20" t="n"/>
      <c r="Q2111" s="19" t="n"/>
      <c r="R2111" s="19" t="n"/>
      <c r="Y2111" s="19" t="n"/>
    </row>
    <row r="2112">
      <c r="C2112" s="18" t="n"/>
      <c r="J2112" s="19" t="n"/>
      <c r="P2112" s="20" t="n"/>
      <c r="Q2112" s="19" t="n"/>
      <c r="R2112" s="19" t="n"/>
      <c r="Y2112" s="19" t="n"/>
    </row>
    <row r="2113">
      <c r="C2113" s="18" t="n"/>
      <c r="J2113" s="19" t="n"/>
      <c r="P2113" s="20" t="n"/>
      <c r="Q2113" s="19" t="n"/>
      <c r="R2113" s="19" t="n"/>
      <c r="Y2113" s="19" t="n"/>
    </row>
    <row r="2114">
      <c r="C2114" s="18" t="n"/>
      <c r="J2114" s="19" t="n"/>
      <c r="P2114" s="20" t="n"/>
      <c r="Q2114" s="19" t="n"/>
      <c r="R2114" s="19" t="n"/>
      <c r="Y2114" s="19" t="n"/>
    </row>
    <row r="2115">
      <c r="C2115" s="18" t="n"/>
      <c r="J2115" s="19" t="n"/>
      <c r="P2115" s="20" t="n"/>
      <c r="Q2115" s="19" t="n"/>
      <c r="R2115" s="19" t="n"/>
      <c r="Y2115" s="19" t="n"/>
    </row>
    <row r="2116">
      <c r="C2116" s="18" t="n"/>
      <c r="J2116" s="19" t="n"/>
      <c r="P2116" s="20" t="n"/>
      <c r="Q2116" s="19" t="n"/>
      <c r="R2116" s="19" t="n"/>
      <c r="Y2116" s="19" t="n"/>
    </row>
    <row r="2117">
      <c r="C2117" s="18" t="n"/>
      <c r="J2117" s="19" t="n"/>
      <c r="P2117" s="20" t="n"/>
      <c r="Q2117" s="19" t="n"/>
      <c r="R2117" s="19" t="n"/>
      <c r="Y2117" s="19" t="n"/>
    </row>
    <row r="2118">
      <c r="C2118" s="18" t="n"/>
      <c r="J2118" s="19" t="n"/>
      <c r="P2118" s="20" t="n"/>
      <c r="Q2118" s="19" t="n"/>
      <c r="R2118" s="19" t="n"/>
      <c r="Y2118" s="19" t="n"/>
    </row>
    <row r="2119">
      <c r="C2119" s="18" t="n"/>
      <c r="J2119" s="19" t="n"/>
      <c r="P2119" s="20" t="n"/>
      <c r="Q2119" s="19" t="n"/>
      <c r="R2119" s="19" t="n"/>
      <c r="Y2119" s="19" t="n"/>
    </row>
    <row r="2120">
      <c r="C2120" s="18" t="n"/>
      <c r="J2120" s="19" t="n"/>
      <c r="P2120" s="20" t="n"/>
      <c r="Q2120" s="19" t="n"/>
      <c r="R2120" s="19" t="n"/>
      <c r="Y2120" s="19" t="n"/>
    </row>
    <row r="2121">
      <c r="C2121" s="18" t="n"/>
      <c r="J2121" s="19" t="n"/>
      <c r="P2121" s="20" t="n"/>
      <c r="Q2121" s="19" t="n"/>
      <c r="R2121" s="19" t="n"/>
      <c r="Y2121" s="19" t="n"/>
    </row>
    <row r="2122">
      <c r="C2122" s="18" t="n"/>
      <c r="J2122" s="19" t="n"/>
      <c r="P2122" s="20" t="n"/>
      <c r="Q2122" s="19" t="n"/>
      <c r="R2122" s="19" t="n"/>
      <c r="Y2122" s="19" t="n"/>
    </row>
    <row r="2123">
      <c r="C2123" s="18" t="n"/>
      <c r="J2123" s="19" t="n"/>
      <c r="P2123" s="20" t="n"/>
      <c r="Q2123" s="19" t="n"/>
      <c r="R2123" s="19" t="n"/>
      <c r="Y2123" s="19" t="n"/>
    </row>
    <row r="2124">
      <c r="C2124" s="18" t="n"/>
      <c r="J2124" s="19" t="n"/>
      <c r="P2124" s="20" t="n"/>
      <c r="Q2124" s="19" t="n"/>
      <c r="R2124" s="19" t="n"/>
      <c r="Y2124" s="19" t="n"/>
    </row>
    <row r="2125">
      <c r="C2125" s="18" t="n"/>
      <c r="J2125" s="19" t="n"/>
      <c r="P2125" s="20" t="n"/>
      <c r="Q2125" s="19" t="n"/>
      <c r="R2125" s="19" t="n"/>
      <c r="Y2125" s="19" t="n"/>
    </row>
    <row r="2126">
      <c r="C2126" s="18" t="n"/>
      <c r="J2126" s="19" t="n"/>
      <c r="P2126" s="20" t="n"/>
      <c r="Q2126" s="19" t="n"/>
      <c r="R2126" s="19" t="n"/>
      <c r="Y2126" s="19" t="n"/>
    </row>
    <row r="2127">
      <c r="C2127" s="18" t="n"/>
      <c r="J2127" s="19" t="n"/>
      <c r="P2127" s="20" t="n"/>
      <c r="Q2127" s="19" t="n"/>
      <c r="R2127" s="19" t="n"/>
      <c r="Y2127" s="19" t="n"/>
    </row>
    <row r="2128">
      <c r="C2128" s="18" t="n"/>
      <c r="J2128" s="19" t="n"/>
      <c r="P2128" s="20" t="n"/>
      <c r="Q2128" s="19" t="n"/>
      <c r="R2128" s="19" t="n"/>
      <c r="Y2128" s="19" t="n"/>
    </row>
    <row r="2129">
      <c r="C2129" s="18" t="n"/>
      <c r="J2129" s="19" t="n"/>
      <c r="P2129" s="20" t="n"/>
      <c r="Q2129" s="19" t="n"/>
      <c r="R2129" s="19" t="n"/>
      <c r="Y2129" s="19" t="n"/>
    </row>
    <row r="2130">
      <c r="C2130" s="18" t="n"/>
      <c r="J2130" s="19" t="n"/>
      <c r="P2130" s="20" t="n"/>
      <c r="Q2130" s="19" t="n"/>
      <c r="R2130" s="19" t="n"/>
      <c r="Y2130" s="19" t="n"/>
    </row>
    <row r="2131">
      <c r="C2131" s="18" t="n"/>
      <c r="J2131" s="19" t="n"/>
      <c r="P2131" s="20" t="n"/>
      <c r="Q2131" s="19" t="n"/>
      <c r="R2131" s="19" t="n"/>
      <c r="Y2131" s="19" t="n"/>
    </row>
    <row r="2132">
      <c r="C2132" s="18" t="n"/>
      <c r="J2132" s="19" t="n"/>
      <c r="P2132" s="20" t="n"/>
      <c r="Q2132" s="19" t="n"/>
      <c r="R2132" s="19" t="n"/>
      <c r="Y2132" s="19" t="n"/>
    </row>
    <row r="2133">
      <c r="C2133" s="18" t="n"/>
      <c r="J2133" s="19" t="n"/>
      <c r="P2133" s="20" t="n"/>
      <c r="Q2133" s="19" t="n"/>
      <c r="R2133" s="19" t="n"/>
      <c r="Y2133" s="19" t="n"/>
    </row>
    <row r="2134">
      <c r="C2134" s="18" t="n"/>
      <c r="J2134" s="19" t="n"/>
      <c r="P2134" s="20" t="n"/>
      <c r="Q2134" s="19" t="n"/>
      <c r="R2134" s="19" t="n"/>
      <c r="Y2134" s="19" t="n"/>
    </row>
    <row r="2135">
      <c r="C2135" s="18" t="n"/>
      <c r="J2135" s="19" t="n"/>
      <c r="P2135" s="20" t="n"/>
      <c r="Q2135" s="19" t="n"/>
      <c r="R2135" s="19" t="n"/>
      <c r="Y2135" s="19" t="n"/>
    </row>
    <row r="2136">
      <c r="C2136" s="18" t="n"/>
      <c r="J2136" s="19" t="n"/>
      <c r="P2136" s="20" t="n"/>
      <c r="Q2136" s="19" t="n"/>
      <c r="R2136" s="19" t="n"/>
      <c r="Y2136" s="19" t="n"/>
    </row>
    <row r="2137">
      <c r="C2137" s="18" t="n"/>
      <c r="J2137" s="19" t="n"/>
      <c r="P2137" s="20" t="n"/>
      <c r="Q2137" s="19" t="n"/>
      <c r="R2137" s="19" t="n"/>
      <c r="Y2137" s="19" t="n"/>
    </row>
    <row r="2138">
      <c r="C2138" s="18" t="n"/>
      <c r="J2138" s="19" t="n"/>
      <c r="P2138" s="20" t="n"/>
      <c r="Q2138" s="19" t="n"/>
      <c r="R2138" s="19" t="n"/>
      <c r="Y2138" s="19" t="n"/>
    </row>
    <row r="2139">
      <c r="C2139" s="18" t="n"/>
      <c r="J2139" s="19" t="n"/>
      <c r="P2139" s="20" t="n"/>
      <c r="Q2139" s="19" t="n"/>
      <c r="R2139" s="19" t="n"/>
      <c r="Y2139" s="19" t="n"/>
    </row>
    <row r="2140">
      <c r="C2140" s="18" t="n"/>
      <c r="J2140" s="19" t="n"/>
      <c r="P2140" s="20" t="n"/>
      <c r="Q2140" s="19" t="n"/>
      <c r="R2140" s="19" t="n"/>
      <c r="Y2140" s="19" t="n"/>
    </row>
    <row r="2141">
      <c r="C2141" s="18" t="n"/>
      <c r="J2141" s="19" t="n"/>
      <c r="P2141" s="20" t="n"/>
      <c r="Q2141" s="19" t="n"/>
      <c r="R2141" s="19" t="n"/>
      <c r="Y2141" s="19" t="n"/>
    </row>
    <row r="2142">
      <c r="C2142" s="18" t="n"/>
      <c r="J2142" s="19" t="n"/>
      <c r="P2142" s="20" t="n"/>
      <c r="Q2142" s="19" t="n"/>
      <c r="R2142" s="19" t="n"/>
      <c r="Y2142" s="19" t="n"/>
    </row>
    <row r="2143">
      <c r="C2143" s="18" t="n"/>
      <c r="J2143" s="19" t="n"/>
      <c r="P2143" s="20" t="n"/>
      <c r="Q2143" s="19" t="n"/>
      <c r="R2143" s="19" t="n"/>
      <c r="Y2143" s="19" t="n"/>
    </row>
    <row r="2144">
      <c r="C2144" s="18" t="n"/>
      <c r="J2144" s="19" t="n"/>
      <c r="P2144" s="20" t="n"/>
      <c r="Q2144" s="19" t="n"/>
      <c r="R2144" s="19" t="n"/>
      <c r="Y2144" s="19" t="n"/>
    </row>
    <row r="2145">
      <c r="C2145" s="18" t="n"/>
      <c r="J2145" s="19" t="n"/>
      <c r="P2145" s="20" t="n"/>
      <c r="Q2145" s="19" t="n"/>
      <c r="R2145" s="19" t="n"/>
      <c r="Y2145" s="19" t="n"/>
    </row>
    <row r="2146">
      <c r="C2146" s="18" t="n"/>
      <c r="J2146" s="19" t="n"/>
      <c r="P2146" s="20" t="n"/>
      <c r="Q2146" s="19" t="n"/>
      <c r="R2146" s="19" t="n"/>
      <c r="Y2146" s="19" t="n"/>
    </row>
    <row r="2147">
      <c r="C2147" s="18" t="n"/>
      <c r="J2147" s="19" t="n"/>
      <c r="P2147" s="20" t="n"/>
      <c r="Q2147" s="19" t="n"/>
      <c r="R2147" s="19" t="n"/>
      <c r="Y2147" s="19" t="n"/>
    </row>
    <row r="2148">
      <c r="C2148" s="18" t="n"/>
      <c r="J2148" s="19" t="n"/>
      <c r="P2148" s="20" t="n"/>
      <c r="Q2148" s="19" t="n"/>
      <c r="R2148" s="19" t="n"/>
      <c r="Y2148" s="19" t="n"/>
    </row>
    <row r="2149">
      <c r="C2149" s="18" t="n"/>
      <c r="J2149" s="19" t="n"/>
      <c r="P2149" s="20" t="n"/>
      <c r="Q2149" s="19" t="n"/>
      <c r="R2149" s="19" t="n"/>
      <c r="Y2149" s="19" t="n"/>
    </row>
    <row r="2150">
      <c r="C2150" s="18" t="n"/>
      <c r="J2150" s="19" t="n"/>
      <c r="P2150" s="20" t="n"/>
      <c r="Q2150" s="19" t="n"/>
      <c r="R2150" s="19" t="n"/>
      <c r="Y2150" s="19" t="n"/>
    </row>
    <row r="2151">
      <c r="C2151" s="18" t="n"/>
      <c r="J2151" s="19" t="n"/>
      <c r="P2151" s="20" t="n"/>
      <c r="Q2151" s="19" t="n"/>
      <c r="R2151" s="19" t="n"/>
      <c r="Y2151" s="19" t="n"/>
    </row>
    <row r="2152">
      <c r="C2152" s="18" t="n"/>
      <c r="J2152" s="19" t="n"/>
      <c r="P2152" s="20" t="n"/>
      <c r="Q2152" s="19" t="n"/>
      <c r="R2152" s="19" t="n"/>
      <c r="Y2152" s="19" t="n"/>
    </row>
    <row r="2153">
      <c r="C2153" s="18" t="n"/>
      <c r="J2153" s="19" t="n"/>
      <c r="P2153" s="20" t="n"/>
      <c r="Q2153" s="19" t="n"/>
      <c r="R2153" s="19" t="n"/>
      <c r="Y2153" s="19" t="n"/>
    </row>
    <row r="2154">
      <c r="C2154" s="18" t="n"/>
      <c r="J2154" s="19" t="n"/>
      <c r="P2154" s="20" t="n"/>
      <c r="Q2154" s="19" t="n"/>
      <c r="R2154" s="19" t="n"/>
      <c r="Y2154" s="19" t="n"/>
    </row>
    <row r="2155">
      <c r="C2155" s="18" t="n"/>
      <c r="J2155" s="19" t="n"/>
      <c r="P2155" s="20" t="n"/>
      <c r="Q2155" s="19" t="n"/>
      <c r="R2155" s="19" t="n"/>
      <c r="Y2155" s="19" t="n"/>
    </row>
    <row r="2156">
      <c r="C2156" s="18" t="n"/>
      <c r="J2156" s="19" t="n"/>
      <c r="P2156" s="20" t="n"/>
      <c r="Q2156" s="19" t="n"/>
      <c r="R2156" s="19" t="n"/>
      <c r="Y2156" s="19" t="n"/>
    </row>
    <row r="2157">
      <c r="C2157" s="18" t="n"/>
      <c r="J2157" s="19" t="n"/>
      <c r="P2157" s="20" t="n"/>
      <c r="Q2157" s="19" t="n"/>
      <c r="R2157" s="19" t="n"/>
      <c r="Y2157" s="19" t="n"/>
    </row>
    <row r="2158">
      <c r="C2158" s="18" t="n"/>
      <c r="J2158" s="19" t="n"/>
      <c r="P2158" s="20" t="n"/>
      <c r="Q2158" s="19" t="n"/>
      <c r="R2158" s="19" t="n"/>
      <c r="Y2158" s="19" t="n"/>
    </row>
    <row r="2159">
      <c r="C2159" s="18" t="n"/>
      <c r="J2159" s="19" t="n"/>
      <c r="P2159" s="20" t="n"/>
      <c r="Q2159" s="19" t="n"/>
      <c r="R2159" s="19" t="n"/>
      <c r="Y2159" s="19" t="n"/>
    </row>
    <row r="2160">
      <c r="C2160" s="18" t="n"/>
      <c r="J2160" s="19" t="n"/>
      <c r="P2160" s="20" t="n"/>
      <c r="Q2160" s="19" t="n"/>
      <c r="R2160" s="19" t="n"/>
      <c r="Y2160" s="19" t="n"/>
    </row>
    <row r="2161">
      <c r="C2161" s="18" t="n"/>
      <c r="J2161" s="19" t="n"/>
      <c r="P2161" s="20" t="n"/>
      <c r="Q2161" s="19" t="n"/>
      <c r="R2161" s="19" t="n"/>
      <c r="Y2161" s="19" t="n"/>
    </row>
    <row r="2162">
      <c r="C2162" s="18" t="n"/>
      <c r="J2162" s="19" t="n"/>
      <c r="P2162" s="20" t="n"/>
      <c r="Q2162" s="19" t="n"/>
      <c r="R2162" s="19" t="n"/>
      <c r="Y2162" s="19" t="n"/>
    </row>
    <row r="2163">
      <c r="C2163" s="18" t="n"/>
      <c r="J2163" s="19" t="n"/>
      <c r="P2163" s="20" t="n"/>
      <c r="Q2163" s="19" t="n"/>
      <c r="R2163" s="19" t="n"/>
      <c r="Y2163" s="19" t="n"/>
    </row>
    <row r="2164">
      <c r="C2164" s="18" t="n"/>
      <c r="J2164" s="19" t="n"/>
      <c r="P2164" s="20" t="n"/>
      <c r="Q2164" s="19" t="n"/>
      <c r="R2164" s="19" t="n"/>
      <c r="Y2164" s="19" t="n"/>
    </row>
    <row r="2165">
      <c r="C2165" s="18" t="n"/>
      <c r="J2165" s="19" t="n"/>
      <c r="P2165" s="20" t="n"/>
      <c r="Q2165" s="19" t="n"/>
      <c r="R2165" s="19" t="n"/>
      <c r="Y2165" s="19" t="n"/>
    </row>
    <row r="2166">
      <c r="C2166" s="18" t="n"/>
      <c r="J2166" s="19" t="n"/>
      <c r="P2166" s="20" t="n"/>
      <c r="Q2166" s="19" t="n"/>
      <c r="R2166" s="19" t="n"/>
      <c r="Y2166" s="19" t="n"/>
    </row>
    <row r="2167">
      <c r="C2167" s="18" t="n"/>
      <c r="J2167" s="19" t="n"/>
      <c r="P2167" s="20" t="n"/>
      <c r="Q2167" s="19" t="n"/>
      <c r="R2167" s="19" t="n"/>
      <c r="Y2167" s="19" t="n"/>
    </row>
    <row r="2168">
      <c r="C2168" s="18" t="n"/>
      <c r="J2168" s="19" t="n"/>
      <c r="P2168" s="20" t="n"/>
      <c r="Q2168" s="19" t="n"/>
      <c r="R2168" s="19" t="n"/>
      <c r="Y2168" s="19" t="n"/>
    </row>
    <row r="2169">
      <c r="C2169" s="18" t="n"/>
      <c r="J2169" s="19" t="n"/>
      <c r="P2169" s="20" t="n"/>
      <c r="Q2169" s="19" t="n"/>
      <c r="R2169" s="19" t="n"/>
      <c r="Y2169" s="19" t="n"/>
    </row>
    <row r="2170">
      <c r="C2170" s="18" t="n"/>
      <c r="J2170" s="19" t="n"/>
      <c r="P2170" s="20" t="n"/>
      <c r="Q2170" s="19" t="n"/>
      <c r="R2170" s="19" t="n"/>
      <c r="Y2170" s="19" t="n"/>
    </row>
    <row r="2171">
      <c r="C2171" s="18" t="n"/>
      <c r="J2171" s="19" t="n"/>
      <c r="P2171" s="20" t="n"/>
      <c r="Q2171" s="19" t="n"/>
      <c r="R2171" s="19" t="n"/>
      <c r="Y2171" s="19" t="n"/>
    </row>
    <row r="2172">
      <c r="C2172" s="18" t="n"/>
      <c r="J2172" s="19" t="n"/>
      <c r="P2172" s="20" t="n"/>
      <c r="Q2172" s="19" t="n"/>
      <c r="R2172" s="19" t="n"/>
      <c r="Y2172" s="19" t="n"/>
    </row>
    <row r="2173">
      <c r="C2173" s="18" t="n"/>
      <c r="J2173" s="19" t="n"/>
      <c r="P2173" s="20" t="n"/>
      <c r="Q2173" s="19" t="n"/>
      <c r="R2173" s="19" t="n"/>
      <c r="Y2173" s="19" t="n"/>
    </row>
    <row r="2174">
      <c r="C2174" s="18" t="n"/>
      <c r="J2174" s="19" t="n"/>
      <c r="P2174" s="20" t="n"/>
      <c r="Q2174" s="19" t="n"/>
      <c r="R2174" s="19" t="n"/>
      <c r="Y2174" s="19" t="n"/>
    </row>
    <row r="2175">
      <c r="C2175" s="18" t="n"/>
      <c r="J2175" s="19" t="n"/>
      <c r="P2175" s="20" t="n"/>
      <c r="Q2175" s="19" t="n"/>
      <c r="R2175" s="19" t="n"/>
      <c r="Y2175" s="19" t="n"/>
    </row>
    <row r="2176">
      <c r="C2176" s="18" t="n"/>
      <c r="J2176" s="19" t="n"/>
      <c r="P2176" s="20" t="n"/>
      <c r="Q2176" s="19" t="n"/>
      <c r="R2176" s="19" t="n"/>
      <c r="Y2176" s="19" t="n"/>
    </row>
    <row r="2177">
      <c r="C2177" s="18" t="n"/>
      <c r="J2177" s="19" t="n"/>
      <c r="P2177" s="20" t="n"/>
      <c r="Q2177" s="19" t="n"/>
      <c r="R2177" s="19" t="n"/>
      <c r="Y2177" s="19" t="n"/>
    </row>
    <row r="2178">
      <c r="C2178" s="18" t="n"/>
      <c r="J2178" s="19" t="n"/>
      <c r="P2178" s="20" t="n"/>
      <c r="Q2178" s="19" t="n"/>
      <c r="R2178" s="19" t="n"/>
      <c r="Y2178" s="19" t="n"/>
    </row>
    <row r="2179">
      <c r="C2179" s="18" t="n"/>
      <c r="J2179" s="19" t="n"/>
      <c r="P2179" s="20" t="n"/>
      <c r="Q2179" s="19" t="n"/>
      <c r="R2179" s="19" t="n"/>
      <c r="Y2179" s="19" t="n"/>
    </row>
    <row r="2180">
      <c r="C2180" s="18" t="n"/>
      <c r="J2180" s="19" t="n"/>
      <c r="P2180" s="20" t="n"/>
      <c r="Q2180" s="19" t="n"/>
      <c r="R2180" s="19" t="n"/>
      <c r="Y2180" s="19" t="n"/>
    </row>
    <row r="2181">
      <c r="C2181" s="18" t="n"/>
      <c r="J2181" s="19" t="n"/>
      <c r="P2181" s="20" t="n"/>
      <c r="Q2181" s="19" t="n"/>
      <c r="R2181" s="19" t="n"/>
      <c r="Y2181" s="19" t="n"/>
    </row>
    <row r="2182">
      <c r="C2182" s="18" t="n"/>
      <c r="J2182" s="19" t="n"/>
      <c r="P2182" s="20" t="n"/>
      <c r="Q2182" s="19" t="n"/>
      <c r="R2182" s="19" t="n"/>
      <c r="Y2182" s="19" t="n"/>
    </row>
    <row r="2183">
      <c r="C2183" s="18" t="n"/>
      <c r="J2183" s="19" t="n"/>
      <c r="P2183" s="20" t="n"/>
      <c r="Q2183" s="19" t="n"/>
      <c r="R2183" s="19" t="n"/>
      <c r="Y2183" s="19" t="n"/>
    </row>
    <row r="2184">
      <c r="C2184" s="18" t="n"/>
      <c r="J2184" s="19" t="n"/>
      <c r="P2184" s="20" t="n"/>
      <c r="Q2184" s="19" t="n"/>
      <c r="R2184" s="19" t="n"/>
      <c r="Y2184" s="19" t="n"/>
    </row>
    <row r="2185">
      <c r="C2185" s="18" t="n"/>
      <c r="J2185" s="19" t="n"/>
      <c r="P2185" s="20" t="n"/>
      <c r="Q2185" s="19" t="n"/>
      <c r="R2185" s="19" t="n"/>
      <c r="Y2185" s="19" t="n"/>
    </row>
    <row r="2186">
      <c r="C2186" s="18" t="n"/>
      <c r="J2186" s="19" t="n"/>
      <c r="P2186" s="20" t="n"/>
      <c r="Q2186" s="19" t="n"/>
      <c r="R2186" s="19" t="n"/>
      <c r="Y2186" s="19" t="n"/>
    </row>
    <row r="2187">
      <c r="C2187" s="18" t="n"/>
      <c r="J2187" s="19" t="n"/>
      <c r="P2187" s="20" t="n"/>
      <c r="Q2187" s="19" t="n"/>
      <c r="R2187" s="19" t="n"/>
      <c r="Y2187" s="19" t="n"/>
    </row>
    <row r="2188">
      <c r="C2188" s="18" t="n"/>
      <c r="J2188" s="19" t="n"/>
      <c r="P2188" s="20" t="n"/>
      <c r="Q2188" s="19" t="n"/>
      <c r="R2188" s="19" t="n"/>
      <c r="Y2188" s="19" t="n"/>
    </row>
    <row r="2189">
      <c r="C2189" s="18" t="n"/>
      <c r="J2189" s="19" t="n"/>
      <c r="P2189" s="20" t="n"/>
      <c r="Q2189" s="19" t="n"/>
      <c r="R2189" s="19" t="n"/>
      <c r="Y2189" s="19" t="n"/>
    </row>
    <row r="2190">
      <c r="C2190" s="18" t="n"/>
      <c r="J2190" s="19" t="n"/>
      <c r="P2190" s="20" t="n"/>
      <c r="Q2190" s="19" t="n"/>
      <c r="R2190" s="19" t="n"/>
      <c r="Y2190" s="19" t="n"/>
    </row>
    <row r="2191">
      <c r="C2191" s="18" t="n"/>
      <c r="J2191" s="19" t="n"/>
      <c r="P2191" s="20" t="n"/>
      <c r="Q2191" s="19" t="n"/>
      <c r="R2191" s="19" t="n"/>
      <c r="Y2191" s="19" t="n"/>
    </row>
    <row r="2192">
      <c r="C2192" s="18" t="n"/>
      <c r="J2192" s="19" t="n"/>
      <c r="P2192" s="20" t="n"/>
      <c r="Q2192" s="19" t="n"/>
      <c r="R2192" s="19" t="n"/>
      <c r="Y2192" s="19" t="n"/>
    </row>
    <row r="2193">
      <c r="C2193" s="18" t="n"/>
      <c r="J2193" s="19" t="n"/>
      <c r="P2193" s="20" t="n"/>
      <c r="Q2193" s="19" t="n"/>
      <c r="R2193" s="19" t="n"/>
      <c r="Y2193" s="19" t="n"/>
    </row>
    <row r="2194">
      <c r="C2194" s="18" t="n"/>
      <c r="J2194" s="19" t="n"/>
      <c r="P2194" s="20" t="n"/>
      <c r="Q2194" s="19" t="n"/>
      <c r="R2194" s="19" t="n"/>
      <c r="Y2194" s="19" t="n"/>
    </row>
    <row r="2195">
      <c r="C2195" s="18" t="n"/>
      <c r="J2195" s="19" t="n"/>
      <c r="P2195" s="20" t="n"/>
      <c r="Q2195" s="19" t="n"/>
      <c r="R2195" s="19" t="n"/>
      <c r="Y2195" s="19" t="n"/>
    </row>
    <row r="2196">
      <c r="C2196" s="18" t="n"/>
      <c r="J2196" s="19" t="n"/>
      <c r="P2196" s="20" t="n"/>
      <c r="Q2196" s="19" t="n"/>
      <c r="R2196" s="19" t="n"/>
      <c r="Y2196" s="19" t="n"/>
    </row>
    <row r="2197">
      <c r="C2197" s="18" t="n"/>
      <c r="J2197" s="19" t="n"/>
      <c r="P2197" s="20" t="n"/>
      <c r="Q2197" s="19" t="n"/>
      <c r="R2197" s="19" t="n"/>
      <c r="Y2197" s="19" t="n"/>
    </row>
    <row r="2198">
      <c r="C2198" s="18" t="n"/>
      <c r="J2198" s="19" t="n"/>
      <c r="P2198" s="20" t="n"/>
      <c r="Q2198" s="19" t="n"/>
      <c r="R2198" s="19" t="n"/>
      <c r="Y2198" s="19" t="n"/>
    </row>
    <row r="2199">
      <c r="C2199" s="18" t="n"/>
      <c r="J2199" s="19" t="n"/>
      <c r="P2199" s="20" t="n"/>
      <c r="Q2199" s="19" t="n"/>
      <c r="R2199" s="19" t="n"/>
      <c r="Y2199" s="19" t="n"/>
    </row>
    <row r="2200">
      <c r="C2200" s="18" t="n"/>
      <c r="J2200" s="19" t="n"/>
      <c r="P2200" s="20" t="n"/>
      <c r="Q2200" s="19" t="n"/>
      <c r="R2200" s="19" t="n"/>
      <c r="Y2200" s="19" t="n"/>
    </row>
    <row r="2201">
      <c r="C2201" s="18" t="n"/>
      <c r="J2201" s="19" t="n"/>
      <c r="P2201" s="20" t="n"/>
      <c r="Q2201" s="19" t="n"/>
      <c r="R2201" s="19" t="n"/>
      <c r="Y2201" s="19" t="n"/>
    </row>
    <row r="2202">
      <c r="C2202" s="18" t="n"/>
      <c r="J2202" s="19" t="n"/>
      <c r="P2202" s="20" t="n"/>
      <c r="Q2202" s="19" t="n"/>
      <c r="R2202" s="19" t="n"/>
      <c r="Y2202" s="19" t="n"/>
    </row>
    <row r="2203">
      <c r="C2203" s="18" t="n"/>
      <c r="J2203" s="19" t="n"/>
      <c r="P2203" s="20" t="n"/>
      <c r="Q2203" s="19" t="n"/>
      <c r="R2203" s="19" t="n"/>
      <c r="Y2203" s="19" t="n"/>
    </row>
    <row r="2204">
      <c r="C2204" s="18" t="n"/>
      <c r="J2204" s="19" t="n"/>
      <c r="P2204" s="20" t="n"/>
      <c r="Q2204" s="19" t="n"/>
      <c r="R2204" s="19" t="n"/>
      <c r="Y2204" s="19" t="n"/>
    </row>
    <row r="2205">
      <c r="C2205" s="18" t="n"/>
      <c r="J2205" s="19" t="n"/>
      <c r="P2205" s="20" t="n"/>
      <c r="Q2205" s="19" t="n"/>
      <c r="R2205" s="19" t="n"/>
      <c r="Y2205" s="19" t="n"/>
    </row>
    <row r="2206">
      <c r="C2206" s="18" t="n"/>
      <c r="J2206" s="19" t="n"/>
      <c r="P2206" s="20" t="n"/>
      <c r="Q2206" s="19" t="n"/>
      <c r="R2206" s="19" t="n"/>
      <c r="Y2206" s="19" t="n"/>
    </row>
    <row r="2207">
      <c r="C2207" s="18" t="n"/>
      <c r="J2207" s="19" t="n"/>
      <c r="P2207" s="20" t="n"/>
      <c r="Q2207" s="19" t="n"/>
      <c r="R2207" s="19" t="n"/>
      <c r="Y2207" s="19" t="n"/>
    </row>
    <row r="2208">
      <c r="C2208" s="18" t="n"/>
      <c r="J2208" s="19" t="n"/>
      <c r="P2208" s="20" t="n"/>
      <c r="Q2208" s="19" t="n"/>
      <c r="R2208" s="19" t="n"/>
      <c r="Y2208" s="19" t="n"/>
    </row>
    <row r="2209">
      <c r="C2209" s="18" t="n"/>
      <c r="J2209" s="19" t="n"/>
      <c r="P2209" s="20" t="n"/>
      <c r="Q2209" s="19" t="n"/>
      <c r="R2209" s="19" t="n"/>
      <c r="Y2209" s="19" t="n"/>
    </row>
    <row r="2210">
      <c r="C2210" s="18" t="n"/>
      <c r="J2210" s="19" t="n"/>
      <c r="P2210" s="20" t="n"/>
      <c r="Q2210" s="19" t="n"/>
      <c r="R2210" s="19" t="n"/>
      <c r="Y2210" s="19" t="n"/>
    </row>
    <row r="2211">
      <c r="C2211" s="18" t="n"/>
      <c r="J2211" s="19" t="n"/>
      <c r="P2211" s="20" t="n"/>
      <c r="Q2211" s="19" t="n"/>
      <c r="R2211" s="19" t="n"/>
      <c r="Y2211" s="19" t="n"/>
    </row>
    <row r="2212">
      <c r="C2212" s="18" t="n"/>
      <c r="J2212" s="19" t="n"/>
      <c r="P2212" s="20" t="n"/>
      <c r="Q2212" s="19" t="n"/>
      <c r="R2212" s="19" t="n"/>
      <c r="Y2212" s="19" t="n"/>
    </row>
    <row r="2213">
      <c r="C2213" s="18" t="n"/>
      <c r="J2213" s="19" t="n"/>
      <c r="P2213" s="20" t="n"/>
      <c r="Q2213" s="19" t="n"/>
      <c r="R2213" s="19" t="n"/>
      <c r="Y2213" s="19" t="n"/>
    </row>
    <row r="2214">
      <c r="C2214" s="18" t="n"/>
      <c r="J2214" s="19" t="n"/>
      <c r="P2214" s="20" t="n"/>
      <c r="Q2214" s="19" t="n"/>
      <c r="R2214" s="19" t="n"/>
      <c r="Y2214" s="19" t="n"/>
    </row>
    <row r="2215">
      <c r="C2215" s="18" t="n"/>
      <c r="J2215" s="19" t="n"/>
      <c r="P2215" s="20" t="n"/>
      <c r="Q2215" s="19" t="n"/>
      <c r="R2215" s="19" t="n"/>
      <c r="Y2215" s="19" t="n"/>
    </row>
    <row r="2216">
      <c r="C2216" s="18" t="n"/>
      <c r="J2216" s="19" t="n"/>
      <c r="P2216" s="20" t="n"/>
      <c r="Q2216" s="19" t="n"/>
      <c r="R2216" s="19" t="n"/>
      <c r="Y2216" s="19" t="n"/>
    </row>
    <row r="2217">
      <c r="C2217" s="18" t="n"/>
      <c r="J2217" s="19" t="n"/>
      <c r="P2217" s="20" t="n"/>
      <c r="Q2217" s="19" t="n"/>
      <c r="R2217" s="19" t="n"/>
      <c r="Y2217" s="19" t="n"/>
    </row>
    <row r="2218">
      <c r="C2218" s="18" t="n"/>
      <c r="J2218" s="19" t="n"/>
      <c r="P2218" s="20" t="n"/>
      <c r="Q2218" s="19" t="n"/>
      <c r="R2218" s="19" t="n"/>
      <c r="Y2218" s="19" t="n"/>
    </row>
    <row r="2219">
      <c r="C2219" s="18" t="n"/>
      <c r="J2219" s="19" t="n"/>
      <c r="P2219" s="20" t="n"/>
      <c r="Q2219" s="19" t="n"/>
      <c r="R2219" s="19" t="n"/>
      <c r="Y2219" s="19" t="n"/>
    </row>
    <row r="2220">
      <c r="C2220" s="18" t="n"/>
      <c r="J2220" s="19" t="n"/>
      <c r="P2220" s="20" t="n"/>
      <c r="Q2220" s="19" t="n"/>
      <c r="R2220" s="19" t="n"/>
      <c r="Y2220" s="19" t="n"/>
    </row>
    <row r="2221">
      <c r="C2221" s="18" t="n"/>
      <c r="J2221" s="19" t="n"/>
      <c r="P2221" s="20" t="n"/>
      <c r="Q2221" s="19" t="n"/>
      <c r="R2221" s="19" t="n"/>
      <c r="Y2221" s="19" t="n"/>
    </row>
    <row r="2222">
      <c r="C2222" s="18" t="n"/>
      <c r="J2222" s="19" t="n"/>
      <c r="P2222" s="20" t="n"/>
      <c r="Q2222" s="19" t="n"/>
      <c r="R2222" s="19" t="n"/>
      <c r="Y2222" s="19" t="n"/>
    </row>
    <row r="2223">
      <c r="C2223" s="18" t="n"/>
      <c r="J2223" s="19" t="n"/>
      <c r="P2223" s="20" t="n"/>
      <c r="Q2223" s="19" t="n"/>
      <c r="R2223" s="19" t="n"/>
      <c r="Y2223" s="19" t="n"/>
    </row>
    <row r="2224">
      <c r="C2224" s="18" t="n"/>
      <c r="J2224" s="19" t="n"/>
      <c r="P2224" s="20" t="n"/>
      <c r="Q2224" s="19" t="n"/>
      <c r="R2224" s="19" t="n"/>
      <c r="Y2224" s="19" t="n"/>
    </row>
    <row r="2225">
      <c r="C2225" s="18" t="n"/>
      <c r="J2225" s="19" t="n"/>
      <c r="P2225" s="20" t="n"/>
      <c r="Q2225" s="19" t="n"/>
      <c r="R2225" s="19" t="n"/>
      <c r="Y2225" s="19" t="n"/>
    </row>
    <row r="2226">
      <c r="C2226" s="18" t="n"/>
      <c r="J2226" s="19" t="n"/>
      <c r="P2226" s="20" t="n"/>
      <c r="Q2226" s="19" t="n"/>
      <c r="R2226" s="19" t="n"/>
      <c r="Y2226" s="19" t="n"/>
    </row>
    <row r="2227">
      <c r="C2227" s="18" t="n"/>
      <c r="J2227" s="19" t="n"/>
      <c r="P2227" s="20" t="n"/>
      <c r="Q2227" s="19" t="n"/>
      <c r="R2227" s="19" t="n"/>
      <c r="Y2227" s="19" t="n"/>
    </row>
    <row r="2228">
      <c r="C2228" s="18" t="n"/>
      <c r="J2228" s="19" t="n"/>
      <c r="P2228" s="20" t="n"/>
      <c r="Q2228" s="19" t="n"/>
      <c r="R2228" s="19" t="n"/>
      <c r="Y2228" s="19" t="n"/>
    </row>
    <row r="2229">
      <c r="C2229" s="18" t="n"/>
      <c r="J2229" s="19" t="n"/>
      <c r="P2229" s="20" t="n"/>
      <c r="Q2229" s="19" t="n"/>
      <c r="R2229" s="19" t="n"/>
      <c r="Y2229" s="19" t="n"/>
    </row>
    <row r="2230">
      <c r="C2230" s="18" t="n"/>
      <c r="J2230" s="19" t="n"/>
      <c r="P2230" s="20" t="n"/>
      <c r="Q2230" s="19" t="n"/>
      <c r="R2230" s="19" t="n"/>
      <c r="Y2230" s="19" t="n"/>
    </row>
    <row r="2231">
      <c r="C2231" s="18" t="n"/>
      <c r="J2231" s="19" t="n"/>
      <c r="P2231" s="20" t="n"/>
      <c r="Q2231" s="19" t="n"/>
      <c r="R2231" s="19" t="n"/>
      <c r="Y2231" s="19" t="n"/>
    </row>
    <row r="2232">
      <c r="C2232" s="18" t="n"/>
      <c r="J2232" s="19" t="n"/>
      <c r="P2232" s="20" t="n"/>
      <c r="Q2232" s="19" t="n"/>
      <c r="R2232" s="19" t="n"/>
      <c r="Y2232" s="19" t="n"/>
    </row>
    <row r="2233">
      <c r="C2233" s="18" t="n"/>
      <c r="J2233" s="19" t="n"/>
      <c r="P2233" s="20" t="n"/>
      <c r="Q2233" s="19" t="n"/>
      <c r="R2233" s="19" t="n"/>
      <c r="Y2233" s="19" t="n"/>
    </row>
    <row r="2234">
      <c r="C2234" s="18" t="n"/>
      <c r="J2234" s="19" t="n"/>
      <c r="P2234" s="20" t="n"/>
      <c r="Q2234" s="19" t="n"/>
      <c r="R2234" s="19" t="n"/>
      <c r="Y2234" s="19" t="n"/>
    </row>
    <row r="2235">
      <c r="C2235" s="18" t="n"/>
      <c r="J2235" s="19" t="n"/>
      <c r="P2235" s="20" t="n"/>
      <c r="Q2235" s="19" t="n"/>
      <c r="R2235" s="19" t="n"/>
      <c r="Y2235" s="19" t="n"/>
    </row>
    <row r="2236">
      <c r="C2236" s="18" t="n"/>
      <c r="J2236" s="19" t="n"/>
      <c r="P2236" s="20" t="n"/>
      <c r="Q2236" s="19" t="n"/>
      <c r="R2236" s="19" t="n"/>
      <c r="Y2236" s="19" t="n"/>
    </row>
    <row r="2237">
      <c r="C2237" s="18" t="n"/>
      <c r="J2237" s="19" t="n"/>
      <c r="P2237" s="20" t="n"/>
      <c r="Q2237" s="19" t="n"/>
      <c r="R2237" s="19" t="n"/>
      <c r="Y2237" s="19" t="n"/>
    </row>
    <row r="2238">
      <c r="C2238" s="18" t="n"/>
      <c r="J2238" s="19" t="n"/>
      <c r="P2238" s="20" t="n"/>
      <c r="Q2238" s="19" t="n"/>
      <c r="R2238" s="19" t="n"/>
      <c r="Y2238" s="19" t="n"/>
    </row>
    <row r="2239">
      <c r="C2239" s="18" t="n"/>
      <c r="J2239" s="19" t="n"/>
      <c r="P2239" s="20" t="n"/>
      <c r="Q2239" s="19" t="n"/>
      <c r="R2239" s="19" t="n"/>
      <c r="Y2239" s="19" t="n"/>
    </row>
    <row r="2240">
      <c r="C2240" s="18" t="n"/>
      <c r="J2240" s="19" t="n"/>
      <c r="P2240" s="20" t="n"/>
      <c r="Q2240" s="19" t="n"/>
      <c r="R2240" s="19" t="n"/>
      <c r="Y2240" s="19" t="n"/>
    </row>
    <row r="2241">
      <c r="C2241" s="18" t="n"/>
      <c r="J2241" s="19" t="n"/>
      <c r="P2241" s="20" t="n"/>
      <c r="Q2241" s="19" t="n"/>
      <c r="R2241" s="19" t="n"/>
      <c r="Y2241" s="19" t="n"/>
    </row>
    <row r="2242">
      <c r="C2242" s="18" t="n"/>
      <c r="J2242" s="19" t="n"/>
      <c r="P2242" s="20" t="n"/>
      <c r="Q2242" s="19" t="n"/>
      <c r="R2242" s="19" t="n"/>
      <c r="Y2242" s="19" t="n"/>
    </row>
    <row r="2243">
      <c r="C2243" s="18" t="n"/>
      <c r="J2243" s="19" t="n"/>
      <c r="P2243" s="20" t="n"/>
      <c r="Q2243" s="19" t="n"/>
      <c r="R2243" s="19" t="n"/>
      <c r="Y2243" s="19" t="n"/>
    </row>
    <row r="2244">
      <c r="C2244" s="18" t="n"/>
      <c r="J2244" s="19" t="n"/>
      <c r="P2244" s="20" t="n"/>
      <c r="Q2244" s="19" t="n"/>
      <c r="R2244" s="19" t="n"/>
      <c r="Y2244" s="19" t="n"/>
    </row>
    <row r="2245">
      <c r="C2245" s="18" t="n"/>
      <c r="J2245" s="19" t="n"/>
      <c r="P2245" s="20" t="n"/>
      <c r="Q2245" s="19" t="n"/>
      <c r="R2245" s="19" t="n"/>
      <c r="Y2245" s="19" t="n"/>
    </row>
    <row r="2246">
      <c r="C2246" s="18" t="n"/>
      <c r="J2246" s="19" t="n"/>
      <c r="P2246" s="20" t="n"/>
      <c r="Q2246" s="19" t="n"/>
      <c r="R2246" s="19" t="n"/>
      <c r="Y2246" s="19" t="n"/>
    </row>
    <row r="2247">
      <c r="C2247" s="18" t="n"/>
      <c r="J2247" s="19" t="n"/>
      <c r="P2247" s="20" t="n"/>
      <c r="Q2247" s="19" t="n"/>
      <c r="R2247" s="19" t="n"/>
      <c r="Y2247" s="19" t="n"/>
    </row>
    <row r="2248">
      <c r="C2248" s="18" t="n"/>
      <c r="J2248" s="19" t="n"/>
      <c r="P2248" s="20" t="n"/>
      <c r="Q2248" s="19" t="n"/>
      <c r="R2248" s="19" t="n"/>
      <c r="Y2248" s="19" t="n"/>
    </row>
    <row r="2249">
      <c r="C2249" s="18" t="n"/>
      <c r="J2249" s="19" t="n"/>
      <c r="P2249" s="20" t="n"/>
      <c r="Q2249" s="19" t="n"/>
      <c r="R2249" s="19" t="n"/>
      <c r="Y2249" s="19" t="n"/>
    </row>
    <row r="2250">
      <c r="C2250" s="18" t="n"/>
      <c r="J2250" s="19" t="n"/>
      <c r="P2250" s="20" t="n"/>
      <c r="Q2250" s="19" t="n"/>
      <c r="R2250" s="19" t="n"/>
      <c r="Y2250" s="19" t="n"/>
    </row>
    <row r="2251">
      <c r="C2251" s="18" t="n"/>
      <c r="J2251" s="19" t="n"/>
      <c r="P2251" s="20" t="n"/>
      <c r="Q2251" s="19" t="n"/>
      <c r="R2251" s="19" t="n"/>
      <c r="Y2251" s="19" t="n"/>
    </row>
    <row r="2252">
      <c r="C2252" s="18" t="n"/>
      <c r="J2252" s="19" t="n"/>
      <c r="P2252" s="20" t="n"/>
      <c r="Q2252" s="19" t="n"/>
      <c r="R2252" s="19" t="n"/>
      <c r="Y2252" s="19" t="n"/>
    </row>
    <row r="2253">
      <c r="C2253" s="18" t="n"/>
      <c r="J2253" s="19" t="n"/>
      <c r="P2253" s="20" t="n"/>
      <c r="Q2253" s="19" t="n"/>
      <c r="R2253" s="19" t="n"/>
      <c r="Y2253" s="19" t="n"/>
    </row>
    <row r="2254">
      <c r="C2254" s="18" t="n"/>
      <c r="J2254" s="19" t="n"/>
      <c r="P2254" s="20" t="n"/>
      <c r="Q2254" s="19" t="n"/>
      <c r="R2254" s="19" t="n"/>
      <c r="Y2254" s="19" t="n"/>
    </row>
    <row r="2255">
      <c r="C2255" s="18" t="n"/>
      <c r="J2255" s="19" t="n"/>
      <c r="P2255" s="20" t="n"/>
      <c r="Q2255" s="19" t="n"/>
      <c r="R2255" s="19" t="n"/>
      <c r="Y2255" s="19" t="n"/>
    </row>
    <row r="2256">
      <c r="C2256" s="18" t="n"/>
      <c r="J2256" s="19" t="n"/>
      <c r="P2256" s="20" t="n"/>
      <c r="Q2256" s="19" t="n"/>
      <c r="R2256" s="19" t="n"/>
      <c r="Y2256" s="19" t="n"/>
    </row>
    <row r="2257">
      <c r="C2257" s="18" t="n"/>
      <c r="J2257" s="19" t="n"/>
      <c r="P2257" s="20" t="n"/>
      <c r="Q2257" s="19" t="n"/>
      <c r="R2257" s="19" t="n"/>
      <c r="Y2257" s="19" t="n"/>
    </row>
    <row r="2258">
      <c r="C2258" s="18" t="n"/>
      <c r="J2258" s="19" t="n"/>
      <c r="P2258" s="20" t="n"/>
      <c r="Q2258" s="19" t="n"/>
      <c r="R2258" s="19" t="n"/>
      <c r="Y2258" s="19" t="n"/>
    </row>
    <row r="2259">
      <c r="C2259" s="18" t="n"/>
      <c r="J2259" s="19" t="n"/>
      <c r="P2259" s="20" t="n"/>
      <c r="Q2259" s="19" t="n"/>
      <c r="R2259" s="19" t="n"/>
      <c r="Y2259" s="19" t="n"/>
    </row>
    <row r="2260">
      <c r="C2260" s="18" t="n"/>
      <c r="J2260" s="19" t="n"/>
      <c r="P2260" s="20" t="n"/>
      <c r="Q2260" s="19" t="n"/>
      <c r="R2260" s="19" t="n"/>
      <c r="Y2260" s="19" t="n"/>
    </row>
    <row r="2261">
      <c r="C2261" s="18" t="n"/>
      <c r="J2261" s="19" t="n"/>
      <c r="P2261" s="20" t="n"/>
      <c r="Q2261" s="19" t="n"/>
      <c r="R2261" s="19" t="n"/>
      <c r="Y2261" s="19" t="n"/>
    </row>
    <row r="2262">
      <c r="C2262" s="18" t="n"/>
      <c r="J2262" s="19" t="n"/>
      <c r="P2262" s="20" t="n"/>
      <c r="Q2262" s="19" t="n"/>
      <c r="R2262" s="19" t="n"/>
      <c r="Y2262" s="19" t="n"/>
    </row>
    <row r="2263">
      <c r="C2263" s="18" t="n"/>
      <c r="J2263" s="19" t="n"/>
      <c r="P2263" s="20" t="n"/>
      <c r="Q2263" s="19" t="n"/>
      <c r="R2263" s="19" t="n"/>
      <c r="Y2263" s="19" t="n"/>
    </row>
    <row r="2264">
      <c r="C2264" s="18" t="n"/>
      <c r="J2264" s="19" t="n"/>
      <c r="P2264" s="20" t="n"/>
      <c r="Q2264" s="19" t="n"/>
      <c r="R2264" s="19" t="n"/>
      <c r="Y2264" s="19" t="n"/>
    </row>
    <row r="2265">
      <c r="C2265" s="18" t="n"/>
      <c r="J2265" s="19" t="n"/>
      <c r="P2265" s="20" t="n"/>
      <c r="Q2265" s="19" t="n"/>
      <c r="R2265" s="19" t="n"/>
      <c r="Y2265" s="19" t="n"/>
    </row>
    <row r="2266">
      <c r="C2266" s="18" t="n"/>
      <c r="J2266" s="19" t="n"/>
      <c r="P2266" s="20" t="n"/>
      <c r="Q2266" s="19" t="n"/>
      <c r="R2266" s="19" t="n"/>
      <c r="Y2266" s="19" t="n"/>
    </row>
    <row r="2267">
      <c r="C2267" s="18" t="n"/>
      <c r="J2267" s="19" t="n"/>
      <c r="P2267" s="20" t="n"/>
      <c r="Q2267" s="19" t="n"/>
      <c r="R2267" s="19" t="n"/>
      <c r="Y2267" s="19" t="n"/>
    </row>
    <row r="2268">
      <c r="C2268" s="18" t="n"/>
      <c r="J2268" s="19" t="n"/>
      <c r="P2268" s="20" t="n"/>
      <c r="Q2268" s="19" t="n"/>
      <c r="R2268" s="19" t="n"/>
      <c r="Y2268" s="19" t="n"/>
    </row>
    <row r="2269">
      <c r="C2269" s="18" t="n"/>
      <c r="J2269" s="19" t="n"/>
      <c r="P2269" s="20" t="n"/>
      <c r="Q2269" s="19" t="n"/>
      <c r="R2269" s="19" t="n"/>
      <c r="Y2269" s="19" t="n"/>
    </row>
    <row r="2270">
      <c r="C2270" s="18" t="n"/>
      <c r="J2270" s="19" t="n"/>
      <c r="P2270" s="20" t="n"/>
      <c r="Q2270" s="19" t="n"/>
      <c r="R2270" s="19" t="n"/>
      <c r="Y2270" s="19" t="n"/>
    </row>
    <row r="2271">
      <c r="C2271" s="18" t="n"/>
      <c r="J2271" s="19" t="n"/>
      <c r="P2271" s="20" t="n"/>
      <c r="Q2271" s="19" t="n"/>
      <c r="R2271" s="19" t="n"/>
      <c r="Y2271" s="19" t="n"/>
    </row>
    <row r="2272">
      <c r="C2272" s="18" t="n"/>
      <c r="J2272" s="19" t="n"/>
      <c r="P2272" s="20" t="n"/>
      <c r="Q2272" s="19" t="n"/>
      <c r="R2272" s="19" t="n"/>
      <c r="Y2272" s="19" t="n"/>
    </row>
    <row r="2273">
      <c r="C2273" s="18" t="n"/>
      <c r="J2273" s="19" t="n"/>
      <c r="P2273" s="20" t="n"/>
      <c r="Q2273" s="19" t="n"/>
      <c r="R2273" s="19" t="n"/>
      <c r="Y2273" s="19" t="n"/>
    </row>
    <row r="2274">
      <c r="C2274" s="18" t="n"/>
      <c r="J2274" s="19" t="n"/>
      <c r="P2274" s="20" t="n"/>
      <c r="Q2274" s="19" t="n"/>
      <c r="R2274" s="19" t="n"/>
      <c r="Y2274" s="19" t="n"/>
    </row>
    <row r="2275">
      <c r="C2275" s="18" t="n"/>
      <c r="J2275" s="19" t="n"/>
      <c r="P2275" s="20" t="n"/>
      <c r="Q2275" s="19" t="n"/>
      <c r="R2275" s="19" t="n"/>
      <c r="Y2275" s="19" t="n"/>
    </row>
    <row r="2276">
      <c r="C2276" s="18" t="n"/>
      <c r="J2276" s="19" t="n"/>
      <c r="P2276" s="20" t="n"/>
      <c r="Q2276" s="19" t="n"/>
      <c r="R2276" s="19" t="n"/>
      <c r="Y2276" s="19" t="n"/>
    </row>
    <row r="2277">
      <c r="C2277" s="18" t="n"/>
      <c r="J2277" s="19" t="n"/>
      <c r="P2277" s="20" t="n"/>
      <c r="Q2277" s="19" t="n"/>
      <c r="R2277" s="19" t="n"/>
      <c r="Y2277" s="19" t="n"/>
    </row>
    <row r="2278">
      <c r="C2278" s="18" t="n"/>
      <c r="J2278" s="19" t="n"/>
      <c r="P2278" s="20" t="n"/>
      <c r="Q2278" s="19" t="n"/>
      <c r="R2278" s="19" t="n"/>
      <c r="Y2278" s="19" t="n"/>
    </row>
    <row r="2279">
      <c r="C2279" s="18" t="n"/>
      <c r="J2279" s="19" t="n"/>
      <c r="P2279" s="20" t="n"/>
      <c r="Q2279" s="19" t="n"/>
      <c r="R2279" s="19" t="n"/>
      <c r="Y2279" s="19" t="n"/>
    </row>
    <row r="2280">
      <c r="C2280" s="18" t="n"/>
      <c r="J2280" s="19" t="n"/>
      <c r="P2280" s="20" t="n"/>
      <c r="Q2280" s="19" t="n"/>
      <c r="R2280" s="19" t="n"/>
      <c r="Y2280" s="19" t="n"/>
    </row>
    <row r="2281">
      <c r="C2281" s="18" t="n"/>
      <c r="J2281" s="19" t="n"/>
      <c r="P2281" s="20" t="n"/>
      <c r="Q2281" s="19" t="n"/>
      <c r="R2281" s="19" t="n"/>
      <c r="Y2281" s="19" t="n"/>
    </row>
    <row r="2282">
      <c r="C2282" s="18" t="n"/>
      <c r="J2282" s="19" t="n"/>
      <c r="P2282" s="20" t="n"/>
      <c r="Q2282" s="19" t="n"/>
      <c r="R2282" s="19" t="n"/>
      <c r="Y2282" s="19" t="n"/>
    </row>
    <row r="2283">
      <c r="C2283" s="18" t="n"/>
      <c r="J2283" s="19" t="n"/>
      <c r="P2283" s="20" t="n"/>
      <c r="Q2283" s="19" t="n"/>
      <c r="R2283" s="19" t="n"/>
      <c r="Y2283" s="19" t="n"/>
    </row>
    <row r="2284">
      <c r="C2284" s="18" t="n"/>
      <c r="J2284" s="19" t="n"/>
      <c r="P2284" s="20" t="n"/>
      <c r="Q2284" s="19" t="n"/>
      <c r="R2284" s="19" t="n"/>
      <c r="Y2284" s="19" t="n"/>
    </row>
    <row r="2285">
      <c r="C2285" s="18" t="n"/>
      <c r="J2285" s="19" t="n"/>
      <c r="P2285" s="20" t="n"/>
      <c r="Q2285" s="19" t="n"/>
      <c r="R2285" s="19" t="n"/>
      <c r="Y2285" s="19" t="n"/>
    </row>
    <row r="2286">
      <c r="C2286" s="18" t="n"/>
      <c r="J2286" s="19" t="n"/>
      <c r="P2286" s="20" t="n"/>
      <c r="Q2286" s="19" t="n"/>
      <c r="R2286" s="19" t="n"/>
      <c r="Y2286" s="19" t="n"/>
    </row>
    <row r="2287">
      <c r="C2287" s="18" t="n"/>
      <c r="J2287" s="19" t="n"/>
      <c r="P2287" s="20" t="n"/>
      <c r="Q2287" s="19" t="n"/>
      <c r="R2287" s="19" t="n"/>
      <c r="Y2287" s="19" t="n"/>
    </row>
    <row r="2288">
      <c r="C2288" s="18" t="n"/>
      <c r="J2288" s="19" t="n"/>
      <c r="P2288" s="20" t="n"/>
      <c r="Q2288" s="19" t="n"/>
      <c r="R2288" s="19" t="n"/>
      <c r="Y2288" s="19" t="n"/>
    </row>
    <row r="2289">
      <c r="C2289" s="18" t="n"/>
      <c r="J2289" s="19" t="n"/>
      <c r="P2289" s="20" t="n"/>
      <c r="Q2289" s="19" t="n"/>
      <c r="R2289" s="19" t="n"/>
      <c r="Y2289" s="19" t="n"/>
    </row>
    <row r="2290">
      <c r="C2290" s="18" t="n"/>
      <c r="J2290" s="19" t="n"/>
      <c r="P2290" s="20" t="n"/>
      <c r="Q2290" s="19" t="n"/>
      <c r="R2290" s="19" t="n"/>
      <c r="Y2290" s="19" t="n"/>
    </row>
    <row r="2291">
      <c r="C2291" s="18" t="n"/>
      <c r="J2291" s="19" t="n"/>
      <c r="P2291" s="20" t="n"/>
      <c r="Q2291" s="19" t="n"/>
      <c r="R2291" s="19" t="n"/>
      <c r="Y2291" s="19" t="n"/>
    </row>
    <row r="2292">
      <c r="C2292" s="18" t="n"/>
      <c r="J2292" s="19" t="n"/>
      <c r="P2292" s="20" t="n"/>
      <c r="Q2292" s="19" t="n"/>
      <c r="R2292" s="19" t="n"/>
      <c r="Y2292" s="19" t="n"/>
    </row>
    <row r="2293">
      <c r="C2293" s="18" t="n"/>
      <c r="J2293" s="19" t="n"/>
      <c r="P2293" s="20" t="n"/>
      <c r="Q2293" s="19" t="n"/>
      <c r="R2293" s="19" t="n"/>
      <c r="Y2293" s="19" t="n"/>
    </row>
    <row r="2294">
      <c r="C2294" s="18" t="n"/>
      <c r="J2294" s="19" t="n"/>
      <c r="P2294" s="20" t="n"/>
      <c r="Q2294" s="19" t="n"/>
      <c r="R2294" s="19" t="n"/>
      <c r="Y2294" s="19" t="n"/>
    </row>
    <row r="2295">
      <c r="C2295" s="18" t="n"/>
      <c r="J2295" s="19" t="n"/>
      <c r="P2295" s="20" t="n"/>
      <c r="Q2295" s="19" t="n"/>
      <c r="R2295" s="19" t="n"/>
      <c r="Y2295" s="19" t="n"/>
    </row>
    <row r="2296">
      <c r="C2296" s="18" t="n"/>
      <c r="J2296" s="19" t="n"/>
      <c r="P2296" s="20" t="n"/>
      <c r="Q2296" s="19" t="n"/>
      <c r="R2296" s="19" t="n"/>
      <c r="Y2296" s="19" t="n"/>
    </row>
    <row r="2297">
      <c r="C2297" s="18" t="n"/>
      <c r="J2297" s="19" t="n"/>
      <c r="P2297" s="20" t="n"/>
      <c r="Q2297" s="19" t="n"/>
      <c r="R2297" s="19" t="n"/>
      <c r="Y2297" s="19" t="n"/>
    </row>
    <row r="2298">
      <c r="C2298" s="18" t="n"/>
      <c r="J2298" s="19" t="n"/>
      <c r="P2298" s="20" t="n"/>
      <c r="Q2298" s="19" t="n"/>
      <c r="R2298" s="19" t="n"/>
      <c r="Y2298" s="19" t="n"/>
    </row>
    <row r="2299">
      <c r="C2299" s="18" t="n"/>
      <c r="J2299" s="19" t="n"/>
      <c r="P2299" s="20" t="n"/>
      <c r="Q2299" s="19" t="n"/>
      <c r="R2299" s="19" t="n"/>
      <c r="Y2299" s="19" t="n"/>
    </row>
    <row r="2300">
      <c r="C2300" s="18" t="n"/>
      <c r="J2300" s="19" t="n"/>
      <c r="P2300" s="20" t="n"/>
      <c r="Q2300" s="19" t="n"/>
      <c r="R2300" s="19" t="n"/>
      <c r="Y2300" s="19" t="n"/>
    </row>
    <row r="2301">
      <c r="C2301" s="18" t="n"/>
      <c r="J2301" s="19" t="n"/>
      <c r="P2301" s="20" t="n"/>
      <c r="Q2301" s="19" t="n"/>
      <c r="R2301" s="19" t="n"/>
      <c r="Y2301" s="19" t="n"/>
    </row>
    <row r="2302">
      <c r="C2302" s="18" t="n"/>
      <c r="J2302" s="19" t="n"/>
      <c r="P2302" s="20" t="n"/>
      <c r="Q2302" s="19" t="n"/>
      <c r="R2302" s="19" t="n"/>
      <c r="Y2302" s="19" t="n"/>
    </row>
    <row r="2303">
      <c r="C2303" s="18" t="n"/>
      <c r="J2303" s="19" t="n"/>
      <c r="P2303" s="20" t="n"/>
      <c r="Q2303" s="19" t="n"/>
      <c r="R2303" s="19" t="n"/>
      <c r="Y2303" s="19" t="n"/>
    </row>
    <row r="2304">
      <c r="C2304" s="18" t="n"/>
      <c r="J2304" s="19" t="n"/>
      <c r="P2304" s="20" t="n"/>
      <c r="Q2304" s="19" t="n"/>
      <c r="R2304" s="19" t="n"/>
      <c r="Y2304" s="19" t="n"/>
    </row>
    <row r="2305">
      <c r="C2305" s="18" t="n"/>
      <c r="J2305" s="19" t="n"/>
      <c r="P2305" s="20" t="n"/>
      <c r="Q2305" s="19" t="n"/>
      <c r="R2305" s="19" t="n"/>
      <c r="Y2305" s="19" t="n"/>
    </row>
    <row r="2306">
      <c r="C2306" s="18" t="n"/>
      <c r="J2306" s="19" t="n"/>
      <c r="P2306" s="20" t="n"/>
      <c r="Q2306" s="19" t="n"/>
      <c r="R2306" s="19" t="n"/>
      <c r="Y2306" s="19" t="n"/>
    </row>
    <row r="2307">
      <c r="C2307" s="18" t="n"/>
      <c r="J2307" s="19" t="n"/>
      <c r="P2307" s="20" t="n"/>
      <c r="Q2307" s="19" t="n"/>
      <c r="R2307" s="19" t="n"/>
      <c r="Y2307" s="19" t="n"/>
    </row>
    <row r="2308">
      <c r="C2308" s="18" t="n"/>
      <c r="J2308" s="19" t="n"/>
      <c r="P2308" s="20" t="n"/>
      <c r="Q2308" s="19" t="n"/>
      <c r="R2308" s="19" t="n"/>
      <c r="Y2308" s="19" t="n"/>
    </row>
    <row r="2309">
      <c r="C2309" s="18" t="n"/>
      <c r="J2309" s="19" t="n"/>
      <c r="P2309" s="20" t="n"/>
      <c r="Q2309" s="19" t="n"/>
      <c r="R2309" s="19" t="n"/>
      <c r="Y2309" s="19" t="n"/>
    </row>
    <row r="2310">
      <c r="C2310" s="18" t="n"/>
      <c r="J2310" s="19" t="n"/>
      <c r="P2310" s="20" t="n"/>
      <c r="Q2310" s="19" t="n"/>
      <c r="R2310" s="19" t="n"/>
      <c r="Y2310" s="19" t="n"/>
    </row>
    <row r="2311">
      <c r="C2311" s="18" t="n"/>
      <c r="J2311" s="19" t="n"/>
      <c r="P2311" s="20" t="n"/>
      <c r="Q2311" s="19" t="n"/>
      <c r="R2311" s="19" t="n"/>
      <c r="Y2311" s="19" t="n"/>
    </row>
    <row r="2312">
      <c r="C2312" s="18" t="n"/>
      <c r="J2312" s="19" t="n"/>
      <c r="P2312" s="20" t="n"/>
      <c r="Q2312" s="19" t="n"/>
      <c r="R2312" s="19" t="n"/>
      <c r="Y2312" s="19" t="n"/>
    </row>
    <row r="2313">
      <c r="C2313" s="18" t="n"/>
      <c r="J2313" s="19" t="n"/>
      <c r="P2313" s="20" t="n"/>
      <c r="Q2313" s="19" t="n"/>
      <c r="R2313" s="19" t="n"/>
      <c r="Y2313" s="19" t="n"/>
    </row>
    <row r="2314">
      <c r="C2314" s="18" t="n"/>
      <c r="J2314" s="19" t="n"/>
      <c r="P2314" s="20" t="n"/>
      <c r="Q2314" s="19" t="n"/>
      <c r="R2314" s="19" t="n"/>
      <c r="Y2314" s="19" t="n"/>
    </row>
    <row r="2315">
      <c r="C2315" s="18" t="n"/>
      <c r="J2315" s="19" t="n"/>
      <c r="P2315" s="20" t="n"/>
      <c r="Q2315" s="19" t="n"/>
      <c r="R2315" s="19" t="n"/>
      <c r="Y2315" s="19" t="n"/>
    </row>
    <row r="2316">
      <c r="C2316" s="18" t="n"/>
      <c r="J2316" s="19" t="n"/>
      <c r="P2316" s="20" t="n"/>
      <c r="Q2316" s="19" t="n"/>
      <c r="R2316" s="19" t="n"/>
      <c r="Y2316" s="19" t="n"/>
    </row>
    <row r="2317">
      <c r="C2317" s="18" t="n"/>
      <c r="J2317" s="19" t="n"/>
      <c r="P2317" s="20" t="n"/>
      <c r="Q2317" s="19" t="n"/>
      <c r="R2317" s="19" t="n"/>
      <c r="Y2317" s="19" t="n"/>
    </row>
    <row r="2318">
      <c r="C2318" s="18" t="n"/>
      <c r="J2318" s="19" t="n"/>
      <c r="P2318" s="20" t="n"/>
      <c r="Q2318" s="19" t="n"/>
      <c r="R2318" s="19" t="n"/>
      <c r="Y2318" s="19" t="n"/>
    </row>
    <row r="2319">
      <c r="C2319" s="18" t="n"/>
      <c r="J2319" s="19" t="n"/>
      <c r="P2319" s="20" t="n"/>
      <c r="Q2319" s="19" t="n"/>
      <c r="R2319" s="19" t="n"/>
      <c r="Y2319" s="19" t="n"/>
    </row>
    <row r="2320">
      <c r="C2320" s="18" t="n"/>
      <c r="J2320" s="19" t="n"/>
      <c r="P2320" s="20" t="n"/>
      <c r="Q2320" s="19" t="n"/>
      <c r="R2320" s="19" t="n"/>
      <c r="Y2320" s="19" t="n"/>
    </row>
    <row r="2321">
      <c r="C2321" s="18" t="n"/>
      <c r="J2321" s="19" t="n"/>
      <c r="P2321" s="20" t="n"/>
      <c r="Q2321" s="19" t="n"/>
      <c r="R2321" s="19" t="n"/>
      <c r="Y2321" s="19" t="n"/>
    </row>
    <row r="2322">
      <c r="C2322" s="18" t="n"/>
      <c r="J2322" s="19" t="n"/>
      <c r="P2322" s="20" t="n"/>
      <c r="Q2322" s="19" t="n"/>
      <c r="R2322" s="19" t="n"/>
      <c r="Y2322" s="19" t="n"/>
    </row>
    <row r="2323">
      <c r="C2323" s="18" t="n"/>
      <c r="J2323" s="19" t="n"/>
      <c r="P2323" s="20" t="n"/>
      <c r="Q2323" s="19" t="n"/>
      <c r="R2323" s="19" t="n"/>
      <c r="Y2323" s="19" t="n"/>
    </row>
    <row r="2324">
      <c r="C2324" s="18" t="n"/>
      <c r="J2324" s="19" t="n"/>
      <c r="P2324" s="20" t="n"/>
      <c r="Q2324" s="19" t="n"/>
      <c r="R2324" s="19" t="n"/>
      <c r="Y2324" s="19" t="n"/>
    </row>
    <row r="2325">
      <c r="C2325" s="18" t="n"/>
      <c r="J2325" s="19" t="n"/>
      <c r="P2325" s="20" t="n"/>
      <c r="Q2325" s="19" t="n"/>
      <c r="R2325" s="19" t="n"/>
      <c r="Y2325" s="19" t="n"/>
    </row>
    <row r="2326">
      <c r="C2326" s="18" t="n"/>
      <c r="J2326" s="19" t="n"/>
      <c r="P2326" s="20" t="n"/>
      <c r="Q2326" s="19" t="n"/>
      <c r="R2326" s="19" t="n"/>
      <c r="Y2326" s="19" t="n"/>
    </row>
    <row r="2327">
      <c r="C2327" s="18" t="n"/>
      <c r="J2327" s="19" t="n"/>
      <c r="P2327" s="20" t="n"/>
      <c r="Q2327" s="19" t="n"/>
      <c r="R2327" s="19" t="n"/>
      <c r="Y2327" s="19" t="n"/>
    </row>
    <row r="2328">
      <c r="C2328" s="18" t="n"/>
      <c r="J2328" s="19" t="n"/>
      <c r="P2328" s="20" t="n"/>
      <c r="Q2328" s="19" t="n"/>
      <c r="R2328" s="19" t="n"/>
      <c r="Y2328" s="19" t="n"/>
    </row>
    <row r="2329">
      <c r="C2329" s="18" t="n"/>
      <c r="J2329" s="19" t="n"/>
      <c r="P2329" s="20" t="n"/>
      <c r="Q2329" s="19" t="n"/>
      <c r="R2329" s="19" t="n"/>
      <c r="Y2329" s="19" t="n"/>
    </row>
    <row r="2330">
      <c r="C2330" s="18" t="n"/>
      <c r="J2330" s="19" t="n"/>
      <c r="P2330" s="20" t="n"/>
      <c r="Q2330" s="19" t="n"/>
      <c r="R2330" s="19" t="n"/>
      <c r="Y2330" s="19" t="n"/>
    </row>
    <row r="2331">
      <c r="C2331" s="18" t="n"/>
      <c r="J2331" s="19" t="n"/>
      <c r="P2331" s="20" t="n"/>
      <c r="Q2331" s="19" t="n"/>
      <c r="R2331" s="19" t="n"/>
      <c r="Y2331" s="19" t="n"/>
    </row>
    <row r="2332">
      <c r="C2332" s="18" t="n"/>
      <c r="J2332" s="19" t="n"/>
      <c r="P2332" s="20" t="n"/>
      <c r="Q2332" s="19" t="n"/>
      <c r="R2332" s="19" t="n"/>
      <c r="Y2332" s="19" t="n"/>
    </row>
    <row r="2333">
      <c r="C2333" s="18" t="n"/>
      <c r="J2333" s="19" t="n"/>
      <c r="P2333" s="20" t="n"/>
      <c r="Q2333" s="19" t="n"/>
      <c r="R2333" s="19" t="n"/>
      <c r="Y2333" s="19" t="n"/>
    </row>
    <row r="2334">
      <c r="C2334" s="18" t="n"/>
      <c r="J2334" s="19" t="n"/>
      <c r="P2334" s="20" t="n"/>
      <c r="Q2334" s="19" t="n"/>
      <c r="R2334" s="19" t="n"/>
      <c r="Y2334" s="19" t="n"/>
    </row>
    <row r="2335">
      <c r="C2335" s="18" t="n"/>
      <c r="J2335" s="19" t="n"/>
      <c r="P2335" s="20" t="n"/>
      <c r="Q2335" s="19" t="n"/>
      <c r="R2335" s="19" t="n"/>
      <c r="Y2335" s="19" t="n"/>
    </row>
    <row r="2336">
      <c r="C2336" s="18" t="n"/>
      <c r="J2336" s="19" t="n"/>
      <c r="P2336" s="20" t="n"/>
      <c r="Q2336" s="19" t="n"/>
      <c r="R2336" s="19" t="n"/>
      <c r="Y2336" s="19" t="n"/>
    </row>
    <row r="2337">
      <c r="C2337" s="18" t="n"/>
      <c r="J2337" s="19" t="n"/>
      <c r="P2337" s="20" t="n"/>
      <c r="Q2337" s="19" t="n"/>
      <c r="R2337" s="19" t="n"/>
      <c r="Y2337" s="19" t="n"/>
    </row>
    <row r="2338">
      <c r="C2338" s="18" t="n"/>
      <c r="J2338" s="19" t="n"/>
      <c r="P2338" s="20" t="n"/>
      <c r="Q2338" s="19" t="n"/>
      <c r="R2338" s="19" t="n"/>
      <c r="Y2338" s="19" t="n"/>
    </row>
    <row r="2339">
      <c r="C2339" s="18" t="n"/>
      <c r="J2339" s="19" t="n"/>
      <c r="P2339" s="20" t="n"/>
      <c r="Q2339" s="19" t="n"/>
      <c r="R2339" s="19" t="n"/>
      <c r="Y2339" s="19" t="n"/>
    </row>
    <row r="2340">
      <c r="C2340" s="18" t="n"/>
      <c r="J2340" s="19" t="n"/>
      <c r="P2340" s="20" t="n"/>
      <c r="Q2340" s="19" t="n"/>
      <c r="R2340" s="19" t="n"/>
      <c r="Y2340" s="19" t="n"/>
    </row>
    <row r="2341">
      <c r="C2341" s="18" t="n"/>
      <c r="J2341" s="19" t="n"/>
      <c r="P2341" s="20" t="n"/>
      <c r="Q2341" s="19" t="n"/>
      <c r="R2341" s="19" t="n"/>
      <c r="Y2341" s="19" t="n"/>
    </row>
    <row r="2342">
      <c r="C2342" s="18" t="n"/>
      <c r="J2342" s="19" t="n"/>
      <c r="P2342" s="20" t="n"/>
      <c r="Q2342" s="19" t="n"/>
      <c r="R2342" s="19" t="n"/>
      <c r="Y2342" s="19" t="n"/>
    </row>
    <row r="2343">
      <c r="C2343" s="18" t="n"/>
      <c r="J2343" s="19" t="n"/>
      <c r="P2343" s="20" t="n"/>
      <c r="Q2343" s="19" t="n"/>
      <c r="R2343" s="19" t="n"/>
      <c r="Y2343" s="19" t="n"/>
    </row>
    <row r="2344">
      <c r="C2344" s="18" t="n"/>
      <c r="J2344" s="19" t="n"/>
      <c r="P2344" s="20" t="n"/>
      <c r="Q2344" s="19" t="n"/>
      <c r="R2344" s="19" t="n"/>
      <c r="Y2344" s="19" t="n"/>
    </row>
    <row r="2345">
      <c r="C2345" s="18" t="n"/>
      <c r="J2345" s="19" t="n"/>
      <c r="P2345" s="20" t="n"/>
      <c r="Q2345" s="19" t="n"/>
      <c r="R2345" s="19" t="n"/>
      <c r="Y2345" s="19" t="n"/>
    </row>
    <row r="2346">
      <c r="C2346" s="18" t="n"/>
      <c r="J2346" s="19" t="n"/>
      <c r="P2346" s="20" t="n"/>
      <c r="Q2346" s="19" t="n"/>
      <c r="R2346" s="19" t="n"/>
      <c r="Y2346" s="19" t="n"/>
    </row>
    <row r="2347">
      <c r="C2347" s="18" t="n"/>
      <c r="J2347" s="19" t="n"/>
      <c r="P2347" s="20" t="n"/>
      <c r="Q2347" s="19" t="n"/>
      <c r="R2347" s="19" t="n"/>
      <c r="Y2347" s="19" t="n"/>
    </row>
    <row r="2348">
      <c r="C2348" s="18" t="n"/>
      <c r="J2348" s="19" t="n"/>
      <c r="P2348" s="20" t="n"/>
      <c r="Q2348" s="19" t="n"/>
      <c r="R2348" s="19" t="n"/>
      <c r="Y2348" s="19" t="n"/>
    </row>
    <row r="2349">
      <c r="C2349" s="18" t="n"/>
      <c r="J2349" s="19" t="n"/>
      <c r="P2349" s="20" t="n"/>
      <c r="Q2349" s="19" t="n"/>
      <c r="R2349" s="19" t="n"/>
      <c r="Y2349" s="19" t="n"/>
    </row>
    <row r="2350">
      <c r="C2350" s="18" t="n"/>
      <c r="J2350" s="19" t="n"/>
      <c r="P2350" s="20" t="n"/>
      <c r="Q2350" s="19" t="n"/>
      <c r="R2350" s="19" t="n"/>
      <c r="Y2350" s="19" t="n"/>
    </row>
    <row r="2351">
      <c r="C2351" s="18" t="n"/>
      <c r="J2351" s="19" t="n"/>
      <c r="P2351" s="20" t="n"/>
      <c r="Q2351" s="19" t="n"/>
      <c r="R2351" s="19" t="n"/>
      <c r="Y2351" s="19" t="n"/>
    </row>
    <row r="2352">
      <c r="C2352" s="18" t="n"/>
      <c r="J2352" s="19" t="n"/>
      <c r="P2352" s="20" t="n"/>
      <c r="Q2352" s="19" t="n"/>
      <c r="R2352" s="19" t="n"/>
      <c r="Y2352" s="19" t="n"/>
    </row>
    <row r="2353">
      <c r="C2353" s="18" t="n"/>
      <c r="J2353" s="19" t="n"/>
      <c r="P2353" s="20" t="n"/>
      <c r="Q2353" s="19" t="n"/>
      <c r="R2353" s="19" t="n"/>
      <c r="Y2353" s="19" t="n"/>
    </row>
    <row r="2354">
      <c r="C2354" s="18" t="n"/>
      <c r="J2354" s="19" t="n"/>
      <c r="P2354" s="20" t="n"/>
      <c r="Q2354" s="19" t="n"/>
      <c r="R2354" s="19" t="n"/>
      <c r="Y2354" s="19" t="n"/>
    </row>
    <row r="2355">
      <c r="C2355" s="18" t="n"/>
      <c r="J2355" s="19" t="n"/>
      <c r="P2355" s="20" t="n"/>
      <c r="Q2355" s="19" t="n"/>
      <c r="R2355" s="19" t="n"/>
      <c r="Y2355" s="19" t="n"/>
    </row>
    <row r="2356">
      <c r="C2356" s="18" t="n"/>
      <c r="J2356" s="19" t="n"/>
      <c r="P2356" s="20" t="n"/>
      <c r="Q2356" s="19" t="n"/>
      <c r="R2356" s="19" t="n"/>
      <c r="Y2356" s="19" t="n"/>
    </row>
    <row r="2357">
      <c r="C2357" s="18" t="n"/>
      <c r="J2357" s="19" t="n"/>
      <c r="P2357" s="20" t="n"/>
      <c r="Q2357" s="19" t="n"/>
      <c r="R2357" s="19" t="n"/>
      <c r="Y2357" s="19" t="n"/>
    </row>
    <row r="2358">
      <c r="C2358" s="18" t="n"/>
      <c r="J2358" s="19" t="n"/>
      <c r="P2358" s="20" t="n"/>
      <c r="Q2358" s="19" t="n"/>
      <c r="R2358" s="19" t="n"/>
      <c r="Y2358" s="19" t="n"/>
    </row>
    <row r="2359">
      <c r="C2359" s="18" t="n"/>
      <c r="J2359" s="19" t="n"/>
      <c r="P2359" s="20" t="n"/>
      <c r="Q2359" s="19" t="n"/>
      <c r="R2359" s="19" t="n"/>
      <c r="Y2359" s="19" t="n"/>
    </row>
    <row r="2360">
      <c r="C2360" s="18" t="n"/>
      <c r="J2360" s="19" t="n"/>
      <c r="P2360" s="20" t="n"/>
      <c r="Q2360" s="19" t="n"/>
      <c r="R2360" s="19" t="n"/>
      <c r="Y2360" s="19" t="n"/>
    </row>
    <row r="2361">
      <c r="C2361" s="18" t="n"/>
      <c r="J2361" s="19" t="n"/>
      <c r="P2361" s="20" t="n"/>
      <c r="Q2361" s="19" t="n"/>
      <c r="R2361" s="19" t="n"/>
      <c r="Y2361" s="19" t="n"/>
    </row>
    <row r="2362">
      <c r="C2362" s="18" t="n"/>
      <c r="J2362" s="19" t="n"/>
      <c r="P2362" s="20" t="n"/>
      <c r="Q2362" s="19" t="n"/>
      <c r="R2362" s="19" t="n"/>
      <c r="Y2362" s="19" t="n"/>
    </row>
    <row r="2363">
      <c r="C2363" s="18" t="n"/>
      <c r="J2363" s="19" t="n"/>
      <c r="P2363" s="20" t="n"/>
      <c r="Q2363" s="19" t="n"/>
      <c r="R2363" s="19" t="n"/>
      <c r="Y2363" s="19" t="n"/>
    </row>
    <row r="2364">
      <c r="C2364" s="18" t="n"/>
      <c r="J2364" s="19" t="n"/>
      <c r="P2364" s="20" t="n"/>
      <c r="Q2364" s="19" t="n"/>
      <c r="R2364" s="19" t="n"/>
      <c r="Y2364" s="19" t="n"/>
    </row>
    <row r="2365">
      <c r="C2365" s="18" t="n"/>
      <c r="J2365" s="19" t="n"/>
      <c r="P2365" s="20" t="n"/>
      <c r="Q2365" s="19" t="n"/>
      <c r="R2365" s="19" t="n"/>
      <c r="Y2365" s="19" t="n"/>
    </row>
    <row r="2366">
      <c r="C2366" s="18" t="n"/>
      <c r="J2366" s="19" t="n"/>
      <c r="P2366" s="20" t="n"/>
      <c r="Q2366" s="19" t="n"/>
      <c r="R2366" s="19" t="n"/>
      <c r="Y2366" s="19" t="n"/>
    </row>
    <row r="2367">
      <c r="C2367" s="18" t="n"/>
      <c r="J2367" s="19" t="n"/>
      <c r="P2367" s="20" t="n"/>
      <c r="Q2367" s="19" t="n"/>
      <c r="R2367" s="19" t="n"/>
      <c r="Y2367" s="19" t="n"/>
    </row>
    <row r="2368">
      <c r="C2368" s="18" t="n"/>
      <c r="J2368" s="19" t="n"/>
      <c r="P2368" s="20" t="n"/>
      <c r="Q2368" s="19" t="n"/>
      <c r="R2368" s="19" t="n"/>
      <c r="Y2368" s="19" t="n"/>
    </row>
    <row r="2369">
      <c r="C2369" s="18" t="n"/>
      <c r="J2369" s="19" t="n"/>
      <c r="P2369" s="20" t="n"/>
      <c r="Q2369" s="19" t="n"/>
      <c r="R2369" s="19" t="n"/>
      <c r="Y2369" s="19" t="n"/>
    </row>
    <row r="2370">
      <c r="C2370" s="18" t="n"/>
      <c r="J2370" s="19" t="n"/>
      <c r="P2370" s="20" t="n"/>
      <c r="Q2370" s="19" t="n"/>
      <c r="R2370" s="19" t="n"/>
      <c r="Y2370" s="19" t="n"/>
    </row>
    <row r="2371">
      <c r="C2371" s="18" t="n"/>
      <c r="J2371" s="19" t="n"/>
      <c r="P2371" s="20" t="n"/>
      <c r="Q2371" s="19" t="n"/>
      <c r="R2371" s="19" t="n"/>
      <c r="Y2371" s="19" t="n"/>
    </row>
    <row r="2372">
      <c r="C2372" s="18" t="n"/>
      <c r="J2372" s="19" t="n"/>
      <c r="P2372" s="20" t="n"/>
      <c r="Q2372" s="19" t="n"/>
      <c r="R2372" s="19" t="n"/>
      <c r="Y2372" s="19" t="n"/>
    </row>
    <row r="2373">
      <c r="C2373" s="18" t="n"/>
      <c r="J2373" s="19" t="n"/>
      <c r="P2373" s="20" t="n"/>
      <c r="Q2373" s="19" t="n"/>
      <c r="R2373" s="19" t="n"/>
      <c r="Y2373" s="19" t="n"/>
    </row>
    <row r="2374">
      <c r="C2374" s="18" t="n"/>
      <c r="J2374" s="19" t="n"/>
      <c r="P2374" s="20" t="n"/>
      <c r="Q2374" s="19" t="n"/>
      <c r="R2374" s="19" t="n"/>
      <c r="Y2374" s="19" t="n"/>
    </row>
    <row r="2375">
      <c r="C2375" s="18" t="n"/>
      <c r="J2375" s="19" t="n"/>
      <c r="P2375" s="20" t="n"/>
      <c r="Q2375" s="19" t="n"/>
      <c r="R2375" s="19" t="n"/>
      <c r="Y2375" s="19" t="n"/>
    </row>
    <row r="2376">
      <c r="C2376" s="18" t="n"/>
      <c r="J2376" s="19" t="n"/>
      <c r="P2376" s="20" t="n"/>
      <c r="Q2376" s="19" t="n"/>
      <c r="R2376" s="19" t="n"/>
      <c r="Y2376" s="19" t="n"/>
    </row>
    <row r="2377">
      <c r="C2377" s="18" t="n"/>
      <c r="J2377" s="19" t="n"/>
      <c r="P2377" s="20" t="n"/>
      <c r="Q2377" s="19" t="n"/>
      <c r="R2377" s="19" t="n"/>
      <c r="Y2377" s="19" t="n"/>
    </row>
    <row r="2378">
      <c r="C2378" s="18" t="n"/>
      <c r="J2378" s="19" t="n"/>
      <c r="P2378" s="20" t="n"/>
      <c r="Q2378" s="19" t="n"/>
      <c r="R2378" s="19" t="n"/>
      <c r="Y2378" s="19" t="n"/>
    </row>
    <row r="2379">
      <c r="C2379" s="18" t="n"/>
      <c r="J2379" s="19" t="n"/>
      <c r="P2379" s="20" t="n"/>
      <c r="Q2379" s="19" t="n"/>
      <c r="R2379" s="19" t="n"/>
      <c r="Y2379" s="19" t="n"/>
    </row>
    <row r="2380">
      <c r="C2380" s="18" t="n"/>
      <c r="J2380" s="19" t="n"/>
      <c r="P2380" s="20" t="n"/>
      <c r="Q2380" s="19" t="n"/>
      <c r="R2380" s="19" t="n"/>
      <c r="Y2380" s="19" t="n"/>
    </row>
    <row r="2381">
      <c r="C2381" s="18" t="n"/>
      <c r="J2381" s="19" t="n"/>
      <c r="P2381" s="20" t="n"/>
      <c r="Q2381" s="19" t="n"/>
      <c r="R2381" s="19" t="n"/>
      <c r="Y2381" s="19" t="n"/>
    </row>
    <row r="2382">
      <c r="C2382" s="18" t="n"/>
      <c r="J2382" s="19" t="n"/>
      <c r="P2382" s="20" t="n"/>
      <c r="Q2382" s="19" t="n"/>
      <c r="R2382" s="19" t="n"/>
      <c r="Y2382" s="19" t="n"/>
    </row>
    <row r="2383">
      <c r="C2383" s="18" t="n"/>
      <c r="J2383" s="19" t="n"/>
      <c r="P2383" s="20" t="n"/>
      <c r="Q2383" s="19" t="n"/>
      <c r="R2383" s="19" t="n"/>
      <c r="Y2383" s="19" t="n"/>
    </row>
    <row r="2384">
      <c r="C2384" s="18" t="n"/>
      <c r="J2384" s="19" t="n"/>
      <c r="P2384" s="20" t="n"/>
      <c r="Q2384" s="19" t="n"/>
      <c r="R2384" s="19" t="n"/>
      <c r="Y2384" s="19" t="n"/>
    </row>
    <row r="2385">
      <c r="C2385" s="18" t="n"/>
      <c r="J2385" s="19" t="n"/>
      <c r="P2385" s="20" t="n"/>
      <c r="Q2385" s="19" t="n"/>
      <c r="R2385" s="19" t="n"/>
      <c r="Y2385" s="19" t="n"/>
    </row>
    <row r="2386">
      <c r="C2386" s="18" t="n"/>
      <c r="J2386" s="19" t="n"/>
      <c r="P2386" s="20" t="n"/>
      <c r="Q2386" s="19" t="n"/>
      <c r="R2386" s="19" t="n"/>
      <c r="Y2386" s="19" t="n"/>
    </row>
    <row r="2387">
      <c r="C2387" s="18" t="n"/>
      <c r="J2387" s="19" t="n"/>
      <c r="P2387" s="20" t="n"/>
      <c r="Q2387" s="19" t="n"/>
      <c r="R2387" s="19" t="n"/>
      <c r="Y2387" s="19" t="n"/>
    </row>
    <row r="2388">
      <c r="C2388" s="18" t="n"/>
      <c r="J2388" s="19" t="n"/>
      <c r="P2388" s="20" t="n"/>
      <c r="Q2388" s="19" t="n"/>
      <c r="R2388" s="19" t="n"/>
      <c r="Y2388" s="19" t="n"/>
    </row>
    <row r="2389">
      <c r="C2389" s="18" t="n"/>
      <c r="J2389" s="19" t="n"/>
      <c r="P2389" s="20" t="n"/>
      <c r="Q2389" s="19" t="n"/>
      <c r="R2389" s="19" t="n"/>
      <c r="Y2389" s="19" t="n"/>
    </row>
    <row r="2390">
      <c r="C2390" s="18" t="n"/>
      <c r="J2390" s="19" t="n"/>
      <c r="P2390" s="20" t="n"/>
      <c r="Q2390" s="19" t="n"/>
      <c r="R2390" s="19" t="n"/>
      <c r="Y2390" s="19" t="n"/>
    </row>
    <row r="2391">
      <c r="C2391" s="18" t="n"/>
      <c r="J2391" s="19" t="n"/>
      <c r="P2391" s="20" t="n"/>
      <c r="Q2391" s="19" t="n"/>
      <c r="R2391" s="19" t="n"/>
      <c r="Y2391" s="19" t="n"/>
    </row>
    <row r="2392">
      <c r="C2392" s="18" t="n"/>
      <c r="J2392" s="19" t="n"/>
      <c r="P2392" s="20" t="n"/>
      <c r="Q2392" s="19" t="n"/>
      <c r="R2392" s="19" t="n"/>
      <c r="Y2392" s="19" t="n"/>
    </row>
    <row r="2393">
      <c r="C2393" s="18" t="n"/>
      <c r="J2393" s="19" t="n"/>
      <c r="P2393" s="20" t="n"/>
      <c r="Q2393" s="19" t="n"/>
      <c r="R2393" s="19" t="n"/>
      <c r="Y2393" s="19" t="n"/>
    </row>
    <row r="2394">
      <c r="C2394" s="18" t="n"/>
      <c r="J2394" s="19" t="n"/>
      <c r="P2394" s="20" t="n"/>
      <c r="Q2394" s="19" t="n"/>
      <c r="R2394" s="19" t="n"/>
      <c r="Y2394" s="19" t="n"/>
    </row>
    <row r="2395">
      <c r="C2395" s="18" t="n"/>
      <c r="J2395" s="19" t="n"/>
      <c r="P2395" s="20" t="n"/>
      <c r="Q2395" s="19" t="n"/>
      <c r="R2395" s="19" t="n"/>
      <c r="Y2395" s="19" t="n"/>
    </row>
    <row r="2396">
      <c r="C2396" s="18" t="n"/>
      <c r="J2396" s="19" t="n"/>
      <c r="P2396" s="20" t="n"/>
      <c r="Q2396" s="19" t="n"/>
      <c r="R2396" s="19" t="n"/>
      <c r="Y2396" s="19" t="n"/>
    </row>
    <row r="2397">
      <c r="C2397" s="18" t="n"/>
      <c r="J2397" s="19" t="n"/>
      <c r="P2397" s="20" t="n"/>
      <c r="Q2397" s="19" t="n"/>
      <c r="R2397" s="19" t="n"/>
      <c r="Y2397" s="19" t="n"/>
    </row>
    <row r="2398">
      <c r="C2398" s="18" t="n"/>
      <c r="J2398" s="19" t="n"/>
      <c r="P2398" s="20" t="n"/>
      <c r="Q2398" s="19" t="n"/>
      <c r="R2398" s="19" t="n"/>
      <c r="Y2398" s="19" t="n"/>
    </row>
    <row r="2399">
      <c r="C2399" s="18" t="n"/>
      <c r="J2399" s="19" t="n"/>
      <c r="P2399" s="20" t="n"/>
      <c r="Q2399" s="19" t="n"/>
      <c r="R2399" s="19" t="n"/>
      <c r="Y2399" s="19" t="n"/>
    </row>
    <row r="2400">
      <c r="C2400" s="18" t="n"/>
      <c r="J2400" s="19" t="n"/>
      <c r="P2400" s="20" t="n"/>
      <c r="Q2400" s="19" t="n"/>
      <c r="R2400" s="19" t="n"/>
      <c r="Y2400" s="19" t="n"/>
    </row>
    <row r="2401">
      <c r="C2401" s="18" t="n"/>
      <c r="J2401" s="19" t="n"/>
      <c r="P2401" s="20" t="n"/>
      <c r="Q2401" s="19" t="n"/>
      <c r="R2401" s="19" t="n"/>
      <c r="Y2401" s="19" t="n"/>
    </row>
    <row r="2402">
      <c r="C2402" s="18" t="n"/>
      <c r="J2402" s="19" t="n"/>
      <c r="P2402" s="20" t="n"/>
      <c r="Q2402" s="19" t="n"/>
      <c r="R2402" s="19" t="n"/>
      <c r="Y2402" s="19" t="n"/>
    </row>
    <row r="2403">
      <c r="C2403" s="18" t="n"/>
      <c r="J2403" s="19" t="n"/>
      <c r="P2403" s="20" t="n"/>
      <c r="Q2403" s="19" t="n"/>
      <c r="R2403" s="19" t="n"/>
      <c r="Y2403" s="19" t="n"/>
    </row>
    <row r="2404">
      <c r="C2404" s="18" t="n"/>
      <c r="J2404" s="19" t="n"/>
      <c r="P2404" s="20" t="n"/>
      <c r="Q2404" s="19" t="n"/>
      <c r="R2404" s="19" t="n"/>
      <c r="Y2404" s="19" t="n"/>
    </row>
    <row r="2405">
      <c r="C2405" s="18" t="n"/>
      <c r="J2405" s="19" t="n"/>
      <c r="P2405" s="20" t="n"/>
      <c r="Q2405" s="19" t="n"/>
      <c r="R2405" s="19" t="n"/>
      <c r="Y2405" s="19" t="n"/>
    </row>
    <row r="2406">
      <c r="C2406" s="18" t="n"/>
      <c r="J2406" s="19" t="n"/>
      <c r="P2406" s="20" t="n"/>
      <c r="Q2406" s="19" t="n"/>
      <c r="R2406" s="19" t="n"/>
      <c r="Y2406" s="19" t="n"/>
    </row>
    <row r="2407">
      <c r="C2407" s="18" t="n"/>
      <c r="J2407" s="19" t="n"/>
      <c r="P2407" s="20" t="n"/>
      <c r="Q2407" s="19" t="n"/>
      <c r="R2407" s="19" t="n"/>
      <c r="Y2407" s="19" t="n"/>
    </row>
    <row r="2408">
      <c r="C2408" s="18" t="n"/>
      <c r="J2408" s="19" t="n"/>
      <c r="P2408" s="20" t="n"/>
      <c r="Q2408" s="19" t="n"/>
      <c r="R2408" s="19" t="n"/>
      <c r="Y2408" s="19" t="n"/>
    </row>
    <row r="2409">
      <c r="C2409" s="18" t="n"/>
      <c r="J2409" s="19" t="n"/>
      <c r="P2409" s="20" t="n"/>
      <c r="Q2409" s="19" t="n"/>
      <c r="R2409" s="19" t="n"/>
      <c r="Y2409" s="19" t="n"/>
    </row>
    <row r="2410">
      <c r="C2410" s="18" t="n"/>
      <c r="J2410" s="19" t="n"/>
      <c r="P2410" s="20" t="n"/>
      <c r="Q2410" s="19" t="n"/>
      <c r="R2410" s="19" t="n"/>
      <c r="Y2410" s="19" t="n"/>
    </row>
    <row r="2411">
      <c r="C2411" s="18" t="n"/>
      <c r="J2411" s="19" t="n"/>
      <c r="P2411" s="20" t="n"/>
      <c r="Q2411" s="19" t="n"/>
      <c r="R2411" s="19" t="n"/>
      <c r="Y2411" s="19" t="n"/>
    </row>
    <row r="2412">
      <c r="C2412" s="18" t="n"/>
      <c r="J2412" s="19" t="n"/>
      <c r="P2412" s="20" t="n"/>
      <c r="Q2412" s="19" t="n"/>
      <c r="R2412" s="19" t="n"/>
      <c r="Y2412" s="19" t="n"/>
    </row>
    <row r="2413">
      <c r="C2413" s="18" t="n"/>
      <c r="J2413" s="19" t="n"/>
      <c r="P2413" s="20" t="n"/>
      <c r="Q2413" s="19" t="n"/>
      <c r="R2413" s="19" t="n"/>
      <c r="Y2413" s="19" t="n"/>
    </row>
    <row r="2414">
      <c r="C2414" s="18" t="n"/>
      <c r="J2414" s="19" t="n"/>
      <c r="P2414" s="20" t="n"/>
      <c r="Q2414" s="19" t="n"/>
      <c r="R2414" s="19" t="n"/>
      <c r="Y2414" s="19" t="n"/>
    </row>
    <row r="2415">
      <c r="C2415" s="18" t="n"/>
      <c r="J2415" s="19" t="n"/>
      <c r="P2415" s="20" t="n"/>
      <c r="Q2415" s="19" t="n"/>
      <c r="R2415" s="19" t="n"/>
      <c r="Y2415" s="19" t="n"/>
    </row>
    <row r="2416">
      <c r="C2416" s="18" t="n"/>
      <c r="J2416" s="19" t="n"/>
      <c r="P2416" s="20" t="n"/>
      <c r="Q2416" s="19" t="n"/>
      <c r="R2416" s="19" t="n"/>
      <c r="Y2416" s="19" t="n"/>
    </row>
    <row r="2417">
      <c r="C2417" s="18" t="n"/>
      <c r="J2417" s="19" t="n"/>
      <c r="P2417" s="20" t="n"/>
      <c r="Q2417" s="19" t="n"/>
      <c r="R2417" s="19" t="n"/>
      <c r="Y2417" s="19" t="n"/>
    </row>
    <row r="2418">
      <c r="C2418" s="18" t="n"/>
      <c r="J2418" s="19" t="n"/>
      <c r="P2418" s="20" t="n"/>
      <c r="Q2418" s="19" t="n"/>
      <c r="R2418" s="19" t="n"/>
      <c r="Y2418" s="19" t="n"/>
    </row>
    <row r="2419">
      <c r="C2419" s="18" t="n"/>
      <c r="J2419" s="19" t="n"/>
      <c r="P2419" s="20" t="n"/>
      <c r="Q2419" s="19" t="n"/>
      <c r="R2419" s="19" t="n"/>
      <c r="Y2419" s="19" t="n"/>
    </row>
    <row r="2420">
      <c r="C2420" s="18" t="n"/>
      <c r="J2420" s="19" t="n"/>
      <c r="P2420" s="20" t="n"/>
      <c r="Q2420" s="19" t="n"/>
      <c r="R2420" s="19" t="n"/>
      <c r="Y2420" s="19" t="n"/>
    </row>
    <row r="2421">
      <c r="C2421" s="18" t="n"/>
      <c r="J2421" s="19" t="n"/>
      <c r="P2421" s="20" t="n"/>
      <c r="Q2421" s="19" t="n"/>
      <c r="R2421" s="19" t="n"/>
      <c r="Y2421" s="19" t="n"/>
    </row>
    <row r="2422">
      <c r="C2422" s="18" t="n"/>
      <c r="J2422" s="19" t="n"/>
      <c r="P2422" s="20" t="n"/>
      <c r="Q2422" s="19" t="n"/>
      <c r="R2422" s="19" t="n"/>
      <c r="Y2422" s="19" t="n"/>
    </row>
    <row r="2423">
      <c r="C2423" s="18" t="n"/>
      <c r="J2423" s="19" t="n"/>
      <c r="P2423" s="20" t="n"/>
      <c r="Q2423" s="19" t="n"/>
      <c r="R2423" s="19" t="n"/>
      <c r="Y2423" s="19" t="n"/>
    </row>
    <row r="2424">
      <c r="C2424" s="18" t="n"/>
      <c r="J2424" s="19" t="n"/>
      <c r="P2424" s="20" t="n"/>
      <c r="Q2424" s="19" t="n"/>
      <c r="R2424" s="19" t="n"/>
      <c r="Y2424" s="19" t="n"/>
    </row>
    <row r="2425">
      <c r="C2425" s="18" t="n"/>
      <c r="J2425" s="19" t="n"/>
      <c r="P2425" s="20" t="n"/>
      <c r="Q2425" s="19" t="n"/>
      <c r="R2425" s="19" t="n"/>
      <c r="Y2425" s="19" t="n"/>
    </row>
    <row r="2426">
      <c r="C2426" s="18" t="n"/>
      <c r="J2426" s="19" t="n"/>
      <c r="P2426" s="20" t="n"/>
      <c r="Q2426" s="19" t="n"/>
      <c r="R2426" s="19" t="n"/>
      <c r="Y2426" s="19" t="n"/>
    </row>
    <row r="2427">
      <c r="C2427" s="18" t="n"/>
      <c r="J2427" s="19" t="n"/>
      <c r="P2427" s="20" t="n"/>
      <c r="Q2427" s="19" t="n"/>
      <c r="R2427" s="19" t="n"/>
      <c r="Y2427" s="19" t="n"/>
    </row>
    <row r="2428">
      <c r="C2428" s="18" t="n"/>
      <c r="J2428" s="19" t="n"/>
      <c r="P2428" s="20" t="n"/>
      <c r="Q2428" s="19" t="n"/>
      <c r="R2428" s="19" t="n"/>
      <c r="Y2428" s="19" t="n"/>
    </row>
    <row r="2429">
      <c r="C2429" s="18" t="n"/>
      <c r="J2429" s="19" t="n"/>
      <c r="P2429" s="20" t="n"/>
      <c r="Q2429" s="19" t="n"/>
      <c r="R2429" s="19" t="n"/>
      <c r="Y2429" s="19" t="n"/>
    </row>
    <row r="2430">
      <c r="C2430" s="18" t="n"/>
      <c r="J2430" s="19" t="n"/>
      <c r="P2430" s="20" t="n"/>
      <c r="Q2430" s="19" t="n"/>
      <c r="R2430" s="19" t="n"/>
      <c r="Y2430" s="19" t="n"/>
    </row>
    <row r="2431">
      <c r="C2431" s="18" t="n"/>
      <c r="J2431" s="19" t="n"/>
      <c r="P2431" s="20" t="n"/>
      <c r="Q2431" s="19" t="n"/>
      <c r="R2431" s="19" t="n"/>
      <c r="Y2431" s="19" t="n"/>
    </row>
    <row r="2432">
      <c r="C2432" s="18" t="n"/>
      <c r="J2432" s="19" t="n"/>
      <c r="P2432" s="20" t="n"/>
      <c r="Q2432" s="19" t="n"/>
      <c r="R2432" s="19" t="n"/>
      <c r="Y2432" s="19" t="n"/>
    </row>
    <row r="2433">
      <c r="C2433" s="18" t="n"/>
      <c r="J2433" s="19" t="n"/>
      <c r="P2433" s="20" t="n"/>
      <c r="Q2433" s="19" t="n"/>
      <c r="R2433" s="19" t="n"/>
      <c r="Y2433" s="19" t="n"/>
    </row>
    <row r="2434">
      <c r="C2434" s="18" t="n"/>
      <c r="J2434" s="19" t="n"/>
      <c r="P2434" s="20" t="n"/>
      <c r="Q2434" s="19" t="n"/>
      <c r="R2434" s="19" t="n"/>
      <c r="Y2434" s="19" t="n"/>
    </row>
    <row r="2435">
      <c r="C2435" s="18" t="n"/>
      <c r="J2435" s="19" t="n"/>
      <c r="P2435" s="20" t="n"/>
      <c r="Q2435" s="19" t="n"/>
      <c r="R2435" s="19" t="n"/>
      <c r="Y2435" s="19" t="n"/>
    </row>
    <row r="2436">
      <c r="C2436" s="18" t="n"/>
      <c r="J2436" s="19" t="n"/>
      <c r="P2436" s="20" t="n"/>
      <c r="Q2436" s="19" t="n"/>
      <c r="R2436" s="19" t="n"/>
      <c r="Y2436" s="19" t="n"/>
    </row>
    <row r="2437">
      <c r="C2437" s="18" t="n"/>
      <c r="J2437" s="19" t="n"/>
      <c r="P2437" s="20" t="n"/>
      <c r="Q2437" s="19" t="n"/>
      <c r="R2437" s="19" t="n"/>
      <c r="Y2437" s="19" t="n"/>
    </row>
    <row r="2438">
      <c r="C2438" s="18" t="n"/>
      <c r="J2438" s="19" t="n"/>
      <c r="P2438" s="20" t="n"/>
      <c r="Q2438" s="19" t="n"/>
      <c r="R2438" s="19" t="n"/>
      <c r="Y2438" s="19" t="n"/>
    </row>
    <row r="2439">
      <c r="C2439" s="18" t="n"/>
      <c r="J2439" s="19" t="n"/>
      <c r="P2439" s="20" t="n"/>
      <c r="Q2439" s="19" t="n"/>
      <c r="R2439" s="19" t="n"/>
      <c r="Y2439" s="19" t="n"/>
    </row>
    <row r="2440">
      <c r="C2440" s="18" t="n"/>
      <c r="J2440" s="19" t="n"/>
      <c r="P2440" s="20" t="n"/>
      <c r="Q2440" s="19" t="n"/>
      <c r="R2440" s="19" t="n"/>
      <c r="Y2440" s="19" t="n"/>
    </row>
    <row r="2441">
      <c r="C2441" s="18" t="n"/>
      <c r="J2441" s="19" t="n"/>
      <c r="P2441" s="20" t="n"/>
      <c r="Q2441" s="19" t="n"/>
      <c r="R2441" s="19" t="n"/>
      <c r="Y2441" s="19" t="n"/>
    </row>
    <row r="2442">
      <c r="C2442" s="18" t="n"/>
      <c r="J2442" s="19" t="n"/>
      <c r="P2442" s="20" t="n"/>
      <c r="Q2442" s="19" t="n"/>
      <c r="R2442" s="19" t="n"/>
      <c r="Y2442" s="19" t="n"/>
    </row>
    <row r="2443">
      <c r="C2443" s="18" t="n"/>
      <c r="J2443" s="19" t="n"/>
      <c r="P2443" s="20" t="n"/>
      <c r="Q2443" s="19" t="n"/>
      <c r="R2443" s="19" t="n"/>
      <c r="Y2443" s="19" t="n"/>
    </row>
    <row r="2444">
      <c r="C2444" s="18" t="n"/>
      <c r="J2444" s="19" t="n"/>
      <c r="P2444" s="20" t="n"/>
      <c r="Q2444" s="19" t="n"/>
      <c r="R2444" s="19" t="n"/>
      <c r="Y2444" s="19" t="n"/>
    </row>
    <row r="2445">
      <c r="C2445" s="18" t="n"/>
      <c r="J2445" s="19" t="n"/>
      <c r="P2445" s="20" t="n"/>
      <c r="Q2445" s="19" t="n"/>
      <c r="R2445" s="19" t="n"/>
      <c r="Y2445" s="19" t="n"/>
    </row>
    <row r="2446">
      <c r="C2446" s="18" t="n"/>
      <c r="J2446" s="19" t="n"/>
      <c r="P2446" s="20" t="n"/>
      <c r="Q2446" s="19" t="n"/>
      <c r="R2446" s="19" t="n"/>
      <c r="Y2446" s="19" t="n"/>
    </row>
    <row r="2447">
      <c r="C2447" s="18" t="n"/>
      <c r="J2447" s="19" t="n"/>
      <c r="P2447" s="20" t="n"/>
      <c r="Q2447" s="19" t="n"/>
      <c r="R2447" s="19" t="n"/>
      <c r="Y2447" s="19" t="n"/>
    </row>
    <row r="2448">
      <c r="C2448" s="18" t="n"/>
      <c r="J2448" s="19" t="n"/>
      <c r="P2448" s="20" t="n"/>
      <c r="Q2448" s="19" t="n"/>
      <c r="R2448" s="19" t="n"/>
      <c r="Y2448" s="19" t="n"/>
    </row>
    <row r="2449">
      <c r="C2449" s="18" t="n"/>
      <c r="J2449" s="19" t="n"/>
      <c r="P2449" s="20" t="n"/>
      <c r="Q2449" s="19" t="n"/>
      <c r="R2449" s="19" t="n"/>
      <c r="Y2449" s="19" t="n"/>
    </row>
    <row r="2450">
      <c r="C2450" s="18" t="n"/>
      <c r="J2450" s="19" t="n"/>
      <c r="P2450" s="20" t="n"/>
      <c r="Q2450" s="19" t="n"/>
      <c r="R2450" s="19" t="n"/>
      <c r="Y2450" s="19" t="n"/>
    </row>
    <row r="2451">
      <c r="C2451" s="18" t="n"/>
      <c r="J2451" s="19" t="n"/>
      <c r="P2451" s="20" t="n"/>
      <c r="Q2451" s="19" t="n"/>
      <c r="R2451" s="19" t="n"/>
      <c r="Y2451" s="19" t="n"/>
    </row>
    <row r="2452">
      <c r="C2452" s="18" t="n"/>
      <c r="J2452" s="19" t="n"/>
      <c r="P2452" s="20" t="n"/>
      <c r="Q2452" s="19" t="n"/>
      <c r="R2452" s="19" t="n"/>
      <c r="Y2452" s="19" t="n"/>
    </row>
    <row r="2453">
      <c r="C2453" s="18" t="n"/>
      <c r="J2453" s="19" t="n"/>
      <c r="P2453" s="20" t="n"/>
      <c r="Q2453" s="19" t="n"/>
      <c r="R2453" s="19" t="n"/>
      <c r="Y2453" s="19" t="n"/>
    </row>
    <row r="2454">
      <c r="C2454" s="18" t="n"/>
      <c r="J2454" s="19" t="n"/>
      <c r="P2454" s="20" t="n"/>
      <c r="Q2454" s="19" t="n"/>
      <c r="R2454" s="19" t="n"/>
      <c r="Y2454" s="19" t="n"/>
    </row>
    <row r="2455">
      <c r="C2455" s="18" t="n"/>
      <c r="J2455" s="19" t="n"/>
      <c r="P2455" s="20" t="n"/>
      <c r="Q2455" s="19" t="n"/>
      <c r="R2455" s="19" t="n"/>
      <c r="Y2455" s="19" t="n"/>
    </row>
    <row r="2456">
      <c r="C2456" s="18" t="n"/>
      <c r="J2456" s="19" t="n"/>
      <c r="P2456" s="20" t="n"/>
      <c r="Q2456" s="19" t="n"/>
      <c r="R2456" s="19" t="n"/>
      <c r="Y2456" s="19" t="n"/>
    </row>
    <row r="2457">
      <c r="C2457" s="18" t="n"/>
      <c r="J2457" s="19" t="n"/>
      <c r="P2457" s="20" t="n"/>
      <c r="Q2457" s="19" t="n"/>
      <c r="R2457" s="19" t="n"/>
      <c r="Y2457" s="19" t="n"/>
    </row>
    <row r="2458">
      <c r="C2458" s="18" t="n"/>
      <c r="J2458" s="19" t="n"/>
      <c r="P2458" s="20" t="n"/>
      <c r="Q2458" s="19" t="n"/>
      <c r="R2458" s="19" t="n"/>
      <c r="Y2458" s="19" t="n"/>
    </row>
    <row r="2459">
      <c r="C2459" s="18" t="n"/>
      <c r="J2459" s="19" t="n"/>
      <c r="P2459" s="20" t="n"/>
      <c r="Q2459" s="19" t="n"/>
      <c r="R2459" s="19" t="n"/>
      <c r="Y2459" s="19" t="n"/>
    </row>
    <row r="2460">
      <c r="C2460" s="18" t="n"/>
      <c r="J2460" s="19" t="n"/>
      <c r="P2460" s="20" t="n"/>
      <c r="Q2460" s="19" t="n"/>
      <c r="R2460" s="19" t="n"/>
      <c r="Y2460" s="19" t="n"/>
    </row>
    <row r="2461">
      <c r="C2461" s="18" t="n"/>
      <c r="J2461" s="19" t="n"/>
      <c r="P2461" s="20" t="n"/>
      <c r="Q2461" s="19" t="n"/>
      <c r="R2461" s="19" t="n"/>
      <c r="Y2461" s="19" t="n"/>
    </row>
    <row r="2462">
      <c r="C2462" s="18" t="n"/>
      <c r="J2462" s="19" t="n"/>
      <c r="P2462" s="20" t="n"/>
      <c r="Q2462" s="19" t="n"/>
      <c r="R2462" s="19" t="n"/>
      <c r="Y2462" s="19" t="n"/>
    </row>
    <row r="2463">
      <c r="C2463" s="18" t="n"/>
      <c r="J2463" s="19" t="n"/>
      <c r="P2463" s="20" t="n"/>
      <c r="Q2463" s="19" t="n"/>
      <c r="R2463" s="19" t="n"/>
      <c r="Y2463" s="19" t="n"/>
    </row>
    <row r="2464">
      <c r="C2464" s="18" t="n"/>
      <c r="J2464" s="19" t="n"/>
      <c r="P2464" s="20" t="n"/>
      <c r="Q2464" s="19" t="n"/>
      <c r="R2464" s="19" t="n"/>
      <c r="Y2464" s="19" t="n"/>
    </row>
    <row r="2465">
      <c r="C2465" s="18" t="n"/>
      <c r="J2465" s="19" t="n"/>
      <c r="P2465" s="20" t="n"/>
      <c r="Q2465" s="19" t="n"/>
      <c r="R2465" s="19" t="n"/>
      <c r="Y2465" s="19" t="n"/>
    </row>
    <row r="2466">
      <c r="C2466" s="18" t="n"/>
      <c r="J2466" s="19" t="n"/>
      <c r="P2466" s="20" t="n"/>
      <c r="Q2466" s="19" t="n"/>
      <c r="R2466" s="19" t="n"/>
      <c r="Y2466" s="19" t="n"/>
    </row>
    <row r="2467">
      <c r="C2467" s="18" t="n"/>
      <c r="J2467" s="19" t="n"/>
      <c r="P2467" s="20" t="n"/>
      <c r="Q2467" s="19" t="n"/>
      <c r="R2467" s="19" t="n"/>
      <c r="Y2467" s="19" t="n"/>
    </row>
    <row r="2468">
      <c r="C2468" s="18" t="n"/>
      <c r="J2468" s="19" t="n"/>
      <c r="P2468" s="20" t="n"/>
      <c r="Q2468" s="19" t="n"/>
      <c r="R2468" s="19" t="n"/>
      <c r="Y2468" s="19" t="n"/>
    </row>
    <row r="2469">
      <c r="C2469" s="18" t="n"/>
      <c r="J2469" s="19" t="n"/>
      <c r="P2469" s="20" t="n"/>
      <c r="Q2469" s="19" t="n"/>
      <c r="R2469" s="19" t="n"/>
      <c r="Y2469" s="19" t="n"/>
    </row>
    <row r="2470">
      <c r="C2470" s="18" t="n"/>
      <c r="J2470" s="19" t="n"/>
      <c r="P2470" s="20" t="n"/>
      <c r="Q2470" s="19" t="n"/>
      <c r="R2470" s="19" t="n"/>
      <c r="Y2470" s="19" t="n"/>
    </row>
    <row r="2471">
      <c r="C2471" s="18" t="n"/>
      <c r="J2471" s="19" t="n"/>
      <c r="P2471" s="20" t="n"/>
      <c r="Q2471" s="19" t="n"/>
      <c r="R2471" s="19" t="n"/>
      <c r="Y2471" s="19" t="n"/>
    </row>
    <row r="2472">
      <c r="C2472" s="18" t="n"/>
      <c r="J2472" s="19" t="n"/>
      <c r="P2472" s="20" t="n"/>
      <c r="Q2472" s="19" t="n"/>
      <c r="R2472" s="19" t="n"/>
      <c r="Y2472" s="19" t="n"/>
    </row>
    <row r="2473">
      <c r="C2473" s="18" t="n"/>
      <c r="J2473" s="19" t="n"/>
      <c r="P2473" s="20" t="n"/>
      <c r="Q2473" s="19" t="n"/>
      <c r="R2473" s="19" t="n"/>
      <c r="Y2473" s="19" t="n"/>
    </row>
    <row r="2474">
      <c r="C2474" s="18" t="n"/>
      <c r="J2474" s="19" t="n"/>
      <c r="P2474" s="20" t="n"/>
      <c r="Q2474" s="19" t="n"/>
      <c r="R2474" s="19" t="n"/>
      <c r="Y2474" s="19" t="n"/>
    </row>
    <row r="2475">
      <c r="C2475" s="18" t="n"/>
      <c r="J2475" s="19" t="n"/>
      <c r="P2475" s="20" t="n"/>
      <c r="Q2475" s="19" t="n"/>
      <c r="R2475" s="19" t="n"/>
      <c r="Y2475" s="19" t="n"/>
    </row>
    <row r="2476">
      <c r="C2476" s="18" t="n"/>
      <c r="J2476" s="19" t="n"/>
      <c r="P2476" s="20" t="n"/>
      <c r="Q2476" s="19" t="n"/>
      <c r="R2476" s="19" t="n"/>
      <c r="Y2476" s="19" t="n"/>
    </row>
    <row r="2477">
      <c r="C2477" s="18" t="n"/>
      <c r="J2477" s="19" t="n"/>
      <c r="P2477" s="20" t="n"/>
      <c r="Q2477" s="19" t="n"/>
      <c r="R2477" s="19" t="n"/>
      <c r="Y2477" s="19" t="n"/>
    </row>
    <row r="2478">
      <c r="C2478" s="18" t="n"/>
      <c r="J2478" s="19" t="n"/>
      <c r="P2478" s="20" t="n"/>
      <c r="Q2478" s="19" t="n"/>
      <c r="R2478" s="19" t="n"/>
      <c r="Y2478" s="19" t="n"/>
    </row>
    <row r="2479">
      <c r="C2479" s="18" t="n"/>
      <c r="J2479" s="19" t="n"/>
      <c r="P2479" s="20" t="n"/>
      <c r="Q2479" s="19" t="n"/>
      <c r="R2479" s="19" t="n"/>
      <c r="Y2479" s="19" t="n"/>
    </row>
    <row r="2480">
      <c r="C2480" s="18" t="n"/>
      <c r="J2480" s="19" t="n"/>
      <c r="P2480" s="20" t="n"/>
      <c r="Q2480" s="19" t="n"/>
      <c r="R2480" s="19" t="n"/>
      <c r="Y2480" s="19" t="n"/>
    </row>
    <row r="2481">
      <c r="C2481" s="18" t="n"/>
      <c r="J2481" s="19" t="n"/>
      <c r="P2481" s="20" t="n"/>
      <c r="Q2481" s="19" t="n"/>
      <c r="R2481" s="19" t="n"/>
      <c r="Y2481" s="19" t="n"/>
    </row>
    <row r="2482">
      <c r="C2482" s="18" t="n"/>
      <c r="J2482" s="19" t="n"/>
      <c r="P2482" s="20" t="n"/>
      <c r="Q2482" s="19" t="n"/>
      <c r="R2482" s="19" t="n"/>
      <c r="Y2482" s="19" t="n"/>
    </row>
    <row r="2483">
      <c r="C2483" s="18" t="n"/>
      <c r="J2483" s="19" t="n"/>
      <c r="P2483" s="20" t="n"/>
      <c r="Q2483" s="19" t="n"/>
      <c r="R2483" s="19" t="n"/>
      <c r="Y2483" s="19" t="n"/>
    </row>
    <row r="2484">
      <c r="C2484" s="18" t="n"/>
      <c r="J2484" s="19" t="n"/>
      <c r="P2484" s="20" t="n"/>
      <c r="Q2484" s="19" t="n"/>
      <c r="R2484" s="19" t="n"/>
      <c r="Y2484" s="19" t="n"/>
    </row>
    <row r="2485">
      <c r="C2485" s="18" t="n"/>
      <c r="J2485" s="19" t="n"/>
      <c r="P2485" s="20" t="n"/>
      <c r="Q2485" s="19" t="n"/>
      <c r="R2485" s="19" t="n"/>
      <c r="Y2485" s="19" t="n"/>
    </row>
    <row r="2486">
      <c r="C2486" s="18" t="n"/>
      <c r="J2486" s="19" t="n"/>
      <c r="P2486" s="20" t="n"/>
      <c r="Q2486" s="19" t="n"/>
      <c r="R2486" s="19" t="n"/>
      <c r="Y2486" s="19" t="n"/>
    </row>
    <row r="2487">
      <c r="C2487" s="18" t="n"/>
      <c r="J2487" s="19" t="n"/>
      <c r="P2487" s="20" t="n"/>
      <c r="Q2487" s="19" t="n"/>
      <c r="R2487" s="19" t="n"/>
      <c r="Y2487" s="19" t="n"/>
    </row>
    <row r="2488">
      <c r="C2488" s="18" t="n"/>
      <c r="J2488" s="19" t="n"/>
      <c r="P2488" s="20" t="n"/>
      <c r="Q2488" s="19" t="n"/>
      <c r="R2488" s="19" t="n"/>
      <c r="Y2488" s="19" t="n"/>
    </row>
    <row r="2489">
      <c r="C2489" s="18" t="n"/>
      <c r="J2489" s="19" t="n"/>
      <c r="P2489" s="20" t="n"/>
      <c r="Q2489" s="19" t="n"/>
      <c r="R2489" s="19" t="n"/>
      <c r="Y2489" s="19" t="n"/>
    </row>
    <row r="2490">
      <c r="C2490" s="18" t="n"/>
      <c r="J2490" s="19" t="n"/>
      <c r="P2490" s="20" t="n"/>
      <c r="Q2490" s="19" t="n"/>
      <c r="R2490" s="19" t="n"/>
      <c r="Y2490" s="19" t="n"/>
    </row>
    <row r="2491">
      <c r="C2491" s="18" t="n"/>
      <c r="J2491" s="19" t="n"/>
      <c r="P2491" s="20" t="n"/>
      <c r="Q2491" s="19" t="n"/>
      <c r="R2491" s="19" t="n"/>
      <c r="Y2491" s="19" t="n"/>
    </row>
    <row r="2492">
      <c r="C2492" s="18" t="n"/>
      <c r="J2492" s="19" t="n"/>
      <c r="P2492" s="20" t="n"/>
      <c r="Q2492" s="19" t="n"/>
      <c r="R2492" s="19" t="n"/>
      <c r="Y2492" s="19" t="n"/>
    </row>
    <row r="2493">
      <c r="C2493" s="18" t="n"/>
      <c r="J2493" s="19" t="n"/>
      <c r="P2493" s="20" t="n"/>
      <c r="Q2493" s="19" t="n"/>
      <c r="R2493" s="19" t="n"/>
      <c r="Y2493" s="19" t="n"/>
    </row>
    <row r="2494">
      <c r="C2494" s="18" t="n"/>
      <c r="J2494" s="19" t="n"/>
      <c r="P2494" s="20" t="n"/>
      <c r="Q2494" s="19" t="n"/>
      <c r="R2494" s="19" t="n"/>
      <c r="Y2494" s="19" t="n"/>
    </row>
    <row r="2495">
      <c r="C2495" s="18" t="n"/>
      <c r="J2495" s="19" t="n"/>
      <c r="P2495" s="20" t="n"/>
      <c r="Q2495" s="19" t="n"/>
      <c r="R2495" s="19" t="n"/>
      <c r="Y2495" s="19" t="n"/>
    </row>
    <row r="2496">
      <c r="C2496" s="18" t="n"/>
      <c r="J2496" s="19" t="n"/>
      <c r="P2496" s="20" t="n"/>
      <c r="Q2496" s="19" t="n"/>
      <c r="R2496" s="19" t="n"/>
      <c r="Y2496" s="19" t="n"/>
    </row>
    <row r="2497">
      <c r="C2497" s="18" t="n"/>
      <c r="J2497" s="19" t="n"/>
      <c r="P2497" s="20" t="n"/>
      <c r="Q2497" s="19" t="n"/>
      <c r="R2497" s="19" t="n"/>
      <c r="Y2497" s="19" t="n"/>
    </row>
    <row r="2498">
      <c r="C2498" s="18" t="n"/>
      <c r="J2498" s="19" t="n"/>
      <c r="P2498" s="20" t="n"/>
      <c r="Q2498" s="19" t="n"/>
      <c r="R2498" s="19" t="n"/>
      <c r="Y2498" s="19" t="n"/>
    </row>
    <row r="2499">
      <c r="C2499" s="18" t="n"/>
      <c r="J2499" s="19" t="n"/>
      <c r="P2499" s="20" t="n"/>
      <c r="Q2499" s="19" t="n"/>
      <c r="R2499" s="19" t="n"/>
      <c r="Y2499" s="19" t="n"/>
    </row>
    <row r="2500">
      <c r="C2500" s="18" t="n"/>
      <c r="J2500" s="19" t="n"/>
      <c r="P2500" s="20" t="n"/>
      <c r="Q2500" s="19" t="n"/>
      <c r="R2500" s="19" t="n"/>
      <c r="Y2500" s="19" t="n"/>
    </row>
    <row r="2501">
      <c r="C2501" s="18" t="n"/>
      <c r="J2501" s="19" t="n"/>
      <c r="P2501" s="20" t="n"/>
      <c r="Q2501" s="19" t="n"/>
      <c r="R2501" s="19" t="n"/>
      <c r="Y2501" s="19" t="n"/>
    </row>
    <row r="2502">
      <c r="C2502" s="18" t="n"/>
      <c r="J2502" s="19" t="n"/>
      <c r="P2502" s="20" t="n"/>
      <c r="Q2502" s="19" t="n"/>
      <c r="R2502" s="19" t="n"/>
      <c r="Y2502" s="19" t="n"/>
    </row>
    <row r="2503">
      <c r="C2503" s="18" t="n"/>
      <c r="J2503" s="19" t="n"/>
      <c r="P2503" s="20" t="n"/>
      <c r="Q2503" s="19" t="n"/>
      <c r="R2503" s="19" t="n"/>
      <c r="Y2503" s="19" t="n"/>
    </row>
    <row r="2504">
      <c r="C2504" s="18" t="n"/>
      <c r="J2504" s="19" t="n"/>
      <c r="P2504" s="20" t="n"/>
      <c r="Q2504" s="19" t="n"/>
      <c r="R2504" s="19" t="n"/>
      <c r="Y2504" s="19" t="n"/>
    </row>
    <row r="2505">
      <c r="C2505" s="18" t="n"/>
      <c r="J2505" s="19" t="n"/>
      <c r="P2505" s="20" t="n"/>
      <c r="Q2505" s="19" t="n"/>
      <c r="R2505" s="19" t="n"/>
      <c r="Y2505" s="19" t="n"/>
    </row>
    <row r="2506">
      <c r="C2506" s="18" t="n"/>
      <c r="J2506" s="19" t="n"/>
      <c r="P2506" s="20" t="n"/>
      <c r="Q2506" s="19" t="n"/>
      <c r="R2506" s="19" t="n"/>
      <c r="Y2506" s="19" t="n"/>
    </row>
    <row r="2507">
      <c r="C2507" s="18" t="n"/>
      <c r="J2507" s="19" t="n"/>
      <c r="P2507" s="20" t="n"/>
      <c r="Q2507" s="19" t="n"/>
      <c r="R2507" s="19" t="n"/>
      <c r="Y2507" s="19" t="n"/>
    </row>
    <row r="2508">
      <c r="C2508" s="18" t="n"/>
      <c r="J2508" s="19" t="n"/>
      <c r="P2508" s="20" t="n"/>
      <c r="Q2508" s="19" t="n"/>
      <c r="R2508" s="19" t="n"/>
      <c r="Y2508" s="19" t="n"/>
    </row>
    <row r="2509">
      <c r="C2509" s="18" t="n"/>
      <c r="J2509" s="19" t="n"/>
      <c r="P2509" s="20" t="n"/>
      <c r="Q2509" s="19" t="n"/>
      <c r="R2509" s="19" t="n"/>
      <c r="Y2509" s="19" t="n"/>
    </row>
    <row r="2510">
      <c r="C2510" s="18" t="n"/>
      <c r="J2510" s="19" t="n"/>
      <c r="P2510" s="20" t="n"/>
      <c r="Q2510" s="19" t="n"/>
      <c r="R2510" s="19" t="n"/>
      <c r="Y2510" s="19" t="n"/>
    </row>
    <row r="2511">
      <c r="C2511" s="18" t="n"/>
      <c r="J2511" s="19" t="n"/>
      <c r="P2511" s="20" t="n"/>
      <c r="Q2511" s="19" t="n"/>
      <c r="R2511" s="19" t="n"/>
      <c r="Y2511" s="19" t="n"/>
    </row>
    <row r="2512">
      <c r="C2512" s="18" t="n"/>
      <c r="J2512" s="19" t="n"/>
      <c r="P2512" s="20" t="n"/>
      <c r="Q2512" s="19" t="n"/>
      <c r="R2512" s="19" t="n"/>
      <c r="Y2512" s="19" t="n"/>
    </row>
    <row r="2513">
      <c r="C2513" s="18" t="n"/>
      <c r="J2513" s="19" t="n"/>
      <c r="P2513" s="20" t="n"/>
      <c r="Q2513" s="19" t="n"/>
      <c r="R2513" s="19" t="n"/>
      <c r="Y2513" s="19" t="n"/>
    </row>
    <row r="2514">
      <c r="C2514" s="18" t="n"/>
      <c r="J2514" s="19" t="n"/>
      <c r="P2514" s="20" t="n"/>
      <c r="Q2514" s="19" t="n"/>
      <c r="R2514" s="19" t="n"/>
      <c r="Y2514" s="19" t="n"/>
    </row>
    <row r="2515">
      <c r="C2515" s="18" t="n"/>
      <c r="J2515" s="19" t="n"/>
      <c r="P2515" s="20" t="n"/>
      <c r="Q2515" s="19" t="n"/>
      <c r="R2515" s="19" t="n"/>
      <c r="Y2515" s="19" t="n"/>
    </row>
    <row r="2516">
      <c r="C2516" s="18" t="n"/>
      <c r="J2516" s="19" t="n"/>
      <c r="P2516" s="20" t="n"/>
      <c r="Q2516" s="19" t="n"/>
      <c r="R2516" s="19" t="n"/>
      <c r="Y2516" s="19" t="n"/>
    </row>
    <row r="2517">
      <c r="C2517" s="18" t="n"/>
      <c r="J2517" s="19" t="n"/>
      <c r="P2517" s="20" t="n"/>
      <c r="Q2517" s="19" t="n"/>
      <c r="R2517" s="19" t="n"/>
      <c r="Y2517" s="19" t="n"/>
    </row>
    <row r="2518">
      <c r="C2518" s="18" t="n"/>
      <c r="J2518" s="19" t="n"/>
      <c r="P2518" s="20" t="n"/>
      <c r="Q2518" s="19" t="n"/>
      <c r="R2518" s="19" t="n"/>
      <c r="Y2518" s="19" t="n"/>
    </row>
    <row r="2519">
      <c r="C2519" s="18" t="n"/>
      <c r="J2519" s="19" t="n"/>
      <c r="P2519" s="20" t="n"/>
      <c r="Q2519" s="19" t="n"/>
      <c r="R2519" s="19" t="n"/>
      <c r="Y2519" s="19" t="n"/>
    </row>
    <row r="2520">
      <c r="C2520" s="18" t="n"/>
      <c r="J2520" s="19" t="n"/>
      <c r="P2520" s="20" t="n"/>
      <c r="Q2520" s="19" t="n"/>
      <c r="R2520" s="19" t="n"/>
      <c r="Y2520" s="19" t="n"/>
    </row>
    <row r="2521">
      <c r="C2521" s="18" t="n"/>
      <c r="J2521" s="19" t="n"/>
      <c r="P2521" s="20" t="n"/>
      <c r="Q2521" s="19" t="n"/>
      <c r="R2521" s="19" t="n"/>
      <c r="Y2521" s="19" t="n"/>
    </row>
    <row r="2522">
      <c r="C2522" s="18" t="n"/>
      <c r="J2522" s="19" t="n"/>
      <c r="P2522" s="20" t="n"/>
      <c r="Q2522" s="19" t="n"/>
      <c r="R2522" s="19" t="n"/>
      <c r="Y2522" s="19" t="n"/>
    </row>
    <row r="2523">
      <c r="C2523" s="18" t="n"/>
      <c r="J2523" s="19" t="n"/>
      <c r="P2523" s="20" t="n"/>
      <c r="Q2523" s="19" t="n"/>
      <c r="R2523" s="19" t="n"/>
      <c r="Y2523" s="19" t="n"/>
    </row>
    <row r="2524">
      <c r="C2524" s="18" t="n"/>
      <c r="J2524" s="19" t="n"/>
      <c r="P2524" s="20" t="n"/>
      <c r="Q2524" s="19" t="n"/>
      <c r="R2524" s="19" t="n"/>
      <c r="Y2524" s="19" t="n"/>
    </row>
    <row r="2525">
      <c r="C2525" s="18" t="n"/>
      <c r="J2525" s="19" t="n"/>
      <c r="P2525" s="20" t="n"/>
      <c r="Q2525" s="19" t="n"/>
      <c r="R2525" s="19" t="n"/>
      <c r="Y2525" s="19" t="n"/>
    </row>
    <row r="2526">
      <c r="C2526" s="18" t="n"/>
      <c r="J2526" s="19" t="n"/>
      <c r="P2526" s="20" t="n"/>
      <c r="Q2526" s="19" t="n"/>
      <c r="R2526" s="19" t="n"/>
      <c r="Y2526" s="19" t="n"/>
    </row>
    <row r="2527">
      <c r="C2527" s="18" t="n"/>
      <c r="J2527" s="19" t="n"/>
      <c r="P2527" s="20" t="n"/>
      <c r="Q2527" s="19" t="n"/>
      <c r="R2527" s="19" t="n"/>
      <c r="Y2527" s="19" t="n"/>
    </row>
    <row r="2528">
      <c r="C2528" s="18" t="n"/>
      <c r="J2528" s="19" t="n"/>
      <c r="P2528" s="20" t="n"/>
      <c r="Q2528" s="19" t="n"/>
      <c r="R2528" s="19" t="n"/>
      <c r="Y2528" s="19" t="n"/>
    </row>
    <row r="2529">
      <c r="C2529" s="18" t="n"/>
      <c r="J2529" s="19" t="n"/>
      <c r="P2529" s="20" t="n"/>
      <c r="Q2529" s="19" t="n"/>
      <c r="R2529" s="19" t="n"/>
      <c r="Y2529" s="19" t="n"/>
    </row>
    <row r="2530">
      <c r="C2530" s="18" t="n"/>
      <c r="J2530" s="19" t="n"/>
      <c r="P2530" s="20" t="n"/>
      <c r="Q2530" s="19" t="n"/>
      <c r="R2530" s="19" t="n"/>
      <c r="Y2530" s="19" t="n"/>
    </row>
    <row r="2531">
      <c r="C2531" s="18" t="n"/>
      <c r="J2531" s="19" t="n"/>
      <c r="P2531" s="20" t="n"/>
      <c r="Q2531" s="19" t="n"/>
      <c r="R2531" s="19" t="n"/>
      <c r="Y2531" s="19" t="n"/>
    </row>
    <row r="2532">
      <c r="C2532" s="18" t="n"/>
      <c r="J2532" s="19" t="n"/>
      <c r="P2532" s="20" t="n"/>
      <c r="Q2532" s="19" t="n"/>
      <c r="R2532" s="19" t="n"/>
      <c r="Y2532" s="19" t="n"/>
    </row>
    <row r="2533">
      <c r="C2533" s="18" t="n"/>
      <c r="J2533" s="19" t="n"/>
      <c r="P2533" s="20" t="n"/>
      <c r="Q2533" s="19" t="n"/>
      <c r="R2533" s="19" t="n"/>
      <c r="Y2533" s="19" t="n"/>
    </row>
    <row r="2534">
      <c r="C2534" s="18" t="n"/>
      <c r="J2534" s="19" t="n"/>
      <c r="P2534" s="20" t="n"/>
      <c r="Q2534" s="19" t="n"/>
      <c r="R2534" s="19" t="n"/>
      <c r="Y2534" s="19" t="n"/>
    </row>
    <row r="2535">
      <c r="C2535" s="18" t="n"/>
      <c r="J2535" s="19" t="n"/>
      <c r="P2535" s="20" t="n"/>
      <c r="Q2535" s="19" t="n"/>
      <c r="R2535" s="19" t="n"/>
      <c r="Y2535" s="19" t="n"/>
    </row>
    <row r="2536">
      <c r="C2536" s="18" t="n"/>
      <c r="J2536" s="19" t="n"/>
      <c r="P2536" s="20" t="n"/>
      <c r="Q2536" s="19" t="n"/>
      <c r="R2536" s="19" t="n"/>
      <c r="Y2536" s="19" t="n"/>
    </row>
    <row r="2537">
      <c r="C2537" s="18" t="n"/>
      <c r="J2537" s="19" t="n"/>
      <c r="P2537" s="20" t="n"/>
      <c r="Q2537" s="19" t="n"/>
      <c r="R2537" s="19" t="n"/>
      <c r="Y2537" s="19" t="n"/>
    </row>
    <row r="2538">
      <c r="C2538" s="18" t="n"/>
      <c r="J2538" s="19" t="n"/>
      <c r="P2538" s="20" t="n"/>
      <c r="Q2538" s="19" t="n"/>
      <c r="R2538" s="19" t="n"/>
      <c r="Y2538" s="19" t="n"/>
    </row>
    <row r="2539">
      <c r="C2539" s="18" t="n"/>
      <c r="J2539" s="19" t="n"/>
      <c r="P2539" s="20" t="n"/>
      <c r="Q2539" s="19" t="n"/>
      <c r="R2539" s="19" t="n"/>
      <c r="Y2539" s="19" t="n"/>
    </row>
    <row r="2540">
      <c r="C2540" s="18" t="n"/>
      <c r="J2540" s="19" t="n"/>
      <c r="P2540" s="20" t="n"/>
      <c r="Q2540" s="19" t="n"/>
      <c r="R2540" s="19" t="n"/>
      <c r="Y2540" s="19" t="n"/>
    </row>
    <row r="2541">
      <c r="C2541" s="18" t="n"/>
      <c r="J2541" s="19" t="n"/>
      <c r="P2541" s="20" t="n"/>
      <c r="Q2541" s="19" t="n"/>
      <c r="R2541" s="19" t="n"/>
      <c r="Y2541" s="19" t="n"/>
    </row>
    <row r="2542">
      <c r="C2542" s="18" t="n"/>
      <c r="J2542" s="19" t="n"/>
      <c r="P2542" s="20" t="n"/>
      <c r="Q2542" s="19" t="n"/>
      <c r="R2542" s="19" t="n"/>
      <c r="Y2542" s="19" t="n"/>
    </row>
    <row r="2543">
      <c r="C2543" s="18" t="n"/>
      <c r="J2543" s="19" t="n"/>
      <c r="P2543" s="20" t="n"/>
      <c r="Q2543" s="19" t="n"/>
      <c r="R2543" s="19" t="n"/>
      <c r="Y2543" s="19" t="n"/>
    </row>
    <row r="2544">
      <c r="C2544" s="18" t="n"/>
      <c r="J2544" s="19" t="n"/>
      <c r="P2544" s="20" t="n"/>
      <c r="Q2544" s="19" t="n"/>
      <c r="R2544" s="19" t="n"/>
      <c r="Y2544" s="19" t="n"/>
    </row>
    <row r="2545">
      <c r="C2545" s="18" t="n"/>
      <c r="J2545" s="19" t="n"/>
      <c r="P2545" s="20" t="n"/>
      <c r="Q2545" s="19" t="n"/>
      <c r="R2545" s="19" t="n"/>
      <c r="Y2545" s="19" t="n"/>
    </row>
    <row r="2546">
      <c r="C2546" s="18" t="n"/>
      <c r="J2546" s="19" t="n"/>
      <c r="P2546" s="20" t="n"/>
      <c r="Q2546" s="19" t="n"/>
      <c r="R2546" s="19" t="n"/>
      <c r="Y2546" s="19" t="n"/>
    </row>
    <row r="2547">
      <c r="C2547" s="18" t="n"/>
      <c r="J2547" s="19" t="n"/>
      <c r="P2547" s="20" t="n"/>
      <c r="Q2547" s="19" t="n"/>
      <c r="R2547" s="19" t="n"/>
      <c r="Y2547" s="19" t="n"/>
    </row>
    <row r="2548">
      <c r="C2548" s="18" t="n"/>
      <c r="J2548" s="19" t="n"/>
      <c r="P2548" s="20" t="n"/>
      <c r="Q2548" s="19" t="n"/>
      <c r="R2548" s="19" t="n"/>
      <c r="Y2548" s="19" t="n"/>
    </row>
    <row r="2549">
      <c r="C2549" s="18" t="n"/>
      <c r="J2549" s="19" t="n"/>
      <c r="P2549" s="20" t="n"/>
      <c r="Q2549" s="19" t="n"/>
      <c r="R2549" s="19" t="n"/>
      <c r="Y2549" s="19" t="n"/>
    </row>
    <row r="2550">
      <c r="C2550" s="18" t="n"/>
      <c r="J2550" s="19" t="n"/>
      <c r="P2550" s="20" t="n"/>
      <c r="Q2550" s="19" t="n"/>
      <c r="R2550" s="19" t="n"/>
      <c r="Y2550" s="19" t="n"/>
    </row>
    <row r="2551">
      <c r="C2551" s="18" t="n"/>
      <c r="J2551" s="19" t="n"/>
      <c r="P2551" s="20" t="n"/>
      <c r="Q2551" s="19" t="n"/>
      <c r="R2551" s="19" t="n"/>
      <c r="Y2551" s="19" t="n"/>
    </row>
    <row r="2552">
      <c r="C2552" s="18" t="n"/>
      <c r="J2552" s="19" t="n"/>
      <c r="P2552" s="20" t="n"/>
      <c r="Q2552" s="19" t="n"/>
      <c r="R2552" s="19" t="n"/>
      <c r="Y2552" s="19" t="n"/>
    </row>
    <row r="2553">
      <c r="C2553" s="18" t="n"/>
      <c r="J2553" s="19" t="n"/>
      <c r="P2553" s="20" t="n"/>
      <c r="Q2553" s="19" t="n"/>
      <c r="R2553" s="19" t="n"/>
      <c r="Y2553" s="19" t="n"/>
    </row>
    <row r="2554">
      <c r="C2554" s="18" t="n"/>
      <c r="J2554" s="19" t="n"/>
      <c r="P2554" s="20" t="n"/>
      <c r="Q2554" s="19" t="n"/>
      <c r="R2554" s="19" t="n"/>
      <c r="Y2554" s="19" t="n"/>
    </row>
    <row r="2555">
      <c r="C2555" s="18" t="n"/>
      <c r="J2555" s="19" t="n"/>
      <c r="P2555" s="20" t="n"/>
      <c r="Q2555" s="19" t="n"/>
      <c r="R2555" s="19" t="n"/>
      <c r="Y2555" s="19" t="n"/>
    </row>
    <row r="2556">
      <c r="C2556" s="18" t="n"/>
      <c r="J2556" s="19" t="n"/>
      <c r="P2556" s="20" t="n"/>
      <c r="Q2556" s="19" t="n"/>
      <c r="R2556" s="19" t="n"/>
      <c r="Y2556" s="19" t="n"/>
    </row>
    <row r="2557">
      <c r="C2557" s="18" t="n"/>
      <c r="J2557" s="19" t="n"/>
      <c r="P2557" s="20" t="n"/>
      <c r="Q2557" s="19" t="n"/>
      <c r="R2557" s="19" t="n"/>
      <c r="Y2557" s="19" t="n"/>
    </row>
    <row r="2558">
      <c r="C2558" s="18" t="n"/>
      <c r="J2558" s="19" t="n"/>
      <c r="P2558" s="20" t="n"/>
      <c r="Q2558" s="19" t="n"/>
      <c r="R2558" s="19" t="n"/>
      <c r="Y2558" s="19" t="n"/>
    </row>
    <row r="2559">
      <c r="C2559" s="18" t="n"/>
      <c r="J2559" s="19" t="n"/>
      <c r="P2559" s="20" t="n"/>
      <c r="Q2559" s="19" t="n"/>
      <c r="R2559" s="19" t="n"/>
      <c r="Y2559" s="19" t="n"/>
    </row>
    <row r="2560">
      <c r="C2560" s="18" t="n"/>
      <c r="J2560" s="19" t="n"/>
      <c r="P2560" s="20" t="n"/>
      <c r="Q2560" s="19" t="n"/>
      <c r="R2560" s="19" t="n"/>
      <c r="Y2560" s="19" t="n"/>
    </row>
    <row r="2561">
      <c r="C2561" s="18" t="n"/>
      <c r="J2561" s="19" t="n"/>
      <c r="P2561" s="20" t="n"/>
      <c r="Q2561" s="19" t="n"/>
      <c r="R2561" s="19" t="n"/>
      <c r="Y2561" s="19" t="n"/>
    </row>
    <row r="2562">
      <c r="C2562" s="18" t="n"/>
      <c r="J2562" s="19" t="n"/>
      <c r="P2562" s="20" t="n"/>
      <c r="Q2562" s="19" t="n"/>
      <c r="R2562" s="19" t="n"/>
      <c r="Y2562" s="19" t="n"/>
    </row>
    <row r="2563">
      <c r="C2563" s="18" t="n"/>
      <c r="J2563" s="19" t="n"/>
      <c r="P2563" s="20" t="n"/>
      <c r="Q2563" s="19" t="n"/>
      <c r="R2563" s="19" t="n"/>
      <c r="Y2563" s="19" t="n"/>
    </row>
    <row r="2564">
      <c r="C2564" s="18" t="n"/>
      <c r="J2564" s="19" t="n"/>
      <c r="P2564" s="20" t="n"/>
      <c r="Q2564" s="19" t="n"/>
      <c r="R2564" s="19" t="n"/>
      <c r="Y2564" s="19" t="n"/>
    </row>
    <row r="2565">
      <c r="C2565" s="18" t="n"/>
      <c r="J2565" s="19" t="n"/>
      <c r="P2565" s="20" t="n"/>
      <c r="Q2565" s="19" t="n"/>
      <c r="R2565" s="19" t="n"/>
      <c r="Y2565" s="19" t="n"/>
    </row>
    <row r="2566">
      <c r="C2566" s="18" t="n"/>
      <c r="J2566" s="19" t="n"/>
      <c r="P2566" s="20" t="n"/>
      <c r="Q2566" s="19" t="n"/>
      <c r="R2566" s="19" t="n"/>
      <c r="Y2566" s="19" t="n"/>
    </row>
    <row r="2567">
      <c r="C2567" s="18" t="n"/>
      <c r="J2567" s="19" t="n"/>
      <c r="P2567" s="20" t="n"/>
      <c r="Q2567" s="19" t="n"/>
      <c r="R2567" s="19" t="n"/>
      <c r="Y2567" s="19" t="n"/>
    </row>
    <row r="2568">
      <c r="C2568" s="18" t="n"/>
      <c r="J2568" s="19" t="n"/>
      <c r="P2568" s="20" t="n"/>
      <c r="Q2568" s="19" t="n"/>
      <c r="R2568" s="19" t="n"/>
      <c r="Y2568" s="19" t="n"/>
    </row>
    <row r="2569">
      <c r="C2569" s="18" t="n"/>
      <c r="J2569" s="19" t="n"/>
      <c r="P2569" s="20" t="n"/>
      <c r="Q2569" s="19" t="n"/>
      <c r="R2569" s="19" t="n"/>
      <c r="Y2569" s="19" t="n"/>
    </row>
    <row r="2570">
      <c r="C2570" s="18" t="n"/>
      <c r="J2570" s="19" t="n"/>
      <c r="P2570" s="20" t="n"/>
      <c r="Q2570" s="19" t="n"/>
      <c r="R2570" s="19" t="n"/>
      <c r="Y2570" s="19" t="n"/>
    </row>
    <row r="2571">
      <c r="C2571" s="18" t="n"/>
      <c r="J2571" s="19" t="n"/>
      <c r="P2571" s="20" t="n"/>
      <c r="Q2571" s="19" t="n"/>
      <c r="R2571" s="19" t="n"/>
      <c r="Y2571" s="19" t="n"/>
    </row>
    <row r="2572">
      <c r="C2572" s="18" t="n"/>
      <c r="J2572" s="19" t="n"/>
      <c r="P2572" s="20" t="n"/>
      <c r="Q2572" s="19" t="n"/>
      <c r="R2572" s="19" t="n"/>
      <c r="Y2572" s="19" t="n"/>
    </row>
    <row r="2573">
      <c r="C2573" s="18" t="n"/>
      <c r="J2573" s="19" t="n"/>
      <c r="P2573" s="20" t="n"/>
      <c r="Q2573" s="19" t="n"/>
      <c r="R2573" s="19" t="n"/>
      <c r="Y2573" s="19" t="n"/>
    </row>
    <row r="2574">
      <c r="C2574" s="18" t="n"/>
      <c r="J2574" s="19" t="n"/>
      <c r="P2574" s="20" t="n"/>
      <c r="Q2574" s="19" t="n"/>
      <c r="R2574" s="19" t="n"/>
      <c r="Y2574" s="19" t="n"/>
    </row>
    <row r="2575">
      <c r="C2575" s="18" t="n"/>
      <c r="J2575" s="19" t="n"/>
      <c r="P2575" s="20" t="n"/>
      <c r="Q2575" s="19" t="n"/>
      <c r="R2575" s="19" t="n"/>
      <c r="Y2575" s="19" t="n"/>
    </row>
    <row r="2576">
      <c r="C2576" s="18" t="n"/>
      <c r="J2576" s="19" t="n"/>
      <c r="P2576" s="20" t="n"/>
      <c r="Q2576" s="19" t="n"/>
      <c r="R2576" s="19" t="n"/>
      <c r="Y2576" s="19" t="n"/>
    </row>
    <row r="2577">
      <c r="C2577" s="18" t="n"/>
      <c r="J2577" s="19" t="n"/>
      <c r="P2577" s="20" t="n"/>
      <c r="Q2577" s="19" t="n"/>
      <c r="R2577" s="19" t="n"/>
      <c r="Y2577" s="19" t="n"/>
    </row>
    <row r="2578">
      <c r="C2578" s="18" t="n"/>
      <c r="J2578" s="19" t="n"/>
      <c r="P2578" s="20" t="n"/>
      <c r="Q2578" s="19" t="n"/>
      <c r="R2578" s="19" t="n"/>
      <c r="Y2578" s="19" t="n"/>
    </row>
    <row r="2579">
      <c r="C2579" s="18" t="n"/>
      <c r="J2579" s="19" t="n"/>
      <c r="P2579" s="20" t="n"/>
      <c r="Q2579" s="19" t="n"/>
      <c r="R2579" s="19" t="n"/>
      <c r="Y2579" s="19" t="n"/>
    </row>
    <row r="2580">
      <c r="C2580" s="18" t="n"/>
      <c r="J2580" s="19" t="n"/>
      <c r="P2580" s="20" t="n"/>
      <c r="Q2580" s="19" t="n"/>
      <c r="R2580" s="19" t="n"/>
      <c r="Y2580" s="19" t="n"/>
    </row>
    <row r="2581">
      <c r="C2581" s="18" t="n"/>
      <c r="J2581" s="19" t="n"/>
      <c r="P2581" s="20" t="n"/>
      <c r="Q2581" s="19" t="n"/>
      <c r="R2581" s="19" t="n"/>
      <c r="Y2581" s="19" t="n"/>
    </row>
    <row r="2582">
      <c r="C2582" s="18" t="n"/>
      <c r="J2582" s="19" t="n"/>
      <c r="P2582" s="20" t="n"/>
      <c r="Q2582" s="19" t="n"/>
      <c r="R2582" s="19" t="n"/>
      <c r="Y2582" s="19" t="n"/>
    </row>
    <row r="2583">
      <c r="C2583" s="18" t="n"/>
      <c r="J2583" s="19" t="n"/>
      <c r="P2583" s="20" t="n"/>
      <c r="Q2583" s="19" t="n"/>
      <c r="R2583" s="19" t="n"/>
      <c r="Y2583" s="19" t="n"/>
    </row>
    <row r="2584">
      <c r="C2584" s="18" t="n"/>
      <c r="J2584" s="19" t="n"/>
      <c r="P2584" s="20" t="n"/>
      <c r="Q2584" s="19" t="n"/>
      <c r="R2584" s="19" t="n"/>
      <c r="Y2584" s="19" t="n"/>
    </row>
    <row r="2585">
      <c r="C2585" s="18" t="n"/>
      <c r="J2585" s="19" t="n"/>
      <c r="P2585" s="20" t="n"/>
      <c r="Q2585" s="19" t="n"/>
      <c r="R2585" s="19" t="n"/>
      <c r="Y2585" s="19" t="n"/>
    </row>
    <row r="2586">
      <c r="C2586" s="18" t="n"/>
      <c r="J2586" s="19" t="n"/>
      <c r="P2586" s="20" t="n"/>
      <c r="Q2586" s="19" t="n"/>
      <c r="R2586" s="19" t="n"/>
      <c r="Y2586" s="19" t="n"/>
    </row>
    <row r="2587">
      <c r="C2587" s="18" t="n"/>
      <c r="J2587" s="19" t="n"/>
      <c r="P2587" s="20" t="n"/>
      <c r="Q2587" s="19" t="n"/>
      <c r="R2587" s="19" t="n"/>
      <c r="Y2587" s="19" t="n"/>
    </row>
    <row r="2588">
      <c r="C2588" s="18" t="n"/>
      <c r="J2588" s="19" t="n"/>
      <c r="P2588" s="20" t="n"/>
      <c r="Q2588" s="19" t="n"/>
      <c r="R2588" s="19" t="n"/>
      <c r="Y2588" s="19" t="n"/>
    </row>
    <row r="2589">
      <c r="C2589" s="18" t="n"/>
      <c r="J2589" s="19" t="n"/>
      <c r="P2589" s="20" t="n"/>
      <c r="Q2589" s="19" t="n"/>
      <c r="R2589" s="19" t="n"/>
      <c r="Y2589" s="19" t="n"/>
    </row>
    <row r="2590">
      <c r="C2590" s="18" t="n"/>
      <c r="J2590" s="19" t="n"/>
      <c r="P2590" s="20" t="n"/>
      <c r="Q2590" s="19" t="n"/>
      <c r="R2590" s="19" t="n"/>
      <c r="Y2590" s="19" t="n"/>
    </row>
    <row r="2591">
      <c r="C2591" s="18" t="n"/>
      <c r="J2591" s="19" t="n"/>
      <c r="P2591" s="20" t="n"/>
      <c r="Q2591" s="19" t="n"/>
      <c r="R2591" s="19" t="n"/>
      <c r="Y2591" s="19" t="n"/>
    </row>
    <row r="2592">
      <c r="C2592" s="18" t="n"/>
      <c r="J2592" s="19" t="n"/>
      <c r="P2592" s="20" t="n"/>
      <c r="Q2592" s="19" t="n"/>
      <c r="R2592" s="19" t="n"/>
      <c r="Y2592" s="19" t="n"/>
    </row>
    <row r="2593">
      <c r="C2593" s="18" t="n"/>
      <c r="J2593" s="19" t="n"/>
      <c r="P2593" s="20" t="n"/>
      <c r="Q2593" s="19" t="n"/>
      <c r="R2593" s="19" t="n"/>
      <c r="Y2593" s="19" t="n"/>
    </row>
    <row r="2594">
      <c r="C2594" s="18" t="n"/>
      <c r="J2594" s="19" t="n"/>
      <c r="P2594" s="20" t="n"/>
      <c r="Q2594" s="19" t="n"/>
      <c r="R2594" s="19" t="n"/>
      <c r="Y2594" s="19" t="n"/>
    </row>
    <row r="2595">
      <c r="C2595" s="18" t="n"/>
      <c r="J2595" s="19" t="n"/>
      <c r="P2595" s="20" t="n"/>
      <c r="Q2595" s="19" t="n"/>
      <c r="R2595" s="19" t="n"/>
      <c r="Y2595" s="19" t="n"/>
    </row>
    <row r="2596">
      <c r="C2596" s="18" t="n"/>
      <c r="J2596" s="19" t="n"/>
      <c r="P2596" s="20" t="n"/>
      <c r="Q2596" s="19" t="n"/>
      <c r="R2596" s="19" t="n"/>
      <c r="Y2596" s="19" t="n"/>
    </row>
    <row r="2597">
      <c r="C2597" s="18" t="n"/>
      <c r="J2597" s="19" t="n"/>
      <c r="P2597" s="20" t="n"/>
      <c r="Q2597" s="19" t="n"/>
      <c r="R2597" s="19" t="n"/>
      <c r="Y2597" s="19" t="n"/>
    </row>
    <row r="2598">
      <c r="C2598" s="18" t="n"/>
      <c r="J2598" s="19" t="n"/>
      <c r="P2598" s="20" t="n"/>
      <c r="Q2598" s="19" t="n"/>
      <c r="R2598" s="19" t="n"/>
      <c r="Y2598" s="19" t="n"/>
    </row>
    <row r="2599">
      <c r="C2599" s="18" t="n"/>
      <c r="J2599" s="19" t="n"/>
      <c r="P2599" s="20" t="n"/>
      <c r="Q2599" s="19" t="n"/>
      <c r="R2599" s="19" t="n"/>
      <c r="Y2599" s="19" t="n"/>
    </row>
    <row r="2600">
      <c r="C2600" s="18" t="n"/>
      <c r="J2600" s="19" t="n"/>
      <c r="P2600" s="20" t="n"/>
      <c r="Q2600" s="19" t="n"/>
      <c r="R2600" s="19" t="n"/>
      <c r="Y2600" s="19" t="n"/>
    </row>
    <row r="2601">
      <c r="C2601" s="18" t="n"/>
      <c r="J2601" s="19" t="n"/>
      <c r="P2601" s="20" t="n"/>
      <c r="Q2601" s="19" t="n"/>
      <c r="R2601" s="19" t="n"/>
      <c r="Y2601" s="19" t="n"/>
    </row>
    <row r="2602">
      <c r="C2602" s="18" t="n"/>
      <c r="J2602" s="19" t="n"/>
      <c r="P2602" s="20" t="n"/>
      <c r="Q2602" s="19" t="n"/>
      <c r="R2602" s="19" t="n"/>
      <c r="Y2602" s="19" t="n"/>
    </row>
    <row r="2603">
      <c r="C2603" s="18" t="n"/>
      <c r="J2603" s="19" t="n"/>
      <c r="P2603" s="20" t="n"/>
      <c r="Q2603" s="19" t="n"/>
      <c r="R2603" s="19" t="n"/>
      <c r="Y2603" s="19" t="n"/>
    </row>
    <row r="2604">
      <c r="C2604" s="18" t="n"/>
      <c r="J2604" s="19" t="n"/>
      <c r="P2604" s="20" t="n"/>
      <c r="Q2604" s="19" t="n"/>
      <c r="R2604" s="19" t="n"/>
      <c r="Y2604" s="19" t="n"/>
    </row>
    <row r="2605">
      <c r="C2605" s="18" t="n"/>
      <c r="J2605" s="19" t="n"/>
      <c r="P2605" s="20" t="n"/>
      <c r="Q2605" s="19" t="n"/>
      <c r="R2605" s="19" t="n"/>
      <c r="Y2605" s="19" t="n"/>
    </row>
    <row r="2606">
      <c r="C2606" s="18" t="n"/>
      <c r="J2606" s="19" t="n"/>
      <c r="P2606" s="20" t="n"/>
      <c r="Q2606" s="19" t="n"/>
      <c r="R2606" s="19" t="n"/>
      <c r="Y2606" s="19" t="n"/>
    </row>
    <row r="2607">
      <c r="C2607" s="18" t="n"/>
      <c r="J2607" s="19" t="n"/>
      <c r="P2607" s="20" t="n"/>
      <c r="Q2607" s="19" t="n"/>
      <c r="R2607" s="19" t="n"/>
      <c r="Y2607" s="19" t="n"/>
    </row>
    <row r="2608">
      <c r="C2608" s="18" t="n"/>
      <c r="J2608" s="19" t="n"/>
      <c r="P2608" s="20" t="n"/>
      <c r="Q2608" s="19" t="n"/>
      <c r="R2608" s="19" t="n"/>
      <c r="Y2608" s="19" t="n"/>
    </row>
    <row r="2609">
      <c r="C2609" s="18" t="n"/>
      <c r="J2609" s="19" t="n"/>
      <c r="P2609" s="20" t="n"/>
      <c r="Q2609" s="19" t="n"/>
      <c r="R2609" s="19" t="n"/>
      <c r="Y2609" s="19" t="n"/>
    </row>
    <row r="2610">
      <c r="C2610" s="18" t="n"/>
      <c r="J2610" s="19" t="n"/>
      <c r="P2610" s="20" t="n"/>
      <c r="Q2610" s="19" t="n"/>
      <c r="R2610" s="19" t="n"/>
      <c r="Y2610" s="19" t="n"/>
    </row>
    <row r="2611">
      <c r="C2611" s="18" t="n"/>
      <c r="J2611" s="19" t="n"/>
      <c r="P2611" s="20" t="n"/>
      <c r="Q2611" s="19" t="n"/>
      <c r="R2611" s="19" t="n"/>
      <c r="Y2611" s="19" t="n"/>
    </row>
    <row r="2612">
      <c r="C2612" s="18" t="n"/>
      <c r="J2612" s="19" t="n"/>
      <c r="P2612" s="20" t="n"/>
      <c r="Q2612" s="19" t="n"/>
      <c r="R2612" s="19" t="n"/>
      <c r="Y2612" s="19" t="n"/>
    </row>
    <row r="2613">
      <c r="C2613" s="18" t="n"/>
      <c r="J2613" s="19" t="n"/>
      <c r="P2613" s="20" t="n"/>
      <c r="Q2613" s="19" t="n"/>
      <c r="R2613" s="19" t="n"/>
      <c r="Y2613" s="19" t="n"/>
    </row>
    <row r="2614">
      <c r="C2614" s="18" t="n"/>
      <c r="J2614" s="19" t="n"/>
      <c r="P2614" s="20" t="n"/>
      <c r="Q2614" s="19" t="n"/>
      <c r="R2614" s="19" t="n"/>
      <c r="Y2614" s="19" t="n"/>
    </row>
    <row r="2615">
      <c r="C2615" s="18" t="n"/>
      <c r="J2615" s="19" t="n"/>
      <c r="P2615" s="20" t="n"/>
      <c r="Q2615" s="19" t="n"/>
      <c r="R2615" s="19" t="n"/>
      <c r="Y2615" s="19" t="n"/>
    </row>
    <row r="2616">
      <c r="C2616" s="18" t="n"/>
      <c r="J2616" s="19" t="n"/>
      <c r="P2616" s="20" t="n"/>
      <c r="Q2616" s="19" t="n"/>
      <c r="R2616" s="19" t="n"/>
      <c r="Y2616" s="19" t="n"/>
    </row>
    <row r="2617">
      <c r="C2617" s="18" t="n"/>
      <c r="J2617" s="19" t="n"/>
      <c r="P2617" s="20" t="n"/>
      <c r="Q2617" s="19" t="n"/>
      <c r="R2617" s="19" t="n"/>
      <c r="Y2617" s="19" t="n"/>
    </row>
    <row r="2618">
      <c r="C2618" s="18" t="n"/>
      <c r="J2618" s="19" t="n"/>
      <c r="P2618" s="20" t="n"/>
      <c r="Q2618" s="19" t="n"/>
      <c r="R2618" s="19" t="n"/>
      <c r="Y2618" s="19" t="n"/>
    </row>
    <row r="2619">
      <c r="C2619" s="18" t="n"/>
      <c r="J2619" s="19" t="n"/>
      <c r="P2619" s="20" t="n"/>
      <c r="Q2619" s="19" t="n"/>
      <c r="R2619" s="19" t="n"/>
      <c r="Y2619" s="19" t="n"/>
    </row>
    <row r="2620">
      <c r="C2620" s="18" t="n"/>
      <c r="J2620" s="19" t="n"/>
      <c r="P2620" s="20" t="n"/>
      <c r="Q2620" s="19" t="n"/>
      <c r="R2620" s="19" t="n"/>
      <c r="Y2620" s="19" t="n"/>
    </row>
    <row r="2621">
      <c r="C2621" s="18" t="n"/>
      <c r="J2621" s="19" t="n"/>
      <c r="P2621" s="20" t="n"/>
      <c r="Q2621" s="19" t="n"/>
      <c r="R2621" s="19" t="n"/>
      <c r="Y2621" s="19" t="n"/>
    </row>
    <row r="2622">
      <c r="C2622" s="18" t="n"/>
      <c r="J2622" s="19" t="n"/>
      <c r="P2622" s="20" t="n"/>
      <c r="Q2622" s="19" t="n"/>
      <c r="R2622" s="19" t="n"/>
      <c r="Y2622" s="19" t="n"/>
    </row>
    <row r="2623">
      <c r="C2623" s="18" t="n"/>
      <c r="J2623" s="19" t="n"/>
      <c r="P2623" s="20" t="n"/>
      <c r="Q2623" s="19" t="n"/>
      <c r="R2623" s="19" t="n"/>
      <c r="Y2623" s="19" t="n"/>
    </row>
    <row r="2624">
      <c r="C2624" s="18" t="n"/>
      <c r="J2624" s="19" t="n"/>
      <c r="P2624" s="20" t="n"/>
      <c r="Q2624" s="19" t="n"/>
      <c r="R2624" s="19" t="n"/>
      <c r="Y2624" s="19" t="n"/>
    </row>
    <row r="2625">
      <c r="C2625" s="18" t="n"/>
      <c r="J2625" s="19" t="n"/>
      <c r="P2625" s="20" t="n"/>
      <c r="Q2625" s="19" t="n"/>
      <c r="R2625" s="19" t="n"/>
      <c r="Y2625" s="19" t="n"/>
    </row>
    <row r="2626">
      <c r="C2626" s="18" t="n"/>
      <c r="J2626" s="19" t="n"/>
      <c r="P2626" s="20" t="n"/>
      <c r="Q2626" s="19" t="n"/>
      <c r="R2626" s="19" t="n"/>
      <c r="Y2626" s="19" t="n"/>
    </row>
    <row r="2627">
      <c r="C2627" s="18" t="n"/>
      <c r="J2627" s="19" t="n"/>
      <c r="P2627" s="20" t="n"/>
      <c r="Q2627" s="19" t="n"/>
      <c r="R2627" s="19" t="n"/>
      <c r="Y2627" s="19" t="n"/>
    </row>
    <row r="2628">
      <c r="C2628" s="18" t="n"/>
      <c r="J2628" s="19" t="n"/>
      <c r="P2628" s="20" t="n"/>
      <c r="Q2628" s="19" t="n"/>
      <c r="R2628" s="19" t="n"/>
      <c r="Y2628" s="19" t="n"/>
    </row>
    <row r="2629">
      <c r="C2629" s="18" t="n"/>
      <c r="J2629" s="19" t="n"/>
      <c r="P2629" s="20" t="n"/>
      <c r="Q2629" s="19" t="n"/>
      <c r="R2629" s="19" t="n"/>
      <c r="Y2629" s="19" t="n"/>
    </row>
    <row r="2630">
      <c r="C2630" s="18" t="n"/>
      <c r="J2630" s="19" t="n"/>
      <c r="P2630" s="20" t="n"/>
      <c r="Q2630" s="19" t="n"/>
      <c r="R2630" s="19" t="n"/>
      <c r="Y2630" s="19" t="n"/>
    </row>
    <row r="2631">
      <c r="C2631" s="18" t="n"/>
      <c r="J2631" s="19" t="n"/>
      <c r="P2631" s="20" t="n"/>
      <c r="Q2631" s="19" t="n"/>
      <c r="R2631" s="19" t="n"/>
      <c r="Y2631" s="19" t="n"/>
    </row>
    <row r="2632">
      <c r="C2632" s="18" t="n"/>
      <c r="J2632" s="19" t="n"/>
      <c r="P2632" s="20" t="n"/>
      <c r="Q2632" s="19" t="n"/>
      <c r="R2632" s="19" t="n"/>
      <c r="Y2632" s="19" t="n"/>
    </row>
    <row r="2633">
      <c r="C2633" s="18" t="n"/>
      <c r="J2633" s="19" t="n"/>
      <c r="P2633" s="20" t="n"/>
      <c r="Q2633" s="19" t="n"/>
      <c r="R2633" s="19" t="n"/>
      <c r="Y2633" s="19" t="n"/>
    </row>
    <row r="2634">
      <c r="C2634" s="18" t="n"/>
      <c r="J2634" s="19" t="n"/>
      <c r="P2634" s="20" t="n"/>
      <c r="Q2634" s="19" t="n"/>
      <c r="R2634" s="19" t="n"/>
      <c r="Y2634" s="19" t="n"/>
    </row>
    <row r="2635">
      <c r="C2635" s="18" t="n"/>
      <c r="J2635" s="19" t="n"/>
      <c r="P2635" s="20" t="n"/>
      <c r="Q2635" s="19" t="n"/>
      <c r="R2635" s="19" t="n"/>
      <c r="Y2635" s="19" t="n"/>
    </row>
    <row r="2636">
      <c r="C2636" s="18" t="n"/>
      <c r="J2636" s="19" t="n"/>
      <c r="P2636" s="20" t="n"/>
      <c r="Q2636" s="19" t="n"/>
      <c r="R2636" s="19" t="n"/>
      <c r="Y2636" s="19" t="n"/>
    </row>
    <row r="2637">
      <c r="C2637" s="18" t="n"/>
      <c r="J2637" s="19" t="n"/>
      <c r="P2637" s="20" t="n"/>
      <c r="Q2637" s="19" t="n"/>
      <c r="R2637" s="19" t="n"/>
      <c r="Y2637" s="19" t="n"/>
    </row>
    <row r="2638">
      <c r="C2638" s="18" t="n"/>
      <c r="J2638" s="19" t="n"/>
      <c r="P2638" s="20" t="n"/>
      <c r="Q2638" s="19" t="n"/>
      <c r="R2638" s="19" t="n"/>
      <c r="Y2638" s="19" t="n"/>
    </row>
    <row r="2639">
      <c r="C2639" s="18" t="n"/>
      <c r="J2639" s="19" t="n"/>
      <c r="P2639" s="20" t="n"/>
      <c r="Q2639" s="19" t="n"/>
      <c r="R2639" s="19" t="n"/>
      <c r="Y2639" s="19" t="n"/>
    </row>
    <row r="2640">
      <c r="C2640" s="18" t="n"/>
      <c r="J2640" s="19" t="n"/>
      <c r="P2640" s="20" t="n"/>
      <c r="Q2640" s="19" t="n"/>
      <c r="R2640" s="19" t="n"/>
      <c r="Y2640" s="19" t="n"/>
    </row>
    <row r="2641">
      <c r="C2641" s="18" t="n"/>
      <c r="J2641" s="19" t="n"/>
      <c r="P2641" s="20" t="n"/>
      <c r="Q2641" s="19" t="n"/>
      <c r="R2641" s="19" t="n"/>
      <c r="Y2641" s="19" t="n"/>
    </row>
    <row r="2642">
      <c r="C2642" s="18" t="n"/>
      <c r="J2642" s="19" t="n"/>
      <c r="P2642" s="20" t="n"/>
      <c r="Q2642" s="19" t="n"/>
      <c r="R2642" s="19" t="n"/>
      <c r="Y2642" s="19" t="n"/>
    </row>
    <row r="2643">
      <c r="C2643" s="18" t="n"/>
      <c r="J2643" s="19" t="n"/>
      <c r="P2643" s="20" t="n"/>
      <c r="Q2643" s="19" t="n"/>
      <c r="R2643" s="19" t="n"/>
      <c r="Y2643" s="19" t="n"/>
    </row>
    <row r="2644">
      <c r="C2644" s="18" t="n"/>
      <c r="J2644" s="19" t="n"/>
      <c r="P2644" s="20" t="n"/>
      <c r="Q2644" s="19" t="n"/>
      <c r="R2644" s="19" t="n"/>
      <c r="Y2644" s="19" t="n"/>
    </row>
    <row r="2645">
      <c r="C2645" s="18" t="n"/>
      <c r="J2645" s="19" t="n"/>
      <c r="P2645" s="20" t="n"/>
      <c r="Q2645" s="19" t="n"/>
      <c r="R2645" s="19" t="n"/>
      <c r="Y2645" s="19" t="n"/>
    </row>
    <row r="2646">
      <c r="C2646" s="18" t="n"/>
      <c r="J2646" s="19" t="n"/>
      <c r="P2646" s="20" t="n"/>
      <c r="Q2646" s="19" t="n"/>
      <c r="R2646" s="19" t="n"/>
      <c r="Y2646" s="19" t="n"/>
    </row>
    <row r="2647">
      <c r="C2647" s="18" t="n"/>
      <c r="J2647" s="19" t="n"/>
      <c r="P2647" s="20" t="n"/>
      <c r="Q2647" s="19" t="n"/>
      <c r="R2647" s="19" t="n"/>
      <c r="Y2647" s="19" t="n"/>
    </row>
    <row r="2648">
      <c r="C2648" s="18" t="n"/>
      <c r="J2648" s="19" t="n"/>
      <c r="P2648" s="20" t="n"/>
      <c r="Q2648" s="19" t="n"/>
      <c r="R2648" s="19" t="n"/>
      <c r="Y2648" s="19" t="n"/>
    </row>
    <row r="2649">
      <c r="C2649" s="18" t="n"/>
      <c r="J2649" s="19" t="n"/>
      <c r="P2649" s="20" t="n"/>
      <c r="Q2649" s="19" t="n"/>
      <c r="R2649" s="19" t="n"/>
      <c r="Y2649" s="19" t="n"/>
    </row>
    <row r="2650">
      <c r="C2650" s="18" t="n"/>
      <c r="J2650" s="19" t="n"/>
      <c r="P2650" s="20" t="n"/>
      <c r="Q2650" s="19" t="n"/>
      <c r="R2650" s="19" t="n"/>
      <c r="Y2650" s="19" t="n"/>
    </row>
    <row r="2651">
      <c r="C2651" s="18" t="n"/>
      <c r="J2651" s="19" t="n"/>
      <c r="P2651" s="20" t="n"/>
      <c r="Q2651" s="19" t="n"/>
      <c r="R2651" s="19" t="n"/>
      <c r="Y2651" s="19" t="n"/>
    </row>
    <row r="2652">
      <c r="C2652" s="18" t="n"/>
      <c r="J2652" s="19" t="n"/>
      <c r="P2652" s="20" t="n"/>
      <c r="Q2652" s="19" t="n"/>
      <c r="R2652" s="19" t="n"/>
      <c r="Y2652" s="19" t="n"/>
    </row>
    <row r="2653">
      <c r="C2653" s="18" t="n"/>
      <c r="J2653" s="19" t="n"/>
      <c r="P2653" s="20" t="n"/>
      <c r="Q2653" s="19" t="n"/>
      <c r="R2653" s="19" t="n"/>
      <c r="Y2653" s="19" t="n"/>
    </row>
    <row r="2654">
      <c r="C2654" s="18" t="n"/>
      <c r="J2654" s="19" t="n"/>
      <c r="P2654" s="20" t="n"/>
      <c r="Q2654" s="19" t="n"/>
      <c r="R2654" s="19" t="n"/>
      <c r="Y2654" s="19" t="n"/>
    </row>
    <row r="2655">
      <c r="C2655" s="18" t="n"/>
      <c r="J2655" s="19" t="n"/>
      <c r="P2655" s="20" t="n"/>
      <c r="Q2655" s="19" t="n"/>
      <c r="R2655" s="19" t="n"/>
      <c r="Y2655" s="19" t="n"/>
    </row>
    <row r="2656">
      <c r="C2656" s="18" t="n"/>
      <c r="J2656" s="19" t="n"/>
      <c r="P2656" s="20" t="n"/>
      <c r="Q2656" s="19" t="n"/>
      <c r="R2656" s="19" t="n"/>
      <c r="Y2656" s="19" t="n"/>
    </row>
    <row r="2657">
      <c r="C2657" s="18" t="n"/>
      <c r="J2657" s="19" t="n"/>
      <c r="P2657" s="20" t="n"/>
      <c r="Q2657" s="19" t="n"/>
      <c r="R2657" s="19" t="n"/>
      <c r="Y2657" s="19" t="n"/>
    </row>
    <row r="2658">
      <c r="C2658" s="18" t="n"/>
      <c r="J2658" s="19" t="n"/>
      <c r="P2658" s="20" t="n"/>
      <c r="Q2658" s="19" t="n"/>
      <c r="R2658" s="19" t="n"/>
      <c r="Y2658" s="19" t="n"/>
    </row>
    <row r="2659">
      <c r="C2659" s="18" t="n"/>
      <c r="J2659" s="19" t="n"/>
      <c r="P2659" s="20" t="n"/>
      <c r="Q2659" s="19" t="n"/>
      <c r="R2659" s="19" t="n"/>
      <c r="Y2659" s="19" t="n"/>
    </row>
    <row r="2660">
      <c r="C2660" s="18" t="n"/>
      <c r="J2660" s="19" t="n"/>
      <c r="P2660" s="20" t="n"/>
      <c r="Q2660" s="19" t="n"/>
      <c r="R2660" s="19" t="n"/>
      <c r="Y2660" s="19" t="n"/>
    </row>
    <row r="2661">
      <c r="C2661" s="18" t="n"/>
      <c r="J2661" s="19" t="n"/>
      <c r="P2661" s="20" t="n"/>
      <c r="Q2661" s="19" t="n"/>
      <c r="R2661" s="19" t="n"/>
      <c r="Y2661" s="19" t="n"/>
    </row>
    <row r="2662">
      <c r="C2662" s="18" t="n"/>
      <c r="J2662" s="19" t="n"/>
      <c r="P2662" s="20" t="n"/>
      <c r="Q2662" s="19" t="n"/>
      <c r="R2662" s="19" t="n"/>
      <c r="Y2662" s="19" t="n"/>
    </row>
    <row r="2663">
      <c r="C2663" s="18" t="n"/>
      <c r="J2663" s="19" t="n"/>
      <c r="P2663" s="20" t="n"/>
      <c r="Q2663" s="19" t="n"/>
      <c r="R2663" s="19" t="n"/>
      <c r="Y2663" s="19" t="n"/>
    </row>
    <row r="2664">
      <c r="C2664" s="18" t="n"/>
      <c r="J2664" s="19" t="n"/>
      <c r="P2664" s="20" t="n"/>
      <c r="Q2664" s="19" t="n"/>
      <c r="R2664" s="19" t="n"/>
      <c r="Y2664" s="19" t="n"/>
    </row>
    <row r="2665">
      <c r="C2665" s="18" t="n"/>
      <c r="J2665" s="19" t="n"/>
      <c r="P2665" s="20" t="n"/>
      <c r="Q2665" s="19" t="n"/>
      <c r="R2665" s="19" t="n"/>
      <c r="Y2665" s="19" t="n"/>
    </row>
    <row r="2666">
      <c r="C2666" s="18" t="n"/>
      <c r="J2666" s="19" t="n"/>
      <c r="P2666" s="20" t="n"/>
      <c r="Q2666" s="19" t="n"/>
      <c r="R2666" s="19" t="n"/>
      <c r="Y2666" s="19" t="n"/>
    </row>
    <row r="2667">
      <c r="C2667" s="18" t="n"/>
      <c r="J2667" s="19" t="n"/>
      <c r="P2667" s="20" t="n"/>
      <c r="Q2667" s="19" t="n"/>
      <c r="R2667" s="19" t="n"/>
      <c r="Y2667" s="19" t="n"/>
    </row>
    <row r="2668">
      <c r="C2668" s="18" t="n"/>
      <c r="J2668" s="19" t="n"/>
      <c r="P2668" s="20" t="n"/>
      <c r="Q2668" s="19" t="n"/>
      <c r="R2668" s="19" t="n"/>
      <c r="Y2668" s="19" t="n"/>
    </row>
    <row r="2669">
      <c r="C2669" s="18" t="n"/>
      <c r="J2669" s="19" t="n"/>
      <c r="P2669" s="20" t="n"/>
      <c r="Q2669" s="19" t="n"/>
      <c r="R2669" s="19" t="n"/>
      <c r="Y2669" s="19" t="n"/>
    </row>
    <row r="2670">
      <c r="C2670" s="18" t="n"/>
      <c r="J2670" s="19" t="n"/>
      <c r="P2670" s="20" t="n"/>
      <c r="Q2670" s="19" t="n"/>
      <c r="R2670" s="19" t="n"/>
      <c r="Y2670" s="19" t="n"/>
    </row>
    <row r="2671">
      <c r="C2671" s="18" t="n"/>
      <c r="J2671" s="19" t="n"/>
      <c r="P2671" s="20" t="n"/>
      <c r="Q2671" s="19" t="n"/>
      <c r="R2671" s="19" t="n"/>
      <c r="Y2671" s="19" t="n"/>
    </row>
    <row r="2672">
      <c r="C2672" s="18" t="n"/>
      <c r="J2672" s="19" t="n"/>
      <c r="P2672" s="20" t="n"/>
      <c r="Q2672" s="19" t="n"/>
      <c r="R2672" s="19" t="n"/>
      <c r="Y2672" s="19" t="n"/>
    </row>
    <row r="2673">
      <c r="C2673" s="18" t="n"/>
      <c r="J2673" s="19" t="n"/>
      <c r="P2673" s="20" t="n"/>
      <c r="Q2673" s="19" t="n"/>
      <c r="R2673" s="19" t="n"/>
      <c r="Y2673" s="19" t="n"/>
    </row>
    <row r="2674">
      <c r="C2674" s="18" t="n"/>
      <c r="J2674" s="19" t="n"/>
      <c r="P2674" s="20" t="n"/>
      <c r="Q2674" s="19" t="n"/>
      <c r="R2674" s="19" t="n"/>
      <c r="Y2674" s="19" t="n"/>
    </row>
    <row r="2675">
      <c r="C2675" s="18" t="n"/>
      <c r="J2675" s="19" t="n"/>
      <c r="P2675" s="20" t="n"/>
      <c r="Q2675" s="19" t="n"/>
      <c r="R2675" s="19" t="n"/>
      <c r="Y2675" s="19" t="n"/>
    </row>
    <row r="2676">
      <c r="C2676" s="18" t="n"/>
      <c r="J2676" s="19" t="n"/>
      <c r="P2676" s="20" t="n"/>
      <c r="Q2676" s="19" t="n"/>
      <c r="R2676" s="19" t="n"/>
      <c r="Y2676" s="19" t="n"/>
    </row>
    <row r="2677">
      <c r="C2677" s="18" t="n"/>
      <c r="J2677" s="19" t="n"/>
      <c r="P2677" s="20" t="n"/>
      <c r="Q2677" s="19" t="n"/>
      <c r="R2677" s="19" t="n"/>
      <c r="Y2677" s="19" t="n"/>
    </row>
    <row r="2678">
      <c r="C2678" s="18" t="n"/>
      <c r="J2678" s="19" t="n"/>
      <c r="P2678" s="20" t="n"/>
      <c r="Q2678" s="19" t="n"/>
      <c r="R2678" s="19" t="n"/>
      <c r="Y2678" s="19" t="n"/>
    </row>
    <row r="2679">
      <c r="C2679" s="18" t="n"/>
      <c r="J2679" s="19" t="n"/>
      <c r="P2679" s="20" t="n"/>
      <c r="Q2679" s="19" t="n"/>
      <c r="R2679" s="19" t="n"/>
      <c r="Y2679" s="19" t="n"/>
    </row>
    <row r="2680">
      <c r="C2680" s="18" t="n"/>
      <c r="J2680" s="19" t="n"/>
      <c r="P2680" s="20" t="n"/>
      <c r="Q2680" s="19" t="n"/>
      <c r="R2680" s="19" t="n"/>
      <c r="Y2680" s="19" t="n"/>
    </row>
    <row r="2681">
      <c r="C2681" s="18" t="n"/>
      <c r="J2681" s="19" t="n"/>
      <c r="P2681" s="20" t="n"/>
      <c r="Q2681" s="19" t="n"/>
      <c r="R2681" s="19" t="n"/>
      <c r="Y2681" s="19" t="n"/>
    </row>
    <row r="2682">
      <c r="C2682" s="18" t="n"/>
      <c r="J2682" s="19" t="n"/>
      <c r="P2682" s="20" t="n"/>
      <c r="Q2682" s="19" t="n"/>
      <c r="R2682" s="19" t="n"/>
      <c r="Y2682" s="19" t="n"/>
    </row>
    <row r="2683">
      <c r="C2683" s="18" t="n"/>
      <c r="J2683" s="19" t="n"/>
      <c r="P2683" s="20" t="n"/>
      <c r="Q2683" s="19" t="n"/>
      <c r="R2683" s="19" t="n"/>
      <c r="Y2683" s="19" t="n"/>
    </row>
    <row r="2684">
      <c r="C2684" s="18" t="n"/>
      <c r="J2684" s="19" t="n"/>
      <c r="P2684" s="20" t="n"/>
      <c r="Q2684" s="19" t="n"/>
      <c r="R2684" s="19" t="n"/>
      <c r="Y2684" s="19" t="n"/>
    </row>
    <row r="2685">
      <c r="C2685" s="18" t="n"/>
      <c r="J2685" s="19" t="n"/>
      <c r="P2685" s="20" t="n"/>
      <c r="Q2685" s="19" t="n"/>
      <c r="R2685" s="19" t="n"/>
      <c r="Y2685" s="19" t="n"/>
    </row>
    <row r="2686">
      <c r="C2686" s="18" t="n"/>
      <c r="J2686" s="19" t="n"/>
      <c r="P2686" s="20" t="n"/>
      <c r="Q2686" s="19" t="n"/>
      <c r="R2686" s="19" t="n"/>
      <c r="Y2686" s="19" t="n"/>
    </row>
    <row r="2687">
      <c r="C2687" s="18" t="n"/>
      <c r="J2687" s="19" t="n"/>
      <c r="P2687" s="20" t="n"/>
      <c r="Q2687" s="19" t="n"/>
      <c r="R2687" s="19" t="n"/>
      <c r="Y2687" s="19" t="n"/>
    </row>
    <row r="2688">
      <c r="C2688" s="18" t="n"/>
      <c r="J2688" s="19" t="n"/>
      <c r="P2688" s="20" t="n"/>
      <c r="Q2688" s="19" t="n"/>
      <c r="R2688" s="19" t="n"/>
      <c r="Y2688" s="19" t="n"/>
    </row>
    <row r="2689">
      <c r="C2689" s="18" t="n"/>
      <c r="J2689" s="19" t="n"/>
      <c r="P2689" s="20" t="n"/>
      <c r="Q2689" s="19" t="n"/>
      <c r="R2689" s="19" t="n"/>
      <c r="Y2689" s="19" t="n"/>
    </row>
    <row r="2690">
      <c r="C2690" s="18" t="n"/>
      <c r="J2690" s="19" t="n"/>
      <c r="P2690" s="20" t="n"/>
      <c r="Q2690" s="19" t="n"/>
      <c r="R2690" s="19" t="n"/>
      <c r="Y2690" s="19" t="n"/>
    </row>
    <row r="2691">
      <c r="C2691" s="18" t="n"/>
      <c r="J2691" s="19" t="n"/>
      <c r="P2691" s="20" t="n"/>
      <c r="Q2691" s="19" t="n"/>
      <c r="R2691" s="19" t="n"/>
      <c r="Y2691" s="19" t="n"/>
    </row>
    <row r="2692">
      <c r="C2692" s="18" t="n"/>
      <c r="J2692" s="19" t="n"/>
      <c r="P2692" s="20" t="n"/>
      <c r="Q2692" s="19" t="n"/>
      <c r="R2692" s="19" t="n"/>
      <c r="Y2692" s="19" t="n"/>
    </row>
    <row r="2693">
      <c r="C2693" s="18" t="n"/>
      <c r="J2693" s="19" t="n"/>
      <c r="P2693" s="20" t="n"/>
      <c r="Q2693" s="19" t="n"/>
      <c r="R2693" s="19" t="n"/>
      <c r="Y2693" s="19" t="n"/>
    </row>
    <row r="2694">
      <c r="C2694" s="18" t="n"/>
      <c r="J2694" s="19" t="n"/>
      <c r="P2694" s="20" t="n"/>
      <c r="Q2694" s="19" t="n"/>
      <c r="R2694" s="19" t="n"/>
      <c r="Y2694" s="19" t="n"/>
    </row>
    <row r="2695">
      <c r="C2695" s="18" t="n"/>
      <c r="J2695" s="19" t="n"/>
      <c r="P2695" s="20" t="n"/>
      <c r="Q2695" s="19" t="n"/>
      <c r="R2695" s="19" t="n"/>
      <c r="Y2695" s="19" t="n"/>
    </row>
    <row r="2696">
      <c r="C2696" s="18" t="n"/>
      <c r="J2696" s="19" t="n"/>
      <c r="P2696" s="20" t="n"/>
      <c r="Q2696" s="19" t="n"/>
      <c r="R2696" s="19" t="n"/>
      <c r="Y2696" s="19" t="n"/>
    </row>
    <row r="2697">
      <c r="C2697" s="18" t="n"/>
      <c r="J2697" s="19" t="n"/>
      <c r="P2697" s="20" t="n"/>
      <c r="Q2697" s="19" t="n"/>
      <c r="R2697" s="19" t="n"/>
      <c r="Y2697" s="19" t="n"/>
    </row>
    <row r="2698">
      <c r="C2698" s="18" t="n"/>
      <c r="J2698" s="19" t="n"/>
      <c r="P2698" s="20" t="n"/>
      <c r="Q2698" s="19" t="n"/>
      <c r="R2698" s="19" t="n"/>
      <c r="Y2698" s="19" t="n"/>
    </row>
    <row r="2699">
      <c r="C2699" s="18" t="n"/>
      <c r="J2699" s="19" t="n"/>
      <c r="P2699" s="20" t="n"/>
      <c r="Q2699" s="19" t="n"/>
      <c r="R2699" s="19" t="n"/>
      <c r="Y2699" s="19" t="n"/>
    </row>
    <row r="2700">
      <c r="C2700" s="18" t="n"/>
      <c r="J2700" s="19" t="n"/>
      <c r="P2700" s="20" t="n"/>
      <c r="Q2700" s="19" t="n"/>
      <c r="R2700" s="19" t="n"/>
      <c r="Y2700" s="19" t="n"/>
    </row>
    <row r="2701">
      <c r="C2701" s="18" t="n"/>
      <c r="J2701" s="19" t="n"/>
      <c r="P2701" s="20" t="n"/>
      <c r="Q2701" s="19" t="n"/>
      <c r="R2701" s="19" t="n"/>
      <c r="Y2701" s="19" t="n"/>
    </row>
    <row r="2702">
      <c r="C2702" s="18" t="n"/>
      <c r="J2702" s="19" t="n"/>
      <c r="P2702" s="20" t="n"/>
      <c r="Q2702" s="19" t="n"/>
      <c r="R2702" s="19" t="n"/>
      <c r="Y2702" s="19" t="n"/>
    </row>
    <row r="2703">
      <c r="C2703" s="18" t="n"/>
      <c r="J2703" s="19" t="n"/>
      <c r="P2703" s="20" t="n"/>
      <c r="Q2703" s="19" t="n"/>
      <c r="R2703" s="19" t="n"/>
      <c r="Y2703" s="19" t="n"/>
    </row>
    <row r="2704">
      <c r="C2704" s="18" t="n"/>
      <c r="J2704" s="19" t="n"/>
      <c r="P2704" s="20" t="n"/>
      <c r="Q2704" s="19" t="n"/>
      <c r="R2704" s="19" t="n"/>
      <c r="Y2704" s="19" t="n"/>
    </row>
    <row r="2705">
      <c r="C2705" s="18" t="n"/>
      <c r="J2705" s="19" t="n"/>
      <c r="P2705" s="20" t="n"/>
      <c r="Q2705" s="19" t="n"/>
      <c r="R2705" s="19" t="n"/>
      <c r="Y2705" s="19" t="n"/>
    </row>
    <row r="2706">
      <c r="C2706" s="18" t="n"/>
      <c r="J2706" s="19" t="n"/>
      <c r="P2706" s="20" t="n"/>
      <c r="Q2706" s="19" t="n"/>
      <c r="R2706" s="19" t="n"/>
      <c r="Y2706" s="19" t="n"/>
    </row>
    <row r="2707">
      <c r="C2707" s="18" t="n"/>
      <c r="J2707" s="19" t="n"/>
      <c r="P2707" s="20" t="n"/>
      <c r="Q2707" s="19" t="n"/>
      <c r="R2707" s="19" t="n"/>
      <c r="Y2707" s="19" t="n"/>
    </row>
    <row r="2708">
      <c r="C2708" s="18" t="n"/>
      <c r="J2708" s="19" t="n"/>
      <c r="P2708" s="20" t="n"/>
      <c r="Q2708" s="19" t="n"/>
      <c r="R2708" s="19" t="n"/>
      <c r="Y2708" s="19" t="n"/>
    </row>
    <row r="2709">
      <c r="C2709" s="18" t="n"/>
      <c r="J2709" s="19" t="n"/>
      <c r="P2709" s="20" t="n"/>
      <c r="Q2709" s="19" t="n"/>
      <c r="R2709" s="19" t="n"/>
      <c r="Y2709" s="19" t="n"/>
    </row>
    <row r="2710">
      <c r="C2710" s="18" t="n"/>
      <c r="J2710" s="19" t="n"/>
      <c r="P2710" s="20" t="n"/>
      <c r="Q2710" s="19" t="n"/>
      <c r="R2710" s="19" t="n"/>
      <c r="Y2710" s="19" t="n"/>
    </row>
    <row r="2711">
      <c r="C2711" s="18" t="n"/>
      <c r="J2711" s="19" t="n"/>
      <c r="P2711" s="20" t="n"/>
      <c r="Q2711" s="19" t="n"/>
      <c r="R2711" s="19" t="n"/>
      <c r="Y2711" s="19" t="n"/>
    </row>
    <row r="2712">
      <c r="C2712" s="18" t="n"/>
      <c r="J2712" s="19" t="n"/>
      <c r="P2712" s="20" t="n"/>
      <c r="Q2712" s="19" t="n"/>
      <c r="R2712" s="19" t="n"/>
      <c r="Y2712" s="19" t="n"/>
    </row>
    <row r="2713">
      <c r="C2713" s="18" t="n"/>
      <c r="J2713" s="19" t="n"/>
      <c r="P2713" s="20" t="n"/>
      <c r="Q2713" s="19" t="n"/>
      <c r="R2713" s="19" t="n"/>
      <c r="Y2713" s="19" t="n"/>
    </row>
    <row r="2714">
      <c r="C2714" s="18" t="n"/>
      <c r="J2714" s="19" t="n"/>
      <c r="P2714" s="20" t="n"/>
      <c r="Q2714" s="19" t="n"/>
      <c r="R2714" s="19" t="n"/>
      <c r="Y2714" s="19" t="n"/>
    </row>
    <row r="2715">
      <c r="C2715" s="18" t="n"/>
      <c r="J2715" s="19" t="n"/>
      <c r="P2715" s="20" t="n"/>
      <c r="Q2715" s="19" t="n"/>
      <c r="R2715" s="19" t="n"/>
      <c r="Y2715" s="19" t="n"/>
    </row>
    <row r="2716">
      <c r="C2716" s="18" t="n"/>
      <c r="J2716" s="19" t="n"/>
      <c r="P2716" s="20" t="n"/>
      <c r="Q2716" s="19" t="n"/>
      <c r="R2716" s="19" t="n"/>
      <c r="Y2716" s="19" t="n"/>
    </row>
    <row r="2717">
      <c r="C2717" s="18" t="n"/>
      <c r="J2717" s="19" t="n"/>
      <c r="P2717" s="20" t="n"/>
      <c r="Q2717" s="19" t="n"/>
      <c r="R2717" s="19" t="n"/>
      <c r="Y2717" s="19" t="n"/>
    </row>
    <row r="2718">
      <c r="C2718" s="18" t="n"/>
      <c r="J2718" s="19" t="n"/>
      <c r="P2718" s="20" t="n"/>
      <c r="Q2718" s="19" t="n"/>
      <c r="R2718" s="19" t="n"/>
      <c r="Y2718" s="19" t="n"/>
    </row>
    <row r="2719">
      <c r="C2719" s="18" t="n"/>
      <c r="J2719" s="19" t="n"/>
      <c r="P2719" s="20" t="n"/>
      <c r="Q2719" s="19" t="n"/>
      <c r="R2719" s="19" t="n"/>
      <c r="Y2719" s="19" t="n"/>
    </row>
    <row r="2720">
      <c r="C2720" s="18" t="n"/>
      <c r="J2720" s="19" t="n"/>
      <c r="P2720" s="20" t="n"/>
      <c r="Q2720" s="19" t="n"/>
      <c r="R2720" s="19" t="n"/>
      <c r="Y2720" s="19" t="n"/>
    </row>
    <row r="2721">
      <c r="C2721" s="18" t="n"/>
      <c r="J2721" s="19" t="n"/>
      <c r="P2721" s="20" t="n"/>
      <c r="Q2721" s="19" t="n"/>
      <c r="R2721" s="19" t="n"/>
      <c r="Y2721" s="19" t="n"/>
    </row>
    <row r="2722">
      <c r="C2722" s="18" t="n"/>
      <c r="J2722" s="19" t="n"/>
      <c r="P2722" s="20" t="n"/>
      <c r="Q2722" s="19" t="n"/>
      <c r="R2722" s="19" t="n"/>
      <c r="Y2722" s="19" t="n"/>
    </row>
    <row r="2723">
      <c r="C2723" s="18" t="n"/>
      <c r="J2723" s="19" t="n"/>
      <c r="P2723" s="20" t="n"/>
      <c r="Q2723" s="19" t="n"/>
      <c r="R2723" s="19" t="n"/>
      <c r="Y2723" s="19" t="n"/>
    </row>
    <row r="2724">
      <c r="C2724" s="18" t="n"/>
      <c r="J2724" s="19" t="n"/>
      <c r="P2724" s="20" t="n"/>
      <c r="Q2724" s="19" t="n"/>
      <c r="R2724" s="19" t="n"/>
      <c r="Y2724" s="19" t="n"/>
    </row>
    <row r="2725">
      <c r="C2725" s="18" t="n"/>
      <c r="J2725" s="19" t="n"/>
      <c r="P2725" s="20" t="n"/>
      <c r="Q2725" s="19" t="n"/>
      <c r="R2725" s="19" t="n"/>
      <c r="Y2725" s="19" t="n"/>
    </row>
    <row r="2726">
      <c r="C2726" s="18" t="n"/>
      <c r="J2726" s="19" t="n"/>
      <c r="P2726" s="20" t="n"/>
      <c r="Q2726" s="19" t="n"/>
      <c r="R2726" s="19" t="n"/>
      <c r="Y2726" s="19" t="n"/>
    </row>
    <row r="2727">
      <c r="C2727" s="18" t="n"/>
      <c r="J2727" s="19" t="n"/>
      <c r="P2727" s="20" t="n"/>
      <c r="Q2727" s="19" t="n"/>
      <c r="R2727" s="19" t="n"/>
      <c r="Y2727" s="19" t="n"/>
    </row>
    <row r="2728">
      <c r="C2728" s="18" t="n"/>
      <c r="J2728" s="19" t="n"/>
      <c r="P2728" s="20" t="n"/>
      <c r="Q2728" s="19" t="n"/>
      <c r="R2728" s="19" t="n"/>
      <c r="Y2728" s="19" t="n"/>
    </row>
    <row r="2729">
      <c r="C2729" s="18" t="n"/>
      <c r="J2729" s="19" t="n"/>
      <c r="P2729" s="20" t="n"/>
      <c r="Q2729" s="19" t="n"/>
      <c r="R2729" s="19" t="n"/>
      <c r="Y2729" s="19" t="n"/>
    </row>
    <row r="2730">
      <c r="C2730" s="18" t="n"/>
      <c r="J2730" s="19" t="n"/>
      <c r="P2730" s="20" t="n"/>
      <c r="Q2730" s="19" t="n"/>
      <c r="R2730" s="19" t="n"/>
      <c r="Y2730" s="19" t="n"/>
    </row>
    <row r="2731">
      <c r="C2731" s="18" t="n"/>
      <c r="J2731" s="19" t="n"/>
      <c r="P2731" s="20" t="n"/>
      <c r="Q2731" s="19" t="n"/>
      <c r="R2731" s="19" t="n"/>
      <c r="Y2731" s="19" t="n"/>
    </row>
    <row r="2732">
      <c r="C2732" s="18" t="n"/>
      <c r="J2732" s="19" t="n"/>
      <c r="P2732" s="20" t="n"/>
      <c r="Q2732" s="19" t="n"/>
      <c r="R2732" s="19" t="n"/>
      <c r="Y2732" s="19" t="n"/>
    </row>
    <row r="2733">
      <c r="C2733" s="18" t="n"/>
      <c r="J2733" s="19" t="n"/>
      <c r="P2733" s="20" t="n"/>
      <c r="Q2733" s="19" t="n"/>
      <c r="R2733" s="19" t="n"/>
      <c r="Y2733" s="19" t="n"/>
    </row>
    <row r="2734">
      <c r="C2734" s="18" t="n"/>
      <c r="J2734" s="19" t="n"/>
      <c r="P2734" s="20" t="n"/>
      <c r="Q2734" s="19" t="n"/>
      <c r="R2734" s="19" t="n"/>
      <c r="Y2734" s="19" t="n"/>
    </row>
    <row r="2735">
      <c r="C2735" s="18" t="n"/>
      <c r="J2735" s="19" t="n"/>
      <c r="P2735" s="20" t="n"/>
      <c r="Q2735" s="19" t="n"/>
      <c r="R2735" s="19" t="n"/>
      <c r="Y2735" s="19" t="n"/>
    </row>
    <row r="2736">
      <c r="C2736" s="18" t="n"/>
      <c r="J2736" s="19" t="n"/>
      <c r="P2736" s="20" t="n"/>
      <c r="Q2736" s="19" t="n"/>
      <c r="R2736" s="19" t="n"/>
      <c r="Y2736" s="19" t="n"/>
    </row>
    <row r="2737">
      <c r="C2737" s="18" t="n"/>
      <c r="J2737" s="19" t="n"/>
      <c r="P2737" s="20" t="n"/>
      <c r="Q2737" s="19" t="n"/>
      <c r="R2737" s="19" t="n"/>
      <c r="Y2737" s="19" t="n"/>
    </row>
    <row r="2738">
      <c r="C2738" s="18" t="n"/>
      <c r="J2738" s="19" t="n"/>
      <c r="P2738" s="20" t="n"/>
      <c r="Q2738" s="19" t="n"/>
      <c r="R2738" s="19" t="n"/>
      <c r="Y2738" s="19" t="n"/>
    </row>
    <row r="2739">
      <c r="C2739" s="18" t="n"/>
      <c r="J2739" s="19" t="n"/>
      <c r="P2739" s="20" t="n"/>
      <c r="Q2739" s="19" t="n"/>
      <c r="R2739" s="19" t="n"/>
      <c r="Y2739" s="19" t="n"/>
    </row>
    <row r="2740">
      <c r="C2740" s="18" t="n"/>
      <c r="J2740" s="19" t="n"/>
      <c r="P2740" s="20" t="n"/>
      <c r="Q2740" s="19" t="n"/>
      <c r="R2740" s="19" t="n"/>
      <c r="Y2740" s="19" t="n"/>
    </row>
    <row r="2741">
      <c r="C2741" s="18" t="n"/>
      <c r="J2741" s="19" t="n"/>
      <c r="P2741" s="20" t="n"/>
      <c r="Q2741" s="19" t="n"/>
      <c r="R2741" s="19" t="n"/>
      <c r="Y2741" s="19" t="n"/>
    </row>
    <row r="2742">
      <c r="C2742" s="18" t="n"/>
      <c r="J2742" s="19" t="n"/>
      <c r="P2742" s="20" t="n"/>
      <c r="Q2742" s="19" t="n"/>
      <c r="R2742" s="19" t="n"/>
      <c r="Y2742" s="19" t="n"/>
    </row>
    <row r="2743">
      <c r="C2743" s="18" t="n"/>
      <c r="J2743" s="19" t="n"/>
      <c r="P2743" s="20" t="n"/>
      <c r="Q2743" s="19" t="n"/>
      <c r="R2743" s="19" t="n"/>
      <c r="Y2743" s="19" t="n"/>
    </row>
    <row r="2744">
      <c r="C2744" s="18" t="n"/>
      <c r="J2744" s="19" t="n"/>
      <c r="P2744" s="20" t="n"/>
      <c r="Q2744" s="19" t="n"/>
      <c r="R2744" s="19" t="n"/>
      <c r="Y2744" s="19" t="n"/>
    </row>
    <row r="2745">
      <c r="C2745" s="18" t="n"/>
      <c r="J2745" s="19" t="n"/>
      <c r="P2745" s="20" t="n"/>
      <c r="Q2745" s="19" t="n"/>
      <c r="R2745" s="19" t="n"/>
      <c r="Y2745" s="19" t="n"/>
    </row>
    <row r="2746">
      <c r="C2746" s="18" t="n"/>
      <c r="J2746" s="19" t="n"/>
      <c r="P2746" s="20" t="n"/>
      <c r="Q2746" s="19" t="n"/>
      <c r="R2746" s="19" t="n"/>
      <c r="Y2746" s="19" t="n"/>
    </row>
    <row r="2747">
      <c r="C2747" s="18" t="n"/>
      <c r="J2747" s="19" t="n"/>
      <c r="P2747" s="20" t="n"/>
      <c r="Q2747" s="19" t="n"/>
      <c r="R2747" s="19" t="n"/>
      <c r="Y2747" s="19" t="n"/>
    </row>
    <row r="2748">
      <c r="C2748" s="18" t="n"/>
      <c r="J2748" s="19" t="n"/>
      <c r="P2748" s="20" t="n"/>
      <c r="Q2748" s="19" t="n"/>
      <c r="R2748" s="19" t="n"/>
      <c r="Y2748" s="19" t="n"/>
    </row>
    <row r="2749">
      <c r="C2749" s="18" t="n"/>
      <c r="J2749" s="19" t="n"/>
      <c r="P2749" s="20" t="n"/>
      <c r="Q2749" s="19" t="n"/>
      <c r="R2749" s="19" t="n"/>
      <c r="Y2749" s="19" t="n"/>
    </row>
    <row r="2750">
      <c r="C2750" s="18" t="n"/>
      <c r="J2750" s="19" t="n"/>
      <c r="P2750" s="20" t="n"/>
      <c r="Q2750" s="19" t="n"/>
      <c r="R2750" s="19" t="n"/>
      <c r="Y2750" s="19" t="n"/>
    </row>
    <row r="2751">
      <c r="C2751" s="18" t="n"/>
      <c r="J2751" s="19" t="n"/>
      <c r="P2751" s="20" t="n"/>
      <c r="Q2751" s="19" t="n"/>
      <c r="R2751" s="19" t="n"/>
      <c r="Y2751" s="19" t="n"/>
    </row>
    <row r="2752">
      <c r="C2752" s="18" t="n"/>
      <c r="J2752" s="19" t="n"/>
      <c r="P2752" s="20" t="n"/>
      <c r="Q2752" s="19" t="n"/>
      <c r="R2752" s="19" t="n"/>
      <c r="Y2752" s="19" t="n"/>
    </row>
    <row r="2753">
      <c r="C2753" s="18" t="n"/>
      <c r="J2753" s="19" t="n"/>
      <c r="P2753" s="20" t="n"/>
      <c r="Q2753" s="19" t="n"/>
      <c r="R2753" s="19" t="n"/>
      <c r="Y2753" s="19" t="n"/>
    </row>
    <row r="2754">
      <c r="C2754" s="18" t="n"/>
      <c r="J2754" s="19" t="n"/>
      <c r="P2754" s="20" t="n"/>
      <c r="Q2754" s="19" t="n"/>
      <c r="R2754" s="19" t="n"/>
      <c r="Y2754" s="19" t="n"/>
    </row>
    <row r="2755">
      <c r="C2755" s="18" t="n"/>
      <c r="J2755" s="19" t="n"/>
      <c r="P2755" s="20" t="n"/>
      <c r="Q2755" s="19" t="n"/>
      <c r="R2755" s="19" t="n"/>
      <c r="Y2755" s="19" t="n"/>
    </row>
    <row r="2756">
      <c r="C2756" s="18" t="n"/>
      <c r="J2756" s="19" t="n"/>
      <c r="P2756" s="20" t="n"/>
      <c r="Q2756" s="19" t="n"/>
      <c r="R2756" s="19" t="n"/>
      <c r="Y2756" s="19" t="n"/>
    </row>
    <row r="2757">
      <c r="C2757" s="18" t="n"/>
      <c r="J2757" s="19" t="n"/>
      <c r="P2757" s="20" t="n"/>
      <c r="Q2757" s="19" t="n"/>
      <c r="R2757" s="19" t="n"/>
      <c r="Y2757" s="19" t="n"/>
    </row>
    <row r="2758">
      <c r="C2758" s="18" t="n"/>
      <c r="J2758" s="19" t="n"/>
      <c r="P2758" s="20" t="n"/>
      <c r="Q2758" s="19" t="n"/>
      <c r="R2758" s="19" t="n"/>
      <c r="Y2758" s="19" t="n"/>
    </row>
    <row r="2759">
      <c r="C2759" s="18" t="n"/>
      <c r="J2759" s="19" t="n"/>
      <c r="P2759" s="20" t="n"/>
      <c r="Q2759" s="19" t="n"/>
      <c r="R2759" s="19" t="n"/>
      <c r="Y2759" s="19" t="n"/>
    </row>
    <row r="2760">
      <c r="C2760" s="18" t="n"/>
      <c r="J2760" s="19" t="n"/>
      <c r="P2760" s="20" t="n"/>
      <c r="Q2760" s="19" t="n"/>
      <c r="R2760" s="19" t="n"/>
      <c r="Y2760" s="19" t="n"/>
    </row>
    <row r="2761">
      <c r="C2761" s="18" t="n"/>
      <c r="J2761" s="19" t="n"/>
      <c r="P2761" s="20" t="n"/>
      <c r="Q2761" s="19" t="n"/>
      <c r="R2761" s="19" t="n"/>
      <c r="Y2761" s="19" t="n"/>
    </row>
    <row r="2762">
      <c r="C2762" s="18" t="n"/>
      <c r="J2762" s="19" t="n"/>
      <c r="P2762" s="20" t="n"/>
      <c r="Q2762" s="19" t="n"/>
      <c r="R2762" s="19" t="n"/>
      <c r="Y2762" s="19" t="n"/>
    </row>
    <row r="2763">
      <c r="C2763" s="18" t="n"/>
      <c r="J2763" s="19" t="n"/>
      <c r="P2763" s="20" t="n"/>
      <c r="Q2763" s="19" t="n"/>
      <c r="R2763" s="19" t="n"/>
      <c r="Y2763" s="19" t="n"/>
    </row>
    <row r="2764">
      <c r="C2764" s="18" t="n"/>
      <c r="J2764" s="19" t="n"/>
      <c r="P2764" s="20" t="n"/>
      <c r="Q2764" s="19" t="n"/>
      <c r="R2764" s="19" t="n"/>
      <c r="Y2764" s="19" t="n"/>
    </row>
    <row r="2765">
      <c r="C2765" s="18" t="n"/>
      <c r="J2765" s="19" t="n"/>
      <c r="P2765" s="20" t="n"/>
      <c r="Q2765" s="19" t="n"/>
      <c r="R2765" s="19" t="n"/>
      <c r="Y2765" s="19" t="n"/>
    </row>
    <row r="2766">
      <c r="C2766" s="18" t="n"/>
      <c r="J2766" s="19" t="n"/>
      <c r="P2766" s="20" t="n"/>
      <c r="Q2766" s="19" t="n"/>
      <c r="R2766" s="19" t="n"/>
      <c r="Y2766" s="19" t="n"/>
    </row>
    <row r="2767">
      <c r="C2767" s="18" t="n"/>
      <c r="J2767" s="19" t="n"/>
      <c r="P2767" s="20" t="n"/>
      <c r="Q2767" s="19" t="n"/>
      <c r="R2767" s="19" t="n"/>
      <c r="Y2767" s="19" t="n"/>
    </row>
    <row r="2768">
      <c r="C2768" s="18" t="n"/>
      <c r="J2768" s="19" t="n"/>
      <c r="P2768" s="20" t="n"/>
      <c r="Q2768" s="19" t="n"/>
      <c r="R2768" s="19" t="n"/>
      <c r="Y2768" s="19" t="n"/>
    </row>
    <row r="2769">
      <c r="C2769" s="18" t="n"/>
      <c r="J2769" s="19" t="n"/>
      <c r="P2769" s="20" t="n"/>
      <c r="Q2769" s="19" t="n"/>
      <c r="R2769" s="19" t="n"/>
      <c r="Y2769" s="19" t="n"/>
    </row>
    <row r="2770">
      <c r="C2770" s="18" t="n"/>
      <c r="J2770" s="19" t="n"/>
      <c r="P2770" s="20" t="n"/>
      <c r="Q2770" s="19" t="n"/>
      <c r="R2770" s="19" t="n"/>
      <c r="Y2770" s="19" t="n"/>
    </row>
    <row r="2771">
      <c r="C2771" s="18" t="n"/>
      <c r="J2771" s="19" t="n"/>
      <c r="P2771" s="20" t="n"/>
      <c r="Q2771" s="19" t="n"/>
      <c r="R2771" s="19" t="n"/>
      <c r="Y2771" s="19" t="n"/>
    </row>
    <row r="2772">
      <c r="C2772" s="18" t="n"/>
      <c r="J2772" s="19" t="n"/>
      <c r="P2772" s="20" t="n"/>
      <c r="Q2772" s="19" t="n"/>
      <c r="R2772" s="19" t="n"/>
      <c r="Y2772" s="19" t="n"/>
    </row>
    <row r="2773">
      <c r="C2773" s="18" t="n"/>
      <c r="J2773" s="19" t="n"/>
      <c r="P2773" s="20" t="n"/>
      <c r="Q2773" s="19" t="n"/>
      <c r="R2773" s="19" t="n"/>
      <c r="Y2773" s="19" t="n"/>
    </row>
    <row r="2774">
      <c r="C2774" s="18" t="n"/>
      <c r="J2774" s="19" t="n"/>
      <c r="P2774" s="20" t="n"/>
      <c r="Q2774" s="19" t="n"/>
      <c r="R2774" s="19" t="n"/>
      <c r="Y2774" s="19" t="n"/>
    </row>
    <row r="2775">
      <c r="C2775" s="18" t="n"/>
      <c r="J2775" s="19" t="n"/>
      <c r="P2775" s="20" t="n"/>
      <c r="Q2775" s="19" t="n"/>
      <c r="R2775" s="19" t="n"/>
      <c r="Y2775" s="19" t="n"/>
    </row>
    <row r="2776">
      <c r="C2776" s="18" t="n"/>
      <c r="J2776" s="19" t="n"/>
      <c r="P2776" s="20" t="n"/>
      <c r="Q2776" s="19" t="n"/>
      <c r="R2776" s="19" t="n"/>
      <c r="Y2776" s="19" t="n"/>
    </row>
    <row r="2777">
      <c r="C2777" s="18" t="n"/>
      <c r="J2777" s="19" t="n"/>
      <c r="P2777" s="20" t="n"/>
      <c r="Q2777" s="19" t="n"/>
      <c r="R2777" s="19" t="n"/>
      <c r="Y2777" s="19" t="n"/>
    </row>
    <row r="2778">
      <c r="C2778" s="18" t="n"/>
      <c r="J2778" s="19" t="n"/>
      <c r="P2778" s="20" t="n"/>
      <c r="Q2778" s="19" t="n"/>
      <c r="R2778" s="19" t="n"/>
      <c r="Y2778" s="19" t="n"/>
    </row>
    <row r="2779">
      <c r="C2779" s="18" t="n"/>
      <c r="J2779" s="19" t="n"/>
      <c r="P2779" s="20" t="n"/>
      <c r="Q2779" s="19" t="n"/>
      <c r="R2779" s="19" t="n"/>
      <c r="Y2779" s="19" t="n"/>
    </row>
    <row r="2780">
      <c r="C2780" s="18" t="n"/>
      <c r="J2780" s="19" t="n"/>
      <c r="P2780" s="20" t="n"/>
      <c r="Q2780" s="19" t="n"/>
      <c r="R2780" s="19" t="n"/>
      <c r="Y2780" s="19" t="n"/>
    </row>
    <row r="2781">
      <c r="C2781" s="18" t="n"/>
      <c r="J2781" s="19" t="n"/>
      <c r="P2781" s="20" t="n"/>
      <c r="Q2781" s="19" t="n"/>
      <c r="R2781" s="19" t="n"/>
      <c r="Y2781" s="19" t="n"/>
    </row>
    <row r="2782">
      <c r="C2782" s="18" t="n"/>
      <c r="J2782" s="19" t="n"/>
      <c r="P2782" s="20" t="n"/>
      <c r="Q2782" s="19" t="n"/>
      <c r="R2782" s="19" t="n"/>
      <c r="Y2782" s="19" t="n"/>
    </row>
    <row r="2783">
      <c r="C2783" s="18" t="n"/>
      <c r="J2783" s="19" t="n"/>
      <c r="P2783" s="20" t="n"/>
      <c r="Q2783" s="19" t="n"/>
      <c r="R2783" s="19" t="n"/>
      <c r="Y2783" s="19" t="n"/>
    </row>
    <row r="2784">
      <c r="C2784" s="18" t="n"/>
      <c r="J2784" s="19" t="n"/>
      <c r="P2784" s="20" t="n"/>
      <c r="Q2784" s="19" t="n"/>
      <c r="R2784" s="19" t="n"/>
      <c r="Y2784" s="19" t="n"/>
    </row>
    <row r="2785">
      <c r="C2785" s="18" t="n"/>
      <c r="J2785" s="19" t="n"/>
      <c r="P2785" s="20" t="n"/>
      <c r="Q2785" s="19" t="n"/>
      <c r="R2785" s="19" t="n"/>
      <c r="Y2785" s="19" t="n"/>
    </row>
    <row r="2786">
      <c r="C2786" s="18" t="n"/>
      <c r="J2786" s="19" t="n"/>
      <c r="P2786" s="20" t="n"/>
      <c r="Q2786" s="19" t="n"/>
      <c r="R2786" s="19" t="n"/>
      <c r="Y2786" s="19" t="n"/>
    </row>
    <row r="2787">
      <c r="C2787" s="18" t="n"/>
      <c r="J2787" s="19" t="n"/>
      <c r="P2787" s="20" t="n"/>
      <c r="Q2787" s="19" t="n"/>
      <c r="R2787" s="19" t="n"/>
      <c r="Y2787" s="19" t="n"/>
    </row>
    <row r="2788">
      <c r="C2788" s="18" t="n"/>
      <c r="J2788" s="19" t="n"/>
      <c r="P2788" s="20" t="n"/>
      <c r="Q2788" s="19" t="n"/>
      <c r="R2788" s="19" t="n"/>
      <c r="Y2788" s="19" t="n"/>
    </row>
    <row r="2789">
      <c r="C2789" s="18" t="n"/>
      <c r="J2789" s="19" t="n"/>
      <c r="P2789" s="20" t="n"/>
      <c r="Q2789" s="19" t="n"/>
      <c r="R2789" s="19" t="n"/>
      <c r="Y2789" s="19" t="n"/>
    </row>
    <row r="2790">
      <c r="C2790" s="18" t="n"/>
      <c r="J2790" s="19" t="n"/>
      <c r="P2790" s="20" t="n"/>
      <c r="Q2790" s="19" t="n"/>
      <c r="R2790" s="19" t="n"/>
      <c r="Y2790" s="19" t="n"/>
    </row>
    <row r="2791">
      <c r="C2791" s="18" t="n"/>
      <c r="J2791" s="19" t="n"/>
      <c r="P2791" s="20" t="n"/>
      <c r="Q2791" s="19" t="n"/>
      <c r="R2791" s="19" t="n"/>
      <c r="Y2791" s="19" t="n"/>
    </row>
    <row r="2792">
      <c r="C2792" s="18" t="n"/>
      <c r="J2792" s="19" t="n"/>
      <c r="P2792" s="20" t="n"/>
      <c r="Q2792" s="19" t="n"/>
      <c r="R2792" s="19" t="n"/>
      <c r="Y2792" s="19" t="n"/>
    </row>
    <row r="2793">
      <c r="C2793" s="18" t="n"/>
      <c r="J2793" s="19" t="n"/>
      <c r="P2793" s="20" t="n"/>
      <c r="Q2793" s="19" t="n"/>
      <c r="R2793" s="19" t="n"/>
      <c r="Y2793" s="19" t="n"/>
    </row>
    <row r="2794">
      <c r="C2794" s="18" t="n"/>
      <c r="J2794" s="19" t="n"/>
      <c r="P2794" s="20" t="n"/>
      <c r="Q2794" s="19" t="n"/>
      <c r="R2794" s="19" t="n"/>
      <c r="Y2794" s="19" t="n"/>
    </row>
    <row r="2795">
      <c r="C2795" s="18" t="n"/>
      <c r="J2795" s="19" t="n"/>
      <c r="P2795" s="20" t="n"/>
      <c r="Q2795" s="19" t="n"/>
      <c r="R2795" s="19" t="n"/>
      <c r="Y2795" s="19" t="n"/>
    </row>
    <row r="2796">
      <c r="C2796" s="18" t="n"/>
      <c r="J2796" s="19" t="n"/>
      <c r="P2796" s="20" t="n"/>
      <c r="Q2796" s="19" t="n"/>
      <c r="R2796" s="19" t="n"/>
      <c r="Y2796" s="19" t="n"/>
    </row>
    <row r="2797">
      <c r="C2797" s="18" t="n"/>
      <c r="J2797" s="19" t="n"/>
      <c r="P2797" s="20" t="n"/>
      <c r="Q2797" s="19" t="n"/>
      <c r="R2797" s="19" t="n"/>
      <c r="Y2797" s="19" t="n"/>
    </row>
    <row r="2798">
      <c r="C2798" s="18" t="n"/>
      <c r="J2798" s="19" t="n"/>
      <c r="P2798" s="20" t="n"/>
      <c r="Q2798" s="19" t="n"/>
      <c r="R2798" s="19" t="n"/>
      <c r="Y2798" s="19" t="n"/>
    </row>
    <row r="2799">
      <c r="C2799" s="18" t="n"/>
      <c r="J2799" s="19" t="n"/>
      <c r="P2799" s="20" t="n"/>
      <c r="Q2799" s="19" t="n"/>
      <c r="R2799" s="19" t="n"/>
      <c r="Y2799" s="19" t="n"/>
    </row>
    <row r="2800">
      <c r="C2800" s="18" t="n"/>
      <c r="J2800" s="19" t="n"/>
      <c r="P2800" s="20" t="n"/>
      <c r="Q2800" s="19" t="n"/>
      <c r="R2800" s="19" t="n"/>
      <c r="Y2800" s="19" t="n"/>
    </row>
    <row r="2801">
      <c r="C2801" s="18" t="n"/>
      <c r="J2801" s="19" t="n"/>
      <c r="P2801" s="20" t="n"/>
      <c r="Q2801" s="19" t="n"/>
      <c r="R2801" s="19" t="n"/>
      <c r="Y2801" s="19" t="n"/>
    </row>
    <row r="2802">
      <c r="C2802" s="18" t="n"/>
      <c r="J2802" s="19" t="n"/>
      <c r="P2802" s="20" t="n"/>
      <c r="Q2802" s="19" t="n"/>
      <c r="R2802" s="19" t="n"/>
      <c r="Y2802" s="19" t="n"/>
    </row>
    <row r="2803">
      <c r="C2803" s="18" t="n"/>
      <c r="J2803" s="19" t="n"/>
      <c r="P2803" s="20" t="n"/>
      <c r="Q2803" s="19" t="n"/>
      <c r="R2803" s="19" t="n"/>
      <c r="Y2803" s="19" t="n"/>
    </row>
    <row r="2804">
      <c r="C2804" s="18" t="n"/>
      <c r="J2804" s="19" t="n"/>
      <c r="P2804" s="20" t="n"/>
      <c r="Q2804" s="19" t="n"/>
      <c r="R2804" s="19" t="n"/>
      <c r="Y2804" s="19" t="n"/>
    </row>
    <row r="2805">
      <c r="C2805" s="18" t="n"/>
      <c r="J2805" s="19" t="n"/>
      <c r="P2805" s="20" t="n"/>
      <c r="Q2805" s="19" t="n"/>
      <c r="R2805" s="19" t="n"/>
      <c r="Y2805" s="19" t="n"/>
    </row>
    <row r="2806">
      <c r="C2806" s="18" t="n"/>
      <c r="J2806" s="19" t="n"/>
      <c r="P2806" s="20" t="n"/>
      <c r="Q2806" s="19" t="n"/>
      <c r="R2806" s="19" t="n"/>
      <c r="Y2806" s="19" t="n"/>
    </row>
    <row r="2807">
      <c r="C2807" s="18" t="n"/>
      <c r="J2807" s="19" t="n"/>
      <c r="P2807" s="20" t="n"/>
      <c r="Q2807" s="19" t="n"/>
      <c r="R2807" s="19" t="n"/>
      <c r="Y2807" s="19" t="n"/>
    </row>
    <row r="2808">
      <c r="C2808" s="18" t="n"/>
      <c r="J2808" s="19" t="n"/>
      <c r="P2808" s="20" t="n"/>
      <c r="Q2808" s="19" t="n"/>
      <c r="R2808" s="19" t="n"/>
      <c r="Y2808" s="19" t="n"/>
    </row>
    <row r="2809">
      <c r="C2809" s="18" t="n"/>
      <c r="J2809" s="19" t="n"/>
      <c r="P2809" s="20" t="n"/>
      <c r="Q2809" s="19" t="n"/>
      <c r="R2809" s="19" t="n"/>
      <c r="Y2809" s="19" t="n"/>
    </row>
    <row r="2810">
      <c r="C2810" s="18" t="n"/>
      <c r="J2810" s="19" t="n"/>
      <c r="P2810" s="20" t="n"/>
      <c r="Q2810" s="19" t="n"/>
      <c r="R2810" s="19" t="n"/>
      <c r="Y2810" s="19" t="n"/>
    </row>
    <row r="2811">
      <c r="C2811" s="18" t="n"/>
      <c r="J2811" s="19" t="n"/>
      <c r="P2811" s="20" t="n"/>
      <c r="Q2811" s="19" t="n"/>
      <c r="R2811" s="19" t="n"/>
      <c r="Y2811" s="19" t="n"/>
    </row>
    <row r="2812">
      <c r="C2812" s="18" t="n"/>
      <c r="J2812" s="19" t="n"/>
      <c r="P2812" s="20" t="n"/>
      <c r="Q2812" s="19" t="n"/>
      <c r="R2812" s="19" t="n"/>
      <c r="Y2812" s="19" t="n"/>
    </row>
    <row r="2813">
      <c r="C2813" s="18" t="n"/>
      <c r="J2813" s="19" t="n"/>
      <c r="P2813" s="20" t="n"/>
      <c r="Q2813" s="19" t="n"/>
      <c r="R2813" s="19" t="n"/>
      <c r="Y2813" s="19" t="n"/>
    </row>
    <row r="2814">
      <c r="C2814" s="18" t="n"/>
      <c r="J2814" s="19" t="n"/>
      <c r="P2814" s="20" t="n"/>
      <c r="Q2814" s="19" t="n"/>
      <c r="R2814" s="19" t="n"/>
      <c r="Y2814" s="19" t="n"/>
    </row>
    <row r="2815">
      <c r="C2815" s="18" t="n"/>
      <c r="J2815" s="19" t="n"/>
      <c r="P2815" s="20" t="n"/>
      <c r="Q2815" s="19" t="n"/>
      <c r="R2815" s="19" t="n"/>
      <c r="Y2815" s="19" t="n"/>
    </row>
    <row r="2816">
      <c r="C2816" s="18" t="n"/>
      <c r="J2816" s="19" t="n"/>
      <c r="P2816" s="20" t="n"/>
      <c r="Q2816" s="19" t="n"/>
      <c r="R2816" s="19" t="n"/>
      <c r="Y2816" s="19" t="n"/>
    </row>
    <row r="2817">
      <c r="C2817" s="18" t="n"/>
      <c r="J2817" s="19" t="n"/>
      <c r="P2817" s="20" t="n"/>
      <c r="Q2817" s="19" t="n"/>
      <c r="R2817" s="19" t="n"/>
      <c r="Y2817" s="19" t="n"/>
    </row>
    <row r="2818">
      <c r="C2818" s="18" t="n"/>
      <c r="J2818" s="19" t="n"/>
      <c r="P2818" s="20" t="n"/>
      <c r="Q2818" s="19" t="n"/>
      <c r="R2818" s="19" t="n"/>
      <c r="Y2818" s="19" t="n"/>
    </row>
    <row r="2819">
      <c r="C2819" s="18" t="n"/>
      <c r="J2819" s="19" t="n"/>
      <c r="P2819" s="20" t="n"/>
      <c r="Q2819" s="19" t="n"/>
      <c r="R2819" s="19" t="n"/>
      <c r="Y2819" s="19" t="n"/>
    </row>
    <row r="2820">
      <c r="C2820" s="18" t="n"/>
      <c r="J2820" s="19" t="n"/>
      <c r="P2820" s="20" t="n"/>
      <c r="Q2820" s="19" t="n"/>
      <c r="R2820" s="19" t="n"/>
      <c r="Y2820" s="19" t="n"/>
    </row>
    <row r="2821">
      <c r="C2821" s="18" t="n"/>
      <c r="J2821" s="19" t="n"/>
      <c r="P2821" s="20" t="n"/>
      <c r="Q2821" s="19" t="n"/>
      <c r="R2821" s="19" t="n"/>
      <c r="Y2821" s="19" t="n"/>
    </row>
    <row r="2822">
      <c r="C2822" s="18" t="n"/>
      <c r="J2822" s="19" t="n"/>
      <c r="P2822" s="20" t="n"/>
      <c r="Q2822" s="19" t="n"/>
      <c r="R2822" s="19" t="n"/>
      <c r="Y2822" s="19" t="n"/>
    </row>
    <row r="2823">
      <c r="C2823" s="18" t="n"/>
      <c r="J2823" s="19" t="n"/>
      <c r="P2823" s="20" t="n"/>
      <c r="Q2823" s="19" t="n"/>
      <c r="R2823" s="19" t="n"/>
      <c r="Y2823" s="19" t="n"/>
    </row>
    <row r="2824">
      <c r="C2824" s="18" t="n"/>
      <c r="J2824" s="19" t="n"/>
      <c r="P2824" s="20" t="n"/>
      <c r="Q2824" s="19" t="n"/>
      <c r="R2824" s="19" t="n"/>
      <c r="Y2824" s="19" t="n"/>
    </row>
    <row r="2825">
      <c r="C2825" s="18" t="n"/>
      <c r="J2825" s="19" t="n"/>
      <c r="P2825" s="20" t="n"/>
      <c r="Q2825" s="19" t="n"/>
      <c r="R2825" s="19" t="n"/>
      <c r="Y2825" s="19" t="n"/>
    </row>
    <row r="2826">
      <c r="C2826" s="18" t="n"/>
      <c r="J2826" s="19" t="n"/>
      <c r="P2826" s="20" t="n"/>
      <c r="Q2826" s="19" t="n"/>
      <c r="R2826" s="19" t="n"/>
      <c r="Y2826" s="19" t="n"/>
    </row>
    <row r="2827">
      <c r="C2827" s="18" t="n"/>
      <c r="J2827" s="19" t="n"/>
      <c r="P2827" s="20" t="n"/>
      <c r="Q2827" s="19" t="n"/>
      <c r="R2827" s="19" t="n"/>
      <c r="Y2827" s="19" t="n"/>
    </row>
    <row r="2828">
      <c r="C2828" s="18" t="n"/>
      <c r="J2828" s="19" t="n"/>
      <c r="P2828" s="20" t="n"/>
      <c r="Q2828" s="19" t="n"/>
      <c r="R2828" s="19" t="n"/>
      <c r="Y2828" s="19" t="n"/>
    </row>
    <row r="2829">
      <c r="C2829" s="18" t="n"/>
      <c r="J2829" s="19" t="n"/>
      <c r="P2829" s="20" t="n"/>
      <c r="Q2829" s="19" t="n"/>
      <c r="R2829" s="19" t="n"/>
      <c r="Y2829" s="19" t="n"/>
    </row>
    <row r="2830">
      <c r="C2830" s="18" t="n"/>
      <c r="J2830" s="19" t="n"/>
      <c r="P2830" s="20" t="n"/>
      <c r="Q2830" s="19" t="n"/>
      <c r="R2830" s="19" t="n"/>
      <c r="Y2830" s="19" t="n"/>
    </row>
    <row r="2831">
      <c r="C2831" s="18" t="n"/>
      <c r="J2831" s="19" t="n"/>
      <c r="P2831" s="20" t="n"/>
      <c r="Q2831" s="19" t="n"/>
      <c r="R2831" s="19" t="n"/>
      <c r="Y2831" s="19" t="n"/>
    </row>
    <row r="2832">
      <c r="C2832" s="18" t="n"/>
      <c r="J2832" s="19" t="n"/>
      <c r="P2832" s="20" t="n"/>
      <c r="Q2832" s="19" t="n"/>
      <c r="R2832" s="19" t="n"/>
      <c r="Y2832" s="19" t="n"/>
    </row>
    <row r="2833">
      <c r="C2833" s="18" t="n"/>
      <c r="J2833" s="19" t="n"/>
      <c r="P2833" s="20" t="n"/>
      <c r="Q2833" s="19" t="n"/>
      <c r="R2833" s="19" t="n"/>
      <c r="Y2833" s="19" t="n"/>
    </row>
    <row r="2834">
      <c r="C2834" s="18" t="n"/>
      <c r="J2834" s="19" t="n"/>
      <c r="P2834" s="20" t="n"/>
      <c r="Q2834" s="19" t="n"/>
      <c r="R2834" s="19" t="n"/>
      <c r="Y2834" s="19" t="n"/>
    </row>
    <row r="2835">
      <c r="C2835" s="18" t="n"/>
      <c r="J2835" s="19" t="n"/>
      <c r="P2835" s="20" t="n"/>
      <c r="Q2835" s="19" t="n"/>
      <c r="R2835" s="19" t="n"/>
      <c r="Y2835" s="19" t="n"/>
    </row>
    <row r="2836">
      <c r="C2836" s="18" t="n"/>
      <c r="J2836" s="19" t="n"/>
      <c r="P2836" s="20" t="n"/>
      <c r="Q2836" s="19" t="n"/>
      <c r="R2836" s="19" t="n"/>
      <c r="Y2836" s="19" t="n"/>
    </row>
    <row r="2837">
      <c r="C2837" s="18" t="n"/>
      <c r="J2837" s="19" t="n"/>
      <c r="P2837" s="20" t="n"/>
      <c r="Q2837" s="19" t="n"/>
      <c r="R2837" s="19" t="n"/>
      <c r="Y2837" s="19" t="n"/>
    </row>
    <row r="2838">
      <c r="C2838" s="18" t="n"/>
      <c r="J2838" s="19" t="n"/>
      <c r="P2838" s="20" t="n"/>
      <c r="Q2838" s="19" t="n"/>
      <c r="R2838" s="19" t="n"/>
      <c r="Y2838" s="19" t="n"/>
    </row>
    <row r="2839">
      <c r="C2839" s="18" t="n"/>
      <c r="J2839" s="19" t="n"/>
      <c r="P2839" s="20" t="n"/>
      <c r="Q2839" s="19" t="n"/>
      <c r="R2839" s="19" t="n"/>
      <c r="Y2839" s="19" t="n"/>
    </row>
    <row r="2840">
      <c r="C2840" s="18" t="n"/>
      <c r="J2840" s="19" t="n"/>
      <c r="P2840" s="20" t="n"/>
      <c r="Q2840" s="19" t="n"/>
      <c r="R2840" s="19" t="n"/>
      <c r="Y2840" s="19" t="n"/>
    </row>
    <row r="2841">
      <c r="C2841" s="18" t="n"/>
      <c r="J2841" s="19" t="n"/>
      <c r="P2841" s="20" t="n"/>
      <c r="Q2841" s="19" t="n"/>
      <c r="R2841" s="19" t="n"/>
      <c r="Y2841" s="19" t="n"/>
    </row>
    <row r="2842">
      <c r="C2842" s="18" t="n"/>
      <c r="J2842" s="19" t="n"/>
      <c r="P2842" s="20" t="n"/>
      <c r="Q2842" s="19" t="n"/>
      <c r="R2842" s="19" t="n"/>
      <c r="Y2842" s="19" t="n"/>
    </row>
    <row r="2843">
      <c r="C2843" s="18" t="n"/>
      <c r="J2843" s="19" t="n"/>
      <c r="P2843" s="20" t="n"/>
      <c r="Q2843" s="19" t="n"/>
      <c r="R2843" s="19" t="n"/>
      <c r="Y2843" s="19" t="n"/>
    </row>
    <row r="2844">
      <c r="C2844" s="18" t="n"/>
      <c r="J2844" s="19" t="n"/>
      <c r="P2844" s="20" t="n"/>
      <c r="Q2844" s="19" t="n"/>
      <c r="R2844" s="19" t="n"/>
      <c r="Y2844" s="19" t="n"/>
    </row>
    <row r="2845">
      <c r="C2845" s="18" t="n"/>
      <c r="J2845" s="19" t="n"/>
      <c r="P2845" s="20" t="n"/>
      <c r="Q2845" s="19" t="n"/>
      <c r="R2845" s="19" t="n"/>
      <c r="Y2845" s="19" t="n"/>
    </row>
    <row r="2846">
      <c r="C2846" s="18" t="n"/>
      <c r="J2846" s="19" t="n"/>
      <c r="P2846" s="20" t="n"/>
      <c r="Q2846" s="19" t="n"/>
      <c r="R2846" s="19" t="n"/>
      <c r="Y2846" s="19" t="n"/>
    </row>
    <row r="2847">
      <c r="C2847" s="18" t="n"/>
      <c r="J2847" s="19" t="n"/>
      <c r="P2847" s="20" t="n"/>
      <c r="Q2847" s="19" t="n"/>
      <c r="R2847" s="19" t="n"/>
      <c r="Y2847" s="19" t="n"/>
    </row>
    <row r="2848">
      <c r="C2848" s="18" t="n"/>
      <c r="J2848" s="19" t="n"/>
      <c r="P2848" s="20" t="n"/>
      <c r="Q2848" s="19" t="n"/>
      <c r="R2848" s="19" t="n"/>
      <c r="Y2848" s="19" t="n"/>
    </row>
    <row r="2849">
      <c r="C2849" s="18" t="n"/>
      <c r="J2849" s="19" t="n"/>
      <c r="P2849" s="20" t="n"/>
      <c r="Q2849" s="19" t="n"/>
      <c r="R2849" s="19" t="n"/>
      <c r="Y2849" s="19" t="n"/>
    </row>
    <row r="2850">
      <c r="C2850" s="18" t="n"/>
      <c r="J2850" s="19" t="n"/>
      <c r="P2850" s="20" t="n"/>
      <c r="Q2850" s="19" t="n"/>
      <c r="R2850" s="19" t="n"/>
      <c r="Y2850" s="19" t="n"/>
    </row>
    <row r="2851">
      <c r="C2851" s="18" t="n"/>
      <c r="J2851" s="19" t="n"/>
      <c r="P2851" s="20" t="n"/>
      <c r="Q2851" s="19" t="n"/>
      <c r="R2851" s="19" t="n"/>
      <c r="Y2851" s="19" t="n"/>
    </row>
    <row r="2852">
      <c r="C2852" s="18" t="n"/>
      <c r="J2852" s="19" t="n"/>
      <c r="P2852" s="20" t="n"/>
      <c r="Q2852" s="19" t="n"/>
      <c r="R2852" s="19" t="n"/>
      <c r="Y2852" s="19" t="n"/>
    </row>
    <row r="2853">
      <c r="C2853" s="18" t="n"/>
      <c r="J2853" s="19" t="n"/>
      <c r="P2853" s="20" t="n"/>
      <c r="Q2853" s="19" t="n"/>
      <c r="R2853" s="19" t="n"/>
      <c r="Y2853" s="19" t="n"/>
    </row>
    <row r="2854">
      <c r="C2854" s="18" t="n"/>
      <c r="J2854" s="19" t="n"/>
      <c r="P2854" s="20" t="n"/>
      <c r="Q2854" s="19" t="n"/>
      <c r="R2854" s="19" t="n"/>
      <c r="Y2854" s="19" t="n"/>
    </row>
    <row r="2855">
      <c r="C2855" s="18" t="n"/>
      <c r="J2855" s="19" t="n"/>
      <c r="P2855" s="20" t="n"/>
      <c r="Q2855" s="19" t="n"/>
      <c r="R2855" s="19" t="n"/>
      <c r="Y2855" s="19" t="n"/>
    </row>
    <row r="2856">
      <c r="C2856" s="18" t="n"/>
      <c r="J2856" s="19" t="n"/>
      <c r="P2856" s="20" t="n"/>
      <c r="Q2856" s="19" t="n"/>
      <c r="R2856" s="19" t="n"/>
      <c r="Y2856" s="19" t="n"/>
    </row>
    <row r="2857">
      <c r="C2857" s="18" t="n"/>
      <c r="J2857" s="19" t="n"/>
      <c r="P2857" s="20" t="n"/>
      <c r="Q2857" s="19" t="n"/>
      <c r="R2857" s="19" t="n"/>
      <c r="Y2857" s="19" t="n"/>
    </row>
    <row r="2858">
      <c r="C2858" s="18" t="n"/>
      <c r="J2858" s="19" t="n"/>
      <c r="P2858" s="20" t="n"/>
      <c r="Q2858" s="19" t="n"/>
      <c r="R2858" s="19" t="n"/>
      <c r="Y2858" s="19" t="n"/>
    </row>
    <row r="2859">
      <c r="C2859" s="18" t="n"/>
      <c r="J2859" s="19" t="n"/>
      <c r="P2859" s="20" t="n"/>
      <c r="Q2859" s="19" t="n"/>
      <c r="R2859" s="19" t="n"/>
      <c r="Y2859" s="19" t="n"/>
    </row>
    <row r="2860">
      <c r="C2860" s="18" t="n"/>
      <c r="J2860" s="19" t="n"/>
      <c r="P2860" s="20" t="n"/>
      <c r="Q2860" s="19" t="n"/>
      <c r="R2860" s="19" t="n"/>
      <c r="Y2860" s="19" t="n"/>
    </row>
    <row r="2861">
      <c r="C2861" s="18" t="n"/>
      <c r="J2861" s="19" t="n"/>
      <c r="P2861" s="20" t="n"/>
      <c r="Q2861" s="19" t="n"/>
      <c r="R2861" s="19" t="n"/>
      <c r="Y2861" s="19" t="n"/>
    </row>
    <row r="2862">
      <c r="C2862" s="18" t="n"/>
      <c r="J2862" s="19" t="n"/>
      <c r="P2862" s="20" t="n"/>
      <c r="Q2862" s="19" t="n"/>
      <c r="R2862" s="19" t="n"/>
      <c r="Y2862" s="19" t="n"/>
    </row>
    <row r="2863">
      <c r="C2863" s="18" t="n"/>
      <c r="J2863" s="19" t="n"/>
      <c r="P2863" s="20" t="n"/>
      <c r="Q2863" s="19" t="n"/>
      <c r="R2863" s="19" t="n"/>
      <c r="Y2863" s="19" t="n"/>
    </row>
    <row r="2864">
      <c r="C2864" s="18" t="n"/>
      <c r="J2864" s="19" t="n"/>
      <c r="P2864" s="20" t="n"/>
      <c r="Q2864" s="19" t="n"/>
      <c r="R2864" s="19" t="n"/>
      <c r="Y2864" s="19" t="n"/>
    </row>
    <row r="2865">
      <c r="C2865" s="18" t="n"/>
      <c r="J2865" s="19" t="n"/>
      <c r="P2865" s="20" t="n"/>
      <c r="Q2865" s="19" t="n"/>
      <c r="R2865" s="19" t="n"/>
      <c r="Y2865" s="19" t="n"/>
    </row>
    <row r="2866">
      <c r="C2866" s="18" t="n"/>
      <c r="J2866" s="19" t="n"/>
      <c r="P2866" s="20" t="n"/>
      <c r="Q2866" s="19" t="n"/>
      <c r="R2866" s="19" t="n"/>
      <c r="Y2866" s="19" t="n"/>
    </row>
    <row r="2867">
      <c r="C2867" s="18" t="n"/>
      <c r="J2867" s="19" t="n"/>
      <c r="P2867" s="20" t="n"/>
      <c r="Q2867" s="19" t="n"/>
      <c r="R2867" s="19" t="n"/>
      <c r="Y2867" s="19" t="n"/>
    </row>
    <row r="2868">
      <c r="C2868" s="18" t="n"/>
      <c r="J2868" s="19" t="n"/>
      <c r="P2868" s="20" t="n"/>
      <c r="Q2868" s="19" t="n"/>
      <c r="R2868" s="19" t="n"/>
      <c r="Y2868" s="19" t="n"/>
    </row>
    <row r="2869">
      <c r="C2869" s="18" t="n"/>
      <c r="J2869" s="19" t="n"/>
      <c r="P2869" s="20" t="n"/>
      <c r="Q2869" s="19" t="n"/>
      <c r="R2869" s="19" t="n"/>
      <c r="Y2869" s="19" t="n"/>
    </row>
    <row r="2870">
      <c r="C2870" s="18" t="n"/>
      <c r="J2870" s="19" t="n"/>
      <c r="P2870" s="20" t="n"/>
      <c r="Q2870" s="19" t="n"/>
      <c r="R2870" s="19" t="n"/>
      <c r="Y2870" s="19" t="n"/>
    </row>
    <row r="2871">
      <c r="C2871" s="18" t="n"/>
      <c r="J2871" s="19" t="n"/>
      <c r="P2871" s="20" t="n"/>
      <c r="Q2871" s="19" t="n"/>
      <c r="R2871" s="19" t="n"/>
      <c r="Y2871" s="19" t="n"/>
    </row>
    <row r="2872">
      <c r="C2872" s="18" t="n"/>
      <c r="J2872" s="19" t="n"/>
      <c r="P2872" s="20" t="n"/>
      <c r="Q2872" s="19" t="n"/>
      <c r="R2872" s="19" t="n"/>
      <c r="Y2872" s="19" t="n"/>
    </row>
    <row r="2873">
      <c r="C2873" s="18" t="n"/>
      <c r="J2873" s="19" t="n"/>
      <c r="P2873" s="20" t="n"/>
      <c r="Q2873" s="19" t="n"/>
      <c r="R2873" s="19" t="n"/>
      <c r="Y2873" s="19" t="n"/>
    </row>
    <row r="2874">
      <c r="C2874" s="18" t="n"/>
      <c r="J2874" s="19" t="n"/>
      <c r="P2874" s="20" t="n"/>
      <c r="Q2874" s="19" t="n"/>
      <c r="R2874" s="19" t="n"/>
      <c r="Y2874" s="19" t="n"/>
    </row>
    <row r="2875">
      <c r="C2875" s="18" t="n"/>
      <c r="J2875" s="19" t="n"/>
      <c r="P2875" s="20" t="n"/>
      <c r="Q2875" s="19" t="n"/>
      <c r="R2875" s="19" t="n"/>
      <c r="Y2875" s="19" t="n"/>
    </row>
    <row r="2876">
      <c r="C2876" s="18" t="n"/>
      <c r="J2876" s="19" t="n"/>
      <c r="P2876" s="20" t="n"/>
      <c r="Q2876" s="19" t="n"/>
      <c r="R2876" s="19" t="n"/>
      <c r="Y2876" s="19" t="n"/>
    </row>
    <row r="2877">
      <c r="C2877" s="18" t="n"/>
      <c r="J2877" s="19" t="n"/>
      <c r="P2877" s="20" t="n"/>
      <c r="Q2877" s="19" t="n"/>
      <c r="R2877" s="19" t="n"/>
      <c r="Y2877" s="19" t="n"/>
    </row>
    <row r="2878">
      <c r="C2878" s="18" t="n"/>
      <c r="J2878" s="19" t="n"/>
      <c r="P2878" s="20" t="n"/>
      <c r="Q2878" s="19" t="n"/>
      <c r="R2878" s="19" t="n"/>
      <c r="Y2878" s="19" t="n"/>
    </row>
    <row r="2879">
      <c r="C2879" s="18" t="n"/>
      <c r="J2879" s="19" t="n"/>
      <c r="P2879" s="20" t="n"/>
      <c r="Q2879" s="19" t="n"/>
      <c r="R2879" s="19" t="n"/>
      <c r="Y2879" s="19" t="n"/>
    </row>
    <row r="2880">
      <c r="C2880" s="18" t="n"/>
      <c r="J2880" s="19" t="n"/>
      <c r="P2880" s="20" t="n"/>
      <c r="Q2880" s="19" t="n"/>
      <c r="R2880" s="19" t="n"/>
      <c r="Y2880" s="19" t="n"/>
    </row>
    <row r="2881">
      <c r="C2881" s="18" t="n"/>
      <c r="J2881" s="19" t="n"/>
      <c r="P2881" s="20" t="n"/>
      <c r="Q2881" s="19" t="n"/>
      <c r="R2881" s="19" t="n"/>
      <c r="Y2881" s="19" t="n"/>
    </row>
    <row r="2882">
      <c r="C2882" s="18" t="n"/>
      <c r="J2882" s="19" t="n"/>
      <c r="P2882" s="20" t="n"/>
      <c r="Q2882" s="19" t="n"/>
      <c r="R2882" s="19" t="n"/>
      <c r="Y2882" s="19" t="n"/>
    </row>
    <row r="2883">
      <c r="C2883" s="18" t="n"/>
      <c r="J2883" s="19" t="n"/>
      <c r="P2883" s="20" t="n"/>
      <c r="Q2883" s="19" t="n"/>
      <c r="R2883" s="19" t="n"/>
      <c r="Y2883" s="19" t="n"/>
    </row>
    <row r="2884">
      <c r="C2884" s="18" t="n"/>
      <c r="J2884" s="19" t="n"/>
      <c r="P2884" s="20" t="n"/>
      <c r="Q2884" s="19" t="n"/>
      <c r="R2884" s="19" t="n"/>
      <c r="Y2884" s="19" t="n"/>
    </row>
    <row r="2885">
      <c r="C2885" s="18" t="n"/>
      <c r="J2885" s="19" t="n"/>
      <c r="P2885" s="20" t="n"/>
      <c r="Q2885" s="19" t="n"/>
      <c r="R2885" s="19" t="n"/>
      <c r="Y2885" s="19" t="n"/>
    </row>
    <row r="2886">
      <c r="C2886" s="18" t="n"/>
      <c r="J2886" s="19" t="n"/>
      <c r="P2886" s="20" t="n"/>
      <c r="Q2886" s="19" t="n"/>
      <c r="R2886" s="19" t="n"/>
      <c r="Y2886" s="19" t="n"/>
    </row>
    <row r="2887">
      <c r="C2887" s="18" t="n"/>
      <c r="J2887" s="19" t="n"/>
      <c r="P2887" s="20" t="n"/>
      <c r="Q2887" s="19" t="n"/>
      <c r="R2887" s="19" t="n"/>
      <c r="Y2887" s="19" t="n"/>
    </row>
    <row r="2888">
      <c r="C2888" s="18" t="n"/>
      <c r="J2888" s="19" t="n"/>
      <c r="P2888" s="20" t="n"/>
      <c r="Q2888" s="19" t="n"/>
      <c r="R2888" s="19" t="n"/>
      <c r="Y2888" s="19" t="n"/>
    </row>
    <row r="2889">
      <c r="C2889" s="18" t="n"/>
      <c r="J2889" s="19" t="n"/>
      <c r="P2889" s="20" t="n"/>
      <c r="Q2889" s="19" t="n"/>
      <c r="R2889" s="19" t="n"/>
      <c r="Y2889" s="19" t="n"/>
    </row>
    <row r="2890">
      <c r="C2890" s="18" t="n"/>
      <c r="J2890" s="19" t="n"/>
      <c r="P2890" s="20" t="n"/>
      <c r="Q2890" s="19" t="n"/>
      <c r="R2890" s="19" t="n"/>
      <c r="Y2890" s="19" t="n"/>
    </row>
    <row r="2891">
      <c r="C2891" s="18" t="n"/>
      <c r="J2891" s="19" t="n"/>
      <c r="P2891" s="20" t="n"/>
      <c r="Q2891" s="19" t="n"/>
      <c r="R2891" s="19" t="n"/>
      <c r="Y2891" s="19" t="n"/>
    </row>
    <row r="2892">
      <c r="C2892" s="18" t="n"/>
      <c r="J2892" s="19" t="n"/>
      <c r="P2892" s="20" t="n"/>
      <c r="Q2892" s="19" t="n"/>
      <c r="R2892" s="19" t="n"/>
      <c r="Y2892" s="19" t="n"/>
    </row>
    <row r="2893">
      <c r="C2893" s="18" t="n"/>
      <c r="J2893" s="19" t="n"/>
      <c r="P2893" s="20" t="n"/>
      <c r="Q2893" s="19" t="n"/>
      <c r="R2893" s="19" t="n"/>
      <c r="Y2893" s="19" t="n"/>
    </row>
    <row r="2894">
      <c r="C2894" s="18" t="n"/>
      <c r="J2894" s="19" t="n"/>
      <c r="P2894" s="20" t="n"/>
      <c r="Q2894" s="19" t="n"/>
      <c r="R2894" s="19" t="n"/>
      <c r="Y2894" s="19" t="n"/>
    </row>
    <row r="2895">
      <c r="C2895" s="18" t="n"/>
      <c r="J2895" s="19" t="n"/>
      <c r="P2895" s="20" t="n"/>
      <c r="Q2895" s="19" t="n"/>
      <c r="R2895" s="19" t="n"/>
      <c r="Y2895" s="19" t="n"/>
    </row>
    <row r="2896">
      <c r="C2896" s="18" t="n"/>
      <c r="J2896" s="19" t="n"/>
      <c r="P2896" s="20" t="n"/>
      <c r="Q2896" s="19" t="n"/>
      <c r="R2896" s="19" t="n"/>
      <c r="Y2896" s="19" t="n"/>
    </row>
    <row r="2897">
      <c r="C2897" s="18" t="n"/>
      <c r="J2897" s="19" t="n"/>
      <c r="P2897" s="20" t="n"/>
      <c r="Q2897" s="19" t="n"/>
      <c r="R2897" s="19" t="n"/>
      <c r="Y2897" s="19" t="n"/>
    </row>
    <row r="2898">
      <c r="C2898" s="18" t="n"/>
      <c r="J2898" s="19" t="n"/>
      <c r="P2898" s="20" t="n"/>
      <c r="Q2898" s="19" t="n"/>
      <c r="R2898" s="19" t="n"/>
      <c r="Y2898" s="19" t="n"/>
    </row>
    <row r="2899">
      <c r="C2899" s="18" t="n"/>
      <c r="J2899" s="19" t="n"/>
      <c r="P2899" s="20" t="n"/>
      <c r="Q2899" s="19" t="n"/>
      <c r="R2899" s="19" t="n"/>
      <c r="Y2899" s="19" t="n"/>
    </row>
    <row r="2900">
      <c r="C2900" s="18" t="n"/>
      <c r="J2900" s="19" t="n"/>
      <c r="P2900" s="20" t="n"/>
      <c r="Q2900" s="19" t="n"/>
      <c r="R2900" s="19" t="n"/>
      <c r="Y2900" s="19" t="n"/>
    </row>
    <row r="2901">
      <c r="C2901" s="18" t="n"/>
      <c r="J2901" s="19" t="n"/>
      <c r="P2901" s="20" t="n"/>
      <c r="Q2901" s="19" t="n"/>
      <c r="R2901" s="19" t="n"/>
      <c r="Y2901" s="19" t="n"/>
    </row>
    <row r="2902">
      <c r="C2902" s="18" t="n"/>
      <c r="J2902" s="19" t="n"/>
      <c r="P2902" s="20" t="n"/>
      <c r="Q2902" s="19" t="n"/>
      <c r="R2902" s="19" t="n"/>
      <c r="Y2902" s="19" t="n"/>
    </row>
    <row r="2903">
      <c r="C2903" s="18" t="n"/>
      <c r="J2903" s="19" t="n"/>
      <c r="P2903" s="20" t="n"/>
      <c r="Q2903" s="19" t="n"/>
      <c r="R2903" s="19" t="n"/>
      <c r="Y2903" s="19" t="n"/>
    </row>
    <row r="2904">
      <c r="C2904" s="18" t="n"/>
      <c r="J2904" s="19" t="n"/>
      <c r="P2904" s="20" t="n"/>
      <c r="Q2904" s="19" t="n"/>
      <c r="R2904" s="19" t="n"/>
      <c r="Y2904" s="19" t="n"/>
    </row>
    <row r="2905">
      <c r="C2905" s="18" t="n"/>
      <c r="J2905" s="19" t="n"/>
      <c r="P2905" s="20" t="n"/>
      <c r="Q2905" s="19" t="n"/>
      <c r="R2905" s="19" t="n"/>
      <c r="Y2905" s="19" t="n"/>
    </row>
    <row r="2906">
      <c r="C2906" s="18" t="n"/>
      <c r="J2906" s="19" t="n"/>
      <c r="P2906" s="20" t="n"/>
      <c r="Q2906" s="19" t="n"/>
      <c r="R2906" s="19" t="n"/>
      <c r="Y2906" s="19" t="n"/>
    </row>
    <row r="2907">
      <c r="C2907" s="18" t="n"/>
      <c r="J2907" s="19" t="n"/>
      <c r="P2907" s="20" t="n"/>
      <c r="Q2907" s="19" t="n"/>
      <c r="R2907" s="19" t="n"/>
      <c r="Y2907" s="19" t="n"/>
    </row>
    <row r="2908">
      <c r="C2908" s="18" t="n"/>
      <c r="J2908" s="19" t="n"/>
      <c r="P2908" s="20" t="n"/>
      <c r="Q2908" s="19" t="n"/>
      <c r="R2908" s="19" t="n"/>
      <c r="Y2908" s="19" t="n"/>
    </row>
    <row r="2909">
      <c r="C2909" s="18" t="n"/>
      <c r="J2909" s="19" t="n"/>
      <c r="P2909" s="20" t="n"/>
      <c r="Q2909" s="19" t="n"/>
      <c r="R2909" s="19" t="n"/>
      <c r="Y2909" s="19" t="n"/>
    </row>
    <row r="2910">
      <c r="C2910" s="18" t="n"/>
      <c r="J2910" s="19" t="n"/>
      <c r="P2910" s="20" t="n"/>
      <c r="Q2910" s="19" t="n"/>
      <c r="R2910" s="19" t="n"/>
      <c r="Y2910" s="19" t="n"/>
    </row>
    <row r="2911">
      <c r="C2911" s="18" t="n"/>
      <c r="J2911" s="19" t="n"/>
      <c r="P2911" s="20" t="n"/>
      <c r="Q2911" s="19" t="n"/>
      <c r="R2911" s="19" t="n"/>
      <c r="Y2911" s="19" t="n"/>
    </row>
    <row r="2912">
      <c r="C2912" s="18" t="n"/>
      <c r="J2912" s="19" t="n"/>
      <c r="P2912" s="20" t="n"/>
      <c r="Q2912" s="19" t="n"/>
      <c r="R2912" s="19" t="n"/>
      <c r="Y2912" s="19" t="n"/>
    </row>
    <row r="2913">
      <c r="C2913" s="18" t="n"/>
      <c r="J2913" s="19" t="n"/>
      <c r="P2913" s="20" t="n"/>
      <c r="Q2913" s="19" t="n"/>
      <c r="R2913" s="19" t="n"/>
      <c r="Y2913" s="19" t="n"/>
    </row>
    <row r="2914">
      <c r="C2914" s="18" t="n"/>
      <c r="J2914" s="19" t="n"/>
      <c r="P2914" s="20" t="n"/>
      <c r="Q2914" s="19" t="n"/>
      <c r="R2914" s="19" t="n"/>
      <c r="Y2914" s="19" t="n"/>
    </row>
    <row r="2915">
      <c r="C2915" s="18" t="n"/>
      <c r="J2915" s="19" t="n"/>
      <c r="P2915" s="20" t="n"/>
      <c r="Q2915" s="19" t="n"/>
      <c r="R2915" s="19" t="n"/>
      <c r="Y2915" s="19" t="n"/>
    </row>
    <row r="2916">
      <c r="C2916" s="18" t="n"/>
      <c r="J2916" s="19" t="n"/>
      <c r="P2916" s="20" t="n"/>
      <c r="Q2916" s="19" t="n"/>
      <c r="R2916" s="19" t="n"/>
      <c r="Y2916" s="19" t="n"/>
    </row>
    <row r="2917">
      <c r="C2917" s="18" t="n"/>
      <c r="J2917" s="19" t="n"/>
      <c r="P2917" s="20" t="n"/>
      <c r="Q2917" s="19" t="n"/>
      <c r="R2917" s="19" t="n"/>
      <c r="Y2917" s="19" t="n"/>
    </row>
    <row r="2918">
      <c r="C2918" s="18" t="n"/>
      <c r="J2918" s="19" t="n"/>
      <c r="P2918" s="20" t="n"/>
      <c r="Q2918" s="19" t="n"/>
      <c r="R2918" s="19" t="n"/>
      <c r="Y2918" s="19" t="n"/>
    </row>
    <row r="2919">
      <c r="C2919" s="18" t="n"/>
      <c r="J2919" s="19" t="n"/>
      <c r="P2919" s="20" t="n"/>
      <c r="Q2919" s="19" t="n"/>
      <c r="R2919" s="19" t="n"/>
      <c r="Y2919" s="19" t="n"/>
    </row>
    <row r="2920">
      <c r="C2920" s="18" t="n"/>
      <c r="J2920" s="19" t="n"/>
      <c r="P2920" s="20" t="n"/>
      <c r="Q2920" s="19" t="n"/>
      <c r="R2920" s="19" t="n"/>
      <c r="Y2920" s="19" t="n"/>
    </row>
    <row r="2921">
      <c r="C2921" s="18" t="n"/>
      <c r="J2921" s="19" t="n"/>
      <c r="P2921" s="20" t="n"/>
      <c r="Q2921" s="19" t="n"/>
      <c r="R2921" s="19" t="n"/>
      <c r="Y2921" s="19" t="n"/>
    </row>
    <row r="2922">
      <c r="C2922" s="18" t="n"/>
      <c r="J2922" s="19" t="n"/>
      <c r="P2922" s="20" t="n"/>
      <c r="Q2922" s="19" t="n"/>
      <c r="R2922" s="19" t="n"/>
      <c r="Y2922" s="19" t="n"/>
    </row>
    <row r="2923">
      <c r="C2923" s="18" t="n"/>
      <c r="J2923" s="19" t="n"/>
      <c r="P2923" s="20" t="n"/>
      <c r="Q2923" s="19" t="n"/>
      <c r="R2923" s="19" t="n"/>
      <c r="Y2923" s="19" t="n"/>
    </row>
    <row r="2924">
      <c r="C2924" s="18" t="n"/>
      <c r="J2924" s="19" t="n"/>
      <c r="P2924" s="20" t="n"/>
      <c r="Q2924" s="19" t="n"/>
      <c r="R2924" s="19" t="n"/>
      <c r="Y2924" s="19" t="n"/>
    </row>
    <row r="2925">
      <c r="C2925" s="18" t="n"/>
      <c r="J2925" s="19" t="n"/>
      <c r="P2925" s="20" t="n"/>
      <c r="Q2925" s="19" t="n"/>
      <c r="R2925" s="19" t="n"/>
      <c r="Y2925" s="19" t="n"/>
    </row>
    <row r="2926">
      <c r="C2926" s="18" t="n"/>
      <c r="J2926" s="19" t="n"/>
      <c r="P2926" s="20" t="n"/>
      <c r="Q2926" s="19" t="n"/>
      <c r="R2926" s="19" t="n"/>
      <c r="Y2926" s="19" t="n"/>
    </row>
    <row r="2927">
      <c r="C2927" s="18" t="n"/>
      <c r="J2927" s="19" t="n"/>
      <c r="P2927" s="20" t="n"/>
      <c r="Q2927" s="19" t="n"/>
      <c r="R2927" s="19" t="n"/>
      <c r="Y2927" s="19" t="n"/>
    </row>
    <row r="2928">
      <c r="C2928" s="18" t="n"/>
      <c r="J2928" s="19" t="n"/>
      <c r="P2928" s="20" t="n"/>
      <c r="Q2928" s="19" t="n"/>
      <c r="R2928" s="19" t="n"/>
      <c r="Y2928" s="19" t="n"/>
    </row>
    <row r="2929">
      <c r="C2929" s="18" t="n"/>
      <c r="J2929" s="19" t="n"/>
      <c r="P2929" s="20" t="n"/>
      <c r="Q2929" s="19" t="n"/>
      <c r="R2929" s="19" t="n"/>
      <c r="Y2929" s="19" t="n"/>
    </row>
    <row r="2930">
      <c r="C2930" s="18" t="n"/>
      <c r="J2930" s="19" t="n"/>
      <c r="P2930" s="20" t="n"/>
      <c r="Q2930" s="19" t="n"/>
      <c r="R2930" s="19" t="n"/>
      <c r="Y2930" s="19" t="n"/>
    </row>
    <row r="2931">
      <c r="C2931" s="18" t="n"/>
      <c r="J2931" s="19" t="n"/>
      <c r="P2931" s="20" t="n"/>
      <c r="Q2931" s="19" t="n"/>
      <c r="R2931" s="19" t="n"/>
      <c r="Y2931" s="19" t="n"/>
    </row>
    <row r="2932">
      <c r="C2932" s="18" t="n"/>
      <c r="J2932" s="19" t="n"/>
      <c r="P2932" s="20" t="n"/>
      <c r="Q2932" s="19" t="n"/>
      <c r="R2932" s="19" t="n"/>
      <c r="Y2932" s="19" t="n"/>
    </row>
    <row r="2933">
      <c r="C2933" s="18" t="n"/>
      <c r="J2933" s="19" t="n"/>
      <c r="P2933" s="20" t="n"/>
      <c r="Q2933" s="19" t="n"/>
      <c r="R2933" s="19" t="n"/>
      <c r="Y2933" s="19" t="n"/>
    </row>
    <row r="2934">
      <c r="C2934" s="18" t="n"/>
      <c r="J2934" s="19" t="n"/>
      <c r="P2934" s="20" t="n"/>
      <c r="Q2934" s="19" t="n"/>
      <c r="R2934" s="19" t="n"/>
      <c r="Y2934" s="19" t="n"/>
    </row>
    <row r="2935">
      <c r="C2935" s="18" t="n"/>
      <c r="J2935" s="19" t="n"/>
      <c r="P2935" s="20" t="n"/>
      <c r="Q2935" s="19" t="n"/>
      <c r="R2935" s="19" t="n"/>
      <c r="Y2935" s="19" t="n"/>
    </row>
    <row r="2936">
      <c r="C2936" s="18" t="n"/>
      <c r="J2936" s="19" t="n"/>
      <c r="P2936" s="20" t="n"/>
      <c r="Q2936" s="19" t="n"/>
      <c r="R2936" s="19" t="n"/>
      <c r="Y2936" s="19" t="n"/>
    </row>
    <row r="2937">
      <c r="C2937" s="18" t="n"/>
      <c r="J2937" s="19" t="n"/>
      <c r="P2937" s="20" t="n"/>
      <c r="Q2937" s="19" t="n"/>
      <c r="R2937" s="19" t="n"/>
      <c r="Y2937" s="19" t="n"/>
    </row>
    <row r="2938">
      <c r="C2938" s="18" t="n"/>
      <c r="J2938" s="19" t="n"/>
      <c r="P2938" s="20" t="n"/>
      <c r="Q2938" s="19" t="n"/>
      <c r="R2938" s="19" t="n"/>
      <c r="Y2938" s="19" t="n"/>
    </row>
    <row r="2939">
      <c r="C2939" s="18" t="n"/>
      <c r="J2939" s="19" t="n"/>
      <c r="P2939" s="20" t="n"/>
      <c r="Q2939" s="19" t="n"/>
      <c r="R2939" s="19" t="n"/>
      <c r="Y2939" s="19" t="n"/>
    </row>
    <row r="2940">
      <c r="C2940" s="18" t="n"/>
      <c r="J2940" s="19" t="n"/>
      <c r="P2940" s="20" t="n"/>
      <c r="Q2940" s="19" t="n"/>
      <c r="R2940" s="19" t="n"/>
      <c r="Y2940" s="19" t="n"/>
    </row>
    <row r="2941">
      <c r="C2941" s="18" t="n"/>
      <c r="J2941" s="19" t="n"/>
      <c r="P2941" s="20" t="n"/>
      <c r="Q2941" s="19" t="n"/>
      <c r="R2941" s="19" t="n"/>
      <c r="Y2941" s="19" t="n"/>
    </row>
    <row r="2942">
      <c r="C2942" s="18" t="n"/>
      <c r="J2942" s="19" t="n"/>
      <c r="P2942" s="20" t="n"/>
      <c r="Q2942" s="19" t="n"/>
      <c r="R2942" s="19" t="n"/>
      <c r="Y2942" s="19" t="n"/>
    </row>
    <row r="2943">
      <c r="C2943" s="18" t="n"/>
      <c r="J2943" s="19" t="n"/>
      <c r="P2943" s="20" t="n"/>
      <c r="Q2943" s="19" t="n"/>
      <c r="R2943" s="19" t="n"/>
      <c r="Y2943" s="19" t="n"/>
    </row>
    <row r="2944">
      <c r="C2944" s="18" t="n"/>
      <c r="J2944" s="19" t="n"/>
      <c r="P2944" s="20" t="n"/>
      <c r="Q2944" s="19" t="n"/>
      <c r="R2944" s="19" t="n"/>
      <c r="Y2944" s="19" t="n"/>
    </row>
    <row r="2945">
      <c r="C2945" s="18" t="n"/>
      <c r="J2945" s="19" t="n"/>
      <c r="P2945" s="20" t="n"/>
      <c r="Q2945" s="19" t="n"/>
      <c r="R2945" s="19" t="n"/>
      <c r="Y2945" s="19" t="n"/>
    </row>
    <row r="2946">
      <c r="C2946" s="18" t="n"/>
      <c r="J2946" s="19" t="n"/>
      <c r="P2946" s="20" t="n"/>
      <c r="Q2946" s="19" t="n"/>
      <c r="R2946" s="19" t="n"/>
      <c r="Y2946" s="19" t="n"/>
    </row>
    <row r="2947">
      <c r="C2947" s="18" t="n"/>
      <c r="J2947" s="19" t="n"/>
      <c r="P2947" s="20" t="n"/>
      <c r="Q2947" s="19" t="n"/>
      <c r="R2947" s="19" t="n"/>
      <c r="Y2947" s="19" t="n"/>
    </row>
    <row r="2948">
      <c r="C2948" s="18" t="n"/>
      <c r="J2948" s="19" t="n"/>
      <c r="P2948" s="20" t="n"/>
      <c r="Q2948" s="19" t="n"/>
      <c r="R2948" s="19" t="n"/>
      <c r="Y2948" s="19" t="n"/>
    </row>
    <row r="2949">
      <c r="C2949" s="18" t="n"/>
      <c r="J2949" s="19" t="n"/>
      <c r="P2949" s="20" t="n"/>
      <c r="Q2949" s="19" t="n"/>
      <c r="R2949" s="19" t="n"/>
      <c r="Y2949" s="19" t="n"/>
    </row>
    <row r="2950">
      <c r="C2950" s="18" t="n"/>
      <c r="J2950" s="19" t="n"/>
      <c r="P2950" s="20" t="n"/>
      <c r="Q2950" s="19" t="n"/>
      <c r="R2950" s="19" t="n"/>
      <c r="Y2950" s="19" t="n"/>
    </row>
    <row r="2951">
      <c r="C2951" s="18" t="n"/>
      <c r="J2951" s="19" t="n"/>
      <c r="P2951" s="20" t="n"/>
      <c r="Q2951" s="19" t="n"/>
      <c r="R2951" s="19" t="n"/>
      <c r="Y2951" s="19" t="n"/>
    </row>
    <row r="2952">
      <c r="C2952" s="18" t="n"/>
      <c r="J2952" s="19" t="n"/>
      <c r="P2952" s="20" t="n"/>
      <c r="Q2952" s="19" t="n"/>
      <c r="R2952" s="19" t="n"/>
      <c r="Y2952" s="19" t="n"/>
    </row>
    <row r="2953">
      <c r="C2953" s="18" t="n"/>
      <c r="J2953" s="19" t="n"/>
      <c r="P2953" s="20" t="n"/>
      <c r="Q2953" s="19" t="n"/>
      <c r="R2953" s="19" t="n"/>
      <c r="Y2953" s="19" t="n"/>
    </row>
    <row r="2954">
      <c r="C2954" s="18" t="n"/>
      <c r="J2954" s="19" t="n"/>
      <c r="P2954" s="20" t="n"/>
      <c r="Q2954" s="19" t="n"/>
      <c r="R2954" s="19" t="n"/>
      <c r="Y2954" s="19" t="n"/>
    </row>
    <row r="2955">
      <c r="C2955" s="18" t="n"/>
      <c r="J2955" s="19" t="n"/>
      <c r="P2955" s="20" t="n"/>
      <c r="Q2955" s="19" t="n"/>
      <c r="R2955" s="19" t="n"/>
      <c r="Y2955" s="19" t="n"/>
    </row>
    <row r="2956">
      <c r="C2956" s="18" t="n"/>
      <c r="J2956" s="19" t="n"/>
      <c r="P2956" s="20" t="n"/>
      <c r="Q2956" s="19" t="n"/>
      <c r="R2956" s="19" t="n"/>
      <c r="Y2956" s="19" t="n"/>
    </row>
    <row r="2957">
      <c r="C2957" s="18" t="n"/>
      <c r="J2957" s="19" t="n"/>
      <c r="P2957" s="20" t="n"/>
      <c r="Q2957" s="19" t="n"/>
      <c r="R2957" s="19" t="n"/>
      <c r="Y2957" s="19" t="n"/>
    </row>
    <row r="2958">
      <c r="C2958" s="18" t="n"/>
      <c r="J2958" s="19" t="n"/>
      <c r="P2958" s="20" t="n"/>
      <c r="Q2958" s="19" t="n"/>
      <c r="R2958" s="19" t="n"/>
      <c r="Y2958" s="19" t="n"/>
    </row>
    <row r="2959">
      <c r="C2959" s="18" t="n"/>
      <c r="J2959" s="19" t="n"/>
      <c r="P2959" s="20" t="n"/>
      <c r="Q2959" s="19" t="n"/>
      <c r="R2959" s="19" t="n"/>
      <c r="Y2959" s="19" t="n"/>
    </row>
    <row r="2960">
      <c r="C2960" s="18" t="n"/>
      <c r="J2960" s="19" t="n"/>
      <c r="P2960" s="20" t="n"/>
      <c r="Q2960" s="19" t="n"/>
      <c r="R2960" s="19" t="n"/>
      <c r="Y2960" s="19" t="n"/>
    </row>
    <row r="2961">
      <c r="C2961" s="18" t="n"/>
      <c r="J2961" s="19" t="n"/>
      <c r="P2961" s="20" t="n"/>
      <c r="Q2961" s="19" t="n"/>
      <c r="R2961" s="19" t="n"/>
      <c r="Y2961" s="19" t="n"/>
    </row>
    <row r="2962">
      <c r="C2962" s="18" t="n"/>
      <c r="J2962" s="19" t="n"/>
      <c r="P2962" s="20" t="n"/>
      <c r="Q2962" s="19" t="n"/>
      <c r="R2962" s="19" t="n"/>
      <c r="Y2962" s="19" t="n"/>
    </row>
    <row r="2963">
      <c r="C2963" s="18" t="n"/>
      <c r="J2963" s="19" t="n"/>
      <c r="P2963" s="20" t="n"/>
      <c r="Q2963" s="19" t="n"/>
      <c r="R2963" s="19" t="n"/>
      <c r="Y2963" s="19" t="n"/>
    </row>
    <row r="2964">
      <c r="C2964" s="18" t="n"/>
      <c r="J2964" s="19" t="n"/>
      <c r="P2964" s="20" t="n"/>
      <c r="Q2964" s="19" t="n"/>
      <c r="R2964" s="19" t="n"/>
      <c r="Y2964" s="19" t="n"/>
    </row>
    <row r="2965">
      <c r="C2965" s="18" t="n"/>
      <c r="J2965" s="19" t="n"/>
      <c r="P2965" s="20" t="n"/>
      <c r="Q2965" s="19" t="n"/>
      <c r="R2965" s="19" t="n"/>
      <c r="Y2965" s="19" t="n"/>
    </row>
    <row r="2966">
      <c r="C2966" s="18" t="n"/>
      <c r="J2966" s="19" t="n"/>
      <c r="P2966" s="20" t="n"/>
      <c r="Q2966" s="19" t="n"/>
      <c r="R2966" s="19" t="n"/>
      <c r="Y2966" s="19" t="n"/>
    </row>
    <row r="2967">
      <c r="C2967" s="18" t="n"/>
      <c r="J2967" s="19" t="n"/>
      <c r="P2967" s="20" t="n"/>
      <c r="Q2967" s="19" t="n"/>
      <c r="R2967" s="19" t="n"/>
      <c r="Y2967" s="19" t="n"/>
    </row>
    <row r="2968">
      <c r="C2968" s="18" t="n"/>
      <c r="J2968" s="19" t="n"/>
      <c r="P2968" s="20" t="n"/>
      <c r="Q2968" s="19" t="n"/>
      <c r="R2968" s="19" t="n"/>
      <c r="Y2968" s="19" t="n"/>
    </row>
    <row r="2969">
      <c r="C2969" s="18" t="n"/>
      <c r="J2969" s="19" t="n"/>
      <c r="P2969" s="20" t="n"/>
      <c r="Q2969" s="19" t="n"/>
      <c r="R2969" s="19" t="n"/>
      <c r="Y2969" s="19" t="n"/>
    </row>
    <row r="2970">
      <c r="C2970" s="18" t="n"/>
      <c r="J2970" s="19" t="n"/>
      <c r="P2970" s="20" t="n"/>
      <c r="Q2970" s="19" t="n"/>
      <c r="R2970" s="19" t="n"/>
      <c r="Y2970" s="19" t="n"/>
    </row>
    <row r="2971">
      <c r="C2971" s="18" t="n"/>
      <c r="J2971" s="19" t="n"/>
      <c r="P2971" s="20" t="n"/>
      <c r="Q2971" s="19" t="n"/>
      <c r="R2971" s="19" t="n"/>
      <c r="Y2971" s="19" t="n"/>
    </row>
    <row r="2972">
      <c r="C2972" s="18" t="n"/>
      <c r="J2972" s="19" t="n"/>
      <c r="P2972" s="20" t="n"/>
      <c r="Q2972" s="19" t="n"/>
      <c r="R2972" s="19" t="n"/>
      <c r="Y2972" s="19" t="n"/>
    </row>
    <row r="2973">
      <c r="C2973" s="18" t="n"/>
      <c r="J2973" s="19" t="n"/>
      <c r="P2973" s="20" t="n"/>
      <c r="Q2973" s="19" t="n"/>
      <c r="R2973" s="19" t="n"/>
      <c r="Y2973" s="19" t="n"/>
    </row>
    <row r="2974">
      <c r="C2974" s="18" t="n"/>
      <c r="J2974" s="19" t="n"/>
      <c r="P2974" s="20" t="n"/>
      <c r="Q2974" s="19" t="n"/>
      <c r="R2974" s="19" t="n"/>
      <c r="Y2974" s="19" t="n"/>
    </row>
    <row r="2975">
      <c r="C2975" s="18" t="n"/>
      <c r="J2975" s="19" t="n"/>
      <c r="P2975" s="20" t="n"/>
      <c r="Q2975" s="19" t="n"/>
      <c r="R2975" s="19" t="n"/>
      <c r="Y2975" s="19" t="n"/>
    </row>
    <row r="2976">
      <c r="C2976" s="18" t="n"/>
      <c r="J2976" s="19" t="n"/>
      <c r="P2976" s="20" t="n"/>
      <c r="Q2976" s="19" t="n"/>
      <c r="R2976" s="19" t="n"/>
      <c r="Y2976" s="19" t="n"/>
    </row>
    <row r="2977">
      <c r="C2977" s="18" t="n"/>
      <c r="J2977" s="19" t="n"/>
      <c r="P2977" s="20" t="n"/>
      <c r="Q2977" s="19" t="n"/>
      <c r="R2977" s="19" t="n"/>
      <c r="Y2977" s="19" t="n"/>
    </row>
    <row r="2978">
      <c r="C2978" s="18" t="n"/>
      <c r="J2978" s="19" t="n"/>
      <c r="P2978" s="20" t="n"/>
      <c r="Q2978" s="19" t="n"/>
      <c r="R2978" s="19" t="n"/>
      <c r="Y2978" s="19" t="n"/>
    </row>
    <row r="2979">
      <c r="C2979" s="18" t="n"/>
      <c r="J2979" s="19" t="n"/>
      <c r="P2979" s="20" t="n"/>
      <c r="Q2979" s="19" t="n"/>
      <c r="R2979" s="19" t="n"/>
      <c r="Y2979" s="19" t="n"/>
    </row>
    <row r="2980">
      <c r="C2980" s="18" t="n"/>
      <c r="J2980" s="19" t="n"/>
      <c r="P2980" s="20" t="n"/>
      <c r="Q2980" s="19" t="n"/>
      <c r="R2980" s="19" t="n"/>
      <c r="Y2980" s="19" t="n"/>
    </row>
    <row r="2981">
      <c r="C2981" s="18" t="n"/>
      <c r="J2981" s="19" t="n"/>
      <c r="P2981" s="20" t="n"/>
      <c r="Q2981" s="19" t="n"/>
      <c r="R2981" s="19" t="n"/>
      <c r="Y2981" s="19" t="n"/>
    </row>
    <row r="2982">
      <c r="C2982" s="18" t="n"/>
      <c r="J2982" s="19" t="n"/>
      <c r="P2982" s="20" t="n"/>
      <c r="Q2982" s="19" t="n"/>
      <c r="R2982" s="19" t="n"/>
      <c r="Y2982" s="19" t="n"/>
    </row>
    <row r="2983">
      <c r="C2983" s="18" t="n"/>
      <c r="J2983" s="19" t="n"/>
      <c r="P2983" s="20" t="n"/>
      <c r="Q2983" s="19" t="n"/>
      <c r="R2983" s="19" t="n"/>
      <c r="Y2983" s="19" t="n"/>
    </row>
    <row r="2984">
      <c r="C2984" s="18" t="n"/>
      <c r="J2984" s="19" t="n"/>
      <c r="P2984" s="20" t="n"/>
      <c r="Q2984" s="19" t="n"/>
      <c r="R2984" s="19" t="n"/>
      <c r="Y2984" s="19" t="n"/>
    </row>
    <row r="2985">
      <c r="C2985" s="18" t="n"/>
      <c r="J2985" s="19" t="n"/>
      <c r="P2985" s="20" t="n"/>
      <c r="Q2985" s="19" t="n"/>
      <c r="R2985" s="19" t="n"/>
      <c r="Y2985" s="19" t="n"/>
    </row>
    <row r="2986">
      <c r="C2986" s="18" t="n"/>
      <c r="J2986" s="19" t="n"/>
      <c r="P2986" s="20" t="n"/>
      <c r="Q2986" s="19" t="n"/>
      <c r="R2986" s="19" t="n"/>
      <c r="Y2986" s="19" t="n"/>
    </row>
    <row r="2987">
      <c r="C2987" s="18" t="n"/>
      <c r="J2987" s="19" t="n"/>
      <c r="P2987" s="20" t="n"/>
      <c r="Q2987" s="19" t="n"/>
      <c r="R2987" s="19" t="n"/>
      <c r="Y2987" s="19" t="n"/>
    </row>
    <row r="2988">
      <c r="C2988" s="18" t="n"/>
      <c r="J2988" s="19" t="n"/>
      <c r="P2988" s="20" t="n"/>
      <c r="Q2988" s="19" t="n"/>
      <c r="R2988" s="19" t="n"/>
      <c r="Y2988" s="19" t="n"/>
    </row>
    <row r="2989">
      <c r="C2989" s="18" t="n"/>
      <c r="J2989" s="19" t="n"/>
      <c r="P2989" s="20" t="n"/>
      <c r="Q2989" s="19" t="n"/>
      <c r="R2989" s="19" t="n"/>
      <c r="Y2989" s="19" t="n"/>
    </row>
    <row r="2990">
      <c r="C2990" s="18" t="n"/>
      <c r="J2990" s="19" t="n"/>
      <c r="P2990" s="20" t="n"/>
      <c r="Q2990" s="19" t="n"/>
      <c r="R2990" s="19" t="n"/>
      <c r="Y2990" s="19" t="n"/>
    </row>
    <row r="2991">
      <c r="C2991" s="18" t="n"/>
      <c r="J2991" s="19" t="n"/>
      <c r="P2991" s="20" t="n"/>
      <c r="Q2991" s="19" t="n"/>
      <c r="R2991" s="19" t="n"/>
      <c r="Y2991" s="19" t="n"/>
    </row>
    <row r="2992">
      <c r="C2992" s="18" t="n"/>
      <c r="J2992" s="19" t="n"/>
      <c r="P2992" s="20" t="n"/>
      <c r="Q2992" s="19" t="n"/>
      <c r="R2992" s="19" t="n"/>
      <c r="Y2992" s="19" t="n"/>
    </row>
    <row r="2993">
      <c r="C2993" s="18" t="n"/>
      <c r="J2993" s="19" t="n"/>
      <c r="P2993" s="20" t="n"/>
      <c r="Q2993" s="19" t="n"/>
      <c r="R2993" s="19" t="n"/>
      <c r="Y2993" s="19" t="n"/>
    </row>
    <row r="2994">
      <c r="C2994" s="18" t="n"/>
      <c r="J2994" s="19" t="n"/>
      <c r="P2994" s="20" t="n"/>
      <c r="Q2994" s="19" t="n"/>
      <c r="R2994" s="19" t="n"/>
      <c r="Y2994" s="19" t="n"/>
    </row>
    <row r="2995">
      <c r="C2995" s="18" t="n"/>
      <c r="J2995" s="19" t="n"/>
      <c r="P2995" s="20" t="n"/>
      <c r="Q2995" s="19" t="n"/>
      <c r="R2995" s="19" t="n"/>
      <c r="Y2995" s="19" t="n"/>
    </row>
    <row r="2996">
      <c r="C2996" s="18" t="n"/>
      <c r="J2996" s="19" t="n"/>
      <c r="P2996" s="20" t="n"/>
      <c r="Q2996" s="19" t="n"/>
      <c r="R2996" s="19" t="n"/>
      <c r="Y2996" s="19" t="n"/>
    </row>
    <row r="2997">
      <c r="C2997" s="18" t="n"/>
      <c r="J2997" s="19" t="n"/>
      <c r="P2997" s="20" t="n"/>
      <c r="Q2997" s="19" t="n"/>
      <c r="R2997" s="19" t="n"/>
      <c r="Y2997" s="19" t="n"/>
    </row>
    <row r="2998">
      <c r="C2998" s="18" t="n"/>
      <c r="J2998" s="19" t="n"/>
      <c r="P2998" s="20" t="n"/>
      <c r="Q2998" s="19" t="n"/>
      <c r="R2998" s="19" t="n"/>
      <c r="Y2998" s="19" t="n"/>
    </row>
    <row r="2999">
      <c r="C2999" s="18" t="n"/>
      <c r="J2999" s="19" t="n"/>
      <c r="P2999" s="20" t="n"/>
      <c r="Q2999" s="19" t="n"/>
      <c r="R2999" s="19" t="n"/>
      <c r="Y2999" s="19" t="n"/>
    </row>
    <row r="3000">
      <c r="C3000" s="18" t="n"/>
      <c r="J3000" s="19" t="n"/>
      <c r="P3000" s="20" t="n"/>
      <c r="Q3000" s="19" t="n"/>
      <c r="R3000" s="19" t="n"/>
      <c r="Y3000" s="19" t="n"/>
    </row>
    <row r="3001">
      <c r="C3001" s="18" t="n"/>
      <c r="J3001" s="19" t="n"/>
      <c r="P3001" s="20" t="n"/>
      <c r="Q3001" s="19" t="n"/>
      <c r="R3001" s="19" t="n"/>
      <c r="Y3001" s="19" t="n"/>
    </row>
    <row r="3002">
      <c r="C3002" s="18" t="n"/>
      <c r="J3002" s="19" t="n"/>
      <c r="P3002" s="20" t="n"/>
      <c r="Q3002" s="19" t="n"/>
      <c r="R3002" s="19" t="n"/>
      <c r="Y3002" s="19" t="n"/>
    </row>
    <row r="3003">
      <c r="C3003" s="18" t="n"/>
      <c r="J3003" s="19" t="n"/>
      <c r="P3003" s="20" t="n"/>
      <c r="Q3003" s="19" t="n"/>
      <c r="R3003" s="19" t="n"/>
      <c r="Y3003" s="19" t="n"/>
    </row>
    <row r="3004">
      <c r="C3004" s="18" t="n"/>
      <c r="J3004" s="19" t="n"/>
      <c r="P3004" s="20" t="n"/>
      <c r="Q3004" s="19" t="n"/>
      <c r="R3004" s="19" t="n"/>
      <c r="Y3004" s="19" t="n"/>
    </row>
    <row r="3005">
      <c r="C3005" s="18" t="n"/>
      <c r="J3005" s="19" t="n"/>
      <c r="P3005" s="20" t="n"/>
      <c r="Q3005" s="19" t="n"/>
      <c r="R3005" s="19" t="n"/>
      <c r="Y3005" s="19" t="n"/>
    </row>
    <row r="3006">
      <c r="C3006" s="18" t="n"/>
      <c r="J3006" s="19" t="n"/>
      <c r="P3006" s="20" t="n"/>
      <c r="Q3006" s="19" t="n"/>
      <c r="R3006" s="19" t="n"/>
      <c r="Y3006" s="19" t="n"/>
    </row>
    <row r="3007">
      <c r="C3007" s="18" t="n"/>
      <c r="J3007" s="19" t="n"/>
      <c r="P3007" s="20" t="n"/>
      <c r="Q3007" s="19" t="n"/>
      <c r="R3007" s="19" t="n"/>
      <c r="Y3007" s="19" t="n"/>
    </row>
    <row r="3008">
      <c r="C3008" s="18" t="n"/>
      <c r="J3008" s="19" t="n"/>
      <c r="P3008" s="20" t="n"/>
      <c r="Q3008" s="19" t="n"/>
      <c r="R3008" s="19" t="n"/>
      <c r="Y3008" s="19" t="n"/>
    </row>
    <row r="3009">
      <c r="C3009" s="18" t="n"/>
      <c r="J3009" s="19" t="n"/>
      <c r="P3009" s="20" t="n"/>
      <c r="Q3009" s="19" t="n"/>
      <c r="R3009" s="19" t="n"/>
      <c r="Y3009" s="19" t="n"/>
    </row>
    <row r="3010">
      <c r="C3010" s="18" t="n"/>
      <c r="J3010" s="19" t="n"/>
      <c r="P3010" s="20" t="n"/>
      <c r="Q3010" s="19" t="n"/>
      <c r="R3010" s="19" t="n"/>
      <c r="Y3010" s="19" t="n"/>
    </row>
    <row r="3011">
      <c r="C3011" s="18" t="n"/>
      <c r="J3011" s="19" t="n"/>
      <c r="P3011" s="20" t="n"/>
      <c r="Q3011" s="19" t="n"/>
      <c r="R3011" s="19" t="n"/>
      <c r="Y3011" s="19" t="n"/>
    </row>
    <row r="3012">
      <c r="C3012" s="18" t="n"/>
      <c r="J3012" s="19" t="n"/>
      <c r="P3012" s="20" t="n"/>
      <c r="Q3012" s="19" t="n"/>
      <c r="R3012" s="19" t="n"/>
      <c r="Y3012" s="19" t="n"/>
    </row>
    <row r="3013">
      <c r="C3013" s="18" t="n"/>
      <c r="J3013" s="19" t="n"/>
      <c r="P3013" s="20" t="n"/>
      <c r="Q3013" s="19" t="n"/>
      <c r="R3013" s="19" t="n"/>
      <c r="Y3013" s="19" t="n"/>
    </row>
    <row r="3014">
      <c r="C3014" s="18" t="n"/>
      <c r="J3014" s="19" t="n"/>
      <c r="P3014" s="20" t="n"/>
      <c r="Q3014" s="19" t="n"/>
      <c r="R3014" s="19" t="n"/>
      <c r="Y3014" s="19" t="n"/>
    </row>
    <row r="3015">
      <c r="C3015" s="18" t="n"/>
      <c r="J3015" s="19" t="n"/>
      <c r="P3015" s="20" t="n"/>
      <c r="Q3015" s="19" t="n"/>
      <c r="R3015" s="19" t="n"/>
      <c r="Y3015" s="19" t="n"/>
    </row>
    <row r="3016">
      <c r="C3016" s="18" t="n"/>
      <c r="J3016" s="19" t="n"/>
      <c r="P3016" s="20" t="n"/>
      <c r="Q3016" s="19" t="n"/>
      <c r="R3016" s="19" t="n"/>
      <c r="Y3016" s="19" t="n"/>
    </row>
    <row r="3017">
      <c r="C3017" s="18" t="n"/>
      <c r="J3017" s="19" t="n"/>
      <c r="P3017" s="20" t="n"/>
      <c r="Q3017" s="19" t="n"/>
      <c r="R3017" s="19" t="n"/>
      <c r="Y3017" s="19" t="n"/>
    </row>
    <row r="3018">
      <c r="C3018" s="18" t="n"/>
      <c r="J3018" s="19" t="n"/>
      <c r="P3018" s="20" t="n"/>
      <c r="Q3018" s="19" t="n"/>
      <c r="R3018" s="19" t="n"/>
      <c r="Y3018" s="19" t="n"/>
    </row>
    <row r="3019">
      <c r="C3019" s="18" t="n"/>
      <c r="J3019" s="19" t="n"/>
      <c r="P3019" s="20" t="n"/>
      <c r="Q3019" s="19" t="n"/>
      <c r="R3019" s="19" t="n"/>
      <c r="Y3019" s="19" t="n"/>
    </row>
    <row r="3020">
      <c r="C3020" s="18" t="n"/>
      <c r="J3020" s="19" t="n"/>
      <c r="P3020" s="20" t="n"/>
      <c r="Q3020" s="19" t="n"/>
      <c r="R3020" s="19" t="n"/>
      <c r="Y3020" s="19" t="n"/>
    </row>
    <row r="3021">
      <c r="C3021" s="18" t="n"/>
      <c r="J3021" s="19" t="n"/>
      <c r="P3021" s="20" t="n"/>
      <c r="Q3021" s="19" t="n"/>
      <c r="R3021" s="19" t="n"/>
      <c r="Y3021" s="19" t="n"/>
    </row>
    <row r="3022">
      <c r="C3022" s="18" t="n"/>
      <c r="J3022" s="19" t="n"/>
      <c r="P3022" s="20" t="n"/>
      <c r="Q3022" s="19" t="n"/>
      <c r="R3022" s="19" t="n"/>
      <c r="Y3022" s="19" t="n"/>
    </row>
    <row r="3023">
      <c r="C3023" s="18" t="n"/>
      <c r="J3023" s="19" t="n"/>
      <c r="P3023" s="20" t="n"/>
      <c r="Q3023" s="19" t="n"/>
      <c r="R3023" s="19" t="n"/>
      <c r="Y3023" s="19" t="n"/>
    </row>
    <row r="3024">
      <c r="C3024" s="18" t="n"/>
      <c r="J3024" s="19" t="n"/>
      <c r="P3024" s="20" t="n"/>
      <c r="Q3024" s="19" t="n"/>
      <c r="R3024" s="19" t="n"/>
      <c r="Y3024" s="19" t="n"/>
    </row>
    <row r="3025">
      <c r="C3025" s="18" t="n"/>
      <c r="J3025" s="19" t="n"/>
      <c r="P3025" s="20" t="n"/>
      <c r="Q3025" s="19" t="n"/>
      <c r="R3025" s="19" t="n"/>
      <c r="Y3025" s="19" t="n"/>
    </row>
    <row r="3026">
      <c r="C3026" s="18" t="n"/>
      <c r="J3026" s="19" t="n"/>
      <c r="P3026" s="20" t="n"/>
      <c r="Q3026" s="19" t="n"/>
      <c r="R3026" s="19" t="n"/>
      <c r="Y3026" s="19" t="n"/>
    </row>
    <row r="3027">
      <c r="C3027" s="18" t="n"/>
      <c r="J3027" s="19" t="n"/>
      <c r="P3027" s="20" t="n"/>
      <c r="Q3027" s="19" t="n"/>
      <c r="R3027" s="19" t="n"/>
      <c r="Y3027" s="19" t="n"/>
    </row>
    <row r="3028">
      <c r="C3028" s="18" t="n"/>
      <c r="J3028" s="19" t="n"/>
      <c r="P3028" s="20" t="n"/>
      <c r="Q3028" s="19" t="n"/>
      <c r="R3028" s="19" t="n"/>
      <c r="Y3028" s="19" t="n"/>
    </row>
    <row r="3029">
      <c r="C3029" s="18" t="n"/>
      <c r="J3029" s="19" t="n"/>
      <c r="P3029" s="20" t="n"/>
      <c r="Q3029" s="19" t="n"/>
      <c r="R3029" s="19" t="n"/>
      <c r="Y3029" s="19" t="n"/>
    </row>
    <row r="3030">
      <c r="C3030" s="18" t="n"/>
      <c r="J3030" s="19" t="n"/>
      <c r="P3030" s="20" t="n"/>
      <c r="Q3030" s="19" t="n"/>
      <c r="R3030" s="19" t="n"/>
      <c r="Y3030" s="19" t="n"/>
    </row>
    <row r="3031">
      <c r="C3031" s="18" t="n"/>
      <c r="J3031" s="19" t="n"/>
      <c r="P3031" s="20" t="n"/>
      <c r="Q3031" s="19" t="n"/>
      <c r="R3031" s="19" t="n"/>
      <c r="Y3031" s="19" t="n"/>
    </row>
    <row r="3032">
      <c r="C3032" s="18" t="n"/>
      <c r="J3032" s="19" t="n"/>
      <c r="P3032" s="20" t="n"/>
      <c r="Q3032" s="19" t="n"/>
      <c r="R3032" s="19" t="n"/>
      <c r="Y3032" s="19" t="n"/>
    </row>
    <row r="3033">
      <c r="C3033" s="18" t="n"/>
      <c r="J3033" s="19" t="n"/>
      <c r="P3033" s="20" t="n"/>
      <c r="Q3033" s="19" t="n"/>
      <c r="R3033" s="19" t="n"/>
      <c r="Y3033" s="19" t="n"/>
    </row>
    <row r="3034">
      <c r="C3034" s="18" t="n"/>
      <c r="J3034" s="19" t="n"/>
      <c r="P3034" s="20" t="n"/>
      <c r="Q3034" s="19" t="n"/>
      <c r="R3034" s="19" t="n"/>
      <c r="Y3034" s="19" t="n"/>
    </row>
    <row r="3035">
      <c r="C3035" s="18" t="n"/>
      <c r="J3035" s="19" t="n"/>
      <c r="P3035" s="20" t="n"/>
      <c r="Q3035" s="19" t="n"/>
      <c r="R3035" s="19" t="n"/>
      <c r="Y3035" s="19" t="n"/>
    </row>
    <row r="3036">
      <c r="C3036" s="18" t="n"/>
      <c r="J3036" s="19" t="n"/>
      <c r="P3036" s="20" t="n"/>
      <c r="Q3036" s="19" t="n"/>
      <c r="R3036" s="19" t="n"/>
      <c r="Y3036" s="19" t="n"/>
    </row>
    <row r="3037">
      <c r="C3037" s="18" t="n"/>
      <c r="J3037" s="19" t="n"/>
      <c r="P3037" s="20" t="n"/>
      <c r="Q3037" s="19" t="n"/>
      <c r="R3037" s="19" t="n"/>
      <c r="Y3037" s="19" t="n"/>
    </row>
    <row r="3038">
      <c r="C3038" s="18" t="n"/>
      <c r="J3038" s="19" t="n"/>
      <c r="P3038" s="20" t="n"/>
      <c r="Q3038" s="19" t="n"/>
      <c r="R3038" s="19" t="n"/>
      <c r="Y3038" s="19" t="n"/>
    </row>
    <row r="3039">
      <c r="C3039" s="18" t="n"/>
      <c r="J3039" s="19" t="n"/>
      <c r="P3039" s="20" t="n"/>
      <c r="Q3039" s="19" t="n"/>
      <c r="R3039" s="19" t="n"/>
      <c r="Y3039" s="19" t="n"/>
    </row>
    <row r="3040">
      <c r="C3040" s="18" t="n"/>
      <c r="J3040" s="19" t="n"/>
      <c r="P3040" s="20" t="n"/>
      <c r="Q3040" s="19" t="n"/>
      <c r="R3040" s="19" t="n"/>
      <c r="Y3040" s="19" t="n"/>
    </row>
    <row r="3041">
      <c r="C3041" s="18" t="n"/>
      <c r="J3041" s="19" t="n"/>
      <c r="P3041" s="20" t="n"/>
      <c r="Q3041" s="19" t="n"/>
      <c r="R3041" s="19" t="n"/>
      <c r="Y3041" s="19" t="n"/>
    </row>
    <row r="3042">
      <c r="C3042" s="18" t="n"/>
      <c r="J3042" s="19" t="n"/>
      <c r="P3042" s="20" t="n"/>
      <c r="Q3042" s="19" t="n"/>
      <c r="R3042" s="19" t="n"/>
      <c r="Y3042" s="19" t="n"/>
    </row>
    <row r="3043">
      <c r="C3043" s="18" t="n"/>
      <c r="J3043" s="19" t="n"/>
      <c r="P3043" s="20" t="n"/>
      <c r="Q3043" s="19" t="n"/>
      <c r="R3043" s="19" t="n"/>
      <c r="Y3043" s="19" t="n"/>
    </row>
    <row r="3044">
      <c r="C3044" s="18" t="n"/>
      <c r="J3044" s="19" t="n"/>
      <c r="P3044" s="20" t="n"/>
      <c r="Q3044" s="19" t="n"/>
      <c r="R3044" s="19" t="n"/>
      <c r="Y3044" s="19" t="n"/>
    </row>
    <row r="3045">
      <c r="C3045" s="18" t="n"/>
      <c r="J3045" s="19" t="n"/>
      <c r="P3045" s="20" t="n"/>
      <c r="Q3045" s="19" t="n"/>
      <c r="R3045" s="19" t="n"/>
      <c r="Y3045" s="19" t="n"/>
    </row>
    <row r="3046">
      <c r="C3046" s="18" t="n"/>
      <c r="J3046" s="19" t="n"/>
      <c r="P3046" s="20" t="n"/>
      <c r="Q3046" s="19" t="n"/>
      <c r="R3046" s="19" t="n"/>
      <c r="Y3046" s="19" t="n"/>
    </row>
    <row r="3047">
      <c r="C3047" s="18" t="n"/>
      <c r="J3047" s="19" t="n"/>
      <c r="P3047" s="20" t="n"/>
      <c r="Q3047" s="19" t="n"/>
      <c r="R3047" s="19" t="n"/>
      <c r="Y3047" s="19" t="n"/>
    </row>
    <row r="3048">
      <c r="C3048" s="18" t="n"/>
      <c r="J3048" s="19" t="n"/>
      <c r="P3048" s="20" t="n"/>
      <c r="Q3048" s="19" t="n"/>
      <c r="R3048" s="19" t="n"/>
      <c r="Y3048" s="19" t="n"/>
    </row>
    <row r="3049">
      <c r="C3049" s="18" t="n"/>
      <c r="J3049" s="19" t="n"/>
      <c r="P3049" s="20" t="n"/>
      <c r="Q3049" s="19" t="n"/>
      <c r="R3049" s="19" t="n"/>
      <c r="Y3049" s="19" t="n"/>
    </row>
    <row r="3050">
      <c r="C3050" s="18" t="n"/>
      <c r="J3050" s="19" t="n"/>
      <c r="P3050" s="20" t="n"/>
      <c r="Q3050" s="19" t="n"/>
      <c r="R3050" s="19" t="n"/>
      <c r="Y3050" s="19" t="n"/>
    </row>
    <row r="3051">
      <c r="C3051" s="18" t="n"/>
      <c r="J3051" s="19" t="n"/>
      <c r="P3051" s="20" t="n"/>
      <c r="Q3051" s="19" t="n"/>
      <c r="R3051" s="19" t="n"/>
      <c r="Y3051" s="19" t="n"/>
    </row>
    <row r="3052">
      <c r="C3052" s="18" t="n"/>
      <c r="J3052" s="19" t="n"/>
      <c r="P3052" s="20" t="n"/>
      <c r="Q3052" s="19" t="n"/>
      <c r="R3052" s="19" t="n"/>
      <c r="Y3052" s="19" t="n"/>
    </row>
    <row r="3053">
      <c r="C3053" s="18" t="n"/>
      <c r="J3053" s="19" t="n"/>
      <c r="P3053" s="20" t="n"/>
      <c r="Q3053" s="19" t="n"/>
      <c r="R3053" s="19" t="n"/>
      <c r="Y3053" s="19" t="n"/>
    </row>
    <row r="3054">
      <c r="C3054" s="18" t="n"/>
      <c r="J3054" s="19" t="n"/>
      <c r="P3054" s="20" t="n"/>
      <c r="Q3054" s="19" t="n"/>
      <c r="R3054" s="19" t="n"/>
      <c r="Y3054" s="19" t="n"/>
    </row>
    <row r="3055">
      <c r="C3055" s="18" t="n"/>
      <c r="J3055" s="19" t="n"/>
      <c r="P3055" s="20" t="n"/>
      <c r="Q3055" s="19" t="n"/>
      <c r="R3055" s="19" t="n"/>
      <c r="Y3055" s="19" t="n"/>
    </row>
    <row r="3056">
      <c r="C3056" s="18" t="n"/>
      <c r="J3056" s="19" t="n"/>
      <c r="P3056" s="20" t="n"/>
      <c r="Q3056" s="19" t="n"/>
      <c r="R3056" s="19" t="n"/>
      <c r="Y3056" s="19" t="n"/>
    </row>
    <row r="3057">
      <c r="C3057" s="18" t="n"/>
      <c r="J3057" s="19" t="n"/>
      <c r="P3057" s="20" t="n"/>
      <c r="Q3057" s="19" t="n"/>
      <c r="R3057" s="19" t="n"/>
      <c r="Y3057" s="19" t="n"/>
    </row>
    <row r="3058">
      <c r="C3058" s="18" t="n"/>
      <c r="J3058" s="19" t="n"/>
      <c r="P3058" s="20" t="n"/>
      <c r="Q3058" s="19" t="n"/>
      <c r="R3058" s="19" t="n"/>
      <c r="Y3058" s="19" t="n"/>
    </row>
    <row r="3059">
      <c r="C3059" s="18" t="n"/>
      <c r="J3059" s="19" t="n"/>
      <c r="P3059" s="20" t="n"/>
      <c r="Q3059" s="19" t="n"/>
      <c r="R3059" s="19" t="n"/>
      <c r="Y3059" s="19" t="n"/>
    </row>
    <row r="3060">
      <c r="C3060" s="18" t="n"/>
      <c r="J3060" s="19" t="n"/>
      <c r="P3060" s="20" t="n"/>
      <c r="Q3060" s="19" t="n"/>
      <c r="R3060" s="19" t="n"/>
      <c r="Y3060" s="19" t="n"/>
    </row>
    <row r="3061">
      <c r="C3061" s="18" t="n"/>
      <c r="J3061" s="19" t="n"/>
      <c r="P3061" s="20" t="n"/>
      <c r="Q3061" s="19" t="n"/>
      <c r="R3061" s="19" t="n"/>
      <c r="Y3061" s="19" t="n"/>
    </row>
    <row r="3062">
      <c r="C3062" s="18" t="n"/>
      <c r="J3062" s="19" t="n"/>
      <c r="P3062" s="20" t="n"/>
      <c r="Q3062" s="19" t="n"/>
      <c r="R3062" s="19" t="n"/>
      <c r="Y3062" s="19" t="n"/>
    </row>
    <row r="3063">
      <c r="C3063" s="18" t="n"/>
      <c r="J3063" s="19" t="n"/>
      <c r="P3063" s="20" t="n"/>
      <c r="Q3063" s="19" t="n"/>
      <c r="R3063" s="19" t="n"/>
      <c r="Y3063" s="19" t="n"/>
    </row>
    <row r="3064">
      <c r="C3064" s="18" t="n"/>
      <c r="J3064" s="19" t="n"/>
      <c r="P3064" s="20" t="n"/>
      <c r="Q3064" s="19" t="n"/>
      <c r="R3064" s="19" t="n"/>
      <c r="Y3064" s="19" t="n"/>
    </row>
    <row r="3065">
      <c r="C3065" s="18" t="n"/>
      <c r="J3065" s="19" t="n"/>
      <c r="P3065" s="20" t="n"/>
      <c r="Q3065" s="19" t="n"/>
      <c r="R3065" s="19" t="n"/>
      <c r="Y3065" s="19" t="n"/>
    </row>
    <row r="3066">
      <c r="C3066" s="18" t="n"/>
      <c r="J3066" s="19" t="n"/>
      <c r="P3066" s="20" t="n"/>
      <c r="Q3066" s="19" t="n"/>
      <c r="R3066" s="19" t="n"/>
      <c r="Y3066" s="19" t="n"/>
    </row>
    <row r="3067">
      <c r="C3067" s="18" t="n"/>
      <c r="J3067" s="19" t="n"/>
      <c r="P3067" s="20" t="n"/>
      <c r="Q3067" s="19" t="n"/>
      <c r="R3067" s="19" t="n"/>
      <c r="Y3067" s="19" t="n"/>
    </row>
    <row r="3068">
      <c r="C3068" s="18" t="n"/>
      <c r="J3068" s="19" t="n"/>
      <c r="P3068" s="20" t="n"/>
      <c r="Q3068" s="19" t="n"/>
      <c r="R3068" s="19" t="n"/>
      <c r="Y3068" s="19" t="n"/>
    </row>
    <row r="3069">
      <c r="C3069" s="18" t="n"/>
      <c r="J3069" s="19" t="n"/>
      <c r="P3069" s="20" t="n"/>
      <c r="Q3069" s="19" t="n"/>
      <c r="R3069" s="19" t="n"/>
      <c r="Y3069" s="19" t="n"/>
    </row>
    <row r="3070">
      <c r="C3070" s="18" t="n"/>
      <c r="J3070" s="19" t="n"/>
      <c r="P3070" s="20" t="n"/>
      <c r="Q3070" s="19" t="n"/>
      <c r="R3070" s="19" t="n"/>
      <c r="Y3070" s="19" t="n"/>
    </row>
    <row r="3071">
      <c r="C3071" s="18" t="n"/>
      <c r="J3071" s="19" t="n"/>
      <c r="P3071" s="20" t="n"/>
      <c r="Q3071" s="19" t="n"/>
      <c r="R3071" s="19" t="n"/>
      <c r="Y3071" s="19" t="n"/>
    </row>
    <row r="3072">
      <c r="C3072" s="18" t="n"/>
      <c r="J3072" s="19" t="n"/>
      <c r="P3072" s="20" t="n"/>
      <c r="Q3072" s="19" t="n"/>
      <c r="R3072" s="19" t="n"/>
      <c r="Y3072" s="19" t="n"/>
    </row>
    <row r="3073">
      <c r="C3073" s="18" t="n"/>
      <c r="J3073" s="19" t="n"/>
      <c r="P3073" s="20" t="n"/>
      <c r="Q3073" s="19" t="n"/>
      <c r="R3073" s="19" t="n"/>
      <c r="Y3073" s="19" t="n"/>
    </row>
    <row r="3074">
      <c r="C3074" s="18" t="n"/>
      <c r="J3074" s="19" t="n"/>
      <c r="P3074" s="20" t="n"/>
      <c r="Q3074" s="19" t="n"/>
      <c r="R3074" s="19" t="n"/>
      <c r="Y3074" s="19" t="n"/>
    </row>
    <row r="3075">
      <c r="C3075" s="18" t="n"/>
      <c r="J3075" s="19" t="n"/>
      <c r="P3075" s="20" t="n"/>
      <c r="Q3075" s="19" t="n"/>
      <c r="R3075" s="19" t="n"/>
      <c r="Y3075" s="19" t="n"/>
    </row>
    <row r="3076">
      <c r="C3076" s="18" t="n"/>
      <c r="J3076" s="19" t="n"/>
      <c r="P3076" s="20" t="n"/>
      <c r="Q3076" s="19" t="n"/>
      <c r="R3076" s="19" t="n"/>
      <c r="Y3076" s="19" t="n"/>
    </row>
    <row r="3077">
      <c r="C3077" s="18" t="n"/>
      <c r="J3077" s="19" t="n"/>
      <c r="P3077" s="20" t="n"/>
      <c r="Q3077" s="19" t="n"/>
      <c r="R3077" s="19" t="n"/>
      <c r="Y3077" s="19" t="n"/>
    </row>
    <row r="3078">
      <c r="C3078" s="18" t="n"/>
      <c r="J3078" s="19" t="n"/>
      <c r="P3078" s="20" t="n"/>
      <c r="Q3078" s="19" t="n"/>
      <c r="R3078" s="19" t="n"/>
      <c r="Y3078" s="19" t="n"/>
    </row>
    <row r="3079">
      <c r="C3079" s="18" t="n"/>
      <c r="J3079" s="19" t="n"/>
      <c r="P3079" s="20" t="n"/>
      <c r="Q3079" s="19" t="n"/>
      <c r="R3079" s="19" t="n"/>
      <c r="Y3079" s="19" t="n"/>
    </row>
    <row r="3080">
      <c r="C3080" s="18" t="n"/>
      <c r="J3080" s="19" t="n"/>
      <c r="P3080" s="20" t="n"/>
      <c r="Q3080" s="19" t="n"/>
      <c r="R3080" s="19" t="n"/>
      <c r="Y3080" s="19" t="n"/>
    </row>
    <row r="3081">
      <c r="C3081" s="18" t="n"/>
      <c r="J3081" s="19" t="n"/>
      <c r="P3081" s="20" t="n"/>
      <c r="Q3081" s="19" t="n"/>
      <c r="R3081" s="19" t="n"/>
      <c r="Y3081" s="19" t="n"/>
    </row>
    <row r="3082">
      <c r="C3082" s="18" t="n"/>
      <c r="J3082" s="19" t="n"/>
      <c r="P3082" s="20" t="n"/>
      <c r="Q3082" s="19" t="n"/>
      <c r="R3082" s="19" t="n"/>
      <c r="Y3082" s="19" t="n"/>
    </row>
    <row r="3083">
      <c r="C3083" s="18" t="n"/>
      <c r="J3083" s="19" t="n"/>
      <c r="P3083" s="20" t="n"/>
      <c r="Q3083" s="19" t="n"/>
      <c r="R3083" s="19" t="n"/>
      <c r="Y3083" s="19" t="n"/>
    </row>
    <row r="3084">
      <c r="C3084" s="18" t="n"/>
      <c r="J3084" s="19" t="n"/>
      <c r="P3084" s="20" t="n"/>
      <c r="Q3084" s="19" t="n"/>
      <c r="R3084" s="19" t="n"/>
      <c r="Y3084" s="19" t="n"/>
    </row>
    <row r="3085">
      <c r="C3085" s="18" t="n"/>
      <c r="J3085" s="19" t="n"/>
      <c r="P3085" s="20" t="n"/>
      <c r="Q3085" s="19" t="n"/>
      <c r="R3085" s="19" t="n"/>
      <c r="Y3085" s="19" t="n"/>
    </row>
    <row r="3086">
      <c r="C3086" s="18" t="n"/>
      <c r="J3086" s="19" t="n"/>
      <c r="P3086" s="20" t="n"/>
      <c r="Q3086" s="19" t="n"/>
      <c r="R3086" s="19" t="n"/>
      <c r="Y3086" s="19" t="n"/>
    </row>
    <row r="3087">
      <c r="C3087" s="18" t="n"/>
      <c r="J3087" s="19" t="n"/>
      <c r="P3087" s="20" t="n"/>
      <c r="Q3087" s="19" t="n"/>
      <c r="R3087" s="19" t="n"/>
      <c r="Y3087" s="19" t="n"/>
    </row>
    <row r="3088">
      <c r="C3088" s="18" t="n"/>
      <c r="J3088" s="19" t="n"/>
      <c r="P3088" s="20" t="n"/>
      <c r="Q3088" s="19" t="n"/>
      <c r="R3088" s="19" t="n"/>
      <c r="Y3088" s="19" t="n"/>
    </row>
    <row r="3089">
      <c r="C3089" s="18" t="n"/>
      <c r="J3089" s="19" t="n"/>
      <c r="P3089" s="20" t="n"/>
      <c r="Q3089" s="19" t="n"/>
      <c r="R3089" s="19" t="n"/>
      <c r="Y3089" s="19" t="n"/>
    </row>
    <row r="3090">
      <c r="C3090" s="18" t="n"/>
      <c r="J3090" s="19" t="n"/>
      <c r="P3090" s="20" t="n"/>
      <c r="Q3090" s="19" t="n"/>
      <c r="R3090" s="19" t="n"/>
      <c r="Y3090" s="19" t="n"/>
    </row>
    <row r="3091">
      <c r="C3091" s="18" t="n"/>
      <c r="J3091" s="19" t="n"/>
      <c r="P3091" s="20" t="n"/>
      <c r="Q3091" s="19" t="n"/>
      <c r="R3091" s="19" t="n"/>
      <c r="Y3091" s="19" t="n"/>
    </row>
    <row r="3092">
      <c r="C3092" s="18" t="n"/>
      <c r="J3092" s="19" t="n"/>
      <c r="P3092" s="20" t="n"/>
      <c r="Q3092" s="19" t="n"/>
      <c r="R3092" s="19" t="n"/>
      <c r="Y3092" s="19" t="n"/>
    </row>
    <row r="3093">
      <c r="C3093" s="18" t="n"/>
      <c r="J3093" s="19" t="n"/>
      <c r="P3093" s="20" t="n"/>
      <c r="Q3093" s="19" t="n"/>
      <c r="R3093" s="19" t="n"/>
      <c r="Y3093" s="19" t="n"/>
    </row>
    <row r="3094">
      <c r="C3094" s="18" t="n"/>
      <c r="J3094" s="19" t="n"/>
      <c r="P3094" s="20" t="n"/>
      <c r="Q3094" s="19" t="n"/>
      <c r="R3094" s="19" t="n"/>
      <c r="Y3094" s="19" t="n"/>
    </row>
    <row r="3095">
      <c r="C3095" s="18" t="n"/>
      <c r="J3095" s="19" t="n"/>
      <c r="P3095" s="20" t="n"/>
      <c r="Q3095" s="19" t="n"/>
      <c r="R3095" s="19" t="n"/>
      <c r="Y3095" s="19" t="n"/>
    </row>
    <row r="3096">
      <c r="C3096" s="18" t="n"/>
      <c r="J3096" s="19" t="n"/>
      <c r="P3096" s="20" t="n"/>
      <c r="Q3096" s="19" t="n"/>
      <c r="R3096" s="19" t="n"/>
      <c r="Y3096" s="19" t="n"/>
    </row>
    <row r="3097">
      <c r="C3097" s="18" t="n"/>
      <c r="J3097" s="19" t="n"/>
      <c r="P3097" s="20" t="n"/>
      <c r="Q3097" s="19" t="n"/>
      <c r="R3097" s="19" t="n"/>
      <c r="Y3097" s="19" t="n"/>
    </row>
    <row r="3098">
      <c r="C3098" s="18" t="n"/>
      <c r="J3098" s="19" t="n"/>
      <c r="P3098" s="20" t="n"/>
      <c r="Q3098" s="19" t="n"/>
      <c r="R3098" s="19" t="n"/>
      <c r="Y3098" s="19" t="n"/>
    </row>
    <row r="3099">
      <c r="C3099" s="18" t="n"/>
      <c r="J3099" s="19" t="n"/>
      <c r="P3099" s="20" t="n"/>
      <c r="Q3099" s="19" t="n"/>
      <c r="R3099" s="19" t="n"/>
      <c r="Y3099" s="19" t="n"/>
    </row>
    <row r="3100">
      <c r="C3100" s="18" t="n"/>
      <c r="J3100" s="19" t="n"/>
      <c r="P3100" s="20" t="n"/>
      <c r="Q3100" s="19" t="n"/>
      <c r="R3100" s="19" t="n"/>
      <c r="Y3100" s="19" t="n"/>
    </row>
    <row r="3101">
      <c r="C3101" s="18" t="n"/>
      <c r="J3101" s="19" t="n"/>
      <c r="P3101" s="20" t="n"/>
      <c r="Q3101" s="19" t="n"/>
      <c r="R3101" s="19" t="n"/>
      <c r="Y3101" s="19" t="n"/>
    </row>
    <row r="3102">
      <c r="C3102" s="18" t="n"/>
      <c r="J3102" s="19" t="n"/>
      <c r="P3102" s="20" t="n"/>
      <c r="Q3102" s="19" t="n"/>
      <c r="R3102" s="19" t="n"/>
      <c r="Y3102" s="19" t="n"/>
    </row>
    <row r="3103">
      <c r="C3103" s="18" t="n"/>
      <c r="J3103" s="19" t="n"/>
      <c r="P3103" s="20" t="n"/>
      <c r="Q3103" s="19" t="n"/>
      <c r="R3103" s="19" t="n"/>
      <c r="Y3103" s="19" t="n"/>
    </row>
    <row r="3104">
      <c r="C3104" s="18" t="n"/>
      <c r="J3104" s="19" t="n"/>
      <c r="P3104" s="20" t="n"/>
      <c r="Q3104" s="19" t="n"/>
      <c r="R3104" s="19" t="n"/>
      <c r="Y3104" s="19" t="n"/>
    </row>
    <row r="3105">
      <c r="C3105" s="18" t="n"/>
      <c r="J3105" s="19" t="n"/>
      <c r="P3105" s="20" t="n"/>
      <c r="Q3105" s="19" t="n"/>
      <c r="R3105" s="19" t="n"/>
      <c r="Y3105" s="19" t="n"/>
    </row>
    <row r="3106">
      <c r="C3106" s="18" t="n"/>
      <c r="J3106" s="19" t="n"/>
      <c r="P3106" s="20" t="n"/>
      <c r="Q3106" s="19" t="n"/>
      <c r="R3106" s="19" t="n"/>
      <c r="Y3106" s="19" t="n"/>
    </row>
    <row r="3107">
      <c r="C3107" s="18" t="n"/>
      <c r="J3107" s="19" t="n"/>
      <c r="P3107" s="20" t="n"/>
      <c r="Q3107" s="19" t="n"/>
      <c r="R3107" s="19" t="n"/>
      <c r="Y3107" s="19" t="n"/>
    </row>
    <row r="3108">
      <c r="C3108" s="18" t="n"/>
      <c r="J3108" s="19" t="n"/>
      <c r="P3108" s="20" t="n"/>
      <c r="Q3108" s="19" t="n"/>
      <c r="R3108" s="19" t="n"/>
      <c r="Y3108" s="19" t="n"/>
    </row>
    <row r="3109">
      <c r="C3109" s="18" t="n"/>
      <c r="J3109" s="19" t="n"/>
      <c r="P3109" s="20" t="n"/>
      <c r="Q3109" s="19" t="n"/>
      <c r="R3109" s="19" t="n"/>
      <c r="Y3109" s="19" t="n"/>
    </row>
    <row r="3110">
      <c r="C3110" s="18" t="n"/>
      <c r="J3110" s="19" t="n"/>
      <c r="P3110" s="20" t="n"/>
      <c r="Q3110" s="19" t="n"/>
      <c r="R3110" s="19" t="n"/>
      <c r="Y3110" s="19" t="n"/>
    </row>
    <row r="3111">
      <c r="C3111" s="18" t="n"/>
      <c r="J3111" s="19" t="n"/>
      <c r="P3111" s="20" t="n"/>
      <c r="Q3111" s="19" t="n"/>
      <c r="R3111" s="19" t="n"/>
      <c r="Y3111" s="19" t="n"/>
    </row>
    <row r="3112">
      <c r="C3112" s="18" t="n"/>
      <c r="J3112" s="19" t="n"/>
      <c r="P3112" s="20" t="n"/>
      <c r="Q3112" s="19" t="n"/>
      <c r="R3112" s="19" t="n"/>
      <c r="Y3112" s="19" t="n"/>
    </row>
    <row r="3113">
      <c r="C3113" s="18" t="n"/>
      <c r="J3113" s="19" t="n"/>
      <c r="P3113" s="20" t="n"/>
      <c r="Q3113" s="19" t="n"/>
      <c r="R3113" s="19" t="n"/>
      <c r="Y3113" s="19" t="n"/>
    </row>
    <row r="3114">
      <c r="C3114" s="18" t="n"/>
      <c r="J3114" s="19" t="n"/>
      <c r="P3114" s="20" t="n"/>
      <c r="Q3114" s="19" t="n"/>
      <c r="R3114" s="19" t="n"/>
      <c r="Y3114" s="19" t="n"/>
    </row>
    <row r="3115">
      <c r="C3115" s="18" t="n"/>
      <c r="J3115" s="19" t="n"/>
      <c r="P3115" s="20" t="n"/>
      <c r="Q3115" s="19" t="n"/>
      <c r="R3115" s="19" t="n"/>
      <c r="Y3115" s="19" t="n"/>
    </row>
    <row r="3116">
      <c r="C3116" s="18" t="n"/>
      <c r="J3116" s="19" t="n"/>
      <c r="P3116" s="20" t="n"/>
      <c r="Q3116" s="19" t="n"/>
      <c r="R3116" s="19" t="n"/>
      <c r="Y3116" s="19" t="n"/>
    </row>
    <row r="3117">
      <c r="C3117" s="18" t="n"/>
      <c r="J3117" s="19" t="n"/>
      <c r="P3117" s="20" t="n"/>
      <c r="Q3117" s="19" t="n"/>
      <c r="R3117" s="19" t="n"/>
      <c r="Y3117" s="19" t="n"/>
    </row>
    <row r="3118">
      <c r="C3118" s="18" t="n"/>
      <c r="J3118" s="19" t="n"/>
      <c r="P3118" s="20" t="n"/>
      <c r="Q3118" s="19" t="n"/>
      <c r="R3118" s="19" t="n"/>
      <c r="Y3118" s="19" t="n"/>
    </row>
    <row r="3119">
      <c r="C3119" s="18" t="n"/>
      <c r="J3119" s="19" t="n"/>
      <c r="P3119" s="20" t="n"/>
      <c r="Q3119" s="19" t="n"/>
      <c r="R3119" s="19" t="n"/>
      <c r="Y3119" s="19" t="n"/>
    </row>
    <row r="3120">
      <c r="C3120" s="18" t="n"/>
      <c r="J3120" s="19" t="n"/>
      <c r="P3120" s="20" t="n"/>
      <c r="Q3120" s="19" t="n"/>
      <c r="R3120" s="19" t="n"/>
      <c r="Y3120" s="19" t="n"/>
    </row>
    <row r="3121">
      <c r="C3121" s="18" t="n"/>
      <c r="J3121" s="19" t="n"/>
      <c r="P3121" s="20" t="n"/>
      <c r="Q3121" s="19" t="n"/>
      <c r="R3121" s="19" t="n"/>
      <c r="Y3121" s="19" t="n"/>
    </row>
    <row r="3122">
      <c r="C3122" s="18" t="n"/>
      <c r="J3122" s="19" t="n"/>
      <c r="P3122" s="20" t="n"/>
      <c r="Q3122" s="19" t="n"/>
      <c r="R3122" s="19" t="n"/>
      <c r="Y3122" s="19" t="n"/>
    </row>
    <row r="3123">
      <c r="C3123" s="18" t="n"/>
      <c r="J3123" s="19" t="n"/>
      <c r="P3123" s="20" t="n"/>
      <c r="Q3123" s="19" t="n"/>
      <c r="R3123" s="19" t="n"/>
      <c r="Y3123" s="19" t="n"/>
    </row>
    <row r="3124">
      <c r="C3124" s="18" t="n"/>
      <c r="J3124" s="19" t="n"/>
      <c r="P3124" s="20" t="n"/>
      <c r="Q3124" s="19" t="n"/>
      <c r="R3124" s="19" t="n"/>
      <c r="Y3124" s="19" t="n"/>
    </row>
    <row r="3125">
      <c r="C3125" s="18" t="n"/>
      <c r="J3125" s="19" t="n"/>
      <c r="P3125" s="20" t="n"/>
      <c r="Q3125" s="19" t="n"/>
      <c r="R3125" s="19" t="n"/>
      <c r="Y3125" s="19" t="n"/>
    </row>
    <row r="3126">
      <c r="C3126" s="18" t="n"/>
      <c r="J3126" s="19" t="n"/>
      <c r="P3126" s="20" t="n"/>
      <c r="Q3126" s="19" t="n"/>
      <c r="R3126" s="19" t="n"/>
      <c r="Y3126" s="19" t="n"/>
    </row>
    <row r="3127">
      <c r="C3127" s="18" t="n"/>
      <c r="J3127" s="19" t="n"/>
      <c r="P3127" s="20" t="n"/>
      <c r="Q3127" s="19" t="n"/>
      <c r="R3127" s="19" t="n"/>
      <c r="Y3127" s="19" t="n"/>
    </row>
    <row r="3128">
      <c r="C3128" s="18" t="n"/>
      <c r="J3128" s="19" t="n"/>
      <c r="P3128" s="20" t="n"/>
      <c r="Q3128" s="19" t="n"/>
      <c r="R3128" s="19" t="n"/>
      <c r="Y3128" s="19" t="n"/>
    </row>
    <row r="3129">
      <c r="C3129" s="18" t="n"/>
      <c r="J3129" s="19" t="n"/>
      <c r="P3129" s="20" t="n"/>
      <c r="Q3129" s="19" t="n"/>
      <c r="R3129" s="19" t="n"/>
      <c r="Y3129" s="19" t="n"/>
    </row>
    <row r="3130">
      <c r="C3130" s="18" t="n"/>
      <c r="J3130" s="19" t="n"/>
      <c r="P3130" s="20" t="n"/>
      <c r="Q3130" s="19" t="n"/>
      <c r="R3130" s="19" t="n"/>
      <c r="Y3130" s="19" t="n"/>
    </row>
    <row r="3131">
      <c r="C3131" s="18" t="n"/>
      <c r="J3131" s="19" t="n"/>
      <c r="P3131" s="20" t="n"/>
      <c r="Q3131" s="19" t="n"/>
      <c r="R3131" s="19" t="n"/>
      <c r="Y3131" s="19" t="n"/>
    </row>
    <row r="3132">
      <c r="C3132" s="18" t="n"/>
      <c r="J3132" s="19" t="n"/>
      <c r="P3132" s="20" t="n"/>
      <c r="Q3132" s="19" t="n"/>
      <c r="R3132" s="19" t="n"/>
      <c r="Y3132" s="19" t="n"/>
    </row>
    <row r="3133">
      <c r="C3133" s="18" t="n"/>
      <c r="J3133" s="19" t="n"/>
      <c r="P3133" s="20" t="n"/>
      <c r="Q3133" s="19" t="n"/>
      <c r="R3133" s="19" t="n"/>
      <c r="Y3133" s="19" t="n"/>
    </row>
    <row r="3134">
      <c r="C3134" s="18" t="n"/>
      <c r="J3134" s="19" t="n"/>
      <c r="P3134" s="20" t="n"/>
      <c r="Q3134" s="19" t="n"/>
      <c r="R3134" s="19" t="n"/>
      <c r="Y3134" s="19" t="n"/>
    </row>
    <row r="3135">
      <c r="C3135" s="18" t="n"/>
      <c r="J3135" s="19" t="n"/>
      <c r="P3135" s="20" t="n"/>
      <c r="Q3135" s="19" t="n"/>
      <c r="R3135" s="19" t="n"/>
      <c r="Y3135" s="19" t="n"/>
    </row>
    <row r="3136">
      <c r="C3136" s="18" t="n"/>
      <c r="J3136" s="19" t="n"/>
      <c r="P3136" s="20" t="n"/>
      <c r="Q3136" s="19" t="n"/>
      <c r="R3136" s="19" t="n"/>
      <c r="Y3136" s="19" t="n"/>
    </row>
    <row r="3137">
      <c r="C3137" s="18" t="n"/>
      <c r="J3137" s="19" t="n"/>
      <c r="P3137" s="20" t="n"/>
      <c r="Q3137" s="19" t="n"/>
      <c r="R3137" s="19" t="n"/>
      <c r="Y3137" s="19" t="n"/>
    </row>
    <row r="3138">
      <c r="C3138" s="18" t="n"/>
      <c r="J3138" s="19" t="n"/>
      <c r="P3138" s="20" t="n"/>
      <c r="Q3138" s="19" t="n"/>
      <c r="R3138" s="19" t="n"/>
      <c r="Y3138" s="19" t="n"/>
    </row>
    <row r="3139">
      <c r="C3139" s="18" t="n"/>
      <c r="J3139" s="19" t="n"/>
      <c r="P3139" s="20" t="n"/>
      <c r="Q3139" s="19" t="n"/>
      <c r="R3139" s="19" t="n"/>
      <c r="Y3139" s="19" t="n"/>
    </row>
    <row r="3140">
      <c r="C3140" s="18" t="n"/>
      <c r="J3140" s="19" t="n"/>
      <c r="P3140" s="20" t="n"/>
      <c r="Q3140" s="19" t="n"/>
      <c r="R3140" s="19" t="n"/>
      <c r="Y3140" s="19" t="n"/>
    </row>
    <row r="3141">
      <c r="C3141" s="18" t="n"/>
      <c r="J3141" s="19" t="n"/>
      <c r="P3141" s="20" t="n"/>
      <c r="Q3141" s="19" t="n"/>
      <c r="R3141" s="19" t="n"/>
      <c r="Y3141" s="19" t="n"/>
    </row>
    <row r="3142">
      <c r="C3142" s="18" t="n"/>
      <c r="J3142" s="19" t="n"/>
      <c r="P3142" s="20" t="n"/>
      <c r="Q3142" s="19" t="n"/>
      <c r="R3142" s="19" t="n"/>
      <c r="Y3142" s="19" t="n"/>
    </row>
    <row r="3143">
      <c r="C3143" s="18" t="n"/>
      <c r="J3143" s="19" t="n"/>
      <c r="P3143" s="20" t="n"/>
      <c r="Q3143" s="19" t="n"/>
      <c r="R3143" s="19" t="n"/>
      <c r="Y3143" s="19" t="n"/>
    </row>
    <row r="3144">
      <c r="C3144" s="18" t="n"/>
      <c r="J3144" s="19" t="n"/>
      <c r="P3144" s="20" t="n"/>
      <c r="Q3144" s="19" t="n"/>
      <c r="R3144" s="19" t="n"/>
      <c r="Y3144" s="19" t="n"/>
    </row>
    <row r="3145">
      <c r="C3145" s="18" t="n"/>
      <c r="J3145" s="19" t="n"/>
      <c r="P3145" s="20" t="n"/>
      <c r="Q3145" s="19" t="n"/>
      <c r="R3145" s="19" t="n"/>
      <c r="Y3145" s="19" t="n"/>
    </row>
    <row r="3146">
      <c r="C3146" s="18" t="n"/>
      <c r="J3146" s="19" t="n"/>
      <c r="P3146" s="20" t="n"/>
      <c r="Q3146" s="19" t="n"/>
      <c r="R3146" s="19" t="n"/>
      <c r="Y3146" s="19" t="n"/>
    </row>
    <row r="3147">
      <c r="C3147" s="18" t="n"/>
      <c r="J3147" s="19" t="n"/>
      <c r="P3147" s="20" t="n"/>
      <c r="Q3147" s="19" t="n"/>
      <c r="R3147" s="19" t="n"/>
      <c r="Y3147" s="19" t="n"/>
    </row>
    <row r="3148">
      <c r="C3148" s="18" t="n"/>
      <c r="J3148" s="19" t="n"/>
      <c r="P3148" s="20" t="n"/>
      <c r="Q3148" s="19" t="n"/>
      <c r="R3148" s="19" t="n"/>
      <c r="Y3148" s="19" t="n"/>
    </row>
    <row r="3149">
      <c r="C3149" s="18" t="n"/>
      <c r="J3149" s="19" t="n"/>
      <c r="P3149" s="20" t="n"/>
      <c r="Q3149" s="19" t="n"/>
      <c r="R3149" s="19" t="n"/>
      <c r="Y3149" s="19" t="n"/>
    </row>
    <row r="3150">
      <c r="C3150" s="18" t="n"/>
      <c r="J3150" s="19" t="n"/>
      <c r="P3150" s="20" t="n"/>
      <c r="Q3150" s="19" t="n"/>
      <c r="R3150" s="19" t="n"/>
      <c r="Y3150" s="19" t="n"/>
    </row>
    <row r="3151">
      <c r="C3151" s="18" t="n"/>
      <c r="J3151" s="19" t="n"/>
      <c r="P3151" s="20" t="n"/>
      <c r="Q3151" s="19" t="n"/>
      <c r="R3151" s="19" t="n"/>
      <c r="Y3151" s="19" t="n"/>
    </row>
    <row r="3152">
      <c r="C3152" s="18" t="n"/>
      <c r="J3152" s="19" t="n"/>
      <c r="P3152" s="20" t="n"/>
      <c r="Q3152" s="19" t="n"/>
      <c r="R3152" s="19" t="n"/>
      <c r="Y3152" s="19" t="n"/>
    </row>
    <row r="3153">
      <c r="C3153" s="18" t="n"/>
      <c r="J3153" s="19" t="n"/>
      <c r="P3153" s="20" t="n"/>
      <c r="Q3153" s="19" t="n"/>
      <c r="R3153" s="19" t="n"/>
      <c r="Y3153" s="19" t="n"/>
    </row>
    <row r="3154">
      <c r="C3154" s="18" t="n"/>
      <c r="J3154" s="19" t="n"/>
      <c r="P3154" s="20" t="n"/>
      <c r="Q3154" s="19" t="n"/>
      <c r="R3154" s="19" t="n"/>
      <c r="Y3154" s="19" t="n"/>
    </row>
    <row r="3155">
      <c r="C3155" s="18" t="n"/>
      <c r="J3155" s="19" t="n"/>
      <c r="P3155" s="20" t="n"/>
      <c r="Q3155" s="19" t="n"/>
      <c r="R3155" s="19" t="n"/>
      <c r="Y3155" s="19" t="n"/>
    </row>
    <row r="3156">
      <c r="C3156" s="18" t="n"/>
      <c r="J3156" s="19" t="n"/>
      <c r="P3156" s="20" t="n"/>
      <c r="Q3156" s="19" t="n"/>
      <c r="R3156" s="19" t="n"/>
      <c r="Y3156" s="19" t="n"/>
    </row>
    <row r="3157">
      <c r="C3157" s="18" t="n"/>
      <c r="J3157" s="19" t="n"/>
      <c r="P3157" s="20" t="n"/>
      <c r="Q3157" s="19" t="n"/>
      <c r="R3157" s="19" t="n"/>
      <c r="Y3157" s="19" t="n"/>
    </row>
    <row r="3158">
      <c r="C3158" s="18" t="n"/>
      <c r="J3158" s="19" t="n"/>
      <c r="P3158" s="20" t="n"/>
      <c r="Q3158" s="19" t="n"/>
      <c r="R3158" s="19" t="n"/>
      <c r="Y3158" s="19" t="n"/>
    </row>
    <row r="3159">
      <c r="C3159" s="18" t="n"/>
      <c r="J3159" s="19" t="n"/>
      <c r="P3159" s="20" t="n"/>
      <c r="Q3159" s="19" t="n"/>
      <c r="R3159" s="19" t="n"/>
      <c r="Y3159" s="19" t="n"/>
    </row>
    <row r="3160">
      <c r="C3160" s="18" t="n"/>
      <c r="J3160" s="19" t="n"/>
      <c r="P3160" s="20" t="n"/>
      <c r="Q3160" s="19" t="n"/>
      <c r="R3160" s="19" t="n"/>
      <c r="Y3160" s="19" t="n"/>
    </row>
    <row r="3161">
      <c r="C3161" s="18" t="n"/>
      <c r="J3161" s="19" t="n"/>
      <c r="P3161" s="20" t="n"/>
      <c r="Q3161" s="19" t="n"/>
      <c r="R3161" s="19" t="n"/>
      <c r="Y3161" s="19" t="n"/>
    </row>
    <row r="3162">
      <c r="C3162" s="18" t="n"/>
      <c r="J3162" s="19" t="n"/>
      <c r="P3162" s="20" t="n"/>
      <c r="Q3162" s="19" t="n"/>
      <c r="R3162" s="19" t="n"/>
      <c r="Y3162" s="19" t="n"/>
    </row>
    <row r="3163">
      <c r="C3163" s="18" t="n"/>
      <c r="J3163" s="19" t="n"/>
      <c r="P3163" s="20" t="n"/>
      <c r="Q3163" s="19" t="n"/>
      <c r="R3163" s="19" t="n"/>
      <c r="Y3163" s="19" t="n"/>
    </row>
    <row r="3164">
      <c r="C3164" s="18" t="n"/>
      <c r="J3164" s="19" t="n"/>
      <c r="P3164" s="20" t="n"/>
      <c r="Q3164" s="19" t="n"/>
      <c r="R3164" s="19" t="n"/>
      <c r="Y3164" s="19" t="n"/>
    </row>
    <row r="3165">
      <c r="C3165" s="18" t="n"/>
      <c r="J3165" s="19" t="n"/>
      <c r="P3165" s="20" t="n"/>
      <c r="Q3165" s="19" t="n"/>
      <c r="R3165" s="19" t="n"/>
      <c r="Y3165" s="19" t="n"/>
    </row>
    <row r="3166">
      <c r="C3166" s="18" t="n"/>
      <c r="J3166" s="19" t="n"/>
      <c r="P3166" s="20" t="n"/>
      <c r="Q3166" s="19" t="n"/>
      <c r="R3166" s="19" t="n"/>
      <c r="Y3166" s="19" t="n"/>
    </row>
    <row r="3167">
      <c r="C3167" s="18" t="n"/>
      <c r="J3167" s="19" t="n"/>
      <c r="P3167" s="20" t="n"/>
      <c r="Q3167" s="19" t="n"/>
      <c r="R3167" s="19" t="n"/>
      <c r="Y3167" s="19" t="n"/>
    </row>
    <row r="3168">
      <c r="C3168" s="18" t="n"/>
      <c r="J3168" s="19" t="n"/>
      <c r="P3168" s="20" t="n"/>
      <c r="Q3168" s="19" t="n"/>
      <c r="R3168" s="19" t="n"/>
      <c r="Y3168" s="19" t="n"/>
    </row>
    <row r="3169">
      <c r="C3169" s="18" t="n"/>
      <c r="J3169" s="19" t="n"/>
      <c r="P3169" s="20" t="n"/>
      <c r="Q3169" s="19" t="n"/>
      <c r="R3169" s="19" t="n"/>
      <c r="Y3169" s="19" t="n"/>
    </row>
    <row r="3170">
      <c r="C3170" s="18" t="n"/>
      <c r="J3170" s="19" t="n"/>
      <c r="P3170" s="20" t="n"/>
      <c r="Q3170" s="19" t="n"/>
      <c r="R3170" s="19" t="n"/>
      <c r="Y3170" s="19" t="n"/>
    </row>
    <row r="3171">
      <c r="C3171" s="18" t="n"/>
      <c r="J3171" s="19" t="n"/>
      <c r="P3171" s="20" t="n"/>
      <c r="Q3171" s="19" t="n"/>
      <c r="R3171" s="19" t="n"/>
      <c r="Y3171" s="19" t="n"/>
    </row>
    <row r="3172">
      <c r="C3172" s="18" t="n"/>
      <c r="J3172" s="19" t="n"/>
      <c r="P3172" s="20" t="n"/>
      <c r="Q3172" s="19" t="n"/>
      <c r="R3172" s="19" t="n"/>
      <c r="Y3172" s="19" t="n"/>
    </row>
    <row r="3173">
      <c r="C3173" s="18" t="n"/>
      <c r="J3173" s="19" t="n"/>
      <c r="P3173" s="20" t="n"/>
      <c r="Q3173" s="19" t="n"/>
      <c r="R3173" s="19" t="n"/>
      <c r="Y3173" s="19" t="n"/>
    </row>
    <row r="3174">
      <c r="C3174" s="18" t="n"/>
      <c r="J3174" s="19" t="n"/>
      <c r="P3174" s="20" t="n"/>
      <c r="Q3174" s="19" t="n"/>
      <c r="R3174" s="19" t="n"/>
      <c r="Y3174" s="19" t="n"/>
    </row>
    <row r="3175">
      <c r="C3175" s="18" t="n"/>
      <c r="J3175" s="19" t="n"/>
      <c r="P3175" s="20" t="n"/>
      <c r="Q3175" s="19" t="n"/>
      <c r="R3175" s="19" t="n"/>
      <c r="Y3175" s="19" t="n"/>
    </row>
    <row r="3176">
      <c r="C3176" s="18" t="n"/>
      <c r="J3176" s="19" t="n"/>
      <c r="P3176" s="20" t="n"/>
      <c r="Q3176" s="19" t="n"/>
      <c r="R3176" s="19" t="n"/>
      <c r="Y3176" s="19" t="n"/>
    </row>
    <row r="3177">
      <c r="C3177" s="18" t="n"/>
      <c r="J3177" s="19" t="n"/>
      <c r="P3177" s="20" t="n"/>
      <c r="Q3177" s="19" t="n"/>
      <c r="R3177" s="19" t="n"/>
      <c r="Y3177" s="19" t="n"/>
    </row>
    <row r="3178">
      <c r="C3178" s="18" t="n"/>
      <c r="J3178" s="19" t="n"/>
      <c r="P3178" s="20" t="n"/>
      <c r="Q3178" s="19" t="n"/>
      <c r="R3178" s="19" t="n"/>
      <c r="Y3178" s="19" t="n"/>
    </row>
    <row r="3179">
      <c r="C3179" s="18" t="n"/>
      <c r="J3179" s="19" t="n"/>
      <c r="P3179" s="20" t="n"/>
      <c r="Q3179" s="19" t="n"/>
      <c r="R3179" s="19" t="n"/>
      <c r="Y3179" s="19" t="n"/>
    </row>
    <row r="3180">
      <c r="C3180" s="18" t="n"/>
      <c r="J3180" s="19" t="n"/>
      <c r="P3180" s="20" t="n"/>
      <c r="Q3180" s="19" t="n"/>
      <c r="R3180" s="19" t="n"/>
      <c r="Y3180" s="19" t="n"/>
    </row>
    <row r="3181">
      <c r="C3181" s="18" t="n"/>
      <c r="J3181" s="19" t="n"/>
      <c r="P3181" s="20" t="n"/>
      <c r="Q3181" s="19" t="n"/>
      <c r="R3181" s="19" t="n"/>
      <c r="Y3181" s="19" t="n"/>
    </row>
    <row r="3182">
      <c r="C3182" s="18" t="n"/>
      <c r="J3182" s="19" t="n"/>
      <c r="P3182" s="20" t="n"/>
      <c r="Q3182" s="19" t="n"/>
      <c r="R3182" s="19" t="n"/>
      <c r="Y3182" s="19" t="n"/>
    </row>
    <row r="3183">
      <c r="C3183" s="18" t="n"/>
      <c r="J3183" s="19" t="n"/>
      <c r="P3183" s="20" t="n"/>
      <c r="Q3183" s="19" t="n"/>
      <c r="R3183" s="19" t="n"/>
      <c r="Y3183" s="19" t="n"/>
    </row>
    <row r="3184">
      <c r="C3184" s="18" t="n"/>
      <c r="J3184" s="19" t="n"/>
      <c r="P3184" s="20" t="n"/>
      <c r="Q3184" s="19" t="n"/>
      <c r="R3184" s="19" t="n"/>
      <c r="Y3184" s="19" t="n"/>
    </row>
    <row r="3185">
      <c r="C3185" s="18" t="n"/>
      <c r="J3185" s="19" t="n"/>
      <c r="P3185" s="20" t="n"/>
      <c r="Q3185" s="19" t="n"/>
      <c r="R3185" s="19" t="n"/>
      <c r="Y3185" s="19" t="n"/>
    </row>
    <row r="3186">
      <c r="C3186" s="18" t="n"/>
      <c r="J3186" s="19" t="n"/>
      <c r="P3186" s="20" t="n"/>
      <c r="Q3186" s="19" t="n"/>
      <c r="R3186" s="19" t="n"/>
      <c r="Y3186" s="19" t="n"/>
    </row>
    <row r="3187">
      <c r="C3187" s="18" t="n"/>
      <c r="J3187" s="19" t="n"/>
      <c r="P3187" s="20" t="n"/>
      <c r="Q3187" s="19" t="n"/>
      <c r="R3187" s="19" t="n"/>
      <c r="Y3187" s="19" t="n"/>
    </row>
    <row r="3188">
      <c r="C3188" s="18" t="n"/>
      <c r="J3188" s="19" t="n"/>
      <c r="P3188" s="20" t="n"/>
      <c r="Q3188" s="19" t="n"/>
      <c r="R3188" s="19" t="n"/>
      <c r="Y3188" s="19" t="n"/>
    </row>
    <row r="3189">
      <c r="C3189" s="18" t="n"/>
      <c r="J3189" s="19" t="n"/>
      <c r="P3189" s="20" t="n"/>
      <c r="Q3189" s="19" t="n"/>
      <c r="R3189" s="19" t="n"/>
      <c r="Y3189" s="19" t="n"/>
    </row>
    <row r="3190">
      <c r="C3190" s="18" t="n"/>
      <c r="J3190" s="19" t="n"/>
      <c r="P3190" s="20" t="n"/>
      <c r="Q3190" s="19" t="n"/>
      <c r="R3190" s="19" t="n"/>
      <c r="Y3190" s="19" t="n"/>
    </row>
    <row r="3191">
      <c r="C3191" s="18" t="n"/>
      <c r="J3191" s="19" t="n"/>
      <c r="P3191" s="20" t="n"/>
      <c r="Q3191" s="19" t="n"/>
      <c r="R3191" s="19" t="n"/>
      <c r="Y3191" s="19" t="n"/>
    </row>
    <row r="3192">
      <c r="C3192" s="18" t="n"/>
      <c r="J3192" s="19" t="n"/>
      <c r="P3192" s="20" t="n"/>
      <c r="Q3192" s="19" t="n"/>
      <c r="R3192" s="19" t="n"/>
      <c r="Y3192" s="19" t="n"/>
    </row>
    <row r="3193">
      <c r="C3193" s="18" t="n"/>
      <c r="J3193" s="19" t="n"/>
      <c r="P3193" s="20" t="n"/>
      <c r="Q3193" s="19" t="n"/>
      <c r="R3193" s="19" t="n"/>
      <c r="Y3193" s="19" t="n"/>
    </row>
    <row r="3194">
      <c r="C3194" s="18" t="n"/>
      <c r="J3194" s="19" t="n"/>
      <c r="P3194" s="20" t="n"/>
      <c r="Q3194" s="19" t="n"/>
      <c r="R3194" s="19" t="n"/>
      <c r="Y3194" s="19" t="n"/>
    </row>
    <row r="3195">
      <c r="C3195" s="18" t="n"/>
      <c r="J3195" s="19" t="n"/>
      <c r="P3195" s="20" t="n"/>
      <c r="Q3195" s="19" t="n"/>
      <c r="R3195" s="19" t="n"/>
      <c r="Y3195" s="19" t="n"/>
    </row>
    <row r="3196">
      <c r="C3196" s="18" t="n"/>
      <c r="J3196" s="19" t="n"/>
      <c r="P3196" s="20" t="n"/>
      <c r="Q3196" s="19" t="n"/>
      <c r="R3196" s="19" t="n"/>
      <c r="Y3196" s="19" t="n"/>
    </row>
    <row r="3197">
      <c r="C3197" s="18" t="n"/>
      <c r="J3197" s="19" t="n"/>
      <c r="P3197" s="20" t="n"/>
      <c r="Q3197" s="19" t="n"/>
      <c r="R3197" s="19" t="n"/>
      <c r="Y3197" s="19" t="n"/>
    </row>
    <row r="3198">
      <c r="C3198" s="18" t="n"/>
      <c r="J3198" s="19" t="n"/>
      <c r="P3198" s="20" t="n"/>
      <c r="Q3198" s="19" t="n"/>
      <c r="R3198" s="19" t="n"/>
      <c r="Y3198" s="19" t="n"/>
    </row>
    <row r="3199">
      <c r="C3199" s="18" t="n"/>
      <c r="J3199" s="19" t="n"/>
      <c r="P3199" s="20" t="n"/>
      <c r="Q3199" s="19" t="n"/>
      <c r="R3199" s="19" t="n"/>
      <c r="Y3199" s="19" t="n"/>
    </row>
    <row r="3200">
      <c r="C3200" s="18" t="n"/>
      <c r="J3200" s="19" t="n"/>
      <c r="P3200" s="20" t="n"/>
      <c r="Q3200" s="19" t="n"/>
      <c r="R3200" s="19" t="n"/>
      <c r="Y3200" s="19" t="n"/>
    </row>
    <row r="3201">
      <c r="C3201" s="18" t="n"/>
      <c r="J3201" s="19" t="n"/>
      <c r="P3201" s="20" t="n"/>
      <c r="Q3201" s="19" t="n"/>
      <c r="R3201" s="19" t="n"/>
      <c r="Y3201" s="19" t="n"/>
    </row>
    <row r="3202">
      <c r="C3202" s="18" t="n"/>
      <c r="J3202" s="19" t="n"/>
      <c r="P3202" s="20" t="n"/>
      <c r="Q3202" s="19" t="n"/>
      <c r="R3202" s="19" t="n"/>
      <c r="Y3202" s="19" t="n"/>
    </row>
    <row r="3203">
      <c r="C3203" s="18" t="n"/>
      <c r="J3203" s="19" t="n"/>
      <c r="P3203" s="20" t="n"/>
      <c r="Q3203" s="19" t="n"/>
      <c r="R3203" s="19" t="n"/>
      <c r="Y3203" s="19" t="n"/>
    </row>
    <row r="3204">
      <c r="C3204" s="18" t="n"/>
      <c r="J3204" s="19" t="n"/>
      <c r="P3204" s="20" t="n"/>
      <c r="Q3204" s="19" t="n"/>
      <c r="R3204" s="19" t="n"/>
      <c r="Y3204" s="19" t="n"/>
    </row>
    <row r="3205">
      <c r="C3205" s="18" t="n"/>
      <c r="J3205" s="19" t="n"/>
      <c r="P3205" s="20" t="n"/>
      <c r="Q3205" s="19" t="n"/>
      <c r="R3205" s="19" t="n"/>
      <c r="Y3205" s="19" t="n"/>
    </row>
    <row r="3206">
      <c r="C3206" s="18" t="n"/>
      <c r="J3206" s="19" t="n"/>
      <c r="P3206" s="20" t="n"/>
      <c r="Q3206" s="19" t="n"/>
      <c r="R3206" s="19" t="n"/>
      <c r="Y3206" s="19" t="n"/>
    </row>
    <row r="3207">
      <c r="C3207" s="18" t="n"/>
      <c r="J3207" s="19" t="n"/>
      <c r="P3207" s="20" t="n"/>
      <c r="Q3207" s="19" t="n"/>
      <c r="R3207" s="19" t="n"/>
      <c r="Y3207" s="19" t="n"/>
    </row>
    <row r="3208">
      <c r="C3208" s="18" t="n"/>
      <c r="J3208" s="19" t="n"/>
      <c r="P3208" s="20" t="n"/>
      <c r="Q3208" s="19" t="n"/>
      <c r="R3208" s="19" t="n"/>
      <c r="Y3208" s="19" t="n"/>
    </row>
    <row r="3209">
      <c r="C3209" s="18" t="n"/>
      <c r="J3209" s="19" t="n"/>
      <c r="P3209" s="20" t="n"/>
      <c r="Q3209" s="19" t="n"/>
      <c r="R3209" s="19" t="n"/>
      <c r="Y3209" s="19" t="n"/>
    </row>
    <row r="3210">
      <c r="C3210" s="18" t="n"/>
      <c r="J3210" s="19" t="n"/>
      <c r="P3210" s="20" t="n"/>
      <c r="Q3210" s="19" t="n"/>
      <c r="R3210" s="19" t="n"/>
      <c r="Y3210" s="19" t="n"/>
    </row>
    <row r="3211">
      <c r="C3211" s="18" t="n"/>
      <c r="J3211" s="19" t="n"/>
      <c r="P3211" s="20" t="n"/>
      <c r="Q3211" s="19" t="n"/>
      <c r="R3211" s="19" t="n"/>
      <c r="Y3211" s="19" t="n"/>
    </row>
    <row r="3212">
      <c r="C3212" s="18" t="n"/>
      <c r="J3212" s="19" t="n"/>
      <c r="P3212" s="20" t="n"/>
      <c r="Q3212" s="19" t="n"/>
      <c r="R3212" s="19" t="n"/>
      <c r="Y3212" s="19" t="n"/>
    </row>
    <row r="3213">
      <c r="C3213" s="18" t="n"/>
      <c r="J3213" s="19" t="n"/>
      <c r="P3213" s="20" t="n"/>
      <c r="Q3213" s="19" t="n"/>
      <c r="R3213" s="19" t="n"/>
      <c r="Y3213" s="19" t="n"/>
    </row>
    <row r="3214">
      <c r="C3214" s="18" t="n"/>
      <c r="J3214" s="19" t="n"/>
      <c r="P3214" s="20" t="n"/>
      <c r="Q3214" s="19" t="n"/>
      <c r="R3214" s="19" t="n"/>
      <c r="Y3214" s="19" t="n"/>
    </row>
    <row r="3215">
      <c r="C3215" s="18" t="n"/>
      <c r="J3215" s="19" t="n"/>
      <c r="P3215" s="20" t="n"/>
      <c r="Q3215" s="19" t="n"/>
      <c r="R3215" s="19" t="n"/>
      <c r="Y3215" s="19" t="n"/>
    </row>
    <row r="3216">
      <c r="C3216" s="18" t="n"/>
      <c r="J3216" s="19" t="n"/>
      <c r="P3216" s="20" t="n"/>
      <c r="Q3216" s="19" t="n"/>
      <c r="R3216" s="19" t="n"/>
      <c r="Y3216" s="19" t="n"/>
    </row>
    <row r="3217">
      <c r="C3217" s="18" t="n"/>
      <c r="J3217" s="19" t="n"/>
      <c r="P3217" s="20" t="n"/>
      <c r="Q3217" s="19" t="n"/>
      <c r="R3217" s="19" t="n"/>
      <c r="Y3217" s="19" t="n"/>
    </row>
    <row r="3218">
      <c r="C3218" s="18" t="n"/>
      <c r="J3218" s="19" t="n"/>
      <c r="P3218" s="20" t="n"/>
      <c r="Q3218" s="19" t="n"/>
      <c r="R3218" s="19" t="n"/>
      <c r="Y3218" s="19" t="n"/>
    </row>
    <row r="3219">
      <c r="C3219" s="18" t="n"/>
      <c r="J3219" s="19" t="n"/>
      <c r="P3219" s="20" t="n"/>
      <c r="Q3219" s="19" t="n"/>
      <c r="R3219" s="19" t="n"/>
      <c r="Y3219" s="19" t="n"/>
    </row>
    <row r="3220">
      <c r="C3220" s="18" t="n"/>
      <c r="J3220" s="19" t="n"/>
      <c r="P3220" s="20" t="n"/>
      <c r="Q3220" s="19" t="n"/>
      <c r="R3220" s="19" t="n"/>
      <c r="Y3220" s="19" t="n"/>
    </row>
    <row r="3221">
      <c r="C3221" s="18" t="n"/>
      <c r="J3221" s="19" t="n"/>
      <c r="P3221" s="20" t="n"/>
      <c r="Q3221" s="19" t="n"/>
      <c r="R3221" s="19" t="n"/>
      <c r="Y3221" s="19" t="n"/>
    </row>
    <row r="3222">
      <c r="C3222" s="18" t="n"/>
      <c r="J3222" s="19" t="n"/>
      <c r="P3222" s="20" t="n"/>
      <c r="Q3222" s="19" t="n"/>
      <c r="R3222" s="19" t="n"/>
      <c r="Y3222" s="19" t="n"/>
    </row>
    <row r="3223">
      <c r="C3223" s="18" t="n"/>
      <c r="J3223" s="19" t="n"/>
      <c r="P3223" s="20" t="n"/>
      <c r="Q3223" s="19" t="n"/>
      <c r="R3223" s="19" t="n"/>
      <c r="Y3223" s="19" t="n"/>
    </row>
    <row r="3224">
      <c r="C3224" s="18" t="n"/>
      <c r="J3224" s="19" t="n"/>
      <c r="P3224" s="20" t="n"/>
      <c r="Q3224" s="19" t="n"/>
      <c r="R3224" s="19" t="n"/>
      <c r="Y3224" s="19" t="n"/>
    </row>
    <row r="3225">
      <c r="C3225" s="18" t="n"/>
      <c r="J3225" s="19" t="n"/>
      <c r="P3225" s="20" t="n"/>
      <c r="Q3225" s="19" t="n"/>
      <c r="R3225" s="19" t="n"/>
      <c r="Y3225" s="19" t="n"/>
    </row>
    <row r="3226">
      <c r="C3226" s="18" t="n"/>
      <c r="J3226" s="19" t="n"/>
      <c r="P3226" s="20" t="n"/>
      <c r="Q3226" s="19" t="n"/>
      <c r="R3226" s="19" t="n"/>
      <c r="Y3226" s="19" t="n"/>
    </row>
    <row r="3227">
      <c r="C3227" s="18" t="n"/>
      <c r="J3227" s="19" t="n"/>
      <c r="P3227" s="20" t="n"/>
      <c r="Q3227" s="19" t="n"/>
      <c r="R3227" s="19" t="n"/>
      <c r="Y3227" s="19" t="n"/>
    </row>
    <row r="3228">
      <c r="C3228" s="18" t="n"/>
      <c r="J3228" s="19" t="n"/>
      <c r="P3228" s="20" t="n"/>
      <c r="Q3228" s="19" t="n"/>
      <c r="R3228" s="19" t="n"/>
      <c r="Y3228" s="19" t="n"/>
    </row>
    <row r="3229">
      <c r="C3229" s="18" t="n"/>
      <c r="J3229" s="19" t="n"/>
      <c r="P3229" s="20" t="n"/>
      <c r="Q3229" s="19" t="n"/>
      <c r="R3229" s="19" t="n"/>
      <c r="Y3229" s="19" t="n"/>
    </row>
    <row r="3230">
      <c r="C3230" s="18" t="n"/>
      <c r="J3230" s="19" t="n"/>
      <c r="P3230" s="20" t="n"/>
      <c r="Q3230" s="19" t="n"/>
      <c r="R3230" s="19" t="n"/>
      <c r="Y3230" s="19" t="n"/>
    </row>
    <row r="3231">
      <c r="C3231" s="18" t="n"/>
      <c r="J3231" s="19" t="n"/>
      <c r="P3231" s="20" t="n"/>
      <c r="Q3231" s="19" t="n"/>
      <c r="R3231" s="19" t="n"/>
      <c r="Y3231" s="19" t="n"/>
    </row>
    <row r="3232">
      <c r="C3232" s="18" t="n"/>
      <c r="J3232" s="19" t="n"/>
      <c r="P3232" s="20" t="n"/>
      <c r="Q3232" s="19" t="n"/>
      <c r="R3232" s="19" t="n"/>
      <c r="Y3232" s="19" t="n"/>
    </row>
    <row r="3233">
      <c r="C3233" s="18" t="n"/>
      <c r="J3233" s="19" t="n"/>
      <c r="P3233" s="20" t="n"/>
      <c r="Q3233" s="19" t="n"/>
      <c r="R3233" s="19" t="n"/>
      <c r="Y3233" s="19" t="n"/>
    </row>
    <row r="3234">
      <c r="C3234" s="18" t="n"/>
      <c r="J3234" s="19" t="n"/>
      <c r="P3234" s="20" t="n"/>
      <c r="Q3234" s="19" t="n"/>
      <c r="R3234" s="19" t="n"/>
      <c r="Y3234" s="19" t="n"/>
    </row>
    <row r="3235">
      <c r="C3235" s="18" t="n"/>
      <c r="J3235" s="19" t="n"/>
      <c r="P3235" s="20" t="n"/>
      <c r="Q3235" s="19" t="n"/>
      <c r="R3235" s="19" t="n"/>
      <c r="Y3235" s="19" t="n"/>
    </row>
    <row r="3236">
      <c r="C3236" s="18" t="n"/>
      <c r="J3236" s="19" t="n"/>
      <c r="P3236" s="20" t="n"/>
      <c r="Q3236" s="19" t="n"/>
      <c r="R3236" s="19" t="n"/>
      <c r="Y3236" s="19" t="n"/>
    </row>
    <row r="3237">
      <c r="C3237" s="18" t="n"/>
      <c r="J3237" s="19" t="n"/>
      <c r="P3237" s="20" t="n"/>
      <c r="Q3237" s="19" t="n"/>
      <c r="R3237" s="19" t="n"/>
      <c r="Y3237" s="19" t="n"/>
    </row>
    <row r="3238">
      <c r="C3238" s="18" t="n"/>
      <c r="J3238" s="19" t="n"/>
      <c r="P3238" s="20" t="n"/>
      <c r="Q3238" s="19" t="n"/>
      <c r="R3238" s="19" t="n"/>
      <c r="Y3238" s="19" t="n"/>
    </row>
    <row r="3239">
      <c r="C3239" s="18" t="n"/>
      <c r="J3239" s="19" t="n"/>
      <c r="P3239" s="20" t="n"/>
      <c r="Q3239" s="19" t="n"/>
      <c r="R3239" s="19" t="n"/>
      <c r="Y3239" s="19" t="n"/>
    </row>
    <row r="3240">
      <c r="C3240" s="18" t="n"/>
      <c r="J3240" s="19" t="n"/>
      <c r="P3240" s="20" t="n"/>
      <c r="Q3240" s="19" t="n"/>
      <c r="R3240" s="19" t="n"/>
      <c r="Y3240" s="19" t="n"/>
    </row>
    <row r="3241">
      <c r="C3241" s="18" t="n"/>
      <c r="J3241" s="19" t="n"/>
      <c r="P3241" s="20" t="n"/>
      <c r="Q3241" s="19" t="n"/>
      <c r="R3241" s="19" t="n"/>
      <c r="Y3241" s="19" t="n"/>
    </row>
    <row r="3242">
      <c r="C3242" s="18" t="n"/>
      <c r="J3242" s="19" t="n"/>
      <c r="P3242" s="20" t="n"/>
      <c r="Q3242" s="19" t="n"/>
      <c r="R3242" s="19" t="n"/>
      <c r="Y3242" s="19" t="n"/>
    </row>
    <row r="3243">
      <c r="C3243" s="18" t="n"/>
      <c r="J3243" s="19" t="n"/>
      <c r="P3243" s="20" t="n"/>
      <c r="Q3243" s="19" t="n"/>
      <c r="R3243" s="19" t="n"/>
      <c r="Y3243" s="19" t="n"/>
    </row>
    <row r="3244">
      <c r="C3244" s="18" t="n"/>
      <c r="J3244" s="19" t="n"/>
      <c r="P3244" s="20" t="n"/>
      <c r="Q3244" s="19" t="n"/>
      <c r="R3244" s="19" t="n"/>
      <c r="Y3244" s="19" t="n"/>
    </row>
    <row r="3245">
      <c r="C3245" s="18" t="n"/>
      <c r="J3245" s="19" t="n"/>
      <c r="P3245" s="20" t="n"/>
      <c r="Q3245" s="19" t="n"/>
      <c r="R3245" s="19" t="n"/>
      <c r="Y3245" s="19" t="n"/>
    </row>
    <row r="3246">
      <c r="C3246" s="18" t="n"/>
      <c r="J3246" s="19" t="n"/>
      <c r="P3246" s="20" t="n"/>
      <c r="Q3246" s="19" t="n"/>
      <c r="R3246" s="19" t="n"/>
      <c r="Y3246" s="19" t="n"/>
    </row>
    <row r="3247">
      <c r="C3247" s="18" t="n"/>
      <c r="J3247" s="19" t="n"/>
      <c r="P3247" s="20" t="n"/>
      <c r="Q3247" s="19" t="n"/>
      <c r="R3247" s="19" t="n"/>
      <c r="Y3247" s="19" t="n"/>
    </row>
    <row r="3248">
      <c r="C3248" s="18" t="n"/>
      <c r="J3248" s="19" t="n"/>
      <c r="P3248" s="20" t="n"/>
      <c r="Q3248" s="19" t="n"/>
      <c r="R3248" s="19" t="n"/>
      <c r="Y3248" s="19" t="n"/>
    </row>
    <row r="3249">
      <c r="C3249" s="18" t="n"/>
      <c r="J3249" s="19" t="n"/>
      <c r="P3249" s="20" t="n"/>
      <c r="Q3249" s="19" t="n"/>
      <c r="R3249" s="19" t="n"/>
      <c r="Y3249" s="19" t="n"/>
    </row>
    <row r="3250">
      <c r="C3250" s="18" t="n"/>
      <c r="J3250" s="19" t="n"/>
      <c r="P3250" s="20" t="n"/>
      <c r="Q3250" s="19" t="n"/>
      <c r="R3250" s="19" t="n"/>
      <c r="Y3250" s="19" t="n"/>
    </row>
    <row r="3251">
      <c r="C3251" s="18" t="n"/>
      <c r="J3251" s="19" t="n"/>
      <c r="P3251" s="20" t="n"/>
      <c r="Q3251" s="19" t="n"/>
      <c r="R3251" s="19" t="n"/>
      <c r="Y3251" s="19" t="n"/>
    </row>
    <row r="3252">
      <c r="C3252" s="18" t="n"/>
      <c r="J3252" s="19" t="n"/>
      <c r="P3252" s="20" t="n"/>
      <c r="Q3252" s="19" t="n"/>
      <c r="R3252" s="19" t="n"/>
      <c r="Y3252" s="19" t="n"/>
    </row>
    <row r="3253">
      <c r="C3253" s="18" t="n"/>
      <c r="J3253" s="19" t="n"/>
      <c r="P3253" s="20" t="n"/>
      <c r="Q3253" s="19" t="n"/>
      <c r="R3253" s="19" t="n"/>
      <c r="Y3253" s="19" t="n"/>
    </row>
    <row r="3254">
      <c r="C3254" s="18" t="n"/>
      <c r="J3254" s="19" t="n"/>
      <c r="P3254" s="20" t="n"/>
      <c r="Q3254" s="19" t="n"/>
      <c r="R3254" s="19" t="n"/>
      <c r="Y3254" s="19" t="n"/>
    </row>
    <row r="3255">
      <c r="C3255" s="18" t="n"/>
      <c r="J3255" s="19" t="n"/>
      <c r="P3255" s="20" t="n"/>
      <c r="Q3255" s="19" t="n"/>
      <c r="R3255" s="19" t="n"/>
      <c r="Y3255" s="19" t="n"/>
    </row>
    <row r="3256">
      <c r="C3256" s="18" t="n"/>
      <c r="J3256" s="19" t="n"/>
      <c r="P3256" s="20" t="n"/>
      <c r="Q3256" s="19" t="n"/>
      <c r="R3256" s="19" t="n"/>
      <c r="Y3256" s="19" t="n"/>
    </row>
    <row r="3257">
      <c r="C3257" s="18" t="n"/>
      <c r="J3257" s="19" t="n"/>
      <c r="P3257" s="20" t="n"/>
      <c r="Q3257" s="19" t="n"/>
      <c r="R3257" s="19" t="n"/>
      <c r="Y3257" s="19" t="n"/>
    </row>
    <row r="3258">
      <c r="C3258" s="18" t="n"/>
      <c r="J3258" s="19" t="n"/>
      <c r="P3258" s="20" t="n"/>
      <c r="Q3258" s="19" t="n"/>
      <c r="R3258" s="19" t="n"/>
      <c r="Y3258" s="19" t="n"/>
    </row>
    <row r="3259">
      <c r="C3259" s="18" t="n"/>
      <c r="J3259" s="19" t="n"/>
      <c r="P3259" s="20" t="n"/>
      <c r="Q3259" s="19" t="n"/>
      <c r="R3259" s="19" t="n"/>
      <c r="Y3259" s="19" t="n"/>
    </row>
    <row r="3260">
      <c r="C3260" s="18" t="n"/>
      <c r="J3260" s="19" t="n"/>
      <c r="P3260" s="20" t="n"/>
      <c r="Q3260" s="19" t="n"/>
      <c r="R3260" s="19" t="n"/>
      <c r="Y3260" s="19" t="n"/>
    </row>
    <row r="3261">
      <c r="C3261" s="18" t="n"/>
      <c r="J3261" s="19" t="n"/>
      <c r="P3261" s="20" t="n"/>
      <c r="Q3261" s="19" t="n"/>
      <c r="R3261" s="19" t="n"/>
      <c r="Y3261" s="19" t="n"/>
    </row>
    <row r="3262">
      <c r="C3262" s="18" t="n"/>
      <c r="J3262" s="19" t="n"/>
      <c r="P3262" s="20" t="n"/>
      <c r="Q3262" s="19" t="n"/>
      <c r="R3262" s="19" t="n"/>
      <c r="Y3262" s="19" t="n"/>
    </row>
    <row r="3263">
      <c r="C3263" s="18" t="n"/>
      <c r="J3263" s="19" t="n"/>
      <c r="P3263" s="20" t="n"/>
      <c r="Q3263" s="19" t="n"/>
      <c r="R3263" s="19" t="n"/>
      <c r="Y3263" s="19" t="n"/>
    </row>
    <row r="3264">
      <c r="C3264" s="18" t="n"/>
      <c r="J3264" s="19" t="n"/>
      <c r="P3264" s="20" t="n"/>
      <c r="Q3264" s="19" t="n"/>
      <c r="R3264" s="19" t="n"/>
      <c r="Y3264" s="19" t="n"/>
    </row>
    <row r="3265">
      <c r="C3265" s="18" t="n"/>
      <c r="J3265" s="19" t="n"/>
      <c r="P3265" s="20" t="n"/>
      <c r="Q3265" s="19" t="n"/>
      <c r="R3265" s="19" t="n"/>
      <c r="Y3265" s="19" t="n"/>
    </row>
    <row r="3266">
      <c r="C3266" s="18" t="n"/>
      <c r="J3266" s="19" t="n"/>
      <c r="P3266" s="20" t="n"/>
      <c r="Q3266" s="19" t="n"/>
      <c r="R3266" s="19" t="n"/>
      <c r="Y3266" s="19" t="n"/>
    </row>
    <row r="3267">
      <c r="C3267" s="18" t="n"/>
      <c r="J3267" s="19" t="n"/>
      <c r="P3267" s="20" t="n"/>
      <c r="Q3267" s="19" t="n"/>
      <c r="R3267" s="19" t="n"/>
      <c r="Y3267" s="19" t="n"/>
    </row>
    <row r="3268">
      <c r="C3268" s="18" t="n"/>
      <c r="J3268" s="19" t="n"/>
      <c r="P3268" s="20" t="n"/>
      <c r="Q3268" s="19" t="n"/>
      <c r="R3268" s="19" t="n"/>
      <c r="Y3268" s="19" t="n"/>
    </row>
    <row r="3269">
      <c r="C3269" s="18" t="n"/>
      <c r="J3269" s="19" t="n"/>
      <c r="P3269" s="20" t="n"/>
      <c r="Q3269" s="19" t="n"/>
      <c r="R3269" s="19" t="n"/>
      <c r="Y3269" s="19" t="n"/>
    </row>
    <row r="3270">
      <c r="C3270" s="18" t="n"/>
      <c r="J3270" s="19" t="n"/>
      <c r="P3270" s="20" t="n"/>
      <c r="Q3270" s="19" t="n"/>
      <c r="R3270" s="19" t="n"/>
      <c r="Y3270" s="19" t="n"/>
    </row>
    <row r="3271">
      <c r="C3271" s="18" t="n"/>
      <c r="J3271" s="19" t="n"/>
      <c r="P3271" s="20" t="n"/>
      <c r="Q3271" s="19" t="n"/>
      <c r="R3271" s="19" t="n"/>
      <c r="Y3271" s="19" t="n"/>
    </row>
    <row r="3272">
      <c r="C3272" s="18" t="n"/>
      <c r="J3272" s="19" t="n"/>
      <c r="P3272" s="20" t="n"/>
      <c r="Q3272" s="19" t="n"/>
      <c r="R3272" s="19" t="n"/>
      <c r="Y3272" s="19" t="n"/>
    </row>
    <row r="3273">
      <c r="C3273" s="18" t="n"/>
      <c r="J3273" s="19" t="n"/>
      <c r="P3273" s="20" t="n"/>
      <c r="Q3273" s="19" t="n"/>
      <c r="R3273" s="19" t="n"/>
      <c r="Y3273" s="19" t="n"/>
    </row>
    <row r="3274">
      <c r="C3274" s="18" t="n"/>
      <c r="J3274" s="19" t="n"/>
      <c r="P3274" s="20" t="n"/>
      <c r="Q3274" s="19" t="n"/>
      <c r="R3274" s="19" t="n"/>
      <c r="Y3274" s="19" t="n"/>
    </row>
    <row r="3275">
      <c r="C3275" s="18" t="n"/>
      <c r="J3275" s="19" t="n"/>
      <c r="P3275" s="20" t="n"/>
      <c r="Q3275" s="19" t="n"/>
      <c r="R3275" s="19" t="n"/>
      <c r="Y3275" s="19" t="n"/>
    </row>
    <row r="3276">
      <c r="C3276" s="18" t="n"/>
      <c r="J3276" s="19" t="n"/>
      <c r="P3276" s="20" t="n"/>
      <c r="Q3276" s="19" t="n"/>
      <c r="R3276" s="19" t="n"/>
      <c r="Y3276" s="19" t="n"/>
    </row>
    <row r="3277">
      <c r="C3277" s="18" t="n"/>
      <c r="J3277" s="19" t="n"/>
      <c r="P3277" s="20" t="n"/>
      <c r="Q3277" s="19" t="n"/>
      <c r="R3277" s="19" t="n"/>
      <c r="Y3277" s="19" t="n"/>
    </row>
    <row r="3278">
      <c r="C3278" s="18" t="n"/>
      <c r="J3278" s="19" t="n"/>
      <c r="P3278" s="20" t="n"/>
      <c r="Q3278" s="19" t="n"/>
      <c r="R3278" s="19" t="n"/>
      <c r="Y3278" s="19" t="n"/>
    </row>
    <row r="3279">
      <c r="C3279" s="18" t="n"/>
      <c r="J3279" s="19" t="n"/>
      <c r="P3279" s="20" t="n"/>
      <c r="Q3279" s="19" t="n"/>
      <c r="R3279" s="19" t="n"/>
      <c r="Y3279" s="19" t="n"/>
    </row>
    <row r="3280">
      <c r="C3280" s="18" t="n"/>
      <c r="J3280" s="19" t="n"/>
      <c r="P3280" s="20" t="n"/>
      <c r="Q3280" s="19" t="n"/>
      <c r="R3280" s="19" t="n"/>
      <c r="Y3280" s="19" t="n"/>
    </row>
    <row r="3281">
      <c r="C3281" s="18" t="n"/>
      <c r="J3281" s="19" t="n"/>
      <c r="P3281" s="20" t="n"/>
      <c r="Q3281" s="19" t="n"/>
      <c r="R3281" s="19" t="n"/>
      <c r="Y3281" s="19" t="n"/>
    </row>
    <row r="3282">
      <c r="C3282" s="18" t="n"/>
      <c r="J3282" s="19" t="n"/>
      <c r="P3282" s="20" t="n"/>
      <c r="Q3282" s="19" t="n"/>
      <c r="R3282" s="19" t="n"/>
      <c r="Y3282" s="19" t="n"/>
    </row>
    <row r="3283">
      <c r="C3283" s="18" t="n"/>
      <c r="J3283" s="19" t="n"/>
      <c r="P3283" s="20" t="n"/>
      <c r="Q3283" s="19" t="n"/>
      <c r="R3283" s="19" t="n"/>
      <c r="Y3283" s="19" t="n"/>
    </row>
    <row r="3284">
      <c r="C3284" s="18" t="n"/>
      <c r="J3284" s="19" t="n"/>
      <c r="P3284" s="20" t="n"/>
      <c r="Q3284" s="19" t="n"/>
      <c r="R3284" s="19" t="n"/>
      <c r="Y3284" s="19" t="n"/>
    </row>
    <row r="3285">
      <c r="C3285" s="18" t="n"/>
      <c r="J3285" s="19" t="n"/>
      <c r="P3285" s="20" t="n"/>
      <c r="Q3285" s="19" t="n"/>
      <c r="R3285" s="19" t="n"/>
      <c r="Y3285" s="19" t="n"/>
    </row>
    <row r="3286">
      <c r="C3286" s="18" t="n"/>
      <c r="J3286" s="19" t="n"/>
      <c r="P3286" s="20" t="n"/>
      <c r="Q3286" s="19" t="n"/>
      <c r="R3286" s="19" t="n"/>
      <c r="Y3286" s="19" t="n"/>
    </row>
    <row r="3287">
      <c r="C3287" s="18" t="n"/>
      <c r="J3287" s="19" t="n"/>
      <c r="P3287" s="20" t="n"/>
      <c r="Q3287" s="19" t="n"/>
      <c r="R3287" s="19" t="n"/>
      <c r="Y3287" s="19" t="n"/>
    </row>
    <row r="3288">
      <c r="C3288" s="18" t="n"/>
      <c r="J3288" s="19" t="n"/>
      <c r="P3288" s="20" t="n"/>
      <c r="Q3288" s="19" t="n"/>
      <c r="R3288" s="19" t="n"/>
      <c r="Y3288" s="19" t="n"/>
    </row>
    <row r="3289">
      <c r="C3289" s="18" t="n"/>
      <c r="J3289" s="19" t="n"/>
      <c r="P3289" s="20" t="n"/>
      <c r="Q3289" s="19" t="n"/>
      <c r="R3289" s="19" t="n"/>
      <c r="Y3289" s="19" t="n"/>
    </row>
    <row r="3290">
      <c r="C3290" s="18" t="n"/>
      <c r="J3290" s="19" t="n"/>
      <c r="P3290" s="20" t="n"/>
      <c r="Q3290" s="19" t="n"/>
      <c r="R3290" s="19" t="n"/>
      <c r="Y3290" s="19" t="n"/>
    </row>
    <row r="3291">
      <c r="C3291" s="18" t="n"/>
      <c r="J3291" s="19" t="n"/>
      <c r="P3291" s="20" t="n"/>
      <c r="Q3291" s="19" t="n"/>
      <c r="R3291" s="19" t="n"/>
      <c r="Y3291" s="19" t="n"/>
    </row>
    <row r="3292">
      <c r="C3292" s="18" t="n"/>
      <c r="J3292" s="19" t="n"/>
      <c r="P3292" s="20" t="n"/>
      <c r="Q3292" s="19" t="n"/>
      <c r="R3292" s="19" t="n"/>
      <c r="Y3292" s="19" t="n"/>
    </row>
    <row r="3293">
      <c r="C3293" s="18" t="n"/>
      <c r="J3293" s="19" t="n"/>
      <c r="P3293" s="20" t="n"/>
      <c r="Q3293" s="19" t="n"/>
      <c r="R3293" s="19" t="n"/>
      <c r="Y3293" s="19" t="n"/>
    </row>
    <row r="3294">
      <c r="C3294" s="18" t="n"/>
      <c r="J3294" s="19" t="n"/>
      <c r="P3294" s="20" t="n"/>
      <c r="Q3294" s="19" t="n"/>
      <c r="R3294" s="19" t="n"/>
      <c r="Y3294" s="19" t="n"/>
    </row>
    <row r="3295">
      <c r="C3295" s="18" t="n"/>
      <c r="J3295" s="19" t="n"/>
      <c r="P3295" s="20" t="n"/>
      <c r="Q3295" s="19" t="n"/>
      <c r="R3295" s="19" t="n"/>
      <c r="Y3295" s="19" t="n"/>
    </row>
    <row r="3296">
      <c r="C3296" s="18" t="n"/>
      <c r="J3296" s="19" t="n"/>
      <c r="P3296" s="20" t="n"/>
      <c r="Q3296" s="19" t="n"/>
      <c r="R3296" s="19" t="n"/>
      <c r="Y3296" s="19" t="n"/>
    </row>
    <row r="3297">
      <c r="C3297" s="18" t="n"/>
      <c r="J3297" s="19" t="n"/>
      <c r="P3297" s="20" t="n"/>
      <c r="Q3297" s="19" t="n"/>
      <c r="R3297" s="19" t="n"/>
      <c r="Y3297" s="19" t="n"/>
    </row>
    <row r="3298">
      <c r="C3298" s="18" t="n"/>
      <c r="J3298" s="19" t="n"/>
      <c r="P3298" s="20" t="n"/>
      <c r="Q3298" s="19" t="n"/>
      <c r="R3298" s="19" t="n"/>
      <c r="Y3298" s="19" t="n"/>
    </row>
    <row r="3299">
      <c r="C3299" s="18" t="n"/>
      <c r="J3299" s="19" t="n"/>
      <c r="P3299" s="20" t="n"/>
      <c r="Q3299" s="19" t="n"/>
      <c r="R3299" s="19" t="n"/>
      <c r="Y3299" s="19" t="n"/>
    </row>
    <row r="3300">
      <c r="C3300" s="18" t="n"/>
      <c r="J3300" s="19" t="n"/>
      <c r="P3300" s="20" t="n"/>
      <c r="Q3300" s="19" t="n"/>
      <c r="R3300" s="19" t="n"/>
      <c r="Y3300" s="19" t="n"/>
    </row>
    <row r="3301">
      <c r="C3301" s="18" t="n"/>
      <c r="J3301" s="19" t="n"/>
      <c r="P3301" s="20" t="n"/>
      <c r="Q3301" s="19" t="n"/>
      <c r="R3301" s="19" t="n"/>
      <c r="Y3301" s="19" t="n"/>
    </row>
    <row r="3302">
      <c r="C3302" s="18" t="n"/>
      <c r="J3302" s="19" t="n"/>
      <c r="P3302" s="20" t="n"/>
      <c r="Q3302" s="19" t="n"/>
      <c r="R3302" s="19" t="n"/>
      <c r="Y3302" s="19" t="n"/>
    </row>
    <row r="3303">
      <c r="C3303" s="18" t="n"/>
      <c r="J3303" s="19" t="n"/>
      <c r="P3303" s="20" t="n"/>
      <c r="Q3303" s="19" t="n"/>
      <c r="R3303" s="19" t="n"/>
      <c r="Y3303" s="19" t="n"/>
    </row>
    <row r="3304">
      <c r="C3304" s="18" t="n"/>
      <c r="J3304" s="19" t="n"/>
      <c r="P3304" s="20" t="n"/>
      <c r="Q3304" s="19" t="n"/>
      <c r="R3304" s="19" t="n"/>
      <c r="Y3304" s="19" t="n"/>
    </row>
    <row r="3305">
      <c r="C3305" s="18" t="n"/>
      <c r="J3305" s="19" t="n"/>
      <c r="P3305" s="20" t="n"/>
      <c r="Q3305" s="19" t="n"/>
      <c r="R3305" s="19" t="n"/>
      <c r="Y3305" s="19" t="n"/>
    </row>
    <row r="3306">
      <c r="C3306" s="18" t="n"/>
      <c r="J3306" s="19" t="n"/>
      <c r="P3306" s="20" t="n"/>
      <c r="Q3306" s="19" t="n"/>
      <c r="R3306" s="19" t="n"/>
      <c r="Y3306" s="19" t="n"/>
    </row>
    <row r="3307">
      <c r="C3307" s="18" t="n"/>
      <c r="J3307" s="19" t="n"/>
      <c r="P3307" s="20" t="n"/>
      <c r="Q3307" s="19" t="n"/>
      <c r="R3307" s="19" t="n"/>
      <c r="Y3307" s="19" t="n"/>
    </row>
    <row r="3308">
      <c r="C3308" s="18" t="n"/>
      <c r="J3308" s="19" t="n"/>
      <c r="P3308" s="20" t="n"/>
      <c r="Q3308" s="19" t="n"/>
      <c r="R3308" s="19" t="n"/>
      <c r="Y3308" s="19" t="n"/>
    </row>
    <row r="3309">
      <c r="C3309" s="18" t="n"/>
      <c r="J3309" s="19" t="n"/>
      <c r="P3309" s="20" t="n"/>
      <c r="Q3309" s="19" t="n"/>
      <c r="R3309" s="19" t="n"/>
      <c r="Y3309" s="19" t="n"/>
    </row>
    <row r="3310">
      <c r="C3310" s="18" t="n"/>
      <c r="J3310" s="19" t="n"/>
      <c r="P3310" s="20" t="n"/>
      <c r="Q3310" s="19" t="n"/>
      <c r="R3310" s="19" t="n"/>
      <c r="Y3310" s="19" t="n"/>
    </row>
    <row r="3311">
      <c r="C3311" s="18" t="n"/>
      <c r="J3311" s="19" t="n"/>
      <c r="P3311" s="20" t="n"/>
      <c r="Q3311" s="19" t="n"/>
      <c r="R3311" s="19" t="n"/>
      <c r="Y3311" s="19" t="n"/>
    </row>
    <row r="3312">
      <c r="C3312" s="18" t="n"/>
      <c r="J3312" s="19" t="n"/>
      <c r="P3312" s="20" t="n"/>
      <c r="Q3312" s="19" t="n"/>
      <c r="R3312" s="19" t="n"/>
      <c r="Y3312" s="19" t="n"/>
    </row>
    <row r="3313">
      <c r="C3313" s="18" t="n"/>
      <c r="J3313" s="19" t="n"/>
      <c r="P3313" s="20" t="n"/>
      <c r="Q3313" s="19" t="n"/>
      <c r="R3313" s="19" t="n"/>
      <c r="Y3313" s="19" t="n"/>
    </row>
    <row r="3314">
      <c r="C3314" s="18" t="n"/>
      <c r="J3314" s="19" t="n"/>
      <c r="P3314" s="20" t="n"/>
      <c r="Q3314" s="19" t="n"/>
      <c r="R3314" s="19" t="n"/>
      <c r="Y3314" s="19" t="n"/>
    </row>
    <row r="3315">
      <c r="C3315" s="18" t="n"/>
      <c r="J3315" s="19" t="n"/>
      <c r="P3315" s="20" t="n"/>
      <c r="Q3315" s="19" t="n"/>
      <c r="R3315" s="19" t="n"/>
      <c r="Y3315" s="19" t="n"/>
    </row>
    <row r="3316">
      <c r="C3316" s="18" t="n"/>
      <c r="J3316" s="19" t="n"/>
      <c r="P3316" s="20" t="n"/>
      <c r="Q3316" s="19" t="n"/>
      <c r="R3316" s="19" t="n"/>
      <c r="Y3316" s="19" t="n"/>
    </row>
    <row r="3317">
      <c r="C3317" s="18" t="n"/>
      <c r="J3317" s="19" t="n"/>
      <c r="P3317" s="20" t="n"/>
      <c r="Q3317" s="19" t="n"/>
      <c r="R3317" s="19" t="n"/>
      <c r="Y3317" s="19" t="n"/>
    </row>
    <row r="3318">
      <c r="C3318" s="18" t="n"/>
      <c r="J3318" s="19" t="n"/>
      <c r="P3318" s="20" t="n"/>
      <c r="Q3318" s="19" t="n"/>
      <c r="R3318" s="19" t="n"/>
      <c r="Y3318" s="19" t="n"/>
    </row>
    <row r="3319">
      <c r="C3319" s="18" t="n"/>
      <c r="J3319" s="19" t="n"/>
      <c r="P3319" s="20" t="n"/>
      <c r="Q3319" s="19" t="n"/>
      <c r="R3319" s="19" t="n"/>
      <c r="Y3319" s="19" t="n"/>
    </row>
    <row r="3320">
      <c r="C3320" s="18" t="n"/>
      <c r="J3320" s="19" t="n"/>
      <c r="P3320" s="20" t="n"/>
      <c r="Q3320" s="19" t="n"/>
      <c r="R3320" s="19" t="n"/>
      <c r="Y3320" s="19" t="n"/>
    </row>
    <row r="3321">
      <c r="C3321" s="18" t="n"/>
      <c r="J3321" s="19" t="n"/>
      <c r="P3321" s="20" t="n"/>
      <c r="Q3321" s="19" t="n"/>
      <c r="R3321" s="19" t="n"/>
      <c r="Y3321" s="19" t="n"/>
    </row>
    <row r="3322">
      <c r="C3322" s="18" t="n"/>
      <c r="J3322" s="19" t="n"/>
      <c r="P3322" s="20" t="n"/>
      <c r="Q3322" s="19" t="n"/>
      <c r="R3322" s="19" t="n"/>
      <c r="Y3322" s="19" t="n"/>
    </row>
    <row r="3323">
      <c r="C3323" s="18" t="n"/>
      <c r="J3323" s="19" t="n"/>
      <c r="P3323" s="20" t="n"/>
      <c r="Q3323" s="19" t="n"/>
      <c r="R3323" s="19" t="n"/>
      <c r="Y3323" s="19" t="n"/>
    </row>
    <row r="3324">
      <c r="C3324" s="18" t="n"/>
      <c r="J3324" s="19" t="n"/>
      <c r="P3324" s="20" t="n"/>
      <c r="Q3324" s="19" t="n"/>
      <c r="R3324" s="19" t="n"/>
      <c r="Y3324" s="19" t="n"/>
    </row>
    <row r="3325">
      <c r="C3325" s="18" t="n"/>
      <c r="J3325" s="19" t="n"/>
      <c r="P3325" s="20" t="n"/>
      <c r="Q3325" s="19" t="n"/>
      <c r="R3325" s="19" t="n"/>
      <c r="Y3325" s="19" t="n"/>
    </row>
    <row r="3326">
      <c r="C3326" s="18" t="n"/>
      <c r="J3326" s="19" t="n"/>
      <c r="P3326" s="20" t="n"/>
      <c r="Q3326" s="19" t="n"/>
      <c r="R3326" s="19" t="n"/>
      <c r="Y3326" s="19" t="n"/>
    </row>
    <row r="3327">
      <c r="C3327" s="18" t="n"/>
      <c r="J3327" s="19" t="n"/>
      <c r="P3327" s="20" t="n"/>
      <c r="Q3327" s="19" t="n"/>
      <c r="R3327" s="19" t="n"/>
      <c r="Y3327" s="19" t="n"/>
    </row>
    <row r="3328">
      <c r="C3328" s="18" t="n"/>
      <c r="J3328" s="19" t="n"/>
      <c r="P3328" s="20" t="n"/>
      <c r="Q3328" s="19" t="n"/>
      <c r="R3328" s="19" t="n"/>
      <c r="Y3328" s="19" t="n"/>
    </row>
    <row r="3329">
      <c r="C3329" s="18" t="n"/>
      <c r="J3329" s="19" t="n"/>
      <c r="P3329" s="20" t="n"/>
      <c r="Q3329" s="19" t="n"/>
      <c r="R3329" s="19" t="n"/>
      <c r="Y3329" s="19" t="n"/>
    </row>
    <row r="3330">
      <c r="C3330" s="18" t="n"/>
      <c r="J3330" s="19" t="n"/>
      <c r="P3330" s="20" t="n"/>
      <c r="Q3330" s="19" t="n"/>
      <c r="R3330" s="19" t="n"/>
      <c r="Y3330" s="19" t="n"/>
    </row>
    <row r="3331">
      <c r="C3331" s="18" t="n"/>
      <c r="J3331" s="19" t="n"/>
      <c r="P3331" s="20" t="n"/>
      <c r="Q3331" s="19" t="n"/>
      <c r="R3331" s="19" t="n"/>
      <c r="Y3331" s="19" t="n"/>
    </row>
    <row r="3332">
      <c r="C3332" s="18" t="n"/>
      <c r="J3332" s="19" t="n"/>
      <c r="P3332" s="20" t="n"/>
      <c r="Q3332" s="19" t="n"/>
      <c r="R3332" s="19" t="n"/>
      <c r="Y3332" s="19" t="n"/>
    </row>
    <row r="3333">
      <c r="C3333" s="18" t="n"/>
      <c r="J3333" s="19" t="n"/>
      <c r="P3333" s="20" t="n"/>
      <c r="Q3333" s="19" t="n"/>
      <c r="R3333" s="19" t="n"/>
      <c r="Y3333" s="19" t="n"/>
    </row>
    <row r="3334">
      <c r="C3334" s="18" t="n"/>
      <c r="J3334" s="19" t="n"/>
      <c r="P3334" s="20" t="n"/>
      <c r="Q3334" s="19" t="n"/>
      <c r="R3334" s="19" t="n"/>
      <c r="Y3334" s="19" t="n"/>
    </row>
    <row r="3335">
      <c r="C3335" s="18" t="n"/>
      <c r="J3335" s="19" t="n"/>
      <c r="P3335" s="20" t="n"/>
      <c r="Q3335" s="19" t="n"/>
      <c r="R3335" s="19" t="n"/>
      <c r="Y3335" s="19" t="n"/>
    </row>
    <row r="3336">
      <c r="C3336" s="18" t="n"/>
      <c r="J3336" s="19" t="n"/>
      <c r="P3336" s="20" t="n"/>
      <c r="Q3336" s="19" t="n"/>
      <c r="R3336" s="19" t="n"/>
      <c r="Y3336" s="19" t="n"/>
    </row>
    <row r="3337">
      <c r="C3337" s="18" t="n"/>
      <c r="J3337" s="19" t="n"/>
      <c r="P3337" s="20" t="n"/>
      <c r="Q3337" s="19" t="n"/>
      <c r="R3337" s="19" t="n"/>
      <c r="Y3337" s="19" t="n"/>
    </row>
    <row r="3338">
      <c r="C3338" s="18" t="n"/>
      <c r="J3338" s="19" t="n"/>
      <c r="P3338" s="20" t="n"/>
      <c r="Q3338" s="19" t="n"/>
      <c r="R3338" s="19" t="n"/>
      <c r="Y3338" s="19" t="n"/>
    </row>
    <row r="3339">
      <c r="C3339" s="18" t="n"/>
      <c r="J3339" s="19" t="n"/>
      <c r="P3339" s="20" t="n"/>
      <c r="Q3339" s="19" t="n"/>
      <c r="R3339" s="19" t="n"/>
      <c r="Y3339" s="19" t="n"/>
    </row>
    <row r="3340">
      <c r="C3340" s="18" t="n"/>
      <c r="J3340" s="19" t="n"/>
      <c r="P3340" s="20" t="n"/>
      <c r="Q3340" s="19" t="n"/>
      <c r="R3340" s="19" t="n"/>
      <c r="Y3340" s="19" t="n"/>
    </row>
    <row r="3341">
      <c r="C3341" s="18" t="n"/>
      <c r="J3341" s="19" t="n"/>
      <c r="P3341" s="20" t="n"/>
      <c r="Q3341" s="19" t="n"/>
      <c r="R3341" s="19" t="n"/>
      <c r="Y3341" s="19" t="n"/>
    </row>
    <row r="3342">
      <c r="C3342" s="18" t="n"/>
      <c r="J3342" s="19" t="n"/>
      <c r="P3342" s="20" t="n"/>
      <c r="Q3342" s="19" t="n"/>
      <c r="R3342" s="19" t="n"/>
      <c r="Y3342" s="19" t="n"/>
    </row>
    <row r="3343">
      <c r="C3343" s="18" t="n"/>
      <c r="J3343" s="19" t="n"/>
      <c r="P3343" s="20" t="n"/>
      <c r="Q3343" s="19" t="n"/>
      <c r="R3343" s="19" t="n"/>
      <c r="Y3343" s="19" t="n"/>
    </row>
    <row r="3344">
      <c r="C3344" s="18" t="n"/>
      <c r="J3344" s="19" t="n"/>
      <c r="P3344" s="20" t="n"/>
      <c r="Q3344" s="19" t="n"/>
      <c r="R3344" s="19" t="n"/>
      <c r="Y3344" s="19" t="n"/>
    </row>
    <row r="3345">
      <c r="C3345" s="18" t="n"/>
      <c r="J3345" s="19" t="n"/>
      <c r="P3345" s="20" t="n"/>
      <c r="Q3345" s="19" t="n"/>
      <c r="R3345" s="19" t="n"/>
      <c r="Y3345" s="19" t="n"/>
    </row>
    <row r="3346">
      <c r="C3346" s="18" t="n"/>
      <c r="J3346" s="19" t="n"/>
      <c r="P3346" s="20" t="n"/>
      <c r="Q3346" s="19" t="n"/>
      <c r="R3346" s="19" t="n"/>
      <c r="Y3346" s="19" t="n"/>
    </row>
    <row r="3347">
      <c r="C3347" s="18" t="n"/>
      <c r="J3347" s="19" t="n"/>
      <c r="P3347" s="20" t="n"/>
      <c r="Q3347" s="19" t="n"/>
      <c r="R3347" s="19" t="n"/>
      <c r="Y3347" s="19" t="n"/>
    </row>
    <row r="3348">
      <c r="C3348" s="18" t="n"/>
      <c r="J3348" s="19" t="n"/>
      <c r="P3348" s="20" t="n"/>
      <c r="Q3348" s="19" t="n"/>
      <c r="R3348" s="19" t="n"/>
      <c r="Y3348" s="19" t="n"/>
    </row>
    <row r="3349">
      <c r="C3349" s="18" t="n"/>
      <c r="J3349" s="19" t="n"/>
      <c r="P3349" s="20" t="n"/>
      <c r="Q3349" s="19" t="n"/>
      <c r="R3349" s="19" t="n"/>
      <c r="Y3349" s="19" t="n"/>
    </row>
    <row r="3350">
      <c r="C3350" s="18" t="n"/>
      <c r="J3350" s="19" t="n"/>
      <c r="P3350" s="20" t="n"/>
      <c r="Q3350" s="19" t="n"/>
      <c r="R3350" s="19" t="n"/>
      <c r="Y3350" s="19" t="n"/>
    </row>
    <row r="3351">
      <c r="C3351" s="18" t="n"/>
      <c r="J3351" s="19" t="n"/>
      <c r="P3351" s="20" t="n"/>
      <c r="Q3351" s="19" t="n"/>
      <c r="R3351" s="19" t="n"/>
      <c r="Y3351" s="19" t="n"/>
    </row>
    <row r="3352">
      <c r="C3352" s="18" t="n"/>
      <c r="J3352" s="19" t="n"/>
      <c r="P3352" s="20" t="n"/>
      <c r="Q3352" s="19" t="n"/>
      <c r="R3352" s="19" t="n"/>
      <c r="Y3352" s="19" t="n"/>
    </row>
    <row r="3353">
      <c r="C3353" s="18" t="n"/>
      <c r="J3353" s="19" t="n"/>
      <c r="P3353" s="20" t="n"/>
      <c r="Q3353" s="19" t="n"/>
      <c r="R3353" s="19" t="n"/>
      <c r="Y3353" s="19" t="n"/>
    </row>
    <row r="3354">
      <c r="C3354" s="18" t="n"/>
      <c r="J3354" s="19" t="n"/>
      <c r="P3354" s="20" t="n"/>
      <c r="Q3354" s="19" t="n"/>
      <c r="R3354" s="19" t="n"/>
      <c r="Y3354" s="19" t="n"/>
    </row>
    <row r="3355">
      <c r="C3355" s="18" t="n"/>
      <c r="J3355" s="19" t="n"/>
      <c r="P3355" s="20" t="n"/>
      <c r="Q3355" s="19" t="n"/>
      <c r="R3355" s="19" t="n"/>
      <c r="Y3355" s="19" t="n"/>
    </row>
    <row r="3356">
      <c r="C3356" s="18" t="n"/>
      <c r="J3356" s="19" t="n"/>
      <c r="P3356" s="20" t="n"/>
      <c r="Q3356" s="19" t="n"/>
      <c r="R3356" s="19" t="n"/>
      <c r="Y3356" s="19" t="n"/>
    </row>
    <row r="3357">
      <c r="C3357" s="18" t="n"/>
      <c r="J3357" s="19" t="n"/>
      <c r="P3357" s="20" t="n"/>
      <c r="Q3357" s="19" t="n"/>
      <c r="R3357" s="19" t="n"/>
      <c r="Y3357" s="19" t="n"/>
    </row>
    <row r="3358">
      <c r="C3358" s="18" t="n"/>
      <c r="J3358" s="19" t="n"/>
      <c r="P3358" s="20" t="n"/>
      <c r="Q3358" s="19" t="n"/>
      <c r="R3358" s="19" t="n"/>
      <c r="Y3358" s="19" t="n"/>
    </row>
    <row r="3359">
      <c r="C3359" s="18" t="n"/>
      <c r="J3359" s="19" t="n"/>
      <c r="P3359" s="20" t="n"/>
      <c r="Q3359" s="19" t="n"/>
      <c r="R3359" s="19" t="n"/>
      <c r="Y3359" s="19" t="n"/>
    </row>
    <row r="3360">
      <c r="C3360" s="18" t="n"/>
      <c r="J3360" s="19" t="n"/>
      <c r="P3360" s="20" t="n"/>
      <c r="Q3360" s="19" t="n"/>
      <c r="R3360" s="19" t="n"/>
      <c r="Y3360" s="19" t="n"/>
    </row>
    <row r="3361">
      <c r="C3361" s="18" t="n"/>
      <c r="J3361" s="19" t="n"/>
      <c r="P3361" s="20" t="n"/>
      <c r="Q3361" s="19" t="n"/>
      <c r="R3361" s="19" t="n"/>
      <c r="Y3361" s="19" t="n"/>
    </row>
    <row r="3362">
      <c r="C3362" s="18" t="n"/>
      <c r="J3362" s="19" t="n"/>
      <c r="P3362" s="20" t="n"/>
      <c r="Q3362" s="19" t="n"/>
      <c r="R3362" s="19" t="n"/>
      <c r="Y3362" s="19" t="n"/>
    </row>
    <row r="3363">
      <c r="C3363" s="18" t="n"/>
      <c r="J3363" s="19" t="n"/>
      <c r="P3363" s="20" t="n"/>
      <c r="Q3363" s="19" t="n"/>
      <c r="R3363" s="19" t="n"/>
      <c r="Y3363" s="19" t="n"/>
    </row>
    <row r="3364">
      <c r="C3364" s="18" t="n"/>
      <c r="J3364" s="19" t="n"/>
      <c r="P3364" s="20" t="n"/>
      <c r="Q3364" s="19" t="n"/>
      <c r="R3364" s="19" t="n"/>
      <c r="Y3364" s="19" t="n"/>
    </row>
    <row r="3365">
      <c r="C3365" s="18" t="n"/>
      <c r="J3365" s="19" t="n"/>
      <c r="P3365" s="20" t="n"/>
      <c r="Q3365" s="19" t="n"/>
      <c r="R3365" s="19" t="n"/>
      <c r="Y3365" s="19" t="n"/>
    </row>
    <row r="3366">
      <c r="C3366" s="18" t="n"/>
      <c r="J3366" s="19" t="n"/>
      <c r="P3366" s="20" t="n"/>
      <c r="Q3366" s="19" t="n"/>
      <c r="R3366" s="19" t="n"/>
      <c r="Y3366" s="19" t="n"/>
    </row>
    <row r="3367">
      <c r="C3367" s="18" t="n"/>
      <c r="J3367" s="19" t="n"/>
      <c r="P3367" s="20" t="n"/>
      <c r="Q3367" s="19" t="n"/>
      <c r="R3367" s="19" t="n"/>
      <c r="Y3367" s="19" t="n"/>
    </row>
    <row r="3368">
      <c r="C3368" s="18" t="n"/>
      <c r="J3368" s="19" t="n"/>
      <c r="P3368" s="20" t="n"/>
      <c r="Q3368" s="19" t="n"/>
      <c r="R3368" s="19" t="n"/>
      <c r="Y3368" s="19" t="n"/>
    </row>
    <row r="3369">
      <c r="C3369" s="18" t="n"/>
      <c r="J3369" s="19" t="n"/>
      <c r="P3369" s="20" t="n"/>
      <c r="Q3369" s="19" t="n"/>
      <c r="R3369" s="19" t="n"/>
      <c r="Y3369" s="19" t="n"/>
    </row>
    <row r="3370">
      <c r="C3370" s="18" t="n"/>
      <c r="J3370" s="19" t="n"/>
      <c r="P3370" s="20" t="n"/>
      <c r="Q3370" s="19" t="n"/>
      <c r="R3370" s="19" t="n"/>
      <c r="Y3370" s="19" t="n"/>
    </row>
    <row r="3371">
      <c r="C3371" s="18" t="n"/>
      <c r="J3371" s="19" t="n"/>
      <c r="P3371" s="20" t="n"/>
      <c r="Q3371" s="19" t="n"/>
      <c r="R3371" s="19" t="n"/>
      <c r="Y3371" s="19" t="n"/>
    </row>
    <row r="3372">
      <c r="C3372" s="18" t="n"/>
      <c r="J3372" s="19" t="n"/>
      <c r="P3372" s="20" t="n"/>
      <c r="Q3372" s="19" t="n"/>
      <c r="R3372" s="19" t="n"/>
      <c r="Y3372" s="19" t="n"/>
    </row>
    <row r="3373">
      <c r="C3373" s="18" t="n"/>
      <c r="J3373" s="19" t="n"/>
      <c r="P3373" s="20" t="n"/>
      <c r="Q3373" s="19" t="n"/>
      <c r="R3373" s="19" t="n"/>
      <c r="Y3373" s="19" t="n"/>
    </row>
    <row r="3374">
      <c r="C3374" s="18" t="n"/>
      <c r="J3374" s="19" t="n"/>
      <c r="P3374" s="20" t="n"/>
      <c r="Q3374" s="19" t="n"/>
      <c r="R3374" s="19" t="n"/>
      <c r="Y3374" s="19" t="n"/>
    </row>
    <row r="3375">
      <c r="C3375" s="18" t="n"/>
      <c r="J3375" s="19" t="n"/>
      <c r="P3375" s="20" t="n"/>
      <c r="Q3375" s="19" t="n"/>
      <c r="R3375" s="19" t="n"/>
      <c r="Y3375" s="19" t="n"/>
    </row>
    <row r="3376">
      <c r="C3376" s="18" t="n"/>
      <c r="J3376" s="19" t="n"/>
      <c r="P3376" s="20" t="n"/>
      <c r="Q3376" s="19" t="n"/>
      <c r="R3376" s="19" t="n"/>
      <c r="Y3376" s="19" t="n"/>
    </row>
    <row r="3377">
      <c r="C3377" s="18" t="n"/>
      <c r="J3377" s="19" t="n"/>
      <c r="P3377" s="20" t="n"/>
      <c r="Q3377" s="19" t="n"/>
      <c r="R3377" s="19" t="n"/>
      <c r="Y3377" s="19" t="n"/>
    </row>
    <row r="3378">
      <c r="C3378" s="18" t="n"/>
      <c r="J3378" s="19" t="n"/>
      <c r="P3378" s="20" t="n"/>
      <c r="Q3378" s="19" t="n"/>
      <c r="R3378" s="19" t="n"/>
      <c r="Y3378" s="19" t="n"/>
    </row>
    <row r="3379">
      <c r="C3379" s="18" t="n"/>
      <c r="J3379" s="19" t="n"/>
      <c r="P3379" s="20" t="n"/>
      <c r="Q3379" s="19" t="n"/>
      <c r="R3379" s="19" t="n"/>
      <c r="Y3379" s="19" t="n"/>
    </row>
    <row r="3380">
      <c r="C3380" s="18" t="n"/>
      <c r="J3380" s="19" t="n"/>
      <c r="P3380" s="20" t="n"/>
      <c r="Q3380" s="19" t="n"/>
      <c r="R3380" s="19" t="n"/>
      <c r="Y3380" s="19" t="n"/>
    </row>
    <row r="3381">
      <c r="C3381" s="18" t="n"/>
      <c r="J3381" s="19" t="n"/>
      <c r="P3381" s="20" t="n"/>
      <c r="Q3381" s="19" t="n"/>
      <c r="R3381" s="19" t="n"/>
      <c r="Y3381" s="19" t="n"/>
    </row>
    <row r="3382">
      <c r="C3382" s="18" t="n"/>
      <c r="J3382" s="19" t="n"/>
      <c r="P3382" s="20" t="n"/>
      <c r="Q3382" s="19" t="n"/>
      <c r="R3382" s="19" t="n"/>
      <c r="Y3382" s="19" t="n"/>
    </row>
    <row r="3383">
      <c r="C3383" s="18" t="n"/>
      <c r="J3383" s="19" t="n"/>
      <c r="P3383" s="20" t="n"/>
      <c r="Q3383" s="19" t="n"/>
      <c r="R3383" s="19" t="n"/>
      <c r="Y3383" s="19" t="n"/>
    </row>
    <row r="3384">
      <c r="C3384" s="18" t="n"/>
      <c r="J3384" s="19" t="n"/>
      <c r="P3384" s="20" t="n"/>
      <c r="Q3384" s="19" t="n"/>
      <c r="R3384" s="19" t="n"/>
      <c r="Y3384" s="19" t="n"/>
    </row>
    <row r="3385">
      <c r="C3385" s="18" t="n"/>
      <c r="J3385" s="19" t="n"/>
      <c r="P3385" s="20" t="n"/>
      <c r="Q3385" s="19" t="n"/>
      <c r="R3385" s="19" t="n"/>
      <c r="Y3385" s="19" t="n"/>
    </row>
    <row r="3386">
      <c r="C3386" s="18" t="n"/>
      <c r="J3386" s="19" t="n"/>
      <c r="P3386" s="20" t="n"/>
      <c r="Q3386" s="19" t="n"/>
      <c r="R3386" s="19" t="n"/>
      <c r="Y3386" s="19" t="n"/>
    </row>
    <row r="3387">
      <c r="C3387" s="18" t="n"/>
      <c r="J3387" s="19" t="n"/>
      <c r="P3387" s="20" t="n"/>
      <c r="Q3387" s="19" t="n"/>
      <c r="R3387" s="19" t="n"/>
      <c r="Y3387" s="19" t="n"/>
    </row>
    <row r="3388">
      <c r="C3388" s="18" t="n"/>
      <c r="J3388" s="19" t="n"/>
      <c r="P3388" s="20" t="n"/>
      <c r="Q3388" s="19" t="n"/>
      <c r="R3388" s="19" t="n"/>
      <c r="Y3388" s="19" t="n"/>
    </row>
    <row r="3389">
      <c r="C3389" s="18" t="n"/>
      <c r="J3389" s="19" t="n"/>
      <c r="P3389" s="20" t="n"/>
      <c r="Q3389" s="19" t="n"/>
      <c r="R3389" s="19" t="n"/>
      <c r="Y3389" s="19" t="n"/>
    </row>
    <row r="3390">
      <c r="C3390" s="18" t="n"/>
      <c r="J3390" s="19" t="n"/>
      <c r="P3390" s="20" t="n"/>
      <c r="Q3390" s="19" t="n"/>
      <c r="R3390" s="19" t="n"/>
      <c r="Y3390" s="19" t="n"/>
    </row>
    <row r="3391">
      <c r="C3391" s="18" t="n"/>
      <c r="J3391" s="19" t="n"/>
      <c r="P3391" s="20" t="n"/>
      <c r="Q3391" s="19" t="n"/>
      <c r="R3391" s="19" t="n"/>
      <c r="Y3391" s="19" t="n"/>
    </row>
    <row r="3392">
      <c r="C3392" s="18" t="n"/>
      <c r="J3392" s="19" t="n"/>
      <c r="P3392" s="20" t="n"/>
      <c r="Q3392" s="19" t="n"/>
      <c r="R3392" s="19" t="n"/>
      <c r="Y3392" s="19" t="n"/>
    </row>
    <row r="3393">
      <c r="C3393" s="18" t="n"/>
      <c r="J3393" s="19" t="n"/>
      <c r="P3393" s="20" t="n"/>
      <c r="Q3393" s="19" t="n"/>
      <c r="R3393" s="19" t="n"/>
      <c r="Y3393" s="19" t="n"/>
    </row>
    <row r="3394">
      <c r="C3394" s="18" t="n"/>
      <c r="J3394" s="19" t="n"/>
      <c r="P3394" s="20" t="n"/>
      <c r="Q3394" s="19" t="n"/>
      <c r="R3394" s="19" t="n"/>
      <c r="Y3394" s="19" t="n"/>
    </row>
    <row r="3395">
      <c r="C3395" s="18" t="n"/>
      <c r="J3395" s="19" t="n"/>
      <c r="P3395" s="20" t="n"/>
      <c r="Q3395" s="19" t="n"/>
      <c r="R3395" s="19" t="n"/>
      <c r="Y3395" s="19" t="n"/>
    </row>
    <row r="3396">
      <c r="C3396" s="18" t="n"/>
      <c r="J3396" s="19" t="n"/>
      <c r="P3396" s="20" t="n"/>
      <c r="Q3396" s="19" t="n"/>
      <c r="R3396" s="19" t="n"/>
      <c r="Y3396" s="19" t="n"/>
    </row>
    <row r="3397">
      <c r="C3397" s="18" t="n"/>
      <c r="J3397" s="19" t="n"/>
      <c r="P3397" s="20" t="n"/>
      <c r="Q3397" s="19" t="n"/>
      <c r="R3397" s="19" t="n"/>
      <c r="Y3397" s="19" t="n"/>
    </row>
    <row r="3398">
      <c r="C3398" s="18" t="n"/>
      <c r="J3398" s="19" t="n"/>
      <c r="P3398" s="20" t="n"/>
      <c r="Q3398" s="19" t="n"/>
      <c r="R3398" s="19" t="n"/>
      <c r="Y3398" s="19" t="n"/>
    </row>
    <row r="3399">
      <c r="C3399" s="18" t="n"/>
      <c r="J3399" s="19" t="n"/>
      <c r="P3399" s="20" t="n"/>
      <c r="Q3399" s="19" t="n"/>
      <c r="R3399" s="19" t="n"/>
      <c r="Y3399" s="19" t="n"/>
    </row>
    <row r="3400">
      <c r="C3400" s="18" t="n"/>
      <c r="J3400" s="19" t="n"/>
      <c r="P3400" s="20" t="n"/>
      <c r="Q3400" s="19" t="n"/>
      <c r="R3400" s="19" t="n"/>
      <c r="Y3400" s="19" t="n"/>
    </row>
    <row r="3401">
      <c r="C3401" s="18" t="n"/>
      <c r="J3401" s="19" t="n"/>
      <c r="P3401" s="20" t="n"/>
      <c r="Q3401" s="19" t="n"/>
      <c r="R3401" s="19" t="n"/>
      <c r="Y3401" s="19" t="n"/>
    </row>
    <row r="3402">
      <c r="C3402" s="18" t="n"/>
      <c r="J3402" s="19" t="n"/>
      <c r="P3402" s="20" t="n"/>
      <c r="Q3402" s="19" t="n"/>
      <c r="R3402" s="19" t="n"/>
      <c r="Y3402" s="19" t="n"/>
    </row>
    <row r="3403">
      <c r="C3403" s="18" t="n"/>
      <c r="J3403" s="19" t="n"/>
      <c r="P3403" s="20" t="n"/>
      <c r="Q3403" s="19" t="n"/>
      <c r="R3403" s="19" t="n"/>
      <c r="Y3403" s="19" t="n"/>
    </row>
    <row r="3404">
      <c r="C3404" s="18" t="n"/>
      <c r="J3404" s="19" t="n"/>
      <c r="P3404" s="20" t="n"/>
      <c r="Q3404" s="19" t="n"/>
      <c r="R3404" s="19" t="n"/>
      <c r="Y3404" s="19" t="n"/>
    </row>
    <row r="3405">
      <c r="C3405" s="18" t="n"/>
      <c r="J3405" s="19" t="n"/>
      <c r="P3405" s="20" t="n"/>
      <c r="Q3405" s="19" t="n"/>
      <c r="R3405" s="19" t="n"/>
      <c r="Y3405" s="19" t="n"/>
    </row>
    <row r="3406">
      <c r="C3406" s="18" t="n"/>
      <c r="J3406" s="19" t="n"/>
      <c r="P3406" s="20" t="n"/>
      <c r="Q3406" s="19" t="n"/>
      <c r="R3406" s="19" t="n"/>
      <c r="Y3406" s="19" t="n"/>
    </row>
    <row r="3407">
      <c r="C3407" s="18" t="n"/>
      <c r="J3407" s="19" t="n"/>
      <c r="P3407" s="20" t="n"/>
      <c r="Q3407" s="19" t="n"/>
      <c r="R3407" s="19" t="n"/>
      <c r="Y3407" s="19" t="n"/>
    </row>
    <row r="3408">
      <c r="C3408" s="18" t="n"/>
      <c r="J3408" s="19" t="n"/>
      <c r="P3408" s="20" t="n"/>
      <c r="Q3408" s="19" t="n"/>
      <c r="R3408" s="19" t="n"/>
      <c r="Y3408" s="19" t="n"/>
    </row>
    <row r="3409">
      <c r="C3409" s="18" t="n"/>
      <c r="J3409" s="19" t="n"/>
      <c r="P3409" s="20" t="n"/>
      <c r="Q3409" s="19" t="n"/>
      <c r="R3409" s="19" t="n"/>
      <c r="Y3409" s="19" t="n"/>
    </row>
    <row r="3410">
      <c r="C3410" s="18" t="n"/>
      <c r="J3410" s="19" t="n"/>
      <c r="P3410" s="20" t="n"/>
      <c r="Q3410" s="19" t="n"/>
      <c r="R3410" s="19" t="n"/>
      <c r="Y3410" s="19" t="n"/>
    </row>
    <row r="3411">
      <c r="C3411" s="18" t="n"/>
      <c r="J3411" s="19" t="n"/>
      <c r="P3411" s="20" t="n"/>
      <c r="Q3411" s="19" t="n"/>
      <c r="R3411" s="19" t="n"/>
      <c r="Y3411" s="19" t="n"/>
    </row>
    <row r="3412">
      <c r="C3412" s="18" t="n"/>
      <c r="J3412" s="19" t="n"/>
      <c r="P3412" s="20" t="n"/>
      <c r="Q3412" s="19" t="n"/>
      <c r="R3412" s="19" t="n"/>
      <c r="Y3412" s="19" t="n"/>
    </row>
    <row r="3413">
      <c r="C3413" s="18" t="n"/>
      <c r="J3413" s="19" t="n"/>
      <c r="P3413" s="20" t="n"/>
      <c r="Q3413" s="19" t="n"/>
      <c r="R3413" s="19" t="n"/>
      <c r="Y3413" s="19" t="n"/>
    </row>
    <row r="3414">
      <c r="C3414" s="18" t="n"/>
      <c r="J3414" s="19" t="n"/>
      <c r="P3414" s="20" t="n"/>
      <c r="Q3414" s="19" t="n"/>
      <c r="R3414" s="19" t="n"/>
      <c r="Y3414" s="19" t="n"/>
    </row>
    <row r="3415">
      <c r="C3415" s="18" t="n"/>
      <c r="J3415" s="19" t="n"/>
      <c r="P3415" s="20" t="n"/>
      <c r="Q3415" s="19" t="n"/>
      <c r="R3415" s="19" t="n"/>
      <c r="Y3415" s="19" t="n"/>
    </row>
    <row r="3416">
      <c r="C3416" s="18" t="n"/>
      <c r="J3416" s="19" t="n"/>
      <c r="P3416" s="20" t="n"/>
      <c r="Q3416" s="19" t="n"/>
      <c r="R3416" s="19" t="n"/>
      <c r="Y3416" s="19" t="n"/>
    </row>
    <row r="3417">
      <c r="C3417" s="18" t="n"/>
      <c r="J3417" s="19" t="n"/>
      <c r="P3417" s="20" t="n"/>
      <c r="Q3417" s="19" t="n"/>
      <c r="R3417" s="19" t="n"/>
      <c r="Y3417" s="19" t="n"/>
    </row>
    <row r="3418">
      <c r="C3418" s="18" t="n"/>
      <c r="J3418" s="19" t="n"/>
      <c r="P3418" s="20" t="n"/>
      <c r="Q3418" s="19" t="n"/>
      <c r="R3418" s="19" t="n"/>
      <c r="Y3418" s="19" t="n"/>
    </row>
    <row r="3419">
      <c r="C3419" s="18" t="n"/>
      <c r="J3419" s="19" t="n"/>
      <c r="P3419" s="20" t="n"/>
      <c r="Q3419" s="19" t="n"/>
      <c r="R3419" s="19" t="n"/>
      <c r="Y3419" s="19" t="n"/>
    </row>
    <row r="3420">
      <c r="C3420" s="18" t="n"/>
      <c r="J3420" s="19" t="n"/>
      <c r="P3420" s="20" t="n"/>
      <c r="Q3420" s="19" t="n"/>
      <c r="R3420" s="19" t="n"/>
      <c r="Y3420" s="19" t="n"/>
    </row>
    <row r="3421">
      <c r="C3421" s="18" t="n"/>
      <c r="J3421" s="19" t="n"/>
      <c r="P3421" s="20" t="n"/>
      <c r="Q3421" s="19" t="n"/>
      <c r="R3421" s="19" t="n"/>
      <c r="Y3421" s="19" t="n"/>
    </row>
    <row r="3422">
      <c r="C3422" s="18" t="n"/>
      <c r="J3422" s="19" t="n"/>
      <c r="P3422" s="20" t="n"/>
      <c r="Q3422" s="19" t="n"/>
      <c r="R3422" s="19" t="n"/>
      <c r="Y3422" s="19" t="n"/>
    </row>
    <row r="3423">
      <c r="C3423" s="18" t="n"/>
      <c r="J3423" s="19" t="n"/>
      <c r="P3423" s="20" t="n"/>
      <c r="Q3423" s="19" t="n"/>
      <c r="R3423" s="19" t="n"/>
      <c r="Y3423" s="19" t="n"/>
    </row>
    <row r="3424">
      <c r="C3424" s="18" t="n"/>
      <c r="J3424" s="19" t="n"/>
      <c r="P3424" s="20" t="n"/>
      <c r="Q3424" s="19" t="n"/>
      <c r="R3424" s="19" t="n"/>
      <c r="Y3424" s="19" t="n"/>
    </row>
    <row r="3425">
      <c r="C3425" s="18" t="n"/>
      <c r="J3425" s="19" t="n"/>
      <c r="P3425" s="20" t="n"/>
      <c r="Q3425" s="19" t="n"/>
      <c r="R3425" s="19" t="n"/>
      <c r="Y3425" s="19" t="n"/>
    </row>
    <row r="3426">
      <c r="C3426" s="18" t="n"/>
      <c r="J3426" s="19" t="n"/>
      <c r="P3426" s="20" t="n"/>
      <c r="Q3426" s="19" t="n"/>
      <c r="R3426" s="19" t="n"/>
      <c r="Y3426" s="19" t="n"/>
    </row>
    <row r="3427">
      <c r="C3427" s="18" t="n"/>
      <c r="J3427" s="19" t="n"/>
      <c r="P3427" s="20" t="n"/>
      <c r="Q3427" s="19" t="n"/>
      <c r="R3427" s="19" t="n"/>
      <c r="Y3427" s="19" t="n"/>
    </row>
    <row r="3428">
      <c r="C3428" s="18" t="n"/>
      <c r="J3428" s="19" t="n"/>
      <c r="P3428" s="20" t="n"/>
      <c r="Q3428" s="19" t="n"/>
      <c r="R3428" s="19" t="n"/>
      <c r="Y3428" s="19" t="n"/>
    </row>
    <row r="3429">
      <c r="C3429" s="18" t="n"/>
      <c r="J3429" s="19" t="n"/>
      <c r="P3429" s="20" t="n"/>
      <c r="Q3429" s="19" t="n"/>
      <c r="R3429" s="19" t="n"/>
      <c r="Y3429" s="19" t="n"/>
    </row>
    <row r="3430">
      <c r="C3430" s="18" t="n"/>
      <c r="J3430" s="19" t="n"/>
      <c r="P3430" s="20" t="n"/>
      <c r="Q3430" s="19" t="n"/>
      <c r="R3430" s="19" t="n"/>
      <c r="Y3430" s="19" t="n"/>
    </row>
    <row r="3431">
      <c r="C3431" s="18" t="n"/>
      <c r="J3431" s="19" t="n"/>
      <c r="P3431" s="20" t="n"/>
      <c r="Q3431" s="19" t="n"/>
      <c r="R3431" s="19" t="n"/>
      <c r="Y3431" s="19" t="n"/>
    </row>
    <row r="3432">
      <c r="C3432" s="18" t="n"/>
      <c r="J3432" s="19" t="n"/>
      <c r="P3432" s="20" t="n"/>
      <c r="Q3432" s="19" t="n"/>
      <c r="R3432" s="19" t="n"/>
      <c r="Y3432" s="19" t="n"/>
    </row>
    <row r="3433">
      <c r="C3433" s="18" t="n"/>
      <c r="J3433" s="19" t="n"/>
      <c r="P3433" s="20" t="n"/>
      <c r="Q3433" s="19" t="n"/>
      <c r="R3433" s="19" t="n"/>
      <c r="Y3433" s="19" t="n"/>
    </row>
    <row r="3434">
      <c r="C3434" s="18" t="n"/>
      <c r="J3434" s="19" t="n"/>
      <c r="P3434" s="20" t="n"/>
      <c r="Q3434" s="19" t="n"/>
      <c r="R3434" s="19" t="n"/>
      <c r="Y3434" s="19" t="n"/>
    </row>
    <row r="3435">
      <c r="C3435" s="18" t="n"/>
      <c r="J3435" s="19" t="n"/>
      <c r="P3435" s="20" t="n"/>
      <c r="Q3435" s="19" t="n"/>
      <c r="R3435" s="19" t="n"/>
      <c r="Y3435" s="19" t="n"/>
    </row>
    <row r="3436">
      <c r="C3436" s="18" t="n"/>
      <c r="J3436" s="19" t="n"/>
      <c r="P3436" s="20" t="n"/>
      <c r="Q3436" s="19" t="n"/>
      <c r="R3436" s="19" t="n"/>
      <c r="Y3436" s="19" t="n"/>
    </row>
    <row r="3437">
      <c r="C3437" s="18" t="n"/>
      <c r="J3437" s="19" t="n"/>
      <c r="P3437" s="20" t="n"/>
      <c r="Q3437" s="19" t="n"/>
      <c r="R3437" s="19" t="n"/>
      <c r="Y3437" s="19" t="n"/>
    </row>
    <row r="3438">
      <c r="C3438" s="18" t="n"/>
      <c r="J3438" s="19" t="n"/>
      <c r="P3438" s="20" t="n"/>
      <c r="Q3438" s="19" t="n"/>
      <c r="R3438" s="19" t="n"/>
      <c r="Y3438" s="19" t="n"/>
    </row>
    <row r="3439">
      <c r="C3439" s="18" t="n"/>
      <c r="J3439" s="19" t="n"/>
      <c r="P3439" s="20" t="n"/>
      <c r="Q3439" s="19" t="n"/>
      <c r="R3439" s="19" t="n"/>
      <c r="Y3439" s="19" t="n"/>
    </row>
    <row r="3440">
      <c r="C3440" s="18" t="n"/>
      <c r="J3440" s="19" t="n"/>
      <c r="P3440" s="20" t="n"/>
      <c r="Q3440" s="19" t="n"/>
      <c r="R3440" s="19" t="n"/>
      <c r="Y3440" s="19" t="n"/>
    </row>
    <row r="3441">
      <c r="C3441" s="18" t="n"/>
      <c r="J3441" s="19" t="n"/>
      <c r="P3441" s="20" t="n"/>
      <c r="Q3441" s="19" t="n"/>
      <c r="R3441" s="19" t="n"/>
      <c r="Y3441" s="19" t="n"/>
    </row>
    <row r="3442">
      <c r="C3442" s="18" t="n"/>
      <c r="J3442" s="19" t="n"/>
      <c r="P3442" s="20" t="n"/>
      <c r="Q3442" s="19" t="n"/>
      <c r="R3442" s="19" t="n"/>
      <c r="Y3442" s="19" t="n"/>
    </row>
    <row r="3443">
      <c r="C3443" s="18" t="n"/>
      <c r="J3443" s="19" t="n"/>
      <c r="P3443" s="20" t="n"/>
      <c r="Q3443" s="19" t="n"/>
      <c r="R3443" s="19" t="n"/>
      <c r="Y3443" s="19" t="n"/>
    </row>
    <row r="3444">
      <c r="C3444" s="18" t="n"/>
      <c r="J3444" s="19" t="n"/>
      <c r="P3444" s="20" t="n"/>
      <c r="Q3444" s="19" t="n"/>
      <c r="R3444" s="19" t="n"/>
      <c r="Y3444" s="19" t="n"/>
    </row>
    <row r="3445">
      <c r="C3445" s="18" t="n"/>
      <c r="J3445" s="19" t="n"/>
      <c r="P3445" s="20" t="n"/>
      <c r="Q3445" s="19" t="n"/>
      <c r="R3445" s="19" t="n"/>
      <c r="Y3445" s="19" t="n"/>
    </row>
    <row r="3446">
      <c r="C3446" s="18" t="n"/>
      <c r="J3446" s="19" t="n"/>
      <c r="P3446" s="20" t="n"/>
      <c r="Q3446" s="19" t="n"/>
      <c r="R3446" s="19" t="n"/>
      <c r="Y3446" s="19" t="n"/>
    </row>
    <row r="3447">
      <c r="C3447" s="18" t="n"/>
      <c r="J3447" s="19" t="n"/>
      <c r="P3447" s="20" t="n"/>
      <c r="Q3447" s="19" t="n"/>
      <c r="R3447" s="19" t="n"/>
      <c r="Y3447" s="19" t="n"/>
    </row>
    <row r="3448">
      <c r="C3448" s="18" t="n"/>
      <c r="J3448" s="19" t="n"/>
      <c r="P3448" s="20" t="n"/>
      <c r="Q3448" s="19" t="n"/>
      <c r="R3448" s="19" t="n"/>
      <c r="Y3448" s="19" t="n"/>
    </row>
    <row r="3449">
      <c r="C3449" s="18" t="n"/>
      <c r="J3449" s="19" t="n"/>
      <c r="P3449" s="20" t="n"/>
      <c r="Q3449" s="19" t="n"/>
      <c r="R3449" s="19" t="n"/>
      <c r="Y3449" s="19" t="n"/>
    </row>
    <row r="3450">
      <c r="C3450" s="18" t="n"/>
      <c r="J3450" s="19" t="n"/>
      <c r="P3450" s="20" t="n"/>
      <c r="Q3450" s="19" t="n"/>
      <c r="R3450" s="19" t="n"/>
      <c r="Y3450" s="19" t="n"/>
    </row>
    <row r="3451">
      <c r="C3451" s="18" t="n"/>
      <c r="J3451" s="19" t="n"/>
      <c r="P3451" s="20" t="n"/>
      <c r="Q3451" s="19" t="n"/>
      <c r="R3451" s="19" t="n"/>
      <c r="Y3451" s="19" t="n"/>
    </row>
    <row r="3452">
      <c r="C3452" s="18" t="n"/>
      <c r="J3452" s="19" t="n"/>
      <c r="P3452" s="20" t="n"/>
      <c r="Q3452" s="19" t="n"/>
      <c r="R3452" s="19" t="n"/>
      <c r="Y3452" s="19" t="n"/>
    </row>
    <row r="3453">
      <c r="C3453" s="18" t="n"/>
      <c r="J3453" s="19" t="n"/>
      <c r="P3453" s="20" t="n"/>
      <c r="Q3453" s="19" t="n"/>
      <c r="R3453" s="19" t="n"/>
      <c r="Y3453" s="19" t="n"/>
    </row>
    <row r="3454">
      <c r="C3454" s="18" t="n"/>
      <c r="J3454" s="19" t="n"/>
      <c r="P3454" s="20" t="n"/>
      <c r="Q3454" s="19" t="n"/>
      <c r="R3454" s="19" t="n"/>
      <c r="Y3454" s="19" t="n"/>
    </row>
    <row r="3455">
      <c r="C3455" s="18" t="n"/>
      <c r="J3455" s="19" t="n"/>
      <c r="P3455" s="20" t="n"/>
      <c r="Q3455" s="19" t="n"/>
      <c r="R3455" s="19" t="n"/>
      <c r="Y3455" s="19" t="n"/>
    </row>
    <row r="3456">
      <c r="C3456" s="18" t="n"/>
      <c r="J3456" s="19" t="n"/>
      <c r="P3456" s="20" t="n"/>
      <c r="Q3456" s="19" t="n"/>
      <c r="R3456" s="19" t="n"/>
      <c r="Y3456" s="19" t="n"/>
    </row>
    <row r="3457">
      <c r="C3457" s="18" t="n"/>
      <c r="J3457" s="19" t="n"/>
      <c r="P3457" s="20" t="n"/>
      <c r="Q3457" s="19" t="n"/>
      <c r="R3457" s="19" t="n"/>
      <c r="Y3457" s="19" t="n"/>
    </row>
    <row r="3458">
      <c r="C3458" s="18" t="n"/>
      <c r="J3458" s="19" t="n"/>
      <c r="P3458" s="20" t="n"/>
      <c r="Q3458" s="19" t="n"/>
      <c r="R3458" s="19" t="n"/>
      <c r="Y3458" s="19" t="n"/>
    </row>
    <row r="3459">
      <c r="C3459" s="18" t="n"/>
      <c r="J3459" s="19" t="n"/>
      <c r="P3459" s="20" t="n"/>
      <c r="Q3459" s="19" t="n"/>
      <c r="R3459" s="19" t="n"/>
      <c r="Y3459" s="19" t="n"/>
    </row>
    <row r="3460">
      <c r="C3460" s="18" t="n"/>
      <c r="J3460" s="19" t="n"/>
      <c r="P3460" s="20" t="n"/>
      <c r="Q3460" s="19" t="n"/>
      <c r="R3460" s="19" t="n"/>
      <c r="Y3460" s="19" t="n"/>
    </row>
    <row r="3461">
      <c r="C3461" s="18" t="n"/>
      <c r="J3461" s="19" t="n"/>
      <c r="P3461" s="20" t="n"/>
      <c r="Q3461" s="19" t="n"/>
      <c r="R3461" s="19" t="n"/>
      <c r="Y3461" s="19" t="n"/>
    </row>
    <row r="3462">
      <c r="C3462" s="18" t="n"/>
      <c r="J3462" s="19" t="n"/>
      <c r="P3462" s="20" t="n"/>
      <c r="Q3462" s="19" t="n"/>
      <c r="R3462" s="19" t="n"/>
      <c r="Y3462" s="19" t="n"/>
    </row>
    <row r="3463">
      <c r="C3463" s="18" t="n"/>
      <c r="J3463" s="19" t="n"/>
      <c r="P3463" s="20" t="n"/>
      <c r="Q3463" s="19" t="n"/>
      <c r="R3463" s="19" t="n"/>
      <c r="Y3463" s="19" t="n"/>
    </row>
    <row r="3464">
      <c r="C3464" s="18" t="n"/>
      <c r="J3464" s="19" t="n"/>
      <c r="P3464" s="20" t="n"/>
      <c r="Q3464" s="19" t="n"/>
      <c r="R3464" s="19" t="n"/>
      <c r="Y3464" s="19" t="n"/>
    </row>
    <row r="3465">
      <c r="C3465" s="18" t="n"/>
      <c r="J3465" s="19" t="n"/>
      <c r="P3465" s="20" t="n"/>
      <c r="Q3465" s="19" t="n"/>
      <c r="R3465" s="19" t="n"/>
      <c r="Y3465" s="19" t="n"/>
    </row>
    <row r="3466">
      <c r="C3466" s="18" t="n"/>
      <c r="J3466" s="19" t="n"/>
      <c r="P3466" s="20" t="n"/>
      <c r="Q3466" s="19" t="n"/>
      <c r="R3466" s="19" t="n"/>
      <c r="Y3466" s="19" t="n"/>
    </row>
    <row r="3467">
      <c r="C3467" s="18" t="n"/>
      <c r="J3467" s="19" t="n"/>
      <c r="P3467" s="20" t="n"/>
      <c r="Q3467" s="19" t="n"/>
      <c r="R3467" s="19" t="n"/>
      <c r="Y3467" s="19" t="n"/>
    </row>
    <row r="3468">
      <c r="C3468" s="18" t="n"/>
      <c r="J3468" s="19" t="n"/>
      <c r="P3468" s="20" t="n"/>
      <c r="Q3468" s="19" t="n"/>
      <c r="R3468" s="19" t="n"/>
      <c r="Y3468" s="19" t="n"/>
    </row>
    <row r="3469">
      <c r="C3469" s="18" t="n"/>
      <c r="J3469" s="19" t="n"/>
      <c r="P3469" s="20" t="n"/>
      <c r="Q3469" s="19" t="n"/>
      <c r="R3469" s="19" t="n"/>
      <c r="Y3469" s="19" t="n"/>
    </row>
    <row r="3470">
      <c r="C3470" s="18" t="n"/>
      <c r="J3470" s="19" t="n"/>
      <c r="P3470" s="20" t="n"/>
      <c r="Q3470" s="19" t="n"/>
      <c r="R3470" s="19" t="n"/>
      <c r="Y3470" s="19" t="n"/>
    </row>
    <row r="3471">
      <c r="C3471" s="18" t="n"/>
      <c r="J3471" s="19" t="n"/>
      <c r="P3471" s="20" t="n"/>
      <c r="Q3471" s="19" t="n"/>
      <c r="R3471" s="19" t="n"/>
      <c r="Y3471" s="19" t="n"/>
    </row>
    <row r="3472">
      <c r="C3472" s="18" t="n"/>
      <c r="J3472" s="19" t="n"/>
      <c r="P3472" s="20" t="n"/>
      <c r="Q3472" s="19" t="n"/>
      <c r="R3472" s="19" t="n"/>
      <c r="Y3472" s="19" t="n"/>
    </row>
    <row r="3473">
      <c r="C3473" s="18" t="n"/>
      <c r="J3473" s="19" t="n"/>
      <c r="P3473" s="20" t="n"/>
      <c r="Q3473" s="19" t="n"/>
      <c r="R3473" s="19" t="n"/>
      <c r="Y3473" s="19" t="n"/>
    </row>
    <row r="3474">
      <c r="C3474" s="18" t="n"/>
      <c r="J3474" s="19" t="n"/>
      <c r="P3474" s="20" t="n"/>
      <c r="Q3474" s="19" t="n"/>
      <c r="R3474" s="19" t="n"/>
      <c r="Y3474" s="19" t="n"/>
    </row>
    <row r="3475">
      <c r="C3475" s="18" t="n"/>
      <c r="J3475" s="19" t="n"/>
      <c r="P3475" s="20" t="n"/>
      <c r="Q3475" s="19" t="n"/>
      <c r="R3475" s="19" t="n"/>
      <c r="Y3475" s="19" t="n"/>
    </row>
    <row r="3476">
      <c r="C3476" s="18" t="n"/>
      <c r="J3476" s="19" t="n"/>
      <c r="P3476" s="20" t="n"/>
      <c r="Q3476" s="19" t="n"/>
      <c r="R3476" s="19" t="n"/>
      <c r="Y3476" s="19" t="n"/>
    </row>
    <row r="3477">
      <c r="C3477" s="18" t="n"/>
      <c r="J3477" s="19" t="n"/>
      <c r="P3477" s="20" t="n"/>
      <c r="Q3477" s="19" t="n"/>
      <c r="R3477" s="19" t="n"/>
      <c r="Y3477" s="19" t="n"/>
    </row>
    <row r="3478">
      <c r="C3478" s="18" t="n"/>
      <c r="J3478" s="19" t="n"/>
      <c r="P3478" s="20" t="n"/>
      <c r="Q3478" s="19" t="n"/>
      <c r="R3478" s="19" t="n"/>
      <c r="Y3478" s="19" t="n"/>
    </row>
    <row r="3479">
      <c r="C3479" s="18" t="n"/>
      <c r="J3479" s="19" t="n"/>
      <c r="P3479" s="20" t="n"/>
      <c r="Q3479" s="19" t="n"/>
      <c r="R3479" s="19" t="n"/>
      <c r="Y3479" s="19" t="n"/>
    </row>
    <row r="3480">
      <c r="C3480" s="18" t="n"/>
      <c r="J3480" s="19" t="n"/>
      <c r="P3480" s="20" t="n"/>
      <c r="Q3480" s="19" t="n"/>
      <c r="R3480" s="19" t="n"/>
      <c r="Y3480" s="19" t="n"/>
    </row>
    <row r="3481">
      <c r="C3481" s="18" t="n"/>
      <c r="J3481" s="19" t="n"/>
      <c r="P3481" s="20" t="n"/>
      <c r="Q3481" s="19" t="n"/>
      <c r="R3481" s="19" t="n"/>
      <c r="Y3481" s="19" t="n"/>
    </row>
    <row r="3482">
      <c r="C3482" s="18" t="n"/>
      <c r="J3482" s="19" t="n"/>
      <c r="P3482" s="20" t="n"/>
      <c r="Q3482" s="19" t="n"/>
      <c r="R3482" s="19" t="n"/>
      <c r="Y3482" s="19" t="n"/>
    </row>
    <row r="3483">
      <c r="C3483" s="18" t="n"/>
      <c r="J3483" s="19" t="n"/>
      <c r="P3483" s="20" t="n"/>
      <c r="Q3483" s="19" t="n"/>
      <c r="R3483" s="19" t="n"/>
      <c r="Y3483" s="19" t="n"/>
    </row>
    <row r="3484">
      <c r="C3484" s="18" t="n"/>
      <c r="J3484" s="19" t="n"/>
      <c r="P3484" s="20" t="n"/>
      <c r="Q3484" s="19" t="n"/>
      <c r="R3484" s="19" t="n"/>
      <c r="Y3484" s="19" t="n"/>
    </row>
    <row r="3485">
      <c r="C3485" s="18" t="n"/>
      <c r="J3485" s="19" t="n"/>
      <c r="P3485" s="20" t="n"/>
      <c r="Q3485" s="19" t="n"/>
      <c r="R3485" s="19" t="n"/>
      <c r="Y3485" s="19" t="n"/>
    </row>
    <row r="3486">
      <c r="C3486" s="18" t="n"/>
      <c r="J3486" s="19" t="n"/>
      <c r="P3486" s="20" t="n"/>
      <c r="Q3486" s="19" t="n"/>
      <c r="R3486" s="19" t="n"/>
      <c r="Y3486" s="19" t="n"/>
    </row>
    <row r="3487">
      <c r="C3487" s="18" t="n"/>
      <c r="J3487" s="19" t="n"/>
      <c r="P3487" s="20" t="n"/>
      <c r="Q3487" s="19" t="n"/>
      <c r="R3487" s="19" t="n"/>
      <c r="Y3487" s="19" t="n"/>
    </row>
    <row r="3488">
      <c r="C3488" s="18" t="n"/>
      <c r="J3488" s="19" t="n"/>
      <c r="P3488" s="20" t="n"/>
      <c r="Q3488" s="19" t="n"/>
      <c r="R3488" s="19" t="n"/>
      <c r="Y3488" s="19" t="n"/>
    </row>
    <row r="3489">
      <c r="C3489" s="18" t="n"/>
      <c r="J3489" s="19" t="n"/>
      <c r="P3489" s="20" t="n"/>
      <c r="Q3489" s="19" t="n"/>
      <c r="R3489" s="19" t="n"/>
      <c r="Y3489" s="19" t="n"/>
    </row>
    <row r="3490">
      <c r="C3490" s="18" t="n"/>
      <c r="J3490" s="19" t="n"/>
      <c r="P3490" s="20" t="n"/>
      <c r="Q3490" s="19" t="n"/>
      <c r="R3490" s="19" t="n"/>
      <c r="Y3490" s="19" t="n"/>
    </row>
    <row r="3491">
      <c r="C3491" s="18" t="n"/>
      <c r="J3491" s="19" t="n"/>
      <c r="P3491" s="20" t="n"/>
      <c r="Q3491" s="19" t="n"/>
      <c r="R3491" s="19" t="n"/>
      <c r="Y3491" s="19" t="n"/>
    </row>
    <row r="3492">
      <c r="C3492" s="18" t="n"/>
      <c r="J3492" s="19" t="n"/>
      <c r="P3492" s="20" t="n"/>
      <c r="Q3492" s="19" t="n"/>
      <c r="R3492" s="19" t="n"/>
      <c r="Y3492" s="19" t="n"/>
    </row>
    <row r="3493">
      <c r="C3493" s="18" t="n"/>
      <c r="J3493" s="19" t="n"/>
      <c r="P3493" s="20" t="n"/>
      <c r="Q3493" s="19" t="n"/>
      <c r="R3493" s="19" t="n"/>
      <c r="Y3493" s="19" t="n"/>
    </row>
    <row r="3494">
      <c r="C3494" s="18" t="n"/>
      <c r="J3494" s="19" t="n"/>
      <c r="P3494" s="20" t="n"/>
      <c r="Q3494" s="19" t="n"/>
      <c r="R3494" s="19" t="n"/>
      <c r="Y3494" s="19" t="n"/>
    </row>
    <row r="3495">
      <c r="C3495" s="18" t="n"/>
      <c r="J3495" s="19" t="n"/>
      <c r="P3495" s="20" t="n"/>
      <c r="Q3495" s="19" t="n"/>
      <c r="R3495" s="19" t="n"/>
      <c r="Y3495" s="19" t="n"/>
    </row>
    <row r="3496">
      <c r="C3496" s="18" t="n"/>
      <c r="J3496" s="19" t="n"/>
      <c r="P3496" s="20" t="n"/>
      <c r="Q3496" s="19" t="n"/>
      <c r="R3496" s="19" t="n"/>
      <c r="Y3496" s="19" t="n"/>
    </row>
    <row r="3497">
      <c r="C3497" s="18" t="n"/>
      <c r="J3497" s="19" t="n"/>
      <c r="P3497" s="20" t="n"/>
      <c r="Q3497" s="19" t="n"/>
      <c r="R3497" s="19" t="n"/>
      <c r="Y3497" s="19" t="n"/>
    </row>
    <row r="3498">
      <c r="C3498" s="18" t="n"/>
      <c r="J3498" s="19" t="n"/>
      <c r="P3498" s="20" t="n"/>
      <c r="Q3498" s="19" t="n"/>
      <c r="R3498" s="19" t="n"/>
      <c r="Y3498" s="19" t="n"/>
    </row>
    <row r="3499">
      <c r="C3499" s="18" t="n"/>
      <c r="J3499" s="19" t="n"/>
      <c r="P3499" s="20" t="n"/>
      <c r="Q3499" s="19" t="n"/>
      <c r="R3499" s="19" t="n"/>
      <c r="Y3499" s="19" t="n"/>
    </row>
    <row r="3500">
      <c r="C3500" s="18" t="n"/>
      <c r="J3500" s="19" t="n"/>
      <c r="P3500" s="20" t="n"/>
      <c r="Q3500" s="19" t="n"/>
      <c r="R3500" s="19" t="n"/>
      <c r="Y3500" s="19" t="n"/>
    </row>
    <row r="3501">
      <c r="C3501" s="18" t="n"/>
      <c r="J3501" s="19" t="n"/>
      <c r="P3501" s="20" t="n"/>
      <c r="Q3501" s="19" t="n"/>
      <c r="R3501" s="19" t="n"/>
      <c r="Y3501" s="19" t="n"/>
    </row>
    <row r="3502">
      <c r="C3502" s="18" t="n"/>
      <c r="J3502" s="19" t="n"/>
      <c r="P3502" s="20" t="n"/>
      <c r="Q3502" s="19" t="n"/>
      <c r="R3502" s="19" t="n"/>
      <c r="Y3502" s="19" t="n"/>
    </row>
    <row r="3503">
      <c r="C3503" s="18" t="n"/>
      <c r="J3503" s="19" t="n"/>
      <c r="P3503" s="20" t="n"/>
      <c r="Q3503" s="19" t="n"/>
      <c r="R3503" s="19" t="n"/>
      <c r="Y3503" s="19" t="n"/>
    </row>
    <row r="3504">
      <c r="C3504" s="18" t="n"/>
      <c r="J3504" s="19" t="n"/>
      <c r="P3504" s="20" t="n"/>
      <c r="Q3504" s="19" t="n"/>
      <c r="R3504" s="19" t="n"/>
      <c r="Y3504" s="19" t="n"/>
    </row>
    <row r="3505">
      <c r="C3505" s="18" t="n"/>
      <c r="J3505" s="19" t="n"/>
      <c r="P3505" s="20" t="n"/>
      <c r="Q3505" s="19" t="n"/>
      <c r="R3505" s="19" t="n"/>
      <c r="Y3505" s="19" t="n"/>
    </row>
    <row r="3506">
      <c r="C3506" s="18" t="n"/>
      <c r="J3506" s="19" t="n"/>
      <c r="P3506" s="20" t="n"/>
      <c r="Q3506" s="19" t="n"/>
      <c r="R3506" s="19" t="n"/>
      <c r="Y3506" s="19" t="n"/>
    </row>
    <row r="3507">
      <c r="C3507" s="18" t="n"/>
      <c r="J3507" s="19" t="n"/>
      <c r="P3507" s="20" t="n"/>
      <c r="Q3507" s="19" t="n"/>
      <c r="R3507" s="19" t="n"/>
      <c r="Y3507" s="19" t="n"/>
    </row>
    <row r="3508">
      <c r="C3508" s="18" t="n"/>
      <c r="J3508" s="19" t="n"/>
      <c r="P3508" s="20" t="n"/>
      <c r="Q3508" s="19" t="n"/>
      <c r="R3508" s="19" t="n"/>
      <c r="Y3508" s="19" t="n"/>
    </row>
    <row r="3509">
      <c r="C3509" s="18" t="n"/>
      <c r="J3509" s="19" t="n"/>
      <c r="P3509" s="20" t="n"/>
      <c r="Q3509" s="19" t="n"/>
      <c r="R3509" s="19" t="n"/>
      <c r="Y3509" s="19" t="n"/>
    </row>
    <row r="3510">
      <c r="C3510" s="18" t="n"/>
      <c r="J3510" s="19" t="n"/>
      <c r="P3510" s="20" t="n"/>
      <c r="Q3510" s="19" t="n"/>
      <c r="R3510" s="19" t="n"/>
      <c r="Y3510" s="19" t="n"/>
    </row>
    <row r="3511">
      <c r="C3511" s="18" t="n"/>
      <c r="J3511" s="19" t="n"/>
      <c r="P3511" s="20" t="n"/>
      <c r="Q3511" s="19" t="n"/>
      <c r="R3511" s="19" t="n"/>
      <c r="Y3511" s="19" t="n"/>
    </row>
    <row r="3512">
      <c r="C3512" s="18" t="n"/>
      <c r="J3512" s="19" t="n"/>
      <c r="P3512" s="20" t="n"/>
      <c r="Q3512" s="19" t="n"/>
      <c r="R3512" s="19" t="n"/>
      <c r="Y3512" s="19" t="n"/>
    </row>
    <row r="3513">
      <c r="C3513" s="18" t="n"/>
      <c r="J3513" s="19" t="n"/>
      <c r="P3513" s="20" t="n"/>
      <c r="Q3513" s="19" t="n"/>
      <c r="R3513" s="19" t="n"/>
      <c r="Y3513" s="19" t="n"/>
    </row>
    <row r="3514">
      <c r="C3514" s="18" t="n"/>
      <c r="J3514" s="19" t="n"/>
      <c r="P3514" s="20" t="n"/>
      <c r="Q3514" s="19" t="n"/>
      <c r="R3514" s="19" t="n"/>
      <c r="Y3514" s="19" t="n"/>
    </row>
    <row r="3515">
      <c r="C3515" s="18" t="n"/>
      <c r="J3515" s="19" t="n"/>
      <c r="P3515" s="20" t="n"/>
      <c r="Q3515" s="19" t="n"/>
      <c r="R3515" s="19" t="n"/>
      <c r="Y3515" s="19" t="n"/>
    </row>
    <row r="3516">
      <c r="C3516" s="18" t="n"/>
      <c r="J3516" s="19" t="n"/>
      <c r="P3516" s="20" t="n"/>
      <c r="Q3516" s="19" t="n"/>
      <c r="R3516" s="19" t="n"/>
      <c r="Y3516" s="19" t="n"/>
    </row>
    <row r="3517">
      <c r="C3517" s="18" t="n"/>
      <c r="J3517" s="19" t="n"/>
      <c r="P3517" s="20" t="n"/>
      <c r="Q3517" s="19" t="n"/>
      <c r="R3517" s="19" t="n"/>
      <c r="Y3517" s="19" t="n"/>
    </row>
    <row r="3518">
      <c r="C3518" s="18" t="n"/>
      <c r="J3518" s="19" t="n"/>
      <c r="P3518" s="20" t="n"/>
      <c r="Q3518" s="19" t="n"/>
      <c r="R3518" s="19" t="n"/>
      <c r="Y3518" s="19" t="n"/>
    </row>
    <row r="3519">
      <c r="C3519" s="18" t="n"/>
      <c r="J3519" s="19" t="n"/>
      <c r="P3519" s="20" t="n"/>
      <c r="Q3519" s="19" t="n"/>
      <c r="R3519" s="19" t="n"/>
      <c r="Y3519" s="19" t="n"/>
    </row>
    <row r="3520">
      <c r="C3520" s="18" t="n"/>
      <c r="J3520" s="19" t="n"/>
      <c r="P3520" s="20" t="n"/>
      <c r="Q3520" s="19" t="n"/>
      <c r="R3520" s="19" t="n"/>
      <c r="Y3520" s="19" t="n"/>
    </row>
    <row r="3521">
      <c r="C3521" s="18" t="n"/>
      <c r="J3521" s="19" t="n"/>
      <c r="P3521" s="20" t="n"/>
      <c r="Q3521" s="19" t="n"/>
      <c r="R3521" s="19" t="n"/>
      <c r="Y3521" s="19" t="n"/>
    </row>
    <row r="3522">
      <c r="C3522" s="18" t="n"/>
      <c r="J3522" s="19" t="n"/>
      <c r="P3522" s="20" t="n"/>
      <c r="Q3522" s="19" t="n"/>
      <c r="R3522" s="19" t="n"/>
      <c r="Y3522" s="19" t="n"/>
    </row>
    <row r="3523">
      <c r="C3523" s="18" t="n"/>
      <c r="J3523" s="19" t="n"/>
      <c r="P3523" s="20" t="n"/>
      <c r="Q3523" s="19" t="n"/>
      <c r="R3523" s="19" t="n"/>
      <c r="Y3523" s="19" t="n"/>
    </row>
    <row r="3524">
      <c r="C3524" s="18" t="n"/>
      <c r="J3524" s="19" t="n"/>
      <c r="P3524" s="20" t="n"/>
      <c r="Q3524" s="19" t="n"/>
      <c r="R3524" s="19" t="n"/>
      <c r="Y3524" s="19" t="n"/>
    </row>
    <row r="3525">
      <c r="C3525" s="18" t="n"/>
      <c r="J3525" s="19" t="n"/>
      <c r="P3525" s="20" t="n"/>
      <c r="Q3525" s="19" t="n"/>
      <c r="R3525" s="19" t="n"/>
      <c r="Y3525" s="19" t="n"/>
    </row>
    <row r="3526">
      <c r="C3526" s="18" t="n"/>
      <c r="J3526" s="19" t="n"/>
      <c r="P3526" s="20" t="n"/>
      <c r="Q3526" s="19" t="n"/>
      <c r="R3526" s="19" t="n"/>
      <c r="Y3526" s="19" t="n"/>
    </row>
    <row r="3527">
      <c r="C3527" s="18" t="n"/>
      <c r="J3527" s="19" t="n"/>
      <c r="P3527" s="20" t="n"/>
      <c r="Q3527" s="19" t="n"/>
      <c r="R3527" s="19" t="n"/>
      <c r="Y3527" s="19" t="n"/>
    </row>
    <row r="3528">
      <c r="C3528" s="18" t="n"/>
      <c r="J3528" s="19" t="n"/>
      <c r="P3528" s="20" t="n"/>
      <c r="Q3528" s="19" t="n"/>
      <c r="R3528" s="19" t="n"/>
      <c r="Y3528" s="19" t="n"/>
    </row>
    <row r="3529">
      <c r="C3529" s="18" t="n"/>
      <c r="J3529" s="19" t="n"/>
      <c r="P3529" s="20" t="n"/>
      <c r="Q3529" s="19" t="n"/>
      <c r="R3529" s="19" t="n"/>
      <c r="Y3529" s="19" t="n"/>
    </row>
    <row r="3530">
      <c r="C3530" s="18" t="n"/>
      <c r="J3530" s="19" t="n"/>
      <c r="P3530" s="20" t="n"/>
      <c r="Q3530" s="19" t="n"/>
      <c r="R3530" s="19" t="n"/>
      <c r="Y3530" s="19" t="n"/>
    </row>
    <row r="3531">
      <c r="C3531" s="18" t="n"/>
      <c r="J3531" s="19" t="n"/>
      <c r="P3531" s="20" t="n"/>
      <c r="Q3531" s="19" t="n"/>
      <c r="R3531" s="19" t="n"/>
      <c r="Y3531" s="19" t="n"/>
    </row>
    <row r="3532">
      <c r="C3532" s="18" t="n"/>
      <c r="J3532" s="19" t="n"/>
      <c r="P3532" s="20" t="n"/>
      <c r="Q3532" s="19" t="n"/>
      <c r="R3532" s="19" t="n"/>
      <c r="Y3532" s="19" t="n"/>
    </row>
    <row r="3533">
      <c r="C3533" s="18" t="n"/>
      <c r="J3533" s="19" t="n"/>
      <c r="P3533" s="20" t="n"/>
      <c r="Q3533" s="19" t="n"/>
      <c r="R3533" s="19" t="n"/>
      <c r="Y3533" s="19" t="n"/>
    </row>
    <row r="3534">
      <c r="C3534" s="18" t="n"/>
      <c r="J3534" s="19" t="n"/>
      <c r="P3534" s="20" t="n"/>
      <c r="Q3534" s="19" t="n"/>
      <c r="R3534" s="19" t="n"/>
      <c r="Y3534" s="19" t="n"/>
    </row>
    <row r="3535">
      <c r="C3535" s="18" t="n"/>
      <c r="J3535" s="19" t="n"/>
      <c r="P3535" s="20" t="n"/>
      <c r="Q3535" s="19" t="n"/>
      <c r="R3535" s="19" t="n"/>
      <c r="Y3535" s="19" t="n"/>
    </row>
    <row r="3536">
      <c r="C3536" s="18" t="n"/>
      <c r="J3536" s="19" t="n"/>
      <c r="P3536" s="20" t="n"/>
      <c r="Q3536" s="19" t="n"/>
      <c r="R3536" s="19" t="n"/>
      <c r="Y3536" s="19" t="n"/>
    </row>
    <row r="3537">
      <c r="C3537" s="18" t="n"/>
      <c r="J3537" s="19" t="n"/>
      <c r="P3537" s="20" t="n"/>
      <c r="Q3537" s="19" t="n"/>
      <c r="R3537" s="19" t="n"/>
      <c r="Y3537" s="19" t="n"/>
    </row>
    <row r="3538">
      <c r="C3538" s="18" t="n"/>
      <c r="J3538" s="19" t="n"/>
      <c r="P3538" s="20" t="n"/>
      <c r="Q3538" s="19" t="n"/>
      <c r="R3538" s="19" t="n"/>
      <c r="Y3538" s="19" t="n"/>
    </row>
    <row r="3539">
      <c r="C3539" s="18" t="n"/>
      <c r="J3539" s="19" t="n"/>
      <c r="P3539" s="20" t="n"/>
      <c r="Q3539" s="19" t="n"/>
      <c r="R3539" s="19" t="n"/>
      <c r="Y3539" s="19" t="n"/>
    </row>
    <row r="3540">
      <c r="C3540" s="18" t="n"/>
      <c r="J3540" s="19" t="n"/>
      <c r="P3540" s="20" t="n"/>
      <c r="Q3540" s="19" t="n"/>
      <c r="R3540" s="19" t="n"/>
      <c r="Y3540" s="19" t="n"/>
    </row>
    <row r="3541">
      <c r="C3541" s="18" t="n"/>
      <c r="J3541" s="19" t="n"/>
      <c r="P3541" s="20" t="n"/>
      <c r="Q3541" s="19" t="n"/>
      <c r="R3541" s="19" t="n"/>
      <c r="Y3541" s="19" t="n"/>
    </row>
    <row r="3542">
      <c r="C3542" s="18" t="n"/>
      <c r="J3542" s="19" t="n"/>
      <c r="P3542" s="20" t="n"/>
      <c r="Q3542" s="19" t="n"/>
      <c r="R3542" s="19" t="n"/>
      <c r="Y3542" s="19" t="n"/>
    </row>
    <row r="3543">
      <c r="C3543" s="18" t="n"/>
      <c r="J3543" s="19" t="n"/>
      <c r="P3543" s="20" t="n"/>
      <c r="Q3543" s="19" t="n"/>
      <c r="R3543" s="19" t="n"/>
      <c r="Y3543" s="19" t="n"/>
    </row>
    <row r="3544">
      <c r="C3544" s="18" t="n"/>
      <c r="J3544" s="19" t="n"/>
      <c r="P3544" s="20" t="n"/>
      <c r="Q3544" s="19" t="n"/>
      <c r="R3544" s="19" t="n"/>
      <c r="Y3544" s="19" t="n"/>
    </row>
    <row r="3545">
      <c r="C3545" s="18" t="n"/>
      <c r="J3545" s="19" t="n"/>
      <c r="P3545" s="20" t="n"/>
      <c r="Q3545" s="19" t="n"/>
      <c r="R3545" s="19" t="n"/>
      <c r="Y3545" s="19" t="n"/>
    </row>
    <row r="3546">
      <c r="C3546" s="18" t="n"/>
      <c r="J3546" s="19" t="n"/>
      <c r="P3546" s="20" t="n"/>
      <c r="Q3546" s="19" t="n"/>
      <c r="R3546" s="19" t="n"/>
      <c r="Y3546" s="19" t="n"/>
    </row>
    <row r="3547">
      <c r="C3547" s="18" t="n"/>
      <c r="J3547" s="19" t="n"/>
      <c r="P3547" s="20" t="n"/>
      <c r="Q3547" s="19" t="n"/>
      <c r="R3547" s="19" t="n"/>
      <c r="Y3547" s="19" t="n"/>
    </row>
    <row r="3548">
      <c r="C3548" s="18" t="n"/>
      <c r="J3548" s="19" t="n"/>
      <c r="P3548" s="20" t="n"/>
      <c r="Q3548" s="19" t="n"/>
      <c r="R3548" s="19" t="n"/>
      <c r="Y3548" s="19" t="n"/>
    </row>
    <row r="3549">
      <c r="C3549" s="18" t="n"/>
      <c r="J3549" s="19" t="n"/>
      <c r="P3549" s="20" t="n"/>
      <c r="Q3549" s="19" t="n"/>
      <c r="R3549" s="19" t="n"/>
      <c r="Y3549" s="19" t="n"/>
    </row>
    <row r="3550">
      <c r="C3550" s="18" t="n"/>
      <c r="J3550" s="19" t="n"/>
      <c r="P3550" s="20" t="n"/>
      <c r="Q3550" s="19" t="n"/>
      <c r="R3550" s="19" t="n"/>
      <c r="Y3550" s="19" t="n"/>
    </row>
    <row r="3551">
      <c r="C3551" s="18" t="n"/>
      <c r="J3551" s="19" t="n"/>
      <c r="P3551" s="20" t="n"/>
      <c r="Q3551" s="19" t="n"/>
      <c r="R3551" s="19" t="n"/>
      <c r="Y3551" s="19" t="n"/>
    </row>
    <row r="3552">
      <c r="C3552" s="18" t="n"/>
      <c r="J3552" s="19" t="n"/>
      <c r="P3552" s="20" t="n"/>
      <c r="Q3552" s="19" t="n"/>
      <c r="R3552" s="19" t="n"/>
      <c r="Y3552" s="19" t="n"/>
    </row>
    <row r="3553">
      <c r="C3553" s="18" t="n"/>
      <c r="J3553" s="19" t="n"/>
      <c r="P3553" s="20" t="n"/>
      <c r="Q3553" s="19" t="n"/>
      <c r="R3553" s="19" t="n"/>
      <c r="Y3553" s="19" t="n"/>
    </row>
    <row r="3554">
      <c r="C3554" s="18" t="n"/>
      <c r="J3554" s="19" t="n"/>
      <c r="P3554" s="20" t="n"/>
      <c r="Q3554" s="19" t="n"/>
      <c r="R3554" s="19" t="n"/>
      <c r="Y3554" s="19" t="n"/>
    </row>
    <row r="3555">
      <c r="C3555" s="18" t="n"/>
      <c r="J3555" s="19" t="n"/>
      <c r="P3555" s="20" t="n"/>
      <c r="Q3555" s="19" t="n"/>
      <c r="R3555" s="19" t="n"/>
      <c r="Y3555" s="19" t="n"/>
    </row>
    <row r="3556">
      <c r="C3556" s="18" t="n"/>
      <c r="J3556" s="19" t="n"/>
      <c r="P3556" s="20" t="n"/>
      <c r="Q3556" s="19" t="n"/>
      <c r="R3556" s="19" t="n"/>
      <c r="Y3556" s="19" t="n"/>
    </row>
    <row r="3557">
      <c r="C3557" s="18" t="n"/>
      <c r="J3557" s="19" t="n"/>
      <c r="P3557" s="20" t="n"/>
      <c r="Q3557" s="19" t="n"/>
      <c r="R3557" s="19" t="n"/>
      <c r="Y3557" s="19" t="n"/>
    </row>
    <row r="3558">
      <c r="C3558" s="18" t="n"/>
      <c r="J3558" s="19" t="n"/>
      <c r="P3558" s="20" t="n"/>
      <c r="Q3558" s="19" t="n"/>
      <c r="R3558" s="19" t="n"/>
      <c r="Y3558" s="19" t="n"/>
    </row>
    <row r="3559">
      <c r="C3559" s="18" t="n"/>
      <c r="J3559" s="19" t="n"/>
      <c r="P3559" s="20" t="n"/>
      <c r="Q3559" s="19" t="n"/>
      <c r="R3559" s="19" t="n"/>
      <c r="Y3559" s="19" t="n"/>
    </row>
    <row r="3560">
      <c r="C3560" s="18" t="n"/>
      <c r="J3560" s="19" t="n"/>
      <c r="P3560" s="20" t="n"/>
      <c r="Q3560" s="19" t="n"/>
      <c r="R3560" s="19" t="n"/>
      <c r="Y3560" s="19" t="n"/>
    </row>
    <row r="3561">
      <c r="C3561" s="18" t="n"/>
      <c r="J3561" s="19" t="n"/>
      <c r="P3561" s="20" t="n"/>
      <c r="Q3561" s="19" t="n"/>
      <c r="R3561" s="19" t="n"/>
      <c r="Y3561" s="19" t="n"/>
    </row>
    <row r="3562">
      <c r="C3562" s="18" t="n"/>
      <c r="J3562" s="19" t="n"/>
      <c r="P3562" s="20" t="n"/>
      <c r="Q3562" s="19" t="n"/>
      <c r="R3562" s="19" t="n"/>
      <c r="Y3562" s="19" t="n"/>
    </row>
    <row r="3563">
      <c r="C3563" s="18" t="n"/>
      <c r="J3563" s="19" t="n"/>
      <c r="P3563" s="20" t="n"/>
      <c r="Q3563" s="19" t="n"/>
      <c r="R3563" s="19" t="n"/>
      <c r="Y3563" s="19" t="n"/>
    </row>
    <row r="3564">
      <c r="C3564" s="18" t="n"/>
      <c r="J3564" s="19" t="n"/>
      <c r="P3564" s="20" t="n"/>
      <c r="Q3564" s="19" t="n"/>
      <c r="R3564" s="19" t="n"/>
      <c r="Y3564" s="19" t="n"/>
    </row>
    <row r="3565">
      <c r="C3565" s="18" t="n"/>
      <c r="J3565" s="19" t="n"/>
      <c r="P3565" s="20" t="n"/>
      <c r="Q3565" s="19" t="n"/>
      <c r="R3565" s="19" t="n"/>
      <c r="Y3565" s="19" t="n"/>
    </row>
    <row r="3566">
      <c r="C3566" s="18" t="n"/>
      <c r="J3566" s="19" t="n"/>
      <c r="P3566" s="20" t="n"/>
      <c r="Q3566" s="19" t="n"/>
      <c r="R3566" s="19" t="n"/>
      <c r="Y3566" s="19" t="n"/>
    </row>
    <row r="3567">
      <c r="C3567" s="18" t="n"/>
      <c r="J3567" s="19" t="n"/>
      <c r="P3567" s="20" t="n"/>
      <c r="Q3567" s="19" t="n"/>
      <c r="R3567" s="19" t="n"/>
      <c r="Y3567" s="19" t="n"/>
    </row>
    <row r="3568">
      <c r="C3568" s="18" t="n"/>
      <c r="J3568" s="19" t="n"/>
      <c r="P3568" s="20" t="n"/>
      <c r="Q3568" s="19" t="n"/>
      <c r="R3568" s="19" t="n"/>
      <c r="Y3568" s="19" t="n"/>
    </row>
    <row r="3569">
      <c r="C3569" s="18" t="n"/>
      <c r="J3569" s="19" t="n"/>
      <c r="P3569" s="20" t="n"/>
      <c r="Q3569" s="19" t="n"/>
      <c r="R3569" s="19" t="n"/>
      <c r="Y3569" s="19" t="n"/>
    </row>
    <row r="3570">
      <c r="C3570" s="18" t="n"/>
      <c r="J3570" s="19" t="n"/>
      <c r="P3570" s="20" t="n"/>
      <c r="Q3570" s="19" t="n"/>
      <c r="R3570" s="19" t="n"/>
      <c r="Y3570" s="19" t="n"/>
    </row>
    <row r="3571">
      <c r="C3571" s="18" t="n"/>
      <c r="J3571" s="19" t="n"/>
      <c r="P3571" s="20" t="n"/>
      <c r="Q3571" s="19" t="n"/>
      <c r="R3571" s="19" t="n"/>
      <c r="Y3571" s="19" t="n"/>
    </row>
    <row r="3572">
      <c r="C3572" s="18" t="n"/>
      <c r="J3572" s="19" t="n"/>
      <c r="P3572" s="20" t="n"/>
      <c r="Q3572" s="19" t="n"/>
      <c r="R3572" s="19" t="n"/>
      <c r="Y3572" s="19" t="n"/>
    </row>
    <row r="3573">
      <c r="C3573" s="18" t="n"/>
      <c r="J3573" s="19" t="n"/>
      <c r="P3573" s="20" t="n"/>
      <c r="Q3573" s="19" t="n"/>
      <c r="R3573" s="19" t="n"/>
      <c r="Y3573" s="19" t="n"/>
    </row>
    <row r="3574">
      <c r="C3574" s="18" t="n"/>
      <c r="J3574" s="19" t="n"/>
      <c r="P3574" s="20" t="n"/>
      <c r="Q3574" s="19" t="n"/>
      <c r="R3574" s="19" t="n"/>
      <c r="Y3574" s="19" t="n"/>
    </row>
    <row r="3575">
      <c r="C3575" s="18" t="n"/>
      <c r="J3575" s="19" t="n"/>
      <c r="P3575" s="20" t="n"/>
      <c r="Q3575" s="19" t="n"/>
      <c r="R3575" s="19" t="n"/>
      <c r="Y3575" s="19" t="n"/>
    </row>
    <row r="3576">
      <c r="C3576" s="18" t="n"/>
      <c r="J3576" s="19" t="n"/>
      <c r="P3576" s="20" t="n"/>
      <c r="Q3576" s="19" t="n"/>
      <c r="R3576" s="19" t="n"/>
      <c r="Y3576" s="19" t="n"/>
    </row>
    <row r="3577">
      <c r="C3577" s="18" t="n"/>
      <c r="J3577" s="19" t="n"/>
      <c r="P3577" s="20" t="n"/>
      <c r="Q3577" s="19" t="n"/>
      <c r="R3577" s="19" t="n"/>
      <c r="Y3577" s="19" t="n"/>
    </row>
    <row r="3578">
      <c r="C3578" s="18" t="n"/>
      <c r="J3578" s="19" t="n"/>
      <c r="P3578" s="20" t="n"/>
      <c r="Q3578" s="19" t="n"/>
      <c r="R3578" s="19" t="n"/>
      <c r="Y3578" s="19" t="n"/>
    </row>
    <row r="3579">
      <c r="C3579" s="18" t="n"/>
      <c r="J3579" s="19" t="n"/>
      <c r="P3579" s="20" t="n"/>
      <c r="Q3579" s="19" t="n"/>
      <c r="R3579" s="19" t="n"/>
      <c r="Y3579" s="19" t="n"/>
    </row>
    <row r="3580">
      <c r="C3580" s="18" t="n"/>
      <c r="J3580" s="19" t="n"/>
      <c r="P3580" s="20" t="n"/>
      <c r="Q3580" s="19" t="n"/>
      <c r="R3580" s="19" t="n"/>
      <c r="Y3580" s="19" t="n"/>
    </row>
    <row r="3581">
      <c r="C3581" s="18" t="n"/>
      <c r="J3581" s="19" t="n"/>
      <c r="P3581" s="20" t="n"/>
      <c r="Q3581" s="19" t="n"/>
      <c r="R3581" s="19" t="n"/>
      <c r="Y3581" s="19" t="n"/>
    </row>
    <row r="3582">
      <c r="C3582" s="18" t="n"/>
      <c r="J3582" s="19" t="n"/>
      <c r="P3582" s="20" t="n"/>
      <c r="Q3582" s="19" t="n"/>
      <c r="R3582" s="19" t="n"/>
      <c r="Y3582" s="19" t="n"/>
    </row>
    <row r="3583">
      <c r="C3583" s="18" t="n"/>
      <c r="J3583" s="19" t="n"/>
      <c r="P3583" s="20" t="n"/>
      <c r="Q3583" s="19" t="n"/>
      <c r="R3583" s="19" t="n"/>
      <c r="Y3583" s="19" t="n"/>
    </row>
    <row r="3584">
      <c r="C3584" s="18" t="n"/>
      <c r="J3584" s="19" t="n"/>
      <c r="P3584" s="20" t="n"/>
      <c r="Q3584" s="19" t="n"/>
      <c r="R3584" s="19" t="n"/>
      <c r="Y3584" s="19" t="n"/>
    </row>
    <row r="3585">
      <c r="C3585" s="18" t="n"/>
      <c r="J3585" s="19" t="n"/>
      <c r="P3585" s="20" t="n"/>
      <c r="Q3585" s="19" t="n"/>
      <c r="R3585" s="19" t="n"/>
      <c r="Y3585" s="19" t="n"/>
    </row>
    <row r="3586">
      <c r="C3586" s="18" t="n"/>
      <c r="J3586" s="19" t="n"/>
      <c r="P3586" s="20" t="n"/>
      <c r="Q3586" s="19" t="n"/>
      <c r="R3586" s="19" t="n"/>
      <c r="Y3586" s="19" t="n"/>
    </row>
    <row r="3587">
      <c r="C3587" s="18" t="n"/>
      <c r="J3587" s="19" t="n"/>
      <c r="P3587" s="20" t="n"/>
      <c r="Q3587" s="19" t="n"/>
      <c r="R3587" s="19" t="n"/>
      <c r="Y3587" s="19" t="n"/>
    </row>
    <row r="3588">
      <c r="C3588" s="18" t="n"/>
      <c r="J3588" s="19" t="n"/>
      <c r="P3588" s="20" t="n"/>
      <c r="Q3588" s="19" t="n"/>
      <c r="R3588" s="19" t="n"/>
      <c r="Y3588" s="19" t="n"/>
    </row>
    <row r="3589">
      <c r="C3589" s="18" t="n"/>
      <c r="J3589" s="19" t="n"/>
      <c r="P3589" s="20" t="n"/>
      <c r="Q3589" s="19" t="n"/>
      <c r="R3589" s="19" t="n"/>
      <c r="Y3589" s="19" t="n"/>
    </row>
    <row r="3590">
      <c r="C3590" s="18" t="n"/>
      <c r="J3590" s="19" t="n"/>
      <c r="P3590" s="20" t="n"/>
      <c r="Q3590" s="19" t="n"/>
      <c r="R3590" s="19" t="n"/>
      <c r="Y3590" s="19" t="n"/>
    </row>
    <row r="3591">
      <c r="C3591" s="18" t="n"/>
      <c r="J3591" s="19" t="n"/>
      <c r="P3591" s="20" t="n"/>
      <c r="Q3591" s="19" t="n"/>
      <c r="R3591" s="19" t="n"/>
      <c r="Y3591" s="19" t="n"/>
    </row>
    <row r="3592">
      <c r="C3592" s="18" t="n"/>
      <c r="J3592" s="19" t="n"/>
      <c r="P3592" s="20" t="n"/>
      <c r="Q3592" s="19" t="n"/>
      <c r="R3592" s="19" t="n"/>
      <c r="Y3592" s="19" t="n"/>
    </row>
    <row r="3593">
      <c r="C3593" s="18" t="n"/>
      <c r="J3593" s="19" t="n"/>
      <c r="P3593" s="20" t="n"/>
      <c r="Q3593" s="19" t="n"/>
      <c r="R3593" s="19" t="n"/>
      <c r="Y3593" s="19" t="n"/>
    </row>
    <row r="3594">
      <c r="C3594" s="18" t="n"/>
      <c r="J3594" s="19" t="n"/>
      <c r="P3594" s="20" t="n"/>
      <c r="Q3594" s="19" t="n"/>
      <c r="R3594" s="19" t="n"/>
      <c r="Y3594" s="19" t="n"/>
    </row>
    <row r="3595">
      <c r="C3595" s="18" t="n"/>
      <c r="J3595" s="19" t="n"/>
      <c r="P3595" s="20" t="n"/>
      <c r="Q3595" s="19" t="n"/>
      <c r="R3595" s="19" t="n"/>
      <c r="Y3595" s="19" t="n"/>
    </row>
    <row r="3596">
      <c r="C3596" s="18" t="n"/>
      <c r="J3596" s="19" t="n"/>
      <c r="P3596" s="20" t="n"/>
      <c r="Q3596" s="19" t="n"/>
      <c r="R3596" s="19" t="n"/>
      <c r="Y3596" s="19" t="n"/>
    </row>
    <row r="3597">
      <c r="C3597" s="18" t="n"/>
      <c r="J3597" s="19" t="n"/>
      <c r="P3597" s="20" t="n"/>
      <c r="Q3597" s="19" t="n"/>
      <c r="R3597" s="19" t="n"/>
      <c r="Y3597" s="19" t="n"/>
    </row>
    <row r="3598">
      <c r="C3598" s="18" t="n"/>
      <c r="J3598" s="19" t="n"/>
      <c r="P3598" s="20" t="n"/>
      <c r="Q3598" s="19" t="n"/>
      <c r="R3598" s="19" t="n"/>
      <c r="Y3598" s="19" t="n"/>
    </row>
    <row r="3599">
      <c r="C3599" s="18" t="n"/>
      <c r="J3599" s="19" t="n"/>
      <c r="P3599" s="20" t="n"/>
      <c r="Q3599" s="19" t="n"/>
      <c r="R3599" s="19" t="n"/>
      <c r="Y3599" s="19" t="n"/>
    </row>
    <row r="3600">
      <c r="C3600" s="18" t="n"/>
      <c r="J3600" s="19" t="n"/>
      <c r="P3600" s="20" t="n"/>
      <c r="Q3600" s="19" t="n"/>
      <c r="R3600" s="19" t="n"/>
      <c r="Y3600" s="19" t="n"/>
    </row>
    <row r="3601">
      <c r="C3601" s="18" t="n"/>
      <c r="J3601" s="19" t="n"/>
      <c r="P3601" s="20" t="n"/>
      <c r="Q3601" s="19" t="n"/>
      <c r="R3601" s="19" t="n"/>
      <c r="Y3601" s="19" t="n"/>
    </row>
    <row r="3602">
      <c r="C3602" s="18" t="n"/>
      <c r="J3602" s="19" t="n"/>
      <c r="P3602" s="20" t="n"/>
      <c r="Q3602" s="19" t="n"/>
      <c r="R3602" s="19" t="n"/>
      <c r="Y3602" s="19" t="n"/>
    </row>
    <row r="3603">
      <c r="C3603" s="18" t="n"/>
      <c r="J3603" s="19" t="n"/>
      <c r="P3603" s="20" t="n"/>
      <c r="Q3603" s="19" t="n"/>
      <c r="R3603" s="19" t="n"/>
      <c r="Y3603" s="19" t="n"/>
    </row>
    <row r="3604">
      <c r="C3604" s="18" t="n"/>
      <c r="J3604" s="19" t="n"/>
      <c r="P3604" s="20" t="n"/>
      <c r="Q3604" s="19" t="n"/>
      <c r="R3604" s="19" t="n"/>
      <c r="Y3604" s="19" t="n"/>
    </row>
    <row r="3605">
      <c r="C3605" s="18" t="n"/>
      <c r="J3605" s="19" t="n"/>
      <c r="P3605" s="20" t="n"/>
      <c r="Q3605" s="19" t="n"/>
      <c r="R3605" s="19" t="n"/>
      <c r="Y3605" s="19" t="n"/>
    </row>
    <row r="3606">
      <c r="C3606" s="18" t="n"/>
      <c r="J3606" s="19" t="n"/>
      <c r="P3606" s="20" t="n"/>
      <c r="Q3606" s="19" t="n"/>
      <c r="R3606" s="19" t="n"/>
      <c r="Y3606" s="19" t="n"/>
    </row>
    <row r="3607">
      <c r="C3607" s="18" t="n"/>
      <c r="J3607" s="19" t="n"/>
      <c r="P3607" s="20" t="n"/>
      <c r="Q3607" s="19" t="n"/>
      <c r="R3607" s="19" t="n"/>
      <c r="Y3607" s="19" t="n"/>
    </row>
    <row r="3608">
      <c r="C3608" s="18" t="n"/>
      <c r="J3608" s="19" t="n"/>
      <c r="P3608" s="20" t="n"/>
      <c r="Q3608" s="19" t="n"/>
      <c r="R3608" s="19" t="n"/>
      <c r="Y3608" s="19" t="n"/>
    </row>
    <row r="3609">
      <c r="C3609" s="18" t="n"/>
      <c r="J3609" s="19" t="n"/>
      <c r="P3609" s="20" t="n"/>
      <c r="Q3609" s="19" t="n"/>
      <c r="R3609" s="19" t="n"/>
      <c r="Y3609" s="19" t="n"/>
    </row>
    <row r="3610">
      <c r="C3610" s="18" t="n"/>
      <c r="J3610" s="19" t="n"/>
      <c r="P3610" s="20" t="n"/>
      <c r="Q3610" s="19" t="n"/>
      <c r="R3610" s="19" t="n"/>
      <c r="Y3610" s="19" t="n"/>
    </row>
    <row r="3611">
      <c r="C3611" s="18" t="n"/>
      <c r="J3611" s="19" t="n"/>
      <c r="P3611" s="20" t="n"/>
      <c r="Q3611" s="19" t="n"/>
      <c r="R3611" s="19" t="n"/>
      <c r="Y3611" s="19" t="n"/>
    </row>
    <row r="3612">
      <c r="C3612" s="18" t="n"/>
      <c r="J3612" s="19" t="n"/>
      <c r="P3612" s="20" t="n"/>
      <c r="Q3612" s="19" t="n"/>
      <c r="R3612" s="19" t="n"/>
      <c r="Y3612" s="19" t="n"/>
    </row>
    <row r="3613">
      <c r="C3613" s="18" t="n"/>
      <c r="J3613" s="19" t="n"/>
      <c r="P3613" s="20" t="n"/>
      <c r="Q3613" s="19" t="n"/>
      <c r="R3613" s="19" t="n"/>
      <c r="Y3613" s="19" t="n"/>
    </row>
    <row r="3614">
      <c r="C3614" s="18" t="n"/>
      <c r="J3614" s="19" t="n"/>
      <c r="P3614" s="20" t="n"/>
      <c r="Q3614" s="19" t="n"/>
      <c r="R3614" s="19" t="n"/>
      <c r="Y3614" s="19" t="n"/>
    </row>
    <row r="3615">
      <c r="C3615" s="18" t="n"/>
      <c r="J3615" s="19" t="n"/>
      <c r="P3615" s="20" t="n"/>
      <c r="Q3615" s="19" t="n"/>
      <c r="R3615" s="19" t="n"/>
      <c r="Y3615" s="19" t="n"/>
    </row>
    <row r="3616">
      <c r="C3616" s="18" t="n"/>
      <c r="J3616" s="19" t="n"/>
      <c r="P3616" s="20" t="n"/>
      <c r="Q3616" s="19" t="n"/>
      <c r="R3616" s="19" t="n"/>
      <c r="Y3616" s="19" t="n"/>
    </row>
    <row r="3617">
      <c r="C3617" s="18" t="n"/>
      <c r="J3617" s="19" t="n"/>
      <c r="P3617" s="20" t="n"/>
      <c r="Q3617" s="19" t="n"/>
      <c r="R3617" s="19" t="n"/>
      <c r="Y3617" s="19" t="n"/>
    </row>
    <row r="3618">
      <c r="C3618" s="18" t="n"/>
      <c r="J3618" s="19" t="n"/>
      <c r="P3618" s="20" t="n"/>
      <c r="Q3618" s="19" t="n"/>
      <c r="R3618" s="19" t="n"/>
      <c r="Y3618" s="19" t="n"/>
    </row>
    <row r="3619">
      <c r="C3619" s="18" t="n"/>
      <c r="J3619" s="19" t="n"/>
      <c r="P3619" s="20" t="n"/>
      <c r="Q3619" s="19" t="n"/>
      <c r="R3619" s="19" t="n"/>
      <c r="Y3619" s="19" t="n"/>
    </row>
    <row r="3620">
      <c r="C3620" s="18" t="n"/>
      <c r="J3620" s="19" t="n"/>
      <c r="P3620" s="20" t="n"/>
      <c r="Q3620" s="19" t="n"/>
      <c r="R3620" s="19" t="n"/>
      <c r="Y3620" s="19" t="n"/>
    </row>
    <row r="3621">
      <c r="C3621" s="18" t="n"/>
      <c r="J3621" s="19" t="n"/>
      <c r="P3621" s="20" t="n"/>
      <c r="Q3621" s="19" t="n"/>
      <c r="R3621" s="19" t="n"/>
      <c r="Y3621" s="19" t="n"/>
    </row>
    <row r="3622">
      <c r="C3622" s="18" t="n"/>
      <c r="J3622" s="19" t="n"/>
      <c r="P3622" s="20" t="n"/>
      <c r="Q3622" s="19" t="n"/>
      <c r="R3622" s="19" t="n"/>
      <c r="Y3622" s="19" t="n"/>
    </row>
    <row r="3623">
      <c r="C3623" s="18" t="n"/>
      <c r="J3623" s="19" t="n"/>
      <c r="P3623" s="20" t="n"/>
      <c r="Q3623" s="19" t="n"/>
      <c r="R3623" s="19" t="n"/>
      <c r="Y3623" s="19" t="n"/>
    </row>
    <row r="3624">
      <c r="C3624" s="18" t="n"/>
      <c r="J3624" s="19" t="n"/>
      <c r="P3624" s="20" t="n"/>
      <c r="Q3624" s="19" t="n"/>
      <c r="R3624" s="19" t="n"/>
      <c r="Y3624" s="19" t="n"/>
    </row>
    <row r="3625">
      <c r="C3625" s="18" t="n"/>
      <c r="J3625" s="19" t="n"/>
      <c r="P3625" s="20" t="n"/>
      <c r="Q3625" s="19" t="n"/>
      <c r="R3625" s="19" t="n"/>
      <c r="Y3625" s="19" t="n"/>
    </row>
    <row r="3626">
      <c r="C3626" s="18" t="n"/>
      <c r="J3626" s="19" t="n"/>
      <c r="P3626" s="20" t="n"/>
      <c r="Q3626" s="19" t="n"/>
      <c r="R3626" s="19" t="n"/>
      <c r="Y3626" s="19" t="n"/>
    </row>
    <row r="3627">
      <c r="C3627" s="18" t="n"/>
      <c r="J3627" s="19" t="n"/>
      <c r="P3627" s="20" t="n"/>
      <c r="Q3627" s="19" t="n"/>
      <c r="R3627" s="19" t="n"/>
      <c r="Y3627" s="19" t="n"/>
    </row>
    <row r="3628">
      <c r="C3628" s="18" t="n"/>
      <c r="J3628" s="19" t="n"/>
      <c r="P3628" s="20" t="n"/>
      <c r="Q3628" s="19" t="n"/>
      <c r="R3628" s="19" t="n"/>
      <c r="Y3628" s="19" t="n"/>
    </row>
    <row r="3629">
      <c r="C3629" s="18" t="n"/>
      <c r="J3629" s="19" t="n"/>
      <c r="P3629" s="20" t="n"/>
      <c r="Q3629" s="19" t="n"/>
      <c r="R3629" s="19" t="n"/>
      <c r="Y3629" s="19" t="n"/>
    </row>
    <row r="3630">
      <c r="C3630" s="18" t="n"/>
      <c r="J3630" s="19" t="n"/>
      <c r="P3630" s="20" t="n"/>
      <c r="Q3630" s="19" t="n"/>
      <c r="R3630" s="19" t="n"/>
      <c r="Y3630" s="19" t="n"/>
    </row>
    <row r="3631">
      <c r="C3631" s="18" t="n"/>
      <c r="J3631" s="19" t="n"/>
      <c r="P3631" s="20" t="n"/>
      <c r="Q3631" s="19" t="n"/>
      <c r="R3631" s="19" t="n"/>
      <c r="Y3631" s="19" t="n"/>
    </row>
    <row r="3632">
      <c r="C3632" s="18" t="n"/>
      <c r="J3632" s="19" t="n"/>
      <c r="P3632" s="20" t="n"/>
      <c r="Q3632" s="19" t="n"/>
      <c r="R3632" s="19" t="n"/>
      <c r="Y3632" s="19" t="n"/>
    </row>
    <row r="3633">
      <c r="C3633" s="18" t="n"/>
      <c r="J3633" s="19" t="n"/>
      <c r="P3633" s="20" t="n"/>
      <c r="Q3633" s="19" t="n"/>
      <c r="R3633" s="19" t="n"/>
      <c r="Y3633" s="19" t="n"/>
    </row>
    <row r="3634">
      <c r="C3634" s="18" t="n"/>
      <c r="J3634" s="19" t="n"/>
      <c r="P3634" s="20" t="n"/>
      <c r="Q3634" s="19" t="n"/>
      <c r="R3634" s="19" t="n"/>
      <c r="Y3634" s="19" t="n"/>
    </row>
    <row r="3635">
      <c r="C3635" s="18" t="n"/>
      <c r="J3635" s="19" t="n"/>
      <c r="P3635" s="20" t="n"/>
      <c r="Q3635" s="19" t="n"/>
      <c r="R3635" s="19" t="n"/>
      <c r="Y3635" s="19" t="n"/>
    </row>
    <row r="3636">
      <c r="C3636" s="18" t="n"/>
      <c r="J3636" s="19" t="n"/>
      <c r="P3636" s="20" t="n"/>
      <c r="Q3636" s="19" t="n"/>
      <c r="R3636" s="19" t="n"/>
      <c r="Y3636" s="19" t="n"/>
    </row>
    <row r="3637">
      <c r="C3637" s="18" t="n"/>
      <c r="J3637" s="19" t="n"/>
      <c r="P3637" s="20" t="n"/>
      <c r="Q3637" s="19" t="n"/>
      <c r="R3637" s="19" t="n"/>
      <c r="Y3637" s="19" t="n"/>
    </row>
    <row r="3638">
      <c r="C3638" s="18" t="n"/>
      <c r="J3638" s="19" t="n"/>
      <c r="P3638" s="20" t="n"/>
      <c r="Q3638" s="19" t="n"/>
      <c r="R3638" s="19" t="n"/>
      <c r="Y3638" s="19" t="n"/>
    </row>
    <row r="3639">
      <c r="C3639" s="18" t="n"/>
      <c r="J3639" s="19" t="n"/>
      <c r="P3639" s="20" t="n"/>
      <c r="Q3639" s="19" t="n"/>
      <c r="R3639" s="19" t="n"/>
      <c r="Y3639" s="19" t="n"/>
    </row>
    <row r="3640">
      <c r="C3640" s="18" t="n"/>
      <c r="J3640" s="19" t="n"/>
      <c r="P3640" s="20" t="n"/>
      <c r="Q3640" s="19" t="n"/>
      <c r="R3640" s="19" t="n"/>
      <c r="Y3640" s="19" t="n"/>
    </row>
    <row r="3641">
      <c r="C3641" s="18" t="n"/>
      <c r="J3641" s="19" t="n"/>
      <c r="P3641" s="20" t="n"/>
      <c r="Q3641" s="19" t="n"/>
      <c r="R3641" s="19" t="n"/>
      <c r="Y3641" s="19" t="n"/>
    </row>
    <row r="3642">
      <c r="C3642" s="18" t="n"/>
      <c r="J3642" s="19" t="n"/>
      <c r="P3642" s="20" t="n"/>
      <c r="Q3642" s="19" t="n"/>
      <c r="R3642" s="19" t="n"/>
      <c r="Y3642" s="19" t="n"/>
    </row>
    <row r="3643">
      <c r="C3643" s="18" t="n"/>
      <c r="J3643" s="19" t="n"/>
      <c r="P3643" s="20" t="n"/>
      <c r="Q3643" s="19" t="n"/>
      <c r="R3643" s="19" t="n"/>
      <c r="Y3643" s="19" t="n"/>
    </row>
    <row r="3644">
      <c r="C3644" s="18" t="n"/>
      <c r="J3644" s="19" t="n"/>
      <c r="P3644" s="20" t="n"/>
      <c r="Q3644" s="19" t="n"/>
      <c r="R3644" s="19" t="n"/>
      <c r="Y3644" s="19" t="n"/>
    </row>
    <row r="3645">
      <c r="C3645" s="18" t="n"/>
      <c r="J3645" s="19" t="n"/>
      <c r="P3645" s="20" t="n"/>
      <c r="Q3645" s="19" t="n"/>
      <c r="R3645" s="19" t="n"/>
      <c r="Y3645" s="19" t="n"/>
    </row>
    <row r="3646">
      <c r="C3646" s="18" t="n"/>
      <c r="J3646" s="19" t="n"/>
      <c r="P3646" s="20" t="n"/>
      <c r="Q3646" s="19" t="n"/>
      <c r="R3646" s="19" t="n"/>
      <c r="Y3646" s="19" t="n"/>
    </row>
    <row r="3647">
      <c r="C3647" s="18" t="n"/>
      <c r="J3647" s="19" t="n"/>
      <c r="P3647" s="20" t="n"/>
      <c r="Q3647" s="19" t="n"/>
      <c r="R3647" s="19" t="n"/>
      <c r="Y3647" s="19" t="n"/>
    </row>
    <row r="3648">
      <c r="C3648" s="18" t="n"/>
      <c r="J3648" s="19" t="n"/>
      <c r="P3648" s="20" t="n"/>
      <c r="Q3648" s="19" t="n"/>
      <c r="R3648" s="19" t="n"/>
      <c r="Y3648" s="19" t="n"/>
    </row>
    <row r="3649">
      <c r="C3649" s="18" t="n"/>
      <c r="J3649" s="19" t="n"/>
      <c r="P3649" s="20" t="n"/>
      <c r="Q3649" s="19" t="n"/>
      <c r="R3649" s="19" t="n"/>
      <c r="Y3649" s="19" t="n"/>
    </row>
    <row r="3650">
      <c r="C3650" s="18" t="n"/>
      <c r="J3650" s="19" t="n"/>
      <c r="P3650" s="20" t="n"/>
      <c r="Q3650" s="19" t="n"/>
      <c r="R3650" s="19" t="n"/>
      <c r="Y3650" s="19" t="n"/>
    </row>
    <row r="3651">
      <c r="C3651" s="18" t="n"/>
      <c r="J3651" s="19" t="n"/>
      <c r="P3651" s="20" t="n"/>
      <c r="Q3651" s="19" t="n"/>
      <c r="R3651" s="19" t="n"/>
      <c r="Y3651" s="19" t="n"/>
    </row>
    <row r="3652">
      <c r="C3652" s="18" t="n"/>
      <c r="J3652" s="19" t="n"/>
      <c r="P3652" s="20" t="n"/>
      <c r="Q3652" s="19" t="n"/>
      <c r="R3652" s="19" t="n"/>
      <c r="Y3652" s="19" t="n"/>
    </row>
    <row r="3653">
      <c r="C3653" s="18" t="n"/>
      <c r="J3653" s="19" t="n"/>
      <c r="P3653" s="20" t="n"/>
      <c r="Q3653" s="19" t="n"/>
      <c r="R3653" s="19" t="n"/>
      <c r="Y3653" s="19" t="n"/>
    </row>
    <row r="3654">
      <c r="C3654" s="18" t="n"/>
      <c r="J3654" s="19" t="n"/>
      <c r="P3654" s="20" t="n"/>
      <c r="Q3654" s="19" t="n"/>
      <c r="R3654" s="19" t="n"/>
      <c r="Y3654" s="19" t="n"/>
    </row>
    <row r="3655">
      <c r="C3655" s="18" t="n"/>
      <c r="J3655" s="19" t="n"/>
      <c r="P3655" s="20" t="n"/>
      <c r="Q3655" s="19" t="n"/>
      <c r="R3655" s="19" t="n"/>
      <c r="Y3655" s="19" t="n"/>
    </row>
    <row r="3656">
      <c r="C3656" s="18" t="n"/>
      <c r="J3656" s="19" t="n"/>
      <c r="P3656" s="20" t="n"/>
      <c r="Q3656" s="19" t="n"/>
      <c r="R3656" s="19" t="n"/>
      <c r="Y3656" s="19" t="n"/>
    </row>
    <row r="3657">
      <c r="C3657" s="18" t="n"/>
      <c r="J3657" s="19" t="n"/>
      <c r="P3657" s="20" t="n"/>
      <c r="Q3657" s="19" t="n"/>
      <c r="R3657" s="19" t="n"/>
      <c r="Y3657" s="19" t="n"/>
    </row>
    <row r="3658">
      <c r="C3658" s="18" t="n"/>
      <c r="J3658" s="19" t="n"/>
      <c r="P3658" s="20" t="n"/>
      <c r="Q3658" s="19" t="n"/>
      <c r="R3658" s="19" t="n"/>
      <c r="Y3658" s="19" t="n"/>
    </row>
    <row r="3659">
      <c r="C3659" s="18" t="n"/>
      <c r="J3659" s="19" t="n"/>
      <c r="P3659" s="20" t="n"/>
      <c r="Q3659" s="19" t="n"/>
      <c r="R3659" s="19" t="n"/>
      <c r="Y3659" s="19" t="n"/>
    </row>
    <row r="3660">
      <c r="C3660" s="18" t="n"/>
      <c r="J3660" s="19" t="n"/>
      <c r="P3660" s="20" t="n"/>
      <c r="Q3660" s="19" t="n"/>
      <c r="R3660" s="19" t="n"/>
      <c r="Y3660" s="19" t="n"/>
    </row>
    <row r="3661">
      <c r="C3661" s="18" t="n"/>
      <c r="J3661" s="19" t="n"/>
      <c r="P3661" s="20" t="n"/>
      <c r="Q3661" s="19" t="n"/>
      <c r="R3661" s="19" t="n"/>
      <c r="Y3661" s="19" t="n"/>
    </row>
    <row r="3662">
      <c r="C3662" s="18" t="n"/>
      <c r="J3662" s="19" t="n"/>
      <c r="P3662" s="20" t="n"/>
      <c r="Q3662" s="19" t="n"/>
      <c r="R3662" s="19" t="n"/>
      <c r="Y3662" s="19" t="n"/>
    </row>
    <row r="3663">
      <c r="C3663" s="18" t="n"/>
      <c r="J3663" s="19" t="n"/>
      <c r="P3663" s="20" t="n"/>
      <c r="Q3663" s="19" t="n"/>
      <c r="R3663" s="19" t="n"/>
      <c r="Y3663" s="19" t="n"/>
    </row>
    <row r="3664">
      <c r="C3664" s="18" t="n"/>
      <c r="J3664" s="19" t="n"/>
      <c r="P3664" s="20" t="n"/>
      <c r="Q3664" s="19" t="n"/>
      <c r="R3664" s="19" t="n"/>
      <c r="Y3664" s="19" t="n"/>
    </row>
    <row r="3665">
      <c r="C3665" s="18" t="n"/>
      <c r="J3665" s="19" t="n"/>
      <c r="P3665" s="20" t="n"/>
      <c r="Q3665" s="19" t="n"/>
      <c r="R3665" s="19" t="n"/>
      <c r="Y3665" s="19" t="n"/>
    </row>
    <row r="3666">
      <c r="C3666" s="18" t="n"/>
      <c r="J3666" s="19" t="n"/>
      <c r="P3666" s="20" t="n"/>
      <c r="Q3666" s="19" t="n"/>
      <c r="R3666" s="19" t="n"/>
      <c r="Y3666" s="19" t="n"/>
    </row>
    <row r="3667">
      <c r="C3667" s="18" t="n"/>
      <c r="J3667" s="19" t="n"/>
      <c r="P3667" s="20" t="n"/>
      <c r="Q3667" s="19" t="n"/>
      <c r="R3667" s="19" t="n"/>
      <c r="Y3667" s="19" t="n"/>
    </row>
    <row r="3668">
      <c r="C3668" s="18" t="n"/>
      <c r="J3668" s="19" t="n"/>
      <c r="P3668" s="20" t="n"/>
      <c r="Q3668" s="19" t="n"/>
      <c r="R3668" s="19" t="n"/>
      <c r="Y3668" s="19" t="n"/>
    </row>
    <row r="3669">
      <c r="C3669" s="18" t="n"/>
      <c r="J3669" s="19" t="n"/>
      <c r="P3669" s="20" t="n"/>
      <c r="Q3669" s="19" t="n"/>
      <c r="R3669" s="19" t="n"/>
      <c r="Y3669" s="19" t="n"/>
    </row>
    <row r="3670">
      <c r="C3670" s="18" t="n"/>
      <c r="J3670" s="19" t="n"/>
      <c r="P3670" s="20" t="n"/>
      <c r="Q3670" s="19" t="n"/>
      <c r="R3670" s="19" t="n"/>
      <c r="Y3670" s="19" t="n"/>
    </row>
    <row r="3671">
      <c r="C3671" s="18" t="n"/>
      <c r="J3671" s="19" t="n"/>
      <c r="P3671" s="20" t="n"/>
      <c r="Q3671" s="19" t="n"/>
      <c r="R3671" s="19" t="n"/>
      <c r="Y3671" s="19" t="n"/>
    </row>
    <row r="3672">
      <c r="C3672" s="18" t="n"/>
      <c r="J3672" s="19" t="n"/>
      <c r="P3672" s="20" t="n"/>
      <c r="Q3672" s="19" t="n"/>
      <c r="R3672" s="19" t="n"/>
      <c r="Y3672" s="19" t="n"/>
    </row>
    <row r="3673">
      <c r="C3673" s="18" t="n"/>
      <c r="J3673" s="19" t="n"/>
      <c r="P3673" s="20" t="n"/>
      <c r="Q3673" s="19" t="n"/>
      <c r="R3673" s="19" t="n"/>
      <c r="Y3673" s="19" t="n"/>
    </row>
    <row r="3674">
      <c r="C3674" s="18" t="n"/>
      <c r="J3674" s="19" t="n"/>
      <c r="P3674" s="20" t="n"/>
      <c r="Q3674" s="19" t="n"/>
      <c r="R3674" s="19" t="n"/>
      <c r="Y3674" s="19" t="n"/>
    </row>
    <row r="3675">
      <c r="C3675" s="18" t="n"/>
      <c r="J3675" s="19" t="n"/>
      <c r="P3675" s="20" t="n"/>
      <c r="Q3675" s="19" t="n"/>
      <c r="R3675" s="19" t="n"/>
      <c r="Y3675" s="19" t="n"/>
    </row>
    <row r="3676">
      <c r="C3676" s="18" t="n"/>
      <c r="J3676" s="19" t="n"/>
      <c r="P3676" s="20" t="n"/>
      <c r="Q3676" s="19" t="n"/>
      <c r="R3676" s="19" t="n"/>
      <c r="Y3676" s="19" t="n"/>
    </row>
    <row r="3677">
      <c r="C3677" s="18" t="n"/>
      <c r="J3677" s="19" t="n"/>
      <c r="P3677" s="20" t="n"/>
      <c r="Q3677" s="19" t="n"/>
      <c r="R3677" s="19" t="n"/>
      <c r="Y3677" s="19" t="n"/>
    </row>
    <row r="3678">
      <c r="C3678" s="18" t="n"/>
      <c r="J3678" s="19" t="n"/>
      <c r="P3678" s="20" t="n"/>
      <c r="Q3678" s="19" t="n"/>
      <c r="R3678" s="19" t="n"/>
      <c r="Y3678" s="19" t="n"/>
    </row>
    <row r="3679">
      <c r="C3679" s="18" t="n"/>
      <c r="J3679" s="19" t="n"/>
      <c r="P3679" s="20" t="n"/>
      <c r="Q3679" s="19" t="n"/>
      <c r="R3679" s="19" t="n"/>
      <c r="Y3679" s="19" t="n"/>
    </row>
    <row r="3680">
      <c r="C3680" s="18" t="n"/>
      <c r="J3680" s="19" t="n"/>
      <c r="P3680" s="20" t="n"/>
      <c r="Q3680" s="19" t="n"/>
      <c r="R3680" s="19" t="n"/>
      <c r="Y3680" s="19" t="n"/>
    </row>
    <row r="3681">
      <c r="C3681" s="18" t="n"/>
      <c r="J3681" s="19" t="n"/>
      <c r="P3681" s="20" t="n"/>
      <c r="Q3681" s="19" t="n"/>
      <c r="R3681" s="19" t="n"/>
      <c r="Y3681" s="19" t="n"/>
    </row>
    <row r="3682">
      <c r="C3682" s="18" t="n"/>
      <c r="J3682" s="19" t="n"/>
      <c r="P3682" s="20" t="n"/>
      <c r="Q3682" s="19" t="n"/>
      <c r="R3682" s="19" t="n"/>
      <c r="Y3682" s="19" t="n"/>
    </row>
    <row r="3683">
      <c r="C3683" s="18" t="n"/>
      <c r="J3683" s="19" t="n"/>
      <c r="P3683" s="20" t="n"/>
      <c r="Q3683" s="19" t="n"/>
      <c r="R3683" s="19" t="n"/>
      <c r="Y3683" s="19" t="n"/>
    </row>
    <row r="3684">
      <c r="C3684" s="18" t="n"/>
      <c r="J3684" s="19" t="n"/>
      <c r="P3684" s="20" t="n"/>
      <c r="Q3684" s="19" t="n"/>
      <c r="R3684" s="19" t="n"/>
      <c r="Y3684" s="19" t="n"/>
    </row>
    <row r="3685">
      <c r="C3685" s="18" t="n"/>
      <c r="J3685" s="19" t="n"/>
      <c r="P3685" s="20" t="n"/>
      <c r="Q3685" s="19" t="n"/>
      <c r="R3685" s="19" t="n"/>
      <c r="Y3685" s="19" t="n"/>
    </row>
    <row r="3686">
      <c r="C3686" s="18" t="n"/>
      <c r="J3686" s="19" t="n"/>
      <c r="P3686" s="20" t="n"/>
      <c r="Q3686" s="19" t="n"/>
      <c r="R3686" s="19" t="n"/>
      <c r="Y3686" s="19" t="n"/>
    </row>
    <row r="3687">
      <c r="C3687" s="18" t="n"/>
      <c r="J3687" s="19" t="n"/>
      <c r="P3687" s="20" t="n"/>
      <c r="Q3687" s="19" t="n"/>
      <c r="R3687" s="19" t="n"/>
      <c r="Y3687" s="19" t="n"/>
    </row>
    <row r="3688">
      <c r="C3688" s="18" t="n"/>
      <c r="J3688" s="19" t="n"/>
      <c r="P3688" s="20" t="n"/>
      <c r="Q3688" s="19" t="n"/>
      <c r="R3688" s="19" t="n"/>
      <c r="Y3688" s="19" t="n"/>
    </row>
    <row r="3689">
      <c r="C3689" s="18" t="n"/>
      <c r="J3689" s="19" t="n"/>
      <c r="P3689" s="20" t="n"/>
      <c r="Q3689" s="19" t="n"/>
      <c r="R3689" s="19" t="n"/>
      <c r="Y3689" s="19" t="n"/>
    </row>
    <row r="3690">
      <c r="C3690" s="18" t="n"/>
      <c r="J3690" s="19" t="n"/>
      <c r="P3690" s="20" t="n"/>
      <c r="Q3690" s="19" t="n"/>
      <c r="R3690" s="19" t="n"/>
      <c r="Y3690" s="19" t="n"/>
    </row>
    <row r="3691">
      <c r="C3691" s="18" t="n"/>
      <c r="J3691" s="19" t="n"/>
      <c r="P3691" s="20" t="n"/>
      <c r="Q3691" s="19" t="n"/>
      <c r="R3691" s="19" t="n"/>
      <c r="Y3691" s="19" t="n"/>
    </row>
    <row r="3692">
      <c r="C3692" s="18" t="n"/>
      <c r="J3692" s="19" t="n"/>
      <c r="P3692" s="20" t="n"/>
      <c r="Q3692" s="19" t="n"/>
      <c r="R3692" s="19" t="n"/>
      <c r="Y3692" s="19" t="n"/>
    </row>
    <row r="3693">
      <c r="C3693" s="18" t="n"/>
      <c r="J3693" s="19" t="n"/>
      <c r="P3693" s="20" t="n"/>
      <c r="Q3693" s="19" t="n"/>
      <c r="R3693" s="19" t="n"/>
      <c r="Y3693" s="19" t="n"/>
    </row>
    <row r="3694">
      <c r="C3694" s="18" t="n"/>
      <c r="J3694" s="19" t="n"/>
      <c r="P3694" s="20" t="n"/>
      <c r="Q3694" s="19" t="n"/>
      <c r="R3694" s="19" t="n"/>
      <c r="Y3694" s="19" t="n"/>
    </row>
    <row r="3695">
      <c r="C3695" s="18" t="n"/>
      <c r="J3695" s="19" t="n"/>
      <c r="P3695" s="20" t="n"/>
      <c r="Q3695" s="19" t="n"/>
      <c r="R3695" s="19" t="n"/>
      <c r="Y3695" s="19" t="n"/>
    </row>
    <row r="3696">
      <c r="C3696" s="18" t="n"/>
      <c r="J3696" s="19" t="n"/>
      <c r="P3696" s="20" t="n"/>
      <c r="Q3696" s="19" t="n"/>
      <c r="R3696" s="19" t="n"/>
      <c r="Y3696" s="19" t="n"/>
    </row>
    <row r="3697">
      <c r="C3697" s="18" t="n"/>
      <c r="J3697" s="19" t="n"/>
      <c r="P3697" s="20" t="n"/>
      <c r="Q3697" s="19" t="n"/>
      <c r="R3697" s="19" t="n"/>
      <c r="Y3697" s="19" t="n"/>
    </row>
    <row r="3698">
      <c r="C3698" s="18" t="n"/>
      <c r="J3698" s="19" t="n"/>
      <c r="P3698" s="20" t="n"/>
      <c r="Q3698" s="19" t="n"/>
      <c r="R3698" s="19" t="n"/>
      <c r="Y3698" s="19" t="n"/>
    </row>
    <row r="3699">
      <c r="C3699" s="18" t="n"/>
      <c r="J3699" s="19" t="n"/>
      <c r="P3699" s="20" t="n"/>
      <c r="Q3699" s="19" t="n"/>
      <c r="R3699" s="19" t="n"/>
      <c r="Y3699" s="19" t="n"/>
    </row>
    <row r="3700">
      <c r="C3700" s="18" t="n"/>
      <c r="J3700" s="19" t="n"/>
      <c r="P3700" s="20" t="n"/>
      <c r="Q3700" s="19" t="n"/>
      <c r="R3700" s="19" t="n"/>
      <c r="Y3700" s="19" t="n"/>
    </row>
    <row r="3701">
      <c r="C3701" s="18" t="n"/>
      <c r="J3701" s="19" t="n"/>
      <c r="P3701" s="20" t="n"/>
      <c r="Q3701" s="19" t="n"/>
      <c r="R3701" s="19" t="n"/>
      <c r="Y3701" s="19" t="n"/>
    </row>
    <row r="3702">
      <c r="C3702" s="18" t="n"/>
      <c r="J3702" s="19" t="n"/>
      <c r="P3702" s="20" t="n"/>
      <c r="Q3702" s="19" t="n"/>
      <c r="R3702" s="19" t="n"/>
      <c r="Y3702" s="19" t="n"/>
    </row>
    <row r="3703">
      <c r="C3703" s="18" t="n"/>
      <c r="J3703" s="19" t="n"/>
      <c r="P3703" s="20" t="n"/>
      <c r="Q3703" s="19" t="n"/>
      <c r="R3703" s="19" t="n"/>
      <c r="Y3703" s="19" t="n"/>
    </row>
    <row r="3704">
      <c r="C3704" s="18" t="n"/>
      <c r="J3704" s="19" t="n"/>
      <c r="P3704" s="20" t="n"/>
      <c r="Q3704" s="19" t="n"/>
      <c r="R3704" s="19" t="n"/>
      <c r="Y3704" s="19" t="n"/>
    </row>
    <row r="3705">
      <c r="C3705" s="18" t="n"/>
      <c r="J3705" s="19" t="n"/>
      <c r="P3705" s="20" t="n"/>
      <c r="Q3705" s="19" t="n"/>
      <c r="R3705" s="19" t="n"/>
      <c r="Y3705" s="19" t="n"/>
    </row>
    <row r="3706">
      <c r="C3706" s="18" t="n"/>
      <c r="J3706" s="19" t="n"/>
      <c r="P3706" s="20" t="n"/>
      <c r="Q3706" s="19" t="n"/>
      <c r="R3706" s="19" t="n"/>
      <c r="Y3706" s="19" t="n"/>
    </row>
    <row r="3707">
      <c r="C3707" s="18" t="n"/>
      <c r="J3707" s="19" t="n"/>
      <c r="P3707" s="20" t="n"/>
      <c r="Q3707" s="19" t="n"/>
      <c r="R3707" s="19" t="n"/>
      <c r="Y3707" s="19" t="n"/>
    </row>
    <row r="3708">
      <c r="C3708" s="18" t="n"/>
      <c r="J3708" s="19" t="n"/>
      <c r="P3708" s="20" t="n"/>
      <c r="Q3708" s="19" t="n"/>
      <c r="R3708" s="19" t="n"/>
      <c r="Y3708" s="19" t="n"/>
    </row>
    <row r="3709">
      <c r="C3709" s="18" t="n"/>
      <c r="J3709" s="19" t="n"/>
      <c r="P3709" s="20" t="n"/>
      <c r="Q3709" s="19" t="n"/>
      <c r="R3709" s="19" t="n"/>
      <c r="Y3709" s="19" t="n"/>
    </row>
    <row r="3710">
      <c r="C3710" s="18" t="n"/>
      <c r="J3710" s="19" t="n"/>
      <c r="P3710" s="20" t="n"/>
      <c r="Q3710" s="19" t="n"/>
      <c r="R3710" s="19" t="n"/>
      <c r="Y3710" s="19" t="n"/>
    </row>
    <row r="3711">
      <c r="C3711" s="18" t="n"/>
      <c r="J3711" s="19" t="n"/>
      <c r="P3711" s="20" t="n"/>
      <c r="Q3711" s="19" t="n"/>
      <c r="R3711" s="19" t="n"/>
      <c r="Y3711" s="19" t="n"/>
    </row>
    <row r="3712">
      <c r="C3712" s="18" t="n"/>
      <c r="J3712" s="19" t="n"/>
      <c r="P3712" s="20" t="n"/>
      <c r="Q3712" s="19" t="n"/>
      <c r="R3712" s="19" t="n"/>
      <c r="Y3712" s="19" t="n"/>
    </row>
    <row r="3713">
      <c r="C3713" s="18" t="n"/>
      <c r="J3713" s="19" t="n"/>
      <c r="P3713" s="20" t="n"/>
      <c r="Q3713" s="19" t="n"/>
      <c r="R3713" s="19" t="n"/>
      <c r="Y3713" s="19" t="n"/>
    </row>
    <row r="3714">
      <c r="C3714" s="18" t="n"/>
      <c r="J3714" s="19" t="n"/>
      <c r="P3714" s="20" t="n"/>
      <c r="Q3714" s="19" t="n"/>
      <c r="R3714" s="19" t="n"/>
      <c r="Y3714" s="19" t="n"/>
    </row>
    <row r="3715">
      <c r="C3715" s="18" t="n"/>
      <c r="J3715" s="19" t="n"/>
      <c r="P3715" s="20" t="n"/>
      <c r="Q3715" s="19" t="n"/>
      <c r="R3715" s="19" t="n"/>
      <c r="Y3715" s="19" t="n"/>
    </row>
    <row r="3716">
      <c r="C3716" s="18" t="n"/>
      <c r="J3716" s="19" t="n"/>
      <c r="P3716" s="20" t="n"/>
      <c r="Q3716" s="19" t="n"/>
      <c r="R3716" s="19" t="n"/>
      <c r="Y3716" s="19" t="n"/>
    </row>
    <row r="3717">
      <c r="C3717" s="18" t="n"/>
      <c r="J3717" s="19" t="n"/>
      <c r="P3717" s="20" t="n"/>
      <c r="Q3717" s="19" t="n"/>
      <c r="R3717" s="19" t="n"/>
      <c r="Y3717" s="19" t="n"/>
    </row>
    <row r="3718">
      <c r="C3718" s="18" t="n"/>
      <c r="J3718" s="19" t="n"/>
      <c r="P3718" s="20" t="n"/>
      <c r="Q3718" s="19" t="n"/>
      <c r="R3718" s="19" t="n"/>
      <c r="Y3718" s="19" t="n"/>
    </row>
    <row r="3719">
      <c r="C3719" s="18" t="n"/>
      <c r="J3719" s="19" t="n"/>
      <c r="P3719" s="20" t="n"/>
      <c r="Q3719" s="19" t="n"/>
      <c r="R3719" s="19" t="n"/>
      <c r="Y3719" s="19" t="n"/>
    </row>
    <row r="3720">
      <c r="C3720" s="18" t="n"/>
      <c r="J3720" s="19" t="n"/>
      <c r="P3720" s="20" t="n"/>
      <c r="Q3720" s="19" t="n"/>
      <c r="R3720" s="19" t="n"/>
      <c r="Y3720" s="19" t="n"/>
    </row>
    <row r="3721">
      <c r="C3721" s="18" t="n"/>
      <c r="J3721" s="19" t="n"/>
      <c r="P3721" s="20" t="n"/>
      <c r="Q3721" s="19" t="n"/>
      <c r="R3721" s="19" t="n"/>
      <c r="Y3721" s="19" t="n"/>
    </row>
    <row r="3722">
      <c r="C3722" s="18" t="n"/>
      <c r="J3722" s="19" t="n"/>
      <c r="P3722" s="20" t="n"/>
      <c r="Q3722" s="19" t="n"/>
      <c r="R3722" s="19" t="n"/>
      <c r="Y3722" s="19" t="n"/>
    </row>
    <row r="3723">
      <c r="C3723" s="18" t="n"/>
      <c r="J3723" s="19" t="n"/>
      <c r="P3723" s="20" t="n"/>
      <c r="Q3723" s="19" t="n"/>
      <c r="R3723" s="19" t="n"/>
      <c r="Y3723" s="19" t="n"/>
    </row>
    <row r="3724">
      <c r="C3724" s="18" t="n"/>
      <c r="J3724" s="19" t="n"/>
      <c r="P3724" s="20" t="n"/>
      <c r="Q3724" s="19" t="n"/>
      <c r="R3724" s="19" t="n"/>
      <c r="Y3724" s="19" t="n"/>
    </row>
    <row r="3725">
      <c r="C3725" s="18" t="n"/>
      <c r="J3725" s="19" t="n"/>
      <c r="P3725" s="20" t="n"/>
      <c r="Q3725" s="19" t="n"/>
      <c r="R3725" s="19" t="n"/>
      <c r="Y3725" s="19" t="n"/>
    </row>
    <row r="3726">
      <c r="C3726" s="18" t="n"/>
      <c r="J3726" s="19" t="n"/>
      <c r="P3726" s="20" t="n"/>
      <c r="Q3726" s="19" t="n"/>
      <c r="R3726" s="19" t="n"/>
      <c r="Y3726" s="19" t="n"/>
    </row>
    <row r="3727">
      <c r="C3727" s="18" t="n"/>
      <c r="J3727" s="19" t="n"/>
      <c r="P3727" s="20" t="n"/>
      <c r="Q3727" s="19" t="n"/>
      <c r="R3727" s="19" t="n"/>
      <c r="Y3727" s="19" t="n"/>
    </row>
    <row r="3728">
      <c r="C3728" s="18" t="n"/>
      <c r="J3728" s="19" t="n"/>
      <c r="P3728" s="20" t="n"/>
      <c r="Q3728" s="19" t="n"/>
      <c r="R3728" s="19" t="n"/>
      <c r="Y3728" s="19" t="n"/>
    </row>
    <row r="3729">
      <c r="C3729" s="18" t="n"/>
      <c r="J3729" s="19" t="n"/>
      <c r="P3729" s="20" t="n"/>
      <c r="Q3729" s="19" t="n"/>
      <c r="R3729" s="19" t="n"/>
      <c r="Y3729" s="19" t="n"/>
    </row>
    <row r="3730">
      <c r="C3730" s="18" t="n"/>
      <c r="J3730" s="19" t="n"/>
      <c r="P3730" s="20" t="n"/>
      <c r="Q3730" s="19" t="n"/>
      <c r="R3730" s="19" t="n"/>
      <c r="Y3730" s="19" t="n"/>
    </row>
    <row r="3731">
      <c r="C3731" s="18" t="n"/>
      <c r="J3731" s="19" t="n"/>
      <c r="P3731" s="20" t="n"/>
      <c r="Q3731" s="19" t="n"/>
      <c r="R3731" s="19" t="n"/>
      <c r="Y3731" s="19" t="n"/>
    </row>
    <row r="3732">
      <c r="C3732" s="18" t="n"/>
      <c r="J3732" s="19" t="n"/>
      <c r="P3732" s="20" t="n"/>
      <c r="Q3732" s="19" t="n"/>
      <c r="R3732" s="19" t="n"/>
      <c r="Y3732" s="19" t="n"/>
    </row>
    <row r="3733">
      <c r="C3733" s="18" t="n"/>
      <c r="J3733" s="19" t="n"/>
      <c r="P3733" s="20" t="n"/>
      <c r="Q3733" s="19" t="n"/>
      <c r="R3733" s="19" t="n"/>
      <c r="Y3733" s="19" t="n"/>
    </row>
    <row r="3734">
      <c r="C3734" s="18" t="n"/>
      <c r="J3734" s="19" t="n"/>
      <c r="P3734" s="20" t="n"/>
      <c r="Q3734" s="19" t="n"/>
      <c r="R3734" s="19" t="n"/>
      <c r="Y3734" s="19" t="n"/>
    </row>
    <row r="3735">
      <c r="C3735" s="18" t="n"/>
      <c r="J3735" s="19" t="n"/>
      <c r="P3735" s="20" t="n"/>
      <c r="Q3735" s="19" t="n"/>
      <c r="R3735" s="19" t="n"/>
      <c r="Y3735" s="19" t="n"/>
    </row>
    <row r="3736">
      <c r="C3736" s="18" t="n"/>
      <c r="J3736" s="19" t="n"/>
      <c r="P3736" s="20" t="n"/>
      <c r="Q3736" s="19" t="n"/>
      <c r="R3736" s="19" t="n"/>
      <c r="Y3736" s="19" t="n"/>
    </row>
    <row r="3737">
      <c r="C3737" s="18" t="n"/>
      <c r="J3737" s="19" t="n"/>
      <c r="P3737" s="20" t="n"/>
      <c r="Q3737" s="19" t="n"/>
      <c r="R3737" s="19" t="n"/>
      <c r="Y3737" s="19" t="n"/>
    </row>
    <row r="3738">
      <c r="C3738" s="18" t="n"/>
      <c r="J3738" s="19" t="n"/>
      <c r="P3738" s="20" t="n"/>
      <c r="Q3738" s="19" t="n"/>
      <c r="R3738" s="19" t="n"/>
      <c r="Y3738" s="19" t="n"/>
    </row>
    <row r="3739">
      <c r="C3739" s="18" t="n"/>
      <c r="J3739" s="19" t="n"/>
      <c r="P3739" s="20" t="n"/>
      <c r="Q3739" s="19" t="n"/>
      <c r="R3739" s="19" t="n"/>
      <c r="Y3739" s="19" t="n"/>
    </row>
    <row r="3740">
      <c r="C3740" s="18" t="n"/>
      <c r="J3740" s="19" t="n"/>
      <c r="P3740" s="20" t="n"/>
      <c r="Q3740" s="19" t="n"/>
      <c r="R3740" s="19" t="n"/>
      <c r="Y3740" s="19" t="n"/>
    </row>
    <row r="3741">
      <c r="C3741" s="18" t="n"/>
      <c r="J3741" s="19" t="n"/>
      <c r="P3741" s="20" t="n"/>
      <c r="Q3741" s="19" t="n"/>
      <c r="R3741" s="19" t="n"/>
      <c r="Y3741" s="19" t="n"/>
    </row>
    <row r="3742">
      <c r="C3742" s="18" t="n"/>
      <c r="J3742" s="19" t="n"/>
      <c r="P3742" s="20" t="n"/>
      <c r="Q3742" s="19" t="n"/>
      <c r="R3742" s="19" t="n"/>
      <c r="Y3742" s="19" t="n"/>
    </row>
    <row r="3743">
      <c r="C3743" s="18" t="n"/>
      <c r="J3743" s="19" t="n"/>
      <c r="P3743" s="20" t="n"/>
      <c r="Q3743" s="19" t="n"/>
      <c r="R3743" s="19" t="n"/>
      <c r="Y3743" s="19" t="n"/>
    </row>
    <row r="3744">
      <c r="C3744" s="18" t="n"/>
      <c r="J3744" s="19" t="n"/>
      <c r="P3744" s="20" t="n"/>
      <c r="Q3744" s="19" t="n"/>
      <c r="R3744" s="19" t="n"/>
      <c r="Y3744" s="19" t="n"/>
    </row>
    <row r="3745">
      <c r="C3745" s="18" t="n"/>
      <c r="J3745" s="19" t="n"/>
      <c r="P3745" s="20" t="n"/>
      <c r="Q3745" s="19" t="n"/>
      <c r="R3745" s="19" t="n"/>
      <c r="Y3745" s="19" t="n"/>
    </row>
    <row r="3746">
      <c r="C3746" s="18" t="n"/>
      <c r="J3746" s="19" t="n"/>
      <c r="P3746" s="20" t="n"/>
      <c r="Q3746" s="19" t="n"/>
      <c r="R3746" s="19" t="n"/>
      <c r="Y3746" s="19" t="n"/>
    </row>
    <row r="3747">
      <c r="C3747" s="18" t="n"/>
      <c r="J3747" s="19" t="n"/>
      <c r="P3747" s="20" t="n"/>
      <c r="Q3747" s="19" t="n"/>
      <c r="R3747" s="19" t="n"/>
      <c r="Y3747" s="19" t="n"/>
    </row>
    <row r="3748">
      <c r="C3748" s="18" t="n"/>
      <c r="J3748" s="19" t="n"/>
      <c r="P3748" s="20" t="n"/>
      <c r="Q3748" s="19" t="n"/>
      <c r="R3748" s="19" t="n"/>
      <c r="Y3748" s="19" t="n"/>
    </row>
    <row r="3749">
      <c r="C3749" s="18" t="n"/>
      <c r="J3749" s="19" t="n"/>
      <c r="P3749" s="20" t="n"/>
      <c r="Q3749" s="19" t="n"/>
      <c r="R3749" s="19" t="n"/>
      <c r="Y3749" s="19" t="n"/>
    </row>
    <row r="3750">
      <c r="C3750" s="18" t="n"/>
      <c r="J3750" s="19" t="n"/>
      <c r="P3750" s="20" t="n"/>
      <c r="Q3750" s="19" t="n"/>
      <c r="R3750" s="19" t="n"/>
      <c r="Y3750" s="19" t="n"/>
    </row>
    <row r="3751">
      <c r="C3751" s="18" t="n"/>
      <c r="J3751" s="19" t="n"/>
      <c r="P3751" s="20" t="n"/>
      <c r="Q3751" s="19" t="n"/>
      <c r="R3751" s="19" t="n"/>
      <c r="Y3751" s="19" t="n"/>
    </row>
    <row r="3752">
      <c r="C3752" s="18" t="n"/>
      <c r="J3752" s="19" t="n"/>
      <c r="P3752" s="20" t="n"/>
      <c r="Q3752" s="19" t="n"/>
      <c r="R3752" s="19" t="n"/>
      <c r="Y3752" s="19" t="n"/>
    </row>
    <row r="3753">
      <c r="C3753" s="18" t="n"/>
      <c r="J3753" s="19" t="n"/>
      <c r="P3753" s="20" t="n"/>
      <c r="Q3753" s="19" t="n"/>
      <c r="R3753" s="19" t="n"/>
      <c r="Y3753" s="19" t="n"/>
    </row>
    <row r="3754">
      <c r="C3754" s="18" t="n"/>
      <c r="J3754" s="19" t="n"/>
      <c r="P3754" s="20" t="n"/>
      <c r="Q3754" s="19" t="n"/>
      <c r="R3754" s="19" t="n"/>
      <c r="Y3754" s="19" t="n"/>
    </row>
    <row r="3755">
      <c r="C3755" s="18" t="n"/>
      <c r="J3755" s="19" t="n"/>
      <c r="P3755" s="20" t="n"/>
      <c r="Q3755" s="19" t="n"/>
      <c r="R3755" s="19" t="n"/>
      <c r="Y3755" s="19" t="n"/>
    </row>
    <row r="3756">
      <c r="C3756" s="18" t="n"/>
      <c r="J3756" s="19" t="n"/>
      <c r="P3756" s="20" t="n"/>
      <c r="Q3756" s="19" t="n"/>
      <c r="R3756" s="19" t="n"/>
      <c r="Y3756" s="19" t="n"/>
    </row>
    <row r="3757">
      <c r="C3757" s="18" t="n"/>
      <c r="J3757" s="19" t="n"/>
      <c r="P3757" s="20" t="n"/>
      <c r="Q3757" s="19" t="n"/>
      <c r="R3757" s="19" t="n"/>
      <c r="Y3757" s="19" t="n"/>
    </row>
    <row r="3758">
      <c r="C3758" s="18" t="n"/>
      <c r="J3758" s="19" t="n"/>
      <c r="P3758" s="20" t="n"/>
      <c r="Q3758" s="19" t="n"/>
      <c r="R3758" s="19" t="n"/>
      <c r="Y3758" s="19" t="n"/>
    </row>
    <row r="3759">
      <c r="C3759" s="18" t="n"/>
      <c r="J3759" s="19" t="n"/>
      <c r="P3759" s="20" t="n"/>
      <c r="Q3759" s="19" t="n"/>
      <c r="R3759" s="19" t="n"/>
      <c r="Y3759" s="19" t="n"/>
    </row>
    <row r="3760">
      <c r="C3760" s="18" t="n"/>
      <c r="J3760" s="19" t="n"/>
      <c r="P3760" s="20" t="n"/>
      <c r="Q3760" s="19" t="n"/>
      <c r="R3760" s="19" t="n"/>
      <c r="Y3760" s="19" t="n"/>
    </row>
    <row r="3761">
      <c r="C3761" s="18" t="n"/>
      <c r="J3761" s="19" t="n"/>
      <c r="P3761" s="20" t="n"/>
      <c r="Q3761" s="19" t="n"/>
      <c r="R3761" s="19" t="n"/>
      <c r="Y3761" s="19" t="n"/>
    </row>
    <row r="3762">
      <c r="C3762" s="18" t="n"/>
      <c r="J3762" s="19" t="n"/>
      <c r="P3762" s="20" t="n"/>
      <c r="Q3762" s="19" t="n"/>
      <c r="R3762" s="19" t="n"/>
      <c r="Y3762" s="19" t="n"/>
    </row>
    <row r="3763">
      <c r="C3763" s="18" t="n"/>
      <c r="J3763" s="19" t="n"/>
      <c r="P3763" s="20" t="n"/>
      <c r="Q3763" s="19" t="n"/>
      <c r="R3763" s="19" t="n"/>
      <c r="Y3763" s="19" t="n"/>
    </row>
    <row r="3764">
      <c r="C3764" s="18" t="n"/>
      <c r="J3764" s="19" t="n"/>
      <c r="P3764" s="20" t="n"/>
      <c r="Q3764" s="19" t="n"/>
      <c r="R3764" s="19" t="n"/>
      <c r="Y3764" s="19" t="n"/>
    </row>
    <row r="3765">
      <c r="C3765" s="18" t="n"/>
      <c r="J3765" s="19" t="n"/>
      <c r="P3765" s="20" t="n"/>
      <c r="Q3765" s="19" t="n"/>
      <c r="R3765" s="19" t="n"/>
      <c r="Y3765" s="19" t="n"/>
    </row>
    <row r="3766">
      <c r="C3766" s="18" t="n"/>
      <c r="J3766" s="19" t="n"/>
      <c r="P3766" s="20" t="n"/>
      <c r="Q3766" s="19" t="n"/>
      <c r="R3766" s="19" t="n"/>
      <c r="Y3766" s="19" t="n"/>
    </row>
    <row r="3767">
      <c r="C3767" s="18" t="n"/>
      <c r="J3767" s="19" t="n"/>
      <c r="P3767" s="20" t="n"/>
      <c r="Q3767" s="19" t="n"/>
      <c r="R3767" s="19" t="n"/>
      <c r="Y3767" s="19" t="n"/>
    </row>
    <row r="3768">
      <c r="C3768" s="18" t="n"/>
      <c r="J3768" s="19" t="n"/>
      <c r="P3768" s="20" t="n"/>
      <c r="Q3768" s="19" t="n"/>
      <c r="R3768" s="19" t="n"/>
      <c r="Y3768" s="19" t="n"/>
    </row>
    <row r="3769">
      <c r="C3769" s="18" t="n"/>
      <c r="J3769" s="19" t="n"/>
      <c r="P3769" s="20" t="n"/>
      <c r="Q3769" s="19" t="n"/>
      <c r="R3769" s="19" t="n"/>
      <c r="Y3769" s="19" t="n"/>
    </row>
    <row r="3770">
      <c r="C3770" s="18" t="n"/>
      <c r="J3770" s="19" t="n"/>
      <c r="P3770" s="20" t="n"/>
      <c r="Q3770" s="19" t="n"/>
      <c r="R3770" s="19" t="n"/>
      <c r="Y3770" s="19" t="n"/>
    </row>
    <row r="3771">
      <c r="C3771" s="18" t="n"/>
      <c r="J3771" s="19" t="n"/>
      <c r="P3771" s="20" t="n"/>
      <c r="Q3771" s="19" t="n"/>
      <c r="R3771" s="19" t="n"/>
      <c r="Y3771" s="19" t="n"/>
    </row>
    <row r="3772">
      <c r="C3772" s="18" t="n"/>
      <c r="J3772" s="19" t="n"/>
      <c r="P3772" s="20" t="n"/>
      <c r="Q3772" s="19" t="n"/>
      <c r="R3772" s="19" t="n"/>
      <c r="Y3772" s="19" t="n"/>
    </row>
    <row r="3773">
      <c r="C3773" s="18" t="n"/>
      <c r="J3773" s="19" t="n"/>
      <c r="P3773" s="20" t="n"/>
      <c r="Q3773" s="19" t="n"/>
      <c r="R3773" s="19" t="n"/>
      <c r="Y3773" s="19" t="n"/>
    </row>
    <row r="3774">
      <c r="C3774" s="18" t="n"/>
      <c r="J3774" s="19" t="n"/>
      <c r="P3774" s="20" t="n"/>
      <c r="Q3774" s="19" t="n"/>
      <c r="R3774" s="19" t="n"/>
      <c r="Y3774" s="19" t="n"/>
    </row>
    <row r="3775">
      <c r="C3775" s="18" t="n"/>
      <c r="J3775" s="19" t="n"/>
      <c r="P3775" s="20" t="n"/>
      <c r="Q3775" s="19" t="n"/>
      <c r="R3775" s="19" t="n"/>
      <c r="Y3775" s="19" t="n"/>
    </row>
    <row r="3776">
      <c r="C3776" s="18" t="n"/>
      <c r="J3776" s="19" t="n"/>
      <c r="P3776" s="20" t="n"/>
      <c r="Q3776" s="19" t="n"/>
      <c r="R3776" s="19" t="n"/>
      <c r="Y3776" s="19" t="n"/>
    </row>
    <row r="3777">
      <c r="C3777" s="18" t="n"/>
      <c r="J3777" s="19" t="n"/>
      <c r="P3777" s="20" t="n"/>
      <c r="Q3777" s="19" t="n"/>
      <c r="R3777" s="19" t="n"/>
      <c r="Y3777" s="19" t="n"/>
    </row>
    <row r="3778">
      <c r="C3778" s="18" t="n"/>
      <c r="J3778" s="19" t="n"/>
      <c r="P3778" s="20" t="n"/>
      <c r="Q3778" s="19" t="n"/>
      <c r="R3778" s="19" t="n"/>
      <c r="Y3778" s="19" t="n"/>
    </row>
    <row r="3779">
      <c r="C3779" s="18" t="n"/>
      <c r="J3779" s="19" t="n"/>
      <c r="P3779" s="20" t="n"/>
      <c r="Q3779" s="19" t="n"/>
      <c r="R3779" s="19" t="n"/>
      <c r="Y3779" s="19" t="n"/>
    </row>
    <row r="3780">
      <c r="C3780" s="18" t="n"/>
      <c r="J3780" s="19" t="n"/>
      <c r="P3780" s="20" t="n"/>
      <c r="Q3780" s="19" t="n"/>
      <c r="R3780" s="19" t="n"/>
      <c r="Y3780" s="19" t="n"/>
    </row>
    <row r="3781">
      <c r="C3781" s="18" t="n"/>
      <c r="J3781" s="19" t="n"/>
      <c r="P3781" s="20" t="n"/>
      <c r="Q3781" s="19" t="n"/>
      <c r="R3781" s="19" t="n"/>
      <c r="Y3781" s="19" t="n"/>
    </row>
    <row r="3782">
      <c r="C3782" s="18" t="n"/>
      <c r="J3782" s="19" t="n"/>
      <c r="P3782" s="20" t="n"/>
      <c r="Q3782" s="19" t="n"/>
      <c r="R3782" s="19" t="n"/>
      <c r="Y3782" s="19" t="n"/>
    </row>
    <row r="3783">
      <c r="C3783" s="18" t="n"/>
      <c r="J3783" s="19" t="n"/>
      <c r="P3783" s="20" t="n"/>
      <c r="Q3783" s="19" t="n"/>
      <c r="R3783" s="19" t="n"/>
      <c r="Y3783" s="19" t="n"/>
    </row>
    <row r="3784">
      <c r="C3784" s="18" t="n"/>
      <c r="J3784" s="19" t="n"/>
      <c r="P3784" s="20" t="n"/>
      <c r="Q3784" s="19" t="n"/>
      <c r="R3784" s="19" t="n"/>
      <c r="Y3784" s="19" t="n"/>
    </row>
    <row r="3785">
      <c r="C3785" s="18" t="n"/>
      <c r="J3785" s="19" t="n"/>
      <c r="P3785" s="20" t="n"/>
      <c r="Q3785" s="19" t="n"/>
      <c r="R3785" s="19" t="n"/>
      <c r="Y3785" s="19" t="n"/>
    </row>
    <row r="3786">
      <c r="C3786" s="18" t="n"/>
      <c r="J3786" s="19" t="n"/>
      <c r="P3786" s="20" t="n"/>
      <c r="Q3786" s="19" t="n"/>
      <c r="R3786" s="19" t="n"/>
      <c r="Y3786" s="19" t="n"/>
    </row>
    <row r="3787">
      <c r="C3787" s="18" t="n"/>
      <c r="J3787" s="19" t="n"/>
      <c r="P3787" s="20" t="n"/>
      <c r="Q3787" s="19" t="n"/>
      <c r="R3787" s="19" t="n"/>
      <c r="Y3787" s="19" t="n"/>
    </row>
    <row r="3788">
      <c r="C3788" s="18" t="n"/>
      <c r="J3788" s="19" t="n"/>
      <c r="P3788" s="20" t="n"/>
      <c r="Q3788" s="19" t="n"/>
      <c r="R3788" s="19" t="n"/>
      <c r="Y3788" s="19" t="n"/>
    </row>
    <row r="3789">
      <c r="C3789" s="18" t="n"/>
      <c r="J3789" s="19" t="n"/>
      <c r="P3789" s="20" t="n"/>
      <c r="Q3789" s="19" t="n"/>
      <c r="R3789" s="19" t="n"/>
      <c r="Y3789" s="19" t="n"/>
    </row>
    <row r="3790">
      <c r="C3790" s="18" t="n"/>
      <c r="J3790" s="19" t="n"/>
      <c r="P3790" s="20" t="n"/>
      <c r="Q3790" s="19" t="n"/>
      <c r="R3790" s="19" t="n"/>
      <c r="Y3790" s="19" t="n"/>
    </row>
    <row r="3791">
      <c r="C3791" s="18" t="n"/>
      <c r="J3791" s="19" t="n"/>
      <c r="P3791" s="20" t="n"/>
      <c r="Q3791" s="19" t="n"/>
      <c r="R3791" s="19" t="n"/>
      <c r="Y3791" s="19" t="n"/>
    </row>
    <row r="3792">
      <c r="C3792" s="18" t="n"/>
      <c r="J3792" s="19" t="n"/>
      <c r="P3792" s="20" t="n"/>
      <c r="Q3792" s="19" t="n"/>
      <c r="R3792" s="19" t="n"/>
      <c r="Y3792" s="19" t="n"/>
    </row>
    <row r="3793">
      <c r="C3793" s="18" t="n"/>
      <c r="J3793" s="19" t="n"/>
      <c r="P3793" s="20" t="n"/>
      <c r="Q3793" s="19" t="n"/>
      <c r="R3793" s="19" t="n"/>
      <c r="Y3793" s="19" t="n"/>
    </row>
    <row r="3794">
      <c r="C3794" s="18" t="n"/>
      <c r="J3794" s="19" t="n"/>
      <c r="P3794" s="20" t="n"/>
      <c r="Q3794" s="19" t="n"/>
      <c r="R3794" s="19" t="n"/>
      <c r="Y3794" s="19" t="n"/>
    </row>
    <row r="3795">
      <c r="C3795" s="18" t="n"/>
      <c r="J3795" s="19" t="n"/>
      <c r="P3795" s="20" t="n"/>
      <c r="Q3795" s="19" t="n"/>
      <c r="R3795" s="19" t="n"/>
      <c r="Y3795" s="19" t="n"/>
    </row>
    <row r="3796">
      <c r="C3796" s="18" t="n"/>
      <c r="J3796" s="19" t="n"/>
      <c r="P3796" s="20" t="n"/>
      <c r="Q3796" s="19" t="n"/>
      <c r="R3796" s="19" t="n"/>
      <c r="Y3796" s="19" t="n"/>
    </row>
    <row r="3797">
      <c r="C3797" s="18" t="n"/>
      <c r="J3797" s="19" t="n"/>
      <c r="P3797" s="20" t="n"/>
      <c r="Q3797" s="19" t="n"/>
      <c r="R3797" s="19" t="n"/>
      <c r="Y3797" s="19" t="n"/>
    </row>
    <row r="3798">
      <c r="C3798" s="18" t="n"/>
      <c r="J3798" s="19" t="n"/>
      <c r="P3798" s="20" t="n"/>
      <c r="Q3798" s="19" t="n"/>
      <c r="R3798" s="19" t="n"/>
      <c r="Y3798" s="19" t="n"/>
    </row>
    <row r="3799">
      <c r="C3799" s="18" t="n"/>
      <c r="J3799" s="19" t="n"/>
      <c r="P3799" s="20" t="n"/>
      <c r="Q3799" s="19" t="n"/>
      <c r="R3799" s="19" t="n"/>
      <c r="Y3799" s="19" t="n"/>
    </row>
    <row r="3800">
      <c r="C3800" s="18" t="n"/>
      <c r="J3800" s="19" t="n"/>
      <c r="P3800" s="20" t="n"/>
      <c r="Q3800" s="19" t="n"/>
      <c r="R3800" s="19" t="n"/>
      <c r="Y3800" s="19" t="n"/>
    </row>
    <row r="3801">
      <c r="C3801" s="18" t="n"/>
      <c r="J3801" s="19" t="n"/>
      <c r="P3801" s="20" t="n"/>
      <c r="Q3801" s="19" t="n"/>
      <c r="R3801" s="19" t="n"/>
      <c r="Y3801" s="19" t="n"/>
    </row>
    <row r="3802">
      <c r="C3802" s="18" t="n"/>
      <c r="J3802" s="19" t="n"/>
      <c r="P3802" s="20" t="n"/>
      <c r="Q3802" s="19" t="n"/>
      <c r="R3802" s="19" t="n"/>
      <c r="Y3802" s="19" t="n"/>
    </row>
    <row r="3803">
      <c r="C3803" s="18" t="n"/>
      <c r="J3803" s="19" t="n"/>
      <c r="P3803" s="20" t="n"/>
      <c r="Q3803" s="19" t="n"/>
      <c r="R3803" s="19" t="n"/>
      <c r="Y3803" s="19" t="n"/>
    </row>
    <row r="3804">
      <c r="C3804" s="18" t="n"/>
      <c r="J3804" s="19" t="n"/>
      <c r="P3804" s="20" t="n"/>
      <c r="Q3804" s="19" t="n"/>
      <c r="R3804" s="19" t="n"/>
      <c r="Y3804" s="19" t="n"/>
    </row>
    <row r="3805">
      <c r="C3805" s="18" t="n"/>
      <c r="J3805" s="19" t="n"/>
      <c r="P3805" s="20" t="n"/>
      <c r="Q3805" s="19" t="n"/>
      <c r="R3805" s="19" t="n"/>
      <c r="Y3805" s="19" t="n"/>
    </row>
    <row r="3806">
      <c r="C3806" s="18" t="n"/>
      <c r="J3806" s="19" t="n"/>
      <c r="P3806" s="20" t="n"/>
      <c r="Q3806" s="19" t="n"/>
      <c r="R3806" s="19" t="n"/>
      <c r="Y3806" s="19" t="n"/>
    </row>
    <row r="3807">
      <c r="C3807" s="18" t="n"/>
      <c r="J3807" s="19" t="n"/>
      <c r="P3807" s="20" t="n"/>
      <c r="Q3807" s="19" t="n"/>
      <c r="R3807" s="19" t="n"/>
      <c r="Y3807" s="19" t="n"/>
    </row>
    <row r="3808">
      <c r="C3808" s="18" t="n"/>
      <c r="J3808" s="19" t="n"/>
      <c r="P3808" s="20" t="n"/>
      <c r="Q3808" s="19" t="n"/>
      <c r="R3808" s="19" t="n"/>
      <c r="Y3808" s="19" t="n"/>
    </row>
    <row r="3809">
      <c r="C3809" s="18" t="n"/>
      <c r="J3809" s="19" t="n"/>
      <c r="P3809" s="20" t="n"/>
      <c r="Q3809" s="19" t="n"/>
      <c r="R3809" s="19" t="n"/>
      <c r="Y3809" s="19" t="n"/>
    </row>
    <row r="3810">
      <c r="C3810" s="18" t="n"/>
      <c r="J3810" s="19" t="n"/>
      <c r="P3810" s="20" t="n"/>
      <c r="Q3810" s="19" t="n"/>
      <c r="R3810" s="19" t="n"/>
      <c r="Y3810" s="19" t="n"/>
    </row>
    <row r="3811">
      <c r="C3811" s="18" t="n"/>
      <c r="J3811" s="19" t="n"/>
      <c r="P3811" s="20" t="n"/>
      <c r="Q3811" s="19" t="n"/>
      <c r="R3811" s="19" t="n"/>
      <c r="Y3811" s="19" t="n"/>
    </row>
    <row r="3812">
      <c r="C3812" s="18" t="n"/>
      <c r="J3812" s="19" t="n"/>
      <c r="P3812" s="20" t="n"/>
      <c r="Q3812" s="19" t="n"/>
      <c r="R3812" s="19" t="n"/>
      <c r="Y3812" s="19" t="n"/>
    </row>
    <row r="3813">
      <c r="C3813" s="18" t="n"/>
      <c r="J3813" s="19" t="n"/>
      <c r="P3813" s="20" t="n"/>
      <c r="Q3813" s="19" t="n"/>
      <c r="R3813" s="19" t="n"/>
      <c r="Y3813" s="19" t="n"/>
    </row>
    <row r="3814">
      <c r="C3814" s="18" t="n"/>
      <c r="J3814" s="19" t="n"/>
      <c r="P3814" s="20" t="n"/>
      <c r="Q3814" s="19" t="n"/>
      <c r="R3814" s="19" t="n"/>
      <c r="Y3814" s="19" t="n"/>
    </row>
    <row r="3815">
      <c r="C3815" s="18" t="n"/>
      <c r="J3815" s="19" t="n"/>
      <c r="P3815" s="20" t="n"/>
      <c r="Q3815" s="19" t="n"/>
      <c r="R3815" s="19" t="n"/>
      <c r="Y3815" s="19" t="n"/>
    </row>
    <row r="3816">
      <c r="C3816" s="18" t="n"/>
      <c r="J3816" s="19" t="n"/>
      <c r="P3816" s="20" t="n"/>
      <c r="Q3816" s="19" t="n"/>
      <c r="R3816" s="19" t="n"/>
      <c r="Y3816" s="19" t="n"/>
    </row>
    <row r="3817">
      <c r="C3817" s="18" t="n"/>
      <c r="J3817" s="19" t="n"/>
      <c r="P3817" s="20" t="n"/>
      <c r="Q3817" s="19" t="n"/>
      <c r="R3817" s="19" t="n"/>
      <c r="Y3817" s="19" t="n"/>
    </row>
    <row r="3818">
      <c r="C3818" s="18" t="n"/>
      <c r="J3818" s="19" t="n"/>
      <c r="P3818" s="20" t="n"/>
      <c r="Q3818" s="19" t="n"/>
      <c r="R3818" s="19" t="n"/>
      <c r="Y3818" s="19" t="n"/>
    </row>
    <row r="3819">
      <c r="C3819" s="18" t="n"/>
      <c r="J3819" s="19" t="n"/>
      <c r="P3819" s="20" t="n"/>
      <c r="Q3819" s="19" t="n"/>
      <c r="R3819" s="19" t="n"/>
      <c r="Y3819" s="19" t="n"/>
    </row>
    <row r="3820">
      <c r="C3820" s="18" t="n"/>
      <c r="J3820" s="19" t="n"/>
      <c r="P3820" s="20" t="n"/>
      <c r="Q3820" s="19" t="n"/>
      <c r="R3820" s="19" t="n"/>
      <c r="Y3820" s="19" t="n"/>
    </row>
    <row r="3821">
      <c r="C3821" s="18" t="n"/>
      <c r="J3821" s="19" t="n"/>
      <c r="P3821" s="20" t="n"/>
      <c r="Q3821" s="19" t="n"/>
      <c r="R3821" s="19" t="n"/>
      <c r="Y3821" s="19" t="n"/>
    </row>
    <row r="3822">
      <c r="C3822" s="18" t="n"/>
      <c r="J3822" s="19" t="n"/>
      <c r="P3822" s="20" t="n"/>
      <c r="Q3822" s="19" t="n"/>
      <c r="R3822" s="19" t="n"/>
      <c r="Y3822" s="19" t="n"/>
    </row>
    <row r="3823">
      <c r="C3823" s="18" t="n"/>
      <c r="J3823" s="19" t="n"/>
      <c r="P3823" s="20" t="n"/>
      <c r="Q3823" s="19" t="n"/>
      <c r="R3823" s="19" t="n"/>
      <c r="Y3823" s="19" t="n"/>
    </row>
    <row r="3824">
      <c r="C3824" s="18" t="n"/>
      <c r="J3824" s="19" t="n"/>
      <c r="P3824" s="20" t="n"/>
      <c r="Q3824" s="19" t="n"/>
      <c r="R3824" s="19" t="n"/>
      <c r="Y3824" s="19" t="n"/>
    </row>
    <row r="3825">
      <c r="C3825" s="18" t="n"/>
      <c r="J3825" s="19" t="n"/>
      <c r="P3825" s="20" t="n"/>
      <c r="Q3825" s="19" t="n"/>
      <c r="R3825" s="19" t="n"/>
      <c r="Y3825" s="19" t="n"/>
    </row>
    <row r="3826">
      <c r="C3826" s="18" t="n"/>
      <c r="J3826" s="19" t="n"/>
      <c r="P3826" s="20" t="n"/>
      <c r="Q3826" s="19" t="n"/>
      <c r="R3826" s="19" t="n"/>
      <c r="Y3826" s="19" t="n"/>
    </row>
    <row r="3827">
      <c r="C3827" s="18" t="n"/>
      <c r="J3827" s="19" t="n"/>
      <c r="P3827" s="20" t="n"/>
      <c r="Q3827" s="19" t="n"/>
      <c r="R3827" s="19" t="n"/>
      <c r="Y3827" s="19" t="n"/>
    </row>
    <row r="3828">
      <c r="C3828" s="18" t="n"/>
      <c r="J3828" s="19" t="n"/>
      <c r="P3828" s="20" t="n"/>
      <c r="Q3828" s="19" t="n"/>
      <c r="R3828" s="19" t="n"/>
      <c r="Y3828" s="19" t="n"/>
    </row>
    <row r="3829">
      <c r="C3829" s="18" t="n"/>
      <c r="J3829" s="19" t="n"/>
      <c r="P3829" s="20" t="n"/>
      <c r="Q3829" s="19" t="n"/>
      <c r="R3829" s="19" t="n"/>
      <c r="Y3829" s="19" t="n"/>
    </row>
    <row r="3830">
      <c r="C3830" s="18" t="n"/>
      <c r="J3830" s="19" t="n"/>
      <c r="P3830" s="20" t="n"/>
      <c r="Q3830" s="19" t="n"/>
      <c r="R3830" s="19" t="n"/>
      <c r="Y3830" s="19" t="n"/>
    </row>
    <row r="3831">
      <c r="C3831" s="18" t="n"/>
      <c r="J3831" s="19" t="n"/>
      <c r="P3831" s="20" t="n"/>
      <c r="Q3831" s="19" t="n"/>
      <c r="R3831" s="19" t="n"/>
      <c r="Y3831" s="19" t="n"/>
    </row>
    <row r="3832">
      <c r="C3832" s="18" t="n"/>
      <c r="J3832" s="19" t="n"/>
      <c r="P3832" s="20" t="n"/>
      <c r="Q3832" s="19" t="n"/>
      <c r="R3832" s="19" t="n"/>
      <c r="Y3832" s="19" t="n"/>
    </row>
    <row r="3833">
      <c r="C3833" s="18" t="n"/>
      <c r="J3833" s="19" t="n"/>
      <c r="P3833" s="20" t="n"/>
      <c r="Q3833" s="19" t="n"/>
      <c r="R3833" s="19" t="n"/>
      <c r="Y3833" s="19" t="n"/>
    </row>
    <row r="3834">
      <c r="C3834" s="18" t="n"/>
      <c r="J3834" s="19" t="n"/>
      <c r="P3834" s="20" t="n"/>
      <c r="Q3834" s="19" t="n"/>
      <c r="R3834" s="19" t="n"/>
      <c r="Y3834" s="19" t="n"/>
    </row>
    <row r="3835">
      <c r="C3835" s="18" t="n"/>
      <c r="J3835" s="19" t="n"/>
      <c r="P3835" s="20" t="n"/>
      <c r="Q3835" s="19" t="n"/>
      <c r="R3835" s="19" t="n"/>
      <c r="Y3835" s="19" t="n"/>
    </row>
    <row r="3836">
      <c r="C3836" s="18" t="n"/>
      <c r="J3836" s="19" t="n"/>
      <c r="P3836" s="20" t="n"/>
      <c r="Q3836" s="19" t="n"/>
      <c r="R3836" s="19" t="n"/>
      <c r="Y3836" s="19" t="n"/>
    </row>
    <row r="3837">
      <c r="C3837" s="18" t="n"/>
      <c r="J3837" s="19" t="n"/>
      <c r="P3837" s="20" t="n"/>
      <c r="Q3837" s="19" t="n"/>
      <c r="R3837" s="19" t="n"/>
      <c r="Y3837" s="19" t="n"/>
    </row>
    <row r="3838">
      <c r="C3838" s="18" t="n"/>
      <c r="J3838" s="19" t="n"/>
      <c r="P3838" s="20" t="n"/>
      <c r="Q3838" s="19" t="n"/>
      <c r="R3838" s="19" t="n"/>
      <c r="Y3838" s="19" t="n"/>
    </row>
    <row r="3839">
      <c r="C3839" s="18" t="n"/>
      <c r="J3839" s="19" t="n"/>
      <c r="P3839" s="20" t="n"/>
      <c r="Q3839" s="19" t="n"/>
      <c r="R3839" s="19" t="n"/>
      <c r="Y3839" s="19" t="n"/>
    </row>
    <row r="3840">
      <c r="C3840" s="18" t="n"/>
      <c r="J3840" s="19" t="n"/>
      <c r="P3840" s="20" t="n"/>
      <c r="Q3840" s="19" t="n"/>
      <c r="R3840" s="19" t="n"/>
      <c r="Y3840" s="19" t="n"/>
    </row>
    <row r="3841">
      <c r="C3841" s="18" t="n"/>
      <c r="J3841" s="19" t="n"/>
      <c r="P3841" s="20" t="n"/>
      <c r="Q3841" s="19" t="n"/>
      <c r="R3841" s="19" t="n"/>
      <c r="Y3841" s="19" t="n"/>
    </row>
    <row r="3842">
      <c r="C3842" s="18" t="n"/>
      <c r="J3842" s="19" t="n"/>
      <c r="P3842" s="20" t="n"/>
      <c r="Q3842" s="19" t="n"/>
      <c r="R3842" s="19" t="n"/>
      <c r="Y3842" s="19" t="n"/>
    </row>
    <row r="3843">
      <c r="C3843" s="18" t="n"/>
      <c r="J3843" s="19" t="n"/>
      <c r="P3843" s="20" t="n"/>
      <c r="Q3843" s="19" t="n"/>
      <c r="R3843" s="19" t="n"/>
      <c r="Y3843" s="19" t="n"/>
    </row>
    <row r="3844">
      <c r="C3844" s="18" t="n"/>
      <c r="J3844" s="19" t="n"/>
      <c r="P3844" s="20" t="n"/>
      <c r="Q3844" s="19" t="n"/>
      <c r="R3844" s="19" t="n"/>
      <c r="Y3844" s="19" t="n"/>
    </row>
    <row r="3845">
      <c r="C3845" s="18" t="n"/>
      <c r="J3845" s="19" t="n"/>
      <c r="P3845" s="20" t="n"/>
      <c r="Q3845" s="19" t="n"/>
      <c r="R3845" s="19" t="n"/>
      <c r="Y3845" s="19" t="n"/>
    </row>
    <row r="3846">
      <c r="C3846" s="18" t="n"/>
      <c r="J3846" s="19" t="n"/>
      <c r="P3846" s="20" t="n"/>
      <c r="Q3846" s="19" t="n"/>
      <c r="R3846" s="19" t="n"/>
      <c r="Y3846" s="19" t="n"/>
    </row>
    <row r="3847">
      <c r="C3847" s="18" t="n"/>
      <c r="J3847" s="19" t="n"/>
      <c r="P3847" s="20" t="n"/>
      <c r="Q3847" s="19" t="n"/>
      <c r="R3847" s="19" t="n"/>
      <c r="Y3847" s="19" t="n"/>
    </row>
    <row r="3848">
      <c r="C3848" s="18" t="n"/>
      <c r="J3848" s="19" t="n"/>
      <c r="P3848" s="20" t="n"/>
      <c r="Q3848" s="19" t="n"/>
      <c r="R3848" s="19" t="n"/>
      <c r="Y3848" s="19" t="n"/>
    </row>
    <row r="3849">
      <c r="C3849" s="18" t="n"/>
      <c r="J3849" s="19" t="n"/>
      <c r="P3849" s="20" t="n"/>
      <c r="Q3849" s="19" t="n"/>
      <c r="R3849" s="19" t="n"/>
      <c r="Y3849" s="19" t="n"/>
    </row>
    <row r="3850">
      <c r="C3850" s="18" t="n"/>
      <c r="J3850" s="19" t="n"/>
      <c r="P3850" s="20" t="n"/>
      <c r="Q3850" s="19" t="n"/>
      <c r="R3850" s="19" t="n"/>
      <c r="Y3850" s="19" t="n"/>
    </row>
    <row r="3851">
      <c r="C3851" s="18" t="n"/>
      <c r="J3851" s="19" t="n"/>
      <c r="P3851" s="20" t="n"/>
      <c r="Q3851" s="19" t="n"/>
      <c r="R3851" s="19" t="n"/>
      <c r="Y3851" s="19" t="n"/>
    </row>
    <row r="3852">
      <c r="C3852" s="18" t="n"/>
      <c r="J3852" s="19" t="n"/>
      <c r="P3852" s="20" t="n"/>
      <c r="Q3852" s="19" t="n"/>
      <c r="R3852" s="19" t="n"/>
      <c r="Y3852" s="19" t="n"/>
    </row>
    <row r="3853">
      <c r="C3853" s="18" t="n"/>
      <c r="J3853" s="19" t="n"/>
      <c r="P3853" s="20" t="n"/>
      <c r="Q3853" s="19" t="n"/>
      <c r="R3853" s="19" t="n"/>
      <c r="Y3853" s="19" t="n"/>
    </row>
    <row r="3854">
      <c r="C3854" s="18" t="n"/>
      <c r="J3854" s="19" t="n"/>
      <c r="P3854" s="20" t="n"/>
      <c r="Q3854" s="19" t="n"/>
      <c r="R3854" s="19" t="n"/>
      <c r="Y3854" s="19" t="n"/>
    </row>
    <row r="3855">
      <c r="C3855" s="18" t="n"/>
      <c r="J3855" s="19" t="n"/>
      <c r="P3855" s="20" t="n"/>
      <c r="Q3855" s="19" t="n"/>
      <c r="R3855" s="19" t="n"/>
      <c r="Y3855" s="19" t="n"/>
    </row>
    <row r="3856">
      <c r="C3856" s="18" t="n"/>
      <c r="J3856" s="19" t="n"/>
      <c r="P3856" s="20" t="n"/>
      <c r="Q3856" s="19" t="n"/>
      <c r="R3856" s="19" t="n"/>
      <c r="Y3856" s="19" t="n"/>
    </row>
    <row r="3857">
      <c r="C3857" s="18" t="n"/>
      <c r="J3857" s="19" t="n"/>
      <c r="P3857" s="20" t="n"/>
      <c r="Q3857" s="19" t="n"/>
      <c r="R3857" s="19" t="n"/>
      <c r="Y3857" s="19" t="n"/>
    </row>
    <row r="3858">
      <c r="C3858" s="18" t="n"/>
      <c r="J3858" s="19" t="n"/>
      <c r="P3858" s="20" t="n"/>
      <c r="Q3858" s="19" t="n"/>
      <c r="R3858" s="19" t="n"/>
      <c r="Y3858" s="19" t="n"/>
    </row>
    <row r="3859">
      <c r="C3859" s="18" t="n"/>
      <c r="J3859" s="19" t="n"/>
      <c r="P3859" s="20" t="n"/>
      <c r="Q3859" s="19" t="n"/>
      <c r="R3859" s="19" t="n"/>
      <c r="Y3859" s="19" t="n"/>
    </row>
    <row r="3860">
      <c r="C3860" s="18" t="n"/>
      <c r="J3860" s="19" t="n"/>
      <c r="P3860" s="20" t="n"/>
      <c r="Q3860" s="19" t="n"/>
      <c r="R3860" s="19" t="n"/>
      <c r="Y3860" s="19" t="n"/>
    </row>
    <row r="3861">
      <c r="C3861" s="18" t="n"/>
      <c r="J3861" s="19" t="n"/>
      <c r="P3861" s="20" t="n"/>
      <c r="Q3861" s="19" t="n"/>
      <c r="R3861" s="19" t="n"/>
      <c r="Y3861" s="19" t="n"/>
    </row>
    <row r="3862">
      <c r="C3862" s="18" t="n"/>
      <c r="J3862" s="19" t="n"/>
      <c r="P3862" s="20" t="n"/>
      <c r="Q3862" s="19" t="n"/>
      <c r="R3862" s="19" t="n"/>
      <c r="Y3862" s="19" t="n"/>
    </row>
    <row r="3863">
      <c r="C3863" s="18" t="n"/>
      <c r="J3863" s="19" t="n"/>
      <c r="P3863" s="20" t="n"/>
      <c r="Q3863" s="19" t="n"/>
      <c r="R3863" s="19" t="n"/>
      <c r="Y3863" s="19" t="n"/>
    </row>
    <row r="3864">
      <c r="C3864" s="18" t="n"/>
      <c r="J3864" s="19" t="n"/>
      <c r="P3864" s="20" t="n"/>
      <c r="Q3864" s="19" t="n"/>
      <c r="R3864" s="19" t="n"/>
      <c r="Y3864" s="19" t="n"/>
    </row>
    <row r="3865">
      <c r="C3865" s="18" t="n"/>
      <c r="J3865" s="19" t="n"/>
      <c r="P3865" s="20" t="n"/>
      <c r="Q3865" s="19" t="n"/>
      <c r="R3865" s="19" t="n"/>
      <c r="Y3865" s="19" t="n"/>
    </row>
    <row r="3866">
      <c r="C3866" s="18" t="n"/>
      <c r="J3866" s="19" t="n"/>
      <c r="P3866" s="20" t="n"/>
      <c r="Q3866" s="19" t="n"/>
      <c r="R3866" s="19" t="n"/>
      <c r="Y3866" s="19" t="n"/>
    </row>
    <row r="3867">
      <c r="C3867" s="18" t="n"/>
      <c r="J3867" s="19" t="n"/>
      <c r="P3867" s="20" t="n"/>
      <c r="Q3867" s="19" t="n"/>
      <c r="R3867" s="19" t="n"/>
      <c r="Y3867" s="19" t="n"/>
    </row>
    <row r="3868">
      <c r="C3868" s="18" t="n"/>
      <c r="J3868" s="19" t="n"/>
      <c r="P3868" s="20" t="n"/>
      <c r="Q3868" s="19" t="n"/>
      <c r="R3868" s="19" t="n"/>
      <c r="Y3868" s="19" t="n"/>
    </row>
    <row r="3869">
      <c r="C3869" s="18" t="n"/>
      <c r="J3869" s="19" t="n"/>
      <c r="P3869" s="20" t="n"/>
      <c r="Q3869" s="19" t="n"/>
      <c r="R3869" s="19" t="n"/>
      <c r="Y3869" s="19" t="n"/>
    </row>
    <row r="3870">
      <c r="C3870" s="18" t="n"/>
      <c r="J3870" s="19" t="n"/>
      <c r="P3870" s="20" t="n"/>
      <c r="Q3870" s="19" t="n"/>
      <c r="R3870" s="19" t="n"/>
      <c r="Y3870" s="19" t="n"/>
    </row>
    <row r="3871">
      <c r="C3871" s="18" t="n"/>
      <c r="J3871" s="19" t="n"/>
      <c r="P3871" s="20" t="n"/>
      <c r="Q3871" s="19" t="n"/>
      <c r="R3871" s="19" t="n"/>
      <c r="Y3871" s="19" t="n"/>
    </row>
    <row r="3872">
      <c r="C3872" s="18" t="n"/>
      <c r="J3872" s="19" t="n"/>
      <c r="P3872" s="20" t="n"/>
      <c r="Q3872" s="19" t="n"/>
      <c r="R3872" s="19" t="n"/>
      <c r="Y3872" s="19" t="n"/>
    </row>
    <row r="3873">
      <c r="C3873" s="18" t="n"/>
      <c r="J3873" s="19" t="n"/>
      <c r="P3873" s="20" t="n"/>
      <c r="Q3873" s="19" t="n"/>
      <c r="R3873" s="19" t="n"/>
      <c r="Y3873" s="19" t="n"/>
    </row>
    <row r="3874">
      <c r="C3874" s="18" t="n"/>
      <c r="J3874" s="19" t="n"/>
      <c r="P3874" s="20" t="n"/>
      <c r="Q3874" s="19" t="n"/>
      <c r="R3874" s="19" t="n"/>
      <c r="Y3874" s="19" t="n"/>
    </row>
    <row r="3875">
      <c r="C3875" s="18" t="n"/>
      <c r="J3875" s="19" t="n"/>
      <c r="P3875" s="20" t="n"/>
      <c r="Q3875" s="19" t="n"/>
      <c r="R3875" s="19" t="n"/>
      <c r="Y3875" s="19" t="n"/>
    </row>
    <row r="3876">
      <c r="C3876" s="18" t="n"/>
      <c r="J3876" s="19" t="n"/>
      <c r="P3876" s="20" t="n"/>
      <c r="Q3876" s="19" t="n"/>
      <c r="R3876" s="19" t="n"/>
      <c r="Y3876" s="19" t="n"/>
    </row>
    <row r="3877">
      <c r="C3877" s="18" t="n"/>
      <c r="J3877" s="19" t="n"/>
      <c r="P3877" s="20" t="n"/>
      <c r="Q3877" s="19" t="n"/>
      <c r="R3877" s="19" t="n"/>
      <c r="Y3877" s="19" t="n"/>
    </row>
    <row r="3878">
      <c r="C3878" s="18" t="n"/>
      <c r="J3878" s="19" t="n"/>
      <c r="P3878" s="20" t="n"/>
      <c r="Q3878" s="19" t="n"/>
      <c r="R3878" s="19" t="n"/>
      <c r="Y3878" s="19" t="n"/>
    </row>
    <row r="3879">
      <c r="C3879" s="18" t="n"/>
      <c r="J3879" s="19" t="n"/>
      <c r="P3879" s="20" t="n"/>
      <c r="Q3879" s="19" t="n"/>
      <c r="R3879" s="19" t="n"/>
      <c r="Y3879" s="19" t="n"/>
    </row>
    <row r="3880">
      <c r="C3880" s="18" t="n"/>
      <c r="J3880" s="19" t="n"/>
      <c r="P3880" s="20" t="n"/>
      <c r="Q3880" s="19" t="n"/>
      <c r="R3880" s="19" t="n"/>
      <c r="Y3880" s="19" t="n"/>
    </row>
    <row r="3881">
      <c r="C3881" s="18" t="n"/>
      <c r="J3881" s="19" t="n"/>
      <c r="P3881" s="20" t="n"/>
      <c r="Q3881" s="19" t="n"/>
      <c r="R3881" s="19" t="n"/>
      <c r="Y3881" s="19" t="n"/>
    </row>
    <row r="3882">
      <c r="C3882" s="18" t="n"/>
      <c r="J3882" s="19" t="n"/>
      <c r="P3882" s="20" t="n"/>
      <c r="Q3882" s="19" t="n"/>
      <c r="R3882" s="19" t="n"/>
      <c r="Y3882" s="19" t="n"/>
    </row>
    <row r="3883">
      <c r="C3883" s="18" t="n"/>
      <c r="J3883" s="19" t="n"/>
      <c r="P3883" s="20" t="n"/>
      <c r="Q3883" s="19" t="n"/>
      <c r="R3883" s="19" t="n"/>
      <c r="Y3883" s="19" t="n"/>
    </row>
    <row r="3884">
      <c r="C3884" s="18" t="n"/>
      <c r="J3884" s="19" t="n"/>
      <c r="P3884" s="20" t="n"/>
      <c r="Q3884" s="19" t="n"/>
      <c r="R3884" s="19" t="n"/>
      <c r="Y3884" s="19" t="n"/>
    </row>
    <row r="3885">
      <c r="C3885" s="18" t="n"/>
      <c r="J3885" s="19" t="n"/>
      <c r="P3885" s="20" t="n"/>
      <c r="Q3885" s="19" t="n"/>
      <c r="R3885" s="19" t="n"/>
      <c r="Y3885" s="19" t="n"/>
    </row>
    <row r="3886">
      <c r="C3886" s="18" t="n"/>
      <c r="J3886" s="19" t="n"/>
      <c r="P3886" s="20" t="n"/>
      <c r="Q3886" s="19" t="n"/>
      <c r="R3886" s="19" t="n"/>
      <c r="Y3886" s="19" t="n"/>
    </row>
    <row r="3887">
      <c r="C3887" s="18" t="n"/>
      <c r="J3887" s="19" t="n"/>
      <c r="P3887" s="20" t="n"/>
      <c r="Q3887" s="19" t="n"/>
      <c r="R3887" s="19" t="n"/>
      <c r="Y3887" s="19" t="n"/>
    </row>
    <row r="3888">
      <c r="C3888" s="18" t="n"/>
      <c r="J3888" s="19" t="n"/>
      <c r="P3888" s="20" t="n"/>
      <c r="Q3888" s="19" t="n"/>
      <c r="R3888" s="19" t="n"/>
      <c r="Y3888" s="19" t="n"/>
    </row>
    <row r="3889">
      <c r="C3889" s="18" t="n"/>
      <c r="J3889" s="19" t="n"/>
      <c r="P3889" s="20" t="n"/>
      <c r="Q3889" s="19" t="n"/>
      <c r="R3889" s="19" t="n"/>
      <c r="Y3889" s="19" t="n"/>
    </row>
    <row r="3890">
      <c r="C3890" s="18" t="n"/>
      <c r="J3890" s="19" t="n"/>
      <c r="P3890" s="20" t="n"/>
      <c r="Q3890" s="19" t="n"/>
      <c r="R3890" s="19" t="n"/>
      <c r="Y3890" s="19" t="n"/>
    </row>
    <row r="3891">
      <c r="C3891" s="18" t="n"/>
      <c r="J3891" s="19" t="n"/>
      <c r="P3891" s="20" t="n"/>
      <c r="Q3891" s="19" t="n"/>
      <c r="R3891" s="19" t="n"/>
      <c r="Y3891" s="19" t="n"/>
    </row>
    <row r="3892">
      <c r="C3892" s="18" t="n"/>
      <c r="J3892" s="19" t="n"/>
      <c r="P3892" s="20" t="n"/>
      <c r="Q3892" s="19" t="n"/>
      <c r="R3892" s="19" t="n"/>
      <c r="Y3892" s="19" t="n"/>
    </row>
    <row r="3893">
      <c r="C3893" s="18" t="n"/>
      <c r="J3893" s="19" t="n"/>
      <c r="P3893" s="20" t="n"/>
      <c r="Q3893" s="19" t="n"/>
      <c r="R3893" s="19" t="n"/>
      <c r="Y3893" s="19" t="n"/>
    </row>
    <row r="3894">
      <c r="C3894" s="18" t="n"/>
      <c r="J3894" s="19" t="n"/>
      <c r="P3894" s="20" t="n"/>
      <c r="Q3894" s="19" t="n"/>
      <c r="R3894" s="19" t="n"/>
      <c r="Y3894" s="19" t="n"/>
    </row>
    <row r="3895">
      <c r="C3895" s="18" t="n"/>
      <c r="J3895" s="19" t="n"/>
      <c r="P3895" s="20" t="n"/>
      <c r="Q3895" s="19" t="n"/>
      <c r="R3895" s="19" t="n"/>
      <c r="Y3895" s="19" t="n"/>
    </row>
    <row r="3896">
      <c r="C3896" s="18" t="n"/>
      <c r="J3896" s="19" t="n"/>
      <c r="P3896" s="20" t="n"/>
      <c r="Q3896" s="19" t="n"/>
      <c r="R3896" s="19" t="n"/>
      <c r="Y3896" s="19" t="n"/>
    </row>
    <row r="3897">
      <c r="C3897" s="18" t="n"/>
      <c r="J3897" s="19" t="n"/>
      <c r="P3897" s="20" t="n"/>
      <c r="Q3897" s="19" t="n"/>
      <c r="R3897" s="19" t="n"/>
      <c r="Y3897" s="19" t="n"/>
    </row>
    <row r="3898">
      <c r="C3898" s="18" t="n"/>
      <c r="J3898" s="19" t="n"/>
      <c r="P3898" s="20" t="n"/>
      <c r="Q3898" s="19" t="n"/>
      <c r="R3898" s="19" t="n"/>
      <c r="Y3898" s="19" t="n"/>
    </row>
    <row r="3899">
      <c r="C3899" s="18" t="n"/>
      <c r="J3899" s="19" t="n"/>
      <c r="P3899" s="20" t="n"/>
      <c r="Q3899" s="19" t="n"/>
      <c r="R3899" s="19" t="n"/>
      <c r="Y3899" s="19" t="n"/>
    </row>
    <row r="3900">
      <c r="C3900" s="18" t="n"/>
      <c r="J3900" s="19" t="n"/>
      <c r="P3900" s="20" t="n"/>
      <c r="Q3900" s="19" t="n"/>
      <c r="R3900" s="19" t="n"/>
      <c r="Y3900" s="19" t="n"/>
    </row>
    <row r="3901">
      <c r="C3901" s="18" t="n"/>
      <c r="J3901" s="19" t="n"/>
      <c r="P3901" s="20" t="n"/>
      <c r="Q3901" s="19" t="n"/>
      <c r="R3901" s="19" t="n"/>
      <c r="Y3901" s="19" t="n"/>
    </row>
    <row r="3902">
      <c r="C3902" s="18" t="n"/>
      <c r="J3902" s="19" t="n"/>
      <c r="P3902" s="20" t="n"/>
      <c r="Q3902" s="19" t="n"/>
      <c r="R3902" s="19" t="n"/>
      <c r="Y3902" s="19" t="n"/>
    </row>
    <row r="3903">
      <c r="C3903" s="18" t="n"/>
      <c r="J3903" s="19" t="n"/>
      <c r="P3903" s="20" t="n"/>
      <c r="Q3903" s="19" t="n"/>
      <c r="R3903" s="19" t="n"/>
      <c r="Y3903" s="19" t="n"/>
    </row>
    <row r="3904">
      <c r="C3904" s="18" t="n"/>
      <c r="J3904" s="19" t="n"/>
      <c r="P3904" s="20" t="n"/>
      <c r="Q3904" s="19" t="n"/>
      <c r="R3904" s="19" t="n"/>
      <c r="Y3904" s="19" t="n"/>
    </row>
    <row r="3905">
      <c r="C3905" s="18" t="n"/>
      <c r="J3905" s="19" t="n"/>
      <c r="P3905" s="20" t="n"/>
      <c r="Q3905" s="19" t="n"/>
      <c r="R3905" s="19" t="n"/>
      <c r="Y3905" s="19" t="n"/>
    </row>
    <row r="3906">
      <c r="C3906" s="18" t="n"/>
      <c r="J3906" s="19" t="n"/>
      <c r="P3906" s="20" t="n"/>
      <c r="Q3906" s="19" t="n"/>
      <c r="R3906" s="19" t="n"/>
      <c r="Y3906" s="19" t="n"/>
    </row>
    <row r="3907">
      <c r="C3907" s="18" t="n"/>
      <c r="J3907" s="19" t="n"/>
      <c r="P3907" s="20" t="n"/>
      <c r="Q3907" s="19" t="n"/>
      <c r="R3907" s="19" t="n"/>
      <c r="Y3907" s="19" t="n"/>
    </row>
    <row r="3908">
      <c r="C3908" s="18" t="n"/>
      <c r="J3908" s="19" t="n"/>
      <c r="P3908" s="20" t="n"/>
      <c r="Q3908" s="19" t="n"/>
      <c r="R3908" s="19" t="n"/>
      <c r="Y3908" s="19" t="n"/>
    </row>
    <row r="3909">
      <c r="C3909" s="18" t="n"/>
      <c r="J3909" s="19" t="n"/>
      <c r="P3909" s="20" t="n"/>
      <c r="Q3909" s="19" t="n"/>
      <c r="R3909" s="19" t="n"/>
      <c r="Y3909" s="19" t="n"/>
    </row>
    <row r="3910">
      <c r="C3910" s="18" t="n"/>
      <c r="J3910" s="19" t="n"/>
      <c r="P3910" s="20" t="n"/>
      <c r="Q3910" s="19" t="n"/>
      <c r="R3910" s="19" t="n"/>
      <c r="Y3910" s="19" t="n"/>
    </row>
    <row r="3911">
      <c r="C3911" s="18" t="n"/>
      <c r="J3911" s="19" t="n"/>
      <c r="P3911" s="20" t="n"/>
      <c r="Q3911" s="19" t="n"/>
      <c r="R3911" s="19" t="n"/>
      <c r="Y3911" s="19" t="n"/>
    </row>
    <row r="3912">
      <c r="C3912" s="18" t="n"/>
      <c r="J3912" s="19" t="n"/>
      <c r="P3912" s="20" t="n"/>
      <c r="Q3912" s="19" t="n"/>
      <c r="R3912" s="19" t="n"/>
      <c r="Y3912" s="19" t="n"/>
    </row>
    <row r="3913">
      <c r="C3913" s="18" t="n"/>
      <c r="J3913" s="19" t="n"/>
      <c r="P3913" s="20" t="n"/>
      <c r="Q3913" s="19" t="n"/>
      <c r="R3913" s="19" t="n"/>
      <c r="Y3913" s="19" t="n"/>
    </row>
    <row r="3914">
      <c r="C3914" s="18" t="n"/>
      <c r="J3914" s="19" t="n"/>
      <c r="P3914" s="20" t="n"/>
      <c r="Q3914" s="19" t="n"/>
      <c r="R3914" s="19" t="n"/>
      <c r="Y3914" s="19" t="n"/>
    </row>
    <row r="3915">
      <c r="C3915" s="18" t="n"/>
      <c r="J3915" s="19" t="n"/>
      <c r="P3915" s="20" t="n"/>
      <c r="Q3915" s="19" t="n"/>
      <c r="R3915" s="19" t="n"/>
      <c r="Y3915" s="19" t="n"/>
    </row>
    <row r="3916">
      <c r="C3916" s="18" t="n"/>
      <c r="J3916" s="19" t="n"/>
      <c r="P3916" s="20" t="n"/>
      <c r="Q3916" s="19" t="n"/>
      <c r="R3916" s="19" t="n"/>
      <c r="Y3916" s="19" t="n"/>
    </row>
    <row r="3917">
      <c r="C3917" s="18" t="n"/>
      <c r="J3917" s="19" t="n"/>
      <c r="P3917" s="20" t="n"/>
      <c r="Q3917" s="19" t="n"/>
      <c r="R3917" s="19" t="n"/>
      <c r="Y3917" s="19" t="n"/>
    </row>
    <row r="3918">
      <c r="C3918" s="18" t="n"/>
      <c r="J3918" s="19" t="n"/>
      <c r="P3918" s="20" t="n"/>
      <c r="Q3918" s="19" t="n"/>
      <c r="R3918" s="19" t="n"/>
      <c r="Y3918" s="19" t="n"/>
    </row>
    <row r="3919">
      <c r="C3919" s="18" t="n"/>
      <c r="J3919" s="19" t="n"/>
      <c r="P3919" s="20" t="n"/>
      <c r="Q3919" s="19" t="n"/>
      <c r="R3919" s="19" t="n"/>
      <c r="Y3919" s="19" t="n"/>
    </row>
    <row r="3920">
      <c r="C3920" s="18" t="n"/>
      <c r="J3920" s="19" t="n"/>
      <c r="P3920" s="20" t="n"/>
      <c r="Q3920" s="19" t="n"/>
      <c r="R3920" s="19" t="n"/>
      <c r="Y3920" s="19" t="n"/>
    </row>
    <row r="3921">
      <c r="C3921" s="18" t="n"/>
      <c r="J3921" s="19" t="n"/>
      <c r="P3921" s="20" t="n"/>
      <c r="Q3921" s="19" t="n"/>
      <c r="R3921" s="19" t="n"/>
      <c r="Y3921" s="19" t="n"/>
    </row>
    <row r="3922">
      <c r="C3922" s="18" t="n"/>
      <c r="J3922" s="19" t="n"/>
      <c r="P3922" s="20" t="n"/>
      <c r="Q3922" s="19" t="n"/>
      <c r="R3922" s="19" t="n"/>
      <c r="Y3922" s="19" t="n"/>
    </row>
    <row r="3923">
      <c r="C3923" s="18" t="n"/>
      <c r="J3923" s="19" t="n"/>
      <c r="P3923" s="20" t="n"/>
      <c r="Q3923" s="19" t="n"/>
      <c r="R3923" s="19" t="n"/>
      <c r="Y3923" s="19" t="n"/>
    </row>
    <row r="3924">
      <c r="C3924" s="18" t="n"/>
      <c r="J3924" s="19" t="n"/>
      <c r="P3924" s="20" t="n"/>
      <c r="Q3924" s="19" t="n"/>
      <c r="R3924" s="19" t="n"/>
      <c r="Y3924" s="19" t="n"/>
    </row>
    <row r="3925">
      <c r="C3925" s="18" t="n"/>
      <c r="J3925" s="19" t="n"/>
      <c r="P3925" s="20" t="n"/>
      <c r="Q3925" s="19" t="n"/>
      <c r="R3925" s="19" t="n"/>
      <c r="Y3925" s="19" t="n"/>
    </row>
    <row r="3926">
      <c r="C3926" s="18" t="n"/>
      <c r="J3926" s="19" t="n"/>
      <c r="P3926" s="20" t="n"/>
      <c r="Q3926" s="19" t="n"/>
      <c r="R3926" s="19" t="n"/>
      <c r="Y3926" s="19" t="n"/>
    </row>
    <row r="3927">
      <c r="C3927" s="18" t="n"/>
      <c r="J3927" s="19" t="n"/>
      <c r="P3927" s="20" t="n"/>
      <c r="Q3927" s="19" t="n"/>
      <c r="R3927" s="19" t="n"/>
      <c r="Y3927" s="19" t="n"/>
    </row>
    <row r="3928">
      <c r="C3928" s="18" t="n"/>
      <c r="J3928" s="19" t="n"/>
      <c r="P3928" s="20" t="n"/>
      <c r="Q3928" s="19" t="n"/>
      <c r="R3928" s="19" t="n"/>
      <c r="Y3928" s="19" t="n"/>
    </row>
    <row r="3929">
      <c r="C3929" s="18" t="n"/>
      <c r="J3929" s="19" t="n"/>
      <c r="P3929" s="20" t="n"/>
      <c r="Q3929" s="19" t="n"/>
      <c r="R3929" s="19" t="n"/>
      <c r="Y3929" s="19" t="n"/>
    </row>
    <row r="3930">
      <c r="C3930" s="18" t="n"/>
      <c r="J3930" s="19" t="n"/>
      <c r="P3930" s="20" t="n"/>
      <c r="Q3930" s="19" t="n"/>
      <c r="R3930" s="19" t="n"/>
      <c r="Y3930" s="19" t="n"/>
    </row>
    <row r="3931">
      <c r="C3931" s="18" t="n"/>
      <c r="J3931" s="19" t="n"/>
      <c r="P3931" s="20" t="n"/>
      <c r="Q3931" s="19" t="n"/>
      <c r="R3931" s="19" t="n"/>
      <c r="Y3931" s="19" t="n"/>
    </row>
    <row r="3932">
      <c r="C3932" s="18" t="n"/>
      <c r="J3932" s="19" t="n"/>
      <c r="P3932" s="20" t="n"/>
      <c r="Q3932" s="19" t="n"/>
      <c r="R3932" s="19" t="n"/>
      <c r="Y3932" s="19" t="n"/>
    </row>
    <row r="3933">
      <c r="C3933" s="18" t="n"/>
      <c r="J3933" s="19" t="n"/>
      <c r="P3933" s="20" t="n"/>
      <c r="Q3933" s="19" t="n"/>
      <c r="R3933" s="19" t="n"/>
      <c r="Y3933" s="19" t="n"/>
    </row>
    <row r="3934">
      <c r="C3934" s="18" t="n"/>
      <c r="J3934" s="19" t="n"/>
      <c r="P3934" s="20" t="n"/>
      <c r="Q3934" s="19" t="n"/>
      <c r="R3934" s="19" t="n"/>
      <c r="Y3934" s="19" t="n"/>
    </row>
    <row r="3935">
      <c r="C3935" s="18" t="n"/>
      <c r="J3935" s="19" t="n"/>
      <c r="P3935" s="20" t="n"/>
      <c r="Q3935" s="19" t="n"/>
      <c r="R3935" s="19" t="n"/>
      <c r="Y3935" s="19" t="n"/>
    </row>
    <row r="3936">
      <c r="C3936" s="18" t="n"/>
      <c r="J3936" s="19" t="n"/>
      <c r="P3936" s="20" t="n"/>
      <c r="Q3936" s="19" t="n"/>
      <c r="R3936" s="19" t="n"/>
      <c r="Y3936" s="19" t="n"/>
    </row>
    <row r="3937">
      <c r="C3937" s="18" t="n"/>
      <c r="J3937" s="19" t="n"/>
      <c r="P3937" s="20" t="n"/>
      <c r="Q3937" s="19" t="n"/>
      <c r="R3937" s="19" t="n"/>
      <c r="Y3937" s="19" t="n"/>
    </row>
    <row r="3938">
      <c r="C3938" s="18" t="n"/>
      <c r="J3938" s="19" t="n"/>
      <c r="P3938" s="20" t="n"/>
      <c r="Q3938" s="19" t="n"/>
      <c r="R3938" s="19" t="n"/>
      <c r="Y3938" s="19" t="n"/>
    </row>
    <row r="3939">
      <c r="C3939" s="18" t="n"/>
      <c r="J3939" s="19" t="n"/>
      <c r="P3939" s="20" t="n"/>
      <c r="Q3939" s="19" t="n"/>
      <c r="R3939" s="19" t="n"/>
      <c r="Y3939" s="19" t="n"/>
    </row>
    <row r="3940">
      <c r="C3940" s="18" t="n"/>
      <c r="J3940" s="19" t="n"/>
      <c r="P3940" s="20" t="n"/>
      <c r="Q3940" s="19" t="n"/>
      <c r="R3940" s="19" t="n"/>
      <c r="Y3940" s="19" t="n"/>
    </row>
    <row r="3941">
      <c r="C3941" s="18" t="n"/>
      <c r="J3941" s="19" t="n"/>
      <c r="P3941" s="20" t="n"/>
      <c r="Q3941" s="19" t="n"/>
      <c r="R3941" s="19" t="n"/>
      <c r="Y3941" s="19" t="n"/>
    </row>
    <row r="3942">
      <c r="C3942" s="18" t="n"/>
      <c r="J3942" s="19" t="n"/>
      <c r="P3942" s="20" t="n"/>
      <c r="Q3942" s="19" t="n"/>
      <c r="R3942" s="19" t="n"/>
      <c r="Y3942" s="19" t="n"/>
    </row>
    <row r="3943">
      <c r="C3943" s="18" t="n"/>
      <c r="J3943" s="19" t="n"/>
      <c r="P3943" s="20" t="n"/>
      <c r="Q3943" s="19" t="n"/>
      <c r="R3943" s="19" t="n"/>
      <c r="Y3943" s="19" t="n"/>
    </row>
    <row r="3944">
      <c r="C3944" s="18" t="n"/>
      <c r="J3944" s="19" t="n"/>
      <c r="P3944" s="20" t="n"/>
      <c r="Q3944" s="19" t="n"/>
      <c r="R3944" s="19" t="n"/>
      <c r="Y3944" s="19" t="n"/>
    </row>
    <row r="3945">
      <c r="C3945" s="18" t="n"/>
      <c r="J3945" s="19" t="n"/>
      <c r="P3945" s="20" t="n"/>
      <c r="Q3945" s="19" t="n"/>
      <c r="R3945" s="19" t="n"/>
      <c r="Y3945" s="19" t="n"/>
    </row>
    <row r="3946">
      <c r="C3946" s="18" t="n"/>
      <c r="J3946" s="19" t="n"/>
      <c r="P3946" s="20" t="n"/>
      <c r="Q3946" s="19" t="n"/>
      <c r="R3946" s="19" t="n"/>
      <c r="Y3946" s="19" t="n"/>
    </row>
    <row r="3947">
      <c r="C3947" s="18" t="n"/>
      <c r="J3947" s="19" t="n"/>
      <c r="P3947" s="20" t="n"/>
      <c r="Q3947" s="19" t="n"/>
      <c r="R3947" s="19" t="n"/>
      <c r="Y3947" s="19" t="n"/>
    </row>
    <row r="3948">
      <c r="C3948" s="18" t="n"/>
      <c r="J3948" s="19" t="n"/>
      <c r="P3948" s="20" t="n"/>
      <c r="Q3948" s="19" t="n"/>
      <c r="R3948" s="19" t="n"/>
      <c r="Y3948" s="19" t="n"/>
    </row>
    <row r="3949">
      <c r="C3949" s="18" t="n"/>
      <c r="J3949" s="19" t="n"/>
      <c r="P3949" s="20" t="n"/>
      <c r="Q3949" s="19" t="n"/>
      <c r="R3949" s="19" t="n"/>
      <c r="Y3949" s="19" t="n"/>
    </row>
    <row r="3950">
      <c r="C3950" s="18" t="n"/>
      <c r="J3950" s="19" t="n"/>
      <c r="P3950" s="20" t="n"/>
      <c r="Q3950" s="19" t="n"/>
      <c r="R3950" s="19" t="n"/>
      <c r="Y3950" s="19" t="n"/>
    </row>
    <row r="3951">
      <c r="C3951" s="18" t="n"/>
      <c r="J3951" s="19" t="n"/>
      <c r="P3951" s="20" t="n"/>
      <c r="Q3951" s="19" t="n"/>
      <c r="R3951" s="19" t="n"/>
      <c r="Y3951" s="19" t="n"/>
    </row>
    <row r="3952">
      <c r="C3952" s="18" t="n"/>
      <c r="J3952" s="19" t="n"/>
      <c r="P3952" s="20" t="n"/>
      <c r="Q3952" s="19" t="n"/>
      <c r="R3952" s="19" t="n"/>
      <c r="Y3952" s="19" t="n"/>
    </row>
    <row r="3953">
      <c r="C3953" s="18" t="n"/>
      <c r="J3953" s="19" t="n"/>
      <c r="P3953" s="20" t="n"/>
      <c r="Q3953" s="19" t="n"/>
      <c r="R3953" s="19" t="n"/>
      <c r="Y3953" s="19" t="n"/>
    </row>
    <row r="3954">
      <c r="C3954" s="18" t="n"/>
      <c r="J3954" s="19" t="n"/>
      <c r="P3954" s="20" t="n"/>
      <c r="Q3954" s="19" t="n"/>
      <c r="R3954" s="19" t="n"/>
      <c r="Y3954" s="19" t="n"/>
    </row>
    <row r="3955">
      <c r="C3955" s="18" t="n"/>
      <c r="J3955" s="19" t="n"/>
      <c r="P3955" s="20" t="n"/>
      <c r="Q3955" s="19" t="n"/>
      <c r="R3955" s="19" t="n"/>
      <c r="Y3955" s="19" t="n"/>
    </row>
    <row r="3956">
      <c r="C3956" s="18" t="n"/>
      <c r="J3956" s="19" t="n"/>
      <c r="P3956" s="20" t="n"/>
      <c r="Q3956" s="19" t="n"/>
      <c r="R3956" s="19" t="n"/>
      <c r="Y3956" s="19" t="n"/>
    </row>
    <row r="3957">
      <c r="C3957" s="18" t="n"/>
      <c r="J3957" s="19" t="n"/>
      <c r="P3957" s="20" t="n"/>
      <c r="Q3957" s="19" t="n"/>
      <c r="R3957" s="19" t="n"/>
      <c r="Y3957" s="19" t="n"/>
    </row>
    <row r="3958">
      <c r="C3958" s="18" t="n"/>
      <c r="J3958" s="19" t="n"/>
      <c r="P3958" s="20" t="n"/>
      <c r="Q3958" s="19" t="n"/>
      <c r="R3958" s="19" t="n"/>
      <c r="Y3958" s="19" t="n"/>
    </row>
    <row r="3959">
      <c r="C3959" s="18" t="n"/>
      <c r="J3959" s="19" t="n"/>
      <c r="P3959" s="20" t="n"/>
      <c r="Q3959" s="19" t="n"/>
      <c r="R3959" s="19" t="n"/>
      <c r="Y3959" s="19" t="n"/>
    </row>
    <row r="3960">
      <c r="C3960" s="18" t="n"/>
      <c r="J3960" s="19" t="n"/>
      <c r="P3960" s="20" t="n"/>
      <c r="Q3960" s="19" t="n"/>
      <c r="R3960" s="19" t="n"/>
      <c r="Y3960" s="19" t="n"/>
    </row>
    <row r="3961">
      <c r="C3961" s="18" t="n"/>
      <c r="J3961" s="19" t="n"/>
      <c r="P3961" s="20" t="n"/>
      <c r="Q3961" s="19" t="n"/>
      <c r="R3961" s="19" t="n"/>
      <c r="Y3961" s="19" t="n"/>
    </row>
    <row r="3962">
      <c r="C3962" s="18" t="n"/>
      <c r="J3962" s="19" t="n"/>
      <c r="P3962" s="20" t="n"/>
      <c r="Q3962" s="19" t="n"/>
      <c r="R3962" s="19" t="n"/>
      <c r="Y3962" s="19" t="n"/>
    </row>
    <row r="3963">
      <c r="C3963" s="18" t="n"/>
      <c r="J3963" s="19" t="n"/>
      <c r="P3963" s="20" t="n"/>
      <c r="Q3963" s="19" t="n"/>
      <c r="R3963" s="19" t="n"/>
      <c r="Y3963" s="19" t="n"/>
    </row>
    <row r="3964">
      <c r="C3964" s="18" t="n"/>
      <c r="J3964" s="19" t="n"/>
      <c r="P3964" s="20" t="n"/>
      <c r="Q3964" s="19" t="n"/>
      <c r="R3964" s="19" t="n"/>
      <c r="Y3964" s="19" t="n"/>
    </row>
    <row r="3965">
      <c r="C3965" s="18" t="n"/>
      <c r="J3965" s="19" t="n"/>
      <c r="P3965" s="20" t="n"/>
      <c r="Q3965" s="19" t="n"/>
      <c r="R3965" s="19" t="n"/>
      <c r="Y3965" s="19" t="n"/>
    </row>
    <row r="3966">
      <c r="C3966" s="18" t="n"/>
      <c r="J3966" s="19" t="n"/>
      <c r="P3966" s="20" t="n"/>
      <c r="Q3966" s="19" t="n"/>
      <c r="R3966" s="19" t="n"/>
      <c r="Y3966" s="19" t="n"/>
    </row>
    <row r="3967">
      <c r="C3967" s="18" t="n"/>
      <c r="J3967" s="19" t="n"/>
      <c r="P3967" s="20" t="n"/>
      <c r="Q3967" s="19" t="n"/>
      <c r="R3967" s="19" t="n"/>
      <c r="Y3967" s="19" t="n"/>
    </row>
    <row r="3968">
      <c r="C3968" s="18" t="n"/>
      <c r="J3968" s="19" t="n"/>
      <c r="P3968" s="20" t="n"/>
      <c r="Q3968" s="19" t="n"/>
      <c r="R3968" s="19" t="n"/>
      <c r="Y3968" s="19" t="n"/>
    </row>
    <row r="3969">
      <c r="C3969" s="18" t="n"/>
      <c r="J3969" s="19" t="n"/>
      <c r="P3969" s="20" t="n"/>
      <c r="Q3969" s="19" t="n"/>
      <c r="R3969" s="19" t="n"/>
      <c r="Y3969" s="19" t="n"/>
    </row>
    <row r="3970">
      <c r="C3970" s="18" t="n"/>
      <c r="J3970" s="19" t="n"/>
      <c r="P3970" s="20" t="n"/>
      <c r="Q3970" s="19" t="n"/>
      <c r="R3970" s="19" t="n"/>
      <c r="Y3970" s="19" t="n"/>
    </row>
    <row r="3971">
      <c r="C3971" s="18" t="n"/>
      <c r="J3971" s="19" t="n"/>
      <c r="P3971" s="20" t="n"/>
      <c r="Q3971" s="19" t="n"/>
      <c r="R3971" s="19" t="n"/>
      <c r="Y3971" s="19" t="n"/>
    </row>
    <row r="3972">
      <c r="C3972" s="18" t="n"/>
      <c r="J3972" s="19" t="n"/>
      <c r="P3972" s="20" t="n"/>
      <c r="Q3972" s="19" t="n"/>
      <c r="R3972" s="19" t="n"/>
      <c r="Y3972" s="19" t="n"/>
    </row>
    <row r="3973">
      <c r="C3973" s="18" t="n"/>
      <c r="J3973" s="19" t="n"/>
      <c r="P3973" s="20" t="n"/>
      <c r="Q3973" s="19" t="n"/>
      <c r="R3973" s="19" t="n"/>
      <c r="Y3973" s="19" t="n"/>
    </row>
    <row r="3974">
      <c r="C3974" s="18" t="n"/>
      <c r="J3974" s="19" t="n"/>
      <c r="P3974" s="20" t="n"/>
      <c r="Q3974" s="19" t="n"/>
      <c r="R3974" s="19" t="n"/>
      <c r="Y3974" s="19" t="n"/>
    </row>
    <row r="3975">
      <c r="C3975" s="18" t="n"/>
      <c r="J3975" s="19" t="n"/>
      <c r="P3975" s="20" t="n"/>
      <c r="Q3975" s="19" t="n"/>
      <c r="R3975" s="19" t="n"/>
      <c r="Y3975" s="19" t="n"/>
    </row>
    <row r="3976">
      <c r="C3976" s="18" t="n"/>
      <c r="J3976" s="19" t="n"/>
      <c r="P3976" s="20" t="n"/>
      <c r="Q3976" s="19" t="n"/>
      <c r="R3976" s="19" t="n"/>
      <c r="Y3976" s="19" t="n"/>
    </row>
    <row r="3977">
      <c r="C3977" s="18" t="n"/>
      <c r="J3977" s="19" t="n"/>
      <c r="P3977" s="20" t="n"/>
      <c r="Q3977" s="19" t="n"/>
      <c r="R3977" s="19" t="n"/>
      <c r="Y3977" s="19" t="n"/>
    </row>
    <row r="3978">
      <c r="C3978" s="18" t="n"/>
      <c r="J3978" s="19" t="n"/>
      <c r="P3978" s="20" t="n"/>
      <c r="Q3978" s="19" t="n"/>
      <c r="R3978" s="19" t="n"/>
      <c r="Y3978" s="19" t="n"/>
    </row>
    <row r="3979">
      <c r="C3979" s="18" t="n"/>
      <c r="J3979" s="19" t="n"/>
      <c r="P3979" s="20" t="n"/>
      <c r="Q3979" s="19" t="n"/>
      <c r="R3979" s="19" t="n"/>
      <c r="Y3979" s="19" t="n"/>
    </row>
    <row r="3980">
      <c r="C3980" s="18" t="n"/>
      <c r="J3980" s="19" t="n"/>
      <c r="P3980" s="20" t="n"/>
      <c r="Q3980" s="19" t="n"/>
      <c r="R3980" s="19" t="n"/>
      <c r="Y3980" s="19" t="n"/>
    </row>
    <row r="3981">
      <c r="C3981" s="18" t="n"/>
      <c r="J3981" s="19" t="n"/>
      <c r="P3981" s="20" t="n"/>
      <c r="Q3981" s="19" t="n"/>
      <c r="R3981" s="19" t="n"/>
      <c r="Y3981" s="19" t="n"/>
    </row>
    <row r="3982">
      <c r="C3982" s="18" t="n"/>
      <c r="J3982" s="19" t="n"/>
      <c r="P3982" s="20" t="n"/>
      <c r="Q3982" s="19" t="n"/>
      <c r="R3982" s="19" t="n"/>
      <c r="Y3982" s="19" t="n"/>
    </row>
    <row r="3983">
      <c r="C3983" s="18" t="n"/>
      <c r="J3983" s="19" t="n"/>
      <c r="P3983" s="20" t="n"/>
      <c r="Q3983" s="19" t="n"/>
      <c r="R3983" s="19" t="n"/>
      <c r="Y3983" s="19" t="n"/>
    </row>
    <row r="3984">
      <c r="C3984" s="18" t="n"/>
      <c r="J3984" s="19" t="n"/>
      <c r="P3984" s="20" t="n"/>
      <c r="Q3984" s="19" t="n"/>
      <c r="R3984" s="19" t="n"/>
      <c r="Y3984" s="19" t="n"/>
    </row>
    <row r="3985">
      <c r="C3985" s="18" t="n"/>
      <c r="J3985" s="19" t="n"/>
      <c r="P3985" s="20" t="n"/>
      <c r="Q3985" s="19" t="n"/>
      <c r="R3985" s="19" t="n"/>
      <c r="Y3985" s="19" t="n"/>
    </row>
    <row r="3986">
      <c r="C3986" s="18" t="n"/>
      <c r="J3986" s="19" t="n"/>
      <c r="P3986" s="20" t="n"/>
      <c r="Q3986" s="19" t="n"/>
      <c r="R3986" s="19" t="n"/>
      <c r="Y3986" s="19" t="n"/>
    </row>
    <row r="3987">
      <c r="C3987" s="18" t="n"/>
      <c r="J3987" s="19" t="n"/>
      <c r="P3987" s="20" t="n"/>
      <c r="Q3987" s="19" t="n"/>
      <c r="R3987" s="19" t="n"/>
      <c r="Y3987" s="19" t="n"/>
    </row>
    <row r="3988">
      <c r="C3988" s="18" t="n"/>
      <c r="J3988" s="19" t="n"/>
      <c r="P3988" s="20" t="n"/>
      <c r="Q3988" s="19" t="n"/>
      <c r="R3988" s="19" t="n"/>
      <c r="Y3988" s="19" t="n"/>
    </row>
    <row r="3989">
      <c r="C3989" s="18" t="n"/>
      <c r="J3989" s="19" t="n"/>
      <c r="P3989" s="20" t="n"/>
      <c r="Q3989" s="19" t="n"/>
      <c r="R3989" s="19" t="n"/>
      <c r="Y3989" s="19" t="n"/>
    </row>
    <row r="3990">
      <c r="C3990" s="18" t="n"/>
      <c r="J3990" s="19" t="n"/>
      <c r="P3990" s="20" t="n"/>
      <c r="Q3990" s="19" t="n"/>
      <c r="R3990" s="19" t="n"/>
      <c r="Y3990" s="19" t="n"/>
    </row>
    <row r="3991">
      <c r="C3991" s="18" t="n"/>
      <c r="J3991" s="19" t="n"/>
      <c r="P3991" s="20" t="n"/>
      <c r="Q3991" s="19" t="n"/>
      <c r="R3991" s="19" t="n"/>
      <c r="Y3991" s="19" t="n"/>
    </row>
    <row r="3992">
      <c r="C3992" s="18" t="n"/>
      <c r="J3992" s="19" t="n"/>
      <c r="P3992" s="20" t="n"/>
      <c r="Q3992" s="19" t="n"/>
      <c r="R3992" s="19" t="n"/>
      <c r="Y3992" s="19" t="n"/>
    </row>
    <row r="3993">
      <c r="C3993" s="18" t="n"/>
      <c r="J3993" s="19" t="n"/>
      <c r="P3993" s="20" t="n"/>
      <c r="Q3993" s="19" t="n"/>
      <c r="R3993" s="19" t="n"/>
      <c r="Y3993" s="19" t="n"/>
    </row>
    <row r="3994">
      <c r="C3994" s="18" t="n"/>
      <c r="J3994" s="19" t="n"/>
      <c r="P3994" s="20" t="n"/>
      <c r="Q3994" s="19" t="n"/>
      <c r="R3994" s="19" t="n"/>
      <c r="Y3994" s="19" t="n"/>
    </row>
    <row r="3995">
      <c r="C3995" s="18" t="n"/>
      <c r="J3995" s="19" t="n"/>
      <c r="P3995" s="20" t="n"/>
      <c r="Q3995" s="19" t="n"/>
      <c r="R3995" s="19" t="n"/>
      <c r="Y3995" s="19" t="n"/>
    </row>
    <row r="3996">
      <c r="C3996" s="18" t="n"/>
      <c r="J3996" s="19" t="n"/>
      <c r="P3996" s="20" t="n"/>
      <c r="Q3996" s="19" t="n"/>
      <c r="R3996" s="19" t="n"/>
      <c r="Y3996" s="19" t="n"/>
    </row>
    <row r="3997">
      <c r="C3997" s="18" t="n"/>
      <c r="J3997" s="19" t="n"/>
      <c r="P3997" s="20" t="n"/>
      <c r="Q3997" s="19" t="n"/>
      <c r="R3997" s="19" t="n"/>
      <c r="Y3997" s="19" t="n"/>
    </row>
    <row r="3998">
      <c r="C3998" s="18" t="n"/>
      <c r="J3998" s="19" t="n"/>
      <c r="P3998" s="20" t="n"/>
      <c r="Q3998" s="19" t="n"/>
      <c r="R3998" s="19" t="n"/>
      <c r="Y3998" s="19" t="n"/>
    </row>
    <row r="3999">
      <c r="C3999" s="18" t="n"/>
      <c r="J3999" s="19" t="n"/>
      <c r="P3999" s="20" t="n"/>
      <c r="Q3999" s="19" t="n"/>
      <c r="R3999" s="19" t="n"/>
      <c r="Y3999" s="19" t="n"/>
    </row>
    <row r="4000">
      <c r="C4000" s="18" t="n"/>
      <c r="J4000" s="19" t="n"/>
      <c r="P4000" s="20" t="n"/>
      <c r="Q4000" s="19" t="n"/>
      <c r="R4000" s="19" t="n"/>
      <c r="Y4000" s="19" t="n"/>
    </row>
    <row r="4001">
      <c r="C4001" s="18" t="n"/>
      <c r="J4001" s="19" t="n"/>
      <c r="P4001" s="20" t="n"/>
      <c r="Q4001" s="19" t="n"/>
      <c r="R4001" s="19" t="n"/>
      <c r="Y4001" s="19" t="n"/>
    </row>
    <row r="4002">
      <c r="C4002" s="18" t="n"/>
      <c r="J4002" s="19" t="n"/>
      <c r="P4002" s="20" t="n"/>
      <c r="Q4002" s="19" t="n"/>
      <c r="R4002" s="19" t="n"/>
      <c r="Y4002" s="19" t="n"/>
    </row>
    <row r="4003">
      <c r="C4003" s="18" t="n"/>
      <c r="J4003" s="19" t="n"/>
      <c r="P4003" s="20" t="n"/>
      <c r="Q4003" s="19" t="n"/>
      <c r="R4003" s="19" t="n"/>
      <c r="Y4003" s="19" t="n"/>
    </row>
    <row r="4004">
      <c r="C4004" s="18" t="n"/>
      <c r="J4004" s="19" t="n"/>
      <c r="P4004" s="20" t="n"/>
      <c r="Q4004" s="19" t="n"/>
      <c r="R4004" s="19" t="n"/>
      <c r="Y4004" s="19" t="n"/>
    </row>
    <row r="4005">
      <c r="C4005" s="18" t="n"/>
      <c r="J4005" s="19" t="n"/>
      <c r="P4005" s="20" t="n"/>
      <c r="Q4005" s="19" t="n"/>
      <c r="R4005" s="19" t="n"/>
      <c r="Y4005" s="19" t="n"/>
    </row>
    <row r="4006">
      <c r="C4006" s="18" t="n"/>
      <c r="J4006" s="19" t="n"/>
      <c r="P4006" s="20" t="n"/>
      <c r="Q4006" s="19" t="n"/>
      <c r="R4006" s="19" t="n"/>
      <c r="Y4006" s="19" t="n"/>
    </row>
    <row r="4007">
      <c r="C4007" s="18" t="n"/>
      <c r="J4007" s="19" t="n"/>
      <c r="P4007" s="20" t="n"/>
      <c r="Q4007" s="19" t="n"/>
      <c r="R4007" s="19" t="n"/>
      <c r="Y4007" s="19" t="n"/>
    </row>
    <row r="4008">
      <c r="C4008" s="18" t="n"/>
      <c r="J4008" s="19" t="n"/>
      <c r="P4008" s="20" t="n"/>
      <c r="Q4008" s="19" t="n"/>
      <c r="R4008" s="19" t="n"/>
      <c r="Y4008" s="19" t="n"/>
    </row>
    <row r="4009">
      <c r="C4009" s="18" t="n"/>
      <c r="J4009" s="19" t="n"/>
      <c r="P4009" s="20" t="n"/>
      <c r="Q4009" s="19" t="n"/>
      <c r="R4009" s="19" t="n"/>
      <c r="Y4009" s="19" t="n"/>
    </row>
    <row r="4010">
      <c r="C4010" s="18" t="n"/>
      <c r="J4010" s="19" t="n"/>
      <c r="P4010" s="20" t="n"/>
      <c r="Q4010" s="19" t="n"/>
      <c r="R4010" s="19" t="n"/>
      <c r="Y4010" s="19" t="n"/>
    </row>
    <row r="4011">
      <c r="C4011" s="18" t="n"/>
      <c r="J4011" s="19" t="n"/>
      <c r="P4011" s="20" t="n"/>
      <c r="Q4011" s="19" t="n"/>
      <c r="R4011" s="19" t="n"/>
      <c r="Y4011" s="19" t="n"/>
    </row>
    <row r="4012">
      <c r="C4012" s="18" t="n"/>
      <c r="J4012" s="19" t="n"/>
      <c r="P4012" s="20" t="n"/>
      <c r="Q4012" s="19" t="n"/>
      <c r="R4012" s="19" t="n"/>
      <c r="Y4012" s="19" t="n"/>
    </row>
    <row r="4013">
      <c r="C4013" s="18" t="n"/>
      <c r="J4013" s="19" t="n"/>
      <c r="P4013" s="20" t="n"/>
      <c r="Q4013" s="19" t="n"/>
      <c r="R4013" s="19" t="n"/>
      <c r="Y4013" s="19" t="n"/>
    </row>
    <row r="4014">
      <c r="C4014" s="18" t="n"/>
      <c r="J4014" s="19" t="n"/>
      <c r="P4014" s="20" t="n"/>
      <c r="Q4014" s="19" t="n"/>
      <c r="R4014" s="19" t="n"/>
      <c r="Y4014" s="19" t="n"/>
    </row>
    <row r="4015">
      <c r="C4015" s="18" t="n"/>
      <c r="J4015" s="19" t="n"/>
      <c r="P4015" s="20" t="n"/>
      <c r="Q4015" s="19" t="n"/>
      <c r="R4015" s="19" t="n"/>
      <c r="Y4015" s="19" t="n"/>
    </row>
    <row r="4016">
      <c r="C4016" s="18" t="n"/>
      <c r="J4016" s="19" t="n"/>
      <c r="P4016" s="20" t="n"/>
      <c r="Q4016" s="19" t="n"/>
      <c r="R4016" s="19" t="n"/>
      <c r="Y4016" s="19" t="n"/>
    </row>
    <row r="4017">
      <c r="C4017" s="18" t="n"/>
      <c r="J4017" s="19" t="n"/>
      <c r="P4017" s="20" t="n"/>
      <c r="Q4017" s="19" t="n"/>
      <c r="R4017" s="19" t="n"/>
      <c r="Y4017" s="19" t="n"/>
    </row>
    <row r="4018">
      <c r="C4018" s="18" t="n"/>
      <c r="J4018" s="19" t="n"/>
      <c r="P4018" s="20" t="n"/>
      <c r="Q4018" s="19" t="n"/>
      <c r="R4018" s="19" t="n"/>
      <c r="Y4018" s="19" t="n"/>
    </row>
    <row r="4019">
      <c r="C4019" s="18" t="n"/>
      <c r="J4019" s="19" t="n"/>
      <c r="P4019" s="20" t="n"/>
      <c r="Q4019" s="19" t="n"/>
      <c r="R4019" s="19" t="n"/>
      <c r="Y4019" s="19" t="n"/>
    </row>
    <row r="4020">
      <c r="C4020" s="18" t="n"/>
      <c r="J4020" s="19" t="n"/>
      <c r="P4020" s="20" t="n"/>
      <c r="Q4020" s="19" t="n"/>
      <c r="R4020" s="19" t="n"/>
      <c r="Y4020" s="19" t="n"/>
    </row>
    <row r="4021">
      <c r="C4021" s="18" t="n"/>
      <c r="J4021" s="19" t="n"/>
      <c r="P4021" s="20" t="n"/>
      <c r="Q4021" s="19" t="n"/>
      <c r="R4021" s="19" t="n"/>
      <c r="Y4021" s="19" t="n"/>
    </row>
    <row r="4022">
      <c r="C4022" s="18" t="n"/>
      <c r="J4022" s="19" t="n"/>
      <c r="P4022" s="20" t="n"/>
      <c r="Q4022" s="19" t="n"/>
      <c r="R4022" s="19" t="n"/>
      <c r="Y4022" s="19" t="n"/>
    </row>
    <row r="4023">
      <c r="C4023" s="18" t="n"/>
      <c r="J4023" s="19" t="n"/>
      <c r="P4023" s="20" t="n"/>
      <c r="Q4023" s="19" t="n"/>
      <c r="R4023" s="19" t="n"/>
      <c r="Y4023" s="19" t="n"/>
    </row>
    <row r="4024">
      <c r="C4024" s="18" t="n"/>
      <c r="J4024" s="19" t="n"/>
      <c r="P4024" s="20" t="n"/>
      <c r="Q4024" s="19" t="n"/>
      <c r="R4024" s="19" t="n"/>
      <c r="Y4024" s="19" t="n"/>
    </row>
    <row r="4025">
      <c r="C4025" s="18" t="n"/>
      <c r="J4025" s="19" t="n"/>
      <c r="P4025" s="20" t="n"/>
      <c r="Q4025" s="19" t="n"/>
      <c r="R4025" s="19" t="n"/>
      <c r="Y4025" s="19" t="n"/>
    </row>
    <row r="4026">
      <c r="C4026" s="18" t="n"/>
      <c r="J4026" s="19" t="n"/>
      <c r="P4026" s="20" t="n"/>
      <c r="Q4026" s="19" t="n"/>
      <c r="R4026" s="19" t="n"/>
      <c r="Y4026" s="19" t="n"/>
    </row>
    <row r="4027">
      <c r="C4027" s="18" t="n"/>
      <c r="J4027" s="19" t="n"/>
      <c r="P4027" s="20" t="n"/>
      <c r="Q4027" s="19" t="n"/>
      <c r="R4027" s="19" t="n"/>
      <c r="Y4027" s="19" t="n"/>
    </row>
    <row r="4028">
      <c r="C4028" s="18" t="n"/>
      <c r="J4028" s="19" t="n"/>
      <c r="P4028" s="20" t="n"/>
      <c r="Q4028" s="19" t="n"/>
      <c r="R4028" s="19" t="n"/>
      <c r="Y4028" s="19" t="n"/>
    </row>
    <row r="4029">
      <c r="C4029" s="18" t="n"/>
      <c r="J4029" s="19" t="n"/>
      <c r="P4029" s="20" t="n"/>
      <c r="Q4029" s="19" t="n"/>
      <c r="R4029" s="19" t="n"/>
      <c r="Y4029" s="19" t="n"/>
    </row>
    <row r="4030">
      <c r="C4030" s="18" t="n"/>
      <c r="J4030" s="19" t="n"/>
      <c r="P4030" s="20" t="n"/>
      <c r="Q4030" s="19" t="n"/>
      <c r="R4030" s="19" t="n"/>
      <c r="Y4030" s="19" t="n"/>
    </row>
    <row r="4031">
      <c r="C4031" s="18" t="n"/>
      <c r="J4031" s="19" t="n"/>
      <c r="P4031" s="20" t="n"/>
      <c r="Q4031" s="19" t="n"/>
      <c r="R4031" s="19" t="n"/>
      <c r="Y4031" s="19" t="n"/>
    </row>
    <row r="4032">
      <c r="C4032" s="18" t="n"/>
      <c r="J4032" s="19" t="n"/>
      <c r="P4032" s="20" t="n"/>
      <c r="Q4032" s="19" t="n"/>
      <c r="R4032" s="19" t="n"/>
      <c r="Y4032" s="19" t="n"/>
    </row>
    <row r="4033">
      <c r="C4033" s="18" t="n"/>
      <c r="J4033" s="19" t="n"/>
      <c r="P4033" s="20" t="n"/>
      <c r="Q4033" s="19" t="n"/>
      <c r="R4033" s="19" t="n"/>
      <c r="Y4033" s="19" t="n"/>
    </row>
    <row r="4034">
      <c r="C4034" s="18" t="n"/>
      <c r="J4034" s="19" t="n"/>
      <c r="P4034" s="20" t="n"/>
      <c r="Q4034" s="19" t="n"/>
      <c r="R4034" s="19" t="n"/>
      <c r="Y4034" s="19" t="n"/>
    </row>
    <row r="4035">
      <c r="C4035" s="18" t="n"/>
      <c r="J4035" s="19" t="n"/>
      <c r="P4035" s="20" t="n"/>
      <c r="Q4035" s="19" t="n"/>
      <c r="R4035" s="19" t="n"/>
      <c r="Y4035" s="19" t="n"/>
    </row>
    <row r="4036">
      <c r="C4036" s="18" t="n"/>
      <c r="J4036" s="19" t="n"/>
      <c r="P4036" s="20" t="n"/>
      <c r="Q4036" s="19" t="n"/>
      <c r="R4036" s="19" t="n"/>
      <c r="Y4036" s="19" t="n"/>
    </row>
    <row r="4037">
      <c r="C4037" s="18" t="n"/>
      <c r="J4037" s="19" t="n"/>
      <c r="P4037" s="20" t="n"/>
      <c r="Q4037" s="19" t="n"/>
      <c r="R4037" s="19" t="n"/>
      <c r="Y4037" s="19" t="n"/>
    </row>
    <row r="4038">
      <c r="C4038" s="18" t="n"/>
      <c r="J4038" s="19" t="n"/>
      <c r="P4038" s="20" t="n"/>
      <c r="Q4038" s="19" t="n"/>
      <c r="R4038" s="19" t="n"/>
      <c r="Y4038" s="19" t="n"/>
    </row>
    <row r="4039">
      <c r="C4039" s="18" t="n"/>
      <c r="J4039" s="19" t="n"/>
      <c r="P4039" s="20" t="n"/>
      <c r="Q4039" s="19" t="n"/>
      <c r="R4039" s="19" t="n"/>
      <c r="Y4039" s="19" t="n"/>
    </row>
    <row r="4040">
      <c r="C4040" s="18" t="n"/>
      <c r="J4040" s="19" t="n"/>
      <c r="P4040" s="20" t="n"/>
      <c r="Q4040" s="19" t="n"/>
      <c r="R4040" s="19" t="n"/>
      <c r="Y4040" s="19" t="n"/>
    </row>
    <row r="4041">
      <c r="C4041" s="18" t="n"/>
      <c r="J4041" s="19" t="n"/>
      <c r="P4041" s="20" t="n"/>
      <c r="Q4041" s="19" t="n"/>
      <c r="R4041" s="19" t="n"/>
      <c r="Y4041" s="19" t="n"/>
    </row>
    <row r="4042">
      <c r="C4042" s="18" t="n"/>
      <c r="J4042" s="19" t="n"/>
      <c r="P4042" s="20" t="n"/>
      <c r="Q4042" s="19" t="n"/>
      <c r="R4042" s="19" t="n"/>
      <c r="Y4042" s="19" t="n"/>
    </row>
    <row r="4043">
      <c r="C4043" s="18" t="n"/>
      <c r="J4043" s="19" t="n"/>
      <c r="P4043" s="20" t="n"/>
      <c r="Q4043" s="19" t="n"/>
      <c r="R4043" s="19" t="n"/>
      <c r="Y4043" s="19" t="n"/>
    </row>
    <row r="4044">
      <c r="C4044" s="18" t="n"/>
      <c r="J4044" s="19" t="n"/>
      <c r="P4044" s="20" t="n"/>
      <c r="Q4044" s="19" t="n"/>
      <c r="R4044" s="19" t="n"/>
      <c r="Y4044" s="19" t="n"/>
    </row>
    <row r="4045">
      <c r="C4045" s="18" t="n"/>
      <c r="J4045" s="19" t="n"/>
      <c r="P4045" s="20" t="n"/>
      <c r="Q4045" s="19" t="n"/>
      <c r="R4045" s="19" t="n"/>
      <c r="Y4045" s="19" t="n"/>
    </row>
    <row r="4046">
      <c r="C4046" s="18" t="n"/>
      <c r="J4046" s="19" t="n"/>
      <c r="P4046" s="20" t="n"/>
      <c r="Q4046" s="19" t="n"/>
      <c r="R4046" s="19" t="n"/>
      <c r="Y4046" s="19" t="n"/>
    </row>
    <row r="4047">
      <c r="C4047" s="18" t="n"/>
      <c r="J4047" s="19" t="n"/>
      <c r="P4047" s="20" t="n"/>
      <c r="Q4047" s="19" t="n"/>
      <c r="R4047" s="19" t="n"/>
      <c r="Y4047" s="19" t="n"/>
    </row>
    <row r="4048">
      <c r="C4048" s="18" t="n"/>
      <c r="J4048" s="19" t="n"/>
      <c r="P4048" s="20" t="n"/>
      <c r="Q4048" s="19" t="n"/>
      <c r="R4048" s="19" t="n"/>
      <c r="Y4048" s="19" t="n"/>
    </row>
    <row r="4049">
      <c r="C4049" s="18" t="n"/>
      <c r="J4049" s="19" t="n"/>
      <c r="P4049" s="20" t="n"/>
      <c r="Q4049" s="19" t="n"/>
      <c r="R4049" s="19" t="n"/>
      <c r="Y4049" s="19" t="n"/>
    </row>
    <row r="4050">
      <c r="C4050" s="18" t="n"/>
      <c r="J4050" s="19" t="n"/>
      <c r="P4050" s="20" t="n"/>
      <c r="Q4050" s="19" t="n"/>
      <c r="R4050" s="19" t="n"/>
      <c r="Y4050" s="19" t="n"/>
    </row>
    <row r="4051">
      <c r="C4051" s="18" t="n"/>
      <c r="J4051" s="19" t="n"/>
      <c r="P4051" s="20" t="n"/>
      <c r="Q4051" s="19" t="n"/>
      <c r="R4051" s="19" t="n"/>
      <c r="Y4051" s="19" t="n"/>
    </row>
    <row r="4052">
      <c r="C4052" s="18" t="n"/>
      <c r="J4052" s="19" t="n"/>
      <c r="P4052" s="20" t="n"/>
      <c r="Q4052" s="19" t="n"/>
      <c r="R4052" s="19" t="n"/>
      <c r="Y4052" s="19" t="n"/>
    </row>
    <row r="4053">
      <c r="C4053" s="18" t="n"/>
      <c r="J4053" s="19" t="n"/>
      <c r="P4053" s="20" t="n"/>
      <c r="Q4053" s="19" t="n"/>
      <c r="R4053" s="19" t="n"/>
      <c r="Y4053" s="19" t="n"/>
    </row>
    <row r="4054">
      <c r="C4054" s="18" t="n"/>
      <c r="J4054" s="19" t="n"/>
      <c r="P4054" s="20" t="n"/>
      <c r="Q4054" s="19" t="n"/>
      <c r="R4054" s="19" t="n"/>
      <c r="Y4054" s="19" t="n"/>
    </row>
    <row r="4055">
      <c r="C4055" s="18" t="n"/>
      <c r="J4055" s="19" t="n"/>
      <c r="P4055" s="20" t="n"/>
      <c r="Q4055" s="19" t="n"/>
      <c r="R4055" s="19" t="n"/>
      <c r="Y4055" s="19" t="n"/>
    </row>
    <row r="4056">
      <c r="C4056" s="18" t="n"/>
      <c r="J4056" s="19" t="n"/>
      <c r="P4056" s="20" t="n"/>
      <c r="Q4056" s="19" t="n"/>
      <c r="R4056" s="19" t="n"/>
      <c r="Y4056" s="19" t="n"/>
    </row>
    <row r="4057">
      <c r="C4057" s="18" t="n"/>
      <c r="J4057" s="19" t="n"/>
      <c r="P4057" s="20" t="n"/>
      <c r="Q4057" s="19" t="n"/>
      <c r="R4057" s="19" t="n"/>
      <c r="Y4057" s="19" t="n"/>
    </row>
    <row r="4058">
      <c r="C4058" s="18" t="n"/>
      <c r="J4058" s="19" t="n"/>
      <c r="P4058" s="20" t="n"/>
      <c r="Q4058" s="19" t="n"/>
      <c r="R4058" s="19" t="n"/>
      <c r="Y4058" s="19" t="n"/>
    </row>
    <row r="4059">
      <c r="C4059" s="18" t="n"/>
      <c r="J4059" s="19" t="n"/>
      <c r="P4059" s="20" t="n"/>
      <c r="Q4059" s="19" t="n"/>
      <c r="R4059" s="19" t="n"/>
      <c r="Y4059" s="19" t="n"/>
    </row>
    <row r="4060">
      <c r="C4060" s="18" t="n"/>
      <c r="J4060" s="19" t="n"/>
      <c r="P4060" s="20" t="n"/>
      <c r="Q4060" s="19" t="n"/>
      <c r="R4060" s="19" t="n"/>
      <c r="Y4060" s="19" t="n"/>
    </row>
    <row r="4061">
      <c r="C4061" s="18" t="n"/>
      <c r="J4061" s="19" t="n"/>
      <c r="P4061" s="20" t="n"/>
      <c r="Q4061" s="19" t="n"/>
      <c r="R4061" s="19" t="n"/>
      <c r="Y4061" s="19" t="n"/>
    </row>
    <row r="4062">
      <c r="C4062" s="18" t="n"/>
      <c r="J4062" s="19" t="n"/>
      <c r="P4062" s="20" t="n"/>
      <c r="Q4062" s="19" t="n"/>
      <c r="R4062" s="19" t="n"/>
      <c r="Y4062" s="19" t="n"/>
    </row>
    <row r="4063">
      <c r="C4063" s="18" t="n"/>
      <c r="J4063" s="19" t="n"/>
      <c r="P4063" s="20" t="n"/>
      <c r="Q4063" s="19" t="n"/>
      <c r="R4063" s="19" t="n"/>
      <c r="Y4063" s="19" t="n"/>
    </row>
    <row r="4064">
      <c r="C4064" s="18" t="n"/>
      <c r="J4064" s="19" t="n"/>
      <c r="P4064" s="20" t="n"/>
      <c r="Q4064" s="19" t="n"/>
      <c r="R4064" s="19" t="n"/>
      <c r="Y4064" s="19" t="n"/>
    </row>
    <row r="4065">
      <c r="C4065" s="18" t="n"/>
      <c r="J4065" s="19" t="n"/>
      <c r="P4065" s="20" t="n"/>
      <c r="Q4065" s="19" t="n"/>
      <c r="R4065" s="19" t="n"/>
      <c r="Y4065" s="19" t="n"/>
    </row>
    <row r="4066">
      <c r="C4066" s="18" t="n"/>
      <c r="J4066" s="19" t="n"/>
      <c r="P4066" s="20" t="n"/>
      <c r="Q4066" s="19" t="n"/>
      <c r="R4066" s="19" t="n"/>
      <c r="Y4066" s="19" t="n"/>
    </row>
    <row r="4067">
      <c r="C4067" s="18" t="n"/>
      <c r="J4067" s="19" t="n"/>
      <c r="P4067" s="20" t="n"/>
      <c r="Q4067" s="19" t="n"/>
      <c r="R4067" s="19" t="n"/>
      <c r="Y4067" s="19" t="n"/>
    </row>
    <row r="4068">
      <c r="C4068" s="18" t="n"/>
      <c r="J4068" s="19" t="n"/>
      <c r="P4068" s="20" t="n"/>
      <c r="Q4068" s="19" t="n"/>
      <c r="R4068" s="19" t="n"/>
      <c r="Y4068" s="19" t="n"/>
    </row>
    <row r="4069">
      <c r="C4069" s="18" t="n"/>
      <c r="J4069" s="19" t="n"/>
      <c r="P4069" s="20" t="n"/>
      <c r="Q4069" s="19" t="n"/>
      <c r="R4069" s="19" t="n"/>
      <c r="Y4069" s="19" t="n"/>
    </row>
    <row r="4070">
      <c r="C4070" s="18" t="n"/>
      <c r="J4070" s="19" t="n"/>
      <c r="P4070" s="20" t="n"/>
      <c r="Q4070" s="19" t="n"/>
      <c r="R4070" s="19" t="n"/>
      <c r="Y4070" s="19" t="n"/>
    </row>
    <row r="4071">
      <c r="C4071" s="18" t="n"/>
      <c r="J4071" s="19" t="n"/>
      <c r="P4071" s="20" t="n"/>
      <c r="Q4071" s="19" t="n"/>
      <c r="R4071" s="19" t="n"/>
      <c r="Y4071" s="19" t="n"/>
    </row>
    <row r="4072">
      <c r="C4072" s="18" t="n"/>
      <c r="J4072" s="19" t="n"/>
      <c r="P4072" s="20" t="n"/>
      <c r="Q4072" s="19" t="n"/>
      <c r="R4072" s="19" t="n"/>
      <c r="Y4072" s="19" t="n"/>
    </row>
    <row r="4073">
      <c r="C4073" s="18" t="n"/>
      <c r="J4073" s="19" t="n"/>
      <c r="P4073" s="20" t="n"/>
      <c r="Q4073" s="19" t="n"/>
      <c r="R4073" s="19" t="n"/>
      <c r="Y4073" s="19" t="n"/>
    </row>
    <row r="4074">
      <c r="C4074" s="18" t="n"/>
      <c r="J4074" s="19" t="n"/>
      <c r="P4074" s="20" t="n"/>
      <c r="Q4074" s="19" t="n"/>
      <c r="R4074" s="19" t="n"/>
      <c r="Y4074" s="19" t="n"/>
    </row>
    <row r="4075">
      <c r="C4075" s="18" t="n"/>
      <c r="J4075" s="19" t="n"/>
      <c r="P4075" s="20" t="n"/>
      <c r="Q4075" s="19" t="n"/>
      <c r="R4075" s="19" t="n"/>
      <c r="Y4075" s="19" t="n"/>
    </row>
    <row r="4076">
      <c r="C4076" s="18" t="n"/>
      <c r="J4076" s="19" t="n"/>
      <c r="P4076" s="20" t="n"/>
      <c r="Q4076" s="19" t="n"/>
      <c r="R4076" s="19" t="n"/>
      <c r="Y4076" s="19" t="n"/>
    </row>
    <row r="4077">
      <c r="C4077" s="18" t="n"/>
      <c r="J4077" s="19" t="n"/>
      <c r="P4077" s="20" t="n"/>
      <c r="Q4077" s="19" t="n"/>
      <c r="R4077" s="19" t="n"/>
      <c r="Y4077" s="19" t="n"/>
    </row>
    <row r="4078">
      <c r="C4078" s="18" t="n"/>
      <c r="J4078" s="19" t="n"/>
      <c r="P4078" s="20" t="n"/>
      <c r="Q4078" s="19" t="n"/>
      <c r="R4078" s="19" t="n"/>
      <c r="Y4078" s="19" t="n"/>
    </row>
    <row r="4079">
      <c r="C4079" s="18" t="n"/>
      <c r="J4079" s="19" t="n"/>
      <c r="P4079" s="20" t="n"/>
      <c r="Q4079" s="19" t="n"/>
      <c r="R4079" s="19" t="n"/>
      <c r="Y4079" s="19" t="n"/>
    </row>
    <row r="4080">
      <c r="C4080" s="18" t="n"/>
      <c r="J4080" s="19" t="n"/>
      <c r="P4080" s="20" t="n"/>
      <c r="Q4080" s="19" t="n"/>
      <c r="R4080" s="19" t="n"/>
      <c r="Y4080" s="19" t="n"/>
    </row>
    <row r="4081">
      <c r="C4081" s="18" t="n"/>
      <c r="J4081" s="19" t="n"/>
      <c r="P4081" s="20" t="n"/>
      <c r="Q4081" s="19" t="n"/>
      <c r="R4081" s="19" t="n"/>
      <c r="Y4081" s="19" t="n"/>
    </row>
    <row r="4082">
      <c r="C4082" s="18" t="n"/>
      <c r="J4082" s="19" t="n"/>
      <c r="P4082" s="20" t="n"/>
      <c r="Q4082" s="19" t="n"/>
      <c r="R4082" s="19" t="n"/>
      <c r="Y4082" s="19" t="n"/>
    </row>
    <row r="4083">
      <c r="C4083" s="18" t="n"/>
      <c r="J4083" s="19" t="n"/>
      <c r="P4083" s="20" t="n"/>
      <c r="Q4083" s="19" t="n"/>
      <c r="R4083" s="19" t="n"/>
      <c r="Y4083" s="19" t="n"/>
    </row>
    <row r="4084">
      <c r="C4084" s="18" t="n"/>
      <c r="J4084" s="19" t="n"/>
      <c r="P4084" s="20" t="n"/>
      <c r="Q4084" s="19" t="n"/>
      <c r="R4084" s="19" t="n"/>
      <c r="Y4084" s="19" t="n"/>
    </row>
    <row r="4085">
      <c r="C4085" s="18" t="n"/>
      <c r="J4085" s="19" t="n"/>
      <c r="P4085" s="20" t="n"/>
      <c r="Q4085" s="19" t="n"/>
      <c r="R4085" s="19" t="n"/>
      <c r="Y4085" s="19" t="n"/>
    </row>
    <row r="4086">
      <c r="C4086" s="18" t="n"/>
      <c r="J4086" s="19" t="n"/>
      <c r="P4086" s="20" t="n"/>
      <c r="Q4086" s="19" t="n"/>
      <c r="R4086" s="19" t="n"/>
      <c r="Y4086" s="19" t="n"/>
    </row>
    <row r="4087">
      <c r="C4087" s="18" t="n"/>
      <c r="J4087" s="19" t="n"/>
      <c r="P4087" s="20" t="n"/>
      <c r="Q4087" s="19" t="n"/>
      <c r="R4087" s="19" t="n"/>
      <c r="Y4087" s="19" t="n"/>
    </row>
    <row r="4088">
      <c r="C4088" s="18" t="n"/>
      <c r="J4088" s="19" t="n"/>
      <c r="P4088" s="20" t="n"/>
      <c r="Q4088" s="19" t="n"/>
      <c r="R4088" s="19" t="n"/>
      <c r="Y4088" s="19" t="n"/>
    </row>
    <row r="4089">
      <c r="C4089" s="18" t="n"/>
      <c r="J4089" s="19" t="n"/>
      <c r="P4089" s="20" t="n"/>
      <c r="Q4089" s="19" t="n"/>
      <c r="R4089" s="19" t="n"/>
      <c r="Y4089" s="19" t="n"/>
    </row>
    <row r="4090">
      <c r="C4090" s="18" t="n"/>
      <c r="J4090" s="19" t="n"/>
      <c r="P4090" s="20" t="n"/>
      <c r="Q4090" s="19" t="n"/>
      <c r="R4090" s="19" t="n"/>
      <c r="Y4090" s="19" t="n"/>
    </row>
    <row r="4091">
      <c r="C4091" s="18" t="n"/>
      <c r="J4091" s="19" t="n"/>
      <c r="P4091" s="20" t="n"/>
      <c r="Q4091" s="19" t="n"/>
      <c r="R4091" s="19" t="n"/>
      <c r="Y4091" s="19" t="n"/>
    </row>
    <row r="4092">
      <c r="C4092" s="18" t="n"/>
      <c r="J4092" s="19" t="n"/>
      <c r="P4092" s="20" t="n"/>
      <c r="Q4092" s="19" t="n"/>
      <c r="R4092" s="19" t="n"/>
      <c r="Y4092" s="19" t="n"/>
    </row>
    <row r="4093">
      <c r="C4093" s="18" t="n"/>
      <c r="J4093" s="19" t="n"/>
      <c r="P4093" s="20" t="n"/>
      <c r="Q4093" s="19" t="n"/>
      <c r="R4093" s="19" t="n"/>
      <c r="Y4093" s="19" t="n"/>
    </row>
    <row r="4094">
      <c r="C4094" s="18" t="n"/>
      <c r="J4094" s="19" t="n"/>
      <c r="P4094" s="20" t="n"/>
      <c r="Q4094" s="19" t="n"/>
      <c r="R4094" s="19" t="n"/>
      <c r="Y4094" s="19" t="n"/>
    </row>
    <row r="4095">
      <c r="C4095" s="18" t="n"/>
      <c r="J4095" s="19" t="n"/>
      <c r="P4095" s="20" t="n"/>
      <c r="Q4095" s="19" t="n"/>
      <c r="R4095" s="19" t="n"/>
      <c r="Y4095" s="19" t="n"/>
    </row>
    <row r="4096">
      <c r="C4096" s="18" t="n"/>
      <c r="J4096" s="19" t="n"/>
      <c r="P4096" s="20" t="n"/>
      <c r="Q4096" s="19" t="n"/>
      <c r="R4096" s="19" t="n"/>
      <c r="Y4096" s="19" t="n"/>
    </row>
    <row r="4097">
      <c r="C4097" s="18" t="n"/>
      <c r="J4097" s="19" t="n"/>
      <c r="P4097" s="20" t="n"/>
      <c r="Q4097" s="19" t="n"/>
      <c r="R4097" s="19" t="n"/>
      <c r="Y4097" s="19" t="n"/>
    </row>
    <row r="4098">
      <c r="C4098" s="18" t="n"/>
      <c r="J4098" s="19" t="n"/>
      <c r="P4098" s="20" t="n"/>
      <c r="Q4098" s="19" t="n"/>
      <c r="R4098" s="19" t="n"/>
      <c r="Y4098" s="19" t="n"/>
    </row>
    <row r="4099">
      <c r="C4099" s="18" t="n"/>
      <c r="J4099" s="19" t="n"/>
      <c r="P4099" s="20" t="n"/>
      <c r="Q4099" s="19" t="n"/>
      <c r="R4099" s="19" t="n"/>
      <c r="Y4099" s="19" t="n"/>
    </row>
    <row r="4100">
      <c r="C4100" s="18" t="n"/>
      <c r="J4100" s="19" t="n"/>
      <c r="P4100" s="20" t="n"/>
      <c r="Q4100" s="19" t="n"/>
      <c r="R4100" s="19" t="n"/>
      <c r="Y4100" s="19" t="n"/>
    </row>
    <row r="4101">
      <c r="C4101" s="18" t="n"/>
      <c r="J4101" s="19" t="n"/>
      <c r="P4101" s="20" t="n"/>
      <c r="Q4101" s="19" t="n"/>
      <c r="R4101" s="19" t="n"/>
      <c r="Y4101" s="19" t="n"/>
    </row>
    <row r="4102">
      <c r="C4102" s="18" t="n"/>
      <c r="J4102" s="19" t="n"/>
      <c r="P4102" s="20" t="n"/>
      <c r="Q4102" s="19" t="n"/>
      <c r="R4102" s="19" t="n"/>
      <c r="Y4102" s="19" t="n"/>
    </row>
    <row r="4103">
      <c r="C4103" s="18" t="n"/>
      <c r="J4103" s="19" t="n"/>
      <c r="P4103" s="20" t="n"/>
      <c r="Q4103" s="19" t="n"/>
      <c r="R4103" s="19" t="n"/>
      <c r="Y4103" s="19" t="n"/>
    </row>
    <row r="4104">
      <c r="C4104" s="18" t="n"/>
      <c r="J4104" s="19" t="n"/>
      <c r="P4104" s="20" t="n"/>
      <c r="Q4104" s="19" t="n"/>
      <c r="R4104" s="19" t="n"/>
      <c r="Y4104" s="19" t="n"/>
    </row>
    <row r="4105">
      <c r="C4105" s="18" t="n"/>
      <c r="J4105" s="19" t="n"/>
      <c r="P4105" s="20" t="n"/>
      <c r="Q4105" s="19" t="n"/>
      <c r="R4105" s="19" t="n"/>
      <c r="Y4105" s="19" t="n"/>
    </row>
    <row r="4106">
      <c r="C4106" s="18" t="n"/>
      <c r="J4106" s="19" t="n"/>
      <c r="P4106" s="20" t="n"/>
      <c r="Q4106" s="19" t="n"/>
      <c r="R4106" s="19" t="n"/>
      <c r="Y4106" s="19" t="n"/>
    </row>
    <row r="4107">
      <c r="C4107" s="18" t="n"/>
      <c r="J4107" s="19" t="n"/>
      <c r="P4107" s="20" t="n"/>
      <c r="Q4107" s="19" t="n"/>
      <c r="R4107" s="19" t="n"/>
      <c r="Y4107" s="19" t="n"/>
    </row>
    <row r="4108">
      <c r="C4108" s="18" t="n"/>
      <c r="J4108" s="19" t="n"/>
      <c r="P4108" s="20" t="n"/>
      <c r="Q4108" s="19" t="n"/>
      <c r="R4108" s="19" t="n"/>
      <c r="Y4108" s="19" t="n"/>
    </row>
    <row r="4109">
      <c r="C4109" s="18" t="n"/>
      <c r="J4109" s="19" t="n"/>
      <c r="P4109" s="20" t="n"/>
      <c r="Q4109" s="19" t="n"/>
      <c r="R4109" s="19" t="n"/>
      <c r="Y4109" s="19" t="n"/>
    </row>
    <row r="4110">
      <c r="C4110" s="18" t="n"/>
      <c r="J4110" s="19" t="n"/>
      <c r="P4110" s="20" t="n"/>
      <c r="Q4110" s="19" t="n"/>
      <c r="R4110" s="19" t="n"/>
      <c r="Y4110" s="19" t="n"/>
    </row>
    <row r="4111">
      <c r="C4111" s="18" t="n"/>
      <c r="J4111" s="19" t="n"/>
      <c r="P4111" s="20" t="n"/>
      <c r="Q4111" s="19" t="n"/>
      <c r="R4111" s="19" t="n"/>
      <c r="Y4111" s="19" t="n"/>
    </row>
    <row r="4112">
      <c r="C4112" s="18" t="n"/>
      <c r="J4112" s="19" t="n"/>
      <c r="P4112" s="20" t="n"/>
      <c r="Q4112" s="19" t="n"/>
      <c r="R4112" s="19" t="n"/>
      <c r="Y4112" s="19" t="n"/>
    </row>
    <row r="4113">
      <c r="C4113" s="18" t="n"/>
      <c r="J4113" s="19" t="n"/>
      <c r="P4113" s="20" t="n"/>
      <c r="Q4113" s="19" t="n"/>
      <c r="R4113" s="19" t="n"/>
      <c r="Y4113" s="19" t="n"/>
    </row>
    <row r="4114">
      <c r="C4114" s="18" t="n"/>
      <c r="J4114" s="19" t="n"/>
      <c r="P4114" s="20" t="n"/>
      <c r="Q4114" s="19" t="n"/>
      <c r="R4114" s="19" t="n"/>
      <c r="Y4114" s="19" t="n"/>
    </row>
    <row r="4115">
      <c r="C4115" s="18" t="n"/>
      <c r="J4115" s="19" t="n"/>
      <c r="P4115" s="20" t="n"/>
      <c r="Q4115" s="19" t="n"/>
      <c r="R4115" s="19" t="n"/>
      <c r="Y4115" s="19" t="n"/>
    </row>
    <row r="4116">
      <c r="C4116" s="18" t="n"/>
      <c r="J4116" s="19" t="n"/>
      <c r="P4116" s="20" t="n"/>
      <c r="Q4116" s="19" t="n"/>
      <c r="R4116" s="19" t="n"/>
      <c r="Y4116" s="19" t="n"/>
    </row>
    <row r="4117">
      <c r="C4117" s="18" t="n"/>
      <c r="J4117" s="19" t="n"/>
      <c r="P4117" s="20" t="n"/>
      <c r="Q4117" s="19" t="n"/>
      <c r="R4117" s="19" t="n"/>
      <c r="Y4117" s="19" t="n"/>
    </row>
    <row r="4118">
      <c r="C4118" s="18" t="n"/>
      <c r="J4118" s="19" t="n"/>
      <c r="P4118" s="20" t="n"/>
      <c r="Q4118" s="19" t="n"/>
      <c r="R4118" s="19" t="n"/>
      <c r="Y4118" s="19" t="n"/>
    </row>
    <row r="4119">
      <c r="C4119" s="18" t="n"/>
      <c r="J4119" s="19" t="n"/>
      <c r="P4119" s="20" t="n"/>
      <c r="Q4119" s="19" t="n"/>
      <c r="R4119" s="19" t="n"/>
      <c r="Y4119" s="19" t="n"/>
    </row>
    <row r="4120">
      <c r="C4120" s="18" t="n"/>
      <c r="J4120" s="19" t="n"/>
      <c r="P4120" s="20" t="n"/>
      <c r="Q4120" s="19" t="n"/>
      <c r="R4120" s="19" t="n"/>
      <c r="Y4120" s="19" t="n"/>
    </row>
    <row r="4121">
      <c r="C4121" s="18" t="n"/>
      <c r="J4121" s="19" t="n"/>
      <c r="P4121" s="20" t="n"/>
      <c r="Q4121" s="19" t="n"/>
      <c r="R4121" s="19" t="n"/>
      <c r="Y4121" s="19" t="n"/>
    </row>
    <row r="4122">
      <c r="C4122" s="18" t="n"/>
      <c r="J4122" s="19" t="n"/>
      <c r="P4122" s="20" t="n"/>
      <c r="Q4122" s="19" t="n"/>
      <c r="R4122" s="19" t="n"/>
      <c r="Y4122" s="19" t="n"/>
    </row>
    <row r="4123">
      <c r="C4123" s="18" t="n"/>
      <c r="J4123" s="19" t="n"/>
      <c r="P4123" s="20" t="n"/>
      <c r="Q4123" s="19" t="n"/>
      <c r="R4123" s="19" t="n"/>
      <c r="Y4123" s="19" t="n"/>
    </row>
    <row r="4124">
      <c r="C4124" s="18" t="n"/>
      <c r="J4124" s="19" t="n"/>
      <c r="P4124" s="20" t="n"/>
      <c r="Q4124" s="19" t="n"/>
      <c r="R4124" s="19" t="n"/>
      <c r="Y4124" s="19" t="n"/>
    </row>
    <row r="4125">
      <c r="C4125" s="18" t="n"/>
      <c r="J4125" s="19" t="n"/>
      <c r="P4125" s="20" t="n"/>
      <c r="Q4125" s="19" t="n"/>
      <c r="R4125" s="19" t="n"/>
      <c r="Y4125" s="19" t="n"/>
    </row>
    <row r="4126">
      <c r="C4126" s="18" t="n"/>
      <c r="J4126" s="19" t="n"/>
      <c r="P4126" s="20" t="n"/>
      <c r="Q4126" s="19" t="n"/>
      <c r="R4126" s="19" t="n"/>
      <c r="Y4126" s="19" t="n"/>
    </row>
    <row r="4127">
      <c r="C4127" s="18" t="n"/>
      <c r="J4127" s="19" t="n"/>
      <c r="P4127" s="20" t="n"/>
      <c r="Q4127" s="19" t="n"/>
      <c r="R4127" s="19" t="n"/>
      <c r="Y4127" s="19" t="n"/>
    </row>
    <row r="4128">
      <c r="C4128" s="18" t="n"/>
      <c r="J4128" s="19" t="n"/>
      <c r="P4128" s="20" t="n"/>
      <c r="Q4128" s="19" t="n"/>
      <c r="R4128" s="19" t="n"/>
      <c r="Y4128" s="19" t="n"/>
    </row>
    <row r="4129">
      <c r="C4129" s="18" t="n"/>
      <c r="J4129" s="19" t="n"/>
      <c r="P4129" s="20" t="n"/>
      <c r="Q4129" s="19" t="n"/>
      <c r="R4129" s="19" t="n"/>
      <c r="Y4129" s="19" t="n"/>
    </row>
    <row r="4130">
      <c r="C4130" s="18" t="n"/>
      <c r="J4130" s="19" t="n"/>
      <c r="P4130" s="20" t="n"/>
      <c r="Q4130" s="19" t="n"/>
      <c r="R4130" s="19" t="n"/>
      <c r="Y4130" s="19" t="n"/>
    </row>
    <row r="4131">
      <c r="C4131" s="18" t="n"/>
      <c r="J4131" s="19" t="n"/>
      <c r="P4131" s="20" t="n"/>
      <c r="Q4131" s="19" t="n"/>
      <c r="R4131" s="19" t="n"/>
      <c r="Y4131" s="19" t="n"/>
    </row>
    <row r="4132">
      <c r="C4132" s="18" t="n"/>
      <c r="J4132" s="19" t="n"/>
      <c r="P4132" s="20" t="n"/>
      <c r="Q4132" s="19" t="n"/>
      <c r="R4132" s="19" t="n"/>
      <c r="Y4132" s="19" t="n"/>
    </row>
    <row r="4133">
      <c r="C4133" s="18" t="n"/>
      <c r="J4133" s="19" t="n"/>
      <c r="P4133" s="20" t="n"/>
      <c r="Q4133" s="19" t="n"/>
      <c r="R4133" s="19" t="n"/>
      <c r="Y4133" s="19" t="n"/>
    </row>
    <row r="4134">
      <c r="C4134" s="18" t="n"/>
      <c r="J4134" s="19" t="n"/>
      <c r="P4134" s="20" t="n"/>
      <c r="Q4134" s="19" t="n"/>
      <c r="R4134" s="19" t="n"/>
      <c r="Y4134" s="19" t="n"/>
    </row>
    <row r="4135">
      <c r="C4135" s="18" t="n"/>
      <c r="J4135" s="19" t="n"/>
      <c r="P4135" s="20" t="n"/>
      <c r="Q4135" s="19" t="n"/>
      <c r="R4135" s="19" t="n"/>
      <c r="Y4135" s="19" t="n"/>
    </row>
    <row r="4136">
      <c r="C4136" s="18" t="n"/>
      <c r="J4136" s="19" t="n"/>
      <c r="P4136" s="20" t="n"/>
      <c r="Q4136" s="19" t="n"/>
      <c r="R4136" s="19" t="n"/>
      <c r="Y4136" s="19" t="n"/>
    </row>
    <row r="4137">
      <c r="C4137" s="18" t="n"/>
      <c r="J4137" s="19" t="n"/>
      <c r="P4137" s="20" t="n"/>
      <c r="Q4137" s="19" t="n"/>
      <c r="R4137" s="19" t="n"/>
      <c r="Y4137" s="19" t="n"/>
    </row>
    <row r="4138">
      <c r="C4138" s="18" t="n"/>
      <c r="J4138" s="19" t="n"/>
      <c r="P4138" s="20" t="n"/>
      <c r="Q4138" s="19" t="n"/>
      <c r="R4138" s="19" t="n"/>
      <c r="Y4138" s="19" t="n"/>
    </row>
    <row r="4139">
      <c r="C4139" s="18" t="n"/>
      <c r="J4139" s="19" t="n"/>
      <c r="P4139" s="20" t="n"/>
      <c r="Q4139" s="19" t="n"/>
      <c r="R4139" s="19" t="n"/>
      <c r="Y4139" s="19" t="n"/>
    </row>
    <row r="4140">
      <c r="C4140" s="18" t="n"/>
      <c r="J4140" s="19" t="n"/>
      <c r="P4140" s="20" t="n"/>
      <c r="Q4140" s="19" t="n"/>
      <c r="R4140" s="19" t="n"/>
      <c r="Y4140" s="19" t="n"/>
    </row>
    <row r="4141">
      <c r="C4141" s="18" t="n"/>
      <c r="J4141" s="19" t="n"/>
      <c r="P4141" s="20" t="n"/>
      <c r="Q4141" s="19" t="n"/>
      <c r="R4141" s="19" t="n"/>
      <c r="Y4141" s="19" t="n"/>
    </row>
    <row r="4142">
      <c r="C4142" s="18" t="n"/>
      <c r="J4142" s="19" t="n"/>
      <c r="P4142" s="20" t="n"/>
      <c r="Q4142" s="19" t="n"/>
      <c r="R4142" s="19" t="n"/>
      <c r="Y4142" s="19" t="n"/>
    </row>
    <row r="4143">
      <c r="C4143" s="18" t="n"/>
      <c r="J4143" s="19" t="n"/>
      <c r="P4143" s="20" t="n"/>
      <c r="Q4143" s="19" t="n"/>
      <c r="R4143" s="19" t="n"/>
      <c r="Y4143" s="19" t="n"/>
    </row>
    <row r="4144">
      <c r="C4144" s="18" t="n"/>
      <c r="J4144" s="19" t="n"/>
      <c r="P4144" s="20" t="n"/>
      <c r="Q4144" s="19" t="n"/>
      <c r="R4144" s="19" t="n"/>
      <c r="Y4144" s="19" t="n"/>
    </row>
    <row r="4145">
      <c r="C4145" s="18" t="n"/>
      <c r="J4145" s="19" t="n"/>
      <c r="P4145" s="20" t="n"/>
      <c r="Q4145" s="19" t="n"/>
      <c r="R4145" s="19" t="n"/>
      <c r="Y4145" s="19" t="n"/>
    </row>
    <row r="4146">
      <c r="C4146" s="18" t="n"/>
      <c r="J4146" s="19" t="n"/>
      <c r="P4146" s="20" t="n"/>
      <c r="Q4146" s="19" t="n"/>
      <c r="R4146" s="19" t="n"/>
      <c r="Y4146" s="19" t="n"/>
    </row>
    <row r="4147">
      <c r="C4147" s="18" t="n"/>
      <c r="J4147" s="19" t="n"/>
      <c r="P4147" s="20" t="n"/>
      <c r="Q4147" s="19" t="n"/>
      <c r="R4147" s="19" t="n"/>
      <c r="Y4147" s="19" t="n"/>
    </row>
    <row r="4148">
      <c r="C4148" s="18" t="n"/>
      <c r="J4148" s="19" t="n"/>
      <c r="P4148" s="20" t="n"/>
      <c r="Q4148" s="19" t="n"/>
      <c r="R4148" s="19" t="n"/>
      <c r="Y4148" s="19" t="n"/>
    </row>
    <row r="4149">
      <c r="C4149" s="18" t="n"/>
      <c r="J4149" s="19" t="n"/>
      <c r="P4149" s="20" t="n"/>
      <c r="Q4149" s="19" t="n"/>
      <c r="R4149" s="19" t="n"/>
      <c r="Y4149" s="19" t="n"/>
    </row>
    <row r="4150">
      <c r="C4150" s="18" t="n"/>
      <c r="J4150" s="19" t="n"/>
      <c r="P4150" s="20" t="n"/>
      <c r="Q4150" s="19" t="n"/>
      <c r="R4150" s="19" t="n"/>
      <c r="Y4150" s="19" t="n"/>
    </row>
    <row r="4151">
      <c r="C4151" s="18" t="n"/>
      <c r="J4151" s="19" t="n"/>
      <c r="P4151" s="20" t="n"/>
      <c r="Q4151" s="19" t="n"/>
      <c r="R4151" s="19" t="n"/>
      <c r="Y4151" s="19" t="n"/>
    </row>
    <row r="4152">
      <c r="C4152" s="18" t="n"/>
      <c r="J4152" s="19" t="n"/>
      <c r="P4152" s="20" t="n"/>
      <c r="Q4152" s="19" t="n"/>
      <c r="R4152" s="19" t="n"/>
      <c r="Y4152" s="19" t="n"/>
    </row>
    <row r="4153">
      <c r="C4153" s="18" t="n"/>
      <c r="J4153" s="19" t="n"/>
      <c r="P4153" s="20" t="n"/>
      <c r="Q4153" s="19" t="n"/>
      <c r="R4153" s="19" t="n"/>
      <c r="Y4153" s="19" t="n"/>
    </row>
    <row r="4154">
      <c r="C4154" s="18" t="n"/>
      <c r="J4154" s="19" t="n"/>
      <c r="P4154" s="20" t="n"/>
      <c r="Q4154" s="19" t="n"/>
      <c r="R4154" s="19" t="n"/>
      <c r="Y4154" s="19" t="n"/>
    </row>
    <row r="4155">
      <c r="C4155" s="18" t="n"/>
      <c r="J4155" s="19" t="n"/>
      <c r="P4155" s="20" t="n"/>
      <c r="Q4155" s="19" t="n"/>
      <c r="R4155" s="19" t="n"/>
      <c r="Y4155" s="19" t="n"/>
    </row>
    <row r="4156">
      <c r="C4156" s="18" t="n"/>
      <c r="J4156" s="19" t="n"/>
      <c r="P4156" s="20" t="n"/>
      <c r="Q4156" s="19" t="n"/>
      <c r="R4156" s="19" t="n"/>
      <c r="Y4156" s="19" t="n"/>
    </row>
    <row r="4157">
      <c r="C4157" s="18" t="n"/>
      <c r="J4157" s="19" t="n"/>
      <c r="P4157" s="20" t="n"/>
      <c r="Q4157" s="19" t="n"/>
      <c r="R4157" s="19" t="n"/>
      <c r="Y4157" s="19" t="n"/>
    </row>
    <row r="4158">
      <c r="C4158" s="18" t="n"/>
      <c r="J4158" s="19" t="n"/>
      <c r="P4158" s="20" t="n"/>
      <c r="Q4158" s="19" t="n"/>
      <c r="R4158" s="19" t="n"/>
      <c r="Y4158" s="19" t="n"/>
    </row>
    <row r="4159">
      <c r="C4159" s="18" t="n"/>
      <c r="J4159" s="19" t="n"/>
      <c r="P4159" s="20" t="n"/>
      <c r="Q4159" s="19" t="n"/>
      <c r="R4159" s="19" t="n"/>
      <c r="Y4159" s="19" t="n"/>
    </row>
    <row r="4160">
      <c r="C4160" s="18" t="n"/>
      <c r="J4160" s="19" t="n"/>
      <c r="P4160" s="20" t="n"/>
      <c r="Q4160" s="19" t="n"/>
      <c r="R4160" s="19" t="n"/>
      <c r="Y4160" s="19" t="n"/>
    </row>
    <row r="4161">
      <c r="C4161" s="18" t="n"/>
      <c r="J4161" s="19" t="n"/>
      <c r="P4161" s="20" t="n"/>
      <c r="Q4161" s="19" t="n"/>
      <c r="R4161" s="19" t="n"/>
      <c r="Y4161" s="19" t="n"/>
    </row>
    <row r="4162">
      <c r="C4162" s="18" t="n"/>
      <c r="J4162" s="19" t="n"/>
      <c r="P4162" s="20" t="n"/>
      <c r="Q4162" s="19" t="n"/>
      <c r="R4162" s="19" t="n"/>
      <c r="Y4162" s="19" t="n"/>
    </row>
    <row r="4163">
      <c r="C4163" s="18" t="n"/>
      <c r="J4163" s="19" t="n"/>
      <c r="P4163" s="20" t="n"/>
      <c r="Q4163" s="19" t="n"/>
      <c r="R4163" s="19" t="n"/>
      <c r="Y4163" s="19" t="n"/>
    </row>
    <row r="4164">
      <c r="C4164" s="18" t="n"/>
      <c r="J4164" s="19" t="n"/>
      <c r="P4164" s="20" t="n"/>
      <c r="Q4164" s="19" t="n"/>
      <c r="R4164" s="19" t="n"/>
      <c r="Y4164" s="19" t="n"/>
    </row>
    <row r="4165">
      <c r="C4165" s="18" t="n"/>
      <c r="J4165" s="19" t="n"/>
      <c r="P4165" s="20" t="n"/>
      <c r="Q4165" s="19" t="n"/>
      <c r="R4165" s="19" t="n"/>
      <c r="Y4165" s="19" t="n"/>
    </row>
    <row r="4166">
      <c r="C4166" s="18" t="n"/>
      <c r="J4166" s="19" t="n"/>
      <c r="P4166" s="20" t="n"/>
      <c r="Q4166" s="19" t="n"/>
      <c r="R4166" s="19" t="n"/>
      <c r="Y4166" s="19" t="n"/>
    </row>
    <row r="4167">
      <c r="C4167" s="18" t="n"/>
      <c r="J4167" s="19" t="n"/>
      <c r="P4167" s="20" t="n"/>
      <c r="Q4167" s="19" t="n"/>
      <c r="R4167" s="19" t="n"/>
      <c r="Y4167" s="19" t="n"/>
    </row>
    <row r="4168">
      <c r="C4168" s="18" t="n"/>
      <c r="J4168" s="19" t="n"/>
      <c r="P4168" s="20" t="n"/>
      <c r="Q4168" s="19" t="n"/>
      <c r="R4168" s="19" t="n"/>
      <c r="Y4168" s="19" t="n"/>
    </row>
    <row r="4169">
      <c r="C4169" s="18" t="n"/>
      <c r="J4169" s="19" t="n"/>
      <c r="P4169" s="20" t="n"/>
      <c r="Q4169" s="19" t="n"/>
      <c r="R4169" s="19" t="n"/>
      <c r="Y4169" s="19" t="n"/>
    </row>
    <row r="4170">
      <c r="C4170" s="18" t="n"/>
      <c r="J4170" s="19" t="n"/>
      <c r="P4170" s="20" t="n"/>
      <c r="Q4170" s="19" t="n"/>
      <c r="R4170" s="19" t="n"/>
      <c r="Y4170" s="19" t="n"/>
    </row>
    <row r="4171">
      <c r="C4171" s="18" t="n"/>
      <c r="J4171" s="19" t="n"/>
      <c r="P4171" s="20" t="n"/>
      <c r="Q4171" s="19" t="n"/>
      <c r="R4171" s="19" t="n"/>
      <c r="Y4171" s="19" t="n"/>
    </row>
    <row r="4172">
      <c r="C4172" s="18" t="n"/>
      <c r="J4172" s="19" t="n"/>
      <c r="P4172" s="20" t="n"/>
      <c r="Q4172" s="19" t="n"/>
      <c r="R4172" s="19" t="n"/>
      <c r="Y4172" s="19" t="n"/>
    </row>
    <row r="4173">
      <c r="C4173" s="18" t="n"/>
      <c r="J4173" s="19" t="n"/>
      <c r="P4173" s="20" t="n"/>
      <c r="Q4173" s="19" t="n"/>
      <c r="R4173" s="19" t="n"/>
      <c r="Y4173" s="19" t="n"/>
    </row>
    <row r="4174">
      <c r="C4174" s="18" t="n"/>
      <c r="J4174" s="19" t="n"/>
      <c r="P4174" s="20" t="n"/>
      <c r="Q4174" s="19" t="n"/>
      <c r="R4174" s="19" t="n"/>
      <c r="Y4174" s="19" t="n"/>
    </row>
    <row r="4175">
      <c r="C4175" s="18" t="n"/>
      <c r="J4175" s="19" t="n"/>
      <c r="P4175" s="20" t="n"/>
      <c r="Q4175" s="19" t="n"/>
      <c r="R4175" s="19" t="n"/>
      <c r="Y4175" s="19" t="n"/>
    </row>
    <row r="4176">
      <c r="C4176" s="18" t="n"/>
      <c r="J4176" s="19" t="n"/>
      <c r="P4176" s="20" t="n"/>
      <c r="Q4176" s="19" t="n"/>
      <c r="R4176" s="19" t="n"/>
      <c r="Y4176" s="19" t="n"/>
    </row>
    <row r="4177">
      <c r="C4177" s="18" t="n"/>
      <c r="J4177" s="19" t="n"/>
      <c r="P4177" s="20" t="n"/>
      <c r="Q4177" s="19" t="n"/>
      <c r="R4177" s="19" t="n"/>
      <c r="Y4177" s="19" t="n"/>
    </row>
    <row r="4178">
      <c r="C4178" s="18" t="n"/>
      <c r="J4178" s="19" t="n"/>
      <c r="P4178" s="20" t="n"/>
      <c r="Q4178" s="19" t="n"/>
      <c r="R4178" s="19" t="n"/>
      <c r="Y4178" s="19" t="n"/>
    </row>
    <row r="4179">
      <c r="C4179" s="18" t="n"/>
      <c r="J4179" s="19" t="n"/>
      <c r="P4179" s="20" t="n"/>
      <c r="Q4179" s="19" t="n"/>
      <c r="R4179" s="19" t="n"/>
      <c r="Y4179" s="19" t="n"/>
    </row>
    <row r="4180">
      <c r="C4180" s="18" t="n"/>
      <c r="J4180" s="19" t="n"/>
      <c r="P4180" s="20" t="n"/>
      <c r="Q4180" s="19" t="n"/>
      <c r="R4180" s="19" t="n"/>
      <c r="Y4180" s="19" t="n"/>
    </row>
    <row r="4181">
      <c r="C4181" s="18" t="n"/>
      <c r="J4181" s="19" t="n"/>
      <c r="P4181" s="20" t="n"/>
      <c r="Q4181" s="19" t="n"/>
      <c r="R4181" s="19" t="n"/>
      <c r="Y4181" s="19" t="n"/>
    </row>
    <row r="4182">
      <c r="C4182" s="18" t="n"/>
      <c r="J4182" s="19" t="n"/>
      <c r="P4182" s="20" t="n"/>
      <c r="Q4182" s="19" t="n"/>
      <c r="R4182" s="19" t="n"/>
      <c r="Y4182" s="19" t="n"/>
    </row>
    <row r="4183">
      <c r="C4183" s="18" t="n"/>
      <c r="J4183" s="19" t="n"/>
      <c r="P4183" s="20" t="n"/>
      <c r="Q4183" s="19" t="n"/>
      <c r="R4183" s="19" t="n"/>
      <c r="Y4183" s="19" t="n"/>
    </row>
    <row r="4184">
      <c r="C4184" s="18" t="n"/>
      <c r="J4184" s="19" t="n"/>
      <c r="P4184" s="20" t="n"/>
      <c r="Q4184" s="19" t="n"/>
      <c r="R4184" s="19" t="n"/>
      <c r="Y4184" s="19" t="n"/>
    </row>
    <row r="4185">
      <c r="C4185" s="18" t="n"/>
      <c r="J4185" s="19" t="n"/>
      <c r="P4185" s="20" t="n"/>
      <c r="Q4185" s="19" t="n"/>
      <c r="R4185" s="19" t="n"/>
      <c r="Y4185" s="19" t="n"/>
    </row>
    <row r="4186">
      <c r="C4186" s="18" t="n"/>
      <c r="J4186" s="19" t="n"/>
      <c r="P4186" s="20" t="n"/>
      <c r="Q4186" s="19" t="n"/>
      <c r="R4186" s="19" t="n"/>
      <c r="Y4186" s="19" t="n"/>
    </row>
    <row r="4187">
      <c r="C4187" s="18" t="n"/>
      <c r="J4187" s="19" t="n"/>
      <c r="P4187" s="20" t="n"/>
      <c r="Q4187" s="19" t="n"/>
      <c r="R4187" s="19" t="n"/>
      <c r="Y4187" s="19" t="n"/>
    </row>
    <row r="4188">
      <c r="C4188" s="18" t="n"/>
      <c r="J4188" s="19" t="n"/>
      <c r="P4188" s="20" t="n"/>
      <c r="Q4188" s="19" t="n"/>
      <c r="R4188" s="19" t="n"/>
      <c r="Y4188" s="19" t="n"/>
    </row>
    <row r="4189">
      <c r="C4189" s="18" t="n"/>
      <c r="J4189" s="19" t="n"/>
      <c r="P4189" s="20" t="n"/>
      <c r="Q4189" s="19" t="n"/>
      <c r="R4189" s="19" t="n"/>
      <c r="Y4189" s="19" t="n"/>
    </row>
    <row r="4190">
      <c r="C4190" s="18" t="n"/>
      <c r="J4190" s="19" t="n"/>
      <c r="P4190" s="20" t="n"/>
      <c r="Q4190" s="19" t="n"/>
      <c r="R4190" s="19" t="n"/>
      <c r="Y4190" s="19" t="n"/>
    </row>
    <row r="4191">
      <c r="C4191" s="18" t="n"/>
      <c r="J4191" s="19" t="n"/>
      <c r="P4191" s="20" t="n"/>
      <c r="Q4191" s="19" t="n"/>
      <c r="R4191" s="19" t="n"/>
      <c r="Y4191" s="19" t="n"/>
    </row>
    <row r="4192">
      <c r="C4192" s="18" t="n"/>
      <c r="J4192" s="19" t="n"/>
      <c r="P4192" s="20" t="n"/>
      <c r="Q4192" s="19" t="n"/>
      <c r="R4192" s="19" t="n"/>
      <c r="Y4192" s="19" t="n"/>
    </row>
    <row r="4193">
      <c r="C4193" s="18" t="n"/>
      <c r="J4193" s="19" t="n"/>
      <c r="P4193" s="20" t="n"/>
      <c r="Q4193" s="19" t="n"/>
      <c r="R4193" s="19" t="n"/>
      <c r="Y4193" s="19" t="n"/>
    </row>
    <row r="4194">
      <c r="C4194" s="18" t="n"/>
      <c r="J4194" s="19" t="n"/>
      <c r="P4194" s="20" t="n"/>
      <c r="Q4194" s="19" t="n"/>
      <c r="R4194" s="19" t="n"/>
      <c r="Y4194" s="19" t="n"/>
    </row>
    <row r="4195">
      <c r="C4195" s="18" t="n"/>
      <c r="J4195" s="19" t="n"/>
      <c r="P4195" s="20" t="n"/>
      <c r="Q4195" s="19" t="n"/>
      <c r="R4195" s="19" t="n"/>
      <c r="Y4195" s="19" t="n"/>
    </row>
    <row r="4196">
      <c r="C4196" s="18" t="n"/>
      <c r="J4196" s="19" t="n"/>
      <c r="P4196" s="20" t="n"/>
      <c r="Q4196" s="19" t="n"/>
      <c r="R4196" s="19" t="n"/>
      <c r="Y4196" s="19" t="n"/>
    </row>
    <row r="4197">
      <c r="C4197" s="18" t="n"/>
      <c r="J4197" s="19" t="n"/>
      <c r="P4197" s="20" t="n"/>
      <c r="Q4197" s="19" t="n"/>
      <c r="R4197" s="19" t="n"/>
      <c r="Y4197" s="19" t="n"/>
    </row>
    <row r="4198">
      <c r="C4198" s="18" t="n"/>
      <c r="J4198" s="19" t="n"/>
      <c r="P4198" s="20" t="n"/>
      <c r="Q4198" s="19" t="n"/>
      <c r="R4198" s="19" t="n"/>
      <c r="Y4198" s="19" t="n"/>
    </row>
    <row r="4199">
      <c r="C4199" s="18" t="n"/>
      <c r="J4199" s="19" t="n"/>
      <c r="P4199" s="20" t="n"/>
      <c r="Q4199" s="19" t="n"/>
      <c r="R4199" s="19" t="n"/>
      <c r="Y4199" s="19" t="n"/>
    </row>
    <row r="4200">
      <c r="C4200" s="18" t="n"/>
      <c r="J4200" s="19" t="n"/>
      <c r="P4200" s="20" t="n"/>
      <c r="Q4200" s="19" t="n"/>
      <c r="R4200" s="19" t="n"/>
      <c r="Y4200" s="19" t="n"/>
    </row>
    <row r="4201">
      <c r="C4201" s="18" t="n"/>
      <c r="J4201" s="19" t="n"/>
      <c r="P4201" s="20" t="n"/>
      <c r="Q4201" s="19" t="n"/>
      <c r="R4201" s="19" t="n"/>
      <c r="Y4201" s="19" t="n"/>
    </row>
    <row r="4202">
      <c r="C4202" s="18" t="n"/>
      <c r="J4202" s="19" t="n"/>
      <c r="P4202" s="20" t="n"/>
      <c r="Q4202" s="19" t="n"/>
      <c r="R4202" s="19" t="n"/>
      <c r="Y4202" s="19" t="n"/>
    </row>
    <row r="4203">
      <c r="C4203" s="18" t="n"/>
      <c r="J4203" s="19" t="n"/>
      <c r="P4203" s="20" t="n"/>
      <c r="Q4203" s="19" t="n"/>
      <c r="R4203" s="19" t="n"/>
      <c r="Y4203" s="19" t="n"/>
    </row>
    <row r="4204">
      <c r="C4204" s="18" t="n"/>
      <c r="J4204" s="19" t="n"/>
      <c r="P4204" s="20" t="n"/>
      <c r="Q4204" s="19" t="n"/>
      <c r="R4204" s="19" t="n"/>
      <c r="Y4204" s="19" t="n"/>
    </row>
    <row r="4205">
      <c r="C4205" s="18" t="n"/>
      <c r="J4205" s="19" t="n"/>
      <c r="P4205" s="20" t="n"/>
      <c r="Q4205" s="19" t="n"/>
      <c r="R4205" s="19" t="n"/>
      <c r="Y4205" s="19" t="n"/>
    </row>
    <row r="4206">
      <c r="C4206" s="18" t="n"/>
      <c r="J4206" s="19" t="n"/>
      <c r="P4206" s="20" t="n"/>
      <c r="Q4206" s="19" t="n"/>
      <c r="R4206" s="19" t="n"/>
      <c r="Y4206" s="19" t="n"/>
    </row>
    <row r="4207">
      <c r="C4207" s="18" t="n"/>
      <c r="J4207" s="19" t="n"/>
      <c r="P4207" s="20" t="n"/>
      <c r="Q4207" s="19" t="n"/>
      <c r="R4207" s="19" t="n"/>
      <c r="Y4207" s="19" t="n"/>
    </row>
    <row r="4208">
      <c r="C4208" s="18" t="n"/>
      <c r="J4208" s="19" t="n"/>
      <c r="P4208" s="20" t="n"/>
      <c r="Q4208" s="19" t="n"/>
      <c r="R4208" s="19" t="n"/>
      <c r="Y4208" s="19" t="n"/>
    </row>
    <row r="4209">
      <c r="C4209" s="18" t="n"/>
      <c r="J4209" s="19" t="n"/>
      <c r="P4209" s="20" t="n"/>
      <c r="Q4209" s="19" t="n"/>
      <c r="R4209" s="19" t="n"/>
      <c r="Y4209" s="19" t="n"/>
    </row>
    <row r="4210">
      <c r="C4210" s="18" t="n"/>
      <c r="J4210" s="19" t="n"/>
      <c r="P4210" s="20" t="n"/>
      <c r="Q4210" s="19" t="n"/>
      <c r="R4210" s="19" t="n"/>
      <c r="Y4210" s="19" t="n"/>
    </row>
    <row r="4211">
      <c r="C4211" s="18" t="n"/>
      <c r="J4211" s="19" t="n"/>
      <c r="P4211" s="20" t="n"/>
      <c r="Q4211" s="19" t="n"/>
      <c r="R4211" s="19" t="n"/>
      <c r="Y4211" s="19" t="n"/>
    </row>
    <row r="4212">
      <c r="C4212" s="18" t="n"/>
      <c r="J4212" s="19" t="n"/>
      <c r="P4212" s="20" t="n"/>
      <c r="Q4212" s="19" t="n"/>
      <c r="R4212" s="19" t="n"/>
      <c r="Y4212" s="19" t="n"/>
    </row>
    <row r="4213">
      <c r="C4213" s="18" t="n"/>
      <c r="J4213" s="19" t="n"/>
      <c r="P4213" s="20" t="n"/>
      <c r="Q4213" s="19" t="n"/>
      <c r="R4213" s="19" t="n"/>
      <c r="Y4213" s="19" t="n"/>
    </row>
    <row r="4214">
      <c r="C4214" s="18" t="n"/>
      <c r="J4214" s="19" t="n"/>
      <c r="P4214" s="20" t="n"/>
      <c r="Q4214" s="19" t="n"/>
      <c r="R4214" s="19" t="n"/>
      <c r="Y4214" s="19" t="n"/>
    </row>
    <row r="4215">
      <c r="C4215" s="18" t="n"/>
      <c r="J4215" s="19" t="n"/>
      <c r="P4215" s="20" t="n"/>
      <c r="Q4215" s="19" t="n"/>
      <c r="R4215" s="19" t="n"/>
      <c r="Y4215" s="19" t="n"/>
    </row>
    <row r="4216">
      <c r="C4216" s="18" t="n"/>
      <c r="J4216" s="19" t="n"/>
      <c r="P4216" s="20" t="n"/>
      <c r="Q4216" s="19" t="n"/>
      <c r="R4216" s="19" t="n"/>
      <c r="Y4216" s="19" t="n"/>
    </row>
    <row r="4217">
      <c r="C4217" s="18" t="n"/>
      <c r="J4217" s="19" t="n"/>
      <c r="P4217" s="20" t="n"/>
      <c r="Q4217" s="19" t="n"/>
      <c r="R4217" s="19" t="n"/>
      <c r="Y4217" s="19" t="n"/>
    </row>
    <row r="4218">
      <c r="C4218" s="18" t="n"/>
      <c r="J4218" s="19" t="n"/>
      <c r="P4218" s="20" t="n"/>
      <c r="Q4218" s="19" t="n"/>
      <c r="R4218" s="19" t="n"/>
      <c r="Y4218" s="19" t="n"/>
    </row>
    <row r="4219">
      <c r="C4219" s="18" t="n"/>
      <c r="J4219" s="19" t="n"/>
      <c r="P4219" s="20" t="n"/>
      <c r="Q4219" s="19" t="n"/>
      <c r="R4219" s="19" t="n"/>
      <c r="Y4219" s="19" t="n"/>
    </row>
    <row r="4220">
      <c r="C4220" s="18" t="n"/>
      <c r="J4220" s="19" t="n"/>
      <c r="P4220" s="20" t="n"/>
      <c r="Q4220" s="19" t="n"/>
      <c r="R4220" s="19" t="n"/>
      <c r="Y4220" s="19" t="n"/>
    </row>
    <row r="4221">
      <c r="C4221" s="18" t="n"/>
      <c r="J4221" s="19" t="n"/>
      <c r="P4221" s="20" t="n"/>
      <c r="Q4221" s="19" t="n"/>
      <c r="R4221" s="19" t="n"/>
      <c r="Y4221" s="19" t="n"/>
    </row>
    <row r="4222">
      <c r="C4222" s="18" t="n"/>
      <c r="J4222" s="19" t="n"/>
      <c r="P4222" s="20" t="n"/>
      <c r="Q4222" s="19" t="n"/>
      <c r="R4222" s="19" t="n"/>
      <c r="Y4222" s="19" t="n"/>
    </row>
    <row r="4223">
      <c r="C4223" s="18" t="n"/>
      <c r="J4223" s="19" t="n"/>
      <c r="P4223" s="20" t="n"/>
      <c r="Q4223" s="19" t="n"/>
      <c r="R4223" s="19" t="n"/>
      <c r="Y4223" s="19" t="n"/>
    </row>
    <row r="4224">
      <c r="C4224" s="18" t="n"/>
      <c r="J4224" s="19" t="n"/>
      <c r="P4224" s="20" t="n"/>
      <c r="Q4224" s="19" t="n"/>
      <c r="R4224" s="19" t="n"/>
      <c r="Y4224" s="19" t="n"/>
    </row>
    <row r="4225">
      <c r="C4225" s="18" t="n"/>
      <c r="J4225" s="19" t="n"/>
      <c r="P4225" s="20" t="n"/>
      <c r="Q4225" s="19" t="n"/>
      <c r="R4225" s="19" t="n"/>
      <c r="Y4225" s="19" t="n"/>
    </row>
    <row r="4226">
      <c r="C4226" s="18" t="n"/>
      <c r="J4226" s="19" t="n"/>
      <c r="P4226" s="20" t="n"/>
      <c r="Q4226" s="19" t="n"/>
      <c r="R4226" s="19" t="n"/>
      <c r="Y4226" s="19" t="n"/>
    </row>
    <row r="4227">
      <c r="C4227" s="18" t="n"/>
      <c r="J4227" s="19" t="n"/>
      <c r="P4227" s="20" t="n"/>
      <c r="Q4227" s="19" t="n"/>
      <c r="R4227" s="19" t="n"/>
      <c r="Y4227" s="19" t="n"/>
    </row>
    <row r="4228">
      <c r="C4228" s="18" t="n"/>
      <c r="J4228" s="19" t="n"/>
      <c r="P4228" s="20" t="n"/>
      <c r="Q4228" s="19" t="n"/>
      <c r="R4228" s="19" t="n"/>
      <c r="Y4228" s="19" t="n"/>
    </row>
    <row r="4229">
      <c r="C4229" s="18" t="n"/>
      <c r="J4229" s="19" t="n"/>
      <c r="P4229" s="20" t="n"/>
      <c r="Q4229" s="19" t="n"/>
      <c r="R4229" s="19" t="n"/>
      <c r="Y4229" s="19" t="n"/>
    </row>
    <row r="4230">
      <c r="C4230" s="18" t="n"/>
      <c r="J4230" s="19" t="n"/>
      <c r="P4230" s="20" t="n"/>
      <c r="Q4230" s="19" t="n"/>
      <c r="R4230" s="19" t="n"/>
      <c r="Y4230" s="19" t="n"/>
    </row>
    <row r="4231">
      <c r="C4231" s="18" t="n"/>
      <c r="J4231" s="19" t="n"/>
      <c r="P4231" s="20" t="n"/>
      <c r="Q4231" s="19" t="n"/>
      <c r="R4231" s="19" t="n"/>
      <c r="Y4231" s="19" t="n"/>
    </row>
    <row r="4232">
      <c r="C4232" s="18" t="n"/>
      <c r="J4232" s="19" t="n"/>
      <c r="P4232" s="20" t="n"/>
      <c r="Q4232" s="19" t="n"/>
      <c r="R4232" s="19" t="n"/>
      <c r="Y4232" s="19" t="n"/>
    </row>
    <row r="4233">
      <c r="C4233" s="18" t="n"/>
      <c r="J4233" s="19" t="n"/>
      <c r="P4233" s="20" t="n"/>
      <c r="Q4233" s="19" t="n"/>
      <c r="R4233" s="19" t="n"/>
      <c r="Y4233" s="19" t="n"/>
    </row>
    <row r="4234">
      <c r="C4234" s="18" t="n"/>
      <c r="J4234" s="19" t="n"/>
      <c r="P4234" s="20" t="n"/>
      <c r="Q4234" s="19" t="n"/>
      <c r="R4234" s="19" t="n"/>
      <c r="Y4234" s="19" t="n"/>
    </row>
    <row r="4235">
      <c r="C4235" s="18" t="n"/>
      <c r="J4235" s="19" t="n"/>
      <c r="P4235" s="20" t="n"/>
      <c r="Q4235" s="19" t="n"/>
      <c r="R4235" s="19" t="n"/>
      <c r="Y4235" s="19" t="n"/>
    </row>
    <row r="4236">
      <c r="C4236" s="18" t="n"/>
      <c r="J4236" s="19" t="n"/>
      <c r="P4236" s="20" t="n"/>
      <c r="Q4236" s="19" t="n"/>
      <c r="R4236" s="19" t="n"/>
      <c r="Y4236" s="19" t="n"/>
    </row>
    <row r="4237">
      <c r="C4237" s="18" t="n"/>
      <c r="J4237" s="19" t="n"/>
      <c r="P4237" s="20" t="n"/>
      <c r="Q4237" s="19" t="n"/>
      <c r="R4237" s="19" t="n"/>
      <c r="Y4237" s="19" t="n"/>
    </row>
    <row r="4238">
      <c r="C4238" s="18" t="n"/>
      <c r="J4238" s="19" t="n"/>
      <c r="P4238" s="20" t="n"/>
      <c r="Q4238" s="19" t="n"/>
      <c r="R4238" s="19" t="n"/>
      <c r="Y4238" s="19" t="n"/>
    </row>
    <row r="4239">
      <c r="C4239" s="18" t="n"/>
      <c r="J4239" s="19" t="n"/>
      <c r="P4239" s="20" t="n"/>
      <c r="Q4239" s="19" t="n"/>
      <c r="R4239" s="19" t="n"/>
      <c r="Y4239" s="19" t="n"/>
    </row>
    <row r="4240">
      <c r="C4240" s="18" t="n"/>
      <c r="J4240" s="19" t="n"/>
      <c r="P4240" s="20" t="n"/>
      <c r="Q4240" s="19" t="n"/>
      <c r="R4240" s="19" t="n"/>
      <c r="Y4240" s="19" t="n"/>
    </row>
    <row r="4241">
      <c r="C4241" s="18" t="n"/>
      <c r="J4241" s="19" t="n"/>
      <c r="P4241" s="20" t="n"/>
      <c r="Q4241" s="19" t="n"/>
      <c r="R4241" s="19" t="n"/>
      <c r="Y4241" s="19" t="n"/>
    </row>
    <row r="4242">
      <c r="C4242" s="18" t="n"/>
      <c r="J4242" s="19" t="n"/>
      <c r="P4242" s="20" t="n"/>
      <c r="Q4242" s="19" t="n"/>
      <c r="R4242" s="19" t="n"/>
      <c r="Y4242" s="19" t="n"/>
    </row>
    <row r="4243">
      <c r="C4243" s="18" t="n"/>
      <c r="J4243" s="19" t="n"/>
      <c r="P4243" s="20" t="n"/>
      <c r="Q4243" s="19" t="n"/>
      <c r="R4243" s="19" t="n"/>
      <c r="Y4243" s="19" t="n"/>
    </row>
    <row r="4244">
      <c r="C4244" s="18" t="n"/>
      <c r="J4244" s="19" t="n"/>
      <c r="P4244" s="20" t="n"/>
      <c r="Q4244" s="19" t="n"/>
      <c r="R4244" s="19" t="n"/>
      <c r="Y4244" s="19" t="n"/>
    </row>
    <row r="4245">
      <c r="C4245" s="18" t="n"/>
      <c r="J4245" s="19" t="n"/>
      <c r="P4245" s="20" t="n"/>
      <c r="Q4245" s="19" t="n"/>
      <c r="R4245" s="19" t="n"/>
      <c r="Y4245" s="19" t="n"/>
    </row>
    <row r="4246">
      <c r="C4246" s="18" t="n"/>
      <c r="J4246" s="19" t="n"/>
      <c r="P4246" s="20" t="n"/>
      <c r="Q4246" s="19" t="n"/>
      <c r="R4246" s="19" t="n"/>
      <c r="Y4246" s="19" t="n"/>
    </row>
    <row r="4247">
      <c r="C4247" s="18" t="n"/>
      <c r="J4247" s="19" t="n"/>
      <c r="P4247" s="20" t="n"/>
      <c r="Q4247" s="19" t="n"/>
      <c r="R4247" s="19" t="n"/>
      <c r="Y4247" s="19" t="n"/>
    </row>
    <row r="4248">
      <c r="C4248" s="18" t="n"/>
      <c r="J4248" s="19" t="n"/>
      <c r="P4248" s="20" t="n"/>
      <c r="Q4248" s="19" t="n"/>
      <c r="R4248" s="19" t="n"/>
      <c r="Y4248" s="19" t="n"/>
    </row>
    <row r="4249">
      <c r="C4249" s="18" t="n"/>
      <c r="J4249" s="19" t="n"/>
      <c r="P4249" s="20" t="n"/>
      <c r="Q4249" s="19" t="n"/>
      <c r="R4249" s="19" t="n"/>
      <c r="Y4249" s="19" t="n"/>
    </row>
    <row r="4250">
      <c r="C4250" s="18" t="n"/>
      <c r="J4250" s="19" t="n"/>
      <c r="P4250" s="20" t="n"/>
      <c r="Q4250" s="19" t="n"/>
      <c r="R4250" s="19" t="n"/>
      <c r="Y4250" s="19" t="n"/>
    </row>
    <row r="4251">
      <c r="C4251" s="18" t="n"/>
      <c r="J4251" s="19" t="n"/>
      <c r="P4251" s="20" t="n"/>
      <c r="Q4251" s="19" t="n"/>
      <c r="R4251" s="19" t="n"/>
      <c r="Y4251" s="19" t="n"/>
    </row>
    <row r="4252">
      <c r="C4252" s="18" t="n"/>
      <c r="J4252" s="19" t="n"/>
      <c r="P4252" s="20" t="n"/>
      <c r="Q4252" s="19" t="n"/>
      <c r="R4252" s="19" t="n"/>
      <c r="Y4252" s="19" t="n"/>
    </row>
    <row r="4253">
      <c r="C4253" s="18" t="n"/>
      <c r="J4253" s="19" t="n"/>
      <c r="P4253" s="20" t="n"/>
      <c r="Q4253" s="19" t="n"/>
      <c r="R4253" s="19" t="n"/>
      <c r="Y4253" s="19" t="n"/>
    </row>
    <row r="4254">
      <c r="C4254" s="18" t="n"/>
      <c r="J4254" s="19" t="n"/>
      <c r="P4254" s="20" t="n"/>
      <c r="Q4254" s="19" t="n"/>
      <c r="R4254" s="19" t="n"/>
      <c r="Y4254" s="19" t="n"/>
    </row>
    <row r="4255">
      <c r="C4255" s="18" t="n"/>
      <c r="J4255" s="19" t="n"/>
      <c r="P4255" s="20" t="n"/>
      <c r="Q4255" s="19" t="n"/>
      <c r="R4255" s="19" t="n"/>
      <c r="Y4255" s="19" t="n"/>
    </row>
    <row r="4256">
      <c r="C4256" s="18" t="n"/>
      <c r="J4256" s="19" t="n"/>
      <c r="P4256" s="20" t="n"/>
      <c r="Q4256" s="19" t="n"/>
      <c r="R4256" s="19" t="n"/>
      <c r="Y4256" s="19" t="n"/>
    </row>
    <row r="4257">
      <c r="C4257" s="18" t="n"/>
      <c r="J4257" s="19" t="n"/>
      <c r="P4257" s="20" t="n"/>
      <c r="Q4257" s="19" t="n"/>
      <c r="R4257" s="19" t="n"/>
      <c r="Y4257" s="19" t="n"/>
    </row>
    <row r="4258">
      <c r="C4258" s="18" t="n"/>
      <c r="J4258" s="19" t="n"/>
      <c r="P4258" s="20" t="n"/>
      <c r="Q4258" s="19" t="n"/>
      <c r="R4258" s="19" t="n"/>
      <c r="Y4258" s="19" t="n"/>
    </row>
    <row r="4259">
      <c r="C4259" s="18" t="n"/>
      <c r="J4259" s="19" t="n"/>
      <c r="P4259" s="20" t="n"/>
      <c r="Q4259" s="19" t="n"/>
      <c r="R4259" s="19" t="n"/>
      <c r="Y4259" s="19" t="n"/>
    </row>
    <row r="4260">
      <c r="C4260" s="18" t="n"/>
      <c r="J4260" s="19" t="n"/>
      <c r="P4260" s="20" t="n"/>
      <c r="Q4260" s="19" t="n"/>
      <c r="R4260" s="19" t="n"/>
      <c r="Y4260" s="19" t="n"/>
    </row>
    <row r="4261">
      <c r="C4261" s="18" t="n"/>
      <c r="J4261" s="19" t="n"/>
      <c r="P4261" s="20" t="n"/>
      <c r="Q4261" s="19" t="n"/>
      <c r="R4261" s="19" t="n"/>
      <c r="Y4261" s="19" t="n"/>
    </row>
    <row r="4262">
      <c r="C4262" s="18" t="n"/>
      <c r="J4262" s="19" t="n"/>
      <c r="P4262" s="20" t="n"/>
      <c r="Q4262" s="19" t="n"/>
      <c r="R4262" s="19" t="n"/>
      <c r="Y4262" s="19" t="n"/>
    </row>
    <row r="4263">
      <c r="C4263" s="18" t="n"/>
      <c r="J4263" s="19" t="n"/>
      <c r="P4263" s="20" t="n"/>
      <c r="Q4263" s="19" t="n"/>
      <c r="R4263" s="19" t="n"/>
      <c r="Y4263" s="19" t="n"/>
    </row>
    <row r="4264">
      <c r="C4264" s="18" t="n"/>
      <c r="J4264" s="19" t="n"/>
      <c r="P4264" s="20" t="n"/>
      <c r="Q4264" s="19" t="n"/>
      <c r="R4264" s="19" t="n"/>
      <c r="Y4264" s="19" t="n"/>
    </row>
    <row r="4265">
      <c r="C4265" s="18" t="n"/>
      <c r="J4265" s="19" t="n"/>
      <c r="P4265" s="20" t="n"/>
      <c r="Q4265" s="19" t="n"/>
      <c r="R4265" s="19" t="n"/>
      <c r="Y4265" s="19" t="n"/>
    </row>
    <row r="4266">
      <c r="C4266" s="18" t="n"/>
      <c r="J4266" s="19" t="n"/>
      <c r="P4266" s="20" t="n"/>
      <c r="Q4266" s="19" t="n"/>
      <c r="R4266" s="19" t="n"/>
      <c r="Y4266" s="19" t="n"/>
    </row>
    <row r="4267">
      <c r="C4267" s="18" t="n"/>
      <c r="J4267" s="19" t="n"/>
      <c r="P4267" s="20" t="n"/>
      <c r="Q4267" s="19" t="n"/>
      <c r="R4267" s="19" t="n"/>
      <c r="Y4267" s="19" t="n"/>
    </row>
    <row r="4268">
      <c r="C4268" s="18" t="n"/>
      <c r="J4268" s="19" t="n"/>
      <c r="P4268" s="20" t="n"/>
      <c r="Q4268" s="19" t="n"/>
      <c r="R4268" s="19" t="n"/>
      <c r="Y4268" s="19" t="n"/>
    </row>
    <row r="4269">
      <c r="C4269" s="18" t="n"/>
      <c r="J4269" s="19" t="n"/>
      <c r="P4269" s="20" t="n"/>
      <c r="Q4269" s="19" t="n"/>
      <c r="R4269" s="19" t="n"/>
      <c r="Y4269" s="19" t="n"/>
    </row>
    <row r="4270">
      <c r="C4270" s="18" t="n"/>
      <c r="J4270" s="19" t="n"/>
      <c r="P4270" s="20" t="n"/>
      <c r="Q4270" s="19" t="n"/>
      <c r="R4270" s="19" t="n"/>
      <c r="Y4270" s="19" t="n"/>
    </row>
    <row r="4271">
      <c r="C4271" s="18" t="n"/>
      <c r="J4271" s="19" t="n"/>
      <c r="P4271" s="20" t="n"/>
      <c r="Q4271" s="19" t="n"/>
      <c r="R4271" s="19" t="n"/>
      <c r="Y4271" s="19" t="n"/>
    </row>
    <row r="4272">
      <c r="C4272" s="18" t="n"/>
      <c r="J4272" s="19" t="n"/>
      <c r="P4272" s="20" t="n"/>
      <c r="Q4272" s="19" t="n"/>
      <c r="R4272" s="19" t="n"/>
      <c r="Y4272" s="19" t="n"/>
    </row>
    <row r="4273">
      <c r="C4273" s="18" t="n"/>
      <c r="J4273" s="19" t="n"/>
      <c r="P4273" s="20" t="n"/>
      <c r="Q4273" s="19" t="n"/>
      <c r="R4273" s="19" t="n"/>
      <c r="Y4273" s="19" t="n"/>
    </row>
    <row r="4274">
      <c r="C4274" s="18" t="n"/>
      <c r="J4274" s="19" t="n"/>
      <c r="P4274" s="20" t="n"/>
      <c r="Q4274" s="19" t="n"/>
      <c r="R4274" s="19" t="n"/>
      <c r="Y4274" s="19" t="n"/>
    </row>
    <row r="4275">
      <c r="C4275" s="18" t="n"/>
      <c r="J4275" s="19" t="n"/>
      <c r="P4275" s="20" t="n"/>
      <c r="Q4275" s="19" t="n"/>
      <c r="R4275" s="19" t="n"/>
      <c r="Y4275" s="19" t="n"/>
    </row>
    <row r="4276">
      <c r="C4276" s="18" t="n"/>
      <c r="J4276" s="19" t="n"/>
      <c r="P4276" s="20" t="n"/>
      <c r="Q4276" s="19" t="n"/>
      <c r="R4276" s="19" t="n"/>
      <c r="Y4276" s="19" t="n"/>
    </row>
    <row r="4277">
      <c r="C4277" s="18" t="n"/>
      <c r="J4277" s="19" t="n"/>
      <c r="P4277" s="20" t="n"/>
      <c r="Q4277" s="19" t="n"/>
      <c r="R4277" s="19" t="n"/>
      <c r="Y4277" s="19" t="n"/>
    </row>
    <row r="4278">
      <c r="C4278" s="18" t="n"/>
      <c r="J4278" s="19" t="n"/>
      <c r="P4278" s="20" t="n"/>
      <c r="Q4278" s="19" t="n"/>
      <c r="R4278" s="19" t="n"/>
      <c r="Y4278" s="19" t="n"/>
    </row>
    <row r="4279">
      <c r="C4279" s="18" t="n"/>
      <c r="J4279" s="19" t="n"/>
      <c r="P4279" s="20" t="n"/>
      <c r="Q4279" s="19" t="n"/>
      <c r="R4279" s="19" t="n"/>
      <c r="Y4279" s="19" t="n"/>
    </row>
    <row r="4280">
      <c r="C4280" s="18" t="n"/>
      <c r="J4280" s="19" t="n"/>
      <c r="P4280" s="20" t="n"/>
      <c r="Q4280" s="19" t="n"/>
      <c r="R4280" s="19" t="n"/>
      <c r="Y4280" s="19" t="n"/>
    </row>
    <row r="4281">
      <c r="C4281" s="18" t="n"/>
      <c r="J4281" s="19" t="n"/>
      <c r="P4281" s="20" t="n"/>
      <c r="Q4281" s="19" t="n"/>
      <c r="R4281" s="19" t="n"/>
      <c r="Y4281" s="19" t="n"/>
    </row>
    <row r="4282">
      <c r="C4282" s="18" t="n"/>
      <c r="J4282" s="19" t="n"/>
      <c r="P4282" s="20" t="n"/>
      <c r="Q4282" s="19" t="n"/>
      <c r="R4282" s="19" t="n"/>
      <c r="Y4282" s="19" t="n"/>
    </row>
    <row r="4283">
      <c r="C4283" s="18" t="n"/>
      <c r="J4283" s="19" t="n"/>
      <c r="P4283" s="20" t="n"/>
      <c r="Q4283" s="19" t="n"/>
      <c r="R4283" s="19" t="n"/>
      <c r="Y4283" s="19" t="n"/>
    </row>
    <row r="4284">
      <c r="C4284" s="18" t="n"/>
      <c r="J4284" s="19" t="n"/>
      <c r="P4284" s="20" t="n"/>
      <c r="Q4284" s="19" t="n"/>
      <c r="R4284" s="19" t="n"/>
      <c r="Y4284" s="19" t="n"/>
    </row>
    <row r="4285">
      <c r="C4285" s="18" t="n"/>
      <c r="J4285" s="19" t="n"/>
      <c r="P4285" s="20" t="n"/>
      <c r="Q4285" s="19" t="n"/>
      <c r="R4285" s="19" t="n"/>
      <c r="Y4285" s="19" t="n"/>
    </row>
    <row r="4286">
      <c r="C4286" s="18" t="n"/>
      <c r="J4286" s="19" t="n"/>
      <c r="P4286" s="20" t="n"/>
      <c r="Q4286" s="19" t="n"/>
      <c r="R4286" s="19" t="n"/>
      <c r="Y4286" s="19" t="n"/>
    </row>
    <row r="4287">
      <c r="C4287" s="18" t="n"/>
      <c r="J4287" s="19" t="n"/>
      <c r="P4287" s="20" t="n"/>
      <c r="Q4287" s="19" t="n"/>
      <c r="R4287" s="19" t="n"/>
      <c r="Y4287" s="19" t="n"/>
    </row>
    <row r="4288">
      <c r="C4288" s="18" t="n"/>
      <c r="J4288" s="19" t="n"/>
      <c r="P4288" s="20" t="n"/>
      <c r="Q4288" s="19" t="n"/>
      <c r="R4288" s="19" t="n"/>
      <c r="Y4288" s="19" t="n"/>
    </row>
    <row r="4289">
      <c r="C4289" s="18" t="n"/>
      <c r="J4289" s="19" t="n"/>
      <c r="P4289" s="20" t="n"/>
      <c r="Q4289" s="19" t="n"/>
      <c r="R4289" s="19" t="n"/>
      <c r="Y4289" s="19" t="n"/>
    </row>
    <row r="4290">
      <c r="C4290" s="18" t="n"/>
      <c r="J4290" s="19" t="n"/>
      <c r="P4290" s="20" t="n"/>
      <c r="Q4290" s="19" t="n"/>
      <c r="R4290" s="19" t="n"/>
      <c r="Y4290" s="19" t="n"/>
    </row>
    <row r="4291">
      <c r="C4291" s="18" t="n"/>
      <c r="J4291" s="19" t="n"/>
      <c r="P4291" s="20" t="n"/>
      <c r="Q4291" s="19" t="n"/>
      <c r="R4291" s="19" t="n"/>
      <c r="Y4291" s="19" t="n"/>
    </row>
    <row r="4292">
      <c r="C4292" s="18" t="n"/>
      <c r="J4292" s="19" t="n"/>
      <c r="P4292" s="20" t="n"/>
      <c r="Q4292" s="19" t="n"/>
      <c r="R4292" s="19" t="n"/>
      <c r="Y4292" s="19" t="n"/>
    </row>
    <row r="4293">
      <c r="C4293" s="18" t="n"/>
      <c r="J4293" s="19" t="n"/>
      <c r="P4293" s="20" t="n"/>
      <c r="Q4293" s="19" t="n"/>
      <c r="R4293" s="19" t="n"/>
      <c r="Y4293" s="19" t="n"/>
    </row>
    <row r="4294">
      <c r="C4294" s="18" t="n"/>
      <c r="J4294" s="19" t="n"/>
      <c r="P4294" s="20" t="n"/>
      <c r="Q4294" s="19" t="n"/>
      <c r="R4294" s="19" t="n"/>
      <c r="Y4294" s="19" t="n"/>
    </row>
    <row r="4295">
      <c r="C4295" s="18" t="n"/>
      <c r="J4295" s="19" t="n"/>
      <c r="P4295" s="20" t="n"/>
      <c r="Q4295" s="19" t="n"/>
      <c r="R4295" s="19" t="n"/>
      <c r="Y4295" s="19" t="n"/>
    </row>
    <row r="4296">
      <c r="C4296" s="18" t="n"/>
      <c r="J4296" s="19" t="n"/>
      <c r="P4296" s="20" t="n"/>
      <c r="Q4296" s="19" t="n"/>
      <c r="R4296" s="19" t="n"/>
      <c r="Y4296" s="19" t="n"/>
    </row>
    <row r="4297">
      <c r="C4297" s="18" t="n"/>
      <c r="J4297" s="19" t="n"/>
      <c r="P4297" s="20" t="n"/>
      <c r="Q4297" s="19" t="n"/>
      <c r="R4297" s="19" t="n"/>
      <c r="Y4297" s="19" t="n"/>
    </row>
    <row r="4298">
      <c r="C4298" s="18" t="n"/>
      <c r="J4298" s="19" t="n"/>
      <c r="P4298" s="20" t="n"/>
      <c r="Q4298" s="19" t="n"/>
      <c r="R4298" s="19" t="n"/>
      <c r="Y4298" s="19" t="n"/>
    </row>
    <row r="4299">
      <c r="C4299" s="18" t="n"/>
      <c r="J4299" s="19" t="n"/>
      <c r="P4299" s="20" t="n"/>
      <c r="Q4299" s="19" t="n"/>
      <c r="R4299" s="19" t="n"/>
      <c r="Y4299" s="19" t="n"/>
    </row>
    <row r="4300">
      <c r="C4300" s="18" t="n"/>
      <c r="J4300" s="19" t="n"/>
      <c r="P4300" s="20" t="n"/>
      <c r="Q4300" s="19" t="n"/>
      <c r="R4300" s="19" t="n"/>
      <c r="Y4300" s="19" t="n"/>
    </row>
    <row r="4301">
      <c r="C4301" s="18" t="n"/>
      <c r="J4301" s="19" t="n"/>
      <c r="P4301" s="20" t="n"/>
      <c r="Q4301" s="19" t="n"/>
      <c r="R4301" s="19" t="n"/>
      <c r="Y4301" s="19" t="n"/>
    </row>
    <row r="4302">
      <c r="C4302" s="18" t="n"/>
      <c r="J4302" s="19" t="n"/>
      <c r="P4302" s="20" t="n"/>
      <c r="Q4302" s="19" t="n"/>
      <c r="R4302" s="19" t="n"/>
      <c r="Y4302" s="19" t="n"/>
    </row>
    <row r="4303">
      <c r="C4303" s="18" t="n"/>
      <c r="J4303" s="19" t="n"/>
      <c r="P4303" s="20" t="n"/>
      <c r="Q4303" s="19" t="n"/>
      <c r="R4303" s="19" t="n"/>
      <c r="Y4303" s="19" t="n"/>
    </row>
    <row r="4304">
      <c r="C4304" s="18" t="n"/>
      <c r="J4304" s="19" t="n"/>
      <c r="P4304" s="20" t="n"/>
      <c r="Q4304" s="19" t="n"/>
      <c r="R4304" s="19" t="n"/>
      <c r="Y4304" s="19" t="n"/>
    </row>
    <row r="4305">
      <c r="C4305" s="18" t="n"/>
      <c r="J4305" s="19" t="n"/>
      <c r="P4305" s="20" t="n"/>
      <c r="Q4305" s="19" t="n"/>
      <c r="R4305" s="19" t="n"/>
      <c r="Y4305" s="19" t="n"/>
    </row>
    <row r="4306">
      <c r="C4306" s="18" t="n"/>
      <c r="J4306" s="19" t="n"/>
      <c r="P4306" s="20" t="n"/>
      <c r="Q4306" s="19" t="n"/>
      <c r="R4306" s="19" t="n"/>
      <c r="Y4306" s="19" t="n"/>
    </row>
    <row r="4307">
      <c r="C4307" s="18" t="n"/>
      <c r="J4307" s="19" t="n"/>
      <c r="P4307" s="20" t="n"/>
      <c r="Q4307" s="19" t="n"/>
      <c r="R4307" s="19" t="n"/>
      <c r="Y4307" s="19" t="n"/>
    </row>
    <row r="4308">
      <c r="C4308" s="18" t="n"/>
      <c r="J4308" s="19" t="n"/>
      <c r="P4308" s="20" t="n"/>
      <c r="Q4308" s="19" t="n"/>
      <c r="R4308" s="19" t="n"/>
      <c r="Y4308" s="19" t="n"/>
    </row>
    <row r="4309">
      <c r="C4309" s="18" t="n"/>
      <c r="J4309" s="19" t="n"/>
      <c r="P4309" s="20" t="n"/>
      <c r="Q4309" s="19" t="n"/>
      <c r="R4309" s="19" t="n"/>
      <c r="Y4309" s="19" t="n"/>
    </row>
    <row r="4310">
      <c r="C4310" s="18" t="n"/>
      <c r="J4310" s="19" t="n"/>
      <c r="P4310" s="20" t="n"/>
      <c r="Q4310" s="19" t="n"/>
      <c r="R4310" s="19" t="n"/>
      <c r="Y4310" s="19" t="n"/>
    </row>
    <row r="4311">
      <c r="C4311" s="18" t="n"/>
      <c r="J4311" s="19" t="n"/>
      <c r="P4311" s="20" t="n"/>
      <c r="Q4311" s="19" t="n"/>
      <c r="R4311" s="19" t="n"/>
      <c r="Y4311" s="19" t="n"/>
    </row>
    <row r="4312">
      <c r="C4312" s="18" t="n"/>
      <c r="J4312" s="19" t="n"/>
      <c r="P4312" s="20" t="n"/>
      <c r="Q4312" s="19" t="n"/>
      <c r="R4312" s="19" t="n"/>
      <c r="Y4312" s="19" t="n"/>
    </row>
    <row r="4313">
      <c r="C4313" s="18" t="n"/>
      <c r="J4313" s="19" t="n"/>
      <c r="P4313" s="20" t="n"/>
      <c r="Q4313" s="19" t="n"/>
      <c r="R4313" s="19" t="n"/>
      <c r="Y4313" s="19" t="n"/>
    </row>
    <row r="4314">
      <c r="C4314" s="18" t="n"/>
      <c r="J4314" s="19" t="n"/>
      <c r="P4314" s="20" t="n"/>
      <c r="Q4314" s="19" t="n"/>
      <c r="R4314" s="19" t="n"/>
      <c r="Y4314" s="19" t="n"/>
    </row>
    <row r="4315">
      <c r="C4315" s="18" t="n"/>
      <c r="J4315" s="19" t="n"/>
      <c r="P4315" s="20" t="n"/>
      <c r="Q4315" s="19" t="n"/>
      <c r="R4315" s="19" t="n"/>
      <c r="Y4315" s="19" t="n"/>
    </row>
    <row r="4316">
      <c r="C4316" s="18" t="n"/>
      <c r="J4316" s="19" t="n"/>
      <c r="P4316" s="20" t="n"/>
      <c r="Q4316" s="19" t="n"/>
      <c r="R4316" s="19" t="n"/>
      <c r="Y4316" s="19" t="n"/>
    </row>
    <row r="4317">
      <c r="C4317" s="18" t="n"/>
      <c r="J4317" s="19" t="n"/>
      <c r="P4317" s="20" t="n"/>
      <c r="Q4317" s="19" t="n"/>
      <c r="R4317" s="19" t="n"/>
      <c r="Y4317" s="19" t="n"/>
    </row>
    <row r="4318">
      <c r="C4318" s="18" t="n"/>
      <c r="J4318" s="19" t="n"/>
      <c r="P4318" s="20" t="n"/>
      <c r="Q4318" s="19" t="n"/>
      <c r="R4318" s="19" t="n"/>
      <c r="Y4318" s="19" t="n"/>
    </row>
    <row r="4319">
      <c r="C4319" s="18" t="n"/>
      <c r="J4319" s="19" t="n"/>
      <c r="P4319" s="20" t="n"/>
      <c r="Q4319" s="19" t="n"/>
      <c r="R4319" s="19" t="n"/>
      <c r="Y4319" s="19" t="n"/>
    </row>
    <row r="4320">
      <c r="C4320" s="18" t="n"/>
      <c r="J4320" s="19" t="n"/>
      <c r="P4320" s="20" t="n"/>
      <c r="Q4320" s="19" t="n"/>
      <c r="R4320" s="19" t="n"/>
      <c r="Y4320" s="19" t="n"/>
    </row>
    <row r="4321">
      <c r="C4321" s="18" t="n"/>
      <c r="J4321" s="19" t="n"/>
      <c r="P4321" s="20" t="n"/>
      <c r="Q4321" s="19" t="n"/>
      <c r="R4321" s="19" t="n"/>
      <c r="Y4321" s="19" t="n"/>
    </row>
    <row r="4322">
      <c r="C4322" s="18" t="n"/>
      <c r="J4322" s="19" t="n"/>
      <c r="P4322" s="20" t="n"/>
      <c r="Q4322" s="19" t="n"/>
      <c r="R4322" s="19" t="n"/>
      <c r="Y4322" s="19" t="n"/>
    </row>
    <row r="4323">
      <c r="C4323" s="18" t="n"/>
      <c r="J4323" s="19" t="n"/>
      <c r="P4323" s="20" t="n"/>
      <c r="Q4323" s="19" t="n"/>
      <c r="R4323" s="19" t="n"/>
      <c r="Y4323" s="19" t="n"/>
    </row>
    <row r="4324">
      <c r="C4324" s="18" t="n"/>
      <c r="J4324" s="19" t="n"/>
      <c r="P4324" s="20" t="n"/>
      <c r="Q4324" s="19" t="n"/>
      <c r="R4324" s="19" t="n"/>
      <c r="Y4324" s="19" t="n"/>
    </row>
    <row r="4325">
      <c r="C4325" s="18" t="n"/>
      <c r="J4325" s="19" t="n"/>
      <c r="P4325" s="20" t="n"/>
      <c r="Q4325" s="19" t="n"/>
      <c r="R4325" s="19" t="n"/>
      <c r="Y4325" s="19" t="n"/>
    </row>
    <row r="4326">
      <c r="C4326" s="18" t="n"/>
      <c r="J4326" s="19" t="n"/>
      <c r="P4326" s="20" t="n"/>
      <c r="Q4326" s="19" t="n"/>
      <c r="R4326" s="19" t="n"/>
      <c r="Y4326" s="19" t="n"/>
    </row>
    <row r="4327">
      <c r="C4327" s="18" t="n"/>
      <c r="J4327" s="19" t="n"/>
      <c r="P4327" s="20" t="n"/>
      <c r="Q4327" s="19" t="n"/>
      <c r="R4327" s="19" t="n"/>
      <c r="Y4327" s="19" t="n"/>
    </row>
    <row r="4328">
      <c r="C4328" s="18" t="n"/>
      <c r="J4328" s="19" t="n"/>
      <c r="P4328" s="20" t="n"/>
      <c r="Q4328" s="19" t="n"/>
      <c r="R4328" s="19" t="n"/>
      <c r="Y4328" s="19" t="n"/>
    </row>
    <row r="4329">
      <c r="C4329" s="18" t="n"/>
      <c r="J4329" s="19" t="n"/>
      <c r="P4329" s="20" t="n"/>
      <c r="Q4329" s="19" t="n"/>
      <c r="R4329" s="19" t="n"/>
      <c r="Y4329" s="19" t="n"/>
    </row>
    <row r="4330">
      <c r="C4330" s="18" t="n"/>
      <c r="J4330" s="19" t="n"/>
      <c r="P4330" s="20" t="n"/>
      <c r="Q4330" s="19" t="n"/>
      <c r="R4330" s="19" t="n"/>
      <c r="Y4330" s="19" t="n"/>
    </row>
    <row r="4331">
      <c r="C4331" s="18" t="n"/>
      <c r="J4331" s="19" t="n"/>
      <c r="P4331" s="20" t="n"/>
      <c r="Q4331" s="19" t="n"/>
      <c r="R4331" s="19" t="n"/>
      <c r="Y4331" s="19" t="n"/>
    </row>
    <row r="4332">
      <c r="C4332" s="18" t="n"/>
      <c r="J4332" s="19" t="n"/>
      <c r="P4332" s="20" t="n"/>
      <c r="Q4332" s="19" t="n"/>
      <c r="R4332" s="19" t="n"/>
      <c r="Y4332" s="19" t="n"/>
    </row>
    <row r="4333">
      <c r="C4333" s="18" t="n"/>
      <c r="J4333" s="19" t="n"/>
      <c r="P4333" s="20" t="n"/>
      <c r="Q4333" s="19" t="n"/>
      <c r="R4333" s="19" t="n"/>
      <c r="Y4333" s="19" t="n"/>
    </row>
    <row r="4334">
      <c r="C4334" s="18" t="n"/>
      <c r="J4334" s="19" t="n"/>
      <c r="P4334" s="20" t="n"/>
      <c r="Q4334" s="19" t="n"/>
      <c r="R4334" s="19" t="n"/>
      <c r="Y4334" s="19" t="n"/>
    </row>
    <row r="4335">
      <c r="C4335" s="18" t="n"/>
      <c r="J4335" s="19" t="n"/>
      <c r="P4335" s="20" t="n"/>
      <c r="Q4335" s="19" t="n"/>
      <c r="R4335" s="19" t="n"/>
      <c r="Y4335" s="19" t="n"/>
    </row>
    <row r="4336">
      <c r="C4336" s="18" t="n"/>
      <c r="J4336" s="19" t="n"/>
      <c r="P4336" s="20" t="n"/>
      <c r="Q4336" s="19" t="n"/>
      <c r="R4336" s="19" t="n"/>
      <c r="Y4336" s="19" t="n"/>
    </row>
    <row r="4337">
      <c r="C4337" s="18" t="n"/>
      <c r="J4337" s="19" t="n"/>
      <c r="P4337" s="20" t="n"/>
      <c r="Q4337" s="19" t="n"/>
      <c r="R4337" s="19" t="n"/>
      <c r="Y4337" s="19" t="n"/>
    </row>
    <row r="4338">
      <c r="C4338" s="18" t="n"/>
      <c r="J4338" s="19" t="n"/>
      <c r="P4338" s="20" t="n"/>
      <c r="Q4338" s="19" t="n"/>
      <c r="R4338" s="19" t="n"/>
      <c r="Y4338" s="19" t="n"/>
    </row>
    <row r="4339">
      <c r="C4339" s="18" t="n"/>
      <c r="J4339" s="19" t="n"/>
      <c r="P4339" s="20" t="n"/>
      <c r="Q4339" s="19" t="n"/>
      <c r="R4339" s="19" t="n"/>
      <c r="Y4339" s="19" t="n"/>
    </row>
    <row r="4340">
      <c r="C4340" s="18" t="n"/>
      <c r="J4340" s="19" t="n"/>
      <c r="P4340" s="20" t="n"/>
      <c r="Q4340" s="19" t="n"/>
      <c r="R4340" s="19" t="n"/>
      <c r="Y4340" s="19" t="n"/>
    </row>
    <row r="4341">
      <c r="C4341" s="18" t="n"/>
      <c r="J4341" s="19" t="n"/>
      <c r="P4341" s="20" t="n"/>
      <c r="Q4341" s="19" t="n"/>
      <c r="R4341" s="19" t="n"/>
      <c r="Y4341" s="19" t="n"/>
    </row>
    <row r="4342">
      <c r="C4342" s="18" t="n"/>
      <c r="J4342" s="19" t="n"/>
      <c r="P4342" s="20" t="n"/>
      <c r="Q4342" s="19" t="n"/>
      <c r="R4342" s="19" t="n"/>
      <c r="Y4342" s="19" t="n"/>
    </row>
    <row r="4343">
      <c r="C4343" s="18" t="n"/>
      <c r="J4343" s="19" t="n"/>
      <c r="P4343" s="20" t="n"/>
      <c r="Q4343" s="19" t="n"/>
      <c r="R4343" s="19" t="n"/>
      <c r="Y4343" s="19" t="n"/>
    </row>
    <row r="4344">
      <c r="C4344" s="18" t="n"/>
      <c r="J4344" s="19" t="n"/>
      <c r="P4344" s="20" t="n"/>
      <c r="Q4344" s="19" t="n"/>
      <c r="R4344" s="19" t="n"/>
      <c r="Y4344" s="19" t="n"/>
    </row>
    <row r="4345">
      <c r="C4345" s="18" t="n"/>
      <c r="J4345" s="19" t="n"/>
      <c r="P4345" s="20" t="n"/>
      <c r="Q4345" s="19" t="n"/>
      <c r="R4345" s="19" t="n"/>
      <c r="Y4345" s="19" t="n"/>
    </row>
    <row r="4346">
      <c r="C4346" s="18" t="n"/>
      <c r="J4346" s="19" t="n"/>
      <c r="P4346" s="20" t="n"/>
      <c r="Q4346" s="19" t="n"/>
      <c r="R4346" s="19" t="n"/>
      <c r="Y4346" s="19" t="n"/>
    </row>
    <row r="4347">
      <c r="C4347" s="18" t="n"/>
      <c r="J4347" s="19" t="n"/>
      <c r="P4347" s="20" t="n"/>
      <c r="Q4347" s="19" t="n"/>
      <c r="R4347" s="19" t="n"/>
      <c r="Y4347" s="19" t="n"/>
    </row>
    <row r="4348">
      <c r="C4348" s="18" t="n"/>
      <c r="J4348" s="19" t="n"/>
      <c r="P4348" s="20" t="n"/>
      <c r="Q4348" s="19" t="n"/>
      <c r="R4348" s="19" t="n"/>
      <c r="Y4348" s="19" t="n"/>
    </row>
    <row r="4349">
      <c r="C4349" s="18" t="n"/>
      <c r="J4349" s="19" t="n"/>
      <c r="P4349" s="20" t="n"/>
      <c r="Q4349" s="19" t="n"/>
      <c r="R4349" s="19" t="n"/>
      <c r="Y4349" s="19" t="n"/>
    </row>
    <row r="4350">
      <c r="C4350" s="18" t="n"/>
      <c r="J4350" s="19" t="n"/>
      <c r="P4350" s="20" t="n"/>
      <c r="Q4350" s="19" t="n"/>
      <c r="R4350" s="19" t="n"/>
      <c r="Y4350" s="19" t="n"/>
    </row>
    <row r="4351">
      <c r="C4351" s="18" t="n"/>
      <c r="J4351" s="19" t="n"/>
      <c r="P4351" s="20" t="n"/>
      <c r="Q4351" s="19" t="n"/>
      <c r="R4351" s="19" t="n"/>
      <c r="Y4351" s="19" t="n"/>
    </row>
    <row r="4352">
      <c r="C4352" s="18" t="n"/>
      <c r="J4352" s="19" t="n"/>
      <c r="P4352" s="20" t="n"/>
      <c r="Q4352" s="19" t="n"/>
      <c r="R4352" s="19" t="n"/>
      <c r="Y4352" s="19" t="n"/>
    </row>
    <row r="4353">
      <c r="C4353" s="18" t="n"/>
      <c r="J4353" s="19" t="n"/>
      <c r="P4353" s="20" t="n"/>
      <c r="Q4353" s="19" t="n"/>
      <c r="R4353" s="19" t="n"/>
      <c r="Y4353" s="19" t="n"/>
    </row>
    <row r="4354">
      <c r="C4354" s="18" t="n"/>
      <c r="J4354" s="19" t="n"/>
      <c r="P4354" s="20" t="n"/>
      <c r="Q4354" s="19" t="n"/>
      <c r="R4354" s="19" t="n"/>
      <c r="Y4354" s="19" t="n"/>
    </row>
    <row r="4355">
      <c r="C4355" s="18" t="n"/>
      <c r="J4355" s="19" t="n"/>
      <c r="P4355" s="20" t="n"/>
      <c r="Q4355" s="19" t="n"/>
      <c r="R4355" s="19" t="n"/>
      <c r="Y4355" s="19" t="n"/>
    </row>
    <row r="4356">
      <c r="C4356" s="18" t="n"/>
      <c r="J4356" s="19" t="n"/>
      <c r="P4356" s="20" t="n"/>
      <c r="Q4356" s="19" t="n"/>
      <c r="R4356" s="19" t="n"/>
      <c r="Y4356" s="19" t="n"/>
    </row>
    <row r="4357">
      <c r="C4357" s="18" t="n"/>
      <c r="J4357" s="19" t="n"/>
      <c r="P4357" s="20" t="n"/>
      <c r="Q4357" s="19" t="n"/>
      <c r="R4357" s="19" t="n"/>
      <c r="Y4357" s="19" t="n"/>
    </row>
    <row r="4358">
      <c r="C4358" s="18" t="n"/>
      <c r="J4358" s="19" t="n"/>
      <c r="P4358" s="20" t="n"/>
      <c r="Q4358" s="19" t="n"/>
      <c r="R4358" s="19" t="n"/>
      <c r="Y4358" s="19" t="n"/>
    </row>
    <row r="4359">
      <c r="C4359" s="18" t="n"/>
      <c r="J4359" s="19" t="n"/>
      <c r="P4359" s="20" t="n"/>
      <c r="Q4359" s="19" t="n"/>
      <c r="R4359" s="19" t="n"/>
      <c r="Y4359" s="19" t="n"/>
    </row>
    <row r="4360">
      <c r="C4360" s="18" t="n"/>
      <c r="J4360" s="19" t="n"/>
      <c r="P4360" s="20" t="n"/>
      <c r="Q4360" s="19" t="n"/>
      <c r="R4360" s="19" t="n"/>
      <c r="Y4360" s="19" t="n"/>
    </row>
    <row r="4361">
      <c r="C4361" s="18" t="n"/>
      <c r="J4361" s="19" t="n"/>
      <c r="P4361" s="20" t="n"/>
      <c r="Q4361" s="19" t="n"/>
      <c r="R4361" s="19" t="n"/>
      <c r="Y4361" s="19" t="n"/>
    </row>
    <row r="4362">
      <c r="C4362" s="18" t="n"/>
      <c r="J4362" s="19" t="n"/>
      <c r="P4362" s="20" t="n"/>
      <c r="Q4362" s="19" t="n"/>
      <c r="R4362" s="19" t="n"/>
      <c r="Y4362" s="19" t="n"/>
    </row>
    <row r="4363">
      <c r="C4363" s="18" t="n"/>
      <c r="J4363" s="19" t="n"/>
      <c r="P4363" s="20" t="n"/>
      <c r="Q4363" s="19" t="n"/>
      <c r="R4363" s="19" t="n"/>
      <c r="Y4363" s="19" t="n"/>
    </row>
    <row r="4364">
      <c r="C4364" s="18" t="n"/>
      <c r="J4364" s="19" t="n"/>
      <c r="P4364" s="20" t="n"/>
      <c r="Q4364" s="19" t="n"/>
      <c r="R4364" s="19" t="n"/>
      <c r="Y4364" s="19" t="n"/>
    </row>
    <row r="4365">
      <c r="C4365" s="18" t="n"/>
      <c r="J4365" s="19" t="n"/>
      <c r="P4365" s="20" t="n"/>
      <c r="Q4365" s="19" t="n"/>
      <c r="R4365" s="19" t="n"/>
      <c r="Y4365" s="19" t="n"/>
    </row>
    <row r="4366">
      <c r="C4366" s="18" t="n"/>
      <c r="J4366" s="19" t="n"/>
      <c r="P4366" s="20" t="n"/>
      <c r="Q4366" s="19" t="n"/>
      <c r="R4366" s="19" t="n"/>
      <c r="Y4366" s="19" t="n"/>
    </row>
    <row r="4367">
      <c r="C4367" s="18" t="n"/>
      <c r="J4367" s="19" t="n"/>
      <c r="P4367" s="20" t="n"/>
      <c r="Q4367" s="19" t="n"/>
      <c r="R4367" s="19" t="n"/>
      <c r="Y4367" s="19" t="n"/>
    </row>
    <row r="4368">
      <c r="C4368" s="18" t="n"/>
      <c r="J4368" s="19" t="n"/>
      <c r="P4368" s="20" t="n"/>
      <c r="Q4368" s="19" t="n"/>
      <c r="R4368" s="19" t="n"/>
      <c r="Y4368" s="19" t="n"/>
    </row>
    <row r="4369">
      <c r="C4369" s="18" t="n"/>
      <c r="J4369" s="19" t="n"/>
      <c r="P4369" s="20" t="n"/>
      <c r="Q4369" s="19" t="n"/>
      <c r="R4369" s="19" t="n"/>
      <c r="Y4369" s="19" t="n"/>
    </row>
    <row r="4370">
      <c r="C4370" s="18" t="n"/>
      <c r="J4370" s="19" t="n"/>
      <c r="P4370" s="20" t="n"/>
      <c r="Q4370" s="19" t="n"/>
      <c r="R4370" s="19" t="n"/>
      <c r="Y4370" s="19" t="n"/>
    </row>
    <row r="4371">
      <c r="C4371" s="18" t="n"/>
      <c r="J4371" s="19" t="n"/>
      <c r="P4371" s="20" t="n"/>
      <c r="Q4371" s="19" t="n"/>
      <c r="R4371" s="19" t="n"/>
      <c r="Y4371" s="19" t="n"/>
    </row>
    <row r="4372">
      <c r="C4372" s="18" t="n"/>
      <c r="J4372" s="19" t="n"/>
      <c r="P4372" s="20" t="n"/>
      <c r="Q4372" s="19" t="n"/>
      <c r="R4372" s="19" t="n"/>
      <c r="Y4372" s="19" t="n"/>
    </row>
    <row r="4373">
      <c r="C4373" s="18" t="n"/>
      <c r="J4373" s="19" t="n"/>
      <c r="P4373" s="20" t="n"/>
      <c r="Q4373" s="19" t="n"/>
      <c r="R4373" s="19" t="n"/>
      <c r="Y4373" s="19" t="n"/>
    </row>
    <row r="4374">
      <c r="C4374" s="18" t="n"/>
      <c r="J4374" s="19" t="n"/>
      <c r="P4374" s="20" t="n"/>
      <c r="Q4374" s="19" t="n"/>
      <c r="R4374" s="19" t="n"/>
      <c r="Y4374" s="19" t="n"/>
    </row>
    <row r="4375">
      <c r="C4375" s="18" t="n"/>
      <c r="J4375" s="19" t="n"/>
      <c r="P4375" s="20" t="n"/>
      <c r="Q4375" s="19" t="n"/>
      <c r="R4375" s="19" t="n"/>
      <c r="Y4375" s="19" t="n"/>
    </row>
    <row r="4376">
      <c r="C4376" s="18" t="n"/>
      <c r="J4376" s="19" t="n"/>
      <c r="P4376" s="20" t="n"/>
      <c r="Q4376" s="19" t="n"/>
      <c r="R4376" s="19" t="n"/>
      <c r="Y4376" s="19" t="n"/>
    </row>
    <row r="4377">
      <c r="C4377" s="18" t="n"/>
      <c r="J4377" s="19" t="n"/>
      <c r="P4377" s="20" t="n"/>
      <c r="Q4377" s="19" t="n"/>
      <c r="R4377" s="19" t="n"/>
      <c r="Y4377" s="19" t="n"/>
    </row>
    <row r="4378">
      <c r="C4378" s="18" t="n"/>
      <c r="J4378" s="19" t="n"/>
      <c r="P4378" s="20" t="n"/>
      <c r="Q4378" s="19" t="n"/>
      <c r="R4378" s="19" t="n"/>
      <c r="Y4378" s="19" t="n"/>
    </row>
    <row r="4379">
      <c r="C4379" s="18" t="n"/>
      <c r="J4379" s="19" t="n"/>
      <c r="P4379" s="20" t="n"/>
      <c r="Q4379" s="19" t="n"/>
      <c r="R4379" s="19" t="n"/>
      <c r="Y4379" s="19" t="n"/>
    </row>
    <row r="4380">
      <c r="C4380" s="18" t="n"/>
      <c r="J4380" s="19" t="n"/>
      <c r="P4380" s="20" t="n"/>
      <c r="Q4380" s="19" t="n"/>
      <c r="R4380" s="19" t="n"/>
      <c r="Y4380" s="19" t="n"/>
    </row>
    <row r="4381">
      <c r="C4381" s="18" t="n"/>
      <c r="J4381" s="19" t="n"/>
      <c r="P4381" s="20" t="n"/>
      <c r="Q4381" s="19" t="n"/>
      <c r="R4381" s="19" t="n"/>
      <c r="Y4381" s="19" t="n"/>
    </row>
    <row r="4382">
      <c r="C4382" s="18" t="n"/>
      <c r="J4382" s="19" t="n"/>
      <c r="P4382" s="20" t="n"/>
      <c r="Q4382" s="19" t="n"/>
      <c r="R4382" s="19" t="n"/>
      <c r="Y4382" s="19" t="n"/>
    </row>
    <row r="4383">
      <c r="C4383" s="18" t="n"/>
      <c r="J4383" s="19" t="n"/>
      <c r="P4383" s="20" t="n"/>
      <c r="Q4383" s="19" t="n"/>
      <c r="R4383" s="19" t="n"/>
      <c r="Y4383" s="19" t="n"/>
    </row>
    <row r="4384">
      <c r="C4384" s="18" t="n"/>
      <c r="J4384" s="19" t="n"/>
      <c r="P4384" s="20" t="n"/>
      <c r="Q4384" s="19" t="n"/>
      <c r="R4384" s="19" t="n"/>
      <c r="Y4384" s="19" t="n"/>
    </row>
    <row r="4385">
      <c r="C4385" s="18" t="n"/>
      <c r="J4385" s="19" t="n"/>
      <c r="P4385" s="20" t="n"/>
      <c r="Q4385" s="19" t="n"/>
      <c r="R4385" s="19" t="n"/>
      <c r="Y4385" s="19" t="n"/>
    </row>
    <row r="4386">
      <c r="C4386" s="18" t="n"/>
      <c r="J4386" s="19" t="n"/>
      <c r="P4386" s="20" t="n"/>
      <c r="Q4386" s="19" t="n"/>
      <c r="R4386" s="19" t="n"/>
      <c r="Y4386" s="19" t="n"/>
    </row>
    <row r="4387">
      <c r="C4387" s="18" t="n"/>
      <c r="J4387" s="19" t="n"/>
      <c r="P4387" s="20" t="n"/>
      <c r="Q4387" s="19" t="n"/>
      <c r="R4387" s="19" t="n"/>
      <c r="Y4387" s="19" t="n"/>
    </row>
    <row r="4388">
      <c r="C4388" s="18" t="n"/>
      <c r="J4388" s="19" t="n"/>
      <c r="P4388" s="20" t="n"/>
      <c r="Q4388" s="19" t="n"/>
      <c r="R4388" s="19" t="n"/>
      <c r="Y4388" s="19" t="n"/>
    </row>
    <row r="4389">
      <c r="C4389" s="18" t="n"/>
      <c r="J4389" s="19" t="n"/>
      <c r="P4389" s="20" t="n"/>
      <c r="Q4389" s="19" t="n"/>
      <c r="R4389" s="19" t="n"/>
      <c r="Y4389" s="19" t="n"/>
    </row>
    <row r="4390">
      <c r="C4390" s="18" t="n"/>
      <c r="J4390" s="19" t="n"/>
      <c r="P4390" s="20" t="n"/>
      <c r="Q4390" s="19" t="n"/>
      <c r="R4390" s="19" t="n"/>
      <c r="Y4390" s="19" t="n"/>
    </row>
    <row r="4391">
      <c r="C4391" s="18" t="n"/>
      <c r="J4391" s="19" t="n"/>
      <c r="P4391" s="20" t="n"/>
      <c r="Q4391" s="19" t="n"/>
      <c r="R4391" s="19" t="n"/>
      <c r="Y4391" s="19" t="n"/>
    </row>
    <row r="4392">
      <c r="C4392" s="18" t="n"/>
      <c r="J4392" s="19" t="n"/>
      <c r="P4392" s="20" t="n"/>
      <c r="Q4392" s="19" t="n"/>
      <c r="R4392" s="19" t="n"/>
      <c r="Y4392" s="19" t="n"/>
    </row>
    <row r="4393">
      <c r="C4393" s="18" t="n"/>
      <c r="J4393" s="19" t="n"/>
      <c r="P4393" s="20" t="n"/>
      <c r="Q4393" s="19" t="n"/>
      <c r="R4393" s="19" t="n"/>
      <c r="Y4393" s="19" t="n"/>
    </row>
    <row r="4394">
      <c r="C4394" s="18" t="n"/>
      <c r="J4394" s="19" t="n"/>
      <c r="P4394" s="20" t="n"/>
      <c r="Q4394" s="19" t="n"/>
      <c r="R4394" s="19" t="n"/>
      <c r="Y4394" s="19" t="n"/>
    </row>
    <row r="4395">
      <c r="C4395" s="18" t="n"/>
      <c r="J4395" s="19" t="n"/>
      <c r="P4395" s="20" t="n"/>
      <c r="Q4395" s="19" t="n"/>
      <c r="R4395" s="19" t="n"/>
      <c r="Y4395" s="19" t="n"/>
    </row>
    <row r="4396">
      <c r="C4396" s="18" t="n"/>
      <c r="J4396" s="19" t="n"/>
      <c r="P4396" s="20" t="n"/>
      <c r="Q4396" s="19" t="n"/>
      <c r="R4396" s="19" t="n"/>
      <c r="Y4396" s="19" t="n"/>
    </row>
    <row r="4397">
      <c r="C4397" s="18" t="n"/>
      <c r="J4397" s="19" t="n"/>
      <c r="P4397" s="20" t="n"/>
      <c r="Q4397" s="19" t="n"/>
      <c r="R4397" s="19" t="n"/>
      <c r="Y4397" s="19" t="n"/>
    </row>
    <row r="4398">
      <c r="C4398" s="18" t="n"/>
      <c r="J4398" s="19" t="n"/>
      <c r="P4398" s="20" t="n"/>
      <c r="Q4398" s="19" t="n"/>
      <c r="R4398" s="19" t="n"/>
      <c r="Y4398" s="19" t="n"/>
    </row>
    <row r="4399">
      <c r="C4399" s="18" t="n"/>
      <c r="J4399" s="19" t="n"/>
      <c r="P4399" s="20" t="n"/>
      <c r="Q4399" s="19" t="n"/>
      <c r="R4399" s="19" t="n"/>
      <c r="Y4399" s="19" t="n"/>
    </row>
    <row r="4400">
      <c r="C4400" s="18" t="n"/>
      <c r="J4400" s="19" t="n"/>
      <c r="P4400" s="20" t="n"/>
      <c r="Q4400" s="19" t="n"/>
      <c r="R4400" s="19" t="n"/>
      <c r="Y4400" s="19" t="n"/>
    </row>
    <row r="4401">
      <c r="C4401" s="18" t="n"/>
      <c r="J4401" s="19" t="n"/>
      <c r="P4401" s="20" t="n"/>
      <c r="Q4401" s="19" t="n"/>
      <c r="R4401" s="19" t="n"/>
      <c r="Y4401" s="19" t="n"/>
    </row>
    <row r="4402">
      <c r="C4402" s="18" t="n"/>
      <c r="J4402" s="19" t="n"/>
      <c r="P4402" s="20" t="n"/>
      <c r="Q4402" s="19" t="n"/>
      <c r="R4402" s="19" t="n"/>
      <c r="Y4402" s="19" t="n"/>
    </row>
    <row r="4403">
      <c r="C4403" s="18" t="n"/>
      <c r="J4403" s="19" t="n"/>
      <c r="P4403" s="20" t="n"/>
      <c r="Q4403" s="19" t="n"/>
      <c r="R4403" s="19" t="n"/>
      <c r="Y4403" s="19" t="n"/>
    </row>
    <row r="4404">
      <c r="C4404" s="18" t="n"/>
      <c r="J4404" s="19" t="n"/>
      <c r="P4404" s="20" t="n"/>
      <c r="Q4404" s="19" t="n"/>
      <c r="R4404" s="19" t="n"/>
      <c r="Y4404" s="19" t="n"/>
    </row>
    <row r="4405">
      <c r="C4405" s="18" t="n"/>
      <c r="J4405" s="19" t="n"/>
      <c r="P4405" s="20" t="n"/>
      <c r="Q4405" s="19" t="n"/>
      <c r="R4405" s="19" t="n"/>
      <c r="Y4405" s="19" t="n"/>
    </row>
    <row r="4406">
      <c r="C4406" s="18" t="n"/>
      <c r="J4406" s="19" t="n"/>
      <c r="P4406" s="20" t="n"/>
      <c r="Q4406" s="19" t="n"/>
      <c r="R4406" s="19" t="n"/>
      <c r="Y4406" s="19" t="n"/>
    </row>
    <row r="4407">
      <c r="C4407" s="18" t="n"/>
      <c r="J4407" s="19" t="n"/>
      <c r="P4407" s="20" t="n"/>
      <c r="Q4407" s="19" t="n"/>
      <c r="R4407" s="19" t="n"/>
      <c r="Y4407" s="19" t="n"/>
    </row>
    <row r="4408">
      <c r="C4408" s="18" t="n"/>
      <c r="J4408" s="19" t="n"/>
      <c r="P4408" s="20" t="n"/>
      <c r="Q4408" s="19" t="n"/>
      <c r="R4408" s="19" t="n"/>
      <c r="Y4408" s="19" t="n"/>
    </row>
    <row r="4409">
      <c r="C4409" s="18" t="n"/>
      <c r="J4409" s="19" t="n"/>
      <c r="P4409" s="20" t="n"/>
      <c r="Q4409" s="19" t="n"/>
      <c r="R4409" s="19" t="n"/>
      <c r="Y4409" s="19" t="n"/>
    </row>
    <row r="4410">
      <c r="C4410" s="18" t="n"/>
      <c r="J4410" s="19" t="n"/>
      <c r="P4410" s="20" t="n"/>
      <c r="Q4410" s="19" t="n"/>
      <c r="R4410" s="19" t="n"/>
      <c r="Y4410" s="19" t="n"/>
    </row>
    <row r="4411">
      <c r="C4411" s="18" t="n"/>
      <c r="J4411" s="19" t="n"/>
      <c r="P4411" s="20" t="n"/>
      <c r="Q4411" s="19" t="n"/>
      <c r="R4411" s="19" t="n"/>
      <c r="Y4411" s="19" t="n"/>
    </row>
    <row r="4412">
      <c r="C4412" s="18" t="n"/>
      <c r="J4412" s="19" t="n"/>
      <c r="P4412" s="20" t="n"/>
      <c r="Q4412" s="19" t="n"/>
      <c r="R4412" s="19" t="n"/>
      <c r="Y4412" s="19" t="n"/>
    </row>
    <row r="4413">
      <c r="C4413" s="18" t="n"/>
      <c r="J4413" s="19" t="n"/>
      <c r="P4413" s="20" t="n"/>
      <c r="Q4413" s="19" t="n"/>
      <c r="R4413" s="19" t="n"/>
      <c r="Y4413" s="19" t="n"/>
    </row>
    <row r="4414">
      <c r="C4414" s="18" t="n"/>
      <c r="J4414" s="19" t="n"/>
      <c r="P4414" s="20" t="n"/>
      <c r="Q4414" s="19" t="n"/>
      <c r="R4414" s="19" t="n"/>
      <c r="Y4414" s="19" t="n"/>
    </row>
    <row r="4415">
      <c r="C4415" s="18" t="n"/>
      <c r="J4415" s="19" t="n"/>
      <c r="P4415" s="20" t="n"/>
      <c r="Q4415" s="19" t="n"/>
      <c r="R4415" s="19" t="n"/>
      <c r="Y4415" s="19" t="n"/>
    </row>
    <row r="4416">
      <c r="C4416" s="18" t="n"/>
      <c r="J4416" s="19" t="n"/>
      <c r="P4416" s="20" t="n"/>
      <c r="Q4416" s="19" t="n"/>
      <c r="R4416" s="19" t="n"/>
      <c r="Y4416" s="19" t="n"/>
    </row>
    <row r="4417">
      <c r="C4417" s="18" t="n"/>
      <c r="J4417" s="19" t="n"/>
      <c r="P4417" s="20" t="n"/>
      <c r="Q4417" s="19" t="n"/>
      <c r="R4417" s="19" t="n"/>
      <c r="Y4417" s="19" t="n"/>
    </row>
    <row r="4418">
      <c r="C4418" s="18" t="n"/>
      <c r="J4418" s="19" t="n"/>
      <c r="P4418" s="20" t="n"/>
      <c r="Q4418" s="19" t="n"/>
      <c r="R4418" s="19" t="n"/>
      <c r="Y4418" s="19" t="n"/>
    </row>
    <row r="4419">
      <c r="C4419" s="18" t="n"/>
      <c r="J4419" s="19" t="n"/>
      <c r="P4419" s="20" t="n"/>
      <c r="Q4419" s="19" t="n"/>
      <c r="R4419" s="19" t="n"/>
      <c r="Y4419" s="19" t="n"/>
    </row>
    <row r="4420">
      <c r="C4420" s="18" t="n"/>
      <c r="J4420" s="19" t="n"/>
      <c r="P4420" s="20" t="n"/>
      <c r="Q4420" s="19" t="n"/>
      <c r="R4420" s="19" t="n"/>
      <c r="Y4420" s="19" t="n"/>
    </row>
    <row r="4421">
      <c r="C4421" s="18" t="n"/>
      <c r="J4421" s="19" t="n"/>
      <c r="P4421" s="20" t="n"/>
      <c r="Q4421" s="19" t="n"/>
      <c r="R4421" s="19" t="n"/>
      <c r="Y4421" s="19" t="n"/>
    </row>
    <row r="4422">
      <c r="C4422" s="18" t="n"/>
      <c r="J4422" s="19" t="n"/>
      <c r="P4422" s="20" t="n"/>
      <c r="Q4422" s="19" t="n"/>
      <c r="R4422" s="19" t="n"/>
      <c r="Y4422" s="19" t="n"/>
    </row>
    <row r="4423">
      <c r="C4423" s="18" t="n"/>
      <c r="J4423" s="19" t="n"/>
      <c r="P4423" s="20" t="n"/>
      <c r="Q4423" s="19" t="n"/>
      <c r="R4423" s="19" t="n"/>
      <c r="Y4423" s="19" t="n"/>
    </row>
    <row r="4424">
      <c r="C4424" s="18" t="n"/>
      <c r="J4424" s="19" t="n"/>
      <c r="P4424" s="20" t="n"/>
      <c r="Q4424" s="19" t="n"/>
      <c r="R4424" s="19" t="n"/>
      <c r="Y4424" s="19" t="n"/>
    </row>
    <row r="4425">
      <c r="C4425" s="18" t="n"/>
      <c r="J4425" s="19" t="n"/>
      <c r="P4425" s="20" t="n"/>
      <c r="Q4425" s="19" t="n"/>
      <c r="R4425" s="19" t="n"/>
      <c r="Y4425" s="19" t="n"/>
    </row>
    <row r="4426">
      <c r="C4426" s="18" t="n"/>
      <c r="J4426" s="19" t="n"/>
      <c r="P4426" s="20" t="n"/>
      <c r="Q4426" s="19" t="n"/>
      <c r="R4426" s="19" t="n"/>
      <c r="Y4426" s="19" t="n"/>
    </row>
    <row r="4427">
      <c r="C4427" s="18" t="n"/>
      <c r="J4427" s="19" t="n"/>
      <c r="P4427" s="20" t="n"/>
      <c r="Q4427" s="19" t="n"/>
      <c r="R4427" s="19" t="n"/>
      <c r="Y4427" s="19" t="n"/>
    </row>
    <row r="4428">
      <c r="C4428" s="18" t="n"/>
      <c r="J4428" s="19" t="n"/>
      <c r="P4428" s="20" t="n"/>
      <c r="Q4428" s="19" t="n"/>
      <c r="R4428" s="19" t="n"/>
      <c r="Y4428" s="19" t="n"/>
    </row>
    <row r="4429">
      <c r="C4429" s="18" t="n"/>
      <c r="J4429" s="19" t="n"/>
      <c r="P4429" s="20" t="n"/>
      <c r="Q4429" s="19" t="n"/>
      <c r="R4429" s="19" t="n"/>
      <c r="Y4429" s="19" t="n"/>
    </row>
    <row r="4430">
      <c r="C4430" s="18" t="n"/>
      <c r="J4430" s="19" t="n"/>
      <c r="P4430" s="20" t="n"/>
      <c r="Q4430" s="19" t="n"/>
      <c r="R4430" s="19" t="n"/>
      <c r="Y4430" s="19" t="n"/>
    </row>
    <row r="4431">
      <c r="C4431" s="18" t="n"/>
      <c r="J4431" s="19" t="n"/>
      <c r="P4431" s="20" t="n"/>
      <c r="Q4431" s="19" t="n"/>
      <c r="R4431" s="19" t="n"/>
      <c r="Y4431" s="19" t="n"/>
    </row>
    <row r="4432">
      <c r="C4432" s="18" t="n"/>
      <c r="J4432" s="19" t="n"/>
      <c r="P4432" s="20" t="n"/>
      <c r="Q4432" s="19" t="n"/>
      <c r="R4432" s="19" t="n"/>
      <c r="Y4432" s="19" t="n"/>
    </row>
    <row r="4433">
      <c r="C4433" s="18" t="n"/>
      <c r="J4433" s="19" t="n"/>
      <c r="P4433" s="20" t="n"/>
      <c r="Q4433" s="19" t="n"/>
      <c r="R4433" s="19" t="n"/>
      <c r="Y4433" s="19" t="n"/>
    </row>
    <row r="4434">
      <c r="C4434" s="18" t="n"/>
      <c r="J4434" s="19" t="n"/>
      <c r="P4434" s="20" t="n"/>
      <c r="Q4434" s="19" t="n"/>
      <c r="R4434" s="19" t="n"/>
      <c r="Y4434" s="19" t="n"/>
    </row>
    <row r="4435">
      <c r="C4435" s="18" t="n"/>
      <c r="J4435" s="19" t="n"/>
      <c r="P4435" s="20" t="n"/>
      <c r="Q4435" s="19" t="n"/>
      <c r="R4435" s="19" t="n"/>
      <c r="Y4435" s="19" t="n"/>
    </row>
    <row r="4436">
      <c r="C4436" s="18" t="n"/>
      <c r="J4436" s="19" t="n"/>
      <c r="P4436" s="20" t="n"/>
      <c r="Q4436" s="19" t="n"/>
      <c r="R4436" s="19" t="n"/>
      <c r="Y4436" s="19" t="n"/>
    </row>
    <row r="4437">
      <c r="C4437" s="18" t="n"/>
      <c r="J4437" s="19" t="n"/>
      <c r="P4437" s="20" t="n"/>
      <c r="Q4437" s="19" t="n"/>
      <c r="R4437" s="19" t="n"/>
      <c r="Y4437" s="19" t="n"/>
    </row>
    <row r="4438">
      <c r="C4438" s="18" t="n"/>
      <c r="J4438" s="19" t="n"/>
      <c r="P4438" s="20" t="n"/>
      <c r="Q4438" s="19" t="n"/>
      <c r="R4438" s="19" t="n"/>
      <c r="Y4438" s="19" t="n"/>
    </row>
    <row r="4439">
      <c r="C4439" s="18" t="n"/>
      <c r="J4439" s="19" t="n"/>
      <c r="P4439" s="20" t="n"/>
      <c r="Q4439" s="19" t="n"/>
      <c r="R4439" s="19" t="n"/>
      <c r="Y4439" s="19" t="n"/>
    </row>
    <row r="4440">
      <c r="C4440" s="18" t="n"/>
      <c r="J4440" s="19" t="n"/>
      <c r="P4440" s="20" t="n"/>
      <c r="Q4440" s="19" t="n"/>
      <c r="R4440" s="19" t="n"/>
      <c r="Y4440" s="19" t="n"/>
    </row>
    <row r="4441">
      <c r="C4441" s="18" t="n"/>
      <c r="J4441" s="19" t="n"/>
      <c r="P4441" s="20" t="n"/>
      <c r="Q4441" s="19" t="n"/>
      <c r="R4441" s="19" t="n"/>
      <c r="Y4441" s="19" t="n"/>
    </row>
    <row r="4442">
      <c r="C4442" s="18" t="n"/>
      <c r="J4442" s="19" t="n"/>
      <c r="P4442" s="20" t="n"/>
      <c r="Q4442" s="19" t="n"/>
      <c r="R4442" s="19" t="n"/>
      <c r="Y4442" s="19" t="n"/>
    </row>
    <row r="4443">
      <c r="C4443" s="18" t="n"/>
      <c r="J4443" s="19" t="n"/>
      <c r="P4443" s="20" t="n"/>
      <c r="Q4443" s="19" t="n"/>
      <c r="R4443" s="19" t="n"/>
      <c r="Y4443" s="19" t="n"/>
    </row>
    <row r="4444">
      <c r="C4444" s="18" t="n"/>
      <c r="J4444" s="19" t="n"/>
      <c r="P4444" s="20" t="n"/>
      <c r="Q4444" s="19" t="n"/>
      <c r="R4444" s="19" t="n"/>
      <c r="Y4444" s="19" t="n"/>
    </row>
    <row r="4445">
      <c r="C4445" s="18" t="n"/>
      <c r="J4445" s="19" t="n"/>
      <c r="P4445" s="20" t="n"/>
      <c r="Q4445" s="19" t="n"/>
      <c r="R4445" s="19" t="n"/>
      <c r="Y4445" s="19" t="n"/>
    </row>
    <row r="4446">
      <c r="C4446" s="18" t="n"/>
      <c r="J4446" s="19" t="n"/>
      <c r="P4446" s="20" t="n"/>
      <c r="Q4446" s="19" t="n"/>
      <c r="R4446" s="19" t="n"/>
      <c r="Y4446" s="19" t="n"/>
    </row>
    <row r="4447">
      <c r="C4447" s="18" t="n"/>
      <c r="J4447" s="19" t="n"/>
      <c r="P4447" s="20" t="n"/>
      <c r="Q4447" s="19" t="n"/>
      <c r="R4447" s="19" t="n"/>
      <c r="Y4447" s="19" t="n"/>
    </row>
    <row r="4448">
      <c r="C4448" s="18" t="n"/>
      <c r="J4448" s="19" t="n"/>
      <c r="P4448" s="20" t="n"/>
      <c r="Q4448" s="19" t="n"/>
      <c r="R4448" s="19" t="n"/>
      <c r="Y4448" s="19" t="n"/>
    </row>
    <row r="4449">
      <c r="C4449" s="18" t="n"/>
      <c r="J4449" s="19" t="n"/>
      <c r="P4449" s="20" t="n"/>
      <c r="Q4449" s="19" t="n"/>
      <c r="R4449" s="19" t="n"/>
      <c r="Y4449" s="19" t="n"/>
    </row>
    <row r="4450">
      <c r="C4450" s="18" t="n"/>
      <c r="J4450" s="19" t="n"/>
      <c r="P4450" s="20" t="n"/>
      <c r="Q4450" s="19" t="n"/>
      <c r="R4450" s="19" t="n"/>
      <c r="Y4450" s="19" t="n"/>
    </row>
    <row r="4451">
      <c r="C4451" s="18" t="n"/>
      <c r="J4451" s="19" t="n"/>
      <c r="P4451" s="20" t="n"/>
      <c r="Q4451" s="19" t="n"/>
      <c r="R4451" s="19" t="n"/>
      <c r="Y4451" s="19" t="n"/>
    </row>
    <row r="4452">
      <c r="C4452" s="18" t="n"/>
      <c r="J4452" s="19" t="n"/>
      <c r="P4452" s="20" t="n"/>
      <c r="Q4452" s="19" t="n"/>
      <c r="R4452" s="19" t="n"/>
      <c r="Y4452" s="19" t="n"/>
    </row>
    <row r="4453">
      <c r="C4453" s="18" t="n"/>
      <c r="J4453" s="19" t="n"/>
      <c r="P4453" s="20" t="n"/>
      <c r="Q4453" s="19" t="n"/>
      <c r="R4453" s="19" t="n"/>
      <c r="Y4453" s="19" t="n"/>
    </row>
    <row r="4454">
      <c r="C4454" s="18" t="n"/>
      <c r="J4454" s="19" t="n"/>
      <c r="P4454" s="20" t="n"/>
      <c r="Q4454" s="19" t="n"/>
      <c r="R4454" s="19" t="n"/>
      <c r="Y4454" s="19" t="n"/>
    </row>
    <row r="4455">
      <c r="C4455" s="18" t="n"/>
      <c r="J4455" s="19" t="n"/>
      <c r="P4455" s="20" t="n"/>
      <c r="Q4455" s="19" t="n"/>
      <c r="R4455" s="19" t="n"/>
      <c r="Y4455" s="19" t="n"/>
    </row>
    <row r="4456">
      <c r="C4456" s="18" t="n"/>
      <c r="J4456" s="19" t="n"/>
      <c r="P4456" s="20" t="n"/>
      <c r="Q4456" s="19" t="n"/>
      <c r="R4456" s="19" t="n"/>
      <c r="Y4456" s="19" t="n"/>
    </row>
    <row r="4457">
      <c r="C4457" s="18" t="n"/>
      <c r="J4457" s="19" t="n"/>
      <c r="P4457" s="20" t="n"/>
      <c r="Q4457" s="19" t="n"/>
      <c r="R4457" s="19" t="n"/>
      <c r="Y4457" s="19" t="n"/>
    </row>
    <row r="4458">
      <c r="C4458" s="18" t="n"/>
      <c r="J4458" s="19" t="n"/>
      <c r="P4458" s="20" t="n"/>
      <c r="Q4458" s="19" t="n"/>
      <c r="R4458" s="19" t="n"/>
      <c r="Y4458" s="19" t="n"/>
    </row>
    <row r="4459">
      <c r="C4459" s="18" t="n"/>
      <c r="J4459" s="19" t="n"/>
      <c r="P4459" s="20" t="n"/>
      <c r="Q4459" s="19" t="n"/>
      <c r="R4459" s="19" t="n"/>
      <c r="Y4459" s="19" t="n"/>
    </row>
    <row r="4460">
      <c r="C4460" s="18" t="n"/>
      <c r="J4460" s="19" t="n"/>
      <c r="P4460" s="20" t="n"/>
      <c r="Q4460" s="19" t="n"/>
      <c r="R4460" s="19" t="n"/>
      <c r="Y4460" s="19" t="n"/>
    </row>
    <row r="4461">
      <c r="C4461" s="18" t="n"/>
      <c r="J4461" s="19" t="n"/>
      <c r="P4461" s="20" t="n"/>
      <c r="Q4461" s="19" t="n"/>
      <c r="R4461" s="19" t="n"/>
      <c r="Y4461" s="19" t="n"/>
    </row>
    <row r="4462">
      <c r="C4462" s="18" t="n"/>
      <c r="J4462" s="19" t="n"/>
      <c r="P4462" s="20" t="n"/>
      <c r="Q4462" s="19" t="n"/>
      <c r="R4462" s="19" t="n"/>
      <c r="Y4462" s="19" t="n"/>
    </row>
    <row r="4463">
      <c r="C4463" s="18" t="n"/>
      <c r="J4463" s="19" t="n"/>
      <c r="P4463" s="20" t="n"/>
      <c r="Q4463" s="19" t="n"/>
      <c r="R4463" s="19" t="n"/>
      <c r="Y4463" s="19" t="n"/>
    </row>
    <row r="4464">
      <c r="C4464" s="18" t="n"/>
      <c r="J4464" s="19" t="n"/>
      <c r="P4464" s="20" t="n"/>
      <c r="Q4464" s="19" t="n"/>
      <c r="R4464" s="19" t="n"/>
      <c r="Y4464" s="19" t="n"/>
    </row>
    <row r="4465">
      <c r="C4465" s="18" t="n"/>
      <c r="J4465" s="19" t="n"/>
      <c r="P4465" s="20" t="n"/>
      <c r="Q4465" s="19" t="n"/>
      <c r="R4465" s="19" t="n"/>
      <c r="Y4465" s="19" t="n"/>
    </row>
    <row r="4466">
      <c r="C4466" s="18" t="n"/>
      <c r="J4466" s="19" t="n"/>
      <c r="P4466" s="20" t="n"/>
      <c r="Q4466" s="19" t="n"/>
      <c r="R4466" s="19" t="n"/>
      <c r="Y4466" s="19" t="n"/>
    </row>
    <row r="4467">
      <c r="C4467" s="18" t="n"/>
      <c r="J4467" s="19" t="n"/>
      <c r="P4467" s="20" t="n"/>
      <c r="Q4467" s="19" t="n"/>
      <c r="R4467" s="19" t="n"/>
      <c r="Y4467" s="19" t="n"/>
    </row>
    <row r="4468">
      <c r="C4468" s="18" t="n"/>
      <c r="J4468" s="19" t="n"/>
      <c r="P4468" s="20" t="n"/>
      <c r="Q4468" s="19" t="n"/>
      <c r="R4468" s="19" t="n"/>
      <c r="Y4468" s="19" t="n"/>
    </row>
    <row r="4469">
      <c r="C4469" s="18" t="n"/>
      <c r="J4469" s="19" t="n"/>
      <c r="P4469" s="20" t="n"/>
      <c r="Q4469" s="19" t="n"/>
      <c r="R4469" s="19" t="n"/>
      <c r="Y4469" s="19" t="n"/>
    </row>
    <row r="4470">
      <c r="C4470" s="18" t="n"/>
      <c r="J4470" s="19" t="n"/>
      <c r="P4470" s="20" t="n"/>
      <c r="Q4470" s="19" t="n"/>
      <c r="R4470" s="19" t="n"/>
      <c r="Y4470" s="19" t="n"/>
    </row>
    <row r="4471">
      <c r="C4471" s="18" t="n"/>
      <c r="J4471" s="19" t="n"/>
      <c r="P4471" s="20" t="n"/>
      <c r="Q4471" s="19" t="n"/>
      <c r="R4471" s="19" t="n"/>
      <c r="Y4471" s="19" t="n"/>
    </row>
    <row r="4472">
      <c r="C4472" s="18" t="n"/>
      <c r="J4472" s="19" t="n"/>
      <c r="P4472" s="20" t="n"/>
      <c r="Q4472" s="19" t="n"/>
      <c r="R4472" s="19" t="n"/>
      <c r="Y4472" s="19" t="n"/>
    </row>
    <row r="4473">
      <c r="C4473" s="18" t="n"/>
      <c r="J4473" s="19" t="n"/>
      <c r="P4473" s="20" t="n"/>
      <c r="Q4473" s="19" t="n"/>
      <c r="R4473" s="19" t="n"/>
      <c r="Y4473" s="19" t="n"/>
    </row>
    <row r="4474">
      <c r="C4474" s="18" t="n"/>
      <c r="J4474" s="19" t="n"/>
      <c r="P4474" s="20" t="n"/>
      <c r="Q4474" s="19" t="n"/>
      <c r="R4474" s="19" t="n"/>
      <c r="Y4474" s="19" t="n"/>
    </row>
    <row r="4475">
      <c r="C4475" s="18" t="n"/>
      <c r="J4475" s="19" t="n"/>
      <c r="P4475" s="20" t="n"/>
      <c r="Q4475" s="19" t="n"/>
      <c r="R4475" s="19" t="n"/>
      <c r="Y4475" s="19" t="n"/>
    </row>
    <row r="4476">
      <c r="C4476" s="18" t="n"/>
      <c r="J4476" s="19" t="n"/>
      <c r="P4476" s="20" t="n"/>
      <c r="Q4476" s="19" t="n"/>
      <c r="R4476" s="19" t="n"/>
      <c r="Y4476" s="19" t="n"/>
    </row>
    <row r="4477">
      <c r="C4477" s="18" t="n"/>
      <c r="J4477" s="19" t="n"/>
      <c r="P4477" s="20" t="n"/>
      <c r="Q4477" s="19" t="n"/>
      <c r="R4477" s="19" t="n"/>
      <c r="Y4477" s="19" t="n"/>
    </row>
    <row r="4478">
      <c r="C4478" s="18" t="n"/>
      <c r="J4478" s="19" t="n"/>
      <c r="P4478" s="20" t="n"/>
      <c r="Q4478" s="19" t="n"/>
      <c r="R4478" s="19" t="n"/>
      <c r="Y4478" s="19" t="n"/>
    </row>
    <row r="4479">
      <c r="C4479" s="18" t="n"/>
      <c r="J4479" s="19" t="n"/>
      <c r="P4479" s="20" t="n"/>
      <c r="Q4479" s="19" t="n"/>
      <c r="R4479" s="19" t="n"/>
      <c r="Y4479" s="19" t="n"/>
    </row>
    <row r="4480">
      <c r="C4480" s="18" t="n"/>
      <c r="J4480" s="19" t="n"/>
      <c r="P4480" s="20" t="n"/>
      <c r="Q4480" s="19" t="n"/>
      <c r="R4480" s="19" t="n"/>
      <c r="Y4480" s="19" t="n"/>
    </row>
    <row r="4481">
      <c r="C4481" s="18" t="n"/>
      <c r="J4481" s="19" t="n"/>
      <c r="P4481" s="20" t="n"/>
      <c r="Q4481" s="19" t="n"/>
      <c r="R4481" s="19" t="n"/>
      <c r="Y4481" s="19" t="n"/>
    </row>
    <row r="4482">
      <c r="C4482" s="18" t="n"/>
      <c r="J4482" s="19" t="n"/>
      <c r="P4482" s="20" t="n"/>
      <c r="Q4482" s="19" t="n"/>
      <c r="R4482" s="19" t="n"/>
      <c r="Y4482" s="19" t="n"/>
    </row>
    <row r="4483">
      <c r="C4483" s="18" t="n"/>
      <c r="J4483" s="19" t="n"/>
      <c r="P4483" s="20" t="n"/>
      <c r="Q4483" s="19" t="n"/>
      <c r="R4483" s="19" t="n"/>
      <c r="Y4483" s="19" t="n"/>
    </row>
    <row r="4484">
      <c r="C4484" s="18" t="n"/>
      <c r="J4484" s="19" t="n"/>
      <c r="P4484" s="20" t="n"/>
      <c r="Q4484" s="19" t="n"/>
      <c r="R4484" s="19" t="n"/>
      <c r="Y4484" s="19" t="n"/>
    </row>
    <row r="4485">
      <c r="C4485" s="18" t="n"/>
      <c r="J4485" s="19" t="n"/>
      <c r="P4485" s="20" t="n"/>
      <c r="Q4485" s="19" t="n"/>
      <c r="R4485" s="19" t="n"/>
      <c r="Y4485" s="19" t="n"/>
    </row>
    <row r="4486">
      <c r="C4486" s="18" t="n"/>
      <c r="J4486" s="19" t="n"/>
      <c r="P4486" s="20" t="n"/>
      <c r="Q4486" s="19" t="n"/>
      <c r="R4486" s="19" t="n"/>
      <c r="Y4486" s="19" t="n"/>
    </row>
    <row r="4487">
      <c r="C4487" s="18" t="n"/>
      <c r="J4487" s="19" t="n"/>
      <c r="P4487" s="20" t="n"/>
      <c r="Q4487" s="19" t="n"/>
      <c r="R4487" s="19" t="n"/>
      <c r="Y4487" s="19" t="n"/>
    </row>
    <row r="4488">
      <c r="C4488" s="18" t="n"/>
      <c r="J4488" s="19" t="n"/>
      <c r="P4488" s="20" t="n"/>
      <c r="Q4488" s="19" t="n"/>
      <c r="R4488" s="19" t="n"/>
      <c r="Y4488" s="19" t="n"/>
    </row>
    <row r="4489">
      <c r="C4489" s="18" t="n"/>
      <c r="J4489" s="19" t="n"/>
      <c r="P4489" s="20" t="n"/>
      <c r="Q4489" s="19" t="n"/>
      <c r="R4489" s="19" t="n"/>
      <c r="Y4489" s="19" t="n"/>
    </row>
    <row r="4490">
      <c r="C4490" s="18" t="n"/>
      <c r="J4490" s="19" t="n"/>
      <c r="P4490" s="20" t="n"/>
      <c r="Q4490" s="19" t="n"/>
      <c r="R4490" s="19" t="n"/>
      <c r="Y4490" s="19" t="n"/>
    </row>
    <row r="4491">
      <c r="C4491" s="18" t="n"/>
      <c r="J4491" s="19" t="n"/>
      <c r="P4491" s="20" t="n"/>
      <c r="Q4491" s="19" t="n"/>
      <c r="R4491" s="19" t="n"/>
      <c r="Y4491" s="19" t="n"/>
    </row>
    <row r="4492">
      <c r="C4492" s="18" t="n"/>
      <c r="J4492" s="19" t="n"/>
      <c r="P4492" s="20" t="n"/>
      <c r="Q4492" s="19" t="n"/>
      <c r="R4492" s="19" t="n"/>
      <c r="Y4492" s="19" t="n"/>
    </row>
    <row r="4493">
      <c r="C4493" s="18" t="n"/>
      <c r="J4493" s="19" t="n"/>
      <c r="P4493" s="20" t="n"/>
      <c r="Q4493" s="19" t="n"/>
      <c r="R4493" s="19" t="n"/>
      <c r="Y4493" s="19" t="n"/>
    </row>
    <row r="4494">
      <c r="C4494" s="18" t="n"/>
      <c r="J4494" s="19" t="n"/>
      <c r="P4494" s="20" t="n"/>
      <c r="Q4494" s="19" t="n"/>
      <c r="R4494" s="19" t="n"/>
      <c r="Y4494" s="19" t="n"/>
    </row>
    <row r="4495">
      <c r="C4495" s="18" t="n"/>
      <c r="J4495" s="19" t="n"/>
      <c r="P4495" s="20" t="n"/>
      <c r="Q4495" s="19" t="n"/>
      <c r="R4495" s="19" t="n"/>
      <c r="Y4495" s="19" t="n"/>
    </row>
    <row r="4496">
      <c r="C4496" s="18" t="n"/>
      <c r="J4496" s="19" t="n"/>
      <c r="P4496" s="20" t="n"/>
      <c r="Q4496" s="19" t="n"/>
      <c r="R4496" s="19" t="n"/>
      <c r="Y4496" s="19" t="n"/>
    </row>
    <row r="4497">
      <c r="C4497" s="18" t="n"/>
      <c r="J4497" s="19" t="n"/>
      <c r="P4497" s="20" t="n"/>
      <c r="Q4497" s="19" t="n"/>
      <c r="R4497" s="19" t="n"/>
      <c r="Y4497" s="19" t="n"/>
    </row>
    <row r="4498">
      <c r="C4498" s="18" t="n"/>
      <c r="J4498" s="19" t="n"/>
      <c r="P4498" s="20" t="n"/>
      <c r="Q4498" s="19" t="n"/>
      <c r="R4498" s="19" t="n"/>
      <c r="Y4498" s="19" t="n"/>
    </row>
    <row r="4499">
      <c r="C4499" s="18" t="n"/>
      <c r="J4499" s="19" t="n"/>
      <c r="P4499" s="20" t="n"/>
      <c r="Q4499" s="19" t="n"/>
      <c r="R4499" s="19" t="n"/>
      <c r="Y4499" s="19" t="n"/>
    </row>
    <row r="4500">
      <c r="C4500" s="18" t="n"/>
      <c r="J4500" s="19" t="n"/>
      <c r="P4500" s="20" t="n"/>
      <c r="Q4500" s="19" t="n"/>
      <c r="R4500" s="19" t="n"/>
      <c r="Y4500" s="19" t="n"/>
    </row>
    <row r="4501">
      <c r="C4501" s="18" t="n"/>
      <c r="J4501" s="19" t="n"/>
      <c r="P4501" s="20" t="n"/>
      <c r="Q4501" s="19" t="n"/>
      <c r="R4501" s="19" t="n"/>
      <c r="Y4501" s="19" t="n"/>
    </row>
    <row r="4502">
      <c r="C4502" s="18" t="n"/>
      <c r="J4502" s="19" t="n"/>
      <c r="P4502" s="20" t="n"/>
      <c r="Q4502" s="19" t="n"/>
      <c r="R4502" s="19" t="n"/>
      <c r="Y4502" s="19" t="n"/>
    </row>
    <row r="4503">
      <c r="C4503" s="18" t="n"/>
      <c r="J4503" s="19" t="n"/>
      <c r="P4503" s="20" t="n"/>
      <c r="Q4503" s="19" t="n"/>
      <c r="R4503" s="19" t="n"/>
      <c r="Y4503" s="19" t="n"/>
    </row>
    <row r="4504">
      <c r="C4504" s="18" t="n"/>
      <c r="J4504" s="19" t="n"/>
      <c r="P4504" s="20" t="n"/>
      <c r="Q4504" s="19" t="n"/>
      <c r="R4504" s="19" t="n"/>
      <c r="Y4504" s="19" t="n"/>
    </row>
    <row r="4505">
      <c r="C4505" s="18" t="n"/>
      <c r="J4505" s="19" t="n"/>
      <c r="P4505" s="20" t="n"/>
      <c r="Q4505" s="19" t="n"/>
      <c r="R4505" s="19" t="n"/>
      <c r="Y4505" s="19" t="n"/>
    </row>
    <row r="4506">
      <c r="C4506" s="18" t="n"/>
      <c r="J4506" s="19" t="n"/>
      <c r="P4506" s="20" t="n"/>
      <c r="Q4506" s="19" t="n"/>
      <c r="R4506" s="19" t="n"/>
      <c r="Y4506" s="19" t="n"/>
    </row>
    <row r="4507">
      <c r="C4507" s="18" t="n"/>
      <c r="J4507" s="19" t="n"/>
      <c r="P4507" s="20" t="n"/>
      <c r="Q4507" s="19" t="n"/>
      <c r="R4507" s="19" t="n"/>
      <c r="Y4507" s="19" t="n"/>
    </row>
    <row r="4508">
      <c r="C4508" s="18" t="n"/>
      <c r="J4508" s="19" t="n"/>
      <c r="P4508" s="20" t="n"/>
      <c r="Q4508" s="19" t="n"/>
      <c r="R4508" s="19" t="n"/>
      <c r="Y4508" s="19" t="n"/>
    </row>
    <row r="4509">
      <c r="C4509" s="18" t="n"/>
      <c r="J4509" s="19" t="n"/>
      <c r="P4509" s="20" t="n"/>
      <c r="Q4509" s="19" t="n"/>
      <c r="R4509" s="19" t="n"/>
      <c r="Y4509" s="19" t="n"/>
    </row>
    <row r="4510">
      <c r="C4510" s="18" t="n"/>
      <c r="J4510" s="19" t="n"/>
      <c r="P4510" s="20" t="n"/>
      <c r="Q4510" s="19" t="n"/>
      <c r="R4510" s="19" t="n"/>
      <c r="Y4510" s="19" t="n"/>
    </row>
    <row r="4511">
      <c r="C4511" s="18" t="n"/>
      <c r="J4511" s="19" t="n"/>
      <c r="P4511" s="20" t="n"/>
      <c r="Q4511" s="19" t="n"/>
      <c r="R4511" s="19" t="n"/>
      <c r="Y4511" s="19" t="n"/>
    </row>
    <row r="4512">
      <c r="C4512" s="18" t="n"/>
      <c r="J4512" s="19" t="n"/>
      <c r="P4512" s="20" t="n"/>
      <c r="Q4512" s="19" t="n"/>
      <c r="R4512" s="19" t="n"/>
      <c r="Y4512" s="19" t="n"/>
    </row>
    <row r="4513">
      <c r="C4513" s="18" t="n"/>
      <c r="J4513" s="19" t="n"/>
      <c r="P4513" s="20" t="n"/>
      <c r="Q4513" s="19" t="n"/>
      <c r="R4513" s="19" t="n"/>
      <c r="Y4513" s="19" t="n"/>
    </row>
    <row r="4514">
      <c r="C4514" s="18" t="n"/>
      <c r="J4514" s="19" t="n"/>
      <c r="P4514" s="20" t="n"/>
      <c r="Q4514" s="19" t="n"/>
      <c r="R4514" s="19" t="n"/>
      <c r="Y4514" s="19" t="n"/>
    </row>
    <row r="4515">
      <c r="C4515" s="18" t="n"/>
      <c r="J4515" s="19" t="n"/>
      <c r="P4515" s="20" t="n"/>
      <c r="Q4515" s="19" t="n"/>
      <c r="R4515" s="19" t="n"/>
      <c r="Y4515" s="19" t="n"/>
    </row>
    <row r="4516">
      <c r="C4516" s="18" t="n"/>
      <c r="J4516" s="19" t="n"/>
      <c r="P4516" s="20" t="n"/>
      <c r="Q4516" s="19" t="n"/>
      <c r="R4516" s="19" t="n"/>
      <c r="Y4516" s="19" t="n"/>
    </row>
    <row r="4517">
      <c r="C4517" s="18" t="n"/>
      <c r="J4517" s="19" t="n"/>
      <c r="P4517" s="20" t="n"/>
      <c r="Q4517" s="19" t="n"/>
      <c r="R4517" s="19" t="n"/>
      <c r="Y4517" s="19" t="n"/>
    </row>
    <row r="4518">
      <c r="C4518" s="18" t="n"/>
      <c r="J4518" s="19" t="n"/>
      <c r="P4518" s="20" t="n"/>
      <c r="Q4518" s="19" t="n"/>
      <c r="R4518" s="19" t="n"/>
      <c r="Y4518" s="19" t="n"/>
    </row>
    <row r="4519">
      <c r="C4519" s="18" t="n"/>
      <c r="J4519" s="19" t="n"/>
      <c r="P4519" s="20" t="n"/>
      <c r="Q4519" s="19" t="n"/>
      <c r="R4519" s="19" t="n"/>
      <c r="Y4519" s="19" t="n"/>
    </row>
    <row r="4520">
      <c r="C4520" s="18" t="n"/>
      <c r="J4520" s="19" t="n"/>
      <c r="P4520" s="20" t="n"/>
      <c r="Q4520" s="19" t="n"/>
      <c r="R4520" s="19" t="n"/>
      <c r="Y4520" s="19" t="n"/>
    </row>
    <row r="4521">
      <c r="C4521" s="18" t="n"/>
      <c r="J4521" s="19" t="n"/>
      <c r="P4521" s="20" t="n"/>
      <c r="Q4521" s="19" t="n"/>
      <c r="R4521" s="19" t="n"/>
      <c r="Y4521" s="19" t="n"/>
    </row>
    <row r="4522">
      <c r="C4522" s="18" t="n"/>
      <c r="J4522" s="19" t="n"/>
      <c r="P4522" s="20" t="n"/>
      <c r="Q4522" s="19" t="n"/>
      <c r="R4522" s="19" t="n"/>
      <c r="Y4522" s="19" t="n"/>
    </row>
    <row r="4523">
      <c r="C4523" s="18" t="n"/>
      <c r="J4523" s="19" t="n"/>
      <c r="P4523" s="20" t="n"/>
      <c r="Q4523" s="19" t="n"/>
      <c r="R4523" s="19" t="n"/>
      <c r="Y4523" s="19" t="n"/>
    </row>
    <row r="4524">
      <c r="C4524" s="18" t="n"/>
      <c r="J4524" s="19" t="n"/>
      <c r="P4524" s="20" t="n"/>
      <c r="Q4524" s="19" t="n"/>
      <c r="R4524" s="19" t="n"/>
      <c r="Y4524" s="19" t="n"/>
    </row>
    <row r="4525">
      <c r="C4525" s="18" t="n"/>
      <c r="J4525" s="19" t="n"/>
      <c r="P4525" s="20" t="n"/>
      <c r="Q4525" s="19" t="n"/>
      <c r="R4525" s="19" t="n"/>
      <c r="Y4525" s="19" t="n"/>
    </row>
    <row r="4526">
      <c r="C4526" s="18" t="n"/>
      <c r="J4526" s="19" t="n"/>
      <c r="P4526" s="20" t="n"/>
      <c r="Q4526" s="19" t="n"/>
      <c r="R4526" s="19" t="n"/>
      <c r="Y4526" s="19" t="n"/>
    </row>
    <row r="4527">
      <c r="C4527" s="18" t="n"/>
      <c r="J4527" s="19" t="n"/>
      <c r="P4527" s="20" t="n"/>
      <c r="Q4527" s="19" t="n"/>
      <c r="R4527" s="19" t="n"/>
      <c r="Y4527" s="19" t="n"/>
    </row>
    <row r="4528">
      <c r="C4528" s="18" t="n"/>
      <c r="J4528" s="19" t="n"/>
      <c r="P4528" s="20" t="n"/>
      <c r="Q4528" s="19" t="n"/>
      <c r="R4528" s="19" t="n"/>
      <c r="Y4528" s="19" t="n"/>
    </row>
    <row r="4529">
      <c r="C4529" s="18" t="n"/>
      <c r="J4529" s="19" t="n"/>
      <c r="P4529" s="20" t="n"/>
      <c r="Q4529" s="19" t="n"/>
      <c r="R4529" s="19" t="n"/>
      <c r="Y4529" s="19" t="n"/>
    </row>
    <row r="4530">
      <c r="C4530" s="18" t="n"/>
      <c r="J4530" s="19" t="n"/>
      <c r="P4530" s="20" t="n"/>
      <c r="Q4530" s="19" t="n"/>
      <c r="R4530" s="19" t="n"/>
      <c r="Y4530" s="19" t="n"/>
    </row>
    <row r="4531">
      <c r="C4531" s="18" t="n"/>
      <c r="J4531" s="19" t="n"/>
      <c r="P4531" s="20" t="n"/>
      <c r="Q4531" s="19" t="n"/>
      <c r="R4531" s="19" t="n"/>
      <c r="Y4531" s="19" t="n"/>
    </row>
    <row r="4532">
      <c r="C4532" s="18" t="n"/>
      <c r="J4532" s="19" t="n"/>
      <c r="P4532" s="20" t="n"/>
      <c r="Q4532" s="19" t="n"/>
      <c r="R4532" s="19" t="n"/>
      <c r="Y4532" s="19" t="n"/>
    </row>
    <row r="4533">
      <c r="C4533" s="18" t="n"/>
      <c r="J4533" s="19" t="n"/>
      <c r="P4533" s="20" t="n"/>
      <c r="Q4533" s="19" t="n"/>
      <c r="R4533" s="19" t="n"/>
      <c r="Y4533" s="19" t="n"/>
    </row>
    <row r="4534">
      <c r="C4534" s="18" t="n"/>
      <c r="J4534" s="19" t="n"/>
      <c r="P4534" s="20" t="n"/>
      <c r="Q4534" s="19" t="n"/>
      <c r="R4534" s="19" t="n"/>
      <c r="Y4534" s="19" t="n"/>
    </row>
    <row r="4535">
      <c r="C4535" s="18" t="n"/>
      <c r="J4535" s="19" t="n"/>
      <c r="P4535" s="20" t="n"/>
      <c r="Q4535" s="19" t="n"/>
      <c r="R4535" s="19" t="n"/>
      <c r="Y4535" s="19" t="n"/>
    </row>
    <row r="4536">
      <c r="C4536" s="18" t="n"/>
      <c r="J4536" s="19" t="n"/>
      <c r="P4536" s="20" t="n"/>
      <c r="Q4536" s="19" t="n"/>
      <c r="R4536" s="19" t="n"/>
      <c r="Y4536" s="19" t="n"/>
    </row>
    <row r="4537">
      <c r="C4537" s="18" t="n"/>
      <c r="J4537" s="19" t="n"/>
      <c r="P4537" s="20" t="n"/>
      <c r="Q4537" s="19" t="n"/>
      <c r="R4537" s="19" t="n"/>
      <c r="Y4537" s="19" t="n"/>
    </row>
    <row r="4538">
      <c r="C4538" s="18" t="n"/>
      <c r="J4538" s="19" t="n"/>
      <c r="P4538" s="20" t="n"/>
      <c r="Q4538" s="19" t="n"/>
      <c r="R4538" s="19" t="n"/>
      <c r="Y4538" s="19" t="n"/>
    </row>
    <row r="4539">
      <c r="C4539" s="18" t="n"/>
      <c r="J4539" s="19" t="n"/>
      <c r="P4539" s="20" t="n"/>
      <c r="Q4539" s="19" t="n"/>
      <c r="R4539" s="19" t="n"/>
      <c r="Y4539" s="19" t="n"/>
    </row>
    <row r="4540">
      <c r="C4540" s="18" t="n"/>
      <c r="J4540" s="19" t="n"/>
      <c r="P4540" s="20" t="n"/>
      <c r="Q4540" s="19" t="n"/>
      <c r="R4540" s="19" t="n"/>
      <c r="Y4540" s="19" t="n"/>
    </row>
    <row r="4541">
      <c r="C4541" s="18" t="n"/>
      <c r="J4541" s="19" t="n"/>
      <c r="P4541" s="20" t="n"/>
      <c r="Q4541" s="19" t="n"/>
      <c r="R4541" s="19" t="n"/>
      <c r="Y4541" s="19" t="n"/>
    </row>
    <row r="4542">
      <c r="C4542" s="18" t="n"/>
      <c r="J4542" s="19" t="n"/>
      <c r="P4542" s="20" t="n"/>
      <c r="Q4542" s="19" t="n"/>
      <c r="R4542" s="19" t="n"/>
      <c r="Y4542" s="19" t="n"/>
    </row>
    <row r="4543">
      <c r="C4543" s="18" t="n"/>
      <c r="J4543" s="19" t="n"/>
      <c r="P4543" s="20" t="n"/>
      <c r="Q4543" s="19" t="n"/>
      <c r="R4543" s="19" t="n"/>
      <c r="Y4543" s="19" t="n"/>
    </row>
    <row r="4544">
      <c r="C4544" s="18" t="n"/>
      <c r="J4544" s="19" t="n"/>
      <c r="P4544" s="20" t="n"/>
      <c r="Q4544" s="19" t="n"/>
      <c r="R4544" s="19" t="n"/>
      <c r="Y4544" s="19" t="n"/>
    </row>
    <row r="4545">
      <c r="C4545" s="18" t="n"/>
      <c r="J4545" s="19" t="n"/>
      <c r="P4545" s="20" t="n"/>
      <c r="Q4545" s="19" t="n"/>
      <c r="R4545" s="19" t="n"/>
      <c r="Y4545" s="19" t="n"/>
    </row>
    <row r="4546">
      <c r="C4546" s="18" t="n"/>
      <c r="J4546" s="19" t="n"/>
      <c r="P4546" s="20" t="n"/>
      <c r="Q4546" s="19" t="n"/>
      <c r="R4546" s="19" t="n"/>
      <c r="Y4546" s="19" t="n"/>
    </row>
    <row r="4547">
      <c r="C4547" s="18" t="n"/>
      <c r="J4547" s="19" t="n"/>
      <c r="P4547" s="20" t="n"/>
      <c r="Q4547" s="19" t="n"/>
      <c r="R4547" s="19" t="n"/>
      <c r="Y4547" s="19" t="n"/>
    </row>
    <row r="4548">
      <c r="C4548" s="18" t="n"/>
      <c r="J4548" s="19" t="n"/>
      <c r="P4548" s="20" t="n"/>
      <c r="Q4548" s="19" t="n"/>
      <c r="R4548" s="19" t="n"/>
      <c r="Y4548" s="19" t="n"/>
    </row>
    <row r="4549">
      <c r="C4549" s="18" t="n"/>
      <c r="J4549" s="19" t="n"/>
      <c r="P4549" s="20" t="n"/>
      <c r="Q4549" s="19" t="n"/>
      <c r="R4549" s="19" t="n"/>
      <c r="Y4549" s="19" t="n"/>
    </row>
    <row r="4550">
      <c r="C4550" s="18" t="n"/>
      <c r="J4550" s="19" t="n"/>
      <c r="P4550" s="20" t="n"/>
      <c r="Q4550" s="19" t="n"/>
      <c r="R4550" s="19" t="n"/>
      <c r="Y4550" s="19" t="n"/>
    </row>
    <row r="4551">
      <c r="C4551" s="18" t="n"/>
      <c r="J4551" s="19" t="n"/>
      <c r="P4551" s="20" t="n"/>
      <c r="Q4551" s="19" t="n"/>
      <c r="R4551" s="19" t="n"/>
      <c r="Y4551" s="19" t="n"/>
    </row>
    <row r="4552">
      <c r="C4552" s="18" t="n"/>
      <c r="J4552" s="19" t="n"/>
      <c r="P4552" s="20" t="n"/>
      <c r="Q4552" s="19" t="n"/>
      <c r="R4552" s="19" t="n"/>
      <c r="Y4552" s="19" t="n"/>
    </row>
    <row r="4553">
      <c r="C4553" s="18" t="n"/>
      <c r="J4553" s="19" t="n"/>
      <c r="P4553" s="20" t="n"/>
      <c r="Q4553" s="19" t="n"/>
      <c r="R4553" s="19" t="n"/>
      <c r="Y4553" s="19" t="n"/>
    </row>
    <row r="4554">
      <c r="C4554" s="18" t="n"/>
      <c r="J4554" s="19" t="n"/>
      <c r="P4554" s="20" t="n"/>
      <c r="Q4554" s="19" t="n"/>
      <c r="R4554" s="19" t="n"/>
      <c r="Y4554" s="19" t="n"/>
    </row>
    <row r="4555">
      <c r="C4555" s="18" t="n"/>
      <c r="J4555" s="19" t="n"/>
      <c r="P4555" s="20" t="n"/>
      <c r="Q4555" s="19" t="n"/>
      <c r="R4555" s="19" t="n"/>
      <c r="Y4555" s="19" t="n"/>
    </row>
    <row r="4556">
      <c r="C4556" s="18" t="n"/>
      <c r="J4556" s="19" t="n"/>
      <c r="P4556" s="20" t="n"/>
      <c r="Q4556" s="19" t="n"/>
      <c r="R4556" s="19" t="n"/>
      <c r="Y4556" s="19" t="n"/>
    </row>
    <row r="4557">
      <c r="C4557" s="18" t="n"/>
      <c r="J4557" s="19" t="n"/>
      <c r="P4557" s="20" t="n"/>
      <c r="Q4557" s="19" t="n"/>
      <c r="R4557" s="19" t="n"/>
      <c r="Y4557" s="19" t="n"/>
    </row>
    <row r="4558">
      <c r="C4558" s="18" t="n"/>
      <c r="J4558" s="19" t="n"/>
      <c r="P4558" s="20" t="n"/>
      <c r="Q4558" s="19" t="n"/>
      <c r="R4558" s="19" t="n"/>
      <c r="Y4558" s="19" t="n"/>
    </row>
    <row r="4559">
      <c r="C4559" s="18" t="n"/>
      <c r="J4559" s="19" t="n"/>
      <c r="P4559" s="20" t="n"/>
      <c r="Q4559" s="19" t="n"/>
      <c r="R4559" s="19" t="n"/>
      <c r="Y4559" s="19" t="n"/>
    </row>
    <row r="4560">
      <c r="C4560" s="18" t="n"/>
      <c r="J4560" s="19" t="n"/>
      <c r="P4560" s="20" t="n"/>
      <c r="Q4560" s="19" t="n"/>
      <c r="R4560" s="19" t="n"/>
      <c r="Y4560" s="19" t="n"/>
    </row>
    <row r="4561">
      <c r="C4561" s="18" t="n"/>
      <c r="J4561" s="19" t="n"/>
      <c r="P4561" s="20" t="n"/>
      <c r="Q4561" s="19" t="n"/>
      <c r="R4561" s="19" t="n"/>
      <c r="Y4561" s="19" t="n"/>
    </row>
    <row r="4562">
      <c r="C4562" s="18" t="n"/>
      <c r="J4562" s="19" t="n"/>
      <c r="P4562" s="20" t="n"/>
      <c r="Q4562" s="19" t="n"/>
      <c r="R4562" s="19" t="n"/>
      <c r="Y4562" s="19" t="n"/>
    </row>
    <row r="4563">
      <c r="C4563" s="18" t="n"/>
      <c r="J4563" s="19" t="n"/>
      <c r="P4563" s="20" t="n"/>
      <c r="Q4563" s="19" t="n"/>
      <c r="R4563" s="19" t="n"/>
      <c r="Y4563" s="19" t="n"/>
    </row>
    <row r="4564">
      <c r="C4564" s="18" t="n"/>
      <c r="J4564" s="19" t="n"/>
      <c r="P4564" s="20" t="n"/>
      <c r="Q4564" s="19" t="n"/>
      <c r="R4564" s="19" t="n"/>
      <c r="Y4564" s="19" t="n"/>
    </row>
    <row r="4565">
      <c r="C4565" s="18" t="n"/>
      <c r="J4565" s="19" t="n"/>
      <c r="P4565" s="20" t="n"/>
      <c r="Q4565" s="19" t="n"/>
      <c r="R4565" s="19" t="n"/>
      <c r="Y4565" s="19" t="n"/>
    </row>
    <row r="4566">
      <c r="C4566" s="18" t="n"/>
      <c r="J4566" s="19" t="n"/>
      <c r="P4566" s="20" t="n"/>
      <c r="Q4566" s="19" t="n"/>
      <c r="R4566" s="19" t="n"/>
      <c r="Y4566" s="19" t="n"/>
    </row>
    <row r="4567">
      <c r="C4567" s="18" t="n"/>
      <c r="J4567" s="19" t="n"/>
      <c r="P4567" s="20" t="n"/>
      <c r="Q4567" s="19" t="n"/>
      <c r="R4567" s="19" t="n"/>
      <c r="Y4567" s="19" t="n"/>
    </row>
    <row r="4568">
      <c r="C4568" s="18" t="n"/>
      <c r="J4568" s="19" t="n"/>
      <c r="P4568" s="20" t="n"/>
      <c r="Q4568" s="19" t="n"/>
      <c r="R4568" s="19" t="n"/>
      <c r="Y4568" s="19" t="n"/>
    </row>
    <row r="4569">
      <c r="C4569" s="18" t="n"/>
      <c r="J4569" s="19" t="n"/>
      <c r="P4569" s="20" t="n"/>
      <c r="Q4569" s="19" t="n"/>
      <c r="R4569" s="19" t="n"/>
      <c r="Y4569" s="19" t="n"/>
    </row>
    <row r="4570">
      <c r="C4570" s="18" t="n"/>
      <c r="J4570" s="19" t="n"/>
      <c r="P4570" s="20" t="n"/>
      <c r="Q4570" s="19" t="n"/>
      <c r="R4570" s="19" t="n"/>
      <c r="Y4570" s="19" t="n"/>
    </row>
    <row r="4571">
      <c r="C4571" s="18" t="n"/>
      <c r="J4571" s="19" t="n"/>
      <c r="P4571" s="20" t="n"/>
      <c r="Q4571" s="19" t="n"/>
      <c r="R4571" s="19" t="n"/>
      <c r="Y4571" s="19" t="n"/>
    </row>
    <row r="4572">
      <c r="C4572" s="18" t="n"/>
      <c r="J4572" s="19" t="n"/>
      <c r="P4572" s="20" t="n"/>
      <c r="Q4572" s="19" t="n"/>
      <c r="R4572" s="19" t="n"/>
      <c r="Y4572" s="19" t="n"/>
    </row>
    <row r="4573">
      <c r="C4573" s="18" t="n"/>
      <c r="J4573" s="19" t="n"/>
      <c r="P4573" s="20" t="n"/>
      <c r="Q4573" s="19" t="n"/>
      <c r="R4573" s="19" t="n"/>
      <c r="Y4573" s="19" t="n"/>
    </row>
    <row r="4574">
      <c r="C4574" s="18" t="n"/>
      <c r="J4574" s="19" t="n"/>
      <c r="P4574" s="20" t="n"/>
      <c r="Q4574" s="19" t="n"/>
      <c r="R4574" s="19" t="n"/>
      <c r="Y4574" s="19" t="n"/>
    </row>
    <row r="4575">
      <c r="C4575" s="18" t="n"/>
      <c r="J4575" s="19" t="n"/>
      <c r="P4575" s="20" t="n"/>
      <c r="Q4575" s="19" t="n"/>
      <c r="R4575" s="19" t="n"/>
      <c r="Y4575" s="19" t="n"/>
    </row>
    <row r="4576">
      <c r="C4576" s="18" t="n"/>
      <c r="J4576" s="19" t="n"/>
      <c r="P4576" s="20" t="n"/>
      <c r="Q4576" s="19" t="n"/>
      <c r="R4576" s="19" t="n"/>
      <c r="Y4576" s="19" t="n"/>
    </row>
    <row r="4577">
      <c r="C4577" s="18" t="n"/>
      <c r="J4577" s="19" t="n"/>
      <c r="P4577" s="20" t="n"/>
      <c r="Q4577" s="19" t="n"/>
      <c r="R4577" s="19" t="n"/>
      <c r="Y4577" s="19" t="n"/>
    </row>
    <row r="4578">
      <c r="C4578" s="18" t="n"/>
      <c r="J4578" s="19" t="n"/>
      <c r="P4578" s="20" t="n"/>
      <c r="Q4578" s="19" t="n"/>
      <c r="R4578" s="19" t="n"/>
      <c r="Y4578" s="19" t="n"/>
    </row>
    <row r="4579">
      <c r="C4579" s="18" t="n"/>
      <c r="J4579" s="19" t="n"/>
      <c r="P4579" s="20" t="n"/>
      <c r="Q4579" s="19" t="n"/>
      <c r="R4579" s="19" t="n"/>
      <c r="Y4579" s="19" t="n"/>
    </row>
    <row r="4580">
      <c r="C4580" s="18" t="n"/>
      <c r="J4580" s="19" t="n"/>
      <c r="P4580" s="20" t="n"/>
      <c r="Q4580" s="19" t="n"/>
      <c r="R4580" s="19" t="n"/>
      <c r="Y4580" s="19" t="n"/>
    </row>
    <row r="4581">
      <c r="C4581" s="18" t="n"/>
      <c r="J4581" s="19" t="n"/>
      <c r="P4581" s="20" t="n"/>
      <c r="Q4581" s="19" t="n"/>
      <c r="R4581" s="19" t="n"/>
      <c r="Y4581" s="19" t="n"/>
    </row>
    <row r="4582">
      <c r="C4582" s="18" t="n"/>
      <c r="J4582" s="19" t="n"/>
      <c r="P4582" s="20" t="n"/>
      <c r="Q4582" s="19" t="n"/>
      <c r="R4582" s="19" t="n"/>
      <c r="Y4582" s="19" t="n"/>
    </row>
    <row r="4583">
      <c r="C4583" s="18" t="n"/>
      <c r="J4583" s="19" t="n"/>
      <c r="P4583" s="20" t="n"/>
      <c r="Q4583" s="19" t="n"/>
      <c r="R4583" s="19" t="n"/>
      <c r="Y4583" s="19" t="n"/>
    </row>
    <row r="4584">
      <c r="C4584" s="18" t="n"/>
      <c r="J4584" s="19" t="n"/>
      <c r="P4584" s="20" t="n"/>
      <c r="Q4584" s="19" t="n"/>
      <c r="R4584" s="19" t="n"/>
      <c r="Y4584" s="19" t="n"/>
    </row>
    <row r="4585">
      <c r="C4585" s="18" t="n"/>
      <c r="J4585" s="19" t="n"/>
      <c r="P4585" s="20" t="n"/>
      <c r="Q4585" s="19" t="n"/>
      <c r="R4585" s="19" t="n"/>
      <c r="Y4585" s="19" t="n"/>
    </row>
    <row r="4586">
      <c r="C4586" s="18" t="n"/>
      <c r="J4586" s="19" t="n"/>
      <c r="P4586" s="20" t="n"/>
      <c r="Q4586" s="19" t="n"/>
      <c r="R4586" s="19" t="n"/>
      <c r="Y4586" s="19" t="n"/>
    </row>
    <row r="4587">
      <c r="C4587" s="18" t="n"/>
      <c r="J4587" s="19" t="n"/>
      <c r="P4587" s="20" t="n"/>
      <c r="Q4587" s="19" t="n"/>
      <c r="R4587" s="19" t="n"/>
      <c r="Y4587" s="19" t="n"/>
    </row>
    <row r="4588">
      <c r="C4588" s="18" t="n"/>
      <c r="J4588" s="19" t="n"/>
      <c r="P4588" s="20" t="n"/>
      <c r="Q4588" s="19" t="n"/>
      <c r="R4588" s="19" t="n"/>
      <c r="Y4588" s="19" t="n"/>
    </row>
    <row r="4589">
      <c r="C4589" s="18" t="n"/>
      <c r="J4589" s="19" t="n"/>
      <c r="P4589" s="20" t="n"/>
      <c r="Q4589" s="19" t="n"/>
      <c r="R4589" s="19" t="n"/>
      <c r="Y4589" s="19" t="n"/>
    </row>
    <row r="4590">
      <c r="C4590" s="18" t="n"/>
      <c r="J4590" s="19" t="n"/>
      <c r="P4590" s="20" t="n"/>
      <c r="Q4590" s="19" t="n"/>
      <c r="R4590" s="19" t="n"/>
      <c r="Y4590" s="19" t="n"/>
    </row>
    <row r="4591">
      <c r="C4591" s="18" t="n"/>
      <c r="J4591" s="19" t="n"/>
      <c r="P4591" s="20" t="n"/>
      <c r="Q4591" s="19" t="n"/>
      <c r="R4591" s="19" t="n"/>
      <c r="Y4591" s="19" t="n"/>
    </row>
    <row r="4592">
      <c r="C4592" s="18" t="n"/>
      <c r="J4592" s="19" t="n"/>
      <c r="P4592" s="20" t="n"/>
      <c r="Q4592" s="19" t="n"/>
      <c r="R4592" s="19" t="n"/>
      <c r="Y4592" s="19" t="n"/>
    </row>
    <row r="4593">
      <c r="C4593" s="18" t="n"/>
      <c r="J4593" s="19" t="n"/>
      <c r="P4593" s="20" t="n"/>
      <c r="Q4593" s="19" t="n"/>
      <c r="R4593" s="19" t="n"/>
      <c r="Y4593" s="19" t="n"/>
    </row>
    <row r="4594">
      <c r="C4594" s="18" t="n"/>
      <c r="J4594" s="19" t="n"/>
      <c r="P4594" s="20" t="n"/>
      <c r="Q4594" s="19" t="n"/>
      <c r="R4594" s="19" t="n"/>
      <c r="Y4594" s="19" t="n"/>
    </row>
    <row r="4595">
      <c r="C4595" s="18" t="n"/>
      <c r="J4595" s="19" t="n"/>
      <c r="P4595" s="20" t="n"/>
      <c r="Q4595" s="19" t="n"/>
      <c r="R4595" s="19" t="n"/>
      <c r="Y4595" s="19" t="n"/>
    </row>
    <row r="4596">
      <c r="C4596" s="18" t="n"/>
      <c r="J4596" s="19" t="n"/>
      <c r="P4596" s="20" t="n"/>
      <c r="Q4596" s="19" t="n"/>
      <c r="R4596" s="19" t="n"/>
      <c r="Y4596" s="19" t="n"/>
    </row>
    <row r="4597">
      <c r="C4597" s="18" t="n"/>
      <c r="J4597" s="19" t="n"/>
      <c r="P4597" s="20" t="n"/>
      <c r="Q4597" s="19" t="n"/>
      <c r="R4597" s="19" t="n"/>
      <c r="Y4597" s="19" t="n"/>
    </row>
    <row r="4598">
      <c r="C4598" s="18" t="n"/>
      <c r="J4598" s="19" t="n"/>
      <c r="P4598" s="20" t="n"/>
      <c r="Q4598" s="19" t="n"/>
      <c r="R4598" s="19" t="n"/>
      <c r="Y4598" s="19" t="n"/>
    </row>
    <row r="4599">
      <c r="C4599" s="18" t="n"/>
      <c r="J4599" s="19" t="n"/>
      <c r="P4599" s="20" t="n"/>
      <c r="Q4599" s="19" t="n"/>
      <c r="R4599" s="19" t="n"/>
      <c r="Y4599" s="19" t="n"/>
    </row>
    <row r="4600">
      <c r="C4600" s="18" t="n"/>
      <c r="J4600" s="19" t="n"/>
      <c r="P4600" s="20" t="n"/>
      <c r="Q4600" s="19" t="n"/>
      <c r="R4600" s="19" t="n"/>
      <c r="Y4600" s="19" t="n"/>
    </row>
    <row r="4601">
      <c r="C4601" s="18" t="n"/>
      <c r="J4601" s="19" t="n"/>
      <c r="P4601" s="20" t="n"/>
      <c r="Q4601" s="19" t="n"/>
      <c r="R4601" s="19" t="n"/>
      <c r="Y4601" s="19" t="n"/>
    </row>
    <row r="4602">
      <c r="C4602" s="18" t="n"/>
      <c r="J4602" s="19" t="n"/>
      <c r="P4602" s="20" t="n"/>
      <c r="Q4602" s="19" t="n"/>
      <c r="R4602" s="19" t="n"/>
      <c r="Y4602" s="19" t="n"/>
    </row>
    <row r="4603">
      <c r="C4603" s="18" t="n"/>
      <c r="J4603" s="19" t="n"/>
      <c r="P4603" s="20" t="n"/>
      <c r="Q4603" s="19" t="n"/>
      <c r="R4603" s="19" t="n"/>
      <c r="Y4603" s="19" t="n"/>
    </row>
    <row r="4604">
      <c r="C4604" s="18" t="n"/>
      <c r="J4604" s="19" t="n"/>
      <c r="P4604" s="20" t="n"/>
      <c r="Q4604" s="19" t="n"/>
      <c r="R4604" s="19" t="n"/>
      <c r="Y4604" s="19" t="n"/>
    </row>
    <row r="4605">
      <c r="C4605" s="18" t="n"/>
      <c r="J4605" s="19" t="n"/>
      <c r="P4605" s="20" t="n"/>
      <c r="Q4605" s="19" t="n"/>
      <c r="R4605" s="19" t="n"/>
      <c r="Y4605" s="19" t="n"/>
    </row>
    <row r="4606">
      <c r="C4606" s="18" t="n"/>
      <c r="J4606" s="19" t="n"/>
      <c r="P4606" s="20" t="n"/>
      <c r="Q4606" s="19" t="n"/>
      <c r="R4606" s="19" t="n"/>
      <c r="Y4606" s="19" t="n"/>
    </row>
    <row r="4607">
      <c r="C4607" s="18" t="n"/>
      <c r="J4607" s="19" t="n"/>
      <c r="P4607" s="20" t="n"/>
      <c r="Q4607" s="19" t="n"/>
      <c r="R4607" s="19" t="n"/>
      <c r="Y4607" s="19" t="n"/>
    </row>
    <row r="4608">
      <c r="C4608" s="18" t="n"/>
      <c r="J4608" s="19" t="n"/>
      <c r="P4608" s="20" t="n"/>
      <c r="Q4608" s="19" t="n"/>
      <c r="R4608" s="19" t="n"/>
      <c r="Y4608" s="19" t="n"/>
    </row>
    <row r="4609">
      <c r="C4609" s="18" t="n"/>
      <c r="J4609" s="19" t="n"/>
      <c r="P4609" s="20" t="n"/>
      <c r="Q4609" s="19" t="n"/>
      <c r="R4609" s="19" t="n"/>
      <c r="Y4609" s="19" t="n"/>
    </row>
    <row r="4610">
      <c r="C4610" s="18" t="n"/>
      <c r="J4610" s="19" t="n"/>
      <c r="P4610" s="20" t="n"/>
      <c r="Q4610" s="19" t="n"/>
      <c r="R4610" s="19" t="n"/>
      <c r="Y4610" s="19" t="n"/>
    </row>
    <row r="4611">
      <c r="C4611" s="18" t="n"/>
      <c r="J4611" s="19" t="n"/>
      <c r="P4611" s="20" t="n"/>
      <c r="Q4611" s="19" t="n"/>
      <c r="R4611" s="19" t="n"/>
      <c r="Y4611" s="19" t="n"/>
    </row>
    <row r="4612">
      <c r="C4612" s="18" t="n"/>
      <c r="J4612" s="19" t="n"/>
      <c r="P4612" s="20" t="n"/>
      <c r="Q4612" s="19" t="n"/>
      <c r="R4612" s="19" t="n"/>
      <c r="Y4612" s="19" t="n"/>
    </row>
    <row r="4613">
      <c r="C4613" s="18" t="n"/>
      <c r="J4613" s="19" t="n"/>
      <c r="P4613" s="20" t="n"/>
      <c r="Q4613" s="19" t="n"/>
      <c r="R4613" s="19" t="n"/>
      <c r="Y4613" s="19" t="n"/>
    </row>
    <row r="4614">
      <c r="C4614" s="18" t="n"/>
      <c r="J4614" s="19" t="n"/>
      <c r="P4614" s="20" t="n"/>
      <c r="Q4614" s="19" t="n"/>
      <c r="R4614" s="19" t="n"/>
      <c r="Y4614" s="19" t="n"/>
    </row>
    <row r="4615">
      <c r="C4615" s="18" t="n"/>
      <c r="J4615" s="19" t="n"/>
      <c r="P4615" s="20" t="n"/>
      <c r="Q4615" s="19" t="n"/>
      <c r="R4615" s="19" t="n"/>
      <c r="Y4615" s="19" t="n"/>
    </row>
    <row r="4616">
      <c r="C4616" s="18" t="n"/>
      <c r="J4616" s="19" t="n"/>
      <c r="P4616" s="20" t="n"/>
      <c r="Q4616" s="19" t="n"/>
      <c r="R4616" s="19" t="n"/>
      <c r="Y4616" s="19" t="n"/>
    </row>
    <row r="4617">
      <c r="C4617" s="18" t="n"/>
      <c r="J4617" s="19" t="n"/>
      <c r="P4617" s="20" t="n"/>
      <c r="Q4617" s="19" t="n"/>
      <c r="R4617" s="19" t="n"/>
      <c r="Y4617" s="19" t="n"/>
    </row>
    <row r="4618">
      <c r="C4618" s="18" t="n"/>
      <c r="J4618" s="19" t="n"/>
      <c r="P4618" s="20" t="n"/>
      <c r="Q4618" s="19" t="n"/>
      <c r="R4618" s="19" t="n"/>
      <c r="Y4618" s="19" t="n"/>
    </row>
    <row r="4619">
      <c r="C4619" s="18" t="n"/>
      <c r="J4619" s="19" t="n"/>
      <c r="P4619" s="20" t="n"/>
      <c r="Q4619" s="19" t="n"/>
      <c r="R4619" s="19" t="n"/>
      <c r="Y4619" s="19" t="n"/>
    </row>
    <row r="4620">
      <c r="C4620" s="18" t="n"/>
      <c r="J4620" s="19" t="n"/>
      <c r="P4620" s="20" t="n"/>
      <c r="Q4620" s="19" t="n"/>
      <c r="R4620" s="19" t="n"/>
      <c r="Y4620" s="19" t="n"/>
    </row>
    <row r="4621">
      <c r="C4621" s="18" t="n"/>
      <c r="J4621" s="19" t="n"/>
      <c r="P4621" s="20" t="n"/>
      <c r="Q4621" s="19" t="n"/>
      <c r="R4621" s="19" t="n"/>
      <c r="Y4621" s="19" t="n"/>
    </row>
    <row r="4622">
      <c r="C4622" s="18" t="n"/>
      <c r="J4622" s="19" t="n"/>
      <c r="P4622" s="20" t="n"/>
      <c r="Q4622" s="19" t="n"/>
      <c r="R4622" s="19" t="n"/>
      <c r="Y4622" s="19" t="n"/>
    </row>
    <row r="4623">
      <c r="C4623" s="18" t="n"/>
      <c r="J4623" s="19" t="n"/>
      <c r="P4623" s="20" t="n"/>
      <c r="Q4623" s="19" t="n"/>
      <c r="R4623" s="19" t="n"/>
      <c r="Y4623" s="19" t="n"/>
    </row>
    <row r="4624">
      <c r="C4624" s="18" t="n"/>
      <c r="J4624" s="19" t="n"/>
      <c r="P4624" s="20" t="n"/>
      <c r="Q4624" s="19" t="n"/>
      <c r="R4624" s="19" t="n"/>
      <c r="Y4624" s="19" t="n"/>
    </row>
    <row r="4625">
      <c r="C4625" s="18" t="n"/>
      <c r="J4625" s="19" t="n"/>
      <c r="P4625" s="20" t="n"/>
      <c r="Q4625" s="19" t="n"/>
      <c r="R4625" s="19" t="n"/>
      <c r="Y4625" s="19" t="n"/>
    </row>
    <row r="4626">
      <c r="C4626" s="18" t="n"/>
      <c r="J4626" s="19" t="n"/>
      <c r="P4626" s="20" t="n"/>
      <c r="Q4626" s="19" t="n"/>
      <c r="R4626" s="19" t="n"/>
      <c r="Y4626" s="19" t="n"/>
    </row>
    <row r="4627">
      <c r="C4627" s="18" t="n"/>
      <c r="J4627" s="19" t="n"/>
      <c r="P4627" s="20" t="n"/>
      <c r="Q4627" s="19" t="n"/>
      <c r="R4627" s="19" t="n"/>
      <c r="Y4627" s="19" t="n"/>
    </row>
    <row r="4628">
      <c r="C4628" s="18" t="n"/>
      <c r="J4628" s="19" t="n"/>
      <c r="P4628" s="20" t="n"/>
      <c r="Q4628" s="19" t="n"/>
      <c r="R4628" s="19" t="n"/>
      <c r="Y4628" s="19" t="n"/>
    </row>
    <row r="4629">
      <c r="C4629" s="18" t="n"/>
      <c r="J4629" s="19" t="n"/>
      <c r="P4629" s="20" t="n"/>
      <c r="Q4629" s="19" t="n"/>
      <c r="R4629" s="19" t="n"/>
      <c r="Y4629" s="19" t="n"/>
    </row>
    <row r="4630">
      <c r="C4630" s="18" t="n"/>
      <c r="J4630" s="19" t="n"/>
      <c r="P4630" s="20" t="n"/>
      <c r="Q4630" s="19" t="n"/>
      <c r="R4630" s="19" t="n"/>
      <c r="Y4630" s="19" t="n"/>
    </row>
    <row r="4631">
      <c r="C4631" s="18" t="n"/>
      <c r="J4631" s="19" t="n"/>
      <c r="P4631" s="20" t="n"/>
      <c r="Q4631" s="19" t="n"/>
      <c r="R4631" s="19" t="n"/>
      <c r="Y4631" s="19" t="n"/>
    </row>
    <row r="4632">
      <c r="C4632" s="18" t="n"/>
      <c r="J4632" s="19" t="n"/>
      <c r="P4632" s="20" t="n"/>
      <c r="Q4632" s="19" t="n"/>
      <c r="R4632" s="19" t="n"/>
      <c r="Y4632" s="19" t="n"/>
    </row>
    <row r="4633">
      <c r="C4633" s="18" t="n"/>
      <c r="J4633" s="19" t="n"/>
      <c r="P4633" s="20" t="n"/>
      <c r="Q4633" s="19" t="n"/>
      <c r="R4633" s="19" t="n"/>
      <c r="Y4633" s="19" t="n"/>
    </row>
    <row r="4634">
      <c r="C4634" s="18" t="n"/>
      <c r="J4634" s="19" t="n"/>
      <c r="P4634" s="20" t="n"/>
      <c r="Q4634" s="19" t="n"/>
      <c r="R4634" s="19" t="n"/>
      <c r="Y4634" s="19" t="n"/>
    </row>
    <row r="4635">
      <c r="C4635" s="18" t="n"/>
      <c r="J4635" s="19" t="n"/>
      <c r="P4635" s="20" t="n"/>
      <c r="Q4635" s="19" t="n"/>
      <c r="R4635" s="19" t="n"/>
      <c r="Y4635" s="19" t="n"/>
    </row>
    <row r="4636">
      <c r="C4636" s="18" t="n"/>
      <c r="J4636" s="19" t="n"/>
      <c r="P4636" s="20" t="n"/>
      <c r="Q4636" s="19" t="n"/>
      <c r="R4636" s="19" t="n"/>
      <c r="Y4636" s="19" t="n"/>
    </row>
    <row r="4637">
      <c r="C4637" s="18" t="n"/>
      <c r="J4637" s="19" t="n"/>
      <c r="P4637" s="20" t="n"/>
      <c r="Q4637" s="19" t="n"/>
      <c r="R4637" s="19" t="n"/>
      <c r="Y4637" s="19" t="n"/>
    </row>
    <row r="4638">
      <c r="C4638" s="18" t="n"/>
      <c r="J4638" s="19" t="n"/>
      <c r="P4638" s="20" t="n"/>
      <c r="Q4638" s="19" t="n"/>
      <c r="R4638" s="19" t="n"/>
      <c r="Y4638" s="19" t="n"/>
    </row>
    <row r="4639">
      <c r="C4639" s="18" t="n"/>
      <c r="J4639" s="19" t="n"/>
      <c r="P4639" s="20" t="n"/>
      <c r="Q4639" s="19" t="n"/>
      <c r="R4639" s="19" t="n"/>
      <c r="Y4639" s="19" t="n"/>
    </row>
    <row r="4640">
      <c r="C4640" s="18" t="n"/>
      <c r="J4640" s="19" t="n"/>
      <c r="P4640" s="20" t="n"/>
      <c r="Q4640" s="19" t="n"/>
      <c r="R4640" s="19" t="n"/>
      <c r="Y4640" s="19" t="n"/>
    </row>
    <row r="4641">
      <c r="C4641" s="18" t="n"/>
      <c r="J4641" s="19" t="n"/>
      <c r="P4641" s="20" t="n"/>
      <c r="Q4641" s="19" t="n"/>
      <c r="R4641" s="19" t="n"/>
      <c r="Y4641" s="19" t="n"/>
    </row>
    <row r="4642">
      <c r="C4642" s="18" t="n"/>
      <c r="J4642" s="19" t="n"/>
      <c r="P4642" s="20" t="n"/>
      <c r="Q4642" s="19" t="n"/>
      <c r="R4642" s="19" t="n"/>
      <c r="Y4642" s="19" t="n"/>
    </row>
    <row r="4643">
      <c r="C4643" s="18" t="n"/>
      <c r="J4643" s="19" t="n"/>
      <c r="P4643" s="20" t="n"/>
      <c r="Q4643" s="19" t="n"/>
      <c r="R4643" s="19" t="n"/>
      <c r="Y4643" s="19" t="n"/>
    </row>
    <row r="4644">
      <c r="C4644" s="18" t="n"/>
      <c r="J4644" s="19" t="n"/>
      <c r="P4644" s="20" t="n"/>
      <c r="Q4644" s="19" t="n"/>
      <c r="R4644" s="19" t="n"/>
      <c r="Y4644" s="19" t="n"/>
    </row>
    <row r="4645">
      <c r="C4645" s="18" t="n"/>
      <c r="J4645" s="19" t="n"/>
      <c r="P4645" s="20" t="n"/>
      <c r="Q4645" s="19" t="n"/>
      <c r="R4645" s="19" t="n"/>
      <c r="Y4645" s="19" t="n"/>
    </row>
    <row r="4646">
      <c r="C4646" s="18" t="n"/>
      <c r="J4646" s="19" t="n"/>
      <c r="P4646" s="20" t="n"/>
      <c r="Q4646" s="19" t="n"/>
      <c r="R4646" s="19" t="n"/>
      <c r="Y4646" s="19" t="n"/>
    </row>
    <row r="4647">
      <c r="C4647" s="18" t="n"/>
      <c r="J4647" s="19" t="n"/>
      <c r="P4647" s="20" t="n"/>
      <c r="Q4647" s="19" t="n"/>
      <c r="R4647" s="19" t="n"/>
      <c r="Y4647" s="19" t="n"/>
    </row>
    <row r="4648">
      <c r="C4648" s="18" t="n"/>
      <c r="J4648" s="19" t="n"/>
      <c r="P4648" s="20" t="n"/>
      <c r="Q4648" s="19" t="n"/>
      <c r="R4648" s="19" t="n"/>
      <c r="Y4648" s="19" t="n"/>
    </row>
    <row r="4649">
      <c r="C4649" s="18" t="n"/>
      <c r="J4649" s="19" t="n"/>
      <c r="P4649" s="20" t="n"/>
      <c r="Q4649" s="19" t="n"/>
      <c r="R4649" s="19" t="n"/>
      <c r="Y4649" s="19" t="n"/>
    </row>
    <row r="4650">
      <c r="C4650" s="18" t="n"/>
      <c r="J4650" s="19" t="n"/>
      <c r="P4650" s="20" t="n"/>
      <c r="Q4650" s="19" t="n"/>
      <c r="R4650" s="19" t="n"/>
      <c r="Y4650" s="19" t="n"/>
    </row>
    <row r="4651">
      <c r="C4651" s="18" t="n"/>
      <c r="J4651" s="19" t="n"/>
      <c r="P4651" s="20" t="n"/>
      <c r="Q4651" s="19" t="n"/>
      <c r="R4651" s="19" t="n"/>
      <c r="Y4651" s="19" t="n"/>
    </row>
    <row r="4652">
      <c r="C4652" s="18" t="n"/>
      <c r="J4652" s="19" t="n"/>
      <c r="P4652" s="20" t="n"/>
      <c r="Q4652" s="19" t="n"/>
      <c r="R4652" s="19" t="n"/>
      <c r="Y4652" s="19" t="n"/>
    </row>
    <row r="4653">
      <c r="C4653" s="18" t="n"/>
      <c r="J4653" s="19" t="n"/>
      <c r="P4653" s="20" t="n"/>
      <c r="Q4653" s="19" t="n"/>
      <c r="R4653" s="19" t="n"/>
      <c r="Y4653" s="19" t="n"/>
    </row>
    <row r="4654">
      <c r="C4654" s="18" t="n"/>
      <c r="J4654" s="19" t="n"/>
      <c r="P4654" s="20" t="n"/>
      <c r="Q4654" s="19" t="n"/>
      <c r="R4654" s="19" t="n"/>
      <c r="Y4654" s="19" t="n"/>
    </row>
    <row r="4655">
      <c r="C4655" s="18" t="n"/>
      <c r="J4655" s="19" t="n"/>
      <c r="P4655" s="20" t="n"/>
      <c r="Q4655" s="19" t="n"/>
      <c r="R4655" s="19" t="n"/>
      <c r="Y4655" s="19" t="n"/>
    </row>
    <row r="4656">
      <c r="C4656" s="18" t="n"/>
      <c r="J4656" s="19" t="n"/>
      <c r="P4656" s="20" t="n"/>
      <c r="Q4656" s="19" t="n"/>
      <c r="R4656" s="19" t="n"/>
      <c r="Y4656" s="19" t="n"/>
    </row>
    <row r="4657">
      <c r="C4657" s="18" t="n"/>
      <c r="J4657" s="19" t="n"/>
      <c r="P4657" s="20" t="n"/>
      <c r="Q4657" s="19" t="n"/>
      <c r="R4657" s="19" t="n"/>
      <c r="Y4657" s="19" t="n"/>
    </row>
    <row r="4658">
      <c r="C4658" s="18" t="n"/>
      <c r="J4658" s="19" t="n"/>
      <c r="P4658" s="20" t="n"/>
      <c r="Q4658" s="19" t="n"/>
      <c r="R4658" s="19" t="n"/>
      <c r="Y4658" s="19" t="n"/>
    </row>
    <row r="4659">
      <c r="C4659" s="18" t="n"/>
      <c r="J4659" s="19" t="n"/>
      <c r="P4659" s="20" t="n"/>
      <c r="Q4659" s="19" t="n"/>
      <c r="R4659" s="19" t="n"/>
      <c r="Y4659" s="19" t="n"/>
    </row>
    <row r="4660">
      <c r="C4660" s="18" t="n"/>
      <c r="J4660" s="19" t="n"/>
      <c r="P4660" s="20" t="n"/>
      <c r="Q4660" s="19" t="n"/>
      <c r="R4660" s="19" t="n"/>
      <c r="Y4660" s="19" t="n"/>
    </row>
    <row r="4661">
      <c r="C4661" s="18" t="n"/>
      <c r="J4661" s="19" t="n"/>
      <c r="P4661" s="20" t="n"/>
      <c r="Q4661" s="19" t="n"/>
      <c r="R4661" s="19" t="n"/>
      <c r="Y4661" s="19" t="n"/>
    </row>
    <row r="4662">
      <c r="C4662" s="18" t="n"/>
      <c r="J4662" s="19" t="n"/>
      <c r="P4662" s="20" t="n"/>
      <c r="Q4662" s="19" t="n"/>
      <c r="R4662" s="19" t="n"/>
      <c r="Y4662" s="19" t="n"/>
    </row>
    <row r="4663">
      <c r="C4663" s="18" t="n"/>
      <c r="J4663" s="19" t="n"/>
      <c r="P4663" s="20" t="n"/>
      <c r="Q4663" s="19" t="n"/>
      <c r="R4663" s="19" t="n"/>
      <c r="Y4663" s="19" t="n"/>
    </row>
    <row r="4664">
      <c r="C4664" s="18" t="n"/>
      <c r="J4664" s="19" t="n"/>
      <c r="P4664" s="20" t="n"/>
      <c r="Q4664" s="19" t="n"/>
      <c r="R4664" s="19" t="n"/>
      <c r="Y4664" s="19" t="n"/>
    </row>
    <row r="4665">
      <c r="C4665" s="18" t="n"/>
      <c r="J4665" s="19" t="n"/>
      <c r="P4665" s="20" t="n"/>
      <c r="Q4665" s="19" t="n"/>
      <c r="R4665" s="19" t="n"/>
      <c r="Y4665" s="19" t="n"/>
    </row>
    <row r="4666">
      <c r="C4666" s="18" t="n"/>
      <c r="J4666" s="19" t="n"/>
      <c r="P4666" s="20" t="n"/>
      <c r="Q4666" s="19" t="n"/>
      <c r="R4666" s="19" t="n"/>
      <c r="Y4666" s="19" t="n"/>
    </row>
    <row r="4667">
      <c r="C4667" s="18" t="n"/>
      <c r="J4667" s="19" t="n"/>
      <c r="P4667" s="20" t="n"/>
      <c r="Q4667" s="19" t="n"/>
      <c r="R4667" s="19" t="n"/>
      <c r="Y4667" s="19" t="n"/>
    </row>
    <row r="4668">
      <c r="C4668" s="18" t="n"/>
      <c r="J4668" s="19" t="n"/>
      <c r="P4668" s="20" t="n"/>
      <c r="Q4668" s="19" t="n"/>
      <c r="R4668" s="19" t="n"/>
      <c r="Y4668" s="19" t="n"/>
    </row>
    <row r="4669">
      <c r="C4669" s="18" t="n"/>
      <c r="J4669" s="19" t="n"/>
      <c r="P4669" s="20" t="n"/>
      <c r="Q4669" s="19" t="n"/>
      <c r="R4669" s="19" t="n"/>
      <c r="Y4669" s="19" t="n"/>
    </row>
    <row r="4670">
      <c r="C4670" s="18" t="n"/>
      <c r="J4670" s="19" t="n"/>
      <c r="P4670" s="20" t="n"/>
      <c r="Q4670" s="19" t="n"/>
      <c r="R4670" s="19" t="n"/>
      <c r="Y4670" s="19" t="n"/>
    </row>
    <row r="4671">
      <c r="C4671" s="18" t="n"/>
      <c r="J4671" s="19" t="n"/>
      <c r="P4671" s="20" t="n"/>
      <c r="Q4671" s="19" t="n"/>
      <c r="R4671" s="19" t="n"/>
      <c r="Y4671" s="19" t="n"/>
    </row>
    <row r="4672">
      <c r="C4672" s="18" t="n"/>
      <c r="J4672" s="19" t="n"/>
      <c r="P4672" s="20" t="n"/>
      <c r="Q4672" s="19" t="n"/>
      <c r="R4672" s="19" t="n"/>
      <c r="Y4672" s="19" t="n"/>
    </row>
    <row r="4673">
      <c r="C4673" s="18" t="n"/>
      <c r="J4673" s="19" t="n"/>
      <c r="P4673" s="20" t="n"/>
      <c r="Q4673" s="19" t="n"/>
      <c r="R4673" s="19" t="n"/>
      <c r="Y4673" s="19" t="n"/>
    </row>
    <row r="4674">
      <c r="C4674" s="18" t="n"/>
      <c r="J4674" s="19" t="n"/>
      <c r="P4674" s="20" t="n"/>
      <c r="Q4674" s="19" t="n"/>
      <c r="R4674" s="19" t="n"/>
      <c r="Y4674" s="19" t="n"/>
    </row>
    <row r="4675">
      <c r="C4675" s="18" t="n"/>
      <c r="J4675" s="19" t="n"/>
      <c r="P4675" s="20" t="n"/>
      <c r="Q4675" s="19" t="n"/>
      <c r="R4675" s="19" t="n"/>
      <c r="Y4675" s="19" t="n"/>
    </row>
    <row r="4676">
      <c r="C4676" s="18" t="n"/>
      <c r="J4676" s="19" t="n"/>
      <c r="P4676" s="20" t="n"/>
      <c r="Q4676" s="19" t="n"/>
      <c r="R4676" s="19" t="n"/>
      <c r="Y4676" s="19" t="n"/>
    </row>
    <row r="4677">
      <c r="C4677" s="18" t="n"/>
      <c r="J4677" s="19" t="n"/>
      <c r="P4677" s="20" t="n"/>
      <c r="Q4677" s="19" t="n"/>
      <c r="R4677" s="19" t="n"/>
      <c r="Y4677" s="19" t="n"/>
    </row>
    <row r="4678">
      <c r="C4678" s="18" t="n"/>
      <c r="J4678" s="19" t="n"/>
      <c r="P4678" s="20" t="n"/>
      <c r="Q4678" s="19" t="n"/>
      <c r="R4678" s="19" t="n"/>
      <c r="Y4678" s="19" t="n"/>
    </row>
    <row r="4679">
      <c r="C4679" s="18" t="n"/>
      <c r="J4679" s="19" t="n"/>
      <c r="P4679" s="20" t="n"/>
      <c r="Q4679" s="19" t="n"/>
      <c r="R4679" s="19" t="n"/>
      <c r="Y4679" s="19" t="n"/>
    </row>
    <row r="4680">
      <c r="C4680" s="18" t="n"/>
      <c r="J4680" s="19" t="n"/>
      <c r="P4680" s="20" t="n"/>
      <c r="Q4680" s="19" t="n"/>
      <c r="R4680" s="19" t="n"/>
      <c r="Y4680" s="19" t="n"/>
    </row>
    <row r="4681">
      <c r="C4681" s="18" t="n"/>
      <c r="J4681" s="19" t="n"/>
      <c r="P4681" s="20" t="n"/>
      <c r="Q4681" s="19" t="n"/>
      <c r="R4681" s="19" t="n"/>
      <c r="Y4681" s="19" t="n"/>
    </row>
    <row r="4682">
      <c r="C4682" s="18" t="n"/>
      <c r="J4682" s="19" t="n"/>
      <c r="P4682" s="20" t="n"/>
      <c r="Q4682" s="19" t="n"/>
      <c r="R4682" s="19" t="n"/>
      <c r="Y4682" s="19" t="n"/>
    </row>
    <row r="4683">
      <c r="C4683" s="18" t="n"/>
      <c r="J4683" s="19" t="n"/>
      <c r="P4683" s="20" t="n"/>
      <c r="Q4683" s="19" t="n"/>
      <c r="R4683" s="19" t="n"/>
      <c r="Y4683" s="19" t="n"/>
    </row>
    <row r="4684">
      <c r="C4684" s="18" t="n"/>
      <c r="J4684" s="19" t="n"/>
      <c r="P4684" s="20" t="n"/>
      <c r="Q4684" s="19" t="n"/>
      <c r="R4684" s="19" t="n"/>
      <c r="Y4684" s="19" t="n"/>
    </row>
    <row r="4685">
      <c r="C4685" s="18" t="n"/>
      <c r="J4685" s="19" t="n"/>
      <c r="P4685" s="20" t="n"/>
      <c r="Q4685" s="19" t="n"/>
      <c r="R4685" s="19" t="n"/>
      <c r="Y4685" s="19" t="n"/>
    </row>
    <row r="4686">
      <c r="C4686" s="18" t="n"/>
      <c r="J4686" s="19" t="n"/>
      <c r="P4686" s="20" t="n"/>
      <c r="Q4686" s="19" t="n"/>
      <c r="R4686" s="19" t="n"/>
      <c r="Y4686" s="19" t="n"/>
    </row>
    <row r="4687">
      <c r="C4687" s="18" t="n"/>
      <c r="J4687" s="19" t="n"/>
      <c r="P4687" s="20" t="n"/>
      <c r="Q4687" s="19" t="n"/>
      <c r="R4687" s="19" t="n"/>
      <c r="Y4687" s="19" t="n"/>
    </row>
    <row r="4688">
      <c r="C4688" s="18" t="n"/>
      <c r="J4688" s="19" t="n"/>
      <c r="P4688" s="20" t="n"/>
      <c r="Q4688" s="19" t="n"/>
      <c r="R4688" s="19" t="n"/>
      <c r="Y4688" s="19" t="n"/>
    </row>
    <row r="4689">
      <c r="C4689" s="18" t="n"/>
      <c r="J4689" s="19" t="n"/>
      <c r="P4689" s="20" t="n"/>
      <c r="Q4689" s="19" t="n"/>
      <c r="R4689" s="19" t="n"/>
      <c r="Y4689" s="19" t="n"/>
    </row>
    <row r="4690">
      <c r="C4690" s="18" t="n"/>
      <c r="J4690" s="19" t="n"/>
      <c r="P4690" s="20" t="n"/>
      <c r="Q4690" s="19" t="n"/>
      <c r="R4690" s="19" t="n"/>
      <c r="Y4690" s="19" t="n"/>
    </row>
    <row r="4691">
      <c r="C4691" s="18" t="n"/>
      <c r="J4691" s="19" t="n"/>
      <c r="P4691" s="20" t="n"/>
      <c r="Q4691" s="19" t="n"/>
      <c r="R4691" s="19" t="n"/>
      <c r="Y4691" s="19" t="n"/>
    </row>
    <row r="4692">
      <c r="C4692" s="18" t="n"/>
      <c r="J4692" s="19" t="n"/>
      <c r="P4692" s="20" t="n"/>
      <c r="Q4692" s="19" t="n"/>
      <c r="R4692" s="19" t="n"/>
      <c r="Y4692" s="19" t="n"/>
    </row>
    <row r="4693">
      <c r="C4693" s="18" t="n"/>
      <c r="J4693" s="19" t="n"/>
      <c r="P4693" s="20" t="n"/>
      <c r="Q4693" s="19" t="n"/>
      <c r="R4693" s="19" t="n"/>
      <c r="Y4693" s="19" t="n"/>
    </row>
    <row r="4694">
      <c r="C4694" s="18" t="n"/>
      <c r="J4694" s="19" t="n"/>
      <c r="P4694" s="20" t="n"/>
      <c r="Q4694" s="19" t="n"/>
      <c r="R4694" s="19" t="n"/>
      <c r="Y4694" s="19" t="n"/>
    </row>
    <row r="4695">
      <c r="C4695" s="18" t="n"/>
      <c r="J4695" s="19" t="n"/>
      <c r="P4695" s="20" t="n"/>
      <c r="Q4695" s="19" t="n"/>
      <c r="R4695" s="19" t="n"/>
      <c r="Y4695" s="19" t="n"/>
    </row>
    <row r="4696">
      <c r="C4696" s="18" t="n"/>
      <c r="J4696" s="19" t="n"/>
      <c r="P4696" s="20" t="n"/>
      <c r="Q4696" s="19" t="n"/>
      <c r="R4696" s="19" t="n"/>
      <c r="Y4696" s="19" t="n"/>
    </row>
    <row r="4697">
      <c r="C4697" s="18" t="n"/>
      <c r="J4697" s="19" t="n"/>
      <c r="P4697" s="20" t="n"/>
      <c r="Q4697" s="19" t="n"/>
      <c r="R4697" s="19" t="n"/>
      <c r="Y4697" s="19" t="n"/>
    </row>
    <row r="4698">
      <c r="C4698" s="18" t="n"/>
      <c r="J4698" s="19" t="n"/>
      <c r="P4698" s="20" t="n"/>
      <c r="Q4698" s="19" t="n"/>
      <c r="R4698" s="19" t="n"/>
      <c r="Y4698" s="19" t="n"/>
    </row>
    <row r="4699">
      <c r="C4699" s="18" t="n"/>
      <c r="J4699" s="19" t="n"/>
      <c r="P4699" s="20" t="n"/>
      <c r="Q4699" s="19" t="n"/>
      <c r="R4699" s="19" t="n"/>
      <c r="Y4699" s="19" t="n"/>
    </row>
    <row r="4700">
      <c r="C4700" s="18" t="n"/>
      <c r="J4700" s="19" t="n"/>
      <c r="P4700" s="20" t="n"/>
      <c r="Q4700" s="19" t="n"/>
      <c r="R4700" s="19" t="n"/>
      <c r="Y4700" s="19" t="n"/>
    </row>
    <row r="4701">
      <c r="C4701" s="18" t="n"/>
      <c r="J4701" s="19" t="n"/>
      <c r="P4701" s="20" t="n"/>
      <c r="Q4701" s="19" t="n"/>
      <c r="R4701" s="19" t="n"/>
      <c r="Y4701" s="19" t="n"/>
    </row>
    <row r="4702">
      <c r="C4702" s="18" t="n"/>
      <c r="J4702" s="19" t="n"/>
      <c r="P4702" s="20" t="n"/>
      <c r="Q4702" s="19" t="n"/>
      <c r="R4702" s="19" t="n"/>
      <c r="Y4702" s="19" t="n"/>
    </row>
    <row r="4703">
      <c r="C4703" s="18" t="n"/>
      <c r="J4703" s="19" t="n"/>
      <c r="P4703" s="20" t="n"/>
      <c r="Q4703" s="19" t="n"/>
      <c r="R4703" s="19" t="n"/>
      <c r="Y4703" s="19" t="n"/>
    </row>
    <row r="4704">
      <c r="C4704" s="18" t="n"/>
      <c r="J4704" s="19" t="n"/>
      <c r="P4704" s="20" t="n"/>
      <c r="Q4704" s="19" t="n"/>
      <c r="R4704" s="19" t="n"/>
      <c r="Y4704" s="19" t="n"/>
    </row>
    <row r="4705">
      <c r="C4705" s="18" t="n"/>
      <c r="J4705" s="19" t="n"/>
      <c r="P4705" s="20" t="n"/>
      <c r="Q4705" s="19" t="n"/>
      <c r="R4705" s="19" t="n"/>
      <c r="Y4705" s="19" t="n"/>
    </row>
    <row r="4706">
      <c r="C4706" s="18" t="n"/>
      <c r="J4706" s="19" t="n"/>
      <c r="P4706" s="20" t="n"/>
      <c r="Q4706" s="19" t="n"/>
      <c r="R4706" s="19" t="n"/>
      <c r="Y4706" s="19" t="n"/>
    </row>
    <row r="4707">
      <c r="C4707" s="18" t="n"/>
      <c r="J4707" s="19" t="n"/>
      <c r="P4707" s="20" t="n"/>
      <c r="Q4707" s="19" t="n"/>
      <c r="R4707" s="19" t="n"/>
      <c r="Y4707" s="19" t="n"/>
    </row>
    <row r="4708">
      <c r="C4708" s="18" t="n"/>
      <c r="J4708" s="19" t="n"/>
      <c r="P4708" s="20" t="n"/>
      <c r="Q4708" s="19" t="n"/>
      <c r="R4708" s="19" t="n"/>
      <c r="Y4708" s="19" t="n"/>
    </row>
    <row r="4709">
      <c r="C4709" s="18" t="n"/>
      <c r="J4709" s="19" t="n"/>
      <c r="P4709" s="20" t="n"/>
      <c r="Q4709" s="19" t="n"/>
      <c r="R4709" s="19" t="n"/>
      <c r="Y4709" s="19" t="n"/>
    </row>
    <row r="4710">
      <c r="C4710" s="18" t="n"/>
      <c r="J4710" s="19" t="n"/>
      <c r="P4710" s="20" t="n"/>
      <c r="Q4710" s="19" t="n"/>
      <c r="R4710" s="19" t="n"/>
      <c r="Y4710" s="19" t="n"/>
    </row>
    <row r="4711">
      <c r="C4711" s="18" t="n"/>
      <c r="J4711" s="19" t="n"/>
      <c r="P4711" s="20" t="n"/>
      <c r="Q4711" s="19" t="n"/>
      <c r="R4711" s="19" t="n"/>
      <c r="Y4711" s="19" t="n"/>
    </row>
    <row r="4712">
      <c r="C4712" s="18" t="n"/>
      <c r="J4712" s="19" t="n"/>
      <c r="P4712" s="20" t="n"/>
      <c r="Q4712" s="19" t="n"/>
      <c r="R4712" s="19" t="n"/>
      <c r="Y4712" s="19" t="n"/>
    </row>
    <row r="4713">
      <c r="C4713" s="18" t="n"/>
      <c r="J4713" s="19" t="n"/>
      <c r="P4713" s="20" t="n"/>
      <c r="Q4713" s="19" t="n"/>
      <c r="R4713" s="19" t="n"/>
      <c r="Y4713" s="19" t="n"/>
    </row>
    <row r="4714">
      <c r="C4714" s="18" t="n"/>
      <c r="J4714" s="19" t="n"/>
      <c r="P4714" s="20" t="n"/>
      <c r="Q4714" s="19" t="n"/>
      <c r="R4714" s="19" t="n"/>
      <c r="Y4714" s="19" t="n"/>
    </row>
    <row r="4715">
      <c r="C4715" s="18" t="n"/>
      <c r="J4715" s="19" t="n"/>
      <c r="P4715" s="20" t="n"/>
      <c r="Q4715" s="19" t="n"/>
      <c r="R4715" s="19" t="n"/>
      <c r="Y4715" s="19" t="n"/>
    </row>
    <row r="4716">
      <c r="C4716" s="18" t="n"/>
      <c r="J4716" s="19" t="n"/>
      <c r="P4716" s="20" t="n"/>
      <c r="Q4716" s="19" t="n"/>
      <c r="R4716" s="19" t="n"/>
      <c r="Y4716" s="19" t="n"/>
    </row>
    <row r="4717">
      <c r="C4717" s="18" t="n"/>
      <c r="J4717" s="19" t="n"/>
      <c r="P4717" s="20" t="n"/>
      <c r="Q4717" s="19" t="n"/>
      <c r="R4717" s="19" t="n"/>
      <c r="Y4717" s="19" t="n"/>
    </row>
    <row r="4718">
      <c r="C4718" s="18" t="n"/>
      <c r="J4718" s="19" t="n"/>
      <c r="P4718" s="20" t="n"/>
      <c r="Q4718" s="19" t="n"/>
      <c r="R4718" s="19" t="n"/>
      <c r="Y4718" s="19" t="n"/>
    </row>
    <row r="4719">
      <c r="C4719" s="18" t="n"/>
      <c r="J4719" s="19" t="n"/>
      <c r="P4719" s="20" t="n"/>
      <c r="Q4719" s="19" t="n"/>
      <c r="R4719" s="19" t="n"/>
      <c r="Y4719" s="19" t="n"/>
    </row>
    <row r="4720">
      <c r="C4720" s="18" t="n"/>
      <c r="J4720" s="19" t="n"/>
      <c r="P4720" s="20" t="n"/>
      <c r="Q4720" s="19" t="n"/>
      <c r="R4720" s="19" t="n"/>
      <c r="Y4720" s="19" t="n"/>
    </row>
    <row r="4721">
      <c r="C4721" s="18" t="n"/>
      <c r="J4721" s="19" t="n"/>
      <c r="P4721" s="20" t="n"/>
      <c r="Q4721" s="19" t="n"/>
      <c r="R4721" s="19" t="n"/>
      <c r="Y4721" s="19" t="n"/>
    </row>
    <row r="4722">
      <c r="C4722" s="18" t="n"/>
      <c r="J4722" s="19" t="n"/>
      <c r="P4722" s="20" t="n"/>
      <c r="Q4722" s="19" t="n"/>
      <c r="R4722" s="19" t="n"/>
      <c r="Y4722" s="19" t="n"/>
    </row>
    <row r="4723">
      <c r="C4723" s="18" t="n"/>
      <c r="J4723" s="19" t="n"/>
      <c r="P4723" s="20" t="n"/>
      <c r="Q4723" s="19" t="n"/>
      <c r="R4723" s="19" t="n"/>
      <c r="Y4723" s="19" t="n"/>
    </row>
    <row r="4724">
      <c r="C4724" s="18" t="n"/>
      <c r="J4724" s="19" t="n"/>
      <c r="P4724" s="20" t="n"/>
      <c r="Q4724" s="19" t="n"/>
      <c r="R4724" s="19" t="n"/>
      <c r="Y4724" s="19" t="n"/>
    </row>
    <row r="4725">
      <c r="C4725" s="18" t="n"/>
      <c r="J4725" s="19" t="n"/>
      <c r="P4725" s="20" t="n"/>
      <c r="Q4725" s="19" t="n"/>
      <c r="R4725" s="19" t="n"/>
      <c r="Y4725" s="19" t="n"/>
    </row>
    <row r="4726">
      <c r="C4726" s="18" t="n"/>
      <c r="J4726" s="19" t="n"/>
      <c r="P4726" s="20" t="n"/>
      <c r="Q4726" s="19" t="n"/>
      <c r="R4726" s="19" t="n"/>
      <c r="Y4726" s="19" t="n"/>
    </row>
    <row r="4727">
      <c r="C4727" s="18" t="n"/>
      <c r="J4727" s="19" t="n"/>
      <c r="P4727" s="20" t="n"/>
      <c r="Q4727" s="19" t="n"/>
      <c r="R4727" s="19" t="n"/>
      <c r="Y4727" s="19" t="n"/>
    </row>
    <row r="4728">
      <c r="C4728" s="18" t="n"/>
      <c r="J4728" s="19" t="n"/>
      <c r="P4728" s="20" t="n"/>
      <c r="Q4728" s="19" t="n"/>
      <c r="R4728" s="19" t="n"/>
      <c r="Y4728" s="19" t="n"/>
    </row>
    <row r="4729">
      <c r="C4729" s="18" t="n"/>
      <c r="J4729" s="19" t="n"/>
      <c r="P4729" s="20" t="n"/>
      <c r="Q4729" s="19" t="n"/>
      <c r="R4729" s="19" t="n"/>
      <c r="Y4729" s="19" t="n"/>
    </row>
    <row r="4730">
      <c r="C4730" s="18" t="n"/>
      <c r="J4730" s="19" t="n"/>
      <c r="P4730" s="20" t="n"/>
      <c r="Q4730" s="19" t="n"/>
      <c r="R4730" s="19" t="n"/>
      <c r="Y4730" s="19" t="n"/>
    </row>
    <row r="4731">
      <c r="C4731" s="18" t="n"/>
      <c r="J4731" s="19" t="n"/>
      <c r="P4731" s="20" t="n"/>
      <c r="Q4731" s="19" t="n"/>
      <c r="R4731" s="19" t="n"/>
      <c r="Y4731" s="19" t="n"/>
    </row>
    <row r="4732">
      <c r="C4732" s="18" t="n"/>
      <c r="J4732" s="19" t="n"/>
      <c r="P4732" s="20" t="n"/>
      <c r="Q4732" s="19" t="n"/>
      <c r="R4732" s="19" t="n"/>
      <c r="Y4732" s="19" t="n"/>
    </row>
    <row r="4733">
      <c r="C4733" s="18" t="n"/>
      <c r="J4733" s="19" t="n"/>
      <c r="P4733" s="20" t="n"/>
      <c r="Q4733" s="19" t="n"/>
      <c r="R4733" s="19" t="n"/>
      <c r="Y4733" s="19" t="n"/>
    </row>
    <row r="4734">
      <c r="C4734" s="18" t="n"/>
      <c r="J4734" s="19" t="n"/>
      <c r="P4734" s="20" t="n"/>
      <c r="Q4734" s="19" t="n"/>
      <c r="R4734" s="19" t="n"/>
      <c r="Y4734" s="19" t="n"/>
    </row>
    <row r="4735">
      <c r="C4735" s="18" t="n"/>
      <c r="J4735" s="19" t="n"/>
      <c r="P4735" s="20" t="n"/>
      <c r="Q4735" s="19" t="n"/>
      <c r="R4735" s="19" t="n"/>
      <c r="Y4735" s="19" t="n"/>
    </row>
    <row r="4736">
      <c r="C4736" s="18" t="n"/>
      <c r="J4736" s="19" t="n"/>
      <c r="P4736" s="20" t="n"/>
      <c r="Q4736" s="19" t="n"/>
      <c r="R4736" s="19" t="n"/>
      <c r="Y4736" s="19" t="n"/>
    </row>
    <row r="4737">
      <c r="C4737" s="18" t="n"/>
      <c r="J4737" s="19" t="n"/>
      <c r="P4737" s="20" t="n"/>
      <c r="Q4737" s="19" t="n"/>
      <c r="R4737" s="19" t="n"/>
      <c r="Y4737" s="19" t="n"/>
    </row>
    <row r="4738">
      <c r="C4738" s="18" t="n"/>
      <c r="J4738" s="19" t="n"/>
      <c r="P4738" s="20" t="n"/>
      <c r="Q4738" s="19" t="n"/>
      <c r="R4738" s="19" t="n"/>
      <c r="Y4738" s="19" t="n"/>
    </row>
    <row r="4739">
      <c r="C4739" s="18" t="n"/>
      <c r="J4739" s="19" t="n"/>
      <c r="P4739" s="20" t="n"/>
      <c r="Q4739" s="19" t="n"/>
      <c r="R4739" s="19" t="n"/>
      <c r="Y4739" s="19" t="n"/>
    </row>
    <row r="4740">
      <c r="C4740" s="18" t="n"/>
      <c r="J4740" s="19" t="n"/>
      <c r="P4740" s="20" t="n"/>
      <c r="Q4740" s="19" t="n"/>
      <c r="R4740" s="19" t="n"/>
      <c r="Y4740" s="19" t="n"/>
    </row>
    <row r="4741">
      <c r="C4741" s="18" t="n"/>
      <c r="J4741" s="19" t="n"/>
      <c r="P4741" s="20" t="n"/>
      <c r="Q4741" s="19" t="n"/>
      <c r="R4741" s="19" t="n"/>
      <c r="Y4741" s="19" t="n"/>
    </row>
    <row r="4742">
      <c r="C4742" s="18" t="n"/>
      <c r="J4742" s="19" t="n"/>
      <c r="P4742" s="20" t="n"/>
      <c r="Q4742" s="19" t="n"/>
      <c r="R4742" s="19" t="n"/>
      <c r="Y4742" s="19" t="n"/>
    </row>
    <row r="4743">
      <c r="C4743" s="18" t="n"/>
      <c r="J4743" s="19" t="n"/>
      <c r="P4743" s="20" t="n"/>
      <c r="Q4743" s="19" t="n"/>
      <c r="R4743" s="19" t="n"/>
      <c r="Y4743" s="19" t="n"/>
    </row>
    <row r="4744">
      <c r="C4744" s="18" t="n"/>
      <c r="J4744" s="19" t="n"/>
      <c r="P4744" s="20" t="n"/>
      <c r="Q4744" s="19" t="n"/>
      <c r="R4744" s="19" t="n"/>
      <c r="Y4744" s="19" t="n"/>
    </row>
    <row r="4745">
      <c r="C4745" s="18" t="n"/>
      <c r="J4745" s="19" t="n"/>
      <c r="P4745" s="20" t="n"/>
      <c r="Q4745" s="19" t="n"/>
      <c r="R4745" s="19" t="n"/>
      <c r="Y4745" s="19" t="n"/>
    </row>
    <row r="4746">
      <c r="C4746" s="18" t="n"/>
      <c r="J4746" s="19" t="n"/>
      <c r="P4746" s="20" t="n"/>
      <c r="Q4746" s="19" t="n"/>
      <c r="R4746" s="19" t="n"/>
      <c r="Y4746" s="19" t="n"/>
    </row>
    <row r="4747">
      <c r="C4747" s="18" t="n"/>
      <c r="J4747" s="19" t="n"/>
      <c r="P4747" s="20" t="n"/>
      <c r="Q4747" s="19" t="n"/>
      <c r="R4747" s="19" t="n"/>
      <c r="Y4747" s="19" t="n"/>
    </row>
    <row r="4748">
      <c r="C4748" s="18" t="n"/>
      <c r="J4748" s="19" t="n"/>
      <c r="P4748" s="20" t="n"/>
      <c r="Q4748" s="19" t="n"/>
      <c r="R4748" s="19" t="n"/>
      <c r="Y4748" s="19" t="n"/>
    </row>
    <row r="4749">
      <c r="C4749" s="18" t="n"/>
      <c r="J4749" s="19" t="n"/>
      <c r="P4749" s="20" t="n"/>
      <c r="Q4749" s="19" t="n"/>
      <c r="R4749" s="19" t="n"/>
      <c r="Y4749" s="19" t="n"/>
    </row>
    <row r="4750">
      <c r="C4750" s="18" t="n"/>
      <c r="J4750" s="19" t="n"/>
      <c r="P4750" s="20" t="n"/>
      <c r="Q4750" s="19" t="n"/>
      <c r="R4750" s="19" t="n"/>
      <c r="Y4750" s="19" t="n"/>
    </row>
    <row r="4751">
      <c r="C4751" s="18" t="n"/>
      <c r="J4751" s="19" t="n"/>
      <c r="P4751" s="20" t="n"/>
      <c r="Q4751" s="19" t="n"/>
      <c r="R4751" s="19" t="n"/>
      <c r="Y4751" s="19" t="n"/>
    </row>
    <row r="4752">
      <c r="C4752" s="18" t="n"/>
      <c r="J4752" s="19" t="n"/>
      <c r="P4752" s="20" t="n"/>
      <c r="Q4752" s="19" t="n"/>
      <c r="R4752" s="19" t="n"/>
      <c r="Y4752" s="19" t="n"/>
    </row>
    <row r="4753">
      <c r="C4753" s="18" t="n"/>
      <c r="J4753" s="19" t="n"/>
      <c r="P4753" s="20" t="n"/>
      <c r="Q4753" s="19" t="n"/>
      <c r="R4753" s="19" t="n"/>
      <c r="Y4753" s="19" t="n"/>
    </row>
    <row r="4754">
      <c r="C4754" s="18" t="n"/>
      <c r="J4754" s="19" t="n"/>
      <c r="P4754" s="20" t="n"/>
      <c r="Q4754" s="19" t="n"/>
      <c r="R4754" s="19" t="n"/>
      <c r="Y4754" s="19" t="n"/>
    </row>
    <row r="4755">
      <c r="C4755" s="18" t="n"/>
      <c r="J4755" s="19" t="n"/>
      <c r="P4755" s="20" t="n"/>
      <c r="Q4755" s="19" t="n"/>
      <c r="R4755" s="19" t="n"/>
      <c r="Y4755" s="19" t="n"/>
    </row>
    <row r="4756">
      <c r="C4756" s="18" t="n"/>
      <c r="J4756" s="19" t="n"/>
      <c r="P4756" s="20" t="n"/>
      <c r="Q4756" s="19" t="n"/>
      <c r="R4756" s="19" t="n"/>
      <c r="Y4756" s="19" t="n"/>
    </row>
    <row r="4757">
      <c r="C4757" s="18" t="n"/>
      <c r="J4757" s="19" t="n"/>
      <c r="P4757" s="20" t="n"/>
      <c r="Q4757" s="19" t="n"/>
      <c r="R4757" s="19" t="n"/>
      <c r="Y4757" s="19" t="n"/>
    </row>
    <row r="4758">
      <c r="C4758" s="18" t="n"/>
      <c r="J4758" s="19" t="n"/>
      <c r="P4758" s="20" t="n"/>
      <c r="Q4758" s="19" t="n"/>
      <c r="R4758" s="19" t="n"/>
      <c r="Y4758" s="19" t="n"/>
    </row>
    <row r="4759">
      <c r="C4759" s="18" t="n"/>
      <c r="J4759" s="19" t="n"/>
      <c r="P4759" s="20" t="n"/>
      <c r="Q4759" s="19" t="n"/>
      <c r="R4759" s="19" t="n"/>
      <c r="Y4759" s="19" t="n"/>
    </row>
    <row r="4760">
      <c r="C4760" s="18" t="n"/>
      <c r="J4760" s="19" t="n"/>
      <c r="P4760" s="20" t="n"/>
      <c r="Q4760" s="19" t="n"/>
      <c r="R4760" s="19" t="n"/>
      <c r="Y4760" s="19" t="n"/>
    </row>
    <row r="4761">
      <c r="C4761" s="18" t="n"/>
      <c r="J4761" s="19" t="n"/>
      <c r="P4761" s="20" t="n"/>
      <c r="Q4761" s="19" t="n"/>
      <c r="R4761" s="19" t="n"/>
      <c r="Y4761" s="19" t="n"/>
    </row>
    <row r="4762">
      <c r="C4762" s="18" t="n"/>
      <c r="J4762" s="19" t="n"/>
      <c r="P4762" s="20" t="n"/>
      <c r="Q4762" s="19" t="n"/>
      <c r="R4762" s="19" t="n"/>
      <c r="Y4762" s="19" t="n"/>
    </row>
    <row r="4763">
      <c r="C4763" s="18" t="n"/>
      <c r="J4763" s="19" t="n"/>
      <c r="P4763" s="20" t="n"/>
      <c r="Q4763" s="19" t="n"/>
      <c r="R4763" s="19" t="n"/>
      <c r="Y4763" s="19" t="n"/>
    </row>
    <row r="4764">
      <c r="C4764" s="18" t="n"/>
      <c r="J4764" s="19" t="n"/>
      <c r="P4764" s="20" t="n"/>
      <c r="Q4764" s="19" t="n"/>
      <c r="R4764" s="19" t="n"/>
      <c r="Y4764" s="19" t="n"/>
    </row>
    <row r="4765">
      <c r="C4765" s="18" t="n"/>
      <c r="J4765" s="19" t="n"/>
      <c r="P4765" s="20" t="n"/>
      <c r="Q4765" s="19" t="n"/>
      <c r="R4765" s="19" t="n"/>
      <c r="Y4765" s="19" t="n"/>
    </row>
    <row r="4766">
      <c r="C4766" s="18" t="n"/>
      <c r="J4766" s="19" t="n"/>
      <c r="P4766" s="20" t="n"/>
      <c r="Q4766" s="19" t="n"/>
      <c r="R4766" s="19" t="n"/>
      <c r="Y4766" s="19" t="n"/>
    </row>
    <row r="4767">
      <c r="C4767" s="18" t="n"/>
      <c r="J4767" s="19" t="n"/>
      <c r="P4767" s="20" t="n"/>
      <c r="Q4767" s="19" t="n"/>
      <c r="R4767" s="19" t="n"/>
      <c r="Y4767" s="19" t="n"/>
    </row>
    <row r="4768">
      <c r="C4768" s="18" t="n"/>
      <c r="J4768" s="19" t="n"/>
      <c r="P4768" s="20" t="n"/>
      <c r="Q4768" s="19" t="n"/>
      <c r="R4768" s="19" t="n"/>
      <c r="Y4768" s="19" t="n"/>
    </row>
    <row r="4769">
      <c r="C4769" s="18" t="n"/>
      <c r="J4769" s="19" t="n"/>
      <c r="P4769" s="20" t="n"/>
      <c r="Q4769" s="19" t="n"/>
      <c r="R4769" s="19" t="n"/>
      <c r="Y4769" s="19" t="n"/>
    </row>
    <row r="4770">
      <c r="C4770" s="18" t="n"/>
      <c r="J4770" s="19" t="n"/>
      <c r="P4770" s="20" t="n"/>
      <c r="Q4770" s="19" t="n"/>
      <c r="R4770" s="19" t="n"/>
      <c r="Y4770" s="19" t="n"/>
    </row>
    <row r="4771">
      <c r="C4771" s="18" t="n"/>
      <c r="J4771" s="19" t="n"/>
      <c r="P4771" s="20" t="n"/>
      <c r="Q4771" s="19" t="n"/>
      <c r="R4771" s="19" t="n"/>
      <c r="Y4771" s="19" t="n"/>
    </row>
    <row r="4772">
      <c r="C4772" s="18" t="n"/>
      <c r="J4772" s="19" t="n"/>
      <c r="P4772" s="20" t="n"/>
      <c r="Q4772" s="19" t="n"/>
      <c r="R4772" s="19" t="n"/>
      <c r="Y4772" s="19" t="n"/>
    </row>
    <row r="4773">
      <c r="C4773" s="18" t="n"/>
      <c r="J4773" s="19" t="n"/>
      <c r="P4773" s="20" t="n"/>
      <c r="Q4773" s="19" t="n"/>
      <c r="R4773" s="19" t="n"/>
      <c r="Y4773" s="19" t="n"/>
    </row>
    <row r="4774">
      <c r="C4774" s="18" t="n"/>
      <c r="J4774" s="19" t="n"/>
      <c r="P4774" s="20" t="n"/>
      <c r="Q4774" s="19" t="n"/>
      <c r="R4774" s="19" t="n"/>
      <c r="Y4774" s="19" t="n"/>
    </row>
    <row r="4775">
      <c r="C4775" s="18" t="n"/>
      <c r="J4775" s="19" t="n"/>
      <c r="P4775" s="20" t="n"/>
      <c r="Q4775" s="19" t="n"/>
      <c r="R4775" s="19" t="n"/>
      <c r="Y4775" s="19" t="n"/>
    </row>
    <row r="4776">
      <c r="C4776" s="18" t="n"/>
      <c r="J4776" s="19" t="n"/>
      <c r="P4776" s="20" t="n"/>
      <c r="Q4776" s="19" t="n"/>
      <c r="R4776" s="19" t="n"/>
      <c r="Y4776" s="19" t="n"/>
    </row>
    <row r="4777">
      <c r="C4777" s="18" t="n"/>
      <c r="J4777" s="19" t="n"/>
      <c r="P4777" s="20" t="n"/>
      <c r="Q4777" s="19" t="n"/>
      <c r="R4777" s="19" t="n"/>
      <c r="Y4777" s="19" t="n"/>
    </row>
    <row r="4778">
      <c r="C4778" s="18" t="n"/>
      <c r="J4778" s="19" t="n"/>
      <c r="P4778" s="20" t="n"/>
      <c r="Q4778" s="19" t="n"/>
      <c r="R4778" s="19" t="n"/>
      <c r="Y4778" s="19" t="n"/>
    </row>
    <row r="4779">
      <c r="C4779" s="18" t="n"/>
      <c r="J4779" s="19" t="n"/>
      <c r="P4779" s="20" t="n"/>
      <c r="Q4779" s="19" t="n"/>
      <c r="R4779" s="19" t="n"/>
      <c r="Y4779" s="19" t="n"/>
    </row>
    <row r="4780">
      <c r="C4780" s="18" t="n"/>
      <c r="J4780" s="19" t="n"/>
      <c r="P4780" s="20" t="n"/>
      <c r="Q4780" s="19" t="n"/>
      <c r="R4780" s="19" t="n"/>
      <c r="Y4780" s="19" t="n"/>
    </row>
    <row r="4781">
      <c r="C4781" s="18" t="n"/>
      <c r="J4781" s="19" t="n"/>
      <c r="P4781" s="20" t="n"/>
      <c r="Q4781" s="19" t="n"/>
      <c r="R4781" s="19" t="n"/>
      <c r="Y4781" s="19" t="n"/>
    </row>
    <row r="4782">
      <c r="C4782" s="18" t="n"/>
      <c r="J4782" s="19" t="n"/>
      <c r="P4782" s="20" t="n"/>
      <c r="Q4782" s="19" t="n"/>
      <c r="R4782" s="19" t="n"/>
      <c r="Y4782" s="19" t="n"/>
    </row>
    <row r="4783">
      <c r="C4783" s="18" t="n"/>
      <c r="J4783" s="19" t="n"/>
      <c r="P4783" s="20" t="n"/>
      <c r="Q4783" s="19" t="n"/>
      <c r="R4783" s="19" t="n"/>
      <c r="Y4783" s="19" t="n"/>
    </row>
    <row r="4784">
      <c r="C4784" s="18" t="n"/>
      <c r="J4784" s="19" t="n"/>
      <c r="P4784" s="20" t="n"/>
      <c r="Q4784" s="19" t="n"/>
      <c r="R4784" s="19" t="n"/>
      <c r="Y4784" s="19" t="n"/>
    </row>
    <row r="4785">
      <c r="C4785" s="18" t="n"/>
      <c r="J4785" s="19" t="n"/>
      <c r="P4785" s="20" t="n"/>
      <c r="Q4785" s="19" t="n"/>
      <c r="R4785" s="19" t="n"/>
      <c r="Y4785" s="19" t="n"/>
    </row>
    <row r="4786">
      <c r="C4786" s="18" t="n"/>
      <c r="J4786" s="19" t="n"/>
      <c r="P4786" s="20" t="n"/>
      <c r="Q4786" s="19" t="n"/>
      <c r="R4786" s="19" t="n"/>
      <c r="Y4786" s="19" t="n"/>
    </row>
    <row r="4787">
      <c r="C4787" s="18" t="n"/>
      <c r="J4787" s="19" t="n"/>
      <c r="P4787" s="20" t="n"/>
      <c r="Q4787" s="19" t="n"/>
      <c r="R4787" s="19" t="n"/>
      <c r="Y4787" s="19" t="n"/>
    </row>
    <row r="4788">
      <c r="C4788" s="18" t="n"/>
      <c r="J4788" s="19" t="n"/>
      <c r="P4788" s="20" t="n"/>
      <c r="Q4788" s="19" t="n"/>
      <c r="R4788" s="19" t="n"/>
      <c r="Y4788" s="19" t="n"/>
    </row>
    <row r="4789">
      <c r="C4789" s="18" t="n"/>
      <c r="J4789" s="19" t="n"/>
      <c r="P4789" s="20" t="n"/>
      <c r="Q4789" s="19" t="n"/>
      <c r="R4789" s="19" t="n"/>
      <c r="Y4789" s="19" t="n"/>
    </row>
    <row r="4790">
      <c r="C4790" s="18" t="n"/>
      <c r="J4790" s="19" t="n"/>
      <c r="P4790" s="20" t="n"/>
      <c r="Q4790" s="19" t="n"/>
      <c r="R4790" s="19" t="n"/>
      <c r="Y4790" s="19" t="n"/>
    </row>
    <row r="4791">
      <c r="C4791" s="18" t="n"/>
      <c r="J4791" s="19" t="n"/>
      <c r="P4791" s="20" t="n"/>
      <c r="Q4791" s="19" t="n"/>
      <c r="R4791" s="19" t="n"/>
      <c r="Y4791" s="19" t="n"/>
    </row>
    <row r="4792">
      <c r="C4792" s="18" t="n"/>
      <c r="J4792" s="19" t="n"/>
      <c r="P4792" s="20" t="n"/>
      <c r="Q4792" s="19" t="n"/>
      <c r="R4792" s="19" t="n"/>
      <c r="Y4792" s="19" t="n"/>
    </row>
    <row r="4793">
      <c r="C4793" s="18" t="n"/>
      <c r="J4793" s="19" t="n"/>
      <c r="P4793" s="20" t="n"/>
      <c r="Q4793" s="19" t="n"/>
      <c r="R4793" s="19" t="n"/>
      <c r="Y4793" s="19" t="n"/>
    </row>
    <row r="4794">
      <c r="C4794" s="18" t="n"/>
      <c r="J4794" s="19" t="n"/>
      <c r="P4794" s="20" t="n"/>
      <c r="Q4794" s="19" t="n"/>
      <c r="R4794" s="19" t="n"/>
      <c r="Y4794" s="19" t="n"/>
    </row>
    <row r="4795">
      <c r="C4795" s="18" t="n"/>
      <c r="J4795" s="19" t="n"/>
      <c r="P4795" s="20" t="n"/>
      <c r="Q4795" s="19" t="n"/>
      <c r="R4795" s="19" t="n"/>
      <c r="Y4795" s="19" t="n"/>
    </row>
    <row r="4796">
      <c r="C4796" s="18" t="n"/>
      <c r="J4796" s="19" t="n"/>
      <c r="P4796" s="20" t="n"/>
      <c r="Q4796" s="19" t="n"/>
      <c r="R4796" s="19" t="n"/>
      <c r="Y4796" s="19" t="n"/>
    </row>
    <row r="4797">
      <c r="C4797" s="18" t="n"/>
      <c r="J4797" s="19" t="n"/>
      <c r="P4797" s="20" t="n"/>
      <c r="Q4797" s="19" t="n"/>
      <c r="R4797" s="19" t="n"/>
      <c r="Y4797" s="19" t="n"/>
    </row>
    <row r="4798">
      <c r="C4798" s="18" t="n"/>
      <c r="J4798" s="19" t="n"/>
      <c r="P4798" s="20" t="n"/>
      <c r="Q4798" s="19" t="n"/>
      <c r="R4798" s="19" t="n"/>
      <c r="Y4798" s="19" t="n"/>
    </row>
    <row r="4799">
      <c r="C4799" s="18" t="n"/>
      <c r="J4799" s="19" t="n"/>
      <c r="P4799" s="20" t="n"/>
      <c r="Q4799" s="19" t="n"/>
      <c r="R4799" s="19" t="n"/>
      <c r="Y4799" s="19" t="n"/>
    </row>
    <row r="4800">
      <c r="C4800" s="18" t="n"/>
      <c r="J4800" s="19" t="n"/>
      <c r="P4800" s="20" t="n"/>
      <c r="Q4800" s="19" t="n"/>
      <c r="R4800" s="19" t="n"/>
      <c r="Y4800" s="19" t="n"/>
    </row>
    <row r="4801">
      <c r="C4801" s="18" t="n"/>
      <c r="J4801" s="19" t="n"/>
      <c r="P4801" s="20" t="n"/>
      <c r="Q4801" s="19" t="n"/>
      <c r="R4801" s="19" t="n"/>
      <c r="Y4801" s="19" t="n"/>
    </row>
    <row r="4802">
      <c r="C4802" s="18" t="n"/>
      <c r="J4802" s="19" t="n"/>
      <c r="P4802" s="20" t="n"/>
      <c r="Q4802" s="19" t="n"/>
      <c r="R4802" s="19" t="n"/>
      <c r="Y4802" s="19" t="n"/>
    </row>
    <row r="4803">
      <c r="C4803" s="18" t="n"/>
      <c r="J4803" s="19" t="n"/>
      <c r="P4803" s="20" t="n"/>
      <c r="Q4803" s="19" t="n"/>
      <c r="R4803" s="19" t="n"/>
      <c r="Y4803" s="19" t="n"/>
    </row>
    <row r="4804">
      <c r="C4804" s="18" t="n"/>
      <c r="J4804" s="19" t="n"/>
      <c r="P4804" s="20" t="n"/>
      <c r="Q4804" s="19" t="n"/>
      <c r="R4804" s="19" t="n"/>
      <c r="Y4804" s="19" t="n"/>
    </row>
    <row r="4805">
      <c r="C4805" s="18" t="n"/>
      <c r="J4805" s="19" t="n"/>
      <c r="P4805" s="20" t="n"/>
      <c r="Q4805" s="19" t="n"/>
      <c r="R4805" s="19" t="n"/>
      <c r="Y4805" s="19" t="n"/>
    </row>
    <row r="4806">
      <c r="C4806" s="18" t="n"/>
      <c r="J4806" s="19" t="n"/>
      <c r="P4806" s="20" t="n"/>
      <c r="Q4806" s="19" t="n"/>
      <c r="R4806" s="19" t="n"/>
      <c r="Y4806" s="19" t="n"/>
    </row>
    <row r="4807">
      <c r="C4807" s="18" t="n"/>
      <c r="J4807" s="19" t="n"/>
      <c r="P4807" s="20" t="n"/>
      <c r="Q4807" s="19" t="n"/>
      <c r="R4807" s="19" t="n"/>
      <c r="Y4807" s="19" t="n"/>
    </row>
    <row r="4808">
      <c r="C4808" s="18" t="n"/>
      <c r="J4808" s="19" t="n"/>
      <c r="P4808" s="20" t="n"/>
      <c r="Q4808" s="19" t="n"/>
      <c r="R4808" s="19" t="n"/>
      <c r="Y4808" s="19" t="n"/>
    </row>
    <row r="4809">
      <c r="C4809" s="18" t="n"/>
      <c r="J4809" s="19" t="n"/>
      <c r="P4809" s="20" t="n"/>
      <c r="Q4809" s="19" t="n"/>
      <c r="R4809" s="19" t="n"/>
      <c r="Y4809" s="19" t="n"/>
    </row>
    <row r="4810">
      <c r="C4810" s="18" t="n"/>
      <c r="J4810" s="19" t="n"/>
      <c r="P4810" s="20" t="n"/>
      <c r="Q4810" s="19" t="n"/>
      <c r="R4810" s="19" t="n"/>
      <c r="Y4810" s="19" t="n"/>
    </row>
    <row r="4811">
      <c r="C4811" s="18" t="n"/>
      <c r="J4811" s="19" t="n"/>
      <c r="P4811" s="20" t="n"/>
      <c r="Q4811" s="19" t="n"/>
      <c r="R4811" s="19" t="n"/>
      <c r="Y4811" s="19" t="n"/>
    </row>
    <row r="4812">
      <c r="C4812" s="18" t="n"/>
      <c r="J4812" s="19" t="n"/>
      <c r="P4812" s="20" t="n"/>
      <c r="Q4812" s="19" t="n"/>
      <c r="R4812" s="19" t="n"/>
      <c r="Y4812" s="19" t="n"/>
    </row>
    <row r="4813">
      <c r="C4813" s="18" t="n"/>
      <c r="J4813" s="19" t="n"/>
      <c r="P4813" s="20" t="n"/>
      <c r="Q4813" s="19" t="n"/>
      <c r="R4813" s="19" t="n"/>
      <c r="Y4813" s="19" t="n"/>
    </row>
    <row r="4814">
      <c r="C4814" s="18" t="n"/>
      <c r="J4814" s="19" t="n"/>
      <c r="P4814" s="20" t="n"/>
      <c r="Q4814" s="19" t="n"/>
      <c r="R4814" s="19" t="n"/>
      <c r="Y4814" s="19" t="n"/>
    </row>
    <row r="4815">
      <c r="C4815" s="18" t="n"/>
      <c r="J4815" s="19" t="n"/>
      <c r="P4815" s="20" t="n"/>
      <c r="Q4815" s="19" t="n"/>
      <c r="R4815" s="19" t="n"/>
      <c r="Y4815" s="19" t="n"/>
    </row>
    <row r="4816">
      <c r="C4816" s="18" t="n"/>
      <c r="J4816" s="19" t="n"/>
      <c r="P4816" s="20" t="n"/>
      <c r="Q4816" s="19" t="n"/>
      <c r="R4816" s="19" t="n"/>
      <c r="Y4816" s="19" t="n"/>
    </row>
    <row r="4817">
      <c r="C4817" s="18" t="n"/>
      <c r="J4817" s="19" t="n"/>
      <c r="P4817" s="20" t="n"/>
      <c r="Q4817" s="19" t="n"/>
      <c r="R4817" s="19" t="n"/>
      <c r="Y4817" s="19" t="n"/>
    </row>
    <row r="4818">
      <c r="C4818" s="18" t="n"/>
      <c r="J4818" s="19" t="n"/>
      <c r="P4818" s="20" t="n"/>
      <c r="Q4818" s="19" t="n"/>
      <c r="R4818" s="19" t="n"/>
      <c r="Y4818" s="19" t="n"/>
    </row>
    <row r="4819">
      <c r="C4819" s="18" t="n"/>
      <c r="J4819" s="19" t="n"/>
      <c r="P4819" s="20" t="n"/>
      <c r="Q4819" s="19" t="n"/>
      <c r="R4819" s="19" t="n"/>
      <c r="Y4819" s="19" t="n"/>
    </row>
    <row r="4820">
      <c r="C4820" s="18" t="n"/>
      <c r="J4820" s="19" t="n"/>
      <c r="P4820" s="20" t="n"/>
      <c r="Q4820" s="19" t="n"/>
      <c r="R4820" s="19" t="n"/>
      <c r="Y4820" s="19" t="n"/>
    </row>
    <row r="4821">
      <c r="C4821" s="18" t="n"/>
      <c r="J4821" s="19" t="n"/>
      <c r="P4821" s="20" t="n"/>
      <c r="Q4821" s="19" t="n"/>
      <c r="R4821" s="19" t="n"/>
      <c r="Y4821" s="19" t="n"/>
    </row>
    <row r="4822">
      <c r="C4822" s="18" t="n"/>
      <c r="J4822" s="19" t="n"/>
      <c r="P4822" s="20" t="n"/>
      <c r="Q4822" s="19" t="n"/>
      <c r="R4822" s="19" t="n"/>
      <c r="Y4822" s="19" t="n"/>
    </row>
    <row r="4823">
      <c r="C4823" s="18" t="n"/>
      <c r="J4823" s="19" t="n"/>
      <c r="P4823" s="20" t="n"/>
      <c r="Q4823" s="19" t="n"/>
      <c r="R4823" s="19" t="n"/>
      <c r="Y4823" s="19" t="n"/>
    </row>
    <row r="4824">
      <c r="C4824" s="18" t="n"/>
      <c r="J4824" s="19" t="n"/>
      <c r="P4824" s="20" t="n"/>
      <c r="Q4824" s="19" t="n"/>
      <c r="R4824" s="19" t="n"/>
      <c r="Y4824" s="19" t="n"/>
    </row>
    <row r="4825">
      <c r="C4825" s="18" t="n"/>
      <c r="J4825" s="19" t="n"/>
      <c r="P4825" s="20" t="n"/>
      <c r="Q4825" s="19" t="n"/>
      <c r="R4825" s="19" t="n"/>
      <c r="Y4825" s="19" t="n"/>
    </row>
    <row r="4826">
      <c r="C4826" s="18" t="n"/>
      <c r="J4826" s="19" t="n"/>
      <c r="P4826" s="20" t="n"/>
      <c r="Q4826" s="19" t="n"/>
      <c r="R4826" s="19" t="n"/>
      <c r="Y4826" s="19" t="n"/>
    </row>
    <row r="4827">
      <c r="C4827" s="18" t="n"/>
      <c r="J4827" s="19" t="n"/>
      <c r="P4827" s="20" t="n"/>
      <c r="Q4827" s="19" t="n"/>
      <c r="R4827" s="19" t="n"/>
      <c r="Y4827" s="19" t="n"/>
    </row>
    <row r="4828">
      <c r="C4828" s="18" t="n"/>
      <c r="J4828" s="19" t="n"/>
      <c r="P4828" s="20" t="n"/>
      <c r="Q4828" s="19" t="n"/>
      <c r="R4828" s="19" t="n"/>
      <c r="Y4828" s="19" t="n"/>
    </row>
    <row r="4829">
      <c r="C4829" s="18" t="n"/>
      <c r="J4829" s="19" t="n"/>
      <c r="P4829" s="20" t="n"/>
      <c r="Q4829" s="19" t="n"/>
      <c r="R4829" s="19" t="n"/>
      <c r="Y4829" s="19" t="n"/>
    </row>
    <row r="4830">
      <c r="C4830" s="18" t="n"/>
      <c r="J4830" s="19" t="n"/>
      <c r="P4830" s="20" t="n"/>
      <c r="Q4830" s="19" t="n"/>
      <c r="R4830" s="19" t="n"/>
      <c r="Y4830" s="19" t="n"/>
    </row>
    <row r="4831">
      <c r="C4831" s="18" t="n"/>
      <c r="J4831" s="19" t="n"/>
      <c r="P4831" s="20" t="n"/>
      <c r="Q4831" s="19" t="n"/>
      <c r="R4831" s="19" t="n"/>
      <c r="Y4831" s="19" t="n"/>
    </row>
    <row r="4832">
      <c r="C4832" s="18" t="n"/>
      <c r="J4832" s="19" t="n"/>
      <c r="P4832" s="20" t="n"/>
      <c r="Q4832" s="19" t="n"/>
      <c r="R4832" s="19" t="n"/>
      <c r="Y4832" s="19" t="n"/>
    </row>
    <row r="4833">
      <c r="C4833" s="18" t="n"/>
      <c r="J4833" s="19" t="n"/>
      <c r="P4833" s="20" t="n"/>
      <c r="Q4833" s="19" t="n"/>
      <c r="R4833" s="19" t="n"/>
      <c r="Y4833" s="19" t="n"/>
    </row>
    <row r="4834">
      <c r="C4834" s="18" t="n"/>
      <c r="J4834" s="19" t="n"/>
      <c r="P4834" s="20" t="n"/>
      <c r="Q4834" s="19" t="n"/>
      <c r="R4834" s="19" t="n"/>
      <c r="Y4834" s="19" t="n"/>
    </row>
    <row r="4835">
      <c r="C4835" s="18" t="n"/>
      <c r="J4835" s="19" t="n"/>
      <c r="P4835" s="20" t="n"/>
      <c r="Q4835" s="19" t="n"/>
      <c r="R4835" s="19" t="n"/>
      <c r="Y4835" s="19" t="n"/>
    </row>
    <row r="4836">
      <c r="C4836" s="18" t="n"/>
      <c r="J4836" s="19" t="n"/>
      <c r="P4836" s="20" t="n"/>
      <c r="Q4836" s="19" t="n"/>
      <c r="R4836" s="19" t="n"/>
      <c r="Y4836" s="19" t="n"/>
    </row>
    <row r="4837">
      <c r="C4837" s="18" t="n"/>
      <c r="J4837" s="19" t="n"/>
      <c r="P4837" s="20" t="n"/>
      <c r="Q4837" s="19" t="n"/>
      <c r="R4837" s="19" t="n"/>
      <c r="Y4837" s="19" t="n"/>
    </row>
    <row r="4838">
      <c r="C4838" s="18" t="n"/>
      <c r="J4838" s="19" t="n"/>
      <c r="P4838" s="20" t="n"/>
      <c r="Q4838" s="19" t="n"/>
      <c r="R4838" s="19" t="n"/>
      <c r="Y4838" s="19" t="n"/>
    </row>
    <row r="4839">
      <c r="C4839" s="18" t="n"/>
      <c r="J4839" s="19" t="n"/>
      <c r="P4839" s="20" t="n"/>
      <c r="Q4839" s="19" t="n"/>
      <c r="R4839" s="19" t="n"/>
      <c r="Y4839" s="19" t="n"/>
    </row>
    <row r="4840">
      <c r="C4840" s="18" t="n"/>
      <c r="J4840" s="19" t="n"/>
      <c r="P4840" s="20" t="n"/>
      <c r="Q4840" s="19" t="n"/>
      <c r="R4840" s="19" t="n"/>
      <c r="Y4840" s="19" t="n"/>
    </row>
    <row r="4841">
      <c r="C4841" s="18" t="n"/>
      <c r="J4841" s="19" t="n"/>
      <c r="P4841" s="20" t="n"/>
      <c r="Q4841" s="19" t="n"/>
      <c r="R4841" s="19" t="n"/>
      <c r="Y4841" s="19" t="n"/>
    </row>
    <row r="4842">
      <c r="C4842" s="18" t="n"/>
      <c r="J4842" s="19" t="n"/>
      <c r="P4842" s="20" t="n"/>
      <c r="Q4842" s="19" t="n"/>
      <c r="R4842" s="19" t="n"/>
      <c r="Y4842" s="19" t="n"/>
    </row>
    <row r="4843">
      <c r="C4843" s="18" t="n"/>
      <c r="J4843" s="19" t="n"/>
      <c r="P4843" s="20" t="n"/>
      <c r="Q4843" s="19" t="n"/>
      <c r="R4843" s="19" t="n"/>
      <c r="Y4843" s="19" t="n"/>
    </row>
    <row r="4844">
      <c r="C4844" s="18" t="n"/>
      <c r="J4844" s="19" t="n"/>
      <c r="P4844" s="20" t="n"/>
      <c r="Q4844" s="19" t="n"/>
      <c r="R4844" s="19" t="n"/>
      <c r="Y4844" s="19" t="n"/>
    </row>
    <row r="4845">
      <c r="C4845" s="18" t="n"/>
      <c r="J4845" s="19" t="n"/>
      <c r="P4845" s="20" t="n"/>
      <c r="Q4845" s="19" t="n"/>
      <c r="R4845" s="19" t="n"/>
      <c r="Y4845" s="19" t="n"/>
    </row>
    <row r="4846">
      <c r="C4846" s="18" t="n"/>
      <c r="J4846" s="19" t="n"/>
      <c r="P4846" s="20" t="n"/>
      <c r="Q4846" s="19" t="n"/>
      <c r="R4846" s="19" t="n"/>
      <c r="Y4846" s="19" t="n"/>
    </row>
    <row r="4847">
      <c r="C4847" s="18" t="n"/>
      <c r="J4847" s="19" t="n"/>
      <c r="P4847" s="20" t="n"/>
      <c r="Q4847" s="19" t="n"/>
      <c r="R4847" s="19" t="n"/>
      <c r="Y4847" s="19" t="n"/>
    </row>
    <row r="4848">
      <c r="C4848" s="18" t="n"/>
      <c r="J4848" s="19" t="n"/>
      <c r="P4848" s="20" t="n"/>
      <c r="Q4848" s="19" t="n"/>
      <c r="R4848" s="19" t="n"/>
      <c r="Y4848" s="19" t="n"/>
    </row>
    <row r="4849">
      <c r="C4849" s="18" t="n"/>
      <c r="J4849" s="19" t="n"/>
      <c r="P4849" s="20" t="n"/>
      <c r="Q4849" s="19" t="n"/>
      <c r="R4849" s="19" t="n"/>
      <c r="Y4849" s="19" t="n"/>
    </row>
    <row r="4850">
      <c r="C4850" s="18" t="n"/>
      <c r="J4850" s="19" t="n"/>
      <c r="P4850" s="20" t="n"/>
      <c r="Q4850" s="19" t="n"/>
      <c r="R4850" s="19" t="n"/>
      <c r="Y4850" s="19" t="n"/>
    </row>
    <row r="4851">
      <c r="C4851" s="18" t="n"/>
      <c r="J4851" s="19" t="n"/>
      <c r="P4851" s="20" t="n"/>
      <c r="Q4851" s="19" t="n"/>
      <c r="R4851" s="19" t="n"/>
      <c r="Y4851" s="19" t="n"/>
    </row>
    <row r="4852">
      <c r="C4852" s="18" t="n"/>
      <c r="J4852" s="19" t="n"/>
      <c r="P4852" s="20" t="n"/>
      <c r="Q4852" s="19" t="n"/>
      <c r="R4852" s="19" t="n"/>
      <c r="Y4852" s="19" t="n"/>
    </row>
    <row r="4853">
      <c r="C4853" s="18" t="n"/>
      <c r="J4853" s="19" t="n"/>
      <c r="P4853" s="20" t="n"/>
      <c r="Q4853" s="19" t="n"/>
      <c r="R4853" s="19" t="n"/>
      <c r="Y4853" s="19" t="n"/>
    </row>
    <row r="4854">
      <c r="C4854" s="18" t="n"/>
      <c r="J4854" s="19" t="n"/>
      <c r="P4854" s="20" t="n"/>
      <c r="Q4854" s="19" t="n"/>
      <c r="R4854" s="19" t="n"/>
      <c r="Y4854" s="19" t="n"/>
    </row>
    <row r="4855">
      <c r="C4855" s="18" t="n"/>
      <c r="J4855" s="19" t="n"/>
      <c r="P4855" s="20" t="n"/>
      <c r="Q4855" s="19" t="n"/>
      <c r="R4855" s="19" t="n"/>
      <c r="Y4855" s="19" t="n"/>
    </row>
    <row r="4856">
      <c r="C4856" s="18" t="n"/>
      <c r="J4856" s="19" t="n"/>
      <c r="P4856" s="20" t="n"/>
      <c r="Q4856" s="19" t="n"/>
      <c r="R4856" s="19" t="n"/>
      <c r="Y4856" s="19" t="n"/>
    </row>
    <row r="4857">
      <c r="C4857" s="18" t="n"/>
      <c r="J4857" s="19" t="n"/>
      <c r="P4857" s="20" t="n"/>
      <c r="Q4857" s="19" t="n"/>
      <c r="R4857" s="19" t="n"/>
      <c r="Y4857" s="19" t="n"/>
    </row>
    <row r="4858">
      <c r="C4858" s="18" t="n"/>
      <c r="J4858" s="19" t="n"/>
      <c r="P4858" s="20" t="n"/>
      <c r="Q4858" s="19" t="n"/>
      <c r="R4858" s="19" t="n"/>
      <c r="Y4858" s="19" t="n"/>
    </row>
    <row r="4859">
      <c r="C4859" s="18" t="n"/>
      <c r="J4859" s="19" t="n"/>
      <c r="P4859" s="20" t="n"/>
      <c r="Q4859" s="19" t="n"/>
      <c r="R4859" s="19" t="n"/>
      <c r="Y4859" s="19" t="n"/>
    </row>
    <row r="4860">
      <c r="C4860" s="18" t="n"/>
      <c r="J4860" s="19" t="n"/>
      <c r="P4860" s="20" t="n"/>
      <c r="Q4860" s="19" t="n"/>
      <c r="R4860" s="19" t="n"/>
      <c r="Y4860" s="19" t="n"/>
    </row>
    <row r="4861">
      <c r="C4861" s="18" t="n"/>
      <c r="J4861" s="19" t="n"/>
      <c r="P4861" s="20" t="n"/>
      <c r="Q4861" s="19" t="n"/>
      <c r="R4861" s="19" t="n"/>
      <c r="Y4861" s="19" t="n"/>
    </row>
    <row r="4862">
      <c r="C4862" s="18" t="n"/>
      <c r="J4862" s="19" t="n"/>
      <c r="P4862" s="20" t="n"/>
      <c r="Q4862" s="19" t="n"/>
      <c r="R4862" s="19" t="n"/>
      <c r="Y4862" s="19" t="n"/>
    </row>
    <row r="4863">
      <c r="C4863" s="18" t="n"/>
      <c r="J4863" s="19" t="n"/>
      <c r="P4863" s="20" t="n"/>
      <c r="Q4863" s="19" t="n"/>
      <c r="R4863" s="19" t="n"/>
      <c r="Y4863" s="19" t="n"/>
    </row>
    <row r="4864">
      <c r="C4864" s="18" t="n"/>
      <c r="J4864" s="19" t="n"/>
      <c r="P4864" s="20" t="n"/>
      <c r="Q4864" s="19" t="n"/>
      <c r="R4864" s="19" t="n"/>
      <c r="Y4864" s="19" t="n"/>
    </row>
    <row r="4865">
      <c r="C4865" s="18" t="n"/>
      <c r="J4865" s="19" t="n"/>
      <c r="P4865" s="20" t="n"/>
      <c r="Q4865" s="19" t="n"/>
      <c r="R4865" s="19" t="n"/>
      <c r="Y4865" s="19" t="n"/>
    </row>
    <row r="4866">
      <c r="C4866" s="18" t="n"/>
      <c r="J4866" s="19" t="n"/>
      <c r="P4866" s="20" t="n"/>
      <c r="Q4866" s="19" t="n"/>
      <c r="R4866" s="19" t="n"/>
      <c r="Y4866" s="19" t="n"/>
    </row>
    <row r="4867">
      <c r="C4867" s="18" t="n"/>
      <c r="J4867" s="19" t="n"/>
      <c r="P4867" s="20" t="n"/>
      <c r="Q4867" s="19" t="n"/>
      <c r="R4867" s="19" t="n"/>
      <c r="Y4867" s="19" t="n"/>
    </row>
    <row r="4868">
      <c r="C4868" s="18" t="n"/>
      <c r="J4868" s="19" t="n"/>
      <c r="P4868" s="20" t="n"/>
      <c r="Q4868" s="19" t="n"/>
      <c r="R4868" s="19" t="n"/>
      <c r="Y4868" s="19" t="n"/>
    </row>
    <row r="4869">
      <c r="C4869" s="18" t="n"/>
      <c r="J4869" s="19" t="n"/>
      <c r="P4869" s="20" t="n"/>
      <c r="Q4869" s="19" t="n"/>
      <c r="R4869" s="19" t="n"/>
      <c r="Y4869" s="19" t="n"/>
    </row>
    <row r="4870">
      <c r="C4870" s="18" t="n"/>
      <c r="J4870" s="19" t="n"/>
      <c r="P4870" s="20" t="n"/>
      <c r="Q4870" s="19" t="n"/>
      <c r="R4870" s="19" t="n"/>
      <c r="Y4870" s="19" t="n"/>
    </row>
    <row r="4871">
      <c r="C4871" s="18" t="n"/>
      <c r="J4871" s="19" t="n"/>
      <c r="P4871" s="20" t="n"/>
      <c r="Q4871" s="19" t="n"/>
      <c r="R4871" s="19" t="n"/>
      <c r="Y4871" s="19" t="n"/>
    </row>
    <row r="4872">
      <c r="C4872" s="18" t="n"/>
      <c r="J4872" s="19" t="n"/>
      <c r="P4872" s="20" t="n"/>
      <c r="Q4872" s="19" t="n"/>
      <c r="R4872" s="19" t="n"/>
      <c r="Y4872" s="19" t="n"/>
    </row>
    <row r="4873">
      <c r="C4873" s="18" t="n"/>
      <c r="J4873" s="19" t="n"/>
      <c r="P4873" s="20" t="n"/>
      <c r="Q4873" s="19" t="n"/>
      <c r="R4873" s="19" t="n"/>
      <c r="Y4873" s="19" t="n"/>
    </row>
    <row r="4874">
      <c r="C4874" s="18" t="n"/>
      <c r="J4874" s="19" t="n"/>
      <c r="P4874" s="20" t="n"/>
      <c r="Q4874" s="19" t="n"/>
      <c r="R4874" s="19" t="n"/>
      <c r="Y4874" s="19" t="n"/>
    </row>
    <row r="4875">
      <c r="C4875" s="18" t="n"/>
      <c r="J4875" s="19" t="n"/>
      <c r="P4875" s="20" t="n"/>
      <c r="Q4875" s="19" t="n"/>
      <c r="R4875" s="19" t="n"/>
      <c r="Y4875" s="19" t="n"/>
    </row>
    <row r="4876">
      <c r="C4876" s="18" t="n"/>
      <c r="J4876" s="19" t="n"/>
      <c r="P4876" s="20" t="n"/>
      <c r="Q4876" s="19" t="n"/>
      <c r="R4876" s="19" t="n"/>
      <c r="Y4876" s="19" t="n"/>
    </row>
    <row r="4877">
      <c r="C4877" s="18" t="n"/>
      <c r="J4877" s="19" t="n"/>
      <c r="P4877" s="20" t="n"/>
      <c r="Q4877" s="19" t="n"/>
      <c r="R4877" s="19" t="n"/>
      <c r="Y4877" s="19" t="n"/>
    </row>
    <row r="4878">
      <c r="C4878" s="18" t="n"/>
      <c r="J4878" s="19" t="n"/>
      <c r="P4878" s="20" t="n"/>
      <c r="Q4878" s="19" t="n"/>
      <c r="R4878" s="19" t="n"/>
      <c r="Y4878" s="19" t="n"/>
    </row>
    <row r="4879">
      <c r="C4879" s="18" t="n"/>
      <c r="J4879" s="19" t="n"/>
      <c r="P4879" s="20" t="n"/>
      <c r="Q4879" s="19" t="n"/>
      <c r="R4879" s="19" t="n"/>
      <c r="Y4879" s="19" t="n"/>
    </row>
    <row r="4880">
      <c r="C4880" s="18" t="n"/>
      <c r="J4880" s="19" t="n"/>
      <c r="P4880" s="20" t="n"/>
      <c r="Q4880" s="19" t="n"/>
      <c r="R4880" s="19" t="n"/>
      <c r="Y4880" s="19" t="n"/>
    </row>
    <row r="4881">
      <c r="C4881" s="18" t="n"/>
      <c r="J4881" s="19" t="n"/>
      <c r="P4881" s="20" t="n"/>
      <c r="Q4881" s="19" t="n"/>
      <c r="R4881" s="19" t="n"/>
      <c r="Y4881" s="19" t="n"/>
    </row>
    <row r="4882">
      <c r="C4882" s="18" t="n"/>
      <c r="J4882" s="19" t="n"/>
      <c r="P4882" s="20" t="n"/>
      <c r="Q4882" s="19" t="n"/>
      <c r="R4882" s="19" t="n"/>
      <c r="Y4882" s="19" t="n"/>
    </row>
    <row r="4883">
      <c r="C4883" s="18" t="n"/>
      <c r="J4883" s="19" t="n"/>
      <c r="P4883" s="20" t="n"/>
      <c r="Q4883" s="19" t="n"/>
      <c r="R4883" s="19" t="n"/>
      <c r="Y4883" s="19" t="n"/>
    </row>
    <row r="4884">
      <c r="C4884" s="18" t="n"/>
      <c r="J4884" s="19" t="n"/>
      <c r="P4884" s="20" t="n"/>
      <c r="Q4884" s="19" t="n"/>
      <c r="R4884" s="19" t="n"/>
      <c r="Y4884" s="19" t="n"/>
    </row>
    <row r="4885">
      <c r="C4885" s="18" t="n"/>
      <c r="J4885" s="19" t="n"/>
      <c r="P4885" s="20" t="n"/>
      <c r="Q4885" s="19" t="n"/>
      <c r="R4885" s="19" t="n"/>
      <c r="Y4885" s="19" t="n"/>
    </row>
    <row r="4886">
      <c r="C4886" s="18" t="n"/>
      <c r="J4886" s="19" t="n"/>
      <c r="P4886" s="20" t="n"/>
      <c r="Q4886" s="19" t="n"/>
      <c r="R4886" s="19" t="n"/>
      <c r="Y4886" s="19" t="n"/>
    </row>
    <row r="4887">
      <c r="C4887" s="18" t="n"/>
      <c r="J4887" s="19" t="n"/>
      <c r="P4887" s="20" t="n"/>
      <c r="Q4887" s="19" t="n"/>
      <c r="R4887" s="19" t="n"/>
      <c r="Y4887" s="19" t="n"/>
    </row>
    <row r="4888">
      <c r="C4888" s="18" t="n"/>
      <c r="J4888" s="19" t="n"/>
      <c r="P4888" s="20" t="n"/>
      <c r="Q4888" s="19" t="n"/>
      <c r="R4888" s="19" t="n"/>
      <c r="Y4888" s="19" t="n"/>
    </row>
    <row r="4889">
      <c r="C4889" s="18" t="n"/>
      <c r="J4889" s="19" t="n"/>
      <c r="P4889" s="20" t="n"/>
      <c r="Q4889" s="19" t="n"/>
      <c r="R4889" s="19" t="n"/>
      <c r="Y4889" s="19" t="n"/>
    </row>
    <row r="4890">
      <c r="C4890" s="18" t="n"/>
      <c r="J4890" s="19" t="n"/>
      <c r="P4890" s="20" t="n"/>
      <c r="Q4890" s="19" t="n"/>
      <c r="R4890" s="19" t="n"/>
      <c r="Y4890" s="19" t="n"/>
    </row>
    <row r="4891">
      <c r="C4891" s="18" t="n"/>
      <c r="J4891" s="19" t="n"/>
      <c r="P4891" s="20" t="n"/>
      <c r="Q4891" s="19" t="n"/>
      <c r="R4891" s="19" t="n"/>
      <c r="Y4891" s="19" t="n"/>
    </row>
    <row r="4892">
      <c r="C4892" s="18" t="n"/>
      <c r="J4892" s="19" t="n"/>
      <c r="P4892" s="20" t="n"/>
      <c r="Q4892" s="19" t="n"/>
      <c r="R4892" s="19" t="n"/>
      <c r="Y4892" s="19" t="n"/>
    </row>
    <row r="4893">
      <c r="C4893" s="18" t="n"/>
      <c r="J4893" s="19" t="n"/>
      <c r="P4893" s="20" t="n"/>
      <c r="Q4893" s="19" t="n"/>
      <c r="R4893" s="19" t="n"/>
      <c r="Y4893" s="19" t="n"/>
    </row>
    <row r="4894">
      <c r="C4894" s="18" t="n"/>
      <c r="J4894" s="19" t="n"/>
      <c r="P4894" s="20" t="n"/>
      <c r="Q4894" s="19" t="n"/>
      <c r="R4894" s="19" t="n"/>
      <c r="Y4894" s="19" t="n"/>
    </row>
    <row r="4895">
      <c r="C4895" s="18" t="n"/>
      <c r="J4895" s="19" t="n"/>
      <c r="P4895" s="20" t="n"/>
      <c r="Q4895" s="19" t="n"/>
      <c r="R4895" s="19" t="n"/>
      <c r="Y4895" s="19" t="n"/>
    </row>
    <row r="4896">
      <c r="C4896" s="18" t="n"/>
      <c r="J4896" s="19" t="n"/>
      <c r="P4896" s="20" t="n"/>
      <c r="Q4896" s="19" t="n"/>
      <c r="R4896" s="19" t="n"/>
      <c r="Y4896" s="19" t="n"/>
    </row>
    <row r="4897">
      <c r="C4897" s="18" t="n"/>
      <c r="J4897" s="19" t="n"/>
      <c r="P4897" s="20" t="n"/>
      <c r="Q4897" s="19" t="n"/>
      <c r="R4897" s="19" t="n"/>
      <c r="Y4897" s="19" t="n"/>
    </row>
    <row r="4898">
      <c r="C4898" s="18" t="n"/>
      <c r="J4898" s="19" t="n"/>
      <c r="P4898" s="20" t="n"/>
      <c r="Q4898" s="19" t="n"/>
      <c r="R4898" s="19" t="n"/>
      <c r="Y4898" s="19" t="n"/>
    </row>
    <row r="4899">
      <c r="C4899" s="18" t="n"/>
      <c r="J4899" s="19" t="n"/>
      <c r="P4899" s="20" t="n"/>
      <c r="Q4899" s="19" t="n"/>
      <c r="R4899" s="19" t="n"/>
      <c r="Y4899" s="19" t="n"/>
    </row>
    <row r="4900">
      <c r="C4900" s="18" t="n"/>
      <c r="J4900" s="19" t="n"/>
      <c r="P4900" s="20" t="n"/>
      <c r="Q4900" s="19" t="n"/>
      <c r="R4900" s="19" t="n"/>
      <c r="Y4900" s="19" t="n"/>
    </row>
    <row r="4901">
      <c r="C4901" s="18" t="n"/>
      <c r="J4901" s="19" t="n"/>
      <c r="P4901" s="20" t="n"/>
      <c r="Q4901" s="19" t="n"/>
      <c r="R4901" s="19" t="n"/>
      <c r="Y4901" s="19" t="n"/>
    </row>
    <row r="4902">
      <c r="C4902" s="18" t="n"/>
      <c r="J4902" s="19" t="n"/>
      <c r="P4902" s="20" t="n"/>
      <c r="Q4902" s="19" t="n"/>
      <c r="R4902" s="19" t="n"/>
      <c r="Y4902" s="19" t="n"/>
    </row>
    <row r="4903">
      <c r="C4903" s="18" t="n"/>
      <c r="J4903" s="19" t="n"/>
      <c r="P4903" s="20" t="n"/>
      <c r="Q4903" s="19" t="n"/>
      <c r="R4903" s="19" t="n"/>
      <c r="Y4903" s="19" t="n"/>
    </row>
    <row r="4904">
      <c r="C4904" s="18" t="n"/>
      <c r="J4904" s="19" t="n"/>
      <c r="P4904" s="20" t="n"/>
      <c r="Q4904" s="19" t="n"/>
      <c r="R4904" s="19" t="n"/>
      <c r="Y4904" s="19" t="n"/>
    </row>
    <row r="4905">
      <c r="C4905" s="18" t="n"/>
      <c r="J4905" s="19" t="n"/>
      <c r="P4905" s="20" t="n"/>
      <c r="Q4905" s="19" t="n"/>
      <c r="R4905" s="19" t="n"/>
      <c r="Y4905" s="19" t="n"/>
    </row>
    <row r="4906">
      <c r="C4906" s="18" t="n"/>
      <c r="J4906" s="19" t="n"/>
      <c r="P4906" s="20" t="n"/>
      <c r="Q4906" s="19" t="n"/>
      <c r="R4906" s="19" t="n"/>
      <c r="Y4906" s="19" t="n"/>
    </row>
    <row r="4907">
      <c r="C4907" s="18" t="n"/>
      <c r="J4907" s="19" t="n"/>
      <c r="P4907" s="20" t="n"/>
      <c r="Q4907" s="19" t="n"/>
      <c r="R4907" s="19" t="n"/>
      <c r="Y4907" s="19" t="n"/>
    </row>
    <row r="4908">
      <c r="C4908" s="18" t="n"/>
      <c r="J4908" s="19" t="n"/>
      <c r="P4908" s="20" t="n"/>
      <c r="Q4908" s="19" t="n"/>
      <c r="R4908" s="19" t="n"/>
      <c r="Y4908" s="19" t="n"/>
    </row>
    <row r="4909">
      <c r="C4909" s="18" t="n"/>
      <c r="J4909" s="19" t="n"/>
      <c r="P4909" s="20" t="n"/>
      <c r="Q4909" s="19" t="n"/>
      <c r="R4909" s="19" t="n"/>
      <c r="Y4909" s="19" t="n"/>
    </row>
    <row r="4910">
      <c r="C4910" s="18" t="n"/>
      <c r="J4910" s="19" t="n"/>
      <c r="P4910" s="20" t="n"/>
      <c r="Q4910" s="19" t="n"/>
      <c r="R4910" s="19" t="n"/>
      <c r="Y4910" s="19" t="n"/>
    </row>
    <row r="4911">
      <c r="C4911" s="18" t="n"/>
      <c r="J4911" s="19" t="n"/>
      <c r="P4911" s="20" t="n"/>
      <c r="Q4911" s="19" t="n"/>
      <c r="R4911" s="19" t="n"/>
      <c r="Y4911" s="19" t="n"/>
    </row>
    <row r="4912">
      <c r="C4912" s="18" t="n"/>
      <c r="J4912" s="19" t="n"/>
      <c r="P4912" s="20" t="n"/>
      <c r="Q4912" s="19" t="n"/>
      <c r="R4912" s="19" t="n"/>
      <c r="Y4912" s="19" t="n"/>
    </row>
    <row r="4913">
      <c r="C4913" s="18" t="n"/>
      <c r="J4913" s="19" t="n"/>
      <c r="P4913" s="20" t="n"/>
      <c r="Q4913" s="19" t="n"/>
      <c r="R4913" s="19" t="n"/>
      <c r="Y4913" s="19" t="n"/>
    </row>
    <row r="4914">
      <c r="C4914" s="18" t="n"/>
      <c r="J4914" s="19" t="n"/>
      <c r="P4914" s="20" t="n"/>
      <c r="Q4914" s="19" t="n"/>
      <c r="R4914" s="19" t="n"/>
      <c r="Y4914" s="19" t="n"/>
    </row>
    <row r="4915">
      <c r="C4915" s="18" t="n"/>
      <c r="J4915" s="19" t="n"/>
      <c r="P4915" s="20" t="n"/>
      <c r="Q4915" s="19" t="n"/>
      <c r="R4915" s="19" t="n"/>
      <c r="Y4915" s="19" t="n"/>
    </row>
    <row r="4916">
      <c r="C4916" s="18" t="n"/>
      <c r="J4916" s="19" t="n"/>
      <c r="P4916" s="20" t="n"/>
      <c r="Q4916" s="19" t="n"/>
      <c r="R4916" s="19" t="n"/>
      <c r="Y4916" s="19" t="n"/>
    </row>
    <row r="4917">
      <c r="C4917" s="18" t="n"/>
      <c r="J4917" s="19" t="n"/>
      <c r="P4917" s="20" t="n"/>
      <c r="Q4917" s="19" t="n"/>
      <c r="R4917" s="19" t="n"/>
      <c r="Y4917" s="19" t="n"/>
    </row>
    <row r="4918">
      <c r="C4918" s="18" t="n"/>
      <c r="J4918" s="19" t="n"/>
      <c r="P4918" s="20" t="n"/>
      <c r="Q4918" s="19" t="n"/>
      <c r="R4918" s="19" t="n"/>
      <c r="Y4918" s="19" t="n"/>
    </row>
    <row r="4919">
      <c r="C4919" s="18" t="n"/>
      <c r="J4919" s="19" t="n"/>
      <c r="P4919" s="20" t="n"/>
      <c r="Q4919" s="19" t="n"/>
      <c r="R4919" s="19" t="n"/>
      <c r="Y4919" s="19" t="n"/>
    </row>
    <row r="4920">
      <c r="C4920" s="18" t="n"/>
      <c r="J4920" s="19" t="n"/>
      <c r="P4920" s="20" t="n"/>
      <c r="Q4920" s="19" t="n"/>
      <c r="R4920" s="19" t="n"/>
      <c r="Y4920" s="19" t="n"/>
    </row>
    <row r="4921">
      <c r="C4921" s="18" t="n"/>
      <c r="J4921" s="19" t="n"/>
      <c r="P4921" s="20" t="n"/>
      <c r="Q4921" s="19" t="n"/>
      <c r="R4921" s="19" t="n"/>
      <c r="Y4921" s="19" t="n"/>
    </row>
    <row r="4922">
      <c r="C4922" s="18" t="n"/>
      <c r="J4922" s="19" t="n"/>
      <c r="P4922" s="20" t="n"/>
      <c r="Q4922" s="19" t="n"/>
      <c r="R4922" s="19" t="n"/>
      <c r="Y4922" s="19" t="n"/>
    </row>
    <row r="4923">
      <c r="C4923" s="18" t="n"/>
      <c r="J4923" s="19" t="n"/>
      <c r="P4923" s="20" t="n"/>
      <c r="Q4923" s="19" t="n"/>
      <c r="R4923" s="19" t="n"/>
      <c r="Y4923" s="19" t="n"/>
    </row>
    <row r="4924">
      <c r="C4924" s="18" t="n"/>
      <c r="J4924" s="19" t="n"/>
      <c r="P4924" s="20" t="n"/>
      <c r="Q4924" s="19" t="n"/>
      <c r="R4924" s="19" t="n"/>
      <c r="Y4924" s="19" t="n"/>
    </row>
    <row r="4925">
      <c r="C4925" s="18" t="n"/>
      <c r="J4925" s="19" t="n"/>
      <c r="P4925" s="20" t="n"/>
      <c r="Q4925" s="19" t="n"/>
      <c r="R4925" s="19" t="n"/>
      <c r="Y4925" s="19" t="n"/>
    </row>
    <row r="4926">
      <c r="C4926" s="18" t="n"/>
      <c r="J4926" s="19" t="n"/>
      <c r="P4926" s="20" t="n"/>
      <c r="Q4926" s="19" t="n"/>
      <c r="R4926" s="19" t="n"/>
      <c r="Y4926" s="19" t="n"/>
    </row>
    <row r="4927">
      <c r="C4927" s="18" t="n"/>
      <c r="J4927" s="19" t="n"/>
      <c r="P4927" s="20" t="n"/>
      <c r="Q4927" s="19" t="n"/>
      <c r="R4927" s="19" t="n"/>
      <c r="Y4927" s="19" t="n"/>
    </row>
    <row r="4928">
      <c r="C4928" s="18" t="n"/>
      <c r="J4928" s="19" t="n"/>
      <c r="P4928" s="20" t="n"/>
      <c r="Q4928" s="19" t="n"/>
      <c r="R4928" s="19" t="n"/>
      <c r="Y4928" s="19" t="n"/>
    </row>
    <row r="4929">
      <c r="C4929" s="18" t="n"/>
      <c r="J4929" s="19" t="n"/>
      <c r="P4929" s="20" t="n"/>
      <c r="Q4929" s="19" t="n"/>
      <c r="R4929" s="19" t="n"/>
      <c r="Y4929" s="19" t="n"/>
    </row>
    <row r="4930">
      <c r="C4930" s="18" t="n"/>
      <c r="J4930" s="19" t="n"/>
      <c r="P4930" s="20" t="n"/>
      <c r="Q4930" s="19" t="n"/>
      <c r="R4930" s="19" t="n"/>
      <c r="Y4930" s="19" t="n"/>
    </row>
    <row r="4931">
      <c r="C4931" s="18" t="n"/>
      <c r="J4931" s="19" t="n"/>
      <c r="P4931" s="20" t="n"/>
      <c r="Q4931" s="19" t="n"/>
      <c r="R4931" s="19" t="n"/>
      <c r="Y4931" s="19" t="n"/>
    </row>
    <row r="4932">
      <c r="C4932" s="18" t="n"/>
      <c r="J4932" s="19" t="n"/>
      <c r="P4932" s="20" t="n"/>
      <c r="Q4932" s="19" t="n"/>
      <c r="R4932" s="19" t="n"/>
      <c r="Y4932" s="19" t="n"/>
    </row>
    <row r="4933">
      <c r="C4933" s="18" t="n"/>
      <c r="J4933" s="19" t="n"/>
      <c r="P4933" s="20" t="n"/>
      <c r="Q4933" s="19" t="n"/>
      <c r="R4933" s="19" t="n"/>
      <c r="Y4933" s="19" t="n"/>
    </row>
    <row r="4934">
      <c r="C4934" s="18" t="n"/>
      <c r="J4934" s="19" t="n"/>
      <c r="P4934" s="20" t="n"/>
      <c r="Q4934" s="19" t="n"/>
      <c r="R4934" s="19" t="n"/>
      <c r="Y4934" s="19" t="n"/>
    </row>
    <row r="4935">
      <c r="C4935" s="18" t="n"/>
      <c r="J4935" s="19" t="n"/>
      <c r="P4935" s="20" t="n"/>
      <c r="Q4935" s="19" t="n"/>
      <c r="R4935" s="19" t="n"/>
      <c r="Y4935" s="19" t="n"/>
    </row>
    <row r="4936">
      <c r="C4936" s="18" t="n"/>
      <c r="J4936" s="19" t="n"/>
      <c r="P4936" s="20" t="n"/>
      <c r="Q4936" s="19" t="n"/>
      <c r="R4936" s="19" t="n"/>
      <c r="Y4936" s="19" t="n"/>
    </row>
    <row r="4937">
      <c r="C4937" s="18" t="n"/>
      <c r="J4937" s="19" t="n"/>
      <c r="P4937" s="20" t="n"/>
      <c r="Q4937" s="19" t="n"/>
      <c r="R4937" s="19" t="n"/>
      <c r="Y4937" s="19" t="n"/>
    </row>
    <row r="4938">
      <c r="C4938" s="18" t="n"/>
      <c r="J4938" s="19" t="n"/>
      <c r="P4938" s="20" t="n"/>
      <c r="Q4938" s="19" t="n"/>
      <c r="R4938" s="19" t="n"/>
      <c r="Y4938" s="19" t="n"/>
    </row>
    <row r="4939">
      <c r="C4939" s="18" t="n"/>
      <c r="J4939" s="19" t="n"/>
      <c r="P4939" s="20" t="n"/>
      <c r="Q4939" s="19" t="n"/>
      <c r="R4939" s="19" t="n"/>
      <c r="Y4939" s="19" t="n"/>
    </row>
    <row r="4940">
      <c r="C4940" s="18" t="n"/>
      <c r="J4940" s="19" t="n"/>
      <c r="P4940" s="20" t="n"/>
      <c r="Q4940" s="19" t="n"/>
      <c r="R4940" s="19" t="n"/>
      <c r="Y4940" s="19" t="n"/>
    </row>
    <row r="4941">
      <c r="C4941" s="18" t="n"/>
      <c r="J4941" s="19" t="n"/>
      <c r="P4941" s="20" t="n"/>
      <c r="Q4941" s="19" t="n"/>
      <c r="R4941" s="19" t="n"/>
      <c r="Y4941" s="19" t="n"/>
    </row>
    <row r="4942">
      <c r="C4942" s="18" t="n"/>
      <c r="J4942" s="19" t="n"/>
      <c r="P4942" s="20" t="n"/>
      <c r="Q4942" s="19" t="n"/>
      <c r="R4942" s="19" t="n"/>
      <c r="Y4942" s="19" t="n"/>
    </row>
    <row r="4943">
      <c r="C4943" s="18" t="n"/>
      <c r="J4943" s="19" t="n"/>
      <c r="P4943" s="20" t="n"/>
      <c r="Q4943" s="19" t="n"/>
      <c r="R4943" s="19" t="n"/>
      <c r="Y4943" s="19" t="n"/>
    </row>
    <row r="4944">
      <c r="C4944" s="18" t="n"/>
      <c r="J4944" s="19" t="n"/>
      <c r="P4944" s="20" t="n"/>
      <c r="Q4944" s="19" t="n"/>
      <c r="R4944" s="19" t="n"/>
      <c r="Y4944" s="19" t="n"/>
    </row>
    <row r="4945">
      <c r="C4945" s="18" t="n"/>
      <c r="J4945" s="19" t="n"/>
      <c r="P4945" s="20" t="n"/>
      <c r="Q4945" s="19" t="n"/>
      <c r="R4945" s="19" t="n"/>
      <c r="Y4945" s="19" t="n"/>
    </row>
    <row r="4946">
      <c r="C4946" s="18" t="n"/>
      <c r="J4946" s="19" t="n"/>
      <c r="P4946" s="20" t="n"/>
      <c r="Q4946" s="19" t="n"/>
      <c r="R4946" s="19" t="n"/>
      <c r="Y4946" s="19" t="n"/>
    </row>
    <row r="4947">
      <c r="C4947" s="18" t="n"/>
      <c r="J4947" s="19" t="n"/>
      <c r="P4947" s="20" t="n"/>
      <c r="Q4947" s="19" t="n"/>
      <c r="R4947" s="19" t="n"/>
      <c r="Y4947" s="19" t="n"/>
    </row>
    <row r="4948">
      <c r="C4948" s="18" t="n"/>
      <c r="J4948" s="19" t="n"/>
      <c r="P4948" s="20" t="n"/>
      <c r="Q4948" s="19" t="n"/>
      <c r="R4948" s="19" t="n"/>
      <c r="Y4948" s="19" t="n"/>
    </row>
    <row r="4949">
      <c r="C4949" s="18" t="n"/>
      <c r="J4949" s="19" t="n"/>
      <c r="P4949" s="20" t="n"/>
      <c r="Q4949" s="19" t="n"/>
      <c r="R4949" s="19" t="n"/>
      <c r="Y4949" s="19" t="n"/>
    </row>
    <row r="4950">
      <c r="C4950" s="18" t="n"/>
      <c r="J4950" s="19" t="n"/>
      <c r="P4950" s="20" t="n"/>
      <c r="Q4950" s="19" t="n"/>
      <c r="R4950" s="19" t="n"/>
      <c r="Y4950" s="19" t="n"/>
    </row>
    <row r="4951">
      <c r="C4951" s="18" t="n"/>
      <c r="J4951" s="19" t="n"/>
      <c r="P4951" s="20" t="n"/>
      <c r="Q4951" s="19" t="n"/>
      <c r="R4951" s="19" t="n"/>
      <c r="Y4951" s="19" t="n"/>
    </row>
    <row r="4952">
      <c r="C4952" s="18" t="n"/>
      <c r="J4952" s="19" t="n"/>
      <c r="P4952" s="20" t="n"/>
      <c r="Q4952" s="19" t="n"/>
      <c r="R4952" s="19" t="n"/>
      <c r="Y4952" s="19" t="n"/>
    </row>
    <row r="4953">
      <c r="C4953" s="18" t="n"/>
      <c r="J4953" s="19" t="n"/>
      <c r="P4953" s="20" t="n"/>
      <c r="Q4953" s="19" t="n"/>
      <c r="R4953" s="19" t="n"/>
      <c r="Y4953" s="19" t="n"/>
    </row>
    <row r="4954">
      <c r="C4954" s="18" t="n"/>
      <c r="J4954" s="19" t="n"/>
      <c r="P4954" s="20" t="n"/>
      <c r="Q4954" s="19" t="n"/>
      <c r="R4954" s="19" t="n"/>
      <c r="Y4954" s="19" t="n"/>
    </row>
    <row r="4955">
      <c r="C4955" s="18" t="n"/>
      <c r="J4955" s="19" t="n"/>
      <c r="P4955" s="20" t="n"/>
      <c r="Q4955" s="19" t="n"/>
      <c r="R4955" s="19" t="n"/>
      <c r="Y4955" s="19" t="n"/>
    </row>
    <row r="4956">
      <c r="C4956" s="18" t="n"/>
      <c r="J4956" s="19" t="n"/>
      <c r="P4956" s="20" t="n"/>
      <c r="Q4956" s="19" t="n"/>
      <c r="R4956" s="19" t="n"/>
      <c r="Y4956" s="19" t="n"/>
    </row>
    <row r="4957">
      <c r="C4957" s="18" t="n"/>
      <c r="J4957" s="19" t="n"/>
      <c r="P4957" s="20" t="n"/>
      <c r="Q4957" s="19" t="n"/>
      <c r="R4957" s="19" t="n"/>
      <c r="Y4957" s="19" t="n"/>
    </row>
    <row r="4958">
      <c r="C4958" s="18" t="n"/>
      <c r="J4958" s="19" t="n"/>
      <c r="P4958" s="20" t="n"/>
      <c r="Q4958" s="19" t="n"/>
      <c r="R4958" s="19" t="n"/>
      <c r="Y4958" s="19" t="n"/>
    </row>
    <row r="4959">
      <c r="C4959" s="18" t="n"/>
      <c r="J4959" s="19" t="n"/>
      <c r="P4959" s="20" t="n"/>
      <c r="Q4959" s="19" t="n"/>
      <c r="R4959" s="19" t="n"/>
      <c r="Y4959" s="19" t="n"/>
    </row>
    <row r="4960">
      <c r="C4960" s="18" t="n"/>
      <c r="J4960" s="19" t="n"/>
      <c r="P4960" s="20" t="n"/>
      <c r="Q4960" s="19" t="n"/>
      <c r="R4960" s="19" t="n"/>
      <c r="Y4960" s="19" t="n"/>
    </row>
    <row r="4961">
      <c r="C4961" s="18" t="n"/>
      <c r="J4961" s="19" t="n"/>
      <c r="P4961" s="20" t="n"/>
      <c r="Q4961" s="19" t="n"/>
      <c r="R4961" s="19" t="n"/>
      <c r="Y4961" s="19" t="n"/>
    </row>
    <row r="4962">
      <c r="C4962" s="18" t="n"/>
      <c r="J4962" s="19" t="n"/>
      <c r="P4962" s="20" t="n"/>
      <c r="Q4962" s="19" t="n"/>
      <c r="R4962" s="19" t="n"/>
      <c r="Y4962" s="19" t="n"/>
    </row>
    <row r="4963">
      <c r="C4963" s="18" t="n"/>
      <c r="J4963" s="19" t="n"/>
      <c r="P4963" s="20" t="n"/>
      <c r="Q4963" s="19" t="n"/>
      <c r="R4963" s="19" t="n"/>
      <c r="Y4963" s="19" t="n"/>
    </row>
    <row r="4964">
      <c r="C4964" s="18" t="n"/>
      <c r="J4964" s="19" t="n"/>
      <c r="P4964" s="20" t="n"/>
      <c r="Q4964" s="19" t="n"/>
      <c r="R4964" s="19" t="n"/>
      <c r="Y4964" s="19" t="n"/>
    </row>
    <row r="4965">
      <c r="C4965" s="18" t="n"/>
      <c r="J4965" s="19" t="n"/>
      <c r="P4965" s="20" t="n"/>
      <c r="Q4965" s="19" t="n"/>
      <c r="R4965" s="19" t="n"/>
      <c r="Y4965" s="19" t="n"/>
    </row>
    <row r="4966">
      <c r="C4966" s="18" t="n"/>
      <c r="J4966" s="19" t="n"/>
      <c r="P4966" s="20" t="n"/>
      <c r="Q4966" s="19" t="n"/>
      <c r="R4966" s="19" t="n"/>
      <c r="Y4966" s="19" t="n"/>
    </row>
    <row r="4967">
      <c r="C4967" s="18" t="n"/>
      <c r="J4967" s="19" t="n"/>
      <c r="P4967" s="20" t="n"/>
      <c r="Q4967" s="19" t="n"/>
      <c r="R4967" s="19" t="n"/>
      <c r="Y4967" s="19" t="n"/>
    </row>
    <row r="4968">
      <c r="C4968" s="18" t="n"/>
      <c r="J4968" s="19" t="n"/>
      <c r="P4968" s="20" t="n"/>
      <c r="Q4968" s="19" t="n"/>
      <c r="R4968" s="19" t="n"/>
      <c r="Y4968" s="19" t="n"/>
    </row>
    <row r="4969">
      <c r="C4969" s="18" t="n"/>
      <c r="J4969" s="19" t="n"/>
      <c r="P4969" s="20" t="n"/>
      <c r="Q4969" s="19" t="n"/>
      <c r="R4969" s="19" t="n"/>
      <c r="Y4969" s="19" t="n"/>
    </row>
    <row r="4970">
      <c r="C4970" s="18" t="n"/>
      <c r="J4970" s="19" t="n"/>
      <c r="P4970" s="20" t="n"/>
      <c r="Q4970" s="19" t="n"/>
      <c r="R4970" s="19" t="n"/>
      <c r="Y4970" s="19" t="n"/>
    </row>
    <row r="4971">
      <c r="C4971" s="18" t="n"/>
      <c r="J4971" s="19" t="n"/>
      <c r="P4971" s="20" t="n"/>
      <c r="Q4971" s="19" t="n"/>
      <c r="R4971" s="19" t="n"/>
      <c r="Y4971" s="19" t="n"/>
    </row>
    <row r="4972">
      <c r="C4972" s="18" t="n"/>
      <c r="J4972" s="19" t="n"/>
      <c r="P4972" s="20" t="n"/>
      <c r="Q4972" s="19" t="n"/>
      <c r="R4972" s="19" t="n"/>
      <c r="Y4972" s="19" t="n"/>
    </row>
    <row r="4973">
      <c r="C4973" s="18" t="n"/>
      <c r="J4973" s="19" t="n"/>
      <c r="P4973" s="20" t="n"/>
      <c r="Q4973" s="19" t="n"/>
      <c r="R4973" s="19" t="n"/>
      <c r="Y4973" s="19" t="n"/>
    </row>
    <row r="4974">
      <c r="C4974" s="18" t="n"/>
      <c r="J4974" s="19" t="n"/>
      <c r="P4974" s="20" t="n"/>
      <c r="Q4974" s="19" t="n"/>
      <c r="R4974" s="19" t="n"/>
      <c r="Y4974" s="19" t="n"/>
    </row>
    <row r="4975">
      <c r="C4975" s="18" t="n"/>
      <c r="J4975" s="19" t="n"/>
      <c r="P4975" s="20" t="n"/>
      <c r="Q4975" s="19" t="n"/>
      <c r="R4975" s="19" t="n"/>
      <c r="Y4975" s="19" t="n"/>
    </row>
    <row r="4976">
      <c r="C4976" s="18" t="n"/>
      <c r="J4976" s="19" t="n"/>
      <c r="P4976" s="20" t="n"/>
      <c r="Q4976" s="19" t="n"/>
      <c r="R4976" s="19" t="n"/>
      <c r="Y4976" s="19" t="n"/>
    </row>
    <row r="4977">
      <c r="C4977" s="18" t="n"/>
      <c r="J4977" s="19" t="n"/>
      <c r="P4977" s="20" t="n"/>
      <c r="Q4977" s="19" t="n"/>
      <c r="R4977" s="19" t="n"/>
      <c r="Y4977" s="19" t="n"/>
    </row>
    <row r="4978">
      <c r="C4978" s="18" t="n"/>
      <c r="J4978" s="19" t="n"/>
      <c r="P4978" s="20" t="n"/>
      <c r="Q4978" s="19" t="n"/>
      <c r="R4978" s="19" t="n"/>
      <c r="Y4978" s="19" t="n"/>
    </row>
    <row r="4979">
      <c r="C4979" s="18" t="n"/>
      <c r="J4979" s="19" t="n"/>
      <c r="P4979" s="20" t="n"/>
      <c r="Q4979" s="19" t="n"/>
      <c r="R4979" s="19" t="n"/>
      <c r="Y4979" s="19" t="n"/>
    </row>
    <row r="4980">
      <c r="C4980" s="18" t="n"/>
      <c r="J4980" s="19" t="n"/>
      <c r="P4980" s="20" t="n"/>
      <c r="Q4980" s="19" t="n"/>
      <c r="R4980" s="19" t="n"/>
      <c r="Y4980" s="19" t="n"/>
    </row>
    <row r="4981">
      <c r="C4981" s="18" t="n"/>
      <c r="J4981" s="19" t="n"/>
      <c r="P4981" s="20" t="n"/>
      <c r="Q4981" s="19" t="n"/>
      <c r="R4981" s="19" t="n"/>
      <c r="Y4981" s="19" t="n"/>
    </row>
    <row r="4982">
      <c r="C4982" s="18" t="n"/>
      <c r="J4982" s="19" t="n"/>
      <c r="P4982" s="20" t="n"/>
      <c r="Q4982" s="19" t="n"/>
      <c r="R4982" s="19" t="n"/>
      <c r="Y4982" s="19" t="n"/>
    </row>
    <row r="4983">
      <c r="C4983" s="18" t="n"/>
      <c r="J4983" s="19" t="n"/>
      <c r="P4983" s="20" t="n"/>
      <c r="Q4983" s="19" t="n"/>
      <c r="R4983" s="19" t="n"/>
      <c r="Y4983" s="19" t="n"/>
    </row>
    <row r="4984">
      <c r="C4984" s="18" t="n"/>
      <c r="J4984" s="19" t="n"/>
      <c r="P4984" s="20" t="n"/>
      <c r="Q4984" s="19" t="n"/>
      <c r="R4984" s="19" t="n"/>
      <c r="Y4984" s="19" t="n"/>
    </row>
    <row r="4985">
      <c r="C4985" s="18" t="n"/>
      <c r="J4985" s="19" t="n"/>
      <c r="P4985" s="20" t="n"/>
      <c r="Q4985" s="19" t="n"/>
      <c r="R4985" s="19" t="n"/>
      <c r="Y4985" s="19" t="n"/>
    </row>
    <row r="4986">
      <c r="C4986" s="18" t="n"/>
      <c r="J4986" s="19" t="n"/>
      <c r="P4986" s="20" t="n"/>
      <c r="Q4986" s="19" t="n"/>
      <c r="R4986" s="19" t="n"/>
      <c r="Y4986" s="19" t="n"/>
    </row>
    <row r="4987">
      <c r="C4987" s="18" t="n"/>
      <c r="J4987" s="19" t="n"/>
      <c r="P4987" s="20" t="n"/>
      <c r="Q4987" s="19" t="n"/>
      <c r="R4987" s="19" t="n"/>
      <c r="Y4987" s="19" t="n"/>
    </row>
    <row r="4988">
      <c r="C4988" s="18" t="n"/>
      <c r="J4988" s="19" t="n"/>
      <c r="P4988" s="20" t="n"/>
      <c r="Q4988" s="19" t="n"/>
      <c r="R4988" s="19" t="n"/>
      <c r="Y4988" s="19" t="n"/>
    </row>
    <row r="4989">
      <c r="C4989" s="18" t="n"/>
      <c r="J4989" s="19" t="n"/>
      <c r="P4989" s="20" t="n"/>
      <c r="Q4989" s="19" t="n"/>
      <c r="R4989" s="19" t="n"/>
      <c r="Y4989" s="19" t="n"/>
    </row>
    <row r="4990">
      <c r="C4990" s="18" t="n"/>
      <c r="J4990" s="19" t="n"/>
      <c r="P4990" s="20" t="n"/>
      <c r="Q4990" s="19" t="n"/>
      <c r="R4990" s="19" t="n"/>
      <c r="Y4990" s="19" t="n"/>
    </row>
    <row r="4991">
      <c r="C4991" s="18" t="n"/>
      <c r="J4991" s="19" t="n"/>
      <c r="P4991" s="20" t="n"/>
      <c r="Q4991" s="19" t="n"/>
      <c r="R4991" s="19" t="n"/>
      <c r="Y4991" s="19" t="n"/>
    </row>
    <row r="4992">
      <c r="C4992" s="18" t="n"/>
      <c r="J4992" s="19" t="n"/>
      <c r="P4992" s="20" t="n"/>
      <c r="Q4992" s="19" t="n"/>
      <c r="R4992" s="19" t="n"/>
      <c r="Y4992" s="19" t="n"/>
    </row>
    <row r="4993">
      <c r="C4993" s="18" t="n"/>
      <c r="J4993" s="19" t="n"/>
      <c r="P4993" s="20" t="n"/>
      <c r="Q4993" s="19" t="n"/>
      <c r="R4993" s="19" t="n"/>
      <c r="Y4993" s="19" t="n"/>
    </row>
    <row r="4994">
      <c r="C4994" s="18" t="n"/>
      <c r="J4994" s="19" t="n"/>
      <c r="P4994" s="20" t="n"/>
      <c r="Q4994" s="19" t="n"/>
      <c r="R4994" s="19" t="n"/>
      <c r="Y4994" s="19" t="n"/>
    </row>
    <row r="4995">
      <c r="C4995" s="18" t="n"/>
      <c r="J4995" s="19" t="n"/>
      <c r="P4995" s="20" t="n"/>
      <c r="Q4995" s="19" t="n"/>
      <c r="R4995" s="19" t="n"/>
      <c r="Y4995" s="19" t="n"/>
    </row>
    <row r="4996">
      <c r="C4996" s="18" t="n"/>
      <c r="J4996" s="19" t="n"/>
      <c r="P4996" s="20" t="n"/>
      <c r="Q4996" s="19" t="n"/>
      <c r="R4996" s="19" t="n"/>
      <c r="Y4996" s="19" t="n"/>
    </row>
    <row r="4997">
      <c r="C4997" s="18" t="n"/>
      <c r="J4997" s="19" t="n"/>
      <c r="P4997" s="20" t="n"/>
      <c r="Q4997" s="19" t="n"/>
      <c r="R4997" s="19" t="n"/>
      <c r="Y4997" s="19" t="n"/>
    </row>
    <row r="4998">
      <c r="C4998" s="18" t="n"/>
      <c r="J4998" s="19" t="n"/>
      <c r="P4998" s="20" t="n"/>
      <c r="Q4998" s="19" t="n"/>
      <c r="R4998" s="19" t="n"/>
      <c r="Y4998" s="19" t="n"/>
    </row>
    <row r="4999">
      <c r="C4999" s="18" t="n"/>
      <c r="J4999" s="19" t="n"/>
      <c r="P4999" s="20" t="n"/>
      <c r="Q4999" s="19" t="n"/>
      <c r="R4999" s="19" t="n"/>
      <c r="Y4999" s="19" t="n"/>
    </row>
    <row r="5000">
      <c r="C5000" s="18" t="n"/>
      <c r="J5000" s="19" t="n"/>
      <c r="P5000" s="20" t="n"/>
      <c r="Q5000" s="19" t="n"/>
      <c r="R5000" s="19" t="n"/>
      <c r="Y5000" s="19" t="n"/>
    </row>
    <row r="5001">
      <c r="C5001" s="18" t="n"/>
      <c r="J5001" s="19" t="n"/>
      <c r="P5001" s="20" t="n"/>
      <c r="Q5001" s="19" t="n"/>
      <c r="R5001" s="19" t="n"/>
      <c r="Y5001" s="19" t="n"/>
    </row>
    <row r="5002">
      <c r="C5002" s="18" t="n"/>
      <c r="J5002" s="19" t="n"/>
      <c r="P5002" s="20" t="n"/>
      <c r="Q5002" s="19" t="n"/>
      <c r="R5002" s="19" t="n"/>
      <c r="Y5002" s="19" t="n"/>
    </row>
    <row r="5003">
      <c r="C5003" s="18" t="n"/>
      <c r="J5003" s="19" t="n"/>
      <c r="P5003" s="20" t="n"/>
      <c r="Q5003" s="19" t="n"/>
      <c r="R5003" s="19" t="n"/>
      <c r="Y5003" s="19" t="n"/>
    </row>
    <row r="5004">
      <c r="C5004" s="18" t="n"/>
      <c r="J5004" s="19" t="n"/>
      <c r="P5004" s="20" t="n"/>
      <c r="Q5004" s="19" t="n"/>
      <c r="R5004" s="19" t="n"/>
      <c r="Y5004" s="19" t="n"/>
    </row>
    <row r="5005">
      <c r="C5005" s="18" t="n"/>
      <c r="J5005" s="19" t="n"/>
      <c r="P5005" s="20" t="n"/>
      <c r="Q5005" s="19" t="n"/>
      <c r="R5005" s="19" t="n"/>
      <c r="Y5005" s="19" t="n"/>
    </row>
    <row r="5006">
      <c r="C5006" s="18" t="n"/>
      <c r="J5006" s="19" t="n"/>
      <c r="P5006" s="20" t="n"/>
      <c r="Q5006" s="19" t="n"/>
      <c r="R5006" s="19" t="n"/>
      <c r="Y5006" s="19" t="n"/>
    </row>
    <row r="5007">
      <c r="C5007" s="18" t="n"/>
      <c r="J5007" s="19" t="n"/>
      <c r="P5007" s="20" t="n"/>
      <c r="Q5007" s="19" t="n"/>
      <c r="R5007" s="19" t="n"/>
      <c r="Y5007" s="19" t="n"/>
    </row>
    <row r="5008">
      <c r="C5008" s="18" t="n"/>
      <c r="J5008" s="19" t="n"/>
      <c r="P5008" s="20" t="n"/>
      <c r="Q5008" s="19" t="n"/>
      <c r="R5008" s="19" t="n"/>
      <c r="Y5008" s="19" t="n"/>
    </row>
    <row r="5009">
      <c r="C5009" s="18" t="n"/>
      <c r="J5009" s="19" t="n"/>
      <c r="P5009" s="20" t="n"/>
      <c r="Q5009" s="19" t="n"/>
      <c r="R5009" s="19" t="n"/>
      <c r="Y5009" s="19" t="n"/>
    </row>
    <row r="5010">
      <c r="C5010" s="18" t="n"/>
      <c r="J5010" s="19" t="n"/>
      <c r="P5010" s="20" t="n"/>
      <c r="Q5010" s="19" t="n"/>
      <c r="R5010" s="19" t="n"/>
      <c r="Y5010" s="19" t="n"/>
    </row>
    <row r="5011">
      <c r="C5011" s="18" t="n"/>
      <c r="J5011" s="19" t="n"/>
      <c r="P5011" s="20" t="n"/>
      <c r="Q5011" s="19" t="n"/>
      <c r="R5011" s="19" t="n"/>
      <c r="Y5011" s="19" t="n"/>
    </row>
    <row r="5012">
      <c r="C5012" s="18" t="n"/>
      <c r="J5012" s="19" t="n"/>
      <c r="P5012" s="20" t="n"/>
      <c r="Q5012" s="19" t="n"/>
      <c r="R5012" s="19" t="n"/>
      <c r="Y5012" s="19" t="n"/>
    </row>
    <row r="5013">
      <c r="C5013" s="18" t="n"/>
      <c r="J5013" s="19" t="n"/>
      <c r="P5013" s="20" t="n"/>
      <c r="Q5013" s="19" t="n"/>
      <c r="R5013" s="19" t="n"/>
      <c r="Y5013" s="19" t="n"/>
    </row>
    <row r="5014">
      <c r="C5014" s="18" t="n"/>
      <c r="J5014" s="19" t="n"/>
      <c r="P5014" s="20" t="n"/>
      <c r="Q5014" s="19" t="n"/>
      <c r="R5014" s="19" t="n"/>
      <c r="Y5014" s="19" t="n"/>
    </row>
    <row r="5015">
      <c r="C5015" s="18" t="n"/>
      <c r="J5015" s="19" t="n"/>
      <c r="P5015" s="20" t="n"/>
      <c r="Q5015" s="19" t="n"/>
      <c r="R5015" s="19" t="n"/>
      <c r="Y5015" s="19" t="n"/>
    </row>
    <row r="5016">
      <c r="C5016" s="18" t="n"/>
      <c r="J5016" s="19" t="n"/>
      <c r="P5016" s="20" t="n"/>
      <c r="Q5016" s="19" t="n"/>
      <c r="R5016" s="19" t="n"/>
      <c r="Y5016" s="19" t="n"/>
    </row>
    <row r="5017">
      <c r="C5017" s="18" t="n"/>
      <c r="J5017" s="19" t="n"/>
      <c r="P5017" s="20" t="n"/>
      <c r="Q5017" s="19" t="n"/>
      <c r="R5017" s="19" t="n"/>
      <c r="Y5017" s="19" t="n"/>
    </row>
    <row r="5018">
      <c r="C5018" s="18" t="n"/>
      <c r="J5018" s="19" t="n"/>
      <c r="P5018" s="20" t="n"/>
      <c r="Q5018" s="19" t="n"/>
      <c r="R5018" s="19" t="n"/>
      <c r="Y5018" s="19" t="n"/>
    </row>
    <row r="5019">
      <c r="C5019" s="18" t="n"/>
      <c r="J5019" s="19" t="n"/>
      <c r="P5019" s="20" t="n"/>
      <c r="Q5019" s="19" t="n"/>
      <c r="R5019" s="19" t="n"/>
      <c r="Y5019" s="19" t="n"/>
    </row>
    <row r="5020">
      <c r="C5020" s="18" t="n"/>
      <c r="J5020" s="19" t="n"/>
      <c r="P5020" s="20" t="n"/>
      <c r="Q5020" s="19" t="n"/>
      <c r="R5020" s="19" t="n"/>
      <c r="Y5020" s="19" t="n"/>
    </row>
    <row r="5021">
      <c r="C5021" s="18" t="n"/>
      <c r="J5021" s="19" t="n"/>
      <c r="P5021" s="20" t="n"/>
      <c r="Q5021" s="19" t="n"/>
      <c r="R5021" s="19" t="n"/>
      <c r="Y5021" s="19" t="n"/>
    </row>
    <row r="5022">
      <c r="C5022" s="18" t="n"/>
      <c r="J5022" s="19" t="n"/>
      <c r="P5022" s="20" t="n"/>
      <c r="Q5022" s="19" t="n"/>
      <c r="R5022" s="19" t="n"/>
      <c r="Y5022" s="19" t="n"/>
    </row>
    <row r="5023">
      <c r="C5023" s="18" t="n"/>
      <c r="J5023" s="19" t="n"/>
      <c r="P5023" s="20" t="n"/>
      <c r="Q5023" s="19" t="n"/>
      <c r="R5023" s="19" t="n"/>
      <c r="Y5023" s="19" t="n"/>
    </row>
    <row r="5024">
      <c r="C5024" s="18" t="n"/>
      <c r="J5024" s="19" t="n"/>
      <c r="P5024" s="20" t="n"/>
      <c r="Q5024" s="19" t="n"/>
      <c r="R5024" s="19" t="n"/>
      <c r="Y5024" s="19" t="n"/>
    </row>
    <row r="5025">
      <c r="C5025" s="18" t="n"/>
      <c r="J5025" s="19" t="n"/>
      <c r="P5025" s="20" t="n"/>
      <c r="Q5025" s="19" t="n"/>
      <c r="R5025" s="19" t="n"/>
      <c r="Y5025" s="19" t="n"/>
    </row>
    <row r="5026">
      <c r="C5026" s="18" t="n"/>
      <c r="J5026" s="19" t="n"/>
      <c r="P5026" s="20" t="n"/>
      <c r="Q5026" s="19" t="n"/>
      <c r="R5026" s="19" t="n"/>
      <c r="Y5026" s="19" t="n"/>
    </row>
    <row r="5027">
      <c r="C5027" s="18" t="n"/>
      <c r="J5027" s="19" t="n"/>
      <c r="P5027" s="20" t="n"/>
      <c r="Q5027" s="19" t="n"/>
      <c r="R5027" s="19" t="n"/>
      <c r="Y5027" s="19" t="n"/>
    </row>
    <row r="5028">
      <c r="C5028" s="18" t="n"/>
      <c r="J5028" s="19" t="n"/>
      <c r="P5028" s="20" t="n"/>
      <c r="Q5028" s="19" t="n"/>
      <c r="R5028" s="19" t="n"/>
      <c r="Y5028" s="19" t="n"/>
    </row>
    <row r="5029">
      <c r="C5029" s="18" t="n"/>
      <c r="J5029" s="19" t="n"/>
      <c r="P5029" s="20" t="n"/>
      <c r="Q5029" s="19" t="n"/>
      <c r="R5029" s="19" t="n"/>
      <c r="Y5029" s="19" t="n"/>
    </row>
    <row r="5030">
      <c r="C5030" s="18" t="n"/>
      <c r="J5030" s="19" t="n"/>
      <c r="P5030" s="20" t="n"/>
      <c r="Q5030" s="19" t="n"/>
      <c r="R5030" s="19" t="n"/>
      <c r="Y5030" s="19" t="n"/>
    </row>
    <row r="5031">
      <c r="C5031" s="18" t="n"/>
      <c r="J5031" s="19" t="n"/>
      <c r="P5031" s="20" t="n"/>
      <c r="Q5031" s="19" t="n"/>
      <c r="R5031" s="19" t="n"/>
      <c r="Y5031" s="19" t="n"/>
    </row>
    <row r="5032">
      <c r="C5032" s="18" t="n"/>
      <c r="J5032" s="19" t="n"/>
      <c r="P5032" s="20" t="n"/>
      <c r="Q5032" s="19" t="n"/>
      <c r="R5032" s="19" t="n"/>
      <c r="Y5032" s="19" t="n"/>
    </row>
    <row r="5033">
      <c r="C5033" s="18" t="n"/>
      <c r="J5033" s="19" t="n"/>
      <c r="P5033" s="20" t="n"/>
      <c r="Q5033" s="19" t="n"/>
      <c r="R5033" s="19" t="n"/>
      <c r="Y5033" s="19" t="n"/>
    </row>
    <row r="5034">
      <c r="C5034" s="18" t="n"/>
      <c r="J5034" s="19" t="n"/>
      <c r="P5034" s="20" t="n"/>
      <c r="Q5034" s="19" t="n"/>
      <c r="R5034" s="19" t="n"/>
      <c r="Y5034" s="19" t="n"/>
    </row>
    <row r="5035">
      <c r="C5035" s="18" t="n"/>
      <c r="J5035" s="19" t="n"/>
      <c r="P5035" s="20" t="n"/>
      <c r="Q5035" s="19" t="n"/>
      <c r="R5035" s="19" t="n"/>
      <c r="Y5035" s="19" t="n"/>
    </row>
    <row r="5036">
      <c r="C5036" s="18" t="n"/>
      <c r="J5036" s="19" t="n"/>
      <c r="P5036" s="20" t="n"/>
      <c r="Q5036" s="19" t="n"/>
      <c r="R5036" s="19" t="n"/>
      <c r="Y5036" s="19" t="n"/>
    </row>
    <row r="5037">
      <c r="C5037" s="18" t="n"/>
      <c r="J5037" s="19" t="n"/>
      <c r="P5037" s="20" t="n"/>
      <c r="Q5037" s="19" t="n"/>
      <c r="R5037" s="19" t="n"/>
      <c r="Y5037" s="19" t="n"/>
    </row>
    <row r="5038">
      <c r="C5038" s="18" t="n"/>
      <c r="J5038" s="19" t="n"/>
      <c r="P5038" s="20" t="n"/>
      <c r="Q5038" s="19" t="n"/>
      <c r="R5038" s="19" t="n"/>
      <c r="Y5038" s="19" t="n"/>
    </row>
    <row r="5039">
      <c r="C5039" s="18" t="n"/>
      <c r="J5039" s="19" t="n"/>
      <c r="P5039" s="20" t="n"/>
      <c r="Q5039" s="19" t="n"/>
      <c r="R5039" s="19" t="n"/>
      <c r="Y5039" s="19" t="n"/>
    </row>
    <row r="5040">
      <c r="C5040" s="18" t="n"/>
      <c r="J5040" s="19" t="n"/>
      <c r="P5040" s="20" t="n"/>
      <c r="Q5040" s="19" t="n"/>
      <c r="R5040" s="19" t="n"/>
      <c r="Y5040" s="19" t="n"/>
    </row>
    <row r="5041">
      <c r="C5041" s="18" t="n"/>
      <c r="J5041" s="19" t="n"/>
      <c r="P5041" s="20" t="n"/>
      <c r="Q5041" s="19" t="n"/>
      <c r="R5041" s="19" t="n"/>
      <c r="Y5041" s="19" t="n"/>
    </row>
    <row r="5042">
      <c r="C5042" s="18" t="n"/>
      <c r="J5042" s="19" t="n"/>
      <c r="P5042" s="20" t="n"/>
      <c r="Q5042" s="19" t="n"/>
      <c r="R5042" s="19" t="n"/>
      <c r="Y5042" s="19" t="n"/>
    </row>
    <row r="5043">
      <c r="C5043" s="18" t="n"/>
      <c r="J5043" s="19" t="n"/>
      <c r="P5043" s="20" t="n"/>
      <c r="Q5043" s="19" t="n"/>
      <c r="R5043" s="19" t="n"/>
      <c r="Y5043" s="19" t="n"/>
    </row>
    <row r="5044">
      <c r="C5044" s="18" t="n"/>
      <c r="J5044" s="19" t="n"/>
      <c r="P5044" s="20" t="n"/>
      <c r="Q5044" s="19" t="n"/>
      <c r="R5044" s="19" t="n"/>
      <c r="Y5044" s="19" t="n"/>
    </row>
    <row r="5045">
      <c r="C5045" s="18" t="n"/>
      <c r="J5045" s="19" t="n"/>
      <c r="P5045" s="20" t="n"/>
      <c r="Q5045" s="19" t="n"/>
      <c r="R5045" s="19" t="n"/>
      <c r="Y5045" s="19" t="n"/>
    </row>
    <row r="5046">
      <c r="C5046" s="18" t="n"/>
      <c r="J5046" s="19" t="n"/>
      <c r="P5046" s="20" t="n"/>
      <c r="Q5046" s="19" t="n"/>
      <c r="R5046" s="19" t="n"/>
      <c r="Y5046" s="19" t="n"/>
    </row>
    <row r="5047">
      <c r="C5047" s="18" t="n"/>
      <c r="J5047" s="19" t="n"/>
      <c r="P5047" s="20" t="n"/>
      <c r="Q5047" s="19" t="n"/>
      <c r="R5047" s="19" t="n"/>
      <c r="Y5047" s="19" t="n"/>
    </row>
    <row r="5048">
      <c r="C5048" s="18" t="n"/>
      <c r="J5048" s="19" t="n"/>
      <c r="P5048" s="20" t="n"/>
      <c r="Q5048" s="19" t="n"/>
      <c r="R5048" s="19" t="n"/>
      <c r="Y5048" s="19" t="n"/>
    </row>
    <row r="5049">
      <c r="C5049" s="18" t="n"/>
      <c r="J5049" s="19" t="n"/>
      <c r="P5049" s="20" t="n"/>
      <c r="Q5049" s="19" t="n"/>
      <c r="R5049" s="19" t="n"/>
      <c r="Y5049" s="19" t="n"/>
    </row>
    <row r="5050">
      <c r="C5050" s="18" t="n"/>
      <c r="J5050" s="19" t="n"/>
      <c r="P5050" s="20" t="n"/>
      <c r="Q5050" s="19" t="n"/>
      <c r="R5050" s="19" t="n"/>
      <c r="Y5050" s="19" t="n"/>
    </row>
    <row r="5051">
      <c r="C5051" s="18" t="n"/>
      <c r="J5051" s="19" t="n"/>
      <c r="P5051" s="20" t="n"/>
      <c r="Q5051" s="19" t="n"/>
      <c r="R5051" s="19" t="n"/>
      <c r="Y5051" s="19" t="n"/>
    </row>
    <row r="5052">
      <c r="C5052" s="18" t="n"/>
      <c r="J5052" s="19" t="n"/>
      <c r="P5052" s="20" t="n"/>
      <c r="Q5052" s="19" t="n"/>
      <c r="R5052" s="19" t="n"/>
      <c r="Y5052" s="19" t="n"/>
    </row>
    <row r="5053">
      <c r="C5053" s="18" t="n"/>
      <c r="J5053" s="19" t="n"/>
      <c r="P5053" s="20" t="n"/>
      <c r="Q5053" s="19" t="n"/>
      <c r="R5053" s="19" t="n"/>
      <c r="Y5053" s="19" t="n"/>
    </row>
    <row r="5054">
      <c r="C5054" s="18" t="n"/>
      <c r="J5054" s="19" t="n"/>
      <c r="P5054" s="20" t="n"/>
      <c r="Q5054" s="19" t="n"/>
      <c r="R5054" s="19" t="n"/>
      <c r="Y5054" s="19" t="n"/>
    </row>
    <row r="5055">
      <c r="C5055" s="18" t="n"/>
      <c r="J5055" s="19" t="n"/>
      <c r="P5055" s="20" t="n"/>
      <c r="Q5055" s="19" t="n"/>
      <c r="R5055" s="19" t="n"/>
      <c r="Y5055" s="19" t="n"/>
    </row>
    <row r="5056">
      <c r="C5056" s="18" t="n"/>
      <c r="J5056" s="19" t="n"/>
      <c r="P5056" s="20" t="n"/>
      <c r="Q5056" s="19" t="n"/>
      <c r="R5056" s="19" t="n"/>
      <c r="Y5056" s="19" t="n"/>
    </row>
    <row r="5057">
      <c r="C5057" s="18" t="n"/>
      <c r="J5057" s="19" t="n"/>
      <c r="P5057" s="20" t="n"/>
      <c r="Q5057" s="19" t="n"/>
      <c r="R5057" s="19" t="n"/>
      <c r="Y5057" s="19" t="n"/>
    </row>
    <row r="5058">
      <c r="C5058" s="18" t="n"/>
      <c r="J5058" s="19" t="n"/>
      <c r="P5058" s="20" t="n"/>
      <c r="Q5058" s="19" t="n"/>
      <c r="R5058" s="19" t="n"/>
      <c r="Y5058" s="19" t="n"/>
    </row>
    <row r="5059">
      <c r="C5059" s="18" t="n"/>
      <c r="J5059" s="19" t="n"/>
      <c r="P5059" s="20" t="n"/>
      <c r="Q5059" s="19" t="n"/>
      <c r="R5059" s="19" t="n"/>
      <c r="Y5059" s="19" t="n"/>
    </row>
    <row r="5060">
      <c r="C5060" s="18" t="n"/>
      <c r="J5060" s="19" t="n"/>
      <c r="P5060" s="20" t="n"/>
      <c r="Q5060" s="19" t="n"/>
      <c r="R5060" s="19" t="n"/>
      <c r="Y5060" s="19" t="n"/>
    </row>
    <row r="5061">
      <c r="C5061" s="18" t="n"/>
      <c r="J5061" s="19" t="n"/>
      <c r="P5061" s="20" t="n"/>
      <c r="Q5061" s="19" t="n"/>
      <c r="R5061" s="19" t="n"/>
      <c r="Y5061" s="19" t="n"/>
    </row>
    <row r="5062">
      <c r="C5062" s="18" t="n"/>
      <c r="J5062" s="19" t="n"/>
      <c r="P5062" s="20" t="n"/>
      <c r="Q5062" s="19" t="n"/>
      <c r="R5062" s="19" t="n"/>
      <c r="Y5062" s="19" t="n"/>
    </row>
    <row r="5063">
      <c r="C5063" s="18" t="n"/>
      <c r="J5063" s="19" t="n"/>
      <c r="P5063" s="20" t="n"/>
      <c r="Q5063" s="19" t="n"/>
      <c r="R5063" s="19" t="n"/>
      <c r="Y5063" s="19" t="n"/>
    </row>
    <row r="5064">
      <c r="C5064" s="18" t="n"/>
      <c r="J5064" s="19" t="n"/>
      <c r="P5064" s="20" t="n"/>
      <c r="Q5064" s="19" t="n"/>
      <c r="R5064" s="19" t="n"/>
      <c r="Y5064" s="19" t="n"/>
    </row>
    <row r="5065">
      <c r="C5065" s="18" t="n"/>
      <c r="J5065" s="19" t="n"/>
      <c r="P5065" s="20" t="n"/>
      <c r="Q5065" s="19" t="n"/>
      <c r="R5065" s="19" t="n"/>
      <c r="Y5065" s="19" t="n"/>
    </row>
    <row r="5066">
      <c r="C5066" s="18" t="n"/>
      <c r="J5066" s="19" t="n"/>
      <c r="P5066" s="20" t="n"/>
      <c r="Q5066" s="19" t="n"/>
      <c r="R5066" s="19" t="n"/>
      <c r="Y5066" s="19" t="n"/>
    </row>
    <row r="5067">
      <c r="C5067" s="18" t="n"/>
      <c r="J5067" s="19" t="n"/>
      <c r="P5067" s="20" t="n"/>
      <c r="Q5067" s="19" t="n"/>
      <c r="R5067" s="19" t="n"/>
      <c r="Y5067" s="19" t="n"/>
    </row>
    <row r="5068">
      <c r="C5068" s="18" t="n"/>
      <c r="J5068" s="19" t="n"/>
      <c r="P5068" s="20" t="n"/>
      <c r="Q5068" s="19" t="n"/>
      <c r="R5068" s="19" t="n"/>
      <c r="Y5068" s="19" t="n"/>
    </row>
    <row r="5069">
      <c r="C5069" s="18" t="n"/>
      <c r="J5069" s="19" t="n"/>
      <c r="P5069" s="20" t="n"/>
      <c r="Q5069" s="19" t="n"/>
      <c r="R5069" s="19" t="n"/>
      <c r="Y5069" s="19" t="n"/>
    </row>
    <row r="5070">
      <c r="C5070" s="18" t="n"/>
      <c r="J5070" s="19" t="n"/>
      <c r="P5070" s="20" t="n"/>
      <c r="Q5070" s="19" t="n"/>
      <c r="R5070" s="19" t="n"/>
      <c r="Y5070" s="19" t="n"/>
    </row>
    <row r="5071">
      <c r="C5071" s="18" t="n"/>
      <c r="J5071" s="19" t="n"/>
      <c r="P5071" s="20" t="n"/>
      <c r="Q5071" s="19" t="n"/>
      <c r="R5071" s="19" t="n"/>
      <c r="Y5071" s="19" t="n"/>
    </row>
    <row r="5072">
      <c r="C5072" s="18" t="n"/>
      <c r="J5072" s="19" t="n"/>
      <c r="P5072" s="20" t="n"/>
      <c r="Q5072" s="19" t="n"/>
      <c r="R5072" s="19" t="n"/>
      <c r="Y5072" s="19" t="n"/>
    </row>
    <row r="5073">
      <c r="C5073" s="18" t="n"/>
      <c r="J5073" s="19" t="n"/>
      <c r="P5073" s="20" t="n"/>
      <c r="Q5073" s="19" t="n"/>
      <c r="R5073" s="19" t="n"/>
      <c r="Y5073" s="19" t="n"/>
    </row>
    <row r="5074">
      <c r="C5074" s="18" t="n"/>
      <c r="J5074" s="19" t="n"/>
      <c r="P5074" s="20" t="n"/>
      <c r="Q5074" s="19" t="n"/>
      <c r="R5074" s="19" t="n"/>
      <c r="Y5074" s="19" t="n"/>
    </row>
    <row r="5075">
      <c r="C5075" s="18" t="n"/>
      <c r="J5075" s="19" t="n"/>
      <c r="P5075" s="20" t="n"/>
      <c r="Q5075" s="19" t="n"/>
      <c r="R5075" s="19" t="n"/>
      <c r="Y5075" s="19" t="n"/>
    </row>
    <row r="5076">
      <c r="C5076" s="18" t="n"/>
      <c r="J5076" s="19" t="n"/>
      <c r="P5076" s="20" t="n"/>
      <c r="Q5076" s="19" t="n"/>
      <c r="R5076" s="19" t="n"/>
      <c r="Y5076" s="19" t="n"/>
    </row>
    <row r="5077">
      <c r="C5077" s="18" t="n"/>
      <c r="J5077" s="19" t="n"/>
      <c r="P5077" s="20" t="n"/>
      <c r="Q5077" s="19" t="n"/>
      <c r="R5077" s="19" t="n"/>
      <c r="Y5077" s="19" t="n"/>
    </row>
    <row r="5078">
      <c r="C5078" s="18" t="n"/>
      <c r="J5078" s="19" t="n"/>
      <c r="P5078" s="20" t="n"/>
      <c r="Q5078" s="19" t="n"/>
      <c r="R5078" s="19" t="n"/>
      <c r="Y5078" s="19" t="n"/>
    </row>
    <row r="5079">
      <c r="C5079" s="18" t="n"/>
      <c r="J5079" s="19" t="n"/>
      <c r="P5079" s="20" t="n"/>
      <c r="Q5079" s="19" t="n"/>
      <c r="R5079" s="19" t="n"/>
      <c r="Y5079" s="19" t="n"/>
    </row>
    <row r="5080">
      <c r="C5080" s="18" t="n"/>
      <c r="J5080" s="19" t="n"/>
      <c r="P5080" s="20" t="n"/>
      <c r="Q5080" s="19" t="n"/>
      <c r="R5080" s="19" t="n"/>
      <c r="Y5080" s="19" t="n"/>
    </row>
    <row r="5081">
      <c r="C5081" s="18" t="n"/>
      <c r="J5081" s="19" t="n"/>
      <c r="P5081" s="20" t="n"/>
      <c r="Q5081" s="19" t="n"/>
      <c r="R5081" s="19" t="n"/>
      <c r="Y5081" s="19" t="n"/>
    </row>
    <row r="5082">
      <c r="C5082" s="18" t="n"/>
      <c r="J5082" s="19" t="n"/>
      <c r="P5082" s="20" t="n"/>
      <c r="Q5082" s="19" t="n"/>
      <c r="R5082" s="19" t="n"/>
      <c r="Y5082" s="19" t="n"/>
    </row>
    <row r="5083">
      <c r="C5083" s="18" t="n"/>
      <c r="J5083" s="19" t="n"/>
      <c r="P5083" s="20" t="n"/>
      <c r="Q5083" s="19" t="n"/>
      <c r="R5083" s="19" t="n"/>
      <c r="Y5083" s="19" t="n"/>
    </row>
    <row r="5084">
      <c r="C5084" s="18" t="n"/>
      <c r="J5084" s="19" t="n"/>
      <c r="P5084" s="20" t="n"/>
      <c r="Q5084" s="19" t="n"/>
      <c r="R5084" s="19" t="n"/>
      <c r="Y5084" s="19" t="n"/>
    </row>
    <row r="5085">
      <c r="C5085" s="18" t="n"/>
      <c r="J5085" s="19" t="n"/>
      <c r="P5085" s="20" t="n"/>
      <c r="Q5085" s="19" t="n"/>
      <c r="R5085" s="19" t="n"/>
      <c r="Y5085" s="19" t="n"/>
    </row>
    <row r="5086">
      <c r="C5086" s="18" t="n"/>
      <c r="J5086" s="19" t="n"/>
      <c r="P5086" s="20" t="n"/>
      <c r="Q5086" s="19" t="n"/>
      <c r="R5086" s="19" t="n"/>
      <c r="Y5086" s="19" t="n"/>
    </row>
    <row r="5087">
      <c r="C5087" s="18" t="n"/>
      <c r="J5087" s="19" t="n"/>
      <c r="P5087" s="20" t="n"/>
      <c r="Q5087" s="19" t="n"/>
      <c r="R5087" s="19" t="n"/>
      <c r="Y5087" s="19" t="n"/>
    </row>
    <row r="5088">
      <c r="C5088" s="18" t="n"/>
      <c r="J5088" s="19" t="n"/>
      <c r="P5088" s="20" t="n"/>
      <c r="Q5088" s="19" t="n"/>
      <c r="R5088" s="19" t="n"/>
      <c r="Y5088" s="19" t="n"/>
    </row>
    <row r="5089">
      <c r="C5089" s="18" t="n"/>
      <c r="J5089" s="19" t="n"/>
      <c r="P5089" s="20" t="n"/>
      <c r="Q5089" s="19" t="n"/>
      <c r="R5089" s="19" t="n"/>
      <c r="Y5089" s="19" t="n"/>
    </row>
    <row r="5090">
      <c r="C5090" s="18" t="n"/>
      <c r="J5090" s="19" t="n"/>
      <c r="P5090" s="20" t="n"/>
      <c r="Q5090" s="19" t="n"/>
      <c r="R5090" s="19" t="n"/>
      <c r="Y5090" s="19" t="n"/>
    </row>
    <row r="5091">
      <c r="C5091" s="18" t="n"/>
      <c r="J5091" s="19" t="n"/>
      <c r="P5091" s="20" t="n"/>
      <c r="Q5091" s="19" t="n"/>
      <c r="R5091" s="19" t="n"/>
      <c r="Y5091" s="19" t="n"/>
    </row>
    <row r="5092">
      <c r="C5092" s="18" t="n"/>
      <c r="J5092" s="19" t="n"/>
      <c r="P5092" s="20" t="n"/>
      <c r="Q5092" s="19" t="n"/>
      <c r="R5092" s="19" t="n"/>
      <c r="Y5092" s="19" t="n"/>
    </row>
    <row r="5093">
      <c r="C5093" s="18" t="n"/>
      <c r="J5093" s="19" t="n"/>
      <c r="P5093" s="20" t="n"/>
      <c r="Q5093" s="19" t="n"/>
      <c r="R5093" s="19" t="n"/>
      <c r="Y5093" s="19" t="n"/>
    </row>
    <row r="5094">
      <c r="C5094" s="18" t="n"/>
      <c r="J5094" s="19" t="n"/>
      <c r="P5094" s="20" t="n"/>
      <c r="Q5094" s="19" t="n"/>
      <c r="R5094" s="19" t="n"/>
      <c r="Y5094" s="19" t="n"/>
    </row>
    <row r="5095">
      <c r="C5095" s="18" t="n"/>
      <c r="J5095" s="19" t="n"/>
      <c r="P5095" s="20" t="n"/>
      <c r="Q5095" s="19" t="n"/>
      <c r="R5095" s="19" t="n"/>
      <c r="Y5095" s="19" t="n"/>
    </row>
    <row r="5096">
      <c r="C5096" s="18" t="n"/>
      <c r="J5096" s="19" t="n"/>
      <c r="P5096" s="20" t="n"/>
      <c r="Q5096" s="19" t="n"/>
      <c r="R5096" s="19" t="n"/>
      <c r="Y5096" s="19" t="n"/>
    </row>
    <row r="5097">
      <c r="C5097" s="18" t="n"/>
      <c r="J5097" s="19" t="n"/>
      <c r="P5097" s="20" t="n"/>
      <c r="Q5097" s="19" t="n"/>
      <c r="R5097" s="19" t="n"/>
      <c r="Y5097" s="19" t="n"/>
    </row>
    <row r="5098">
      <c r="C5098" s="18" t="n"/>
      <c r="J5098" s="19" t="n"/>
      <c r="P5098" s="20" t="n"/>
      <c r="Q5098" s="19" t="n"/>
      <c r="R5098" s="19" t="n"/>
      <c r="Y5098" s="19" t="n"/>
    </row>
    <row r="5099">
      <c r="C5099" s="18" t="n"/>
      <c r="J5099" s="19" t="n"/>
      <c r="P5099" s="20" t="n"/>
      <c r="Q5099" s="19" t="n"/>
      <c r="R5099" s="19" t="n"/>
      <c r="Y5099" s="19" t="n"/>
    </row>
    <row r="5100">
      <c r="C5100" s="18" t="n"/>
      <c r="J5100" s="19" t="n"/>
      <c r="P5100" s="20" t="n"/>
      <c r="Q5100" s="19" t="n"/>
      <c r="R5100" s="19" t="n"/>
      <c r="Y5100" s="19" t="n"/>
    </row>
    <row r="5101">
      <c r="C5101" s="18" t="n"/>
      <c r="J5101" s="19" t="n"/>
      <c r="P5101" s="20" t="n"/>
      <c r="Q5101" s="19" t="n"/>
      <c r="R5101" s="19" t="n"/>
      <c r="Y5101" s="19" t="n"/>
    </row>
    <row r="5102">
      <c r="C5102" s="18" t="n"/>
      <c r="J5102" s="19" t="n"/>
      <c r="P5102" s="20" t="n"/>
      <c r="Q5102" s="19" t="n"/>
      <c r="R5102" s="19" t="n"/>
      <c r="Y5102" s="19" t="n"/>
    </row>
    <row r="5103">
      <c r="C5103" s="18" t="n"/>
      <c r="J5103" s="19" t="n"/>
      <c r="P5103" s="20" t="n"/>
      <c r="Q5103" s="19" t="n"/>
      <c r="R5103" s="19" t="n"/>
      <c r="Y5103" s="19" t="n"/>
    </row>
    <row r="5104">
      <c r="C5104" s="18" t="n"/>
      <c r="J5104" s="19" t="n"/>
      <c r="P5104" s="20" t="n"/>
      <c r="Q5104" s="19" t="n"/>
      <c r="R5104" s="19" t="n"/>
      <c r="Y5104" s="19" t="n"/>
    </row>
    <row r="5105">
      <c r="C5105" s="18" t="n"/>
      <c r="J5105" s="19" t="n"/>
      <c r="P5105" s="20" t="n"/>
      <c r="Q5105" s="19" t="n"/>
      <c r="R5105" s="19" t="n"/>
      <c r="Y5105" s="19" t="n"/>
    </row>
    <row r="5106">
      <c r="C5106" s="18" t="n"/>
      <c r="J5106" s="19" t="n"/>
      <c r="P5106" s="20" t="n"/>
      <c r="Q5106" s="19" t="n"/>
      <c r="R5106" s="19" t="n"/>
      <c r="Y5106" s="19" t="n"/>
    </row>
    <row r="5107">
      <c r="C5107" s="18" t="n"/>
      <c r="J5107" s="19" t="n"/>
      <c r="P5107" s="20" t="n"/>
      <c r="Q5107" s="19" t="n"/>
      <c r="R5107" s="19" t="n"/>
      <c r="Y5107" s="19" t="n"/>
    </row>
    <row r="5108">
      <c r="C5108" s="18" t="n"/>
      <c r="J5108" s="19" t="n"/>
      <c r="P5108" s="20" t="n"/>
      <c r="Q5108" s="19" t="n"/>
      <c r="R5108" s="19" t="n"/>
      <c r="Y5108" s="19" t="n"/>
    </row>
    <row r="5109">
      <c r="C5109" s="18" t="n"/>
      <c r="J5109" s="19" t="n"/>
      <c r="P5109" s="20" t="n"/>
      <c r="Q5109" s="19" t="n"/>
      <c r="R5109" s="19" t="n"/>
      <c r="Y5109" s="19" t="n"/>
    </row>
    <row r="5110">
      <c r="C5110" s="18" t="n"/>
      <c r="J5110" s="19" t="n"/>
      <c r="P5110" s="20" t="n"/>
      <c r="Q5110" s="19" t="n"/>
      <c r="R5110" s="19" t="n"/>
      <c r="Y5110" s="19" t="n"/>
    </row>
    <row r="5111">
      <c r="C5111" s="18" t="n"/>
      <c r="J5111" s="19" t="n"/>
      <c r="P5111" s="20" t="n"/>
      <c r="Q5111" s="19" t="n"/>
      <c r="R5111" s="19" t="n"/>
      <c r="Y5111" s="19" t="n"/>
    </row>
    <row r="5112">
      <c r="C5112" s="18" t="n"/>
      <c r="J5112" s="19" t="n"/>
      <c r="P5112" s="20" t="n"/>
      <c r="Q5112" s="19" t="n"/>
      <c r="R5112" s="19" t="n"/>
      <c r="Y5112" s="19" t="n"/>
    </row>
    <row r="5113">
      <c r="C5113" s="18" t="n"/>
      <c r="J5113" s="19" t="n"/>
      <c r="P5113" s="20" t="n"/>
      <c r="Q5113" s="19" t="n"/>
      <c r="R5113" s="19" t="n"/>
      <c r="Y5113" s="19" t="n"/>
    </row>
    <row r="5114">
      <c r="C5114" s="18" t="n"/>
      <c r="J5114" s="19" t="n"/>
      <c r="P5114" s="20" t="n"/>
      <c r="Q5114" s="19" t="n"/>
      <c r="R5114" s="19" t="n"/>
      <c r="Y5114" s="19" t="n"/>
    </row>
    <row r="5115">
      <c r="C5115" s="18" t="n"/>
      <c r="J5115" s="19" t="n"/>
      <c r="P5115" s="20" t="n"/>
      <c r="Q5115" s="19" t="n"/>
      <c r="R5115" s="19" t="n"/>
      <c r="Y5115" s="19" t="n"/>
    </row>
    <row r="5116">
      <c r="C5116" s="18" t="n"/>
      <c r="J5116" s="19" t="n"/>
      <c r="P5116" s="20" t="n"/>
      <c r="Q5116" s="19" t="n"/>
      <c r="R5116" s="19" t="n"/>
      <c r="Y5116" s="19" t="n"/>
    </row>
    <row r="5117">
      <c r="C5117" s="18" t="n"/>
      <c r="J5117" s="19" t="n"/>
      <c r="P5117" s="20" t="n"/>
      <c r="Q5117" s="19" t="n"/>
      <c r="R5117" s="19" t="n"/>
      <c r="Y5117" s="19" t="n"/>
    </row>
    <row r="5118">
      <c r="C5118" s="18" t="n"/>
      <c r="J5118" s="19" t="n"/>
      <c r="P5118" s="20" t="n"/>
      <c r="Q5118" s="19" t="n"/>
      <c r="R5118" s="19" t="n"/>
      <c r="Y5118" s="19" t="n"/>
    </row>
    <row r="5119">
      <c r="C5119" s="18" t="n"/>
      <c r="J5119" s="19" t="n"/>
      <c r="P5119" s="20" t="n"/>
      <c r="Q5119" s="19" t="n"/>
      <c r="R5119" s="19" t="n"/>
      <c r="Y5119" s="19" t="n"/>
    </row>
    <row r="5120">
      <c r="C5120" s="18" t="n"/>
      <c r="J5120" s="19" t="n"/>
      <c r="P5120" s="20" t="n"/>
      <c r="Q5120" s="19" t="n"/>
      <c r="R5120" s="19" t="n"/>
      <c r="Y5120" s="19" t="n"/>
    </row>
    <row r="5121">
      <c r="C5121" s="18" t="n"/>
      <c r="J5121" s="19" t="n"/>
      <c r="P5121" s="20" t="n"/>
      <c r="Q5121" s="19" t="n"/>
      <c r="R5121" s="19" t="n"/>
      <c r="Y5121" s="19" t="n"/>
    </row>
    <row r="5122">
      <c r="C5122" s="18" t="n"/>
      <c r="J5122" s="19" t="n"/>
      <c r="P5122" s="20" t="n"/>
      <c r="Q5122" s="19" t="n"/>
      <c r="R5122" s="19" t="n"/>
      <c r="Y5122" s="19" t="n"/>
    </row>
    <row r="5123">
      <c r="C5123" s="18" t="n"/>
      <c r="J5123" s="19" t="n"/>
      <c r="P5123" s="20" t="n"/>
      <c r="Q5123" s="19" t="n"/>
      <c r="R5123" s="19" t="n"/>
      <c r="Y5123" s="19" t="n"/>
    </row>
    <row r="5124">
      <c r="C5124" s="18" t="n"/>
      <c r="J5124" s="19" t="n"/>
      <c r="P5124" s="20" t="n"/>
      <c r="Q5124" s="19" t="n"/>
      <c r="R5124" s="19" t="n"/>
      <c r="Y5124" s="19" t="n"/>
    </row>
    <row r="5125">
      <c r="C5125" s="18" t="n"/>
      <c r="J5125" s="19" t="n"/>
      <c r="P5125" s="20" t="n"/>
      <c r="Q5125" s="19" t="n"/>
      <c r="R5125" s="19" t="n"/>
      <c r="Y5125" s="19" t="n"/>
    </row>
    <row r="5126">
      <c r="C5126" s="18" t="n"/>
      <c r="J5126" s="19" t="n"/>
      <c r="P5126" s="20" t="n"/>
      <c r="Q5126" s="19" t="n"/>
      <c r="R5126" s="19" t="n"/>
      <c r="Y5126" s="19" t="n"/>
    </row>
    <row r="5127">
      <c r="C5127" s="18" t="n"/>
      <c r="J5127" s="19" t="n"/>
      <c r="P5127" s="20" t="n"/>
      <c r="Q5127" s="19" t="n"/>
      <c r="R5127" s="19" t="n"/>
      <c r="Y5127" s="19" t="n"/>
    </row>
    <row r="5128">
      <c r="C5128" s="18" t="n"/>
      <c r="J5128" s="19" t="n"/>
      <c r="P5128" s="20" t="n"/>
      <c r="Q5128" s="19" t="n"/>
      <c r="R5128" s="19" t="n"/>
      <c r="Y5128" s="19" t="n"/>
    </row>
    <row r="5129">
      <c r="C5129" s="18" t="n"/>
      <c r="J5129" s="19" t="n"/>
      <c r="P5129" s="20" t="n"/>
      <c r="Q5129" s="19" t="n"/>
      <c r="R5129" s="19" t="n"/>
      <c r="Y5129" s="19" t="n"/>
    </row>
    <row r="5130">
      <c r="C5130" s="18" t="n"/>
      <c r="J5130" s="19" t="n"/>
      <c r="P5130" s="20" t="n"/>
      <c r="Q5130" s="19" t="n"/>
      <c r="R5130" s="19" t="n"/>
      <c r="Y5130" s="19" t="n"/>
    </row>
    <row r="5131">
      <c r="C5131" s="18" t="n"/>
      <c r="J5131" s="19" t="n"/>
      <c r="P5131" s="20" t="n"/>
      <c r="Q5131" s="19" t="n"/>
      <c r="R5131" s="19" t="n"/>
      <c r="Y5131" s="19" t="n"/>
    </row>
    <row r="5132">
      <c r="C5132" s="18" t="n"/>
      <c r="J5132" s="19" t="n"/>
      <c r="P5132" s="20" t="n"/>
      <c r="Q5132" s="19" t="n"/>
      <c r="R5132" s="19" t="n"/>
      <c r="Y5132" s="19" t="n"/>
    </row>
    <row r="5133">
      <c r="C5133" s="18" t="n"/>
      <c r="J5133" s="19" t="n"/>
      <c r="P5133" s="20" t="n"/>
      <c r="Q5133" s="19" t="n"/>
      <c r="R5133" s="19" t="n"/>
      <c r="Y5133" s="19" t="n"/>
    </row>
    <row r="5134">
      <c r="C5134" s="18" t="n"/>
      <c r="J5134" s="19" t="n"/>
      <c r="P5134" s="20" t="n"/>
      <c r="Q5134" s="19" t="n"/>
      <c r="R5134" s="19" t="n"/>
      <c r="Y5134" s="19" t="n"/>
    </row>
    <row r="5135">
      <c r="C5135" s="18" t="n"/>
      <c r="J5135" s="19" t="n"/>
      <c r="P5135" s="20" t="n"/>
      <c r="Q5135" s="19" t="n"/>
      <c r="R5135" s="19" t="n"/>
      <c r="Y5135" s="19" t="n"/>
    </row>
    <row r="5136">
      <c r="C5136" s="18" t="n"/>
      <c r="J5136" s="19" t="n"/>
      <c r="P5136" s="20" t="n"/>
      <c r="Q5136" s="19" t="n"/>
      <c r="R5136" s="19" t="n"/>
      <c r="Y5136" s="19" t="n"/>
    </row>
    <row r="5137">
      <c r="C5137" s="18" t="n"/>
      <c r="J5137" s="19" t="n"/>
      <c r="P5137" s="20" t="n"/>
      <c r="Q5137" s="19" t="n"/>
      <c r="R5137" s="19" t="n"/>
      <c r="Y5137" s="19" t="n"/>
    </row>
    <row r="5138">
      <c r="C5138" s="18" t="n"/>
      <c r="J5138" s="19" t="n"/>
      <c r="P5138" s="20" t="n"/>
      <c r="Q5138" s="19" t="n"/>
      <c r="R5138" s="19" t="n"/>
      <c r="Y5138" s="19" t="n"/>
    </row>
    <row r="5139">
      <c r="C5139" s="18" t="n"/>
      <c r="J5139" s="19" t="n"/>
      <c r="P5139" s="20" t="n"/>
      <c r="Q5139" s="19" t="n"/>
      <c r="R5139" s="19" t="n"/>
      <c r="Y5139" s="19" t="n"/>
    </row>
    <row r="5140">
      <c r="C5140" s="18" t="n"/>
      <c r="J5140" s="19" t="n"/>
      <c r="P5140" s="20" t="n"/>
      <c r="Q5140" s="19" t="n"/>
      <c r="R5140" s="19" t="n"/>
      <c r="Y5140" s="19" t="n"/>
    </row>
    <row r="5141">
      <c r="C5141" s="18" t="n"/>
      <c r="J5141" s="19" t="n"/>
      <c r="P5141" s="20" t="n"/>
      <c r="Q5141" s="19" t="n"/>
      <c r="R5141" s="19" t="n"/>
      <c r="Y5141" s="19" t="n"/>
    </row>
    <row r="5142">
      <c r="C5142" s="18" t="n"/>
      <c r="J5142" s="19" t="n"/>
      <c r="P5142" s="20" t="n"/>
      <c r="Q5142" s="19" t="n"/>
      <c r="R5142" s="19" t="n"/>
      <c r="Y5142" s="19" t="n"/>
    </row>
    <row r="5143">
      <c r="C5143" s="18" t="n"/>
      <c r="J5143" s="19" t="n"/>
      <c r="P5143" s="20" t="n"/>
      <c r="Q5143" s="19" t="n"/>
      <c r="R5143" s="19" t="n"/>
      <c r="Y5143" s="19" t="n"/>
    </row>
    <row r="5144">
      <c r="C5144" s="18" t="n"/>
      <c r="J5144" s="19" t="n"/>
      <c r="P5144" s="20" t="n"/>
      <c r="Q5144" s="19" t="n"/>
      <c r="R5144" s="19" t="n"/>
      <c r="Y5144" s="19" t="n"/>
    </row>
    <row r="5145">
      <c r="C5145" s="18" t="n"/>
      <c r="J5145" s="19" t="n"/>
      <c r="P5145" s="20" t="n"/>
      <c r="Q5145" s="19" t="n"/>
      <c r="R5145" s="19" t="n"/>
      <c r="Y5145" s="19" t="n"/>
    </row>
    <row r="5146">
      <c r="C5146" s="18" t="n"/>
      <c r="J5146" s="19" t="n"/>
      <c r="P5146" s="20" t="n"/>
      <c r="Q5146" s="19" t="n"/>
      <c r="R5146" s="19" t="n"/>
      <c r="Y5146" s="19" t="n"/>
    </row>
    <row r="5147">
      <c r="C5147" s="18" t="n"/>
      <c r="J5147" s="19" t="n"/>
      <c r="P5147" s="20" t="n"/>
      <c r="Q5147" s="19" t="n"/>
      <c r="R5147" s="19" t="n"/>
      <c r="Y5147" s="19" t="n"/>
    </row>
    <row r="5148">
      <c r="C5148" s="18" t="n"/>
      <c r="J5148" s="19" t="n"/>
      <c r="P5148" s="20" t="n"/>
      <c r="Q5148" s="19" t="n"/>
      <c r="R5148" s="19" t="n"/>
      <c r="Y5148" s="19" t="n"/>
    </row>
    <row r="5149">
      <c r="C5149" s="18" t="n"/>
      <c r="J5149" s="19" t="n"/>
      <c r="P5149" s="20" t="n"/>
      <c r="Q5149" s="19" t="n"/>
      <c r="R5149" s="19" t="n"/>
      <c r="Y5149" s="19" t="n"/>
    </row>
    <row r="5150">
      <c r="C5150" s="18" t="n"/>
      <c r="J5150" s="19" t="n"/>
      <c r="P5150" s="20" t="n"/>
      <c r="Q5150" s="19" t="n"/>
      <c r="R5150" s="19" t="n"/>
      <c r="Y5150" s="19" t="n"/>
    </row>
    <row r="5151">
      <c r="C5151" s="18" t="n"/>
      <c r="J5151" s="19" t="n"/>
      <c r="P5151" s="20" t="n"/>
      <c r="Q5151" s="19" t="n"/>
      <c r="R5151" s="19" t="n"/>
      <c r="Y5151" s="19" t="n"/>
    </row>
    <row r="5152">
      <c r="C5152" s="18" t="n"/>
      <c r="J5152" s="19" t="n"/>
      <c r="P5152" s="20" t="n"/>
      <c r="Q5152" s="19" t="n"/>
      <c r="R5152" s="19" t="n"/>
      <c r="Y5152" s="19" t="n"/>
    </row>
    <row r="5153">
      <c r="C5153" s="18" t="n"/>
      <c r="J5153" s="19" t="n"/>
      <c r="P5153" s="20" t="n"/>
      <c r="Q5153" s="19" t="n"/>
      <c r="R5153" s="19" t="n"/>
      <c r="Y5153" s="19" t="n"/>
    </row>
    <row r="5154">
      <c r="C5154" s="18" t="n"/>
      <c r="J5154" s="19" t="n"/>
      <c r="P5154" s="20" t="n"/>
      <c r="Q5154" s="19" t="n"/>
      <c r="R5154" s="19" t="n"/>
      <c r="Y5154" s="19" t="n"/>
    </row>
    <row r="5155">
      <c r="C5155" s="18" t="n"/>
      <c r="J5155" s="19" t="n"/>
      <c r="P5155" s="20" t="n"/>
      <c r="Q5155" s="19" t="n"/>
      <c r="R5155" s="19" t="n"/>
      <c r="Y5155" s="19" t="n"/>
    </row>
    <row r="5156">
      <c r="C5156" s="18" t="n"/>
      <c r="J5156" s="19" t="n"/>
      <c r="P5156" s="20" t="n"/>
      <c r="Q5156" s="19" t="n"/>
      <c r="R5156" s="19" t="n"/>
      <c r="Y5156" s="19" t="n"/>
    </row>
    <row r="5157">
      <c r="C5157" s="18" t="n"/>
      <c r="J5157" s="19" t="n"/>
      <c r="P5157" s="20" t="n"/>
      <c r="Q5157" s="19" t="n"/>
      <c r="R5157" s="19" t="n"/>
      <c r="Y5157" s="19" t="n"/>
    </row>
    <row r="5158">
      <c r="C5158" s="18" t="n"/>
      <c r="J5158" s="19" t="n"/>
      <c r="P5158" s="20" t="n"/>
      <c r="Q5158" s="19" t="n"/>
      <c r="R5158" s="19" t="n"/>
      <c r="Y5158" s="19" t="n"/>
    </row>
    <row r="5159">
      <c r="C5159" s="18" t="n"/>
      <c r="J5159" s="19" t="n"/>
      <c r="P5159" s="20" t="n"/>
      <c r="Q5159" s="19" t="n"/>
      <c r="R5159" s="19" t="n"/>
      <c r="Y5159" s="19" t="n"/>
    </row>
    <row r="5160">
      <c r="C5160" s="18" t="n"/>
      <c r="J5160" s="19" t="n"/>
      <c r="P5160" s="20" t="n"/>
      <c r="Q5160" s="19" t="n"/>
      <c r="R5160" s="19" t="n"/>
      <c r="Y5160" s="19" t="n"/>
    </row>
    <row r="5161">
      <c r="C5161" s="18" t="n"/>
      <c r="J5161" s="19" t="n"/>
      <c r="P5161" s="20" t="n"/>
      <c r="Q5161" s="19" t="n"/>
      <c r="R5161" s="19" t="n"/>
      <c r="Y5161" s="19" t="n"/>
    </row>
    <row r="5162">
      <c r="C5162" s="18" t="n"/>
      <c r="J5162" s="19" t="n"/>
      <c r="P5162" s="20" t="n"/>
      <c r="Q5162" s="19" t="n"/>
      <c r="R5162" s="19" t="n"/>
      <c r="Y5162" s="19" t="n"/>
    </row>
    <row r="5163">
      <c r="C5163" s="18" t="n"/>
      <c r="J5163" s="19" t="n"/>
      <c r="P5163" s="20" t="n"/>
      <c r="Q5163" s="19" t="n"/>
      <c r="R5163" s="19" t="n"/>
      <c r="Y5163" s="19" t="n"/>
    </row>
    <row r="5164">
      <c r="C5164" s="18" t="n"/>
      <c r="J5164" s="19" t="n"/>
      <c r="P5164" s="20" t="n"/>
      <c r="Q5164" s="19" t="n"/>
      <c r="R5164" s="19" t="n"/>
      <c r="Y5164" s="19" t="n"/>
    </row>
    <row r="5165">
      <c r="C5165" s="18" t="n"/>
      <c r="J5165" s="19" t="n"/>
      <c r="P5165" s="20" t="n"/>
      <c r="Q5165" s="19" t="n"/>
      <c r="R5165" s="19" t="n"/>
      <c r="Y5165" s="19" t="n"/>
    </row>
    <row r="5166">
      <c r="C5166" s="18" t="n"/>
      <c r="J5166" s="19" t="n"/>
      <c r="P5166" s="20" t="n"/>
      <c r="Q5166" s="19" t="n"/>
      <c r="R5166" s="19" t="n"/>
      <c r="Y5166" s="19" t="n"/>
    </row>
    <row r="5167">
      <c r="C5167" s="18" t="n"/>
      <c r="J5167" s="19" t="n"/>
      <c r="P5167" s="20" t="n"/>
      <c r="Q5167" s="19" t="n"/>
      <c r="R5167" s="19" t="n"/>
      <c r="Y5167" s="19" t="n"/>
    </row>
    <row r="5168">
      <c r="C5168" s="18" t="n"/>
      <c r="J5168" s="19" t="n"/>
      <c r="P5168" s="20" t="n"/>
      <c r="Q5168" s="19" t="n"/>
      <c r="R5168" s="19" t="n"/>
      <c r="Y5168" s="19" t="n"/>
    </row>
    <row r="5169">
      <c r="C5169" s="18" t="n"/>
      <c r="J5169" s="19" t="n"/>
      <c r="P5169" s="20" t="n"/>
      <c r="Q5169" s="19" t="n"/>
      <c r="R5169" s="19" t="n"/>
      <c r="Y5169" s="19" t="n"/>
    </row>
    <row r="5170">
      <c r="C5170" s="18" t="n"/>
      <c r="J5170" s="19" t="n"/>
      <c r="P5170" s="20" t="n"/>
      <c r="Q5170" s="19" t="n"/>
      <c r="R5170" s="19" t="n"/>
      <c r="Y5170" s="19" t="n"/>
    </row>
    <row r="5171">
      <c r="C5171" s="18" t="n"/>
      <c r="J5171" s="19" t="n"/>
      <c r="P5171" s="20" t="n"/>
      <c r="Q5171" s="19" t="n"/>
      <c r="R5171" s="19" t="n"/>
      <c r="Y5171" s="19" t="n"/>
    </row>
    <row r="5172">
      <c r="C5172" s="18" t="n"/>
      <c r="J5172" s="19" t="n"/>
      <c r="P5172" s="20" t="n"/>
      <c r="Q5172" s="19" t="n"/>
      <c r="R5172" s="19" t="n"/>
      <c r="Y5172" s="19" t="n"/>
    </row>
    <row r="5173">
      <c r="C5173" s="18" t="n"/>
      <c r="J5173" s="19" t="n"/>
      <c r="P5173" s="20" t="n"/>
      <c r="Q5173" s="19" t="n"/>
      <c r="R5173" s="19" t="n"/>
      <c r="Y5173" s="19" t="n"/>
    </row>
    <row r="5174">
      <c r="C5174" s="18" t="n"/>
      <c r="J5174" s="19" t="n"/>
      <c r="P5174" s="20" t="n"/>
      <c r="Q5174" s="19" t="n"/>
      <c r="R5174" s="19" t="n"/>
      <c r="Y5174" s="19" t="n"/>
    </row>
    <row r="5175">
      <c r="C5175" s="18" t="n"/>
      <c r="J5175" s="19" t="n"/>
      <c r="P5175" s="20" t="n"/>
      <c r="Q5175" s="19" t="n"/>
      <c r="R5175" s="19" t="n"/>
      <c r="Y5175" s="19" t="n"/>
    </row>
    <row r="5176">
      <c r="C5176" s="18" t="n"/>
      <c r="J5176" s="19" t="n"/>
      <c r="P5176" s="20" t="n"/>
      <c r="Q5176" s="19" t="n"/>
      <c r="R5176" s="19" t="n"/>
      <c r="Y5176" s="19" t="n"/>
    </row>
    <row r="5177">
      <c r="C5177" s="18" t="n"/>
      <c r="J5177" s="19" t="n"/>
      <c r="P5177" s="20" t="n"/>
      <c r="Q5177" s="19" t="n"/>
      <c r="R5177" s="19" t="n"/>
      <c r="Y5177" s="19" t="n"/>
    </row>
    <row r="5178">
      <c r="C5178" s="18" t="n"/>
      <c r="J5178" s="19" t="n"/>
      <c r="P5178" s="20" t="n"/>
      <c r="Q5178" s="19" t="n"/>
      <c r="R5178" s="19" t="n"/>
      <c r="Y5178" s="19" t="n"/>
    </row>
    <row r="5179">
      <c r="C5179" s="18" t="n"/>
      <c r="J5179" s="19" t="n"/>
      <c r="P5179" s="20" t="n"/>
      <c r="Q5179" s="19" t="n"/>
      <c r="R5179" s="19" t="n"/>
      <c r="Y5179" s="19" t="n"/>
    </row>
    <row r="5180">
      <c r="C5180" s="18" t="n"/>
      <c r="J5180" s="19" t="n"/>
      <c r="P5180" s="20" t="n"/>
      <c r="Q5180" s="19" t="n"/>
      <c r="R5180" s="19" t="n"/>
      <c r="Y5180" s="19" t="n"/>
    </row>
    <row r="5181">
      <c r="C5181" s="18" t="n"/>
      <c r="J5181" s="19" t="n"/>
      <c r="P5181" s="20" t="n"/>
      <c r="Q5181" s="19" t="n"/>
      <c r="R5181" s="19" t="n"/>
      <c r="Y5181" s="19" t="n"/>
    </row>
    <row r="5182">
      <c r="C5182" s="18" t="n"/>
      <c r="J5182" s="19" t="n"/>
      <c r="P5182" s="20" t="n"/>
      <c r="Q5182" s="19" t="n"/>
      <c r="R5182" s="19" t="n"/>
      <c r="Y5182" s="19" t="n"/>
    </row>
    <row r="5183">
      <c r="C5183" s="18" t="n"/>
      <c r="J5183" s="19" t="n"/>
      <c r="P5183" s="20" t="n"/>
      <c r="Q5183" s="19" t="n"/>
      <c r="R5183" s="19" t="n"/>
      <c r="Y5183" s="19" t="n"/>
    </row>
    <row r="5184">
      <c r="C5184" s="18" t="n"/>
      <c r="J5184" s="19" t="n"/>
      <c r="P5184" s="20" t="n"/>
      <c r="Q5184" s="19" t="n"/>
      <c r="R5184" s="19" t="n"/>
      <c r="Y5184" s="19" t="n"/>
    </row>
    <row r="5185">
      <c r="C5185" s="18" t="n"/>
      <c r="J5185" s="19" t="n"/>
      <c r="P5185" s="20" t="n"/>
      <c r="Q5185" s="19" t="n"/>
      <c r="R5185" s="19" t="n"/>
      <c r="Y5185" s="19" t="n"/>
    </row>
    <row r="5186">
      <c r="C5186" s="18" t="n"/>
      <c r="J5186" s="19" t="n"/>
      <c r="P5186" s="20" t="n"/>
      <c r="Q5186" s="19" t="n"/>
      <c r="R5186" s="19" t="n"/>
      <c r="Y5186" s="19" t="n"/>
    </row>
    <row r="5187">
      <c r="C5187" s="18" t="n"/>
      <c r="J5187" s="19" t="n"/>
      <c r="P5187" s="20" t="n"/>
      <c r="Q5187" s="19" t="n"/>
      <c r="R5187" s="19" t="n"/>
      <c r="Y5187" s="19" t="n"/>
    </row>
    <row r="5188">
      <c r="C5188" s="18" t="n"/>
      <c r="J5188" s="19" t="n"/>
      <c r="P5188" s="20" t="n"/>
      <c r="Q5188" s="19" t="n"/>
      <c r="R5188" s="19" t="n"/>
      <c r="Y5188" s="19" t="n"/>
    </row>
    <row r="5189">
      <c r="C5189" s="18" t="n"/>
      <c r="J5189" s="19" t="n"/>
      <c r="P5189" s="20" t="n"/>
      <c r="Q5189" s="19" t="n"/>
      <c r="R5189" s="19" t="n"/>
      <c r="Y5189" s="19" t="n"/>
    </row>
    <row r="5190">
      <c r="C5190" s="18" t="n"/>
      <c r="J5190" s="19" t="n"/>
      <c r="P5190" s="20" t="n"/>
      <c r="Q5190" s="19" t="n"/>
      <c r="R5190" s="19" t="n"/>
      <c r="Y5190" s="19" t="n"/>
    </row>
    <row r="5191">
      <c r="C5191" s="18" t="n"/>
      <c r="J5191" s="19" t="n"/>
      <c r="P5191" s="20" t="n"/>
      <c r="Q5191" s="19" t="n"/>
      <c r="R5191" s="19" t="n"/>
      <c r="Y5191" s="19" t="n"/>
    </row>
    <row r="5192">
      <c r="C5192" s="18" t="n"/>
      <c r="J5192" s="19" t="n"/>
      <c r="P5192" s="20" t="n"/>
      <c r="Q5192" s="19" t="n"/>
      <c r="R5192" s="19" t="n"/>
      <c r="Y5192" s="19" t="n"/>
    </row>
    <row r="5193">
      <c r="C5193" s="18" t="n"/>
      <c r="J5193" s="19" t="n"/>
      <c r="P5193" s="20" t="n"/>
      <c r="Q5193" s="19" t="n"/>
      <c r="R5193" s="19" t="n"/>
      <c r="Y5193" s="19" t="n"/>
    </row>
    <row r="5194">
      <c r="C5194" s="18" t="n"/>
      <c r="J5194" s="19" t="n"/>
      <c r="P5194" s="20" t="n"/>
      <c r="Q5194" s="19" t="n"/>
      <c r="R5194" s="19" t="n"/>
      <c r="Y5194" s="19" t="n"/>
    </row>
    <row r="5195">
      <c r="C5195" s="18" t="n"/>
      <c r="J5195" s="19" t="n"/>
      <c r="P5195" s="20" t="n"/>
      <c r="Q5195" s="19" t="n"/>
      <c r="R5195" s="19" t="n"/>
      <c r="Y5195" s="19" t="n"/>
    </row>
    <row r="5196">
      <c r="C5196" s="18" t="n"/>
      <c r="J5196" s="19" t="n"/>
      <c r="P5196" s="20" t="n"/>
      <c r="Q5196" s="19" t="n"/>
      <c r="R5196" s="19" t="n"/>
      <c r="Y5196" s="19" t="n"/>
    </row>
    <row r="5197">
      <c r="C5197" s="18" t="n"/>
      <c r="J5197" s="19" t="n"/>
      <c r="P5197" s="20" t="n"/>
      <c r="Q5197" s="19" t="n"/>
      <c r="R5197" s="19" t="n"/>
      <c r="Y5197" s="19" t="n"/>
    </row>
    <row r="5198">
      <c r="C5198" s="18" t="n"/>
      <c r="J5198" s="19" t="n"/>
      <c r="P5198" s="20" t="n"/>
      <c r="Q5198" s="19" t="n"/>
      <c r="R5198" s="19" t="n"/>
      <c r="Y5198" s="19" t="n"/>
    </row>
    <row r="5199">
      <c r="C5199" s="18" t="n"/>
      <c r="J5199" s="19" t="n"/>
      <c r="P5199" s="20" t="n"/>
      <c r="Q5199" s="19" t="n"/>
      <c r="R5199" s="19" t="n"/>
      <c r="Y5199" s="19" t="n"/>
    </row>
    <row r="5200">
      <c r="C5200" s="18" t="n"/>
      <c r="J5200" s="19" t="n"/>
      <c r="P5200" s="20" t="n"/>
      <c r="Q5200" s="19" t="n"/>
      <c r="R5200" s="19" t="n"/>
      <c r="Y5200" s="19" t="n"/>
    </row>
    <row r="5201">
      <c r="C5201" s="18" t="n"/>
      <c r="J5201" s="19" t="n"/>
      <c r="P5201" s="20" t="n"/>
      <c r="Q5201" s="19" t="n"/>
      <c r="R5201" s="19" t="n"/>
      <c r="Y5201" s="19" t="n"/>
    </row>
    <row r="5202">
      <c r="C5202" s="18" t="n"/>
      <c r="J5202" s="19" t="n"/>
      <c r="P5202" s="20" t="n"/>
      <c r="Q5202" s="19" t="n"/>
      <c r="R5202" s="19" t="n"/>
      <c r="Y5202" s="19" t="n"/>
    </row>
    <row r="5203">
      <c r="C5203" s="18" t="n"/>
      <c r="J5203" s="19" t="n"/>
      <c r="P5203" s="20" t="n"/>
      <c r="Q5203" s="19" t="n"/>
      <c r="R5203" s="19" t="n"/>
      <c r="Y5203" s="19" t="n"/>
    </row>
    <row r="5204">
      <c r="C5204" s="18" t="n"/>
      <c r="J5204" s="19" t="n"/>
      <c r="P5204" s="20" t="n"/>
      <c r="Q5204" s="19" t="n"/>
      <c r="R5204" s="19" t="n"/>
      <c r="Y5204" s="19" t="n"/>
    </row>
    <row r="5205">
      <c r="C5205" s="18" t="n"/>
      <c r="J5205" s="19" t="n"/>
      <c r="P5205" s="20" t="n"/>
      <c r="Q5205" s="19" t="n"/>
      <c r="R5205" s="19" t="n"/>
      <c r="Y5205" s="19" t="n"/>
    </row>
    <row r="5206">
      <c r="C5206" s="18" t="n"/>
      <c r="J5206" s="19" t="n"/>
      <c r="P5206" s="20" t="n"/>
      <c r="Q5206" s="19" t="n"/>
      <c r="R5206" s="19" t="n"/>
      <c r="Y5206" s="19" t="n"/>
    </row>
    <row r="5207">
      <c r="C5207" s="18" t="n"/>
      <c r="J5207" s="19" t="n"/>
      <c r="P5207" s="20" t="n"/>
      <c r="Q5207" s="19" t="n"/>
      <c r="R5207" s="19" t="n"/>
      <c r="Y5207" s="19" t="n"/>
    </row>
    <row r="5208">
      <c r="C5208" s="18" t="n"/>
      <c r="J5208" s="19" t="n"/>
      <c r="P5208" s="20" t="n"/>
      <c r="Q5208" s="19" t="n"/>
      <c r="R5208" s="19" t="n"/>
      <c r="Y5208" s="19" t="n"/>
    </row>
    <row r="5209">
      <c r="C5209" s="18" t="n"/>
      <c r="J5209" s="19" t="n"/>
      <c r="P5209" s="20" t="n"/>
      <c r="Q5209" s="19" t="n"/>
      <c r="R5209" s="19" t="n"/>
      <c r="Y5209" s="19" t="n"/>
    </row>
    <row r="5210">
      <c r="C5210" s="18" t="n"/>
      <c r="J5210" s="19" t="n"/>
      <c r="P5210" s="20" t="n"/>
      <c r="Q5210" s="19" t="n"/>
      <c r="R5210" s="19" t="n"/>
      <c r="Y5210" s="19" t="n"/>
    </row>
    <row r="5211">
      <c r="C5211" s="18" t="n"/>
      <c r="J5211" s="19" t="n"/>
      <c r="P5211" s="20" t="n"/>
      <c r="Q5211" s="19" t="n"/>
      <c r="R5211" s="19" t="n"/>
      <c r="Y5211" s="19" t="n"/>
    </row>
    <row r="5212">
      <c r="C5212" s="18" t="n"/>
      <c r="J5212" s="19" t="n"/>
      <c r="P5212" s="20" t="n"/>
      <c r="Q5212" s="19" t="n"/>
      <c r="R5212" s="19" t="n"/>
      <c r="Y5212" s="19" t="n"/>
    </row>
    <row r="5213">
      <c r="C5213" s="18" t="n"/>
      <c r="J5213" s="19" t="n"/>
      <c r="P5213" s="20" t="n"/>
      <c r="Q5213" s="19" t="n"/>
      <c r="R5213" s="19" t="n"/>
      <c r="Y5213" s="19" t="n"/>
    </row>
    <row r="5214">
      <c r="C5214" s="18" t="n"/>
      <c r="J5214" s="19" t="n"/>
      <c r="P5214" s="20" t="n"/>
      <c r="Q5214" s="19" t="n"/>
      <c r="R5214" s="19" t="n"/>
      <c r="Y5214" s="19" t="n"/>
    </row>
    <row r="5215">
      <c r="C5215" s="18" t="n"/>
      <c r="J5215" s="19" t="n"/>
      <c r="P5215" s="20" t="n"/>
      <c r="Q5215" s="19" t="n"/>
      <c r="R5215" s="19" t="n"/>
      <c r="Y5215" s="19" t="n"/>
    </row>
    <row r="5216">
      <c r="C5216" s="18" t="n"/>
      <c r="J5216" s="19" t="n"/>
      <c r="P5216" s="20" t="n"/>
      <c r="Q5216" s="19" t="n"/>
      <c r="R5216" s="19" t="n"/>
      <c r="Y5216" s="19" t="n"/>
    </row>
    <row r="5217">
      <c r="C5217" s="18" t="n"/>
      <c r="J5217" s="19" t="n"/>
      <c r="P5217" s="20" t="n"/>
      <c r="Q5217" s="19" t="n"/>
      <c r="R5217" s="19" t="n"/>
      <c r="Y5217" s="19" t="n"/>
    </row>
    <row r="5218">
      <c r="C5218" s="18" t="n"/>
      <c r="J5218" s="19" t="n"/>
      <c r="P5218" s="20" t="n"/>
      <c r="Q5218" s="19" t="n"/>
      <c r="R5218" s="19" t="n"/>
      <c r="Y5218" s="19" t="n"/>
    </row>
    <row r="5219">
      <c r="C5219" s="18" t="n"/>
      <c r="J5219" s="19" t="n"/>
      <c r="P5219" s="20" t="n"/>
      <c r="Q5219" s="19" t="n"/>
      <c r="R5219" s="19" t="n"/>
      <c r="Y5219" s="19" t="n"/>
    </row>
    <row r="5220">
      <c r="C5220" s="18" t="n"/>
      <c r="J5220" s="19" t="n"/>
      <c r="P5220" s="20" t="n"/>
      <c r="Q5220" s="19" t="n"/>
      <c r="R5220" s="19" t="n"/>
      <c r="Y5220" s="19" t="n"/>
    </row>
    <row r="5221">
      <c r="C5221" s="18" t="n"/>
      <c r="J5221" s="19" t="n"/>
      <c r="P5221" s="20" t="n"/>
      <c r="Q5221" s="19" t="n"/>
      <c r="R5221" s="19" t="n"/>
      <c r="Y5221" s="19" t="n"/>
    </row>
    <row r="5222">
      <c r="C5222" s="18" t="n"/>
      <c r="J5222" s="19" t="n"/>
      <c r="P5222" s="20" t="n"/>
      <c r="Q5222" s="19" t="n"/>
      <c r="R5222" s="19" t="n"/>
      <c r="Y5222" s="19" t="n"/>
    </row>
    <row r="5223">
      <c r="C5223" s="18" t="n"/>
      <c r="J5223" s="19" t="n"/>
      <c r="P5223" s="20" t="n"/>
      <c r="Q5223" s="19" t="n"/>
      <c r="R5223" s="19" t="n"/>
      <c r="Y5223" s="19" t="n"/>
    </row>
    <row r="5224">
      <c r="C5224" s="18" t="n"/>
      <c r="J5224" s="19" t="n"/>
      <c r="P5224" s="20" t="n"/>
      <c r="Q5224" s="19" t="n"/>
      <c r="R5224" s="19" t="n"/>
      <c r="Y5224" s="19" t="n"/>
    </row>
    <row r="5225">
      <c r="C5225" s="18" t="n"/>
      <c r="J5225" s="19" t="n"/>
      <c r="P5225" s="20" t="n"/>
      <c r="Q5225" s="19" t="n"/>
      <c r="R5225" s="19" t="n"/>
      <c r="Y5225" s="19" t="n"/>
    </row>
    <row r="5226">
      <c r="C5226" s="18" t="n"/>
      <c r="J5226" s="19" t="n"/>
      <c r="P5226" s="20" t="n"/>
      <c r="Q5226" s="19" t="n"/>
      <c r="R5226" s="19" t="n"/>
      <c r="Y5226" s="19" t="n"/>
    </row>
    <row r="5227">
      <c r="C5227" s="18" t="n"/>
      <c r="J5227" s="19" t="n"/>
      <c r="P5227" s="20" t="n"/>
      <c r="Q5227" s="19" t="n"/>
      <c r="R5227" s="19" t="n"/>
      <c r="Y5227" s="19" t="n"/>
    </row>
    <row r="5228">
      <c r="C5228" s="18" t="n"/>
      <c r="J5228" s="19" t="n"/>
      <c r="P5228" s="20" t="n"/>
      <c r="Q5228" s="19" t="n"/>
      <c r="R5228" s="19" t="n"/>
      <c r="Y5228" s="19" t="n"/>
    </row>
    <row r="5229">
      <c r="C5229" s="18" t="n"/>
      <c r="J5229" s="19" t="n"/>
      <c r="P5229" s="20" t="n"/>
      <c r="Q5229" s="19" t="n"/>
      <c r="R5229" s="19" t="n"/>
      <c r="Y5229" s="19" t="n"/>
    </row>
    <row r="5230">
      <c r="C5230" s="18" t="n"/>
      <c r="J5230" s="19" t="n"/>
      <c r="P5230" s="20" t="n"/>
      <c r="Q5230" s="19" t="n"/>
      <c r="R5230" s="19" t="n"/>
      <c r="Y5230" s="19" t="n"/>
    </row>
    <row r="5231">
      <c r="C5231" s="18" t="n"/>
      <c r="J5231" s="19" t="n"/>
      <c r="P5231" s="20" t="n"/>
      <c r="Q5231" s="19" t="n"/>
      <c r="R5231" s="19" t="n"/>
      <c r="Y5231" s="19" t="n"/>
    </row>
    <row r="5232">
      <c r="C5232" s="18" t="n"/>
      <c r="J5232" s="19" t="n"/>
      <c r="P5232" s="20" t="n"/>
      <c r="Q5232" s="19" t="n"/>
      <c r="R5232" s="19" t="n"/>
      <c r="Y5232" s="19" t="n"/>
    </row>
    <row r="5233">
      <c r="C5233" s="18" t="n"/>
      <c r="J5233" s="19" t="n"/>
      <c r="P5233" s="20" t="n"/>
      <c r="Q5233" s="19" t="n"/>
      <c r="R5233" s="19" t="n"/>
      <c r="Y5233" s="19" t="n"/>
    </row>
    <row r="5234">
      <c r="C5234" s="18" t="n"/>
      <c r="J5234" s="19" t="n"/>
      <c r="P5234" s="20" t="n"/>
      <c r="Q5234" s="19" t="n"/>
      <c r="R5234" s="19" t="n"/>
      <c r="Y5234" s="19" t="n"/>
    </row>
    <row r="5235">
      <c r="C5235" s="18" t="n"/>
      <c r="J5235" s="19" t="n"/>
      <c r="P5235" s="20" t="n"/>
      <c r="Q5235" s="19" t="n"/>
      <c r="R5235" s="19" t="n"/>
      <c r="Y5235" s="19" t="n"/>
    </row>
    <row r="5236">
      <c r="C5236" s="18" t="n"/>
      <c r="J5236" s="19" t="n"/>
      <c r="P5236" s="20" t="n"/>
      <c r="Q5236" s="19" t="n"/>
      <c r="R5236" s="19" t="n"/>
      <c r="Y5236" s="19" t="n"/>
    </row>
    <row r="5237">
      <c r="C5237" s="18" t="n"/>
      <c r="J5237" s="19" t="n"/>
      <c r="P5237" s="20" t="n"/>
      <c r="Q5237" s="19" t="n"/>
      <c r="R5237" s="19" t="n"/>
      <c r="Y5237" s="19" t="n"/>
    </row>
    <row r="5238">
      <c r="C5238" s="18" t="n"/>
      <c r="J5238" s="19" t="n"/>
      <c r="P5238" s="20" t="n"/>
      <c r="Q5238" s="19" t="n"/>
      <c r="R5238" s="19" t="n"/>
      <c r="Y5238" s="19" t="n"/>
    </row>
    <row r="5239">
      <c r="C5239" s="18" t="n"/>
      <c r="J5239" s="19" t="n"/>
      <c r="P5239" s="20" t="n"/>
      <c r="Q5239" s="19" t="n"/>
      <c r="R5239" s="19" t="n"/>
      <c r="Y5239" s="19" t="n"/>
    </row>
    <row r="5240">
      <c r="C5240" s="18" t="n"/>
      <c r="J5240" s="19" t="n"/>
      <c r="P5240" s="20" t="n"/>
      <c r="Q5240" s="19" t="n"/>
      <c r="R5240" s="19" t="n"/>
      <c r="Y5240" s="19" t="n"/>
    </row>
    <row r="5241">
      <c r="C5241" s="18" t="n"/>
      <c r="J5241" s="19" t="n"/>
      <c r="P5241" s="20" t="n"/>
      <c r="Q5241" s="19" t="n"/>
      <c r="R5241" s="19" t="n"/>
      <c r="Y5241" s="19" t="n"/>
    </row>
    <row r="5242">
      <c r="C5242" s="18" t="n"/>
      <c r="J5242" s="19" t="n"/>
      <c r="P5242" s="20" t="n"/>
      <c r="Q5242" s="19" t="n"/>
      <c r="R5242" s="19" t="n"/>
      <c r="Y5242" s="19" t="n"/>
    </row>
    <row r="5243">
      <c r="C5243" s="18" t="n"/>
      <c r="J5243" s="19" t="n"/>
      <c r="P5243" s="20" t="n"/>
      <c r="Q5243" s="19" t="n"/>
      <c r="R5243" s="19" t="n"/>
      <c r="Y5243" s="19" t="n"/>
    </row>
    <row r="5244">
      <c r="C5244" s="18" t="n"/>
      <c r="J5244" s="19" t="n"/>
      <c r="P5244" s="20" t="n"/>
      <c r="Q5244" s="19" t="n"/>
      <c r="R5244" s="19" t="n"/>
      <c r="Y5244" s="19" t="n"/>
    </row>
    <row r="5245">
      <c r="C5245" s="18" t="n"/>
      <c r="J5245" s="19" t="n"/>
      <c r="P5245" s="20" t="n"/>
      <c r="Q5245" s="19" t="n"/>
      <c r="R5245" s="19" t="n"/>
      <c r="Y5245" s="19" t="n"/>
    </row>
    <row r="5246">
      <c r="C5246" s="18" t="n"/>
      <c r="J5246" s="19" t="n"/>
      <c r="P5246" s="20" t="n"/>
      <c r="Q5246" s="19" t="n"/>
      <c r="R5246" s="19" t="n"/>
      <c r="Y5246" s="19" t="n"/>
    </row>
    <row r="5247">
      <c r="C5247" s="18" t="n"/>
      <c r="J5247" s="19" t="n"/>
      <c r="P5247" s="20" t="n"/>
      <c r="Q5247" s="19" t="n"/>
      <c r="R5247" s="19" t="n"/>
      <c r="Y5247" s="19" t="n"/>
    </row>
    <row r="5248">
      <c r="C5248" s="18" t="n"/>
      <c r="J5248" s="19" t="n"/>
      <c r="P5248" s="20" t="n"/>
      <c r="Q5248" s="19" t="n"/>
      <c r="R5248" s="19" t="n"/>
      <c r="Y5248" s="19" t="n"/>
    </row>
    <row r="5249">
      <c r="C5249" s="18" t="n"/>
      <c r="J5249" s="19" t="n"/>
      <c r="P5249" s="20" t="n"/>
      <c r="Q5249" s="19" t="n"/>
      <c r="R5249" s="19" t="n"/>
      <c r="Y5249" s="19" t="n"/>
    </row>
    <row r="5250">
      <c r="C5250" s="18" t="n"/>
      <c r="J5250" s="19" t="n"/>
      <c r="P5250" s="20" t="n"/>
      <c r="Q5250" s="19" t="n"/>
      <c r="R5250" s="19" t="n"/>
      <c r="Y5250" s="19" t="n"/>
    </row>
    <row r="5251">
      <c r="C5251" s="18" t="n"/>
      <c r="J5251" s="19" t="n"/>
      <c r="P5251" s="20" t="n"/>
      <c r="Q5251" s="19" t="n"/>
      <c r="R5251" s="19" t="n"/>
      <c r="Y5251" s="19" t="n"/>
    </row>
    <row r="5252">
      <c r="C5252" s="18" t="n"/>
      <c r="J5252" s="19" t="n"/>
      <c r="P5252" s="20" t="n"/>
      <c r="Q5252" s="19" t="n"/>
      <c r="R5252" s="19" t="n"/>
      <c r="Y5252" s="19" t="n"/>
    </row>
    <row r="5253">
      <c r="C5253" s="18" t="n"/>
      <c r="J5253" s="19" t="n"/>
      <c r="P5253" s="20" t="n"/>
      <c r="Q5253" s="19" t="n"/>
      <c r="R5253" s="19" t="n"/>
      <c r="Y5253" s="19" t="n"/>
    </row>
    <row r="5254">
      <c r="C5254" s="18" t="n"/>
      <c r="J5254" s="19" t="n"/>
      <c r="P5254" s="20" t="n"/>
      <c r="Q5254" s="19" t="n"/>
      <c r="R5254" s="19" t="n"/>
      <c r="Y5254" s="19" t="n"/>
    </row>
    <row r="5255">
      <c r="C5255" s="18" t="n"/>
      <c r="J5255" s="19" t="n"/>
      <c r="P5255" s="20" t="n"/>
      <c r="Q5255" s="19" t="n"/>
      <c r="R5255" s="19" t="n"/>
      <c r="Y5255" s="19" t="n"/>
    </row>
    <row r="5256">
      <c r="C5256" s="18" t="n"/>
      <c r="J5256" s="19" t="n"/>
      <c r="P5256" s="20" t="n"/>
      <c r="Q5256" s="19" t="n"/>
      <c r="R5256" s="19" t="n"/>
      <c r="Y5256" s="19" t="n"/>
    </row>
    <row r="5257">
      <c r="C5257" s="18" t="n"/>
      <c r="J5257" s="19" t="n"/>
      <c r="P5257" s="20" t="n"/>
      <c r="Q5257" s="19" t="n"/>
      <c r="R5257" s="19" t="n"/>
      <c r="Y5257" s="19" t="n"/>
    </row>
    <row r="5258">
      <c r="C5258" s="18" t="n"/>
      <c r="J5258" s="19" t="n"/>
      <c r="P5258" s="20" t="n"/>
      <c r="Q5258" s="19" t="n"/>
      <c r="R5258" s="19" t="n"/>
      <c r="Y5258" s="19" t="n"/>
    </row>
    <row r="5259">
      <c r="C5259" s="18" t="n"/>
      <c r="J5259" s="19" t="n"/>
      <c r="P5259" s="20" t="n"/>
      <c r="Q5259" s="19" t="n"/>
      <c r="R5259" s="19" t="n"/>
      <c r="Y5259" s="19" t="n"/>
    </row>
    <row r="5260">
      <c r="C5260" s="18" t="n"/>
      <c r="J5260" s="19" t="n"/>
      <c r="P5260" s="20" t="n"/>
      <c r="Q5260" s="19" t="n"/>
      <c r="R5260" s="19" t="n"/>
      <c r="Y5260" s="19" t="n"/>
    </row>
    <row r="5261">
      <c r="C5261" s="18" t="n"/>
      <c r="J5261" s="19" t="n"/>
      <c r="P5261" s="20" t="n"/>
      <c r="Q5261" s="19" t="n"/>
      <c r="R5261" s="19" t="n"/>
      <c r="Y5261" s="19" t="n"/>
    </row>
    <row r="5262">
      <c r="C5262" s="18" t="n"/>
      <c r="J5262" s="19" t="n"/>
      <c r="P5262" s="20" t="n"/>
      <c r="Q5262" s="19" t="n"/>
      <c r="R5262" s="19" t="n"/>
      <c r="Y5262" s="19" t="n"/>
    </row>
    <row r="5263">
      <c r="C5263" s="18" t="n"/>
      <c r="J5263" s="19" t="n"/>
      <c r="P5263" s="20" t="n"/>
      <c r="Q5263" s="19" t="n"/>
      <c r="R5263" s="19" t="n"/>
      <c r="Y5263" s="19" t="n"/>
    </row>
    <row r="5264">
      <c r="C5264" s="18" t="n"/>
      <c r="J5264" s="19" t="n"/>
      <c r="P5264" s="20" t="n"/>
      <c r="Q5264" s="19" t="n"/>
      <c r="R5264" s="19" t="n"/>
      <c r="Y5264" s="19" t="n"/>
    </row>
    <row r="5265">
      <c r="C5265" s="18" t="n"/>
      <c r="J5265" s="19" t="n"/>
      <c r="P5265" s="20" t="n"/>
      <c r="Q5265" s="19" t="n"/>
      <c r="R5265" s="19" t="n"/>
      <c r="Y5265" s="19" t="n"/>
    </row>
    <row r="5266">
      <c r="C5266" s="18" t="n"/>
      <c r="J5266" s="19" t="n"/>
      <c r="P5266" s="20" t="n"/>
      <c r="Q5266" s="19" t="n"/>
      <c r="R5266" s="19" t="n"/>
      <c r="Y5266" s="19" t="n"/>
    </row>
    <row r="5267">
      <c r="C5267" s="18" t="n"/>
      <c r="J5267" s="19" t="n"/>
      <c r="P5267" s="20" t="n"/>
      <c r="Q5267" s="19" t="n"/>
      <c r="R5267" s="19" t="n"/>
      <c r="Y5267" s="19" t="n"/>
    </row>
    <row r="5268">
      <c r="C5268" s="18" t="n"/>
      <c r="J5268" s="19" t="n"/>
      <c r="P5268" s="20" t="n"/>
      <c r="Q5268" s="19" t="n"/>
      <c r="R5268" s="19" t="n"/>
      <c r="Y5268" s="19" t="n"/>
    </row>
    <row r="5269">
      <c r="C5269" s="18" t="n"/>
      <c r="J5269" s="19" t="n"/>
      <c r="P5269" s="20" t="n"/>
      <c r="Q5269" s="19" t="n"/>
      <c r="R5269" s="19" t="n"/>
      <c r="Y5269" s="19" t="n"/>
    </row>
    <row r="5270">
      <c r="C5270" s="18" t="n"/>
      <c r="J5270" s="19" t="n"/>
      <c r="P5270" s="20" t="n"/>
      <c r="Q5270" s="19" t="n"/>
      <c r="R5270" s="19" t="n"/>
      <c r="Y5270" s="19" t="n"/>
    </row>
    <row r="5271">
      <c r="C5271" s="18" t="n"/>
      <c r="J5271" s="19" t="n"/>
      <c r="P5271" s="20" t="n"/>
      <c r="Q5271" s="19" t="n"/>
      <c r="R5271" s="19" t="n"/>
      <c r="Y5271" s="19" t="n"/>
    </row>
    <row r="5272">
      <c r="C5272" s="18" t="n"/>
      <c r="J5272" s="19" t="n"/>
      <c r="P5272" s="20" t="n"/>
      <c r="Q5272" s="19" t="n"/>
      <c r="R5272" s="19" t="n"/>
      <c r="Y5272" s="19" t="n"/>
    </row>
    <row r="5273">
      <c r="C5273" s="18" t="n"/>
      <c r="J5273" s="19" t="n"/>
      <c r="P5273" s="20" t="n"/>
      <c r="Q5273" s="19" t="n"/>
      <c r="R5273" s="19" t="n"/>
      <c r="Y5273" s="19" t="n"/>
    </row>
    <row r="5274">
      <c r="C5274" s="18" t="n"/>
      <c r="J5274" s="19" t="n"/>
      <c r="P5274" s="20" t="n"/>
      <c r="Q5274" s="19" t="n"/>
      <c r="R5274" s="19" t="n"/>
      <c r="Y5274" s="19" t="n"/>
    </row>
    <row r="5275">
      <c r="C5275" s="18" t="n"/>
      <c r="J5275" s="19" t="n"/>
      <c r="P5275" s="20" t="n"/>
      <c r="Q5275" s="19" t="n"/>
      <c r="R5275" s="19" t="n"/>
      <c r="Y5275" s="19" t="n"/>
    </row>
    <row r="5276">
      <c r="C5276" s="18" t="n"/>
      <c r="J5276" s="19" t="n"/>
      <c r="P5276" s="20" t="n"/>
      <c r="Q5276" s="19" t="n"/>
      <c r="R5276" s="19" t="n"/>
      <c r="Y5276" s="19" t="n"/>
    </row>
    <row r="5277">
      <c r="C5277" s="18" t="n"/>
      <c r="J5277" s="19" t="n"/>
      <c r="P5277" s="20" t="n"/>
      <c r="Q5277" s="19" t="n"/>
      <c r="R5277" s="19" t="n"/>
      <c r="Y5277" s="19" t="n"/>
    </row>
    <row r="5278">
      <c r="C5278" s="18" t="n"/>
      <c r="J5278" s="19" t="n"/>
      <c r="P5278" s="20" t="n"/>
      <c r="Q5278" s="19" t="n"/>
      <c r="R5278" s="19" t="n"/>
      <c r="Y5278" s="19" t="n"/>
    </row>
    <row r="5279">
      <c r="C5279" s="18" t="n"/>
      <c r="J5279" s="19" t="n"/>
      <c r="P5279" s="20" t="n"/>
      <c r="Q5279" s="19" t="n"/>
      <c r="R5279" s="19" t="n"/>
      <c r="Y5279" s="19" t="n"/>
    </row>
    <row r="5280">
      <c r="C5280" s="18" t="n"/>
      <c r="J5280" s="19" t="n"/>
      <c r="P5280" s="20" t="n"/>
      <c r="Q5280" s="19" t="n"/>
      <c r="R5280" s="19" t="n"/>
      <c r="Y5280" s="19" t="n"/>
    </row>
    <row r="5281">
      <c r="C5281" s="18" t="n"/>
      <c r="J5281" s="19" t="n"/>
      <c r="P5281" s="20" t="n"/>
      <c r="Q5281" s="19" t="n"/>
      <c r="R5281" s="19" t="n"/>
      <c r="Y5281" s="19" t="n"/>
    </row>
    <row r="5282">
      <c r="C5282" s="18" t="n"/>
      <c r="J5282" s="19" t="n"/>
      <c r="P5282" s="20" t="n"/>
      <c r="Q5282" s="19" t="n"/>
      <c r="R5282" s="19" t="n"/>
      <c r="Y5282" s="19" t="n"/>
    </row>
    <row r="5283">
      <c r="C5283" s="18" t="n"/>
      <c r="J5283" s="19" t="n"/>
      <c r="P5283" s="20" t="n"/>
      <c r="Q5283" s="19" t="n"/>
      <c r="R5283" s="19" t="n"/>
      <c r="Y5283" s="19" t="n"/>
    </row>
    <row r="5284">
      <c r="C5284" s="18" t="n"/>
      <c r="J5284" s="19" t="n"/>
      <c r="P5284" s="20" t="n"/>
      <c r="Q5284" s="19" t="n"/>
      <c r="R5284" s="19" t="n"/>
      <c r="Y5284" s="19" t="n"/>
    </row>
    <row r="5285">
      <c r="C5285" s="18" t="n"/>
      <c r="J5285" s="19" t="n"/>
      <c r="P5285" s="20" t="n"/>
      <c r="Q5285" s="19" t="n"/>
      <c r="R5285" s="19" t="n"/>
      <c r="Y5285" s="19" t="n"/>
    </row>
    <row r="5286">
      <c r="C5286" s="18" t="n"/>
      <c r="J5286" s="19" t="n"/>
      <c r="P5286" s="20" t="n"/>
      <c r="Q5286" s="19" t="n"/>
      <c r="R5286" s="19" t="n"/>
      <c r="Y5286" s="19" t="n"/>
    </row>
    <row r="5287">
      <c r="C5287" s="18" t="n"/>
      <c r="J5287" s="19" t="n"/>
      <c r="P5287" s="20" t="n"/>
      <c r="Q5287" s="19" t="n"/>
      <c r="R5287" s="19" t="n"/>
      <c r="Y5287" s="19" t="n"/>
    </row>
    <row r="5288">
      <c r="C5288" s="18" t="n"/>
      <c r="J5288" s="19" t="n"/>
      <c r="P5288" s="20" t="n"/>
      <c r="Q5288" s="19" t="n"/>
      <c r="R5288" s="19" t="n"/>
      <c r="Y5288" s="19" t="n"/>
    </row>
    <row r="5289">
      <c r="C5289" s="18" t="n"/>
      <c r="J5289" s="19" t="n"/>
      <c r="P5289" s="20" t="n"/>
      <c r="Q5289" s="19" t="n"/>
      <c r="R5289" s="19" t="n"/>
      <c r="Y5289" s="19" t="n"/>
    </row>
    <row r="5290">
      <c r="C5290" s="18" t="n"/>
      <c r="J5290" s="19" t="n"/>
      <c r="P5290" s="20" t="n"/>
      <c r="Q5290" s="19" t="n"/>
      <c r="R5290" s="19" t="n"/>
      <c r="Y5290" s="19" t="n"/>
    </row>
    <row r="5291">
      <c r="C5291" s="18" t="n"/>
      <c r="J5291" s="19" t="n"/>
      <c r="P5291" s="20" t="n"/>
      <c r="Q5291" s="19" t="n"/>
      <c r="R5291" s="19" t="n"/>
      <c r="Y5291" s="19" t="n"/>
    </row>
    <row r="5292">
      <c r="C5292" s="18" t="n"/>
      <c r="J5292" s="19" t="n"/>
      <c r="P5292" s="20" t="n"/>
      <c r="Q5292" s="19" t="n"/>
      <c r="R5292" s="19" t="n"/>
      <c r="Y5292" s="19" t="n"/>
    </row>
    <row r="5293">
      <c r="C5293" s="18" t="n"/>
      <c r="J5293" s="19" t="n"/>
      <c r="P5293" s="20" t="n"/>
      <c r="Q5293" s="19" t="n"/>
      <c r="R5293" s="19" t="n"/>
      <c r="Y5293" s="19" t="n"/>
    </row>
    <row r="5294">
      <c r="C5294" s="18" t="n"/>
      <c r="J5294" s="19" t="n"/>
      <c r="P5294" s="20" t="n"/>
      <c r="Q5294" s="19" t="n"/>
      <c r="R5294" s="19" t="n"/>
      <c r="Y5294" s="19" t="n"/>
    </row>
    <row r="5295">
      <c r="C5295" s="18" t="n"/>
      <c r="J5295" s="19" t="n"/>
      <c r="P5295" s="20" t="n"/>
      <c r="Q5295" s="19" t="n"/>
      <c r="R5295" s="19" t="n"/>
      <c r="Y5295" s="19" t="n"/>
    </row>
    <row r="5296">
      <c r="C5296" s="18" t="n"/>
      <c r="J5296" s="19" t="n"/>
      <c r="P5296" s="20" t="n"/>
      <c r="Q5296" s="19" t="n"/>
      <c r="R5296" s="19" t="n"/>
      <c r="Y5296" s="19" t="n"/>
    </row>
    <row r="5297">
      <c r="C5297" s="18" t="n"/>
      <c r="J5297" s="19" t="n"/>
      <c r="P5297" s="20" t="n"/>
      <c r="Q5297" s="19" t="n"/>
      <c r="R5297" s="19" t="n"/>
      <c r="Y5297" s="19" t="n"/>
    </row>
    <row r="5298">
      <c r="C5298" s="18" t="n"/>
      <c r="J5298" s="19" t="n"/>
      <c r="P5298" s="20" t="n"/>
      <c r="Q5298" s="19" t="n"/>
      <c r="R5298" s="19" t="n"/>
      <c r="Y5298" s="19" t="n"/>
    </row>
    <row r="5299">
      <c r="C5299" s="18" t="n"/>
      <c r="J5299" s="19" t="n"/>
      <c r="P5299" s="20" t="n"/>
      <c r="Q5299" s="19" t="n"/>
      <c r="R5299" s="19" t="n"/>
      <c r="Y5299" s="19" t="n"/>
    </row>
    <row r="5300">
      <c r="C5300" s="18" t="n"/>
      <c r="J5300" s="19" t="n"/>
      <c r="P5300" s="20" t="n"/>
      <c r="Q5300" s="19" t="n"/>
      <c r="R5300" s="19" t="n"/>
      <c r="Y5300" s="19" t="n"/>
    </row>
    <row r="5301">
      <c r="C5301" s="18" t="n"/>
      <c r="J5301" s="19" t="n"/>
      <c r="P5301" s="20" t="n"/>
      <c r="Q5301" s="19" t="n"/>
      <c r="R5301" s="19" t="n"/>
      <c r="Y5301" s="19" t="n"/>
    </row>
    <row r="5302">
      <c r="C5302" s="18" t="n"/>
      <c r="J5302" s="19" t="n"/>
      <c r="P5302" s="20" t="n"/>
      <c r="Q5302" s="19" t="n"/>
      <c r="R5302" s="19" t="n"/>
      <c r="Y5302" s="19" t="n"/>
    </row>
    <row r="5303">
      <c r="C5303" s="18" t="n"/>
      <c r="J5303" s="19" t="n"/>
      <c r="P5303" s="20" t="n"/>
      <c r="Q5303" s="19" t="n"/>
      <c r="R5303" s="19" t="n"/>
      <c r="Y5303" s="19" t="n"/>
    </row>
    <row r="5304">
      <c r="C5304" s="18" t="n"/>
      <c r="J5304" s="19" t="n"/>
      <c r="P5304" s="20" t="n"/>
      <c r="Q5304" s="19" t="n"/>
      <c r="R5304" s="19" t="n"/>
      <c r="Y5304" s="19" t="n"/>
    </row>
    <row r="5305">
      <c r="C5305" s="18" t="n"/>
      <c r="J5305" s="19" t="n"/>
      <c r="P5305" s="20" t="n"/>
      <c r="Q5305" s="19" t="n"/>
      <c r="R5305" s="19" t="n"/>
      <c r="Y5305" s="19" t="n"/>
    </row>
    <row r="5306">
      <c r="C5306" s="18" t="n"/>
      <c r="J5306" s="19" t="n"/>
      <c r="P5306" s="20" t="n"/>
      <c r="Q5306" s="19" t="n"/>
      <c r="R5306" s="19" t="n"/>
      <c r="Y5306" s="19" t="n"/>
    </row>
    <row r="5307">
      <c r="C5307" s="18" t="n"/>
      <c r="J5307" s="19" t="n"/>
      <c r="P5307" s="20" t="n"/>
      <c r="Q5307" s="19" t="n"/>
      <c r="R5307" s="19" t="n"/>
      <c r="Y5307" s="19" t="n"/>
    </row>
    <row r="5308">
      <c r="C5308" s="18" t="n"/>
      <c r="J5308" s="19" t="n"/>
      <c r="P5308" s="20" t="n"/>
      <c r="Q5308" s="19" t="n"/>
      <c r="R5308" s="19" t="n"/>
      <c r="Y5308" s="19" t="n"/>
    </row>
    <row r="5309">
      <c r="C5309" s="18" t="n"/>
      <c r="J5309" s="19" t="n"/>
      <c r="P5309" s="20" t="n"/>
      <c r="Q5309" s="19" t="n"/>
      <c r="R5309" s="19" t="n"/>
      <c r="Y5309" s="19" t="n"/>
    </row>
    <row r="5310">
      <c r="C5310" s="18" t="n"/>
      <c r="J5310" s="19" t="n"/>
      <c r="P5310" s="20" t="n"/>
      <c r="Q5310" s="19" t="n"/>
      <c r="R5310" s="19" t="n"/>
      <c r="Y5310" s="19" t="n"/>
    </row>
    <row r="5311">
      <c r="C5311" s="18" t="n"/>
      <c r="J5311" s="19" t="n"/>
      <c r="P5311" s="20" t="n"/>
      <c r="Q5311" s="19" t="n"/>
      <c r="R5311" s="19" t="n"/>
      <c r="Y5311" s="19" t="n"/>
    </row>
    <row r="5312">
      <c r="C5312" s="18" t="n"/>
      <c r="J5312" s="19" t="n"/>
      <c r="P5312" s="20" t="n"/>
      <c r="Q5312" s="19" t="n"/>
      <c r="R5312" s="19" t="n"/>
      <c r="Y5312" s="19" t="n"/>
    </row>
    <row r="5313">
      <c r="C5313" s="18" t="n"/>
      <c r="J5313" s="19" t="n"/>
      <c r="P5313" s="20" t="n"/>
      <c r="Q5313" s="19" t="n"/>
      <c r="R5313" s="19" t="n"/>
      <c r="Y5313" s="19" t="n"/>
    </row>
    <row r="5314">
      <c r="C5314" s="18" t="n"/>
      <c r="J5314" s="19" t="n"/>
      <c r="P5314" s="20" t="n"/>
      <c r="Q5314" s="19" t="n"/>
      <c r="R5314" s="19" t="n"/>
      <c r="Y5314" s="19" t="n"/>
    </row>
    <row r="5315">
      <c r="C5315" s="18" t="n"/>
      <c r="J5315" s="19" t="n"/>
      <c r="P5315" s="20" t="n"/>
      <c r="Q5315" s="19" t="n"/>
      <c r="R5315" s="19" t="n"/>
      <c r="Y5315" s="19" t="n"/>
    </row>
    <row r="5316">
      <c r="C5316" s="18" t="n"/>
      <c r="J5316" s="19" t="n"/>
      <c r="P5316" s="20" t="n"/>
      <c r="Q5316" s="19" t="n"/>
      <c r="R5316" s="19" t="n"/>
      <c r="Y5316" s="19" t="n"/>
    </row>
    <row r="5317">
      <c r="C5317" s="18" t="n"/>
      <c r="J5317" s="19" t="n"/>
      <c r="P5317" s="20" t="n"/>
      <c r="Q5317" s="19" t="n"/>
      <c r="R5317" s="19" t="n"/>
      <c r="Y5317" s="19" t="n"/>
    </row>
    <row r="5318">
      <c r="C5318" s="18" t="n"/>
      <c r="J5318" s="19" t="n"/>
      <c r="P5318" s="20" t="n"/>
      <c r="Q5318" s="19" t="n"/>
      <c r="R5318" s="19" t="n"/>
      <c r="Y5318" s="19" t="n"/>
    </row>
    <row r="5319">
      <c r="C5319" s="18" t="n"/>
      <c r="J5319" s="19" t="n"/>
      <c r="P5319" s="20" t="n"/>
      <c r="Q5319" s="19" t="n"/>
      <c r="R5319" s="19" t="n"/>
      <c r="Y5319" s="19" t="n"/>
    </row>
    <row r="5320">
      <c r="C5320" s="18" t="n"/>
      <c r="J5320" s="19" t="n"/>
      <c r="P5320" s="20" t="n"/>
      <c r="Q5320" s="19" t="n"/>
      <c r="R5320" s="19" t="n"/>
      <c r="Y5320" s="19" t="n"/>
    </row>
    <row r="5321">
      <c r="C5321" s="18" t="n"/>
      <c r="J5321" s="19" t="n"/>
      <c r="P5321" s="20" t="n"/>
      <c r="Q5321" s="19" t="n"/>
      <c r="R5321" s="19" t="n"/>
      <c r="Y5321" s="19" t="n"/>
    </row>
    <row r="5322">
      <c r="C5322" s="18" t="n"/>
      <c r="J5322" s="19" t="n"/>
      <c r="P5322" s="20" t="n"/>
      <c r="Q5322" s="19" t="n"/>
      <c r="R5322" s="19" t="n"/>
      <c r="Y5322" s="19" t="n"/>
    </row>
    <row r="5323">
      <c r="C5323" s="18" t="n"/>
      <c r="J5323" s="19" t="n"/>
      <c r="P5323" s="20" t="n"/>
      <c r="Q5323" s="19" t="n"/>
      <c r="R5323" s="19" t="n"/>
      <c r="Y5323" s="19" t="n"/>
    </row>
    <row r="5324">
      <c r="C5324" s="18" t="n"/>
      <c r="J5324" s="19" t="n"/>
      <c r="P5324" s="20" t="n"/>
      <c r="Q5324" s="19" t="n"/>
      <c r="R5324" s="19" t="n"/>
      <c r="Y5324" s="19" t="n"/>
    </row>
    <row r="5325">
      <c r="C5325" s="18" t="n"/>
      <c r="J5325" s="19" t="n"/>
      <c r="P5325" s="20" t="n"/>
      <c r="Q5325" s="19" t="n"/>
      <c r="R5325" s="19" t="n"/>
      <c r="Y5325" s="19" t="n"/>
    </row>
    <row r="5326">
      <c r="C5326" s="18" t="n"/>
      <c r="J5326" s="19" t="n"/>
      <c r="P5326" s="20" t="n"/>
      <c r="Q5326" s="19" t="n"/>
      <c r="R5326" s="19" t="n"/>
      <c r="Y5326" s="19" t="n"/>
    </row>
    <row r="5327">
      <c r="C5327" s="18" t="n"/>
      <c r="J5327" s="19" t="n"/>
      <c r="P5327" s="20" t="n"/>
      <c r="Q5327" s="19" t="n"/>
      <c r="R5327" s="19" t="n"/>
      <c r="Y5327" s="19" t="n"/>
    </row>
    <row r="5328">
      <c r="C5328" s="18" t="n"/>
      <c r="J5328" s="19" t="n"/>
      <c r="P5328" s="20" t="n"/>
      <c r="Q5328" s="19" t="n"/>
      <c r="R5328" s="19" t="n"/>
      <c r="Y5328" s="19" t="n"/>
    </row>
    <row r="5329">
      <c r="C5329" s="18" t="n"/>
      <c r="J5329" s="19" t="n"/>
      <c r="P5329" s="20" t="n"/>
      <c r="Q5329" s="19" t="n"/>
      <c r="R5329" s="19" t="n"/>
      <c r="Y5329" s="19" t="n"/>
    </row>
    <row r="5330">
      <c r="C5330" s="18" t="n"/>
      <c r="J5330" s="19" t="n"/>
      <c r="P5330" s="20" t="n"/>
      <c r="Q5330" s="19" t="n"/>
      <c r="R5330" s="19" t="n"/>
      <c r="Y5330" s="19" t="n"/>
    </row>
    <row r="5331">
      <c r="C5331" s="18" t="n"/>
      <c r="J5331" s="19" t="n"/>
      <c r="P5331" s="20" t="n"/>
      <c r="Q5331" s="19" t="n"/>
      <c r="R5331" s="19" t="n"/>
      <c r="Y5331" s="19" t="n"/>
    </row>
    <row r="5332">
      <c r="C5332" s="18" t="n"/>
      <c r="J5332" s="19" t="n"/>
      <c r="P5332" s="20" t="n"/>
      <c r="Q5332" s="19" t="n"/>
      <c r="R5332" s="19" t="n"/>
      <c r="Y5332" s="19" t="n"/>
    </row>
    <row r="5333">
      <c r="C5333" s="18" t="n"/>
      <c r="J5333" s="19" t="n"/>
      <c r="P5333" s="20" t="n"/>
      <c r="Q5333" s="19" t="n"/>
      <c r="R5333" s="19" t="n"/>
      <c r="Y5333" s="19" t="n"/>
    </row>
    <row r="5334">
      <c r="C5334" s="18" t="n"/>
      <c r="J5334" s="19" t="n"/>
      <c r="P5334" s="20" t="n"/>
      <c r="Q5334" s="19" t="n"/>
      <c r="R5334" s="19" t="n"/>
      <c r="Y5334" s="19" t="n"/>
    </row>
    <row r="5335">
      <c r="C5335" s="18" t="n"/>
      <c r="J5335" s="19" t="n"/>
      <c r="P5335" s="20" t="n"/>
      <c r="Q5335" s="19" t="n"/>
      <c r="R5335" s="19" t="n"/>
      <c r="Y5335" s="19" t="n"/>
    </row>
    <row r="5336">
      <c r="C5336" s="18" t="n"/>
      <c r="J5336" s="19" t="n"/>
      <c r="P5336" s="20" t="n"/>
      <c r="Q5336" s="19" t="n"/>
      <c r="R5336" s="19" t="n"/>
      <c r="Y5336" s="19" t="n"/>
    </row>
    <row r="5337">
      <c r="C5337" s="18" t="n"/>
      <c r="J5337" s="19" t="n"/>
      <c r="P5337" s="20" t="n"/>
      <c r="Q5337" s="19" t="n"/>
      <c r="R5337" s="19" t="n"/>
      <c r="Y5337" s="19" t="n"/>
    </row>
    <row r="5338">
      <c r="C5338" s="18" t="n"/>
      <c r="J5338" s="19" t="n"/>
      <c r="P5338" s="20" t="n"/>
      <c r="Q5338" s="19" t="n"/>
      <c r="R5338" s="19" t="n"/>
      <c r="Y5338" s="19" t="n"/>
    </row>
    <row r="5339">
      <c r="C5339" s="18" t="n"/>
      <c r="J5339" s="19" t="n"/>
      <c r="P5339" s="20" t="n"/>
      <c r="Q5339" s="19" t="n"/>
      <c r="R5339" s="19" t="n"/>
      <c r="Y5339" s="19" t="n"/>
    </row>
    <row r="5340">
      <c r="C5340" s="18" t="n"/>
      <c r="J5340" s="19" t="n"/>
      <c r="P5340" s="20" t="n"/>
      <c r="Q5340" s="19" t="n"/>
      <c r="R5340" s="19" t="n"/>
      <c r="Y5340" s="19" t="n"/>
    </row>
    <row r="5341">
      <c r="C5341" s="18" t="n"/>
      <c r="J5341" s="19" t="n"/>
      <c r="P5341" s="20" t="n"/>
      <c r="Q5341" s="19" t="n"/>
      <c r="R5341" s="19" t="n"/>
      <c r="Y5341" s="19" t="n"/>
    </row>
    <row r="5342">
      <c r="C5342" s="18" t="n"/>
      <c r="J5342" s="19" t="n"/>
      <c r="P5342" s="20" t="n"/>
      <c r="Q5342" s="19" t="n"/>
      <c r="R5342" s="19" t="n"/>
      <c r="Y5342" s="19" t="n"/>
    </row>
    <row r="5343">
      <c r="C5343" s="18" t="n"/>
      <c r="J5343" s="19" t="n"/>
      <c r="P5343" s="20" t="n"/>
      <c r="Q5343" s="19" t="n"/>
      <c r="R5343" s="19" t="n"/>
      <c r="Y5343" s="19" t="n"/>
    </row>
    <row r="5344">
      <c r="C5344" s="18" t="n"/>
      <c r="J5344" s="19" t="n"/>
      <c r="P5344" s="20" t="n"/>
      <c r="Q5344" s="19" t="n"/>
      <c r="R5344" s="19" t="n"/>
      <c r="Y5344" s="19" t="n"/>
    </row>
    <row r="5345">
      <c r="C5345" s="18" t="n"/>
      <c r="J5345" s="19" t="n"/>
      <c r="P5345" s="20" t="n"/>
      <c r="Q5345" s="19" t="n"/>
      <c r="R5345" s="19" t="n"/>
      <c r="Y5345" s="19" t="n"/>
    </row>
    <row r="5346">
      <c r="C5346" s="18" t="n"/>
      <c r="J5346" s="19" t="n"/>
      <c r="P5346" s="20" t="n"/>
      <c r="Q5346" s="19" t="n"/>
      <c r="R5346" s="19" t="n"/>
      <c r="Y5346" s="19" t="n"/>
    </row>
    <row r="5347">
      <c r="C5347" s="18" t="n"/>
      <c r="J5347" s="19" t="n"/>
      <c r="P5347" s="20" t="n"/>
      <c r="Q5347" s="19" t="n"/>
      <c r="R5347" s="19" t="n"/>
      <c r="Y5347" s="19" t="n"/>
    </row>
    <row r="5348">
      <c r="C5348" s="18" t="n"/>
      <c r="J5348" s="19" t="n"/>
      <c r="P5348" s="20" t="n"/>
      <c r="Q5348" s="19" t="n"/>
      <c r="R5348" s="19" t="n"/>
      <c r="Y5348" s="19" t="n"/>
    </row>
    <row r="5349">
      <c r="C5349" s="18" t="n"/>
      <c r="J5349" s="19" t="n"/>
      <c r="P5349" s="20" t="n"/>
      <c r="Q5349" s="19" t="n"/>
      <c r="R5349" s="19" t="n"/>
      <c r="Y5349" s="19" t="n"/>
    </row>
    <row r="5350">
      <c r="C5350" s="18" t="n"/>
      <c r="J5350" s="19" t="n"/>
      <c r="P5350" s="20" t="n"/>
      <c r="Q5350" s="19" t="n"/>
      <c r="R5350" s="19" t="n"/>
      <c r="Y5350" s="19" t="n"/>
    </row>
    <row r="5351">
      <c r="C5351" s="18" t="n"/>
      <c r="J5351" s="19" t="n"/>
      <c r="P5351" s="20" t="n"/>
      <c r="Q5351" s="19" t="n"/>
      <c r="R5351" s="19" t="n"/>
      <c r="Y5351" s="19" t="n"/>
    </row>
    <row r="5352">
      <c r="C5352" s="18" t="n"/>
      <c r="J5352" s="19" t="n"/>
      <c r="P5352" s="20" t="n"/>
      <c r="Q5352" s="19" t="n"/>
      <c r="R5352" s="19" t="n"/>
      <c r="Y5352" s="19" t="n"/>
    </row>
    <row r="5353">
      <c r="C5353" s="18" t="n"/>
      <c r="J5353" s="19" t="n"/>
      <c r="P5353" s="20" t="n"/>
      <c r="Q5353" s="19" t="n"/>
      <c r="R5353" s="19" t="n"/>
      <c r="Y5353" s="19" t="n"/>
    </row>
    <row r="5354">
      <c r="C5354" s="18" t="n"/>
      <c r="J5354" s="19" t="n"/>
      <c r="P5354" s="20" t="n"/>
      <c r="Q5354" s="19" t="n"/>
      <c r="R5354" s="19" t="n"/>
      <c r="Y5354" s="19" t="n"/>
    </row>
    <row r="5355">
      <c r="C5355" s="18" t="n"/>
      <c r="J5355" s="19" t="n"/>
      <c r="P5355" s="20" t="n"/>
      <c r="Q5355" s="19" t="n"/>
      <c r="R5355" s="19" t="n"/>
      <c r="Y5355" s="19" t="n"/>
    </row>
    <row r="5356">
      <c r="C5356" s="18" t="n"/>
      <c r="J5356" s="19" t="n"/>
      <c r="P5356" s="20" t="n"/>
      <c r="Q5356" s="19" t="n"/>
      <c r="R5356" s="19" t="n"/>
      <c r="Y5356" s="19" t="n"/>
    </row>
    <row r="5357">
      <c r="C5357" s="18" t="n"/>
      <c r="J5357" s="19" t="n"/>
      <c r="P5357" s="20" t="n"/>
      <c r="Q5357" s="19" t="n"/>
      <c r="R5357" s="19" t="n"/>
      <c r="Y5357" s="19" t="n"/>
    </row>
    <row r="5358">
      <c r="C5358" s="18" t="n"/>
      <c r="J5358" s="19" t="n"/>
      <c r="P5358" s="20" t="n"/>
      <c r="Q5358" s="19" t="n"/>
      <c r="R5358" s="19" t="n"/>
      <c r="Y5358" s="19" t="n"/>
    </row>
    <row r="5359">
      <c r="C5359" s="18" t="n"/>
      <c r="J5359" s="19" t="n"/>
      <c r="P5359" s="20" t="n"/>
      <c r="Q5359" s="19" t="n"/>
      <c r="R5359" s="19" t="n"/>
      <c r="Y5359" s="19" t="n"/>
    </row>
    <row r="5360">
      <c r="C5360" s="18" t="n"/>
      <c r="J5360" s="19" t="n"/>
      <c r="P5360" s="20" t="n"/>
      <c r="Q5360" s="19" t="n"/>
      <c r="R5360" s="19" t="n"/>
      <c r="Y5360" s="19" t="n"/>
    </row>
    <row r="5361">
      <c r="C5361" s="18" t="n"/>
      <c r="J5361" s="19" t="n"/>
      <c r="P5361" s="20" t="n"/>
      <c r="Q5361" s="19" t="n"/>
      <c r="R5361" s="19" t="n"/>
      <c r="Y5361" s="19" t="n"/>
    </row>
    <row r="5362">
      <c r="C5362" s="18" t="n"/>
      <c r="J5362" s="19" t="n"/>
      <c r="P5362" s="20" t="n"/>
      <c r="Q5362" s="19" t="n"/>
      <c r="R5362" s="19" t="n"/>
      <c r="Y5362" s="19" t="n"/>
    </row>
    <row r="5363">
      <c r="C5363" s="18" t="n"/>
      <c r="J5363" s="19" t="n"/>
      <c r="P5363" s="20" t="n"/>
      <c r="Q5363" s="19" t="n"/>
      <c r="R5363" s="19" t="n"/>
      <c r="Y5363" s="19" t="n"/>
    </row>
    <row r="5364">
      <c r="C5364" s="18" t="n"/>
      <c r="J5364" s="19" t="n"/>
      <c r="P5364" s="20" t="n"/>
      <c r="Q5364" s="19" t="n"/>
      <c r="R5364" s="19" t="n"/>
      <c r="Y5364" s="19" t="n"/>
    </row>
    <row r="5365">
      <c r="C5365" s="18" t="n"/>
      <c r="J5365" s="19" t="n"/>
      <c r="P5365" s="20" t="n"/>
      <c r="Q5365" s="19" t="n"/>
      <c r="R5365" s="19" t="n"/>
      <c r="Y5365" s="19" t="n"/>
    </row>
    <row r="5366">
      <c r="C5366" s="18" t="n"/>
      <c r="J5366" s="19" t="n"/>
      <c r="P5366" s="20" t="n"/>
      <c r="Q5366" s="19" t="n"/>
      <c r="R5366" s="19" t="n"/>
      <c r="Y5366" s="19" t="n"/>
    </row>
    <row r="5367">
      <c r="C5367" s="18" t="n"/>
      <c r="J5367" s="19" t="n"/>
      <c r="P5367" s="20" t="n"/>
      <c r="Q5367" s="19" t="n"/>
      <c r="R5367" s="19" t="n"/>
      <c r="Y5367" s="19" t="n"/>
    </row>
    <row r="5368">
      <c r="C5368" s="18" t="n"/>
      <c r="J5368" s="19" t="n"/>
      <c r="P5368" s="20" t="n"/>
      <c r="Q5368" s="19" t="n"/>
      <c r="R5368" s="19" t="n"/>
      <c r="Y5368" s="19" t="n"/>
    </row>
    <row r="5369">
      <c r="C5369" s="18" t="n"/>
      <c r="J5369" s="19" t="n"/>
      <c r="P5369" s="20" t="n"/>
      <c r="Q5369" s="19" t="n"/>
      <c r="R5369" s="19" t="n"/>
      <c r="Y5369" s="19" t="n"/>
    </row>
    <row r="5370">
      <c r="C5370" s="18" t="n"/>
      <c r="J5370" s="19" t="n"/>
      <c r="P5370" s="20" t="n"/>
      <c r="Q5370" s="19" t="n"/>
      <c r="R5370" s="19" t="n"/>
      <c r="Y5370" s="19" t="n"/>
    </row>
    <row r="5371">
      <c r="C5371" s="18" t="n"/>
      <c r="J5371" s="19" t="n"/>
      <c r="P5371" s="20" t="n"/>
      <c r="Q5371" s="19" t="n"/>
      <c r="R5371" s="19" t="n"/>
      <c r="Y5371" s="19" t="n"/>
    </row>
    <row r="5372">
      <c r="C5372" s="18" t="n"/>
      <c r="J5372" s="19" t="n"/>
      <c r="P5372" s="20" t="n"/>
      <c r="Q5372" s="19" t="n"/>
      <c r="R5372" s="19" t="n"/>
      <c r="Y5372" s="19" t="n"/>
    </row>
    <row r="5373">
      <c r="C5373" s="18" t="n"/>
      <c r="J5373" s="19" t="n"/>
      <c r="P5373" s="20" t="n"/>
      <c r="Q5373" s="19" t="n"/>
      <c r="R5373" s="19" t="n"/>
      <c r="Y5373" s="19" t="n"/>
    </row>
    <row r="5374">
      <c r="C5374" s="18" t="n"/>
      <c r="J5374" s="19" t="n"/>
      <c r="P5374" s="20" t="n"/>
      <c r="Q5374" s="19" t="n"/>
      <c r="R5374" s="19" t="n"/>
      <c r="Y5374" s="19" t="n"/>
    </row>
    <row r="5375">
      <c r="C5375" s="18" t="n"/>
      <c r="J5375" s="19" t="n"/>
      <c r="P5375" s="20" t="n"/>
      <c r="Q5375" s="19" t="n"/>
      <c r="R5375" s="19" t="n"/>
      <c r="Y5375" s="19" t="n"/>
    </row>
    <row r="5376">
      <c r="C5376" s="18" t="n"/>
      <c r="J5376" s="19" t="n"/>
      <c r="P5376" s="20" t="n"/>
      <c r="Q5376" s="19" t="n"/>
      <c r="R5376" s="19" t="n"/>
      <c r="Y5376" s="19" t="n"/>
    </row>
    <row r="5377">
      <c r="C5377" s="18" t="n"/>
      <c r="J5377" s="19" t="n"/>
      <c r="P5377" s="20" t="n"/>
      <c r="Q5377" s="19" t="n"/>
      <c r="R5377" s="19" t="n"/>
      <c r="Y5377" s="19" t="n"/>
    </row>
    <row r="5378">
      <c r="C5378" s="18" t="n"/>
      <c r="J5378" s="19" t="n"/>
      <c r="P5378" s="20" t="n"/>
      <c r="Q5378" s="19" t="n"/>
      <c r="R5378" s="19" t="n"/>
      <c r="Y5378" s="19" t="n"/>
    </row>
    <row r="5379">
      <c r="C5379" s="18" t="n"/>
      <c r="J5379" s="19" t="n"/>
      <c r="P5379" s="20" t="n"/>
      <c r="Q5379" s="19" t="n"/>
      <c r="R5379" s="19" t="n"/>
      <c r="Y5379" s="19" t="n"/>
    </row>
    <row r="5380">
      <c r="C5380" s="18" t="n"/>
      <c r="J5380" s="19" t="n"/>
      <c r="P5380" s="20" t="n"/>
      <c r="Q5380" s="19" t="n"/>
      <c r="R5380" s="19" t="n"/>
      <c r="Y5380" s="19" t="n"/>
    </row>
    <row r="5381">
      <c r="C5381" s="18" t="n"/>
      <c r="J5381" s="19" t="n"/>
      <c r="P5381" s="20" t="n"/>
      <c r="Q5381" s="19" t="n"/>
      <c r="R5381" s="19" t="n"/>
      <c r="Y5381" s="19" t="n"/>
    </row>
    <row r="5382">
      <c r="C5382" s="18" t="n"/>
      <c r="J5382" s="19" t="n"/>
      <c r="P5382" s="20" t="n"/>
      <c r="Q5382" s="19" t="n"/>
      <c r="R5382" s="19" t="n"/>
      <c r="Y5382" s="19" t="n"/>
    </row>
    <row r="5383">
      <c r="C5383" s="18" t="n"/>
      <c r="J5383" s="19" t="n"/>
      <c r="P5383" s="20" t="n"/>
      <c r="Q5383" s="19" t="n"/>
      <c r="R5383" s="19" t="n"/>
      <c r="Y5383" s="19" t="n"/>
    </row>
    <row r="5384">
      <c r="C5384" s="18" t="n"/>
      <c r="J5384" s="19" t="n"/>
      <c r="P5384" s="20" t="n"/>
      <c r="Q5384" s="19" t="n"/>
      <c r="R5384" s="19" t="n"/>
      <c r="Y5384" s="19" t="n"/>
    </row>
    <row r="5385">
      <c r="C5385" s="18" t="n"/>
      <c r="J5385" s="19" t="n"/>
      <c r="P5385" s="20" t="n"/>
      <c r="Q5385" s="19" t="n"/>
      <c r="R5385" s="19" t="n"/>
      <c r="Y5385" s="19" t="n"/>
    </row>
    <row r="5386">
      <c r="C5386" s="18" t="n"/>
      <c r="J5386" s="19" t="n"/>
      <c r="P5386" s="20" t="n"/>
      <c r="Q5386" s="19" t="n"/>
      <c r="R5386" s="19" t="n"/>
      <c r="Y5386" s="19" t="n"/>
    </row>
    <row r="5387">
      <c r="C5387" s="18" t="n"/>
      <c r="J5387" s="19" t="n"/>
      <c r="P5387" s="20" t="n"/>
      <c r="Q5387" s="19" t="n"/>
      <c r="R5387" s="19" t="n"/>
      <c r="Y5387" s="19" t="n"/>
    </row>
    <row r="5388">
      <c r="C5388" s="18" t="n"/>
      <c r="J5388" s="19" t="n"/>
      <c r="P5388" s="20" t="n"/>
      <c r="Q5388" s="19" t="n"/>
      <c r="R5388" s="19" t="n"/>
      <c r="Y5388" s="19" t="n"/>
    </row>
    <row r="5389">
      <c r="C5389" s="18" t="n"/>
      <c r="J5389" s="19" t="n"/>
      <c r="P5389" s="20" t="n"/>
      <c r="Q5389" s="19" t="n"/>
      <c r="R5389" s="19" t="n"/>
      <c r="Y5389" s="19" t="n"/>
    </row>
    <row r="5390">
      <c r="C5390" s="18" t="n"/>
      <c r="J5390" s="19" t="n"/>
      <c r="P5390" s="20" t="n"/>
      <c r="Q5390" s="19" t="n"/>
      <c r="R5390" s="19" t="n"/>
      <c r="Y5390" s="19" t="n"/>
    </row>
    <row r="5391">
      <c r="C5391" s="18" t="n"/>
      <c r="J5391" s="19" t="n"/>
      <c r="P5391" s="20" t="n"/>
      <c r="Q5391" s="19" t="n"/>
      <c r="R5391" s="19" t="n"/>
      <c r="Y5391" s="19" t="n"/>
    </row>
    <row r="5392">
      <c r="C5392" s="18" t="n"/>
      <c r="J5392" s="19" t="n"/>
      <c r="P5392" s="20" t="n"/>
      <c r="Q5392" s="19" t="n"/>
      <c r="R5392" s="19" t="n"/>
      <c r="Y5392" s="19" t="n"/>
    </row>
    <row r="5393">
      <c r="C5393" s="18" t="n"/>
      <c r="J5393" s="19" t="n"/>
      <c r="P5393" s="20" t="n"/>
      <c r="Q5393" s="19" t="n"/>
      <c r="R5393" s="19" t="n"/>
      <c r="Y5393" s="19" t="n"/>
    </row>
    <row r="5394">
      <c r="C5394" s="18" t="n"/>
      <c r="J5394" s="19" t="n"/>
      <c r="P5394" s="20" t="n"/>
      <c r="Q5394" s="19" t="n"/>
      <c r="R5394" s="19" t="n"/>
      <c r="Y5394" s="19" t="n"/>
    </row>
    <row r="5395">
      <c r="C5395" s="18" t="n"/>
      <c r="J5395" s="19" t="n"/>
      <c r="P5395" s="20" t="n"/>
      <c r="Q5395" s="19" t="n"/>
      <c r="R5395" s="19" t="n"/>
      <c r="Y5395" s="19" t="n"/>
    </row>
    <row r="5396">
      <c r="C5396" s="18" t="n"/>
      <c r="J5396" s="19" t="n"/>
      <c r="P5396" s="20" t="n"/>
      <c r="Q5396" s="19" t="n"/>
      <c r="R5396" s="19" t="n"/>
      <c r="Y5396" s="19" t="n"/>
    </row>
    <row r="5397">
      <c r="C5397" s="18" t="n"/>
      <c r="J5397" s="19" t="n"/>
      <c r="P5397" s="20" t="n"/>
      <c r="Q5397" s="19" t="n"/>
      <c r="R5397" s="19" t="n"/>
      <c r="Y5397" s="19" t="n"/>
    </row>
    <row r="5398">
      <c r="C5398" s="18" t="n"/>
      <c r="J5398" s="19" t="n"/>
      <c r="P5398" s="20" t="n"/>
      <c r="Q5398" s="19" t="n"/>
      <c r="R5398" s="19" t="n"/>
      <c r="Y5398" s="19" t="n"/>
    </row>
    <row r="5399">
      <c r="C5399" s="18" t="n"/>
      <c r="J5399" s="19" t="n"/>
      <c r="P5399" s="20" t="n"/>
      <c r="Q5399" s="19" t="n"/>
      <c r="R5399" s="19" t="n"/>
      <c r="Y5399" s="19" t="n"/>
    </row>
    <row r="5400">
      <c r="C5400" s="18" t="n"/>
      <c r="J5400" s="19" t="n"/>
      <c r="P5400" s="20" t="n"/>
      <c r="Q5400" s="19" t="n"/>
      <c r="R5400" s="19" t="n"/>
      <c r="Y5400" s="19" t="n"/>
    </row>
    <row r="5401">
      <c r="C5401" s="18" t="n"/>
      <c r="J5401" s="19" t="n"/>
      <c r="P5401" s="20" t="n"/>
      <c r="Q5401" s="19" t="n"/>
      <c r="R5401" s="19" t="n"/>
      <c r="Y5401" s="19" t="n"/>
    </row>
    <row r="5402">
      <c r="C5402" s="18" t="n"/>
      <c r="J5402" s="19" t="n"/>
      <c r="P5402" s="20" t="n"/>
      <c r="Q5402" s="19" t="n"/>
      <c r="R5402" s="19" t="n"/>
      <c r="Y5402" s="19" t="n"/>
    </row>
    <row r="5403">
      <c r="C5403" s="18" t="n"/>
      <c r="J5403" s="19" t="n"/>
      <c r="P5403" s="20" t="n"/>
      <c r="Q5403" s="19" t="n"/>
      <c r="R5403" s="19" t="n"/>
      <c r="Y5403" s="19" t="n"/>
    </row>
    <row r="5404">
      <c r="C5404" s="18" t="n"/>
      <c r="J5404" s="19" t="n"/>
      <c r="P5404" s="20" t="n"/>
      <c r="Q5404" s="19" t="n"/>
      <c r="R5404" s="19" t="n"/>
      <c r="Y5404" s="19" t="n"/>
    </row>
    <row r="5405">
      <c r="C5405" s="18" t="n"/>
      <c r="J5405" s="19" t="n"/>
      <c r="P5405" s="20" t="n"/>
      <c r="Q5405" s="19" t="n"/>
      <c r="R5405" s="19" t="n"/>
      <c r="Y5405" s="19" t="n"/>
    </row>
    <row r="5406">
      <c r="C5406" s="18" t="n"/>
      <c r="J5406" s="19" t="n"/>
      <c r="P5406" s="20" t="n"/>
      <c r="Q5406" s="19" t="n"/>
      <c r="R5406" s="19" t="n"/>
      <c r="Y5406" s="19" t="n"/>
    </row>
    <row r="5407">
      <c r="C5407" s="18" t="n"/>
      <c r="J5407" s="19" t="n"/>
      <c r="P5407" s="20" t="n"/>
      <c r="Q5407" s="19" t="n"/>
      <c r="R5407" s="19" t="n"/>
      <c r="Y5407" s="19" t="n"/>
    </row>
    <row r="5408">
      <c r="C5408" s="18" t="n"/>
      <c r="J5408" s="19" t="n"/>
      <c r="P5408" s="20" t="n"/>
      <c r="Q5408" s="19" t="n"/>
      <c r="R5408" s="19" t="n"/>
      <c r="Y5408" s="19" t="n"/>
    </row>
    <row r="5409">
      <c r="C5409" s="18" t="n"/>
      <c r="J5409" s="19" t="n"/>
      <c r="P5409" s="20" t="n"/>
      <c r="Q5409" s="19" t="n"/>
      <c r="R5409" s="19" t="n"/>
      <c r="Y5409" s="19" t="n"/>
    </row>
    <row r="5410">
      <c r="C5410" s="18" t="n"/>
      <c r="J5410" s="19" t="n"/>
      <c r="P5410" s="20" t="n"/>
      <c r="Q5410" s="19" t="n"/>
      <c r="R5410" s="19" t="n"/>
      <c r="Y5410" s="19" t="n"/>
    </row>
    <row r="5411">
      <c r="C5411" s="18" t="n"/>
      <c r="J5411" s="19" t="n"/>
      <c r="P5411" s="20" t="n"/>
      <c r="Q5411" s="19" t="n"/>
      <c r="R5411" s="19" t="n"/>
      <c r="Y5411" s="19" t="n"/>
    </row>
    <row r="5412">
      <c r="C5412" s="18" t="n"/>
      <c r="J5412" s="19" t="n"/>
      <c r="P5412" s="20" t="n"/>
      <c r="Q5412" s="19" t="n"/>
      <c r="R5412" s="19" t="n"/>
      <c r="Y5412" s="19" t="n"/>
    </row>
    <row r="5413">
      <c r="C5413" s="18" t="n"/>
      <c r="J5413" s="19" t="n"/>
      <c r="P5413" s="20" t="n"/>
      <c r="Q5413" s="19" t="n"/>
      <c r="R5413" s="19" t="n"/>
      <c r="Y5413" s="19" t="n"/>
    </row>
    <row r="5414">
      <c r="C5414" s="18" t="n"/>
      <c r="J5414" s="19" t="n"/>
      <c r="P5414" s="20" t="n"/>
      <c r="Q5414" s="19" t="n"/>
      <c r="R5414" s="19" t="n"/>
      <c r="Y5414" s="19" t="n"/>
    </row>
    <row r="5415">
      <c r="C5415" s="18" t="n"/>
      <c r="J5415" s="19" t="n"/>
      <c r="P5415" s="20" t="n"/>
      <c r="Q5415" s="19" t="n"/>
      <c r="R5415" s="19" t="n"/>
      <c r="Y5415" s="19" t="n"/>
    </row>
    <row r="5416">
      <c r="C5416" s="18" t="n"/>
      <c r="J5416" s="19" t="n"/>
      <c r="P5416" s="20" t="n"/>
      <c r="Q5416" s="19" t="n"/>
      <c r="R5416" s="19" t="n"/>
      <c r="Y5416" s="19" t="n"/>
    </row>
    <row r="5417">
      <c r="C5417" s="18" t="n"/>
      <c r="J5417" s="19" t="n"/>
      <c r="P5417" s="20" t="n"/>
      <c r="Q5417" s="19" t="n"/>
      <c r="R5417" s="19" t="n"/>
      <c r="Y5417" s="19" t="n"/>
    </row>
    <row r="5418">
      <c r="C5418" s="18" t="n"/>
      <c r="J5418" s="19" t="n"/>
      <c r="P5418" s="20" t="n"/>
      <c r="Q5418" s="19" t="n"/>
      <c r="R5418" s="19" t="n"/>
      <c r="Y5418" s="19" t="n"/>
    </row>
    <row r="5419">
      <c r="C5419" s="18" t="n"/>
      <c r="J5419" s="19" t="n"/>
      <c r="P5419" s="20" t="n"/>
      <c r="Q5419" s="19" t="n"/>
      <c r="R5419" s="19" t="n"/>
      <c r="Y5419" s="19" t="n"/>
    </row>
    <row r="5420">
      <c r="C5420" s="18" t="n"/>
      <c r="J5420" s="19" t="n"/>
      <c r="P5420" s="20" t="n"/>
      <c r="Q5420" s="19" t="n"/>
      <c r="R5420" s="19" t="n"/>
      <c r="Y5420" s="19" t="n"/>
    </row>
    <row r="5421">
      <c r="C5421" s="18" t="n"/>
      <c r="J5421" s="19" t="n"/>
      <c r="P5421" s="20" t="n"/>
      <c r="Q5421" s="19" t="n"/>
      <c r="R5421" s="19" t="n"/>
      <c r="Y5421" s="19" t="n"/>
    </row>
    <row r="5422">
      <c r="C5422" s="18" t="n"/>
      <c r="J5422" s="19" t="n"/>
      <c r="P5422" s="20" t="n"/>
      <c r="Q5422" s="19" t="n"/>
      <c r="R5422" s="19" t="n"/>
      <c r="Y5422" s="19" t="n"/>
    </row>
    <row r="5423">
      <c r="C5423" s="18" t="n"/>
      <c r="J5423" s="19" t="n"/>
      <c r="P5423" s="20" t="n"/>
      <c r="Q5423" s="19" t="n"/>
      <c r="R5423" s="19" t="n"/>
      <c r="Y5423" s="19" t="n"/>
    </row>
    <row r="5424">
      <c r="C5424" s="18" t="n"/>
      <c r="J5424" s="19" t="n"/>
      <c r="P5424" s="20" t="n"/>
      <c r="Q5424" s="19" t="n"/>
      <c r="R5424" s="19" t="n"/>
      <c r="Y5424" s="19" t="n"/>
    </row>
    <row r="5425">
      <c r="C5425" s="18" t="n"/>
      <c r="J5425" s="19" t="n"/>
      <c r="P5425" s="20" t="n"/>
      <c r="Q5425" s="19" t="n"/>
      <c r="R5425" s="19" t="n"/>
      <c r="Y5425" s="19" t="n"/>
    </row>
    <row r="5426">
      <c r="C5426" s="18" t="n"/>
      <c r="J5426" s="19" t="n"/>
      <c r="P5426" s="20" t="n"/>
      <c r="Q5426" s="19" t="n"/>
      <c r="R5426" s="19" t="n"/>
      <c r="Y5426" s="19" t="n"/>
    </row>
    <row r="5427">
      <c r="C5427" s="18" t="n"/>
      <c r="J5427" s="19" t="n"/>
      <c r="P5427" s="20" t="n"/>
      <c r="Q5427" s="19" t="n"/>
      <c r="R5427" s="19" t="n"/>
      <c r="Y5427" s="19" t="n"/>
    </row>
    <row r="5428">
      <c r="C5428" s="18" t="n"/>
      <c r="J5428" s="19" t="n"/>
      <c r="P5428" s="20" t="n"/>
      <c r="Q5428" s="19" t="n"/>
      <c r="R5428" s="19" t="n"/>
      <c r="Y5428" s="19" t="n"/>
    </row>
    <row r="5429">
      <c r="C5429" s="18" t="n"/>
      <c r="J5429" s="19" t="n"/>
      <c r="P5429" s="20" t="n"/>
      <c r="Q5429" s="19" t="n"/>
      <c r="R5429" s="19" t="n"/>
      <c r="Y5429" s="19" t="n"/>
    </row>
    <row r="5430">
      <c r="C5430" s="18" t="n"/>
      <c r="J5430" s="19" t="n"/>
      <c r="P5430" s="20" t="n"/>
      <c r="Q5430" s="19" t="n"/>
      <c r="R5430" s="19" t="n"/>
      <c r="Y5430" s="19" t="n"/>
    </row>
    <row r="5431">
      <c r="C5431" s="18" t="n"/>
      <c r="J5431" s="19" t="n"/>
      <c r="P5431" s="20" t="n"/>
      <c r="Q5431" s="19" t="n"/>
      <c r="R5431" s="19" t="n"/>
      <c r="Y5431" s="19" t="n"/>
    </row>
    <row r="5432">
      <c r="C5432" s="18" t="n"/>
      <c r="J5432" s="19" t="n"/>
      <c r="P5432" s="20" t="n"/>
      <c r="Q5432" s="19" t="n"/>
      <c r="R5432" s="19" t="n"/>
      <c r="Y5432" s="19" t="n"/>
    </row>
    <row r="5433">
      <c r="C5433" s="18" t="n"/>
      <c r="J5433" s="19" t="n"/>
      <c r="P5433" s="20" t="n"/>
      <c r="Q5433" s="19" t="n"/>
      <c r="R5433" s="19" t="n"/>
      <c r="Y5433" s="19" t="n"/>
    </row>
    <row r="5434">
      <c r="C5434" s="18" t="n"/>
      <c r="J5434" s="19" t="n"/>
      <c r="P5434" s="20" t="n"/>
      <c r="Q5434" s="19" t="n"/>
      <c r="R5434" s="19" t="n"/>
      <c r="Y5434" s="19" t="n"/>
    </row>
    <row r="5435">
      <c r="C5435" s="18" t="n"/>
      <c r="J5435" s="19" t="n"/>
      <c r="P5435" s="20" t="n"/>
      <c r="Q5435" s="19" t="n"/>
      <c r="R5435" s="19" t="n"/>
      <c r="Y5435" s="19" t="n"/>
    </row>
    <row r="5436">
      <c r="C5436" s="18" t="n"/>
      <c r="J5436" s="19" t="n"/>
      <c r="P5436" s="20" t="n"/>
      <c r="Q5436" s="19" t="n"/>
      <c r="R5436" s="19" t="n"/>
      <c r="Y5436" s="19" t="n"/>
    </row>
    <row r="5437">
      <c r="C5437" s="18" t="n"/>
      <c r="J5437" s="19" t="n"/>
      <c r="P5437" s="20" t="n"/>
      <c r="Q5437" s="19" t="n"/>
      <c r="R5437" s="19" t="n"/>
      <c r="Y5437" s="19" t="n"/>
    </row>
    <row r="5438">
      <c r="C5438" s="18" t="n"/>
      <c r="J5438" s="19" t="n"/>
      <c r="P5438" s="20" t="n"/>
      <c r="Q5438" s="19" t="n"/>
      <c r="R5438" s="19" t="n"/>
      <c r="Y5438" s="19" t="n"/>
    </row>
    <row r="5439">
      <c r="C5439" s="18" t="n"/>
      <c r="J5439" s="19" t="n"/>
      <c r="P5439" s="20" t="n"/>
      <c r="Q5439" s="19" t="n"/>
      <c r="R5439" s="19" t="n"/>
      <c r="Y5439" s="19" t="n"/>
    </row>
    <row r="5440">
      <c r="C5440" s="18" t="n"/>
      <c r="J5440" s="19" t="n"/>
      <c r="P5440" s="20" t="n"/>
      <c r="Q5440" s="19" t="n"/>
      <c r="R5440" s="19" t="n"/>
      <c r="Y5440" s="19" t="n"/>
    </row>
    <row r="5441">
      <c r="C5441" s="18" t="n"/>
      <c r="J5441" s="19" t="n"/>
      <c r="P5441" s="20" t="n"/>
      <c r="Q5441" s="19" t="n"/>
      <c r="R5441" s="19" t="n"/>
      <c r="Y5441" s="19" t="n"/>
    </row>
    <row r="5442">
      <c r="C5442" s="18" t="n"/>
      <c r="J5442" s="19" t="n"/>
      <c r="P5442" s="20" t="n"/>
      <c r="Q5442" s="19" t="n"/>
      <c r="R5442" s="19" t="n"/>
      <c r="Y5442" s="19" t="n"/>
    </row>
    <row r="5443">
      <c r="C5443" s="18" t="n"/>
      <c r="J5443" s="19" t="n"/>
      <c r="P5443" s="20" t="n"/>
      <c r="Q5443" s="19" t="n"/>
      <c r="R5443" s="19" t="n"/>
      <c r="Y5443" s="19" t="n"/>
    </row>
    <row r="5444">
      <c r="C5444" s="18" t="n"/>
      <c r="J5444" s="19" t="n"/>
      <c r="P5444" s="20" t="n"/>
      <c r="Q5444" s="19" t="n"/>
      <c r="R5444" s="19" t="n"/>
      <c r="Y5444" s="19" t="n"/>
    </row>
    <row r="5445">
      <c r="C5445" s="18" t="n"/>
      <c r="J5445" s="19" t="n"/>
      <c r="P5445" s="20" t="n"/>
      <c r="Q5445" s="19" t="n"/>
      <c r="R5445" s="19" t="n"/>
      <c r="Y5445" s="19" t="n"/>
    </row>
    <row r="5446">
      <c r="C5446" s="18" t="n"/>
      <c r="J5446" s="19" t="n"/>
      <c r="P5446" s="20" t="n"/>
      <c r="Q5446" s="19" t="n"/>
      <c r="R5446" s="19" t="n"/>
      <c r="Y5446" s="19" t="n"/>
    </row>
    <row r="5447">
      <c r="C5447" s="18" t="n"/>
      <c r="J5447" s="19" t="n"/>
      <c r="P5447" s="20" t="n"/>
      <c r="Q5447" s="19" t="n"/>
      <c r="R5447" s="19" t="n"/>
      <c r="Y5447" s="19" t="n"/>
    </row>
    <row r="5448">
      <c r="C5448" s="18" t="n"/>
      <c r="J5448" s="19" t="n"/>
      <c r="P5448" s="20" t="n"/>
      <c r="Q5448" s="19" t="n"/>
      <c r="R5448" s="19" t="n"/>
      <c r="Y5448" s="19" t="n"/>
    </row>
    <row r="5449">
      <c r="C5449" s="18" t="n"/>
      <c r="J5449" s="19" t="n"/>
      <c r="P5449" s="20" t="n"/>
      <c r="Q5449" s="19" t="n"/>
      <c r="R5449" s="19" t="n"/>
      <c r="Y5449" s="19" t="n"/>
    </row>
    <row r="5450">
      <c r="C5450" s="18" t="n"/>
      <c r="J5450" s="19" t="n"/>
      <c r="P5450" s="20" t="n"/>
      <c r="Q5450" s="19" t="n"/>
      <c r="R5450" s="19" t="n"/>
      <c r="Y5450" s="19" t="n"/>
    </row>
    <row r="5451">
      <c r="C5451" s="18" t="n"/>
      <c r="J5451" s="19" t="n"/>
      <c r="P5451" s="20" t="n"/>
      <c r="Q5451" s="19" t="n"/>
      <c r="R5451" s="19" t="n"/>
      <c r="Y5451" s="19" t="n"/>
    </row>
    <row r="5452">
      <c r="C5452" s="18" t="n"/>
      <c r="J5452" s="19" t="n"/>
      <c r="P5452" s="20" t="n"/>
      <c r="Q5452" s="19" t="n"/>
      <c r="R5452" s="19" t="n"/>
      <c r="Y5452" s="19" t="n"/>
    </row>
    <row r="5453">
      <c r="C5453" s="18" t="n"/>
      <c r="J5453" s="19" t="n"/>
      <c r="P5453" s="20" t="n"/>
      <c r="Q5453" s="19" t="n"/>
      <c r="R5453" s="19" t="n"/>
      <c r="Y5453" s="19" t="n"/>
    </row>
    <row r="5454">
      <c r="C5454" s="18" t="n"/>
      <c r="J5454" s="19" t="n"/>
      <c r="P5454" s="20" t="n"/>
      <c r="Q5454" s="19" t="n"/>
      <c r="R5454" s="19" t="n"/>
      <c r="Y5454" s="19" t="n"/>
    </row>
    <row r="5455">
      <c r="C5455" s="18" t="n"/>
      <c r="J5455" s="19" t="n"/>
      <c r="P5455" s="20" t="n"/>
      <c r="Q5455" s="19" t="n"/>
      <c r="R5455" s="19" t="n"/>
      <c r="Y5455" s="19" t="n"/>
    </row>
    <row r="5456">
      <c r="C5456" s="18" t="n"/>
      <c r="J5456" s="19" t="n"/>
      <c r="P5456" s="20" t="n"/>
      <c r="Q5456" s="19" t="n"/>
      <c r="R5456" s="19" t="n"/>
      <c r="Y5456" s="19" t="n"/>
    </row>
    <row r="5457">
      <c r="C5457" s="18" t="n"/>
      <c r="J5457" s="19" t="n"/>
      <c r="P5457" s="20" t="n"/>
      <c r="Q5457" s="19" t="n"/>
      <c r="R5457" s="19" t="n"/>
      <c r="Y5457" s="19" t="n"/>
    </row>
    <row r="5458">
      <c r="C5458" s="18" t="n"/>
      <c r="J5458" s="19" t="n"/>
      <c r="P5458" s="20" t="n"/>
      <c r="Q5458" s="19" t="n"/>
      <c r="R5458" s="19" t="n"/>
      <c r="Y5458" s="19" t="n"/>
    </row>
    <row r="5459">
      <c r="C5459" s="18" t="n"/>
      <c r="J5459" s="19" t="n"/>
      <c r="P5459" s="20" t="n"/>
      <c r="Q5459" s="19" t="n"/>
      <c r="R5459" s="19" t="n"/>
      <c r="Y5459" s="19" t="n"/>
    </row>
    <row r="5460">
      <c r="C5460" s="18" t="n"/>
      <c r="J5460" s="19" t="n"/>
      <c r="P5460" s="20" t="n"/>
      <c r="Q5460" s="19" t="n"/>
      <c r="R5460" s="19" t="n"/>
      <c r="Y5460" s="19" t="n"/>
    </row>
    <row r="5461">
      <c r="C5461" s="18" t="n"/>
      <c r="J5461" s="19" t="n"/>
      <c r="P5461" s="20" t="n"/>
      <c r="Q5461" s="19" t="n"/>
      <c r="R5461" s="19" t="n"/>
      <c r="Y5461" s="19" t="n"/>
    </row>
    <row r="5462">
      <c r="C5462" s="18" t="n"/>
      <c r="J5462" s="19" t="n"/>
      <c r="P5462" s="20" t="n"/>
      <c r="Q5462" s="19" t="n"/>
      <c r="R5462" s="19" t="n"/>
      <c r="Y5462" s="19" t="n"/>
    </row>
    <row r="5463">
      <c r="C5463" s="18" t="n"/>
      <c r="J5463" s="19" t="n"/>
      <c r="P5463" s="20" t="n"/>
      <c r="Q5463" s="19" t="n"/>
      <c r="R5463" s="19" t="n"/>
      <c r="Y5463" s="19" t="n"/>
    </row>
    <row r="5464">
      <c r="C5464" s="18" t="n"/>
      <c r="J5464" s="19" t="n"/>
      <c r="P5464" s="20" t="n"/>
      <c r="Q5464" s="19" t="n"/>
      <c r="R5464" s="19" t="n"/>
      <c r="Y5464" s="19" t="n"/>
    </row>
    <row r="5465">
      <c r="C5465" s="18" t="n"/>
      <c r="J5465" s="19" t="n"/>
      <c r="P5465" s="20" t="n"/>
      <c r="Q5465" s="19" t="n"/>
      <c r="R5465" s="19" t="n"/>
      <c r="Y5465" s="19" t="n"/>
    </row>
    <row r="5466">
      <c r="C5466" s="18" t="n"/>
      <c r="J5466" s="19" t="n"/>
      <c r="P5466" s="20" t="n"/>
      <c r="Q5466" s="19" t="n"/>
      <c r="R5466" s="19" t="n"/>
      <c r="Y5466" s="19" t="n"/>
    </row>
    <row r="5467">
      <c r="C5467" s="18" t="n"/>
      <c r="J5467" s="19" t="n"/>
      <c r="P5467" s="20" t="n"/>
      <c r="Q5467" s="19" t="n"/>
      <c r="R5467" s="19" t="n"/>
      <c r="Y5467" s="19" t="n"/>
    </row>
    <row r="5468">
      <c r="C5468" s="18" t="n"/>
      <c r="J5468" s="19" t="n"/>
      <c r="P5468" s="20" t="n"/>
      <c r="Q5468" s="19" t="n"/>
      <c r="R5468" s="19" t="n"/>
      <c r="Y5468" s="19" t="n"/>
    </row>
    <row r="5469">
      <c r="C5469" s="18" t="n"/>
      <c r="J5469" s="19" t="n"/>
      <c r="P5469" s="20" t="n"/>
      <c r="Q5469" s="19" t="n"/>
      <c r="R5469" s="19" t="n"/>
      <c r="Y5469" s="19" t="n"/>
    </row>
    <row r="5470">
      <c r="C5470" s="18" t="n"/>
      <c r="J5470" s="19" t="n"/>
      <c r="P5470" s="20" t="n"/>
      <c r="Q5470" s="19" t="n"/>
      <c r="R5470" s="19" t="n"/>
      <c r="Y5470" s="19" t="n"/>
    </row>
    <row r="5471">
      <c r="C5471" s="18" t="n"/>
      <c r="J5471" s="19" t="n"/>
      <c r="P5471" s="20" t="n"/>
      <c r="Q5471" s="19" t="n"/>
      <c r="R5471" s="19" t="n"/>
      <c r="Y5471" s="19" t="n"/>
    </row>
    <row r="5472">
      <c r="C5472" s="18" t="n"/>
      <c r="J5472" s="19" t="n"/>
      <c r="P5472" s="20" t="n"/>
      <c r="Q5472" s="19" t="n"/>
      <c r="R5472" s="19" t="n"/>
      <c r="Y5472" s="19" t="n"/>
    </row>
    <row r="5473">
      <c r="C5473" s="18" t="n"/>
      <c r="J5473" s="19" t="n"/>
      <c r="P5473" s="20" t="n"/>
      <c r="Q5473" s="19" t="n"/>
      <c r="R5473" s="19" t="n"/>
      <c r="Y5473" s="19" t="n"/>
    </row>
    <row r="5474">
      <c r="C5474" s="18" t="n"/>
      <c r="J5474" s="19" t="n"/>
      <c r="P5474" s="20" t="n"/>
      <c r="Q5474" s="19" t="n"/>
      <c r="R5474" s="19" t="n"/>
      <c r="Y5474" s="19" t="n"/>
    </row>
    <row r="5475">
      <c r="C5475" s="18" t="n"/>
      <c r="J5475" s="19" t="n"/>
      <c r="P5475" s="20" t="n"/>
      <c r="Q5475" s="19" t="n"/>
      <c r="R5475" s="19" t="n"/>
      <c r="Y5475" s="19" t="n"/>
    </row>
    <row r="5476">
      <c r="C5476" s="18" t="n"/>
      <c r="J5476" s="19" t="n"/>
      <c r="P5476" s="20" t="n"/>
      <c r="Q5476" s="19" t="n"/>
      <c r="R5476" s="19" t="n"/>
      <c r="Y5476" s="19" t="n"/>
    </row>
    <row r="5477">
      <c r="C5477" s="18" t="n"/>
      <c r="J5477" s="19" t="n"/>
      <c r="P5477" s="20" t="n"/>
      <c r="Q5477" s="19" t="n"/>
      <c r="R5477" s="19" t="n"/>
      <c r="Y5477" s="19" t="n"/>
    </row>
    <row r="5478">
      <c r="C5478" s="18" t="n"/>
      <c r="J5478" s="19" t="n"/>
      <c r="P5478" s="20" t="n"/>
      <c r="Q5478" s="19" t="n"/>
      <c r="R5478" s="19" t="n"/>
      <c r="Y5478" s="19" t="n"/>
    </row>
    <row r="5479">
      <c r="C5479" s="18" t="n"/>
      <c r="J5479" s="19" t="n"/>
      <c r="P5479" s="20" t="n"/>
      <c r="Q5479" s="19" t="n"/>
      <c r="R5479" s="19" t="n"/>
      <c r="Y5479" s="19" t="n"/>
    </row>
    <row r="5480">
      <c r="C5480" s="18" t="n"/>
      <c r="J5480" s="19" t="n"/>
      <c r="P5480" s="20" t="n"/>
      <c r="Q5480" s="19" t="n"/>
      <c r="R5480" s="19" t="n"/>
      <c r="Y5480" s="19" t="n"/>
    </row>
    <row r="5481">
      <c r="C5481" s="18" t="n"/>
      <c r="J5481" s="19" t="n"/>
      <c r="P5481" s="20" t="n"/>
      <c r="Q5481" s="19" t="n"/>
      <c r="R5481" s="19" t="n"/>
      <c r="Y5481" s="19" t="n"/>
    </row>
    <row r="5482">
      <c r="C5482" s="18" t="n"/>
      <c r="J5482" s="19" t="n"/>
      <c r="P5482" s="20" t="n"/>
      <c r="Q5482" s="19" t="n"/>
      <c r="R5482" s="19" t="n"/>
      <c r="Y5482" s="19" t="n"/>
    </row>
    <row r="5483">
      <c r="C5483" s="18" t="n"/>
      <c r="J5483" s="19" t="n"/>
      <c r="P5483" s="20" t="n"/>
      <c r="Q5483" s="19" t="n"/>
      <c r="R5483" s="19" t="n"/>
      <c r="Y5483" s="19" t="n"/>
    </row>
    <row r="5484">
      <c r="C5484" s="18" t="n"/>
      <c r="J5484" s="19" t="n"/>
      <c r="P5484" s="20" t="n"/>
      <c r="Q5484" s="19" t="n"/>
      <c r="R5484" s="19" t="n"/>
      <c r="Y5484" s="19" t="n"/>
    </row>
    <row r="5485">
      <c r="C5485" s="18" t="n"/>
      <c r="J5485" s="19" t="n"/>
      <c r="P5485" s="20" t="n"/>
      <c r="Q5485" s="19" t="n"/>
      <c r="R5485" s="19" t="n"/>
      <c r="Y5485" s="19" t="n"/>
    </row>
    <row r="5486">
      <c r="C5486" s="18" t="n"/>
      <c r="J5486" s="19" t="n"/>
      <c r="P5486" s="20" t="n"/>
      <c r="Q5486" s="19" t="n"/>
      <c r="R5486" s="19" t="n"/>
      <c r="Y5486" s="19" t="n"/>
    </row>
    <row r="5487">
      <c r="C5487" s="18" t="n"/>
      <c r="J5487" s="19" t="n"/>
      <c r="P5487" s="20" t="n"/>
      <c r="Q5487" s="19" t="n"/>
      <c r="R5487" s="19" t="n"/>
      <c r="Y5487" s="19" t="n"/>
    </row>
    <row r="5488">
      <c r="C5488" s="18" t="n"/>
      <c r="J5488" s="19" t="n"/>
      <c r="P5488" s="20" t="n"/>
      <c r="Q5488" s="19" t="n"/>
      <c r="R5488" s="19" t="n"/>
      <c r="Y5488" s="19" t="n"/>
    </row>
    <row r="5489">
      <c r="C5489" s="18" t="n"/>
      <c r="J5489" s="19" t="n"/>
      <c r="P5489" s="20" t="n"/>
      <c r="Q5489" s="19" t="n"/>
      <c r="R5489" s="19" t="n"/>
      <c r="Y5489" s="19" t="n"/>
    </row>
    <row r="5490">
      <c r="C5490" s="18" t="n"/>
      <c r="J5490" s="19" t="n"/>
      <c r="P5490" s="20" t="n"/>
      <c r="Q5490" s="19" t="n"/>
      <c r="R5490" s="19" t="n"/>
      <c r="Y5490" s="19" t="n"/>
    </row>
    <row r="5491">
      <c r="C5491" s="18" t="n"/>
      <c r="J5491" s="19" t="n"/>
      <c r="P5491" s="20" t="n"/>
      <c r="Q5491" s="19" t="n"/>
      <c r="R5491" s="19" t="n"/>
      <c r="Y5491" s="19" t="n"/>
    </row>
    <row r="5492">
      <c r="C5492" s="18" t="n"/>
      <c r="J5492" s="19" t="n"/>
      <c r="P5492" s="20" t="n"/>
      <c r="Q5492" s="19" t="n"/>
      <c r="R5492" s="19" t="n"/>
      <c r="Y5492" s="19" t="n"/>
    </row>
    <row r="5493">
      <c r="C5493" s="18" t="n"/>
      <c r="J5493" s="19" t="n"/>
      <c r="P5493" s="20" t="n"/>
      <c r="Q5493" s="19" t="n"/>
      <c r="R5493" s="19" t="n"/>
      <c r="Y5493" s="19" t="n"/>
    </row>
    <row r="5494">
      <c r="C5494" s="18" t="n"/>
      <c r="J5494" s="19" t="n"/>
      <c r="P5494" s="20" t="n"/>
      <c r="Q5494" s="19" t="n"/>
      <c r="R5494" s="19" t="n"/>
      <c r="Y5494" s="19" t="n"/>
    </row>
    <row r="5495">
      <c r="C5495" s="18" t="n"/>
      <c r="J5495" s="19" t="n"/>
      <c r="P5495" s="20" t="n"/>
      <c r="Q5495" s="19" t="n"/>
      <c r="R5495" s="19" t="n"/>
      <c r="Y5495" s="19" t="n"/>
    </row>
    <row r="5496">
      <c r="C5496" s="18" t="n"/>
      <c r="J5496" s="19" t="n"/>
      <c r="P5496" s="20" t="n"/>
      <c r="Q5496" s="19" t="n"/>
      <c r="R5496" s="19" t="n"/>
      <c r="Y5496" s="19" t="n"/>
    </row>
    <row r="5497">
      <c r="C5497" s="18" t="n"/>
      <c r="J5497" s="19" t="n"/>
      <c r="P5497" s="20" t="n"/>
      <c r="Q5497" s="19" t="n"/>
      <c r="R5497" s="19" t="n"/>
      <c r="Y5497" s="19" t="n"/>
    </row>
    <row r="5498">
      <c r="C5498" s="18" t="n"/>
      <c r="J5498" s="19" t="n"/>
      <c r="P5498" s="20" t="n"/>
      <c r="Q5498" s="19" t="n"/>
      <c r="R5498" s="19" t="n"/>
      <c r="Y5498" s="19" t="n"/>
    </row>
    <row r="5499">
      <c r="C5499" s="18" t="n"/>
      <c r="J5499" s="19" t="n"/>
      <c r="P5499" s="20" t="n"/>
      <c r="Q5499" s="19" t="n"/>
      <c r="R5499" s="19" t="n"/>
      <c r="Y5499" s="19" t="n"/>
    </row>
    <row r="5500">
      <c r="C5500" s="18" t="n"/>
      <c r="J5500" s="19" t="n"/>
      <c r="P5500" s="20" t="n"/>
      <c r="Q5500" s="19" t="n"/>
      <c r="R5500" s="19" t="n"/>
      <c r="Y5500" s="19" t="n"/>
    </row>
    <row r="5501">
      <c r="C5501" s="18" t="n"/>
      <c r="J5501" s="19" t="n"/>
      <c r="P5501" s="20" t="n"/>
      <c r="Q5501" s="19" t="n"/>
      <c r="R5501" s="19" t="n"/>
      <c r="Y5501" s="19" t="n"/>
    </row>
    <row r="5502">
      <c r="C5502" s="18" t="n"/>
      <c r="J5502" s="19" t="n"/>
      <c r="P5502" s="20" t="n"/>
      <c r="Q5502" s="19" t="n"/>
      <c r="R5502" s="19" t="n"/>
      <c r="Y5502" s="19" t="n"/>
    </row>
    <row r="5503">
      <c r="C5503" s="18" t="n"/>
      <c r="J5503" s="19" t="n"/>
      <c r="P5503" s="20" t="n"/>
      <c r="Q5503" s="19" t="n"/>
      <c r="R5503" s="19" t="n"/>
      <c r="Y5503" s="19" t="n"/>
    </row>
    <row r="5504">
      <c r="C5504" s="18" t="n"/>
      <c r="J5504" s="19" t="n"/>
      <c r="P5504" s="20" t="n"/>
      <c r="Q5504" s="19" t="n"/>
      <c r="R5504" s="19" t="n"/>
      <c r="Y5504" s="19" t="n"/>
    </row>
    <row r="5505">
      <c r="C5505" s="18" t="n"/>
      <c r="J5505" s="19" t="n"/>
      <c r="P5505" s="20" t="n"/>
      <c r="Q5505" s="19" t="n"/>
      <c r="R5505" s="19" t="n"/>
      <c r="Y5505" s="19" t="n"/>
    </row>
    <row r="5506">
      <c r="C5506" s="18" t="n"/>
      <c r="J5506" s="19" t="n"/>
      <c r="P5506" s="20" t="n"/>
      <c r="Q5506" s="19" t="n"/>
      <c r="R5506" s="19" t="n"/>
      <c r="Y5506" s="19" t="n"/>
    </row>
    <row r="5507">
      <c r="C5507" s="18" t="n"/>
      <c r="J5507" s="19" t="n"/>
      <c r="P5507" s="20" t="n"/>
      <c r="Q5507" s="19" t="n"/>
      <c r="R5507" s="19" t="n"/>
      <c r="Y5507" s="19" t="n"/>
    </row>
    <row r="5508">
      <c r="C5508" s="18" t="n"/>
      <c r="J5508" s="19" t="n"/>
      <c r="P5508" s="20" t="n"/>
      <c r="Q5508" s="19" t="n"/>
      <c r="R5508" s="19" t="n"/>
      <c r="Y5508" s="19" t="n"/>
    </row>
    <row r="5509">
      <c r="C5509" s="18" t="n"/>
      <c r="J5509" s="19" t="n"/>
      <c r="P5509" s="20" t="n"/>
      <c r="Q5509" s="19" t="n"/>
      <c r="R5509" s="19" t="n"/>
      <c r="Y5509" s="19" t="n"/>
    </row>
    <row r="5510">
      <c r="C5510" s="18" t="n"/>
      <c r="J5510" s="19" t="n"/>
      <c r="P5510" s="20" t="n"/>
      <c r="Q5510" s="19" t="n"/>
      <c r="R5510" s="19" t="n"/>
      <c r="Y5510" s="19" t="n"/>
    </row>
    <row r="5511">
      <c r="C5511" s="18" t="n"/>
      <c r="J5511" s="19" t="n"/>
      <c r="P5511" s="20" t="n"/>
      <c r="Q5511" s="19" t="n"/>
      <c r="R5511" s="19" t="n"/>
      <c r="Y5511" s="19" t="n"/>
    </row>
    <row r="5512">
      <c r="C5512" s="18" t="n"/>
      <c r="J5512" s="19" t="n"/>
      <c r="P5512" s="20" t="n"/>
      <c r="Q5512" s="19" t="n"/>
      <c r="R5512" s="19" t="n"/>
      <c r="Y5512" s="19" t="n"/>
    </row>
    <row r="5513">
      <c r="C5513" s="18" t="n"/>
      <c r="J5513" s="19" t="n"/>
      <c r="P5513" s="20" t="n"/>
      <c r="Q5513" s="19" t="n"/>
      <c r="R5513" s="19" t="n"/>
      <c r="Y5513" s="19" t="n"/>
    </row>
    <row r="5514">
      <c r="C5514" s="18" t="n"/>
      <c r="J5514" s="19" t="n"/>
      <c r="P5514" s="20" t="n"/>
      <c r="Q5514" s="19" t="n"/>
      <c r="R5514" s="19" t="n"/>
      <c r="Y5514" s="19" t="n"/>
    </row>
    <row r="5515">
      <c r="C5515" s="18" t="n"/>
      <c r="J5515" s="19" t="n"/>
      <c r="P5515" s="20" t="n"/>
      <c r="Q5515" s="19" t="n"/>
      <c r="R5515" s="19" t="n"/>
      <c r="Y5515" s="19" t="n"/>
    </row>
    <row r="5516">
      <c r="C5516" s="18" t="n"/>
      <c r="J5516" s="19" t="n"/>
      <c r="P5516" s="20" t="n"/>
      <c r="Q5516" s="19" t="n"/>
      <c r="R5516" s="19" t="n"/>
      <c r="Y5516" s="19" t="n"/>
    </row>
    <row r="5517">
      <c r="C5517" s="18" t="n"/>
      <c r="J5517" s="19" t="n"/>
      <c r="P5517" s="20" t="n"/>
      <c r="Q5517" s="19" t="n"/>
      <c r="R5517" s="19" t="n"/>
      <c r="Y5517" s="19" t="n"/>
    </row>
    <row r="5518">
      <c r="C5518" s="18" t="n"/>
      <c r="J5518" s="19" t="n"/>
      <c r="P5518" s="20" t="n"/>
      <c r="Q5518" s="19" t="n"/>
      <c r="R5518" s="19" t="n"/>
      <c r="Y5518" s="19" t="n"/>
    </row>
    <row r="5519">
      <c r="C5519" s="18" t="n"/>
      <c r="J5519" s="19" t="n"/>
      <c r="P5519" s="20" t="n"/>
      <c r="Q5519" s="19" t="n"/>
      <c r="R5519" s="19" t="n"/>
      <c r="Y5519" s="19" t="n"/>
    </row>
    <row r="5520">
      <c r="C5520" s="18" t="n"/>
      <c r="J5520" s="19" t="n"/>
      <c r="P5520" s="20" t="n"/>
      <c r="Q5520" s="19" t="n"/>
      <c r="R5520" s="19" t="n"/>
      <c r="Y5520" s="19" t="n"/>
    </row>
    <row r="5521">
      <c r="C5521" s="18" t="n"/>
      <c r="J5521" s="19" t="n"/>
      <c r="P5521" s="20" t="n"/>
      <c r="Q5521" s="19" t="n"/>
      <c r="R5521" s="19" t="n"/>
      <c r="Y5521" s="19" t="n"/>
    </row>
    <row r="5522">
      <c r="C5522" s="18" t="n"/>
      <c r="J5522" s="19" t="n"/>
      <c r="P5522" s="20" t="n"/>
      <c r="Q5522" s="19" t="n"/>
      <c r="R5522" s="19" t="n"/>
      <c r="Y5522" s="19" t="n"/>
    </row>
    <row r="5523">
      <c r="C5523" s="18" t="n"/>
      <c r="J5523" s="19" t="n"/>
      <c r="P5523" s="20" t="n"/>
      <c r="Q5523" s="19" t="n"/>
      <c r="R5523" s="19" t="n"/>
      <c r="Y5523" s="19" t="n"/>
    </row>
    <row r="5524">
      <c r="C5524" s="18" t="n"/>
      <c r="J5524" s="19" t="n"/>
      <c r="P5524" s="20" t="n"/>
      <c r="Q5524" s="19" t="n"/>
      <c r="R5524" s="19" t="n"/>
      <c r="Y5524" s="19" t="n"/>
    </row>
    <row r="5525">
      <c r="C5525" s="18" t="n"/>
      <c r="J5525" s="19" t="n"/>
      <c r="P5525" s="20" t="n"/>
      <c r="Q5525" s="19" t="n"/>
      <c r="R5525" s="19" t="n"/>
      <c r="Y5525" s="19" t="n"/>
    </row>
    <row r="5526">
      <c r="C5526" s="18" t="n"/>
      <c r="J5526" s="19" t="n"/>
      <c r="P5526" s="20" t="n"/>
      <c r="Q5526" s="19" t="n"/>
      <c r="R5526" s="19" t="n"/>
      <c r="Y5526" s="19" t="n"/>
    </row>
    <row r="5527">
      <c r="C5527" s="18" t="n"/>
      <c r="J5527" s="19" t="n"/>
      <c r="P5527" s="20" t="n"/>
      <c r="Q5527" s="19" t="n"/>
      <c r="R5527" s="19" t="n"/>
      <c r="Y5527" s="19" t="n"/>
    </row>
    <row r="5528">
      <c r="C5528" s="18" t="n"/>
      <c r="J5528" s="19" t="n"/>
      <c r="P5528" s="20" t="n"/>
      <c r="Q5528" s="19" t="n"/>
      <c r="R5528" s="19" t="n"/>
      <c r="Y5528" s="19" t="n"/>
    </row>
    <row r="5529">
      <c r="C5529" s="18" t="n"/>
      <c r="J5529" s="19" t="n"/>
      <c r="P5529" s="20" t="n"/>
      <c r="Q5529" s="19" t="n"/>
      <c r="R5529" s="19" t="n"/>
      <c r="Y5529" s="19" t="n"/>
    </row>
    <row r="5530">
      <c r="C5530" s="18" t="n"/>
      <c r="J5530" s="19" t="n"/>
      <c r="P5530" s="20" t="n"/>
      <c r="Q5530" s="19" t="n"/>
      <c r="R5530" s="19" t="n"/>
      <c r="Y5530" s="19" t="n"/>
    </row>
    <row r="5531">
      <c r="C5531" s="18" t="n"/>
      <c r="J5531" s="19" t="n"/>
      <c r="P5531" s="20" t="n"/>
      <c r="Q5531" s="19" t="n"/>
      <c r="R5531" s="19" t="n"/>
      <c r="Y5531" s="19" t="n"/>
    </row>
    <row r="5532">
      <c r="C5532" s="18" t="n"/>
      <c r="J5532" s="19" t="n"/>
      <c r="P5532" s="20" t="n"/>
      <c r="Q5532" s="19" t="n"/>
      <c r="R5532" s="19" t="n"/>
      <c r="Y5532" s="19" t="n"/>
    </row>
    <row r="5533">
      <c r="C5533" s="18" t="n"/>
      <c r="J5533" s="19" t="n"/>
      <c r="P5533" s="20" t="n"/>
      <c r="Q5533" s="19" t="n"/>
      <c r="R5533" s="19" t="n"/>
      <c r="Y5533" s="19" t="n"/>
    </row>
    <row r="5534">
      <c r="C5534" s="18" t="n"/>
      <c r="J5534" s="19" t="n"/>
      <c r="P5534" s="20" t="n"/>
      <c r="Q5534" s="19" t="n"/>
      <c r="R5534" s="19" t="n"/>
      <c r="Y5534" s="19" t="n"/>
    </row>
    <row r="5535">
      <c r="C5535" s="18" t="n"/>
      <c r="J5535" s="19" t="n"/>
      <c r="P5535" s="20" t="n"/>
      <c r="Q5535" s="19" t="n"/>
      <c r="R5535" s="19" t="n"/>
      <c r="Y5535" s="19" t="n"/>
    </row>
    <row r="5536">
      <c r="C5536" s="18" t="n"/>
      <c r="J5536" s="19" t="n"/>
      <c r="P5536" s="20" t="n"/>
      <c r="Q5536" s="19" t="n"/>
      <c r="R5536" s="19" t="n"/>
      <c r="Y5536" s="19" t="n"/>
    </row>
    <row r="5537">
      <c r="C5537" s="18" t="n"/>
      <c r="J5537" s="19" t="n"/>
      <c r="P5537" s="20" t="n"/>
      <c r="Q5537" s="19" t="n"/>
      <c r="R5537" s="19" t="n"/>
      <c r="Y5537" s="19" t="n"/>
    </row>
    <row r="5538">
      <c r="C5538" s="18" t="n"/>
      <c r="J5538" s="19" t="n"/>
      <c r="P5538" s="20" t="n"/>
      <c r="Q5538" s="19" t="n"/>
      <c r="R5538" s="19" t="n"/>
      <c r="Y5538" s="19" t="n"/>
    </row>
    <row r="5539">
      <c r="C5539" s="18" t="n"/>
      <c r="J5539" s="19" t="n"/>
      <c r="P5539" s="20" t="n"/>
      <c r="Q5539" s="19" t="n"/>
      <c r="R5539" s="19" t="n"/>
      <c r="Y5539" s="19" t="n"/>
    </row>
    <row r="5540">
      <c r="C5540" s="18" t="n"/>
      <c r="J5540" s="19" t="n"/>
      <c r="P5540" s="20" t="n"/>
      <c r="Q5540" s="19" t="n"/>
      <c r="R5540" s="19" t="n"/>
      <c r="Y5540" s="19" t="n"/>
    </row>
    <row r="5541">
      <c r="C5541" s="18" t="n"/>
      <c r="J5541" s="19" t="n"/>
      <c r="P5541" s="20" t="n"/>
      <c r="Q5541" s="19" t="n"/>
      <c r="R5541" s="19" t="n"/>
      <c r="Y5541" s="19" t="n"/>
    </row>
    <row r="5542">
      <c r="C5542" s="18" t="n"/>
      <c r="J5542" s="19" t="n"/>
      <c r="P5542" s="20" t="n"/>
      <c r="Q5542" s="19" t="n"/>
      <c r="R5542" s="19" t="n"/>
      <c r="Y5542" s="19" t="n"/>
    </row>
    <row r="5543">
      <c r="C5543" s="18" t="n"/>
      <c r="J5543" s="19" t="n"/>
      <c r="P5543" s="20" t="n"/>
      <c r="Q5543" s="19" t="n"/>
      <c r="R5543" s="19" t="n"/>
      <c r="Y5543" s="19" t="n"/>
    </row>
    <row r="5544">
      <c r="C5544" s="18" t="n"/>
      <c r="J5544" s="19" t="n"/>
      <c r="P5544" s="20" t="n"/>
      <c r="Q5544" s="19" t="n"/>
      <c r="R5544" s="19" t="n"/>
      <c r="Y5544" s="19" t="n"/>
    </row>
    <row r="5545">
      <c r="C5545" s="18" t="n"/>
      <c r="J5545" s="19" t="n"/>
      <c r="P5545" s="20" t="n"/>
      <c r="Q5545" s="19" t="n"/>
      <c r="R5545" s="19" t="n"/>
      <c r="Y5545" s="19" t="n"/>
    </row>
    <row r="5546">
      <c r="C5546" s="18" t="n"/>
      <c r="J5546" s="19" t="n"/>
      <c r="P5546" s="20" t="n"/>
      <c r="Q5546" s="19" t="n"/>
      <c r="R5546" s="19" t="n"/>
      <c r="Y5546" s="19" t="n"/>
    </row>
    <row r="5547">
      <c r="C5547" s="18" t="n"/>
      <c r="J5547" s="19" t="n"/>
      <c r="P5547" s="20" t="n"/>
      <c r="Q5547" s="19" t="n"/>
      <c r="R5547" s="19" t="n"/>
      <c r="Y5547" s="19" t="n"/>
    </row>
    <row r="5548">
      <c r="C5548" s="18" t="n"/>
      <c r="J5548" s="19" t="n"/>
      <c r="P5548" s="20" t="n"/>
      <c r="Q5548" s="19" t="n"/>
      <c r="R5548" s="19" t="n"/>
      <c r="Y5548" s="19" t="n"/>
    </row>
    <row r="5549">
      <c r="C5549" s="18" t="n"/>
      <c r="J5549" s="19" t="n"/>
      <c r="P5549" s="20" t="n"/>
      <c r="Q5549" s="19" t="n"/>
      <c r="R5549" s="19" t="n"/>
      <c r="Y5549" s="19" t="n"/>
    </row>
    <row r="5550">
      <c r="C5550" s="18" t="n"/>
      <c r="J5550" s="19" t="n"/>
      <c r="P5550" s="20" t="n"/>
      <c r="Q5550" s="19" t="n"/>
      <c r="R5550" s="19" t="n"/>
      <c r="Y5550" s="19" t="n"/>
    </row>
    <row r="5551">
      <c r="C5551" s="18" t="n"/>
      <c r="J5551" s="19" t="n"/>
      <c r="P5551" s="20" t="n"/>
      <c r="Q5551" s="19" t="n"/>
      <c r="R5551" s="19" t="n"/>
      <c r="Y5551" s="19" t="n"/>
    </row>
    <row r="5552">
      <c r="C5552" s="18" t="n"/>
      <c r="J5552" s="19" t="n"/>
      <c r="P5552" s="20" t="n"/>
      <c r="Q5552" s="19" t="n"/>
      <c r="R5552" s="19" t="n"/>
      <c r="Y5552" s="19" t="n"/>
    </row>
    <row r="5553">
      <c r="C5553" s="18" t="n"/>
      <c r="J5553" s="19" t="n"/>
      <c r="P5553" s="20" t="n"/>
      <c r="Q5553" s="19" t="n"/>
      <c r="R5553" s="19" t="n"/>
      <c r="Y5553" s="19" t="n"/>
    </row>
    <row r="5554">
      <c r="C5554" s="18" t="n"/>
      <c r="J5554" s="19" t="n"/>
      <c r="P5554" s="20" t="n"/>
      <c r="Q5554" s="19" t="n"/>
      <c r="R5554" s="19" t="n"/>
      <c r="Y5554" s="19" t="n"/>
    </row>
    <row r="5555">
      <c r="C5555" s="18" t="n"/>
      <c r="J5555" s="19" t="n"/>
      <c r="P5555" s="20" t="n"/>
      <c r="Q5555" s="19" t="n"/>
      <c r="R5555" s="19" t="n"/>
      <c r="Y5555" s="19" t="n"/>
    </row>
    <row r="5556">
      <c r="C5556" s="18" t="n"/>
      <c r="J5556" s="19" t="n"/>
      <c r="P5556" s="20" t="n"/>
      <c r="Q5556" s="19" t="n"/>
      <c r="R5556" s="19" t="n"/>
      <c r="Y5556" s="19" t="n"/>
    </row>
    <row r="5557">
      <c r="C5557" s="18" t="n"/>
      <c r="J5557" s="19" t="n"/>
      <c r="P5557" s="20" t="n"/>
      <c r="Q5557" s="19" t="n"/>
      <c r="R5557" s="19" t="n"/>
      <c r="Y5557" s="19" t="n"/>
    </row>
    <row r="5558">
      <c r="C5558" s="18" t="n"/>
      <c r="J5558" s="19" t="n"/>
      <c r="P5558" s="20" t="n"/>
      <c r="Q5558" s="19" t="n"/>
      <c r="R5558" s="19" t="n"/>
      <c r="Y5558" s="19" t="n"/>
    </row>
    <row r="5559">
      <c r="C5559" s="18" t="n"/>
      <c r="J5559" s="19" t="n"/>
      <c r="P5559" s="20" t="n"/>
      <c r="Q5559" s="19" t="n"/>
      <c r="R5559" s="19" t="n"/>
      <c r="Y5559" s="19" t="n"/>
    </row>
    <row r="5560">
      <c r="C5560" s="18" t="n"/>
      <c r="J5560" s="19" t="n"/>
      <c r="P5560" s="20" t="n"/>
      <c r="Q5560" s="19" t="n"/>
      <c r="R5560" s="19" t="n"/>
      <c r="Y5560" s="19" t="n"/>
    </row>
    <row r="5561">
      <c r="C5561" s="18" t="n"/>
      <c r="J5561" s="19" t="n"/>
      <c r="P5561" s="20" t="n"/>
      <c r="Q5561" s="19" t="n"/>
      <c r="R5561" s="19" t="n"/>
      <c r="Y5561" s="19" t="n"/>
    </row>
    <row r="5562">
      <c r="C5562" s="18" t="n"/>
      <c r="J5562" s="19" t="n"/>
      <c r="P5562" s="20" t="n"/>
      <c r="Q5562" s="19" t="n"/>
      <c r="R5562" s="19" t="n"/>
      <c r="Y5562" s="19" t="n"/>
    </row>
    <row r="5563">
      <c r="C5563" s="18" t="n"/>
      <c r="J5563" s="19" t="n"/>
      <c r="P5563" s="20" t="n"/>
      <c r="Q5563" s="19" t="n"/>
      <c r="R5563" s="19" t="n"/>
      <c r="Y5563" s="19" t="n"/>
    </row>
    <row r="5564">
      <c r="C5564" s="18" t="n"/>
      <c r="J5564" s="19" t="n"/>
      <c r="P5564" s="20" t="n"/>
      <c r="Q5564" s="19" t="n"/>
      <c r="R5564" s="19" t="n"/>
      <c r="Y5564" s="19" t="n"/>
    </row>
    <row r="5565">
      <c r="C5565" s="18" t="n"/>
      <c r="J5565" s="19" t="n"/>
      <c r="P5565" s="20" t="n"/>
      <c r="Q5565" s="19" t="n"/>
      <c r="R5565" s="19" t="n"/>
      <c r="Y5565" s="19" t="n"/>
    </row>
    <row r="5566">
      <c r="C5566" s="18" t="n"/>
      <c r="J5566" s="19" t="n"/>
      <c r="P5566" s="20" t="n"/>
      <c r="Q5566" s="19" t="n"/>
      <c r="R5566" s="19" t="n"/>
      <c r="Y5566" s="19" t="n"/>
    </row>
    <row r="5567">
      <c r="C5567" s="18" t="n"/>
      <c r="J5567" s="19" t="n"/>
      <c r="P5567" s="20" t="n"/>
      <c r="Q5567" s="19" t="n"/>
      <c r="R5567" s="19" t="n"/>
      <c r="Y5567" s="19" t="n"/>
    </row>
    <row r="5568">
      <c r="C5568" s="18" t="n"/>
      <c r="J5568" s="19" t="n"/>
      <c r="P5568" s="20" t="n"/>
      <c r="Q5568" s="19" t="n"/>
      <c r="R5568" s="19" t="n"/>
      <c r="Y5568" s="19" t="n"/>
    </row>
    <row r="5569">
      <c r="C5569" s="18" t="n"/>
      <c r="J5569" s="19" t="n"/>
      <c r="P5569" s="20" t="n"/>
      <c r="Q5569" s="19" t="n"/>
      <c r="R5569" s="19" t="n"/>
      <c r="Y5569" s="19" t="n"/>
    </row>
    <row r="5570">
      <c r="C5570" s="18" t="n"/>
      <c r="J5570" s="19" t="n"/>
      <c r="P5570" s="20" t="n"/>
      <c r="Q5570" s="19" t="n"/>
      <c r="R5570" s="19" t="n"/>
      <c r="Y5570" s="19" t="n"/>
    </row>
    <row r="5571">
      <c r="C5571" s="18" t="n"/>
      <c r="J5571" s="19" t="n"/>
      <c r="P5571" s="20" t="n"/>
      <c r="Q5571" s="19" t="n"/>
      <c r="R5571" s="19" t="n"/>
      <c r="Y5571" s="19" t="n"/>
    </row>
    <row r="5572">
      <c r="C5572" s="18" t="n"/>
      <c r="J5572" s="19" t="n"/>
      <c r="P5572" s="20" t="n"/>
      <c r="Q5572" s="19" t="n"/>
      <c r="R5572" s="19" t="n"/>
      <c r="Y5572" s="19" t="n"/>
    </row>
    <row r="5573">
      <c r="C5573" s="18" t="n"/>
      <c r="J5573" s="19" t="n"/>
      <c r="P5573" s="20" t="n"/>
      <c r="Q5573" s="19" t="n"/>
      <c r="R5573" s="19" t="n"/>
      <c r="Y5573" s="19" t="n"/>
    </row>
    <row r="5574">
      <c r="C5574" s="18" t="n"/>
      <c r="J5574" s="19" t="n"/>
      <c r="P5574" s="20" t="n"/>
      <c r="Q5574" s="19" t="n"/>
      <c r="R5574" s="19" t="n"/>
      <c r="Y5574" s="19" t="n"/>
    </row>
    <row r="5575">
      <c r="C5575" s="18" t="n"/>
      <c r="J5575" s="19" t="n"/>
      <c r="P5575" s="20" t="n"/>
      <c r="Q5575" s="19" t="n"/>
      <c r="R5575" s="19" t="n"/>
      <c r="Y5575" s="19" t="n"/>
    </row>
    <row r="5576">
      <c r="C5576" s="18" t="n"/>
      <c r="J5576" s="19" t="n"/>
      <c r="P5576" s="20" t="n"/>
      <c r="Q5576" s="19" t="n"/>
      <c r="R5576" s="19" t="n"/>
      <c r="Y5576" s="19" t="n"/>
    </row>
    <row r="5577">
      <c r="C5577" s="18" t="n"/>
      <c r="J5577" s="19" t="n"/>
      <c r="P5577" s="20" t="n"/>
      <c r="Q5577" s="19" t="n"/>
      <c r="R5577" s="19" t="n"/>
      <c r="Y5577" s="19" t="n"/>
    </row>
    <row r="5578">
      <c r="C5578" s="18" t="n"/>
      <c r="J5578" s="19" t="n"/>
      <c r="P5578" s="20" t="n"/>
      <c r="Q5578" s="19" t="n"/>
      <c r="R5578" s="19" t="n"/>
      <c r="Y5578" s="19" t="n"/>
    </row>
    <row r="5579">
      <c r="C5579" s="18" t="n"/>
      <c r="J5579" s="19" t="n"/>
      <c r="P5579" s="20" t="n"/>
      <c r="Q5579" s="19" t="n"/>
      <c r="R5579" s="19" t="n"/>
      <c r="Y5579" s="19" t="n"/>
    </row>
    <row r="5580">
      <c r="C5580" s="18" t="n"/>
      <c r="J5580" s="19" t="n"/>
      <c r="P5580" s="20" t="n"/>
      <c r="Q5580" s="19" t="n"/>
      <c r="R5580" s="19" t="n"/>
      <c r="Y5580" s="19" t="n"/>
    </row>
    <row r="5581">
      <c r="C5581" s="18" t="n"/>
      <c r="J5581" s="19" t="n"/>
      <c r="P5581" s="20" t="n"/>
      <c r="Q5581" s="19" t="n"/>
      <c r="R5581" s="19" t="n"/>
      <c r="Y5581" s="19" t="n"/>
    </row>
    <row r="5582">
      <c r="C5582" s="18" t="n"/>
      <c r="J5582" s="19" t="n"/>
      <c r="P5582" s="20" t="n"/>
      <c r="Q5582" s="19" t="n"/>
      <c r="R5582" s="19" t="n"/>
      <c r="Y5582" s="19" t="n"/>
    </row>
    <row r="5583">
      <c r="C5583" s="18" t="n"/>
      <c r="J5583" s="19" t="n"/>
      <c r="P5583" s="20" t="n"/>
      <c r="Q5583" s="19" t="n"/>
      <c r="R5583" s="19" t="n"/>
      <c r="Y5583" s="19" t="n"/>
    </row>
    <row r="5584">
      <c r="C5584" s="18" t="n"/>
      <c r="J5584" s="19" t="n"/>
      <c r="P5584" s="20" t="n"/>
      <c r="Q5584" s="19" t="n"/>
      <c r="R5584" s="19" t="n"/>
      <c r="Y5584" s="19" t="n"/>
    </row>
    <row r="5585">
      <c r="C5585" s="18" t="n"/>
      <c r="J5585" s="19" t="n"/>
      <c r="P5585" s="20" t="n"/>
      <c r="Q5585" s="19" t="n"/>
      <c r="R5585" s="19" t="n"/>
      <c r="Y5585" s="19" t="n"/>
    </row>
    <row r="5586">
      <c r="C5586" s="18" t="n"/>
      <c r="J5586" s="19" t="n"/>
      <c r="P5586" s="20" t="n"/>
      <c r="Q5586" s="19" t="n"/>
      <c r="R5586" s="19" t="n"/>
      <c r="Y5586" s="19" t="n"/>
    </row>
    <row r="5587">
      <c r="C5587" s="18" t="n"/>
      <c r="J5587" s="19" t="n"/>
      <c r="P5587" s="20" t="n"/>
      <c r="Q5587" s="19" t="n"/>
      <c r="R5587" s="19" t="n"/>
      <c r="Y5587" s="19" t="n"/>
    </row>
    <row r="5588">
      <c r="C5588" s="18" t="n"/>
      <c r="J5588" s="19" t="n"/>
      <c r="P5588" s="20" t="n"/>
      <c r="Q5588" s="19" t="n"/>
      <c r="R5588" s="19" t="n"/>
      <c r="Y5588" s="19" t="n"/>
    </row>
    <row r="5589">
      <c r="C5589" s="18" t="n"/>
      <c r="J5589" s="19" t="n"/>
      <c r="P5589" s="20" t="n"/>
      <c r="Q5589" s="19" t="n"/>
      <c r="R5589" s="19" t="n"/>
      <c r="Y5589" s="19" t="n"/>
    </row>
    <row r="5590">
      <c r="C5590" s="18" t="n"/>
      <c r="J5590" s="19" t="n"/>
      <c r="P5590" s="20" t="n"/>
      <c r="Q5590" s="19" t="n"/>
      <c r="R5590" s="19" t="n"/>
      <c r="Y5590" s="19" t="n"/>
    </row>
    <row r="5591">
      <c r="C5591" s="18" t="n"/>
      <c r="J5591" s="19" t="n"/>
      <c r="P5591" s="20" t="n"/>
      <c r="Q5591" s="19" t="n"/>
      <c r="R5591" s="19" t="n"/>
      <c r="Y5591" s="19" t="n"/>
    </row>
    <row r="5592">
      <c r="C5592" s="18" t="n"/>
      <c r="J5592" s="19" t="n"/>
      <c r="P5592" s="20" t="n"/>
      <c r="Q5592" s="19" t="n"/>
      <c r="R5592" s="19" t="n"/>
      <c r="Y5592" s="19" t="n"/>
    </row>
    <row r="5593">
      <c r="C5593" s="18" t="n"/>
      <c r="J5593" s="19" t="n"/>
      <c r="P5593" s="20" t="n"/>
      <c r="Q5593" s="19" t="n"/>
      <c r="R5593" s="19" t="n"/>
      <c r="Y5593" s="19" t="n"/>
    </row>
    <row r="5594">
      <c r="C5594" s="18" t="n"/>
      <c r="J5594" s="19" t="n"/>
      <c r="P5594" s="20" t="n"/>
      <c r="Q5594" s="19" t="n"/>
      <c r="R5594" s="19" t="n"/>
      <c r="Y5594" s="19" t="n"/>
    </row>
    <row r="5595">
      <c r="C5595" s="18" t="n"/>
      <c r="J5595" s="19" t="n"/>
      <c r="P5595" s="20" t="n"/>
      <c r="Q5595" s="19" t="n"/>
      <c r="R5595" s="19" t="n"/>
      <c r="Y5595" s="19" t="n"/>
    </row>
    <row r="5596">
      <c r="C5596" s="18" t="n"/>
      <c r="J5596" s="19" t="n"/>
      <c r="P5596" s="20" t="n"/>
      <c r="Q5596" s="19" t="n"/>
      <c r="R5596" s="19" t="n"/>
      <c r="Y5596" s="19" t="n"/>
    </row>
    <row r="5597">
      <c r="C5597" s="18" t="n"/>
      <c r="J5597" s="19" t="n"/>
      <c r="P5597" s="20" t="n"/>
      <c r="Q5597" s="19" t="n"/>
      <c r="R5597" s="19" t="n"/>
      <c r="Y5597" s="19" t="n"/>
    </row>
    <row r="5598">
      <c r="C5598" s="18" t="n"/>
      <c r="J5598" s="19" t="n"/>
      <c r="P5598" s="20" t="n"/>
      <c r="Q5598" s="19" t="n"/>
      <c r="R5598" s="19" t="n"/>
      <c r="Y5598" s="19" t="n"/>
    </row>
    <row r="5599">
      <c r="C5599" s="18" t="n"/>
      <c r="J5599" s="19" t="n"/>
      <c r="P5599" s="20" t="n"/>
      <c r="Q5599" s="19" t="n"/>
      <c r="R5599" s="19" t="n"/>
      <c r="Y5599" s="19" t="n"/>
    </row>
    <row r="5600">
      <c r="C5600" s="18" t="n"/>
      <c r="J5600" s="19" t="n"/>
      <c r="P5600" s="20" t="n"/>
      <c r="Q5600" s="19" t="n"/>
      <c r="R5600" s="19" t="n"/>
      <c r="Y5600" s="19" t="n"/>
    </row>
    <row r="5601">
      <c r="C5601" s="18" t="n"/>
      <c r="J5601" s="19" t="n"/>
      <c r="P5601" s="20" t="n"/>
      <c r="Q5601" s="19" t="n"/>
      <c r="R5601" s="19" t="n"/>
      <c r="Y5601" s="19" t="n"/>
    </row>
    <row r="5602">
      <c r="C5602" s="18" t="n"/>
      <c r="J5602" s="19" t="n"/>
      <c r="P5602" s="20" t="n"/>
      <c r="Q5602" s="19" t="n"/>
      <c r="R5602" s="19" t="n"/>
      <c r="Y5602" s="19" t="n"/>
    </row>
    <row r="5603">
      <c r="C5603" s="18" t="n"/>
      <c r="J5603" s="19" t="n"/>
      <c r="P5603" s="20" t="n"/>
      <c r="Q5603" s="19" t="n"/>
      <c r="R5603" s="19" t="n"/>
      <c r="Y5603" s="19" t="n"/>
    </row>
    <row r="5604">
      <c r="C5604" s="18" t="n"/>
      <c r="J5604" s="19" t="n"/>
      <c r="P5604" s="20" t="n"/>
      <c r="Q5604" s="19" t="n"/>
      <c r="R5604" s="19" t="n"/>
      <c r="Y5604" s="19" t="n"/>
    </row>
    <row r="5605">
      <c r="C5605" s="18" t="n"/>
      <c r="J5605" s="19" t="n"/>
      <c r="P5605" s="20" t="n"/>
      <c r="Q5605" s="19" t="n"/>
      <c r="R5605" s="19" t="n"/>
      <c r="Y5605" s="19" t="n"/>
    </row>
    <row r="5606">
      <c r="C5606" s="18" t="n"/>
      <c r="J5606" s="19" t="n"/>
      <c r="P5606" s="20" t="n"/>
      <c r="Q5606" s="19" t="n"/>
      <c r="R5606" s="19" t="n"/>
      <c r="Y5606" s="19" t="n"/>
    </row>
    <row r="5607">
      <c r="C5607" s="18" t="n"/>
      <c r="J5607" s="19" t="n"/>
      <c r="P5607" s="20" t="n"/>
      <c r="Q5607" s="19" t="n"/>
      <c r="R5607" s="19" t="n"/>
      <c r="Y5607" s="19" t="n"/>
    </row>
    <row r="5608">
      <c r="C5608" s="18" t="n"/>
      <c r="J5608" s="19" t="n"/>
      <c r="P5608" s="20" t="n"/>
      <c r="Q5608" s="19" t="n"/>
      <c r="R5608" s="19" t="n"/>
      <c r="Y5608" s="19" t="n"/>
    </row>
    <row r="5609">
      <c r="C5609" s="18" t="n"/>
      <c r="J5609" s="19" t="n"/>
      <c r="P5609" s="20" t="n"/>
      <c r="Q5609" s="19" t="n"/>
      <c r="R5609" s="19" t="n"/>
      <c r="Y5609" s="19" t="n"/>
    </row>
    <row r="5610">
      <c r="C5610" s="18" t="n"/>
      <c r="J5610" s="19" t="n"/>
      <c r="P5610" s="20" t="n"/>
      <c r="Q5610" s="19" t="n"/>
      <c r="R5610" s="19" t="n"/>
      <c r="Y5610" s="19" t="n"/>
    </row>
    <row r="5611">
      <c r="C5611" s="18" t="n"/>
      <c r="J5611" s="19" t="n"/>
      <c r="P5611" s="20" t="n"/>
      <c r="Q5611" s="19" t="n"/>
      <c r="R5611" s="19" t="n"/>
      <c r="Y5611" s="19" t="n"/>
    </row>
    <row r="5612">
      <c r="C5612" s="18" t="n"/>
      <c r="J5612" s="19" t="n"/>
      <c r="P5612" s="20" t="n"/>
      <c r="Q5612" s="19" t="n"/>
      <c r="R5612" s="19" t="n"/>
      <c r="Y5612" s="19" t="n"/>
    </row>
    <row r="5613">
      <c r="C5613" s="18" t="n"/>
      <c r="J5613" s="19" t="n"/>
      <c r="P5613" s="20" t="n"/>
      <c r="Q5613" s="19" t="n"/>
      <c r="R5613" s="19" t="n"/>
      <c r="Y5613" s="19" t="n"/>
    </row>
    <row r="5614">
      <c r="C5614" s="18" t="n"/>
      <c r="J5614" s="19" t="n"/>
      <c r="P5614" s="20" t="n"/>
      <c r="Q5614" s="19" t="n"/>
      <c r="R5614" s="19" t="n"/>
      <c r="Y5614" s="19" t="n"/>
    </row>
    <row r="5615">
      <c r="C5615" s="18" t="n"/>
      <c r="J5615" s="19" t="n"/>
      <c r="P5615" s="20" t="n"/>
      <c r="Q5615" s="19" t="n"/>
      <c r="R5615" s="19" t="n"/>
      <c r="Y5615" s="19" t="n"/>
    </row>
    <row r="5616">
      <c r="C5616" s="18" t="n"/>
      <c r="J5616" s="19" t="n"/>
      <c r="P5616" s="20" t="n"/>
      <c r="Q5616" s="19" t="n"/>
      <c r="R5616" s="19" t="n"/>
      <c r="Y5616" s="19" t="n"/>
    </row>
    <row r="5617">
      <c r="C5617" s="18" t="n"/>
      <c r="J5617" s="19" t="n"/>
      <c r="P5617" s="20" t="n"/>
      <c r="Q5617" s="19" t="n"/>
      <c r="R5617" s="19" t="n"/>
      <c r="Y5617" s="19" t="n"/>
    </row>
    <row r="5618">
      <c r="C5618" s="18" t="n"/>
      <c r="J5618" s="19" t="n"/>
      <c r="P5618" s="20" t="n"/>
      <c r="Q5618" s="19" t="n"/>
      <c r="R5618" s="19" t="n"/>
      <c r="Y5618" s="19" t="n"/>
    </row>
    <row r="5619">
      <c r="C5619" s="18" t="n"/>
      <c r="J5619" s="19" t="n"/>
      <c r="P5619" s="20" t="n"/>
      <c r="Q5619" s="19" t="n"/>
      <c r="R5619" s="19" t="n"/>
      <c r="Y5619" s="19" t="n"/>
    </row>
    <row r="5620">
      <c r="C5620" s="18" t="n"/>
      <c r="J5620" s="19" t="n"/>
      <c r="P5620" s="20" t="n"/>
      <c r="Q5620" s="19" t="n"/>
      <c r="R5620" s="19" t="n"/>
      <c r="Y5620" s="19" t="n"/>
    </row>
    <row r="5621">
      <c r="C5621" s="18" t="n"/>
      <c r="J5621" s="19" t="n"/>
      <c r="P5621" s="20" t="n"/>
      <c r="Q5621" s="19" t="n"/>
      <c r="R5621" s="19" t="n"/>
      <c r="Y5621" s="19" t="n"/>
    </row>
    <row r="5622">
      <c r="C5622" s="18" t="n"/>
      <c r="J5622" s="19" t="n"/>
      <c r="P5622" s="20" t="n"/>
      <c r="Q5622" s="19" t="n"/>
      <c r="R5622" s="19" t="n"/>
      <c r="Y5622" s="19" t="n"/>
    </row>
    <row r="5623">
      <c r="C5623" s="18" t="n"/>
      <c r="J5623" s="19" t="n"/>
      <c r="P5623" s="20" t="n"/>
      <c r="Q5623" s="19" t="n"/>
      <c r="R5623" s="19" t="n"/>
      <c r="Y5623" s="19" t="n"/>
    </row>
    <row r="5624">
      <c r="C5624" s="18" t="n"/>
      <c r="J5624" s="19" t="n"/>
      <c r="P5624" s="20" t="n"/>
      <c r="Q5624" s="19" t="n"/>
      <c r="R5624" s="19" t="n"/>
      <c r="Y5624" s="19" t="n"/>
    </row>
    <row r="5625">
      <c r="C5625" s="18" t="n"/>
      <c r="J5625" s="19" t="n"/>
      <c r="P5625" s="20" t="n"/>
      <c r="Q5625" s="19" t="n"/>
      <c r="R5625" s="19" t="n"/>
      <c r="Y5625" s="19" t="n"/>
    </row>
    <row r="5626">
      <c r="C5626" s="18" t="n"/>
      <c r="J5626" s="19" t="n"/>
      <c r="P5626" s="20" t="n"/>
      <c r="Q5626" s="19" t="n"/>
      <c r="R5626" s="19" t="n"/>
      <c r="Y5626" s="19" t="n"/>
    </row>
    <row r="5627">
      <c r="C5627" s="18" t="n"/>
      <c r="J5627" s="19" t="n"/>
      <c r="P5627" s="20" t="n"/>
      <c r="Q5627" s="19" t="n"/>
      <c r="R5627" s="19" t="n"/>
      <c r="Y5627" s="19" t="n"/>
    </row>
    <row r="5628">
      <c r="C5628" s="18" t="n"/>
      <c r="J5628" s="19" t="n"/>
      <c r="P5628" s="20" t="n"/>
      <c r="Q5628" s="19" t="n"/>
      <c r="R5628" s="19" t="n"/>
      <c r="Y5628" s="19" t="n"/>
    </row>
    <row r="5629">
      <c r="C5629" s="18" t="n"/>
      <c r="J5629" s="19" t="n"/>
      <c r="P5629" s="20" t="n"/>
      <c r="Q5629" s="19" t="n"/>
      <c r="R5629" s="19" t="n"/>
      <c r="Y5629" s="19" t="n"/>
    </row>
    <row r="5630">
      <c r="C5630" s="18" t="n"/>
      <c r="J5630" s="19" t="n"/>
      <c r="P5630" s="20" t="n"/>
      <c r="Q5630" s="19" t="n"/>
      <c r="R5630" s="19" t="n"/>
      <c r="Y5630" s="19" t="n"/>
    </row>
    <row r="5631">
      <c r="C5631" s="18" t="n"/>
      <c r="J5631" s="19" t="n"/>
      <c r="P5631" s="20" t="n"/>
      <c r="Q5631" s="19" t="n"/>
      <c r="R5631" s="19" t="n"/>
      <c r="Y5631" s="19" t="n"/>
    </row>
    <row r="5632">
      <c r="C5632" s="18" t="n"/>
      <c r="J5632" s="19" t="n"/>
      <c r="P5632" s="20" t="n"/>
      <c r="Q5632" s="19" t="n"/>
      <c r="R5632" s="19" t="n"/>
      <c r="Y5632" s="19" t="n"/>
    </row>
    <row r="5633">
      <c r="C5633" s="18" t="n"/>
      <c r="J5633" s="19" t="n"/>
      <c r="P5633" s="20" t="n"/>
      <c r="Q5633" s="19" t="n"/>
      <c r="R5633" s="19" t="n"/>
      <c r="Y5633" s="19" t="n"/>
    </row>
    <row r="5634">
      <c r="C5634" s="18" t="n"/>
      <c r="J5634" s="19" t="n"/>
      <c r="P5634" s="20" t="n"/>
      <c r="Q5634" s="19" t="n"/>
      <c r="R5634" s="19" t="n"/>
      <c r="Y5634" s="19" t="n"/>
    </row>
    <row r="5635">
      <c r="C5635" s="18" t="n"/>
      <c r="J5635" s="19" t="n"/>
      <c r="P5635" s="20" t="n"/>
      <c r="Q5635" s="19" t="n"/>
      <c r="R5635" s="19" t="n"/>
      <c r="Y5635" s="19" t="n"/>
    </row>
    <row r="5636">
      <c r="C5636" s="18" t="n"/>
      <c r="J5636" s="19" t="n"/>
      <c r="P5636" s="20" t="n"/>
      <c r="Q5636" s="19" t="n"/>
      <c r="R5636" s="19" t="n"/>
      <c r="Y5636" s="19" t="n"/>
    </row>
    <row r="5637">
      <c r="C5637" s="18" t="n"/>
      <c r="J5637" s="19" t="n"/>
      <c r="P5637" s="20" t="n"/>
      <c r="Q5637" s="19" t="n"/>
      <c r="R5637" s="19" t="n"/>
      <c r="Y5637" s="19" t="n"/>
    </row>
    <row r="5638">
      <c r="C5638" s="18" t="n"/>
      <c r="J5638" s="19" t="n"/>
      <c r="P5638" s="20" t="n"/>
      <c r="Q5638" s="19" t="n"/>
      <c r="R5638" s="19" t="n"/>
      <c r="Y5638" s="19" t="n"/>
    </row>
    <row r="5639">
      <c r="C5639" s="18" t="n"/>
      <c r="J5639" s="19" t="n"/>
      <c r="P5639" s="20" t="n"/>
      <c r="Q5639" s="19" t="n"/>
      <c r="R5639" s="19" t="n"/>
      <c r="Y5639" s="19" t="n"/>
    </row>
    <row r="5640">
      <c r="C5640" s="18" t="n"/>
      <c r="J5640" s="19" t="n"/>
      <c r="P5640" s="20" t="n"/>
      <c r="Q5640" s="19" t="n"/>
      <c r="R5640" s="19" t="n"/>
      <c r="Y5640" s="19" t="n"/>
    </row>
    <row r="5641">
      <c r="C5641" s="18" t="n"/>
      <c r="J5641" s="19" t="n"/>
      <c r="P5641" s="20" t="n"/>
      <c r="Q5641" s="19" t="n"/>
      <c r="R5641" s="19" t="n"/>
      <c r="Y5641" s="19" t="n"/>
    </row>
    <row r="5642">
      <c r="C5642" s="18" t="n"/>
      <c r="J5642" s="19" t="n"/>
      <c r="P5642" s="20" t="n"/>
      <c r="Q5642" s="19" t="n"/>
      <c r="R5642" s="19" t="n"/>
      <c r="Y5642" s="19" t="n"/>
    </row>
    <row r="5643">
      <c r="C5643" s="18" t="n"/>
      <c r="J5643" s="19" t="n"/>
      <c r="P5643" s="20" t="n"/>
      <c r="Q5643" s="19" t="n"/>
      <c r="R5643" s="19" t="n"/>
      <c r="Y5643" s="19" t="n"/>
    </row>
    <row r="5644">
      <c r="C5644" s="18" t="n"/>
      <c r="J5644" s="19" t="n"/>
      <c r="P5644" s="20" t="n"/>
      <c r="Q5644" s="19" t="n"/>
      <c r="R5644" s="19" t="n"/>
      <c r="Y5644" s="19" t="n"/>
    </row>
    <row r="5645">
      <c r="C5645" s="18" t="n"/>
      <c r="J5645" s="19" t="n"/>
      <c r="P5645" s="20" t="n"/>
      <c r="Q5645" s="19" t="n"/>
      <c r="R5645" s="19" t="n"/>
      <c r="Y5645" s="19" t="n"/>
    </row>
    <row r="5646">
      <c r="C5646" s="18" t="n"/>
      <c r="J5646" s="19" t="n"/>
      <c r="P5646" s="20" t="n"/>
      <c r="Q5646" s="19" t="n"/>
      <c r="R5646" s="19" t="n"/>
      <c r="Y5646" s="19" t="n"/>
    </row>
    <row r="5647">
      <c r="C5647" s="18" t="n"/>
      <c r="J5647" s="19" t="n"/>
      <c r="P5647" s="20" t="n"/>
      <c r="Q5647" s="19" t="n"/>
      <c r="R5647" s="19" t="n"/>
      <c r="Y5647" s="19" t="n"/>
    </row>
    <row r="5648">
      <c r="C5648" s="18" t="n"/>
      <c r="J5648" s="19" t="n"/>
      <c r="P5648" s="20" t="n"/>
      <c r="Q5648" s="19" t="n"/>
      <c r="R5648" s="19" t="n"/>
      <c r="Y5648" s="19" t="n"/>
    </row>
    <row r="5649">
      <c r="C5649" s="18" t="n"/>
      <c r="J5649" s="19" t="n"/>
      <c r="P5649" s="20" t="n"/>
      <c r="Q5649" s="19" t="n"/>
      <c r="R5649" s="19" t="n"/>
      <c r="Y5649" s="19" t="n"/>
    </row>
    <row r="5650">
      <c r="C5650" s="18" t="n"/>
      <c r="J5650" s="19" t="n"/>
      <c r="P5650" s="20" t="n"/>
      <c r="Q5650" s="19" t="n"/>
      <c r="R5650" s="19" t="n"/>
      <c r="Y5650" s="19" t="n"/>
    </row>
    <row r="5651">
      <c r="C5651" s="18" t="n"/>
      <c r="J5651" s="19" t="n"/>
      <c r="P5651" s="20" t="n"/>
      <c r="Q5651" s="19" t="n"/>
      <c r="R5651" s="19" t="n"/>
      <c r="Y5651" s="19" t="n"/>
    </row>
    <row r="5652">
      <c r="C5652" s="18" t="n"/>
      <c r="J5652" s="19" t="n"/>
      <c r="P5652" s="20" t="n"/>
      <c r="Q5652" s="19" t="n"/>
      <c r="R5652" s="19" t="n"/>
      <c r="Y5652" s="19" t="n"/>
    </row>
    <row r="5653">
      <c r="C5653" s="18" t="n"/>
      <c r="J5653" s="19" t="n"/>
      <c r="P5653" s="20" t="n"/>
      <c r="Q5653" s="19" t="n"/>
      <c r="R5653" s="19" t="n"/>
      <c r="Y5653" s="19" t="n"/>
    </row>
    <row r="5654">
      <c r="C5654" s="18" t="n"/>
      <c r="J5654" s="19" t="n"/>
      <c r="P5654" s="20" t="n"/>
      <c r="Q5654" s="19" t="n"/>
      <c r="R5654" s="19" t="n"/>
      <c r="Y5654" s="19" t="n"/>
    </row>
    <row r="5655">
      <c r="C5655" s="18" t="n"/>
      <c r="J5655" s="19" t="n"/>
      <c r="P5655" s="20" t="n"/>
      <c r="Q5655" s="19" t="n"/>
      <c r="R5655" s="19" t="n"/>
      <c r="Y5655" s="19" t="n"/>
    </row>
    <row r="5656">
      <c r="C5656" s="18" t="n"/>
      <c r="J5656" s="19" t="n"/>
      <c r="P5656" s="20" t="n"/>
      <c r="Q5656" s="19" t="n"/>
      <c r="R5656" s="19" t="n"/>
      <c r="Y5656" s="19" t="n"/>
    </row>
    <row r="5657">
      <c r="C5657" s="18" t="n"/>
      <c r="J5657" s="19" t="n"/>
      <c r="P5657" s="20" t="n"/>
      <c r="Q5657" s="19" t="n"/>
      <c r="R5657" s="19" t="n"/>
      <c r="Y5657" s="19" t="n"/>
    </row>
    <row r="5658">
      <c r="C5658" s="18" t="n"/>
      <c r="J5658" s="19" t="n"/>
      <c r="P5658" s="20" t="n"/>
      <c r="Q5658" s="19" t="n"/>
      <c r="R5658" s="19" t="n"/>
      <c r="Y5658" s="19" t="n"/>
    </row>
    <row r="5659">
      <c r="C5659" s="18" t="n"/>
      <c r="J5659" s="19" t="n"/>
      <c r="P5659" s="20" t="n"/>
      <c r="Q5659" s="19" t="n"/>
      <c r="R5659" s="19" t="n"/>
      <c r="Y5659" s="19" t="n"/>
    </row>
    <row r="5660">
      <c r="C5660" s="18" t="n"/>
      <c r="J5660" s="19" t="n"/>
      <c r="P5660" s="20" t="n"/>
      <c r="Q5660" s="19" t="n"/>
      <c r="R5660" s="19" t="n"/>
      <c r="Y5660" s="19" t="n"/>
    </row>
    <row r="5661">
      <c r="C5661" s="18" t="n"/>
      <c r="J5661" s="19" t="n"/>
      <c r="P5661" s="20" t="n"/>
      <c r="Q5661" s="19" t="n"/>
      <c r="R5661" s="19" t="n"/>
      <c r="Y5661" s="19" t="n"/>
    </row>
    <row r="5662">
      <c r="C5662" s="18" t="n"/>
      <c r="J5662" s="19" t="n"/>
      <c r="P5662" s="20" t="n"/>
      <c r="Q5662" s="19" t="n"/>
      <c r="R5662" s="19" t="n"/>
      <c r="Y5662" s="19" t="n"/>
    </row>
    <row r="5663">
      <c r="C5663" s="18" t="n"/>
      <c r="J5663" s="19" t="n"/>
      <c r="P5663" s="20" t="n"/>
      <c r="Q5663" s="19" t="n"/>
      <c r="R5663" s="19" t="n"/>
      <c r="Y5663" s="19" t="n"/>
    </row>
    <row r="5664">
      <c r="C5664" s="18" t="n"/>
      <c r="J5664" s="19" t="n"/>
      <c r="P5664" s="20" t="n"/>
      <c r="Q5664" s="19" t="n"/>
      <c r="R5664" s="19" t="n"/>
      <c r="Y5664" s="19" t="n"/>
    </row>
    <row r="5665">
      <c r="C5665" s="18" t="n"/>
      <c r="J5665" s="19" t="n"/>
      <c r="P5665" s="20" t="n"/>
      <c r="Q5665" s="19" t="n"/>
      <c r="R5665" s="19" t="n"/>
      <c r="Y5665" s="19" t="n"/>
    </row>
    <row r="5666">
      <c r="C5666" s="18" t="n"/>
      <c r="J5666" s="19" t="n"/>
      <c r="P5666" s="20" t="n"/>
      <c r="Q5666" s="19" t="n"/>
      <c r="R5666" s="19" t="n"/>
      <c r="Y5666" s="19" t="n"/>
    </row>
    <row r="5667">
      <c r="C5667" s="18" t="n"/>
      <c r="J5667" s="19" t="n"/>
      <c r="P5667" s="20" t="n"/>
      <c r="Q5667" s="19" t="n"/>
      <c r="R5667" s="19" t="n"/>
      <c r="Y5667" s="19" t="n"/>
    </row>
    <row r="5668">
      <c r="C5668" s="18" t="n"/>
      <c r="J5668" s="19" t="n"/>
      <c r="P5668" s="20" t="n"/>
      <c r="Q5668" s="19" t="n"/>
      <c r="R5668" s="19" t="n"/>
      <c r="Y5668" s="19" t="n"/>
    </row>
    <row r="5669">
      <c r="C5669" s="18" t="n"/>
      <c r="J5669" s="19" t="n"/>
      <c r="P5669" s="20" t="n"/>
      <c r="Q5669" s="19" t="n"/>
      <c r="R5669" s="19" t="n"/>
      <c r="Y5669" s="19" t="n"/>
    </row>
    <row r="5670">
      <c r="C5670" s="18" t="n"/>
      <c r="J5670" s="19" t="n"/>
      <c r="P5670" s="20" t="n"/>
      <c r="Q5670" s="19" t="n"/>
      <c r="R5670" s="19" t="n"/>
      <c r="Y5670" s="19" t="n"/>
    </row>
    <row r="5671">
      <c r="C5671" s="18" t="n"/>
      <c r="J5671" s="19" t="n"/>
      <c r="P5671" s="20" t="n"/>
      <c r="Q5671" s="19" t="n"/>
      <c r="R5671" s="19" t="n"/>
      <c r="Y5671" s="19" t="n"/>
    </row>
    <row r="5672">
      <c r="C5672" s="18" t="n"/>
      <c r="J5672" s="19" t="n"/>
      <c r="P5672" s="20" t="n"/>
      <c r="Q5672" s="19" t="n"/>
      <c r="R5672" s="19" t="n"/>
      <c r="Y5672" s="19" t="n"/>
    </row>
    <row r="5673">
      <c r="C5673" s="18" t="n"/>
      <c r="J5673" s="19" t="n"/>
      <c r="P5673" s="20" t="n"/>
      <c r="Q5673" s="19" t="n"/>
      <c r="R5673" s="19" t="n"/>
      <c r="Y5673" s="19" t="n"/>
    </row>
    <row r="5674">
      <c r="C5674" s="18" t="n"/>
      <c r="J5674" s="19" t="n"/>
      <c r="P5674" s="20" t="n"/>
      <c r="Q5674" s="19" t="n"/>
      <c r="R5674" s="19" t="n"/>
      <c r="Y5674" s="19" t="n"/>
    </row>
    <row r="5675">
      <c r="C5675" s="18" t="n"/>
      <c r="J5675" s="19" t="n"/>
      <c r="P5675" s="20" t="n"/>
      <c r="Q5675" s="19" t="n"/>
      <c r="R5675" s="19" t="n"/>
      <c r="Y5675" s="19" t="n"/>
    </row>
    <row r="5676">
      <c r="C5676" s="18" t="n"/>
      <c r="J5676" s="19" t="n"/>
      <c r="P5676" s="20" t="n"/>
      <c r="Q5676" s="19" t="n"/>
      <c r="R5676" s="19" t="n"/>
      <c r="Y5676" s="19" t="n"/>
    </row>
    <row r="5677">
      <c r="C5677" s="18" t="n"/>
      <c r="J5677" s="19" t="n"/>
      <c r="P5677" s="20" t="n"/>
      <c r="Q5677" s="19" t="n"/>
      <c r="R5677" s="19" t="n"/>
      <c r="Y5677" s="19" t="n"/>
    </row>
    <row r="5678">
      <c r="C5678" s="18" t="n"/>
      <c r="J5678" s="19" t="n"/>
      <c r="P5678" s="20" t="n"/>
      <c r="Q5678" s="19" t="n"/>
      <c r="R5678" s="19" t="n"/>
      <c r="Y5678" s="19" t="n"/>
    </row>
    <row r="5679">
      <c r="C5679" s="18" t="n"/>
      <c r="J5679" s="19" t="n"/>
      <c r="P5679" s="20" t="n"/>
      <c r="Q5679" s="19" t="n"/>
      <c r="R5679" s="19" t="n"/>
      <c r="Y5679" s="19" t="n"/>
    </row>
    <row r="5680">
      <c r="C5680" s="18" t="n"/>
      <c r="J5680" s="19" t="n"/>
      <c r="P5680" s="20" t="n"/>
      <c r="Q5680" s="19" t="n"/>
      <c r="R5680" s="19" t="n"/>
      <c r="Y5680" s="19" t="n"/>
    </row>
    <row r="5681">
      <c r="C5681" s="18" t="n"/>
      <c r="J5681" s="19" t="n"/>
      <c r="P5681" s="20" t="n"/>
      <c r="Q5681" s="19" t="n"/>
      <c r="R5681" s="19" t="n"/>
      <c r="Y5681" s="19" t="n"/>
    </row>
    <row r="5682">
      <c r="C5682" s="18" t="n"/>
      <c r="J5682" s="19" t="n"/>
      <c r="P5682" s="20" t="n"/>
      <c r="Q5682" s="19" t="n"/>
      <c r="R5682" s="19" t="n"/>
      <c r="Y5682" s="19" t="n"/>
    </row>
    <row r="5683">
      <c r="C5683" s="18" t="n"/>
      <c r="J5683" s="19" t="n"/>
      <c r="P5683" s="20" t="n"/>
      <c r="Q5683" s="19" t="n"/>
      <c r="R5683" s="19" t="n"/>
      <c r="Y5683" s="19" t="n"/>
    </row>
    <row r="5684">
      <c r="C5684" s="18" t="n"/>
      <c r="J5684" s="19" t="n"/>
      <c r="P5684" s="20" t="n"/>
      <c r="Q5684" s="19" t="n"/>
      <c r="R5684" s="19" t="n"/>
      <c r="Y5684" s="19" t="n"/>
    </row>
    <row r="5685">
      <c r="C5685" s="18" t="n"/>
      <c r="J5685" s="19" t="n"/>
      <c r="P5685" s="20" t="n"/>
      <c r="Q5685" s="19" t="n"/>
      <c r="R5685" s="19" t="n"/>
      <c r="Y5685" s="19" t="n"/>
    </row>
    <row r="5686">
      <c r="C5686" s="18" t="n"/>
      <c r="J5686" s="19" t="n"/>
      <c r="P5686" s="20" t="n"/>
      <c r="Q5686" s="19" t="n"/>
      <c r="R5686" s="19" t="n"/>
      <c r="Y5686" s="19" t="n"/>
    </row>
    <row r="5687">
      <c r="C5687" s="18" t="n"/>
      <c r="J5687" s="19" t="n"/>
      <c r="P5687" s="20" t="n"/>
      <c r="Q5687" s="19" t="n"/>
      <c r="R5687" s="19" t="n"/>
      <c r="Y5687" s="19" t="n"/>
    </row>
    <row r="5688">
      <c r="C5688" s="18" t="n"/>
      <c r="J5688" s="19" t="n"/>
      <c r="P5688" s="20" t="n"/>
      <c r="Q5688" s="19" t="n"/>
      <c r="R5688" s="19" t="n"/>
      <c r="Y5688" s="19" t="n"/>
    </row>
    <row r="5689">
      <c r="C5689" s="18" t="n"/>
      <c r="J5689" s="19" t="n"/>
      <c r="P5689" s="20" t="n"/>
      <c r="Q5689" s="19" t="n"/>
      <c r="R5689" s="19" t="n"/>
      <c r="Y5689" s="19" t="n"/>
    </row>
    <row r="5690">
      <c r="C5690" s="18" t="n"/>
      <c r="J5690" s="19" t="n"/>
      <c r="P5690" s="20" t="n"/>
      <c r="Q5690" s="19" t="n"/>
      <c r="R5690" s="19" t="n"/>
      <c r="Y5690" s="19" t="n"/>
    </row>
    <row r="5691">
      <c r="C5691" s="18" t="n"/>
      <c r="J5691" s="19" t="n"/>
      <c r="P5691" s="20" t="n"/>
      <c r="Q5691" s="19" t="n"/>
      <c r="R5691" s="19" t="n"/>
      <c r="Y5691" s="19" t="n"/>
    </row>
    <row r="5692">
      <c r="C5692" s="18" t="n"/>
      <c r="J5692" s="19" t="n"/>
      <c r="P5692" s="20" t="n"/>
      <c r="Q5692" s="19" t="n"/>
      <c r="R5692" s="19" t="n"/>
      <c r="Y5692" s="19" t="n"/>
    </row>
    <row r="5693">
      <c r="C5693" s="18" t="n"/>
      <c r="J5693" s="19" t="n"/>
      <c r="P5693" s="20" t="n"/>
      <c r="Q5693" s="19" t="n"/>
      <c r="R5693" s="19" t="n"/>
      <c r="Y5693" s="19" t="n"/>
    </row>
    <row r="5694">
      <c r="C5694" s="18" t="n"/>
      <c r="J5694" s="19" t="n"/>
      <c r="P5694" s="20" t="n"/>
      <c r="Q5694" s="19" t="n"/>
      <c r="R5694" s="19" t="n"/>
      <c r="Y5694" s="19" t="n"/>
    </row>
    <row r="5695">
      <c r="C5695" s="18" t="n"/>
      <c r="J5695" s="19" t="n"/>
      <c r="P5695" s="20" t="n"/>
      <c r="Q5695" s="19" t="n"/>
      <c r="R5695" s="19" t="n"/>
      <c r="Y5695" s="19" t="n"/>
    </row>
    <row r="5696">
      <c r="C5696" s="18" t="n"/>
      <c r="J5696" s="19" t="n"/>
      <c r="P5696" s="20" t="n"/>
      <c r="Q5696" s="19" t="n"/>
      <c r="R5696" s="19" t="n"/>
      <c r="Y5696" s="19" t="n"/>
    </row>
    <row r="5697">
      <c r="C5697" s="18" t="n"/>
      <c r="J5697" s="19" t="n"/>
      <c r="P5697" s="20" t="n"/>
      <c r="Q5697" s="19" t="n"/>
      <c r="R5697" s="19" t="n"/>
      <c r="Y5697" s="19" t="n"/>
    </row>
    <row r="5698">
      <c r="C5698" s="18" t="n"/>
      <c r="J5698" s="19" t="n"/>
      <c r="P5698" s="20" t="n"/>
      <c r="Q5698" s="19" t="n"/>
      <c r="R5698" s="19" t="n"/>
      <c r="Y5698" s="19" t="n"/>
    </row>
    <row r="5699">
      <c r="C5699" s="18" t="n"/>
      <c r="J5699" s="19" t="n"/>
      <c r="P5699" s="20" t="n"/>
      <c r="Q5699" s="19" t="n"/>
      <c r="R5699" s="19" t="n"/>
      <c r="Y5699" s="19" t="n"/>
    </row>
    <row r="5700">
      <c r="C5700" s="18" t="n"/>
      <c r="J5700" s="19" t="n"/>
      <c r="P5700" s="20" t="n"/>
      <c r="Q5700" s="19" t="n"/>
      <c r="R5700" s="19" t="n"/>
      <c r="Y5700" s="19" t="n"/>
    </row>
    <row r="5701">
      <c r="C5701" s="18" t="n"/>
      <c r="J5701" s="19" t="n"/>
      <c r="P5701" s="20" t="n"/>
      <c r="Q5701" s="19" t="n"/>
      <c r="R5701" s="19" t="n"/>
      <c r="Y5701" s="19" t="n"/>
    </row>
    <row r="5702">
      <c r="C5702" s="18" t="n"/>
      <c r="J5702" s="19" t="n"/>
      <c r="P5702" s="20" t="n"/>
      <c r="Q5702" s="19" t="n"/>
      <c r="R5702" s="19" t="n"/>
      <c r="Y5702" s="19" t="n"/>
    </row>
    <row r="5703">
      <c r="C5703" s="18" t="n"/>
      <c r="J5703" s="19" t="n"/>
      <c r="P5703" s="20" t="n"/>
      <c r="Q5703" s="19" t="n"/>
      <c r="R5703" s="19" t="n"/>
      <c r="Y5703" s="19" t="n"/>
    </row>
    <row r="5704">
      <c r="C5704" s="18" t="n"/>
      <c r="J5704" s="19" t="n"/>
      <c r="P5704" s="20" t="n"/>
      <c r="Q5704" s="19" t="n"/>
      <c r="R5704" s="19" t="n"/>
      <c r="Y5704" s="19" t="n"/>
    </row>
    <row r="5705">
      <c r="C5705" s="18" t="n"/>
      <c r="J5705" s="19" t="n"/>
      <c r="P5705" s="20" t="n"/>
      <c r="Q5705" s="19" t="n"/>
      <c r="R5705" s="19" t="n"/>
      <c r="Y5705" s="19" t="n"/>
    </row>
    <row r="5706">
      <c r="C5706" s="18" t="n"/>
      <c r="J5706" s="19" t="n"/>
      <c r="P5706" s="20" t="n"/>
      <c r="Q5706" s="19" t="n"/>
      <c r="R5706" s="19" t="n"/>
      <c r="Y5706" s="19" t="n"/>
    </row>
    <row r="5707">
      <c r="C5707" s="18" t="n"/>
      <c r="J5707" s="19" t="n"/>
      <c r="P5707" s="20" t="n"/>
      <c r="Q5707" s="19" t="n"/>
      <c r="R5707" s="19" t="n"/>
      <c r="Y5707" s="19" t="n"/>
    </row>
    <row r="5708">
      <c r="C5708" s="18" t="n"/>
      <c r="J5708" s="19" t="n"/>
      <c r="P5708" s="20" t="n"/>
      <c r="Q5708" s="19" t="n"/>
      <c r="R5708" s="19" t="n"/>
      <c r="Y5708" s="19" t="n"/>
    </row>
    <row r="5709">
      <c r="C5709" s="18" t="n"/>
      <c r="J5709" s="19" t="n"/>
      <c r="P5709" s="20" t="n"/>
      <c r="Q5709" s="19" t="n"/>
      <c r="R5709" s="19" t="n"/>
      <c r="Y5709" s="19" t="n"/>
    </row>
    <row r="5710">
      <c r="C5710" s="18" t="n"/>
      <c r="J5710" s="19" t="n"/>
      <c r="P5710" s="20" t="n"/>
      <c r="Q5710" s="19" t="n"/>
      <c r="R5710" s="19" t="n"/>
      <c r="Y5710" s="19" t="n"/>
    </row>
    <row r="5711">
      <c r="C5711" s="18" t="n"/>
      <c r="J5711" s="19" t="n"/>
      <c r="P5711" s="20" t="n"/>
      <c r="Q5711" s="19" t="n"/>
      <c r="R5711" s="19" t="n"/>
      <c r="Y5711" s="19" t="n"/>
    </row>
    <row r="5712">
      <c r="C5712" s="18" t="n"/>
      <c r="J5712" s="19" t="n"/>
      <c r="P5712" s="20" t="n"/>
      <c r="Q5712" s="19" t="n"/>
      <c r="R5712" s="19" t="n"/>
      <c r="Y5712" s="19" t="n"/>
    </row>
    <row r="5713">
      <c r="C5713" s="18" t="n"/>
      <c r="J5713" s="19" t="n"/>
      <c r="P5713" s="20" t="n"/>
      <c r="Q5713" s="19" t="n"/>
      <c r="R5713" s="19" t="n"/>
      <c r="Y5713" s="19" t="n"/>
    </row>
    <row r="5714">
      <c r="C5714" s="18" t="n"/>
      <c r="J5714" s="19" t="n"/>
      <c r="P5714" s="20" t="n"/>
      <c r="Q5714" s="19" t="n"/>
      <c r="R5714" s="19" t="n"/>
      <c r="Y5714" s="19" t="n"/>
    </row>
    <row r="5715">
      <c r="C5715" s="18" t="n"/>
      <c r="J5715" s="19" t="n"/>
      <c r="P5715" s="20" t="n"/>
      <c r="Q5715" s="19" t="n"/>
      <c r="R5715" s="19" t="n"/>
      <c r="Y5715" s="19" t="n"/>
    </row>
    <row r="5716">
      <c r="C5716" s="18" t="n"/>
      <c r="J5716" s="19" t="n"/>
      <c r="P5716" s="20" t="n"/>
      <c r="Q5716" s="19" t="n"/>
      <c r="R5716" s="19" t="n"/>
      <c r="Y5716" s="19" t="n"/>
    </row>
    <row r="5717">
      <c r="C5717" s="18" t="n"/>
      <c r="J5717" s="19" t="n"/>
      <c r="P5717" s="20" t="n"/>
      <c r="Q5717" s="19" t="n"/>
      <c r="R5717" s="19" t="n"/>
      <c r="Y5717" s="19" t="n"/>
    </row>
    <row r="5718">
      <c r="C5718" s="18" t="n"/>
      <c r="J5718" s="19" t="n"/>
      <c r="P5718" s="20" t="n"/>
      <c r="Q5718" s="19" t="n"/>
      <c r="R5718" s="19" t="n"/>
      <c r="Y5718" s="19" t="n"/>
    </row>
    <row r="5719">
      <c r="C5719" s="18" t="n"/>
      <c r="J5719" s="19" t="n"/>
      <c r="P5719" s="20" t="n"/>
      <c r="Q5719" s="19" t="n"/>
      <c r="R5719" s="19" t="n"/>
      <c r="Y5719" s="19" t="n"/>
    </row>
    <row r="5720">
      <c r="C5720" s="18" t="n"/>
      <c r="J5720" s="19" t="n"/>
      <c r="P5720" s="20" t="n"/>
      <c r="Q5720" s="19" t="n"/>
      <c r="R5720" s="19" t="n"/>
      <c r="Y5720" s="19" t="n"/>
    </row>
    <row r="5721">
      <c r="C5721" s="18" t="n"/>
      <c r="J5721" s="19" t="n"/>
      <c r="P5721" s="20" t="n"/>
      <c r="Q5721" s="19" t="n"/>
      <c r="R5721" s="19" t="n"/>
      <c r="Y5721" s="19" t="n"/>
    </row>
    <row r="5722">
      <c r="C5722" s="18" t="n"/>
      <c r="J5722" s="19" t="n"/>
      <c r="P5722" s="20" t="n"/>
      <c r="Q5722" s="19" t="n"/>
      <c r="R5722" s="19" t="n"/>
      <c r="Y5722" s="19" t="n"/>
    </row>
    <row r="5723">
      <c r="C5723" s="18" t="n"/>
      <c r="J5723" s="19" t="n"/>
      <c r="P5723" s="20" t="n"/>
      <c r="Q5723" s="19" t="n"/>
      <c r="R5723" s="19" t="n"/>
      <c r="Y5723" s="19" t="n"/>
    </row>
    <row r="5724">
      <c r="C5724" s="18" t="n"/>
      <c r="J5724" s="19" t="n"/>
      <c r="P5724" s="20" t="n"/>
      <c r="Q5724" s="19" t="n"/>
      <c r="R5724" s="19" t="n"/>
      <c r="Y5724" s="19" t="n"/>
    </row>
    <row r="5725">
      <c r="C5725" s="18" t="n"/>
      <c r="J5725" s="19" t="n"/>
      <c r="P5725" s="20" t="n"/>
      <c r="Q5725" s="19" t="n"/>
      <c r="R5725" s="19" t="n"/>
      <c r="Y5725" s="19" t="n"/>
    </row>
    <row r="5726">
      <c r="C5726" s="18" t="n"/>
      <c r="J5726" s="19" t="n"/>
      <c r="P5726" s="20" t="n"/>
      <c r="Q5726" s="19" t="n"/>
      <c r="R5726" s="19" t="n"/>
      <c r="Y5726" s="19" t="n"/>
    </row>
    <row r="5727">
      <c r="C5727" s="18" t="n"/>
      <c r="J5727" s="19" t="n"/>
      <c r="P5727" s="20" t="n"/>
      <c r="Q5727" s="19" t="n"/>
      <c r="R5727" s="19" t="n"/>
      <c r="Y5727" s="19" t="n"/>
    </row>
    <row r="5728">
      <c r="C5728" s="18" t="n"/>
      <c r="J5728" s="19" t="n"/>
      <c r="P5728" s="20" t="n"/>
      <c r="Q5728" s="19" t="n"/>
      <c r="R5728" s="19" t="n"/>
      <c r="Y5728" s="19" t="n"/>
    </row>
    <row r="5729">
      <c r="C5729" s="18" t="n"/>
      <c r="J5729" s="19" t="n"/>
      <c r="P5729" s="20" t="n"/>
      <c r="Q5729" s="19" t="n"/>
      <c r="R5729" s="19" t="n"/>
      <c r="Y5729" s="19" t="n"/>
    </row>
    <row r="5730">
      <c r="C5730" s="18" t="n"/>
      <c r="J5730" s="19" t="n"/>
      <c r="P5730" s="20" t="n"/>
      <c r="Q5730" s="19" t="n"/>
      <c r="R5730" s="19" t="n"/>
      <c r="Y5730" s="19" t="n"/>
    </row>
    <row r="5731">
      <c r="C5731" s="18" t="n"/>
      <c r="J5731" s="19" t="n"/>
      <c r="P5731" s="20" t="n"/>
      <c r="Q5731" s="19" t="n"/>
      <c r="R5731" s="19" t="n"/>
      <c r="Y5731" s="19" t="n"/>
    </row>
    <row r="5732">
      <c r="C5732" s="18" t="n"/>
      <c r="J5732" s="19" t="n"/>
      <c r="P5732" s="20" t="n"/>
      <c r="Q5732" s="19" t="n"/>
      <c r="R5732" s="19" t="n"/>
      <c r="Y5732" s="19" t="n"/>
    </row>
    <row r="5733">
      <c r="C5733" s="18" t="n"/>
      <c r="J5733" s="19" t="n"/>
      <c r="P5733" s="20" t="n"/>
      <c r="Q5733" s="19" t="n"/>
      <c r="R5733" s="19" t="n"/>
      <c r="Y5733" s="19" t="n"/>
    </row>
    <row r="5734">
      <c r="C5734" s="18" t="n"/>
      <c r="J5734" s="19" t="n"/>
      <c r="P5734" s="20" t="n"/>
      <c r="Q5734" s="19" t="n"/>
      <c r="R5734" s="19" t="n"/>
      <c r="Y5734" s="19" t="n"/>
    </row>
    <row r="5735">
      <c r="C5735" s="18" t="n"/>
      <c r="J5735" s="19" t="n"/>
      <c r="P5735" s="20" t="n"/>
      <c r="Q5735" s="19" t="n"/>
      <c r="R5735" s="19" t="n"/>
      <c r="Y5735" s="19" t="n"/>
    </row>
    <row r="5736">
      <c r="C5736" s="18" t="n"/>
      <c r="J5736" s="19" t="n"/>
      <c r="P5736" s="20" t="n"/>
      <c r="Q5736" s="19" t="n"/>
      <c r="R5736" s="19" t="n"/>
      <c r="Y5736" s="19" t="n"/>
    </row>
    <row r="5737">
      <c r="C5737" s="18" t="n"/>
      <c r="J5737" s="19" t="n"/>
      <c r="P5737" s="20" t="n"/>
      <c r="Q5737" s="19" t="n"/>
      <c r="R5737" s="19" t="n"/>
      <c r="Y5737" s="19" t="n"/>
    </row>
    <row r="5738">
      <c r="C5738" s="18" t="n"/>
      <c r="J5738" s="19" t="n"/>
      <c r="P5738" s="20" t="n"/>
      <c r="Q5738" s="19" t="n"/>
      <c r="R5738" s="19" t="n"/>
      <c r="Y5738" s="19" t="n"/>
    </row>
    <row r="5739">
      <c r="C5739" s="18" t="n"/>
      <c r="J5739" s="19" t="n"/>
      <c r="P5739" s="20" t="n"/>
      <c r="Q5739" s="19" t="n"/>
      <c r="R5739" s="19" t="n"/>
      <c r="Y5739" s="19" t="n"/>
    </row>
    <row r="5740">
      <c r="C5740" s="18" t="n"/>
      <c r="J5740" s="19" t="n"/>
      <c r="P5740" s="20" t="n"/>
      <c r="Q5740" s="19" t="n"/>
      <c r="R5740" s="19" t="n"/>
      <c r="Y5740" s="19" t="n"/>
    </row>
    <row r="5741">
      <c r="C5741" s="18" t="n"/>
      <c r="J5741" s="19" t="n"/>
      <c r="P5741" s="20" t="n"/>
      <c r="Q5741" s="19" t="n"/>
      <c r="R5741" s="19" t="n"/>
      <c r="Y5741" s="19" t="n"/>
    </row>
    <row r="5742">
      <c r="C5742" s="18" t="n"/>
      <c r="J5742" s="19" t="n"/>
      <c r="P5742" s="20" t="n"/>
      <c r="Q5742" s="19" t="n"/>
      <c r="R5742" s="19" t="n"/>
      <c r="Y5742" s="19" t="n"/>
    </row>
    <row r="5743">
      <c r="C5743" s="18" t="n"/>
      <c r="J5743" s="19" t="n"/>
      <c r="P5743" s="20" t="n"/>
      <c r="Q5743" s="19" t="n"/>
      <c r="R5743" s="19" t="n"/>
      <c r="Y5743" s="19" t="n"/>
    </row>
    <row r="5744">
      <c r="C5744" s="18" t="n"/>
      <c r="J5744" s="19" t="n"/>
      <c r="P5744" s="20" t="n"/>
      <c r="Q5744" s="19" t="n"/>
      <c r="R5744" s="19" t="n"/>
      <c r="Y5744" s="19" t="n"/>
    </row>
    <row r="5745">
      <c r="C5745" s="18" t="n"/>
      <c r="J5745" s="19" t="n"/>
      <c r="P5745" s="20" t="n"/>
      <c r="Q5745" s="19" t="n"/>
      <c r="R5745" s="19" t="n"/>
      <c r="Y5745" s="19" t="n"/>
    </row>
    <row r="5746">
      <c r="C5746" s="18" t="n"/>
      <c r="J5746" s="19" t="n"/>
      <c r="P5746" s="20" t="n"/>
      <c r="Q5746" s="19" t="n"/>
      <c r="R5746" s="19" t="n"/>
      <c r="Y5746" s="19" t="n"/>
    </row>
    <row r="5747">
      <c r="C5747" s="18" t="n"/>
      <c r="J5747" s="19" t="n"/>
      <c r="P5747" s="20" t="n"/>
      <c r="Q5747" s="19" t="n"/>
      <c r="R5747" s="19" t="n"/>
      <c r="Y5747" s="19" t="n"/>
    </row>
    <row r="5748">
      <c r="C5748" s="18" t="n"/>
      <c r="J5748" s="19" t="n"/>
      <c r="P5748" s="20" t="n"/>
      <c r="Q5748" s="19" t="n"/>
      <c r="R5748" s="19" t="n"/>
      <c r="Y5748" s="19" t="n"/>
    </row>
    <row r="5749">
      <c r="C5749" s="18" t="n"/>
      <c r="J5749" s="19" t="n"/>
      <c r="P5749" s="20" t="n"/>
      <c r="Q5749" s="19" t="n"/>
      <c r="R5749" s="19" t="n"/>
      <c r="Y5749" s="19" t="n"/>
    </row>
    <row r="5750">
      <c r="C5750" s="18" t="n"/>
      <c r="J5750" s="19" t="n"/>
      <c r="P5750" s="20" t="n"/>
      <c r="Q5750" s="19" t="n"/>
      <c r="R5750" s="19" t="n"/>
      <c r="Y5750" s="19" t="n"/>
    </row>
    <row r="5751">
      <c r="C5751" s="18" t="n"/>
      <c r="J5751" s="19" t="n"/>
      <c r="P5751" s="20" t="n"/>
      <c r="Q5751" s="19" t="n"/>
      <c r="R5751" s="19" t="n"/>
      <c r="Y5751" s="19" t="n"/>
    </row>
    <row r="5752">
      <c r="C5752" s="18" t="n"/>
      <c r="J5752" s="19" t="n"/>
      <c r="P5752" s="20" t="n"/>
      <c r="Q5752" s="19" t="n"/>
      <c r="R5752" s="19" t="n"/>
      <c r="Y5752" s="19" t="n"/>
    </row>
    <row r="5753">
      <c r="C5753" s="18" t="n"/>
      <c r="J5753" s="19" t="n"/>
      <c r="P5753" s="20" t="n"/>
      <c r="Q5753" s="19" t="n"/>
      <c r="R5753" s="19" t="n"/>
      <c r="Y5753" s="19" t="n"/>
    </row>
    <row r="5754">
      <c r="C5754" s="18" t="n"/>
      <c r="J5754" s="19" t="n"/>
      <c r="P5754" s="20" t="n"/>
      <c r="Q5754" s="19" t="n"/>
      <c r="R5754" s="19" t="n"/>
      <c r="Y5754" s="19" t="n"/>
    </row>
    <row r="5755">
      <c r="C5755" s="18" t="n"/>
      <c r="J5755" s="19" t="n"/>
      <c r="P5755" s="20" t="n"/>
      <c r="Q5755" s="19" t="n"/>
      <c r="R5755" s="19" t="n"/>
      <c r="Y5755" s="19" t="n"/>
    </row>
    <row r="5756">
      <c r="C5756" s="18" t="n"/>
      <c r="J5756" s="19" t="n"/>
      <c r="P5756" s="20" t="n"/>
      <c r="Q5756" s="19" t="n"/>
      <c r="R5756" s="19" t="n"/>
      <c r="Y5756" s="19" t="n"/>
    </row>
    <row r="5757">
      <c r="C5757" s="18" t="n"/>
      <c r="J5757" s="19" t="n"/>
      <c r="P5757" s="20" t="n"/>
      <c r="Q5757" s="19" t="n"/>
      <c r="R5757" s="19" t="n"/>
      <c r="Y5757" s="19" t="n"/>
    </row>
    <row r="5758">
      <c r="C5758" s="18" t="n"/>
      <c r="J5758" s="19" t="n"/>
      <c r="P5758" s="20" t="n"/>
      <c r="Q5758" s="19" t="n"/>
      <c r="R5758" s="19" t="n"/>
      <c r="Y5758" s="19" t="n"/>
    </row>
    <row r="5759">
      <c r="C5759" s="18" t="n"/>
      <c r="J5759" s="19" t="n"/>
      <c r="P5759" s="20" t="n"/>
      <c r="Q5759" s="19" t="n"/>
      <c r="R5759" s="19" t="n"/>
      <c r="Y5759" s="19" t="n"/>
    </row>
    <row r="5760">
      <c r="C5760" s="18" t="n"/>
      <c r="J5760" s="19" t="n"/>
      <c r="P5760" s="20" t="n"/>
      <c r="Q5760" s="19" t="n"/>
      <c r="R5760" s="19" t="n"/>
      <c r="Y5760" s="19" t="n"/>
    </row>
    <row r="5761">
      <c r="C5761" s="18" t="n"/>
      <c r="J5761" s="19" t="n"/>
      <c r="P5761" s="20" t="n"/>
      <c r="Q5761" s="19" t="n"/>
      <c r="R5761" s="19" t="n"/>
      <c r="Y5761" s="19" t="n"/>
    </row>
    <row r="5762">
      <c r="C5762" s="18" t="n"/>
      <c r="J5762" s="19" t="n"/>
      <c r="P5762" s="20" t="n"/>
      <c r="Q5762" s="19" t="n"/>
      <c r="R5762" s="19" t="n"/>
      <c r="Y5762" s="19" t="n"/>
    </row>
    <row r="5763">
      <c r="C5763" s="18" t="n"/>
      <c r="J5763" s="19" t="n"/>
      <c r="P5763" s="20" t="n"/>
      <c r="Q5763" s="19" t="n"/>
      <c r="R5763" s="19" t="n"/>
      <c r="Y5763" s="19" t="n"/>
    </row>
    <row r="5764">
      <c r="C5764" s="18" t="n"/>
      <c r="J5764" s="19" t="n"/>
      <c r="P5764" s="20" t="n"/>
      <c r="Q5764" s="19" t="n"/>
      <c r="R5764" s="19" t="n"/>
      <c r="Y5764" s="19" t="n"/>
    </row>
    <row r="5765">
      <c r="C5765" s="18" t="n"/>
      <c r="J5765" s="19" t="n"/>
      <c r="P5765" s="20" t="n"/>
      <c r="Q5765" s="19" t="n"/>
      <c r="R5765" s="19" t="n"/>
      <c r="Y5765" s="19" t="n"/>
    </row>
    <row r="5766">
      <c r="C5766" s="18" t="n"/>
      <c r="J5766" s="19" t="n"/>
      <c r="P5766" s="20" t="n"/>
      <c r="Q5766" s="19" t="n"/>
      <c r="R5766" s="19" t="n"/>
      <c r="Y5766" s="19" t="n"/>
    </row>
    <row r="5767">
      <c r="C5767" s="18" t="n"/>
      <c r="J5767" s="19" t="n"/>
      <c r="P5767" s="20" t="n"/>
      <c r="Q5767" s="19" t="n"/>
      <c r="R5767" s="19" t="n"/>
      <c r="Y5767" s="19" t="n"/>
    </row>
    <row r="5768">
      <c r="C5768" s="18" t="n"/>
      <c r="J5768" s="19" t="n"/>
      <c r="P5768" s="20" t="n"/>
      <c r="Q5768" s="19" t="n"/>
      <c r="R5768" s="19" t="n"/>
      <c r="Y5768" s="19" t="n"/>
    </row>
    <row r="5769">
      <c r="C5769" s="18" t="n"/>
      <c r="J5769" s="19" t="n"/>
      <c r="P5769" s="20" t="n"/>
      <c r="Q5769" s="19" t="n"/>
      <c r="R5769" s="19" t="n"/>
      <c r="Y5769" s="19" t="n"/>
    </row>
    <row r="5770">
      <c r="C5770" s="18" t="n"/>
      <c r="J5770" s="19" t="n"/>
      <c r="P5770" s="20" t="n"/>
      <c r="Q5770" s="19" t="n"/>
      <c r="R5770" s="19" t="n"/>
      <c r="Y5770" s="19" t="n"/>
    </row>
    <row r="5771">
      <c r="C5771" s="18" t="n"/>
      <c r="J5771" s="19" t="n"/>
      <c r="P5771" s="20" t="n"/>
      <c r="Q5771" s="19" t="n"/>
      <c r="R5771" s="19" t="n"/>
      <c r="Y5771" s="19" t="n"/>
    </row>
    <row r="5772">
      <c r="C5772" s="18" t="n"/>
      <c r="J5772" s="19" t="n"/>
      <c r="P5772" s="20" t="n"/>
      <c r="Q5772" s="19" t="n"/>
      <c r="R5772" s="19" t="n"/>
      <c r="Y5772" s="19" t="n"/>
    </row>
    <row r="5773">
      <c r="C5773" s="18" t="n"/>
      <c r="J5773" s="19" t="n"/>
      <c r="P5773" s="20" t="n"/>
      <c r="Q5773" s="19" t="n"/>
      <c r="R5773" s="19" t="n"/>
      <c r="Y5773" s="19" t="n"/>
    </row>
    <row r="5774">
      <c r="C5774" s="18" t="n"/>
      <c r="J5774" s="19" t="n"/>
      <c r="P5774" s="20" t="n"/>
      <c r="Q5774" s="19" t="n"/>
      <c r="R5774" s="19" t="n"/>
      <c r="Y5774" s="19" t="n"/>
    </row>
    <row r="5775">
      <c r="C5775" s="18" t="n"/>
      <c r="J5775" s="19" t="n"/>
      <c r="P5775" s="20" t="n"/>
      <c r="Q5775" s="19" t="n"/>
      <c r="R5775" s="19" t="n"/>
      <c r="Y5775" s="19" t="n"/>
    </row>
    <row r="5776">
      <c r="C5776" s="18" t="n"/>
      <c r="J5776" s="19" t="n"/>
      <c r="P5776" s="20" t="n"/>
      <c r="Q5776" s="19" t="n"/>
      <c r="R5776" s="19" t="n"/>
      <c r="Y5776" s="19" t="n"/>
    </row>
    <row r="5777">
      <c r="C5777" s="18" t="n"/>
      <c r="J5777" s="19" t="n"/>
      <c r="P5777" s="20" t="n"/>
      <c r="Q5777" s="19" t="n"/>
      <c r="R5777" s="19" t="n"/>
      <c r="Y5777" s="19" t="n"/>
    </row>
    <row r="5778">
      <c r="C5778" s="18" t="n"/>
      <c r="J5778" s="19" t="n"/>
      <c r="P5778" s="20" t="n"/>
      <c r="Q5778" s="19" t="n"/>
      <c r="R5778" s="19" t="n"/>
      <c r="Y5778" s="19" t="n"/>
    </row>
    <row r="5779">
      <c r="C5779" s="18" t="n"/>
      <c r="J5779" s="19" t="n"/>
      <c r="P5779" s="20" t="n"/>
      <c r="Q5779" s="19" t="n"/>
      <c r="R5779" s="19" t="n"/>
      <c r="Y5779" s="19" t="n"/>
    </row>
    <row r="5780">
      <c r="C5780" s="18" t="n"/>
      <c r="J5780" s="19" t="n"/>
      <c r="P5780" s="20" t="n"/>
      <c r="Q5780" s="19" t="n"/>
      <c r="R5780" s="19" t="n"/>
      <c r="Y5780" s="19" t="n"/>
    </row>
    <row r="5781">
      <c r="C5781" s="18" t="n"/>
      <c r="J5781" s="19" t="n"/>
      <c r="P5781" s="20" t="n"/>
      <c r="Q5781" s="19" t="n"/>
      <c r="R5781" s="19" t="n"/>
      <c r="Y5781" s="19" t="n"/>
    </row>
    <row r="5782">
      <c r="C5782" s="18" t="n"/>
      <c r="J5782" s="19" t="n"/>
      <c r="P5782" s="20" t="n"/>
      <c r="Q5782" s="19" t="n"/>
      <c r="R5782" s="19" t="n"/>
      <c r="Y5782" s="19" t="n"/>
    </row>
    <row r="5783">
      <c r="C5783" s="18" t="n"/>
      <c r="J5783" s="19" t="n"/>
      <c r="P5783" s="20" t="n"/>
      <c r="Q5783" s="19" t="n"/>
      <c r="R5783" s="19" t="n"/>
      <c r="Y5783" s="19" t="n"/>
    </row>
    <row r="5784">
      <c r="C5784" s="18" t="n"/>
      <c r="J5784" s="19" t="n"/>
      <c r="P5784" s="20" t="n"/>
      <c r="Q5784" s="19" t="n"/>
      <c r="R5784" s="19" t="n"/>
      <c r="Y5784" s="19" t="n"/>
    </row>
    <row r="5785">
      <c r="C5785" s="18" t="n"/>
      <c r="J5785" s="19" t="n"/>
      <c r="P5785" s="20" t="n"/>
      <c r="Q5785" s="19" t="n"/>
      <c r="R5785" s="19" t="n"/>
      <c r="Y5785" s="19" t="n"/>
    </row>
    <row r="5786">
      <c r="C5786" s="18" t="n"/>
      <c r="J5786" s="19" t="n"/>
      <c r="P5786" s="20" t="n"/>
      <c r="Q5786" s="19" t="n"/>
      <c r="R5786" s="19" t="n"/>
      <c r="Y5786" s="19" t="n"/>
    </row>
    <row r="5787">
      <c r="C5787" s="18" t="n"/>
      <c r="J5787" s="19" t="n"/>
      <c r="P5787" s="20" t="n"/>
      <c r="Q5787" s="19" t="n"/>
      <c r="R5787" s="19" t="n"/>
      <c r="Y5787" s="19" t="n"/>
    </row>
    <row r="5788">
      <c r="C5788" s="18" t="n"/>
      <c r="J5788" s="19" t="n"/>
      <c r="P5788" s="20" t="n"/>
      <c r="Q5788" s="19" t="n"/>
      <c r="R5788" s="19" t="n"/>
      <c r="Y5788" s="19" t="n"/>
    </row>
    <row r="5789">
      <c r="C5789" s="18" t="n"/>
      <c r="J5789" s="19" t="n"/>
      <c r="P5789" s="20" t="n"/>
      <c r="Q5789" s="19" t="n"/>
      <c r="R5789" s="19" t="n"/>
      <c r="Y5789" s="19" t="n"/>
    </row>
    <row r="5790">
      <c r="C5790" s="18" t="n"/>
      <c r="J5790" s="19" t="n"/>
      <c r="P5790" s="20" t="n"/>
      <c r="Q5790" s="19" t="n"/>
      <c r="R5790" s="19" t="n"/>
      <c r="Y5790" s="19" t="n"/>
    </row>
    <row r="5791">
      <c r="C5791" s="18" t="n"/>
      <c r="J5791" s="19" t="n"/>
      <c r="P5791" s="20" t="n"/>
      <c r="Q5791" s="19" t="n"/>
      <c r="R5791" s="19" t="n"/>
      <c r="Y5791" s="19" t="n"/>
    </row>
    <row r="5792">
      <c r="C5792" s="18" t="n"/>
      <c r="J5792" s="19" t="n"/>
      <c r="P5792" s="20" t="n"/>
      <c r="Q5792" s="19" t="n"/>
      <c r="R5792" s="19" t="n"/>
      <c r="Y5792" s="19" t="n"/>
    </row>
    <row r="5793">
      <c r="C5793" s="18" t="n"/>
      <c r="J5793" s="19" t="n"/>
      <c r="P5793" s="20" t="n"/>
      <c r="Q5793" s="19" t="n"/>
      <c r="R5793" s="19" t="n"/>
      <c r="Y5793" s="19" t="n"/>
    </row>
    <row r="5794">
      <c r="C5794" s="18" t="n"/>
      <c r="J5794" s="19" t="n"/>
      <c r="P5794" s="20" t="n"/>
      <c r="Q5794" s="19" t="n"/>
      <c r="R5794" s="19" t="n"/>
      <c r="Y5794" s="19" t="n"/>
    </row>
    <row r="5795">
      <c r="C5795" s="18" t="n"/>
      <c r="J5795" s="19" t="n"/>
      <c r="P5795" s="20" t="n"/>
      <c r="Q5795" s="19" t="n"/>
      <c r="R5795" s="19" t="n"/>
      <c r="Y5795" s="19" t="n"/>
    </row>
    <row r="5796">
      <c r="C5796" s="18" t="n"/>
      <c r="J5796" s="19" t="n"/>
      <c r="P5796" s="20" t="n"/>
      <c r="Q5796" s="19" t="n"/>
      <c r="R5796" s="19" t="n"/>
      <c r="Y5796" s="19" t="n"/>
    </row>
    <row r="5797">
      <c r="C5797" s="18" t="n"/>
      <c r="J5797" s="19" t="n"/>
      <c r="P5797" s="20" t="n"/>
      <c r="Q5797" s="19" t="n"/>
      <c r="R5797" s="19" t="n"/>
      <c r="Y5797" s="19" t="n"/>
    </row>
    <row r="5798">
      <c r="C5798" s="18" t="n"/>
      <c r="J5798" s="19" t="n"/>
      <c r="P5798" s="20" t="n"/>
      <c r="Q5798" s="19" t="n"/>
      <c r="R5798" s="19" t="n"/>
      <c r="Y5798" s="19" t="n"/>
    </row>
    <row r="5799">
      <c r="C5799" s="18" t="n"/>
      <c r="J5799" s="19" t="n"/>
      <c r="P5799" s="20" t="n"/>
      <c r="Q5799" s="19" t="n"/>
      <c r="R5799" s="19" t="n"/>
      <c r="Y5799" s="19" t="n"/>
    </row>
    <row r="5800">
      <c r="C5800" s="18" t="n"/>
      <c r="J5800" s="19" t="n"/>
      <c r="P5800" s="20" t="n"/>
      <c r="Q5800" s="19" t="n"/>
      <c r="R5800" s="19" t="n"/>
      <c r="Y5800" s="19" t="n"/>
    </row>
    <row r="5801">
      <c r="C5801" s="18" t="n"/>
      <c r="J5801" s="19" t="n"/>
      <c r="P5801" s="20" t="n"/>
      <c r="Q5801" s="19" t="n"/>
      <c r="R5801" s="19" t="n"/>
      <c r="Y5801" s="19" t="n"/>
    </row>
    <row r="5802">
      <c r="C5802" s="18" t="n"/>
      <c r="J5802" s="19" t="n"/>
      <c r="P5802" s="20" t="n"/>
      <c r="Q5802" s="19" t="n"/>
      <c r="R5802" s="19" t="n"/>
      <c r="Y5802" s="19" t="n"/>
    </row>
    <row r="5803">
      <c r="C5803" s="18" t="n"/>
      <c r="J5803" s="19" t="n"/>
      <c r="P5803" s="20" t="n"/>
      <c r="Q5803" s="19" t="n"/>
      <c r="R5803" s="19" t="n"/>
      <c r="Y5803" s="19" t="n"/>
    </row>
    <row r="5804">
      <c r="C5804" s="18" t="n"/>
      <c r="J5804" s="19" t="n"/>
      <c r="P5804" s="20" t="n"/>
      <c r="Q5804" s="19" t="n"/>
      <c r="R5804" s="19" t="n"/>
      <c r="Y5804" s="19" t="n"/>
    </row>
    <row r="5805">
      <c r="C5805" s="18" t="n"/>
      <c r="J5805" s="19" t="n"/>
      <c r="P5805" s="20" t="n"/>
      <c r="Q5805" s="19" t="n"/>
      <c r="R5805" s="19" t="n"/>
      <c r="Y5805" s="19" t="n"/>
    </row>
    <row r="5806">
      <c r="C5806" s="18" t="n"/>
      <c r="J5806" s="19" t="n"/>
      <c r="P5806" s="20" t="n"/>
      <c r="Q5806" s="19" t="n"/>
      <c r="R5806" s="19" t="n"/>
      <c r="Y5806" s="19" t="n"/>
    </row>
    <row r="5807">
      <c r="C5807" s="18" t="n"/>
      <c r="J5807" s="19" t="n"/>
      <c r="P5807" s="20" t="n"/>
      <c r="Q5807" s="19" t="n"/>
      <c r="R5807" s="19" t="n"/>
      <c r="Y5807" s="19" t="n"/>
    </row>
    <row r="5808">
      <c r="C5808" s="18" t="n"/>
      <c r="J5808" s="19" t="n"/>
      <c r="P5808" s="20" t="n"/>
      <c r="Q5808" s="19" t="n"/>
      <c r="R5808" s="19" t="n"/>
      <c r="Y5808" s="19" t="n"/>
    </row>
    <row r="5809">
      <c r="C5809" s="18" t="n"/>
      <c r="J5809" s="19" t="n"/>
      <c r="P5809" s="20" t="n"/>
      <c r="Q5809" s="19" t="n"/>
      <c r="R5809" s="19" t="n"/>
      <c r="Y5809" s="19" t="n"/>
    </row>
    <row r="5810">
      <c r="C5810" s="18" t="n"/>
      <c r="J5810" s="19" t="n"/>
      <c r="P5810" s="20" t="n"/>
      <c r="Q5810" s="19" t="n"/>
      <c r="R5810" s="19" t="n"/>
      <c r="Y5810" s="19" t="n"/>
    </row>
    <row r="5811">
      <c r="C5811" s="18" t="n"/>
      <c r="J5811" s="19" t="n"/>
      <c r="P5811" s="20" t="n"/>
      <c r="Q5811" s="19" t="n"/>
      <c r="R5811" s="19" t="n"/>
      <c r="Y5811" s="19" t="n"/>
    </row>
    <row r="5812">
      <c r="C5812" s="18" t="n"/>
      <c r="J5812" s="19" t="n"/>
      <c r="P5812" s="20" t="n"/>
      <c r="Q5812" s="19" t="n"/>
      <c r="R5812" s="19" t="n"/>
      <c r="Y5812" s="19" t="n"/>
    </row>
    <row r="5813">
      <c r="C5813" s="18" t="n"/>
      <c r="J5813" s="19" t="n"/>
      <c r="P5813" s="20" t="n"/>
      <c r="Q5813" s="19" t="n"/>
      <c r="R5813" s="19" t="n"/>
      <c r="Y5813" s="19" t="n"/>
    </row>
    <row r="5814">
      <c r="C5814" s="18" t="n"/>
      <c r="J5814" s="19" t="n"/>
      <c r="P5814" s="20" t="n"/>
      <c r="Q5814" s="19" t="n"/>
      <c r="R5814" s="19" t="n"/>
      <c r="Y5814" s="19" t="n"/>
    </row>
    <row r="5815">
      <c r="C5815" s="18" t="n"/>
      <c r="J5815" s="19" t="n"/>
      <c r="P5815" s="20" t="n"/>
      <c r="Q5815" s="19" t="n"/>
      <c r="R5815" s="19" t="n"/>
      <c r="Y5815" s="19" t="n"/>
    </row>
    <row r="5816">
      <c r="C5816" s="18" t="n"/>
      <c r="J5816" s="19" t="n"/>
      <c r="P5816" s="20" t="n"/>
      <c r="Q5816" s="19" t="n"/>
      <c r="R5816" s="19" t="n"/>
      <c r="Y5816" s="19" t="n"/>
    </row>
    <row r="5817">
      <c r="C5817" s="18" t="n"/>
      <c r="J5817" s="19" t="n"/>
      <c r="P5817" s="20" t="n"/>
      <c r="Q5817" s="19" t="n"/>
      <c r="R5817" s="19" t="n"/>
      <c r="Y5817" s="19" t="n"/>
    </row>
    <row r="5818">
      <c r="C5818" s="18" t="n"/>
      <c r="J5818" s="19" t="n"/>
      <c r="P5818" s="20" t="n"/>
      <c r="Q5818" s="19" t="n"/>
      <c r="R5818" s="19" t="n"/>
      <c r="Y5818" s="19" t="n"/>
    </row>
    <row r="5819">
      <c r="C5819" s="18" t="n"/>
      <c r="J5819" s="19" t="n"/>
      <c r="P5819" s="20" t="n"/>
      <c r="Q5819" s="19" t="n"/>
      <c r="R5819" s="19" t="n"/>
      <c r="Y5819" s="19" t="n"/>
    </row>
    <row r="5820">
      <c r="C5820" s="18" t="n"/>
      <c r="J5820" s="19" t="n"/>
      <c r="P5820" s="20" t="n"/>
      <c r="Q5820" s="19" t="n"/>
      <c r="R5820" s="19" t="n"/>
      <c r="Y5820" s="19" t="n"/>
    </row>
    <row r="5821">
      <c r="C5821" s="18" t="n"/>
      <c r="J5821" s="19" t="n"/>
      <c r="P5821" s="20" t="n"/>
      <c r="Q5821" s="19" t="n"/>
      <c r="R5821" s="19" t="n"/>
      <c r="Y5821" s="19" t="n"/>
    </row>
    <row r="5822">
      <c r="C5822" s="18" t="n"/>
      <c r="J5822" s="19" t="n"/>
      <c r="P5822" s="20" t="n"/>
      <c r="Q5822" s="19" t="n"/>
      <c r="R5822" s="19" t="n"/>
      <c r="Y5822" s="19" t="n"/>
    </row>
    <row r="5823">
      <c r="C5823" s="18" t="n"/>
      <c r="J5823" s="19" t="n"/>
      <c r="P5823" s="20" t="n"/>
      <c r="Q5823" s="19" t="n"/>
      <c r="R5823" s="19" t="n"/>
      <c r="Y5823" s="19" t="n"/>
    </row>
    <row r="5824">
      <c r="C5824" s="18" t="n"/>
      <c r="J5824" s="19" t="n"/>
      <c r="P5824" s="20" t="n"/>
      <c r="Q5824" s="19" t="n"/>
      <c r="R5824" s="19" t="n"/>
      <c r="Y5824" s="19" t="n"/>
    </row>
    <row r="5825">
      <c r="C5825" s="18" t="n"/>
      <c r="J5825" s="19" t="n"/>
      <c r="P5825" s="20" t="n"/>
      <c r="Q5825" s="19" t="n"/>
      <c r="R5825" s="19" t="n"/>
      <c r="Y5825" s="19" t="n"/>
    </row>
    <row r="5826">
      <c r="C5826" s="18" t="n"/>
      <c r="J5826" s="19" t="n"/>
      <c r="P5826" s="20" t="n"/>
      <c r="Q5826" s="19" t="n"/>
      <c r="R5826" s="19" t="n"/>
      <c r="Y5826" s="19" t="n"/>
    </row>
    <row r="5827">
      <c r="C5827" s="18" t="n"/>
      <c r="J5827" s="19" t="n"/>
      <c r="P5827" s="20" t="n"/>
      <c r="Q5827" s="19" t="n"/>
      <c r="R5827" s="19" t="n"/>
      <c r="Y5827" s="19" t="n"/>
    </row>
    <row r="5828">
      <c r="C5828" s="18" t="n"/>
      <c r="J5828" s="19" t="n"/>
      <c r="P5828" s="20" t="n"/>
      <c r="Q5828" s="19" t="n"/>
      <c r="R5828" s="19" t="n"/>
      <c r="Y5828" s="19" t="n"/>
    </row>
    <row r="5829">
      <c r="C5829" s="18" t="n"/>
      <c r="J5829" s="19" t="n"/>
      <c r="P5829" s="20" t="n"/>
      <c r="Q5829" s="19" t="n"/>
      <c r="R5829" s="19" t="n"/>
      <c r="Y5829" s="19" t="n"/>
    </row>
    <row r="5830">
      <c r="C5830" s="18" t="n"/>
      <c r="J5830" s="19" t="n"/>
      <c r="P5830" s="20" t="n"/>
      <c r="Q5830" s="19" t="n"/>
      <c r="R5830" s="19" t="n"/>
      <c r="Y5830" s="19" t="n"/>
    </row>
    <row r="5831">
      <c r="C5831" s="18" t="n"/>
      <c r="J5831" s="19" t="n"/>
      <c r="P5831" s="20" t="n"/>
      <c r="Q5831" s="19" t="n"/>
      <c r="R5831" s="19" t="n"/>
      <c r="Y5831" s="19" t="n"/>
    </row>
    <row r="5832">
      <c r="C5832" s="18" t="n"/>
      <c r="J5832" s="19" t="n"/>
      <c r="P5832" s="20" t="n"/>
      <c r="Q5832" s="19" t="n"/>
      <c r="R5832" s="19" t="n"/>
      <c r="Y5832" s="19" t="n"/>
    </row>
    <row r="5833">
      <c r="C5833" s="18" t="n"/>
      <c r="J5833" s="19" t="n"/>
      <c r="P5833" s="20" t="n"/>
      <c r="Q5833" s="19" t="n"/>
      <c r="R5833" s="19" t="n"/>
      <c r="Y5833" s="19" t="n"/>
    </row>
    <row r="5834">
      <c r="C5834" s="18" t="n"/>
      <c r="J5834" s="19" t="n"/>
      <c r="P5834" s="20" t="n"/>
      <c r="Q5834" s="19" t="n"/>
      <c r="R5834" s="19" t="n"/>
      <c r="Y5834" s="19" t="n"/>
    </row>
    <row r="5835">
      <c r="C5835" s="18" t="n"/>
      <c r="J5835" s="19" t="n"/>
      <c r="P5835" s="20" t="n"/>
      <c r="Q5835" s="19" t="n"/>
      <c r="R5835" s="19" t="n"/>
      <c r="Y5835" s="19" t="n"/>
    </row>
    <row r="5836">
      <c r="C5836" s="18" t="n"/>
      <c r="J5836" s="19" t="n"/>
      <c r="P5836" s="20" t="n"/>
      <c r="Q5836" s="19" t="n"/>
      <c r="R5836" s="19" t="n"/>
      <c r="Y5836" s="19" t="n"/>
    </row>
    <row r="5837">
      <c r="C5837" s="18" t="n"/>
      <c r="J5837" s="19" t="n"/>
      <c r="P5837" s="20" t="n"/>
      <c r="Q5837" s="19" t="n"/>
      <c r="R5837" s="19" t="n"/>
      <c r="Y5837" s="19" t="n"/>
    </row>
    <row r="5838">
      <c r="C5838" s="18" t="n"/>
      <c r="J5838" s="19" t="n"/>
      <c r="P5838" s="20" t="n"/>
      <c r="Q5838" s="19" t="n"/>
      <c r="R5838" s="19" t="n"/>
      <c r="Y5838" s="19" t="n"/>
    </row>
    <row r="5839">
      <c r="C5839" s="18" t="n"/>
      <c r="J5839" s="19" t="n"/>
      <c r="P5839" s="20" t="n"/>
      <c r="Q5839" s="19" t="n"/>
      <c r="R5839" s="19" t="n"/>
      <c r="Y5839" s="19" t="n"/>
    </row>
    <row r="5840">
      <c r="C5840" s="18" t="n"/>
      <c r="J5840" s="19" t="n"/>
      <c r="P5840" s="20" t="n"/>
      <c r="Q5840" s="19" t="n"/>
      <c r="R5840" s="19" t="n"/>
      <c r="Y5840" s="19" t="n"/>
    </row>
    <row r="5841">
      <c r="C5841" s="18" t="n"/>
      <c r="J5841" s="19" t="n"/>
      <c r="P5841" s="20" t="n"/>
      <c r="Q5841" s="19" t="n"/>
      <c r="R5841" s="19" t="n"/>
      <c r="Y5841" s="19" t="n"/>
    </row>
    <row r="5842">
      <c r="C5842" s="18" t="n"/>
      <c r="J5842" s="19" t="n"/>
      <c r="P5842" s="20" t="n"/>
      <c r="Q5842" s="19" t="n"/>
      <c r="R5842" s="19" t="n"/>
      <c r="Y5842" s="19" t="n"/>
    </row>
    <row r="5843">
      <c r="C5843" s="18" t="n"/>
      <c r="J5843" s="19" t="n"/>
      <c r="P5843" s="20" t="n"/>
      <c r="Q5843" s="19" t="n"/>
      <c r="R5843" s="19" t="n"/>
      <c r="Y5843" s="19" t="n"/>
    </row>
    <row r="5844">
      <c r="C5844" s="18" t="n"/>
      <c r="J5844" s="19" t="n"/>
      <c r="P5844" s="20" t="n"/>
      <c r="Q5844" s="19" t="n"/>
      <c r="R5844" s="19" t="n"/>
      <c r="Y5844" s="19" t="n"/>
    </row>
    <row r="5845">
      <c r="C5845" s="18" t="n"/>
      <c r="J5845" s="19" t="n"/>
      <c r="P5845" s="20" t="n"/>
      <c r="Q5845" s="19" t="n"/>
      <c r="R5845" s="19" t="n"/>
      <c r="Y5845" s="19" t="n"/>
    </row>
    <row r="5846">
      <c r="C5846" s="18" t="n"/>
      <c r="J5846" s="19" t="n"/>
      <c r="P5846" s="20" t="n"/>
      <c r="Q5846" s="19" t="n"/>
      <c r="R5846" s="19" t="n"/>
      <c r="Y5846" s="19" t="n"/>
    </row>
    <row r="5847">
      <c r="C5847" s="18" t="n"/>
      <c r="J5847" s="19" t="n"/>
      <c r="P5847" s="20" t="n"/>
      <c r="Q5847" s="19" t="n"/>
      <c r="R5847" s="19" t="n"/>
      <c r="Y5847" s="19" t="n"/>
    </row>
    <row r="5848">
      <c r="C5848" s="18" t="n"/>
      <c r="J5848" s="19" t="n"/>
      <c r="P5848" s="20" t="n"/>
      <c r="Q5848" s="19" t="n"/>
      <c r="R5848" s="19" t="n"/>
      <c r="Y5848" s="19" t="n"/>
    </row>
    <row r="5849">
      <c r="C5849" s="18" t="n"/>
      <c r="J5849" s="19" t="n"/>
      <c r="P5849" s="20" t="n"/>
      <c r="Q5849" s="19" t="n"/>
      <c r="R5849" s="19" t="n"/>
      <c r="Y5849" s="19" t="n"/>
    </row>
    <row r="5850">
      <c r="C5850" s="18" t="n"/>
      <c r="J5850" s="19" t="n"/>
      <c r="P5850" s="20" t="n"/>
      <c r="Q5850" s="19" t="n"/>
      <c r="R5850" s="19" t="n"/>
      <c r="Y5850" s="19" t="n"/>
    </row>
    <row r="5851">
      <c r="C5851" s="18" t="n"/>
      <c r="J5851" s="19" t="n"/>
      <c r="P5851" s="20" t="n"/>
      <c r="Q5851" s="19" t="n"/>
      <c r="R5851" s="19" t="n"/>
      <c r="Y5851" s="19" t="n"/>
    </row>
    <row r="5852">
      <c r="C5852" s="18" t="n"/>
      <c r="J5852" s="19" t="n"/>
      <c r="P5852" s="20" t="n"/>
      <c r="Q5852" s="19" t="n"/>
      <c r="R5852" s="19" t="n"/>
      <c r="Y5852" s="19" t="n"/>
    </row>
    <row r="5853">
      <c r="C5853" s="18" t="n"/>
      <c r="J5853" s="19" t="n"/>
      <c r="P5853" s="20" t="n"/>
      <c r="Q5853" s="19" t="n"/>
      <c r="R5853" s="19" t="n"/>
      <c r="Y5853" s="19" t="n"/>
    </row>
    <row r="5854">
      <c r="C5854" s="18" t="n"/>
      <c r="J5854" s="19" t="n"/>
      <c r="P5854" s="20" t="n"/>
      <c r="Q5854" s="19" t="n"/>
      <c r="R5854" s="19" t="n"/>
      <c r="Y5854" s="19" t="n"/>
    </row>
    <row r="5855">
      <c r="C5855" s="18" t="n"/>
      <c r="J5855" s="19" t="n"/>
      <c r="P5855" s="20" t="n"/>
      <c r="Q5855" s="19" t="n"/>
      <c r="R5855" s="19" t="n"/>
      <c r="Y5855" s="19" t="n"/>
    </row>
    <row r="5856">
      <c r="C5856" s="18" t="n"/>
      <c r="J5856" s="19" t="n"/>
      <c r="P5856" s="20" t="n"/>
      <c r="Q5856" s="19" t="n"/>
      <c r="R5856" s="19" t="n"/>
      <c r="Y5856" s="19" t="n"/>
    </row>
    <row r="5857">
      <c r="C5857" s="18" t="n"/>
      <c r="J5857" s="19" t="n"/>
      <c r="P5857" s="20" t="n"/>
      <c r="Q5857" s="19" t="n"/>
      <c r="R5857" s="19" t="n"/>
      <c r="Y5857" s="19" t="n"/>
    </row>
    <row r="5858">
      <c r="C5858" s="18" t="n"/>
      <c r="J5858" s="19" t="n"/>
      <c r="P5858" s="20" t="n"/>
      <c r="Q5858" s="19" t="n"/>
      <c r="R5858" s="19" t="n"/>
      <c r="Y5858" s="19" t="n"/>
    </row>
    <row r="5859">
      <c r="C5859" s="18" t="n"/>
      <c r="J5859" s="19" t="n"/>
      <c r="P5859" s="20" t="n"/>
      <c r="Q5859" s="19" t="n"/>
      <c r="R5859" s="19" t="n"/>
      <c r="Y5859" s="19" t="n"/>
    </row>
    <row r="5860">
      <c r="C5860" s="18" t="n"/>
      <c r="J5860" s="19" t="n"/>
      <c r="P5860" s="20" t="n"/>
      <c r="Q5860" s="19" t="n"/>
      <c r="R5860" s="19" t="n"/>
      <c r="Y5860" s="19" t="n"/>
    </row>
    <row r="5861">
      <c r="C5861" s="18" t="n"/>
      <c r="J5861" s="19" t="n"/>
      <c r="P5861" s="20" t="n"/>
      <c r="Q5861" s="19" t="n"/>
      <c r="R5861" s="19" t="n"/>
      <c r="Y5861" s="19" t="n"/>
    </row>
    <row r="5862">
      <c r="C5862" s="18" t="n"/>
      <c r="J5862" s="19" t="n"/>
      <c r="P5862" s="20" t="n"/>
      <c r="Q5862" s="19" t="n"/>
      <c r="R5862" s="19" t="n"/>
      <c r="Y5862" s="19" t="n"/>
    </row>
    <row r="5863">
      <c r="C5863" s="18" t="n"/>
      <c r="J5863" s="19" t="n"/>
      <c r="P5863" s="20" t="n"/>
      <c r="Q5863" s="19" t="n"/>
      <c r="R5863" s="19" t="n"/>
      <c r="Y5863" s="19" t="n"/>
    </row>
    <row r="5864">
      <c r="C5864" s="18" t="n"/>
      <c r="J5864" s="19" t="n"/>
      <c r="P5864" s="20" t="n"/>
      <c r="Q5864" s="19" t="n"/>
      <c r="R5864" s="19" t="n"/>
      <c r="Y5864" s="19" t="n"/>
    </row>
    <row r="5865">
      <c r="C5865" s="18" t="n"/>
      <c r="J5865" s="19" t="n"/>
      <c r="P5865" s="20" t="n"/>
      <c r="Q5865" s="19" t="n"/>
      <c r="R5865" s="19" t="n"/>
      <c r="Y5865" s="19" t="n"/>
    </row>
    <row r="5866">
      <c r="C5866" s="18" t="n"/>
      <c r="J5866" s="19" t="n"/>
      <c r="P5866" s="20" t="n"/>
      <c r="Q5866" s="19" t="n"/>
      <c r="R5866" s="19" t="n"/>
      <c r="Y5866" s="19" t="n"/>
    </row>
    <row r="5867">
      <c r="C5867" s="18" t="n"/>
      <c r="J5867" s="19" t="n"/>
      <c r="P5867" s="20" t="n"/>
      <c r="Q5867" s="19" t="n"/>
      <c r="R5867" s="19" t="n"/>
      <c r="Y5867" s="19" t="n"/>
    </row>
    <row r="5868">
      <c r="C5868" s="18" t="n"/>
      <c r="J5868" s="19" t="n"/>
      <c r="P5868" s="20" t="n"/>
      <c r="Q5868" s="19" t="n"/>
      <c r="R5868" s="19" t="n"/>
      <c r="Y5868" s="19" t="n"/>
    </row>
    <row r="5869">
      <c r="C5869" s="18" t="n"/>
      <c r="J5869" s="19" t="n"/>
      <c r="P5869" s="20" t="n"/>
      <c r="Q5869" s="19" t="n"/>
      <c r="R5869" s="19" t="n"/>
      <c r="Y5869" s="19" t="n"/>
    </row>
    <row r="5870">
      <c r="C5870" s="18" t="n"/>
      <c r="J5870" s="19" t="n"/>
      <c r="P5870" s="20" t="n"/>
      <c r="Q5870" s="19" t="n"/>
      <c r="R5870" s="19" t="n"/>
      <c r="Y5870" s="19" t="n"/>
    </row>
    <row r="5871">
      <c r="C5871" s="18" t="n"/>
      <c r="J5871" s="19" t="n"/>
      <c r="P5871" s="20" t="n"/>
      <c r="Q5871" s="19" t="n"/>
      <c r="R5871" s="19" t="n"/>
      <c r="Y5871" s="19" t="n"/>
    </row>
    <row r="5872">
      <c r="C5872" s="18" t="n"/>
      <c r="J5872" s="19" t="n"/>
      <c r="P5872" s="20" t="n"/>
      <c r="Q5872" s="19" t="n"/>
      <c r="R5872" s="19" t="n"/>
      <c r="Y5872" s="19" t="n"/>
    </row>
    <row r="5873">
      <c r="C5873" s="18" t="n"/>
      <c r="J5873" s="19" t="n"/>
      <c r="P5873" s="20" t="n"/>
      <c r="Q5873" s="19" t="n"/>
      <c r="R5873" s="19" t="n"/>
      <c r="Y5873" s="19" t="n"/>
    </row>
    <row r="5874">
      <c r="C5874" s="18" t="n"/>
      <c r="J5874" s="19" t="n"/>
      <c r="P5874" s="20" t="n"/>
      <c r="Q5874" s="19" t="n"/>
      <c r="R5874" s="19" t="n"/>
      <c r="Y5874" s="19" t="n"/>
    </row>
    <row r="5875">
      <c r="C5875" s="18" t="n"/>
      <c r="J5875" s="19" t="n"/>
      <c r="P5875" s="20" t="n"/>
      <c r="Q5875" s="19" t="n"/>
      <c r="R5875" s="19" t="n"/>
      <c r="Y5875" s="19" t="n"/>
    </row>
    <row r="5876">
      <c r="C5876" s="18" t="n"/>
      <c r="J5876" s="19" t="n"/>
      <c r="P5876" s="20" t="n"/>
      <c r="Q5876" s="19" t="n"/>
      <c r="R5876" s="19" t="n"/>
      <c r="Y5876" s="19" t="n"/>
    </row>
    <row r="5877">
      <c r="C5877" s="18" t="n"/>
      <c r="J5877" s="19" t="n"/>
      <c r="P5877" s="20" t="n"/>
      <c r="Q5877" s="19" t="n"/>
      <c r="R5877" s="19" t="n"/>
      <c r="Y5877" s="19" t="n"/>
    </row>
    <row r="5878">
      <c r="C5878" s="18" t="n"/>
      <c r="J5878" s="19" t="n"/>
      <c r="P5878" s="20" t="n"/>
      <c r="Q5878" s="19" t="n"/>
      <c r="R5878" s="19" t="n"/>
      <c r="Y5878" s="19" t="n"/>
    </row>
    <row r="5879">
      <c r="C5879" s="18" t="n"/>
      <c r="J5879" s="19" t="n"/>
      <c r="P5879" s="20" t="n"/>
      <c r="Q5879" s="19" t="n"/>
      <c r="R5879" s="19" t="n"/>
      <c r="Y5879" s="19" t="n"/>
    </row>
    <row r="5880">
      <c r="C5880" s="18" t="n"/>
      <c r="J5880" s="19" t="n"/>
      <c r="P5880" s="20" t="n"/>
      <c r="Q5880" s="19" t="n"/>
      <c r="R5880" s="19" t="n"/>
      <c r="Y5880" s="19" t="n"/>
    </row>
    <row r="5881">
      <c r="C5881" s="18" t="n"/>
      <c r="J5881" s="19" t="n"/>
      <c r="P5881" s="20" t="n"/>
      <c r="Q5881" s="19" t="n"/>
      <c r="R5881" s="19" t="n"/>
      <c r="Y5881" s="19" t="n"/>
    </row>
    <row r="5882">
      <c r="C5882" s="18" t="n"/>
      <c r="J5882" s="19" t="n"/>
      <c r="P5882" s="20" t="n"/>
      <c r="Q5882" s="19" t="n"/>
      <c r="R5882" s="19" t="n"/>
      <c r="Y5882" s="19" t="n"/>
    </row>
    <row r="5883">
      <c r="C5883" s="18" t="n"/>
      <c r="J5883" s="19" t="n"/>
      <c r="P5883" s="20" t="n"/>
      <c r="Q5883" s="19" t="n"/>
      <c r="R5883" s="19" t="n"/>
      <c r="Y5883" s="19" t="n"/>
    </row>
    <row r="5884">
      <c r="C5884" s="18" t="n"/>
      <c r="J5884" s="19" t="n"/>
      <c r="P5884" s="20" t="n"/>
      <c r="Q5884" s="19" t="n"/>
      <c r="R5884" s="19" t="n"/>
      <c r="Y5884" s="19" t="n"/>
    </row>
    <row r="5885">
      <c r="C5885" s="18" t="n"/>
      <c r="J5885" s="19" t="n"/>
      <c r="P5885" s="20" t="n"/>
      <c r="Q5885" s="19" t="n"/>
      <c r="R5885" s="19" t="n"/>
      <c r="Y5885" s="19" t="n"/>
    </row>
    <row r="5886">
      <c r="C5886" s="18" t="n"/>
      <c r="J5886" s="19" t="n"/>
      <c r="P5886" s="20" t="n"/>
      <c r="Q5886" s="19" t="n"/>
      <c r="R5886" s="19" t="n"/>
      <c r="Y5886" s="19" t="n"/>
    </row>
    <row r="5887">
      <c r="C5887" s="18" t="n"/>
      <c r="J5887" s="19" t="n"/>
      <c r="P5887" s="20" t="n"/>
      <c r="Q5887" s="19" t="n"/>
      <c r="R5887" s="19" t="n"/>
      <c r="Y5887" s="19" t="n"/>
    </row>
    <row r="5888">
      <c r="C5888" s="18" t="n"/>
      <c r="J5888" s="19" t="n"/>
      <c r="P5888" s="20" t="n"/>
      <c r="Q5888" s="19" t="n"/>
      <c r="R5888" s="19" t="n"/>
      <c r="Y5888" s="19" t="n"/>
    </row>
    <row r="5889">
      <c r="C5889" s="18" t="n"/>
      <c r="J5889" s="19" t="n"/>
      <c r="P5889" s="20" t="n"/>
      <c r="Q5889" s="19" t="n"/>
      <c r="R5889" s="19" t="n"/>
      <c r="Y5889" s="19" t="n"/>
    </row>
    <row r="5890">
      <c r="C5890" s="18" t="n"/>
      <c r="J5890" s="19" t="n"/>
      <c r="P5890" s="20" t="n"/>
      <c r="Q5890" s="19" t="n"/>
      <c r="R5890" s="19" t="n"/>
      <c r="Y5890" s="19" t="n"/>
    </row>
    <row r="5891">
      <c r="C5891" s="18" t="n"/>
      <c r="J5891" s="19" t="n"/>
      <c r="P5891" s="20" t="n"/>
      <c r="Q5891" s="19" t="n"/>
      <c r="R5891" s="19" t="n"/>
      <c r="Y5891" s="19" t="n"/>
    </row>
    <row r="5892">
      <c r="C5892" s="18" t="n"/>
      <c r="J5892" s="19" t="n"/>
      <c r="P5892" s="20" t="n"/>
      <c r="Q5892" s="19" t="n"/>
      <c r="R5892" s="19" t="n"/>
      <c r="Y5892" s="19" t="n"/>
    </row>
    <row r="5893">
      <c r="C5893" s="18" t="n"/>
      <c r="J5893" s="19" t="n"/>
      <c r="P5893" s="20" t="n"/>
      <c r="Q5893" s="19" t="n"/>
      <c r="R5893" s="19" t="n"/>
      <c r="Y5893" s="19" t="n"/>
    </row>
    <row r="5894">
      <c r="C5894" s="18" t="n"/>
      <c r="J5894" s="19" t="n"/>
      <c r="P5894" s="20" t="n"/>
      <c r="Q5894" s="19" t="n"/>
      <c r="R5894" s="19" t="n"/>
      <c r="Y5894" s="19" t="n"/>
    </row>
    <row r="5895">
      <c r="C5895" s="18" t="n"/>
      <c r="J5895" s="19" t="n"/>
      <c r="P5895" s="20" t="n"/>
      <c r="Q5895" s="19" t="n"/>
      <c r="R5895" s="19" t="n"/>
      <c r="Y5895" s="19" t="n"/>
    </row>
    <row r="5896">
      <c r="C5896" s="18" t="n"/>
      <c r="J5896" s="19" t="n"/>
      <c r="P5896" s="20" t="n"/>
      <c r="Q5896" s="19" t="n"/>
      <c r="R5896" s="19" t="n"/>
      <c r="Y5896" s="19" t="n"/>
    </row>
    <row r="5897">
      <c r="C5897" s="18" t="n"/>
      <c r="J5897" s="19" t="n"/>
      <c r="P5897" s="20" t="n"/>
      <c r="Q5897" s="19" t="n"/>
      <c r="R5897" s="19" t="n"/>
      <c r="Y5897" s="19" t="n"/>
    </row>
    <row r="5898">
      <c r="C5898" s="18" t="n"/>
      <c r="J5898" s="19" t="n"/>
      <c r="P5898" s="20" t="n"/>
      <c r="Q5898" s="19" t="n"/>
      <c r="R5898" s="19" t="n"/>
      <c r="Y5898" s="19" t="n"/>
    </row>
    <row r="5899">
      <c r="C5899" s="18" t="n"/>
      <c r="J5899" s="19" t="n"/>
      <c r="P5899" s="20" t="n"/>
      <c r="Q5899" s="19" t="n"/>
      <c r="R5899" s="19" t="n"/>
      <c r="Y5899" s="19" t="n"/>
    </row>
    <row r="5900">
      <c r="C5900" s="18" t="n"/>
      <c r="J5900" s="19" t="n"/>
      <c r="P5900" s="20" t="n"/>
      <c r="Q5900" s="19" t="n"/>
      <c r="R5900" s="19" t="n"/>
      <c r="Y5900" s="19" t="n"/>
    </row>
    <row r="5901">
      <c r="C5901" s="18" t="n"/>
      <c r="J5901" s="19" t="n"/>
      <c r="P5901" s="20" t="n"/>
      <c r="Q5901" s="19" t="n"/>
      <c r="R5901" s="19" t="n"/>
      <c r="Y5901" s="19" t="n"/>
    </row>
    <row r="5902">
      <c r="C5902" s="18" t="n"/>
      <c r="J5902" s="19" t="n"/>
      <c r="P5902" s="20" t="n"/>
      <c r="Q5902" s="19" t="n"/>
      <c r="R5902" s="19" t="n"/>
      <c r="Y5902" s="19" t="n"/>
    </row>
    <row r="5903">
      <c r="C5903" s="18" t="n"/>
      <c r="J5903" s="19" t="n"/>
      <c r="P5903" s="20" t="n"/>
      <c r="Q5903" s="19" t="n"/>
      <c r="R5903" s="19" t="n"/>
      <c r="Y5903" s="19" t="n"/>
    </row>
    <row r="5904">
      <c r="C5904" s="18" t="n"/>
      <c r="J5904" s="19" t="n"/>
      <c r="P5904" s="20" t="n"/>
      <c r="Q5904" s="19" t="n"/>
      <c r="R5904" s="19" t="n"/>
      <c r="Y5904" s="19" t="n"/>
    </row>
    <row r="5905">
      <c r="C5905" s="18" t="n"/>
      <c r="J5905" s="19" t="n"/>
      <c r="P5905" s="20" t="n"/>
      <c r="Q5905" s="19" t="n"/>
      <c r="R5905" s="19" t="n"/>
      <c r="Y5905" s="19" t="n"/>
    </row>
    <row r="5906">
      <c r="C5906" s="18" t="n"/>
      <c r="J5906" s="19" t="n"/>
      <c r="P5906" s="20" t="n"/>
      <c r="Q5906" s="19" t="n"/>
      <c r="R5906" s="19" t="n"/>
      <c r="Y5906" s="19" t="n"/>
    </row>
    <row r="5907">
      <c r="C5907" s="18" t="n"/>
      <c r="J5907" s="19" t="n"/>
      <c r="P5907" s="20" t="n"/>
      <c r="Q5907" s="19" t="n"/>
      <c r="R5907" s="19" t="n"/>
      <c r="Y5907" s="19" t="n"/>
    </row>
    <row r="5908">
      <c r="C5908" s="18" t="n"/>
      <c r="J5908" s="19" t="n"/>
      <c r="P5908" s="20" t="n"/>
      <c r="Q5908" s="19" t="n"/>
      <c r="R5908" s="19" t="n"/>
      <c r="Y5908" s="19" t="n"/>
    </row>
    <row r="5909">
      <c r="C5909" s="18" t="n"/>
      <c r="J5909" s="19" t="n"/>
      <c r="P5909" s="20" t="n"/>
      <c r="Q5909" s="19" t="n"/>
      <c r="R5909" s="19" t="n"/>
      <c r="Y5909" s="19" t="n"/>
    </row>
    <row r="5910">
      <c r="C5910" s="18" t="n"/>
      <c r="J5910" s="19" t="n"/>
      <c r="P5910" s="20" t="n"/>
      <c r="Q5910" s="19" t="n"/>
      <c r="R5910" s="19" t="n"/>
      <c r="Y5910" s="19" t="n"/>
    </row>
    <row r="5911">
      <c r="C5911" s="18" t="n"/>
      <c r="J5911" s="19" t="n"/>
      <c r="P5911" s="20" t="n"/>
      <c r="Q5911" s="19" t="n"/>
      <c r="R5911" s="19" t="n"/>
      <c r="Y5911" s="19" t="n"/>
    </row>
    <row r="5912">
      <c r="C5912" s="18" t="n"/>
      <c r="J5912" s="19" t="n"/>
      <c r="P5912" s="20" t="n"/>
      <c r="Q5912" s="19" t="n"/>
      <c r="R5912" s="19" t="n"/>
      <c r="Y5912" s="19" t="n"/>
    </row>
    <row r="5913">
      <c r="C5913" s="18" t="n"/>
      <c r="J5913" s="19" t="n"/>
      <c r="P5913" s="20" t="n"/>
      <c r="Q5913" s="19" t="n"/>
      <c r="R5913" s="19" t="n"/>
      <c r="Y5913" s="19" t="n"/>
    </row>
    <row r="5914">
      <c r="C5914" s="18" t="n"/>
      <c r="J5914" s="19" t="n"/>
      <c r="P5914" s="20" t="n"/>
      <c r="Q5914" s="19" t="n"/>
      <c r="R5914" s="19" t="n"/>
      <c r="Y5914" s="19" t="n"/>
    </row>
    <row r="5915">
      <c r="C5915" s="18" t="n"/>
      <c r="J5915" s="19" t="n"/>
      <c r="P5915" s="20" t="n"/>
      <c r="Q5915" s="19" t="n"/>
      <c r="R5915" s="19" t="n"/>
      <c r="Y5915" s="19" t="n"/>
    </row>
    <row r="5916">
      <c r="C5916" s="18" t="n"/>
      <c r="J5916" s="19" t="n"/>
      <c r="P5916" s="20" t="n"/>
      <c r="Q5916" s="19" t="n"/>
      <c r="R5916" s="19" t="n"/>
      <c r="Y5916" s="19" t="n"/>
    </row>
    <row r="5917">
      <c r="C5917" s="18" t="n"/>
      <c r="J5917" s="19" t="n"/>
      <c r="P5917" s="20" t="n"/>
      <c r="Q5917" s="19" t="n"/>
      <c r="R5917" s="19" t="n"/>
      <c r="Y5917" s="19" t="n"/>
    </row>
    <row r="5918">
      <c r="C5918" s="18" t="n"/>
      <c r="J5918" s="19" t="n"/>
      <c r="P5918" s="20" t="n"/>
      <c r="Q5918" s="19" t="n"/>
      <c r="R5918" s="19" t="n"/>
      <c r="Y5918" s="19" t="n"/>
    </row>
    <row r="5919">
      <c r="C5919" s="18" t="n"/>
      <c r="J5919" s="19" t="n"/>
      <c r="P5919" s="20" t="n"/>
      <c r="Q5919" s="19" t="n"/>
      <c r="R5919" s="19" t="n"/>
      <c r="Y5919" s="19" t="n"/>
    </row>
    <row r="5920">
      <c r="C5920" s="18" t="n"/>
      <c r="J5920" s="19" t="n"/>
      <c r="P5920" s="20" t="n"/>
      <c r="Q5920" s="19" t="n"/>
      <c r="R5920" s="19" t="n"/>
      <c r="Y5920" s="19" t="n"/>
    </row>
    <row r="5921">
      <c r="C5921" s="18" t="n"/>
      <c r="J5921" s="19" t="n"/>
      <c r="P5921" s="20" t="n"/>
      <c r="Q5921" s="19" t="n"/>
      <c r="R5921" s="19" t="n"/>
      <c r="Y5921" s="19" t="n"/>
    </row>
    <row r="5922">
      <c r="C5922" s="18" t="n"/>
      <c r="J5922" s="19" t="n"/>
      <c r="P5922" s="20" t="n"/>
      <c r="Q5922" s="19" t="n"/>
      <c r="R5922" s="19" t="n"/>
      <c r="Y5922" s="19" t="n"/>
    </row>
    <row r="5923">
      <c r="C5923" s="18" t="n"/>
      <c r="J5923" s="19" t="n"/>
      <c r="P5923" s="20" t="n"/>
      <c r="Q5923" s="19" t="n"/>
      <c r="R5923" s="19" t="n"/>
      <c r="Y5923" s="19" t="n"/>
    </row>
    <row r="5924">
      <c r="C5924" s="18" t="n"/>
      <c r="J5924" s="19" t="n"/>
      <c r="P5924" s="20" t="n"/>
      <c r="Q5924" s="19" t="n"/>
      <c r="R5924" s="19" t="n"/>
      <c r="Y5924" s="19" t="n"/>
    </row>
    <row r="5925">
      <c r="C5925" s="18" t="n"/>
      <c r="J5925" s="19" t="n"/>
      <c r="P5925" s="20" t="n"/>
      <c r="Q5925" s="19" t="n"/>
      <c r="R5925" s="19" t="n"/>
      <c r="Y5925" s="19" t="n"/>
    </row>
    <row r="5926">
      <c r="C5926" s="18" t="n"/>
      <c r="J5926" s="19" t="n"/>
      <c r="P5926" s="20" t="n"/>
      <c r="Q5926" s="19" t="n"/>
      <c r="R5926" s="19" t="n"/>
      <c r="Y5926" s="19" t="n"/>
    </row>
    <row r="5927">
      <c r="C5927" s="18" t="n"/>
      <c r="J5927" s="19" t="n"/>
      <c r="P5927" s="20" t="n"/>
      <c r="Q5927" s="19" t="n"/>
      <c r="R5927" s="19" t="n"/>
      <c r="Y5927" s="19" t="n"/>
    </row>
    <row r="5928">
      <c r="C5928" s="18" t="n"/>
      <c r="J5928" s="19" t="n"/>
      <c r="P5928" s="20" t="n"/>
      <c r="Q5928" s="19" t="n"/>
      <c r="R5928" s="19" t="n"/>
      <c r="Y5928" s="19" t="n"/>
    </row>
    <row r="5929">
      <c r="C5929" s="18" t="n"/>
      <c r="J5929" s="19" t="n"/>
      <c r="P5929" s="20" t="n"/>
      <c r="Q5929" s="19" t="n"/>
      <c r="R5929" s="19" t="n"/>
      <c r="Y5929" s="19" t="n"/>
    </row>
    <row r="5930">
      <c r="C5930" s="18" t="n"/>
      <c r="J5930" s="19" t="n"/>
      <c r="P5930" s="20" t="n"/>
      <c r="Q5930" s="19" t="n"/>
      <c r="R5930" s="19" t="n"/>
      <c r="Y5930" s="19" t="n"/>
    </row>
    <row r="5931">
      <c r="C5931" s="18" t="n"/>
      <c r="J5931" s="19" t="n"/>
      <c r="P5931" s="20" t="n"/>
      <c r="Q5931" s="19" t="n"/>
      <c r="R5931" s="19" t="n"/>
      <c r="Y5931" s="19" t="n"/>
    </row>
    <row r="5932">
      <c r="C5932" s="18" t="n"/>
      <c r="J5932" s="19" t="n"/>
      <c r="P5932" s="20" t="n"/>
      <c r="Q5932" s="19" t="n"/>
      <c r="R5932" s="19" t="n"/>
      <c r="Y5932" s="19" t="n"/>
    </row>
    <row r="5933">
      <c r="C5933" s="18" t="n"/>
      <c r="J5933" s="19" t="n"/>
      <c r="P5933" s="20" t="n"/>
      <c r="Q5933" s="19" t="n"/>
      <c r="R5933" s="19" t="n"/>
      <c r="Y5933" s="19" t="n"/>
    </row>
    <row r="5934">
      <c r="C5934" s="18" t="n"/>
      <c r="J5934" s="19" t="n"/>
      <c r="P5934" s="20" t="n"/>
      <c r="Q5934" s="19" t="n"/>
      <c r="R5934" s="19" t="n"/>
      <c r="Y5934" s="19" t="n"/>
    </row>
    <row r="5935">
      <c r="C5935" s="18" t="n"/>
      <c r="J5935" s="19" t="n"/>
      <c r="P5935" s="20" t="n"/>
      <c r="Q5935" s="19" t="n"/>
      <c r="R5935" s="19" t="n"/>
      <c r="Y5935" s="19" t="n"/>
    </row>
    <row r="5936">
      <c r="C5936" s="18" t="n"/>
      <c r="J5936" s="19" t="n"/>
      <c r="P5936" s="20" t="n"/>
      <c r="Q5936" s="19" t="n"/>
      <c r="R5936" s="19" t="n"/>
      <c r="Y5936" s="19" t="n"/>
    </row>
    <row r="5937">
      <c r="C5937" s="18" t="n"/>
      <c r="J5937" s="19" t="n"/>
      <c r="P5937" s="20" t="n"/>
      <c r="Q5937" s="19" t="n"/>
      <c r="R5937" s="19" t="n"/>
      <c r="Y5937" s="19" t="n"/>
    </row>
    <row r="5938">
      <c r="C5938" s="18" t="n"/>
      <c r="J5938" s="19" t="n"/>
      <c r="P5938" s="20" t="n"/>
      <c r="Q5938" s="19" t="n"/>
      <c r="R5938" s="19" t="n"/>
      <c r="Y5938" s="19" t="n"/>
    </row>
    <row r="5939">
      <c r="C5939" s="18" t="n"/>
      <c r="J5939" s="19" t="n"/>
      <c r="P5939" s="20" t="n"/>
      <c r="Q5939" s="19" t="n"/>
      <c r="R5939" s="19" t="n"/>
      <c r="Y5939" s="19" t="n"/>
    </row>
    <row r="5940">
      <c r="C5940" s="18" t="n"/>
      <c r="J5940" s="19" t="n"/>
      <c r="P5940" s="20" t="n"/>
      <c r="Q5940" s="19" t="n"/>
      <c r="R5940" s="19" t="n"/>
      <c r="Y5940" s="19" t="n"/>
    </row>
    <row r="5941">
      <c r="C5941" s="18" t="n"/>
      <c r="J5941" s="19" t="n"/>
      <c r="P5941" s="20" t="n"/>
      <c r="Q5941" s="19" t="n"/>
      <c r="R5941" s="19" t="n"/>
      <c r="Y5941" s="19" t="n"/>
    </row>
    <row r="5942">
      <c r="C5942" s="18" t="n"/>
      <c r="J5942" s="19" t="n"/>
      <c r="P5942" s="20" t="n"/>
      <c r="Q5942" s="19" t="n"/>
      <c r="R5942" s="19" t="n"/>
      <c r="Y5942" s="19" t="n"/>
    </row>
    <row r="5943">
      <c r="C5943" s="18" t="n"/>
      <c r="J5943" s="19" t="n"/>
      <c r="P5943" s="20" t="n"/>
      <c r="Q5943" s="19" t="n"/>
      <c r="R5943" s="19" t="n"/>
      <c r="Y5943" s="19" t="n"/>
    </row>
    <row r="5944">
      <c r="C5944" s="18" t="n"/>
      <c r="J5944" s="19" t="n"/>
      <c r="P5944" s="20" t="n"/>
      <c r="Q5944" s="19" t="n"/>
      <c r="R5944" s="19" t="n"/>
      <c r="Y5944" s="19" t="n"/>
    </row>
    <row r="5945">
      <c r="C5945" s="18" t="n"/>
      <c r="J5945" s="19" t="n"/>
      <c r="P5945" s="20" t="n"/>
      <c r="Q5945" s="19" t="n"/>
      <c r="R5945" s="19" t="n"/>
      <c r="Y5945" s="19" t="n"/>
    </row>
    <row r="5946">
      <c r="C5946" s="18" t="n"/>
      <c r="J5946" s="19" t="n"/>
      <c r="P5946" s="20" t="n"/>
      <c r="Q5946" s="19" t="n"/>
      <c r="R5946" s="19" t="n"/>
      <c r="Y5946" s="19" t="n"/>
    </row>
    <row r="5947">
      <c r="C5947" s="18" t="n"/>
      <c r="J5947" s="19" t="n"/>
      <c r="P5947" s="20" t="n"/>
      <c r="Q5947" s="19" t="n"/>
      <c r="R5947" s="19" t="n"/>
      <c r="Y5947" s="19" t="n"/>
    </row>
    <row r="5948">
      <c r="C5948" s="18" t="n"/>
      <c r="J5948" s="19" t="n"/>
      <c r="P5948" s="20" t="n"/>
      <c r="Q5948" s="19" t="n"/>
      <c r="R5948" s="19" t="n"/>
      <c r="Y5948" s="19" t="n"/>
    </row>
    <row r="5949">
      <c r="C5949" s="18" t="n"/>
      <c r="J5949" s="19" t="n"/>
      <c r="P5949" s="20" t="n"/>
      <c r="Q5949" s="19" t="n"/>
      <c r="R5949" s="19" t="n"/>
      <c r="Y5949" s="19" t="n"/>
    </row>
    <row r="5950">
      <c r="C5950" s="18" t="n"/>
      <c r="J5950" s="19" t="n"/>
      <c r="P5950" s="20" t="n"/>
      <c r="Q5950" s="19" t="n"/>
      <c r="R5950" s="19" t="n"/>
      <c r="Y5950" s="19" t="n"/>
    </row>
    <row r="5951">
      <c r="C5951" s="18" t="n"/>
      <c r="J5951" s="19" t="n"/>
      <c r="P5951" s="20" t="n"/>
      <c r="Q5951" s="19" t="n"/>
      <c r="R5951" s="19" t="n"/>
      <c r="Y5951" s="19" t="n"/>
    </row>
    <row r="5952">
      <c r="C5952" s="18" t="n"/>
      <c r="J5952" s="19" t="n"/>
      <c r="P5952" s="20" t="n"/>
      <c r="Q5952" s="19" t="n"/>
      <c r="R5952" s="19" t="n"/>
      <c r="Y5952" s="19" t="n"/>
    </row>
    <row r="5953">
      <c r="C5953" s="18" t="n"/>
      <c r="J5953" s="19" t="n"/>
      <c r="P5953" s="20" t="n"/>
      <c r="Q5953" s="19" t="n"/>
      <c r="R5953" s="19" t="n"/>
      <c r="Y5953" s="19" t="n"/>
    </row>
    <row r="5954">
      <c r="C5954" s="18" t="n"/>
      <c r="J5954" s="19" t="n"/>
      <c r="P5954" s="20" t="n"/>
      <c r="Q5954" s="19" t="n"/>
      <c r="R5954" s="19" t="n"/>
      <c r="Y5954" s="19" t="n"/>
    </row>
    <row r="5955">
      <c r="C5955" s="18" t="n"/>
      <c r="J5955" s="19" t="n"/>
      <c r="P5955" s="20" t="n"/>
      <c r="Q5955" s="19" t="n"/>
      <c r="R5955" s="19" t="n"/>
      <c r="Y5955" s="19" t="n"/>
    </row>
    <row r="5956">
      <c r="C5956" s="18" t="n"/>
      <c r="J5956" s="19" t="n"/>
      <c r="P5956" s="20" t="n"/>
      <c r="Q5956" s="19" t="n"/>
      <c r="R5956" s="19" t="n"/>
      <c r="Y5956" s="19" t="n"/>
    </row>
    <row r="5957">
      <c r="C5957" s="18" t="n"/>
      <c r="J5957" s="19" t="n"/>
      <c r="P5957" s="20" t="n"/>
      <c r="Q5957" s="19" t="n"/>
      <c r="R5957" s="19" t="n"/>
      <c r="Y5957" s="19" t="n"/>
    </row>
    <row r="5958">
      <c r="C5958" s="18" t="n"/>
      <c r="J5958" s="19" t="n"/>
      <c r="P5958" s="20" t="n"/>
      <c r="Q5958" s="19" t="n"/>
      <c r="R5958" s="19" t="n"/>
      <c r="Y5958" s="19" t="n"/>
    </row>
    <row r="5959">
      <c r="C5959" s="18" t="n"/>
      <c r="J5959" s="19" t="n"/>
      <c r="P5959" s="20" t="n"/>
      <c r="Q5959" s="19" t="n"/>
      <c r="R5959" s="19" t="n"/>
      <c r="Y5959" s="19" t="n"/>
    </row>
    <row r="5960">
      <c r="C5960" s="18" t="n"/>
      <c r="J5960" s="19" t="n"/>
      <c r="P5960" s="20" t="n"/>
      <c r="Q5960" s="19" t="n"/>
      <c r="R5960" s="19" t="n"/>
      <c r="Y5960" s="19" t="n"/>
    </row>
    <row r="5961">
      <c r="C5961" s="18" t="n"/>
      <c r="J5961" s="19" t="n"/>
      <c r="P5961" s="20" t="n"/>
      <c r="Q5961" s="19" t="n"/>
      <c r="R5961" s="19" t="n"/>
      <c r="Y5961" s="19" t="n"/>
    </row>
    <row r="5962">
      <c r="C5962" s="18" t="n"/>
      <c r="J5962" s="19" t="n"/>
      <c r="P5962" s="20" t="n"/>
      <c r="Q5962" s="19" t="n"/>
      <c r="R5962" s="19" t="n"/>
      <c r="Y5962" s="19" t="n"/>
    </row>
    <row r="5963">
      <c r="C5963" s="18" t="n"/>
      <c r="J5963" s="19" t="n"/>
      <c r="P5963" s="20" t="n"/>
      <c r="Q5963" s="19" t="n"/>
      <c r="R5963" s="19" t="n"/>
      <c r="Y5963" s="19" t="n"/>
    </row>
    <row r="5964">
      <c r="C5964" s="18" t="n"/>
      <c r="J5964" s="19" t="n"/>
      <c r="P5964" s="20" t="n"/>
      <c r="Q5964" s="19" t="n"/>
      <c r="R5964" s="19" t="n"/>
      <c r="Y5964" s="19" t="n"/>
    </row>
    <row r="5965">
      <c r="C5965" s="18" t="n"/>
      <c r="J5965" s="19" t="n"/>
      <c r="P5965" s="20" t="n"/>
      <c r="Q5965" s="19" t="n"/>
      <c r="R5965" s="19" t="n"/>
      <c r="Y5965" s="19" t="n"/>
    </row>
    <row r="5966">
      <c r="C5966" s="18" t="n"/>
      <c r="J5966" s="19" t="n"/>
      <c r="P5966" s="20" t="n"/>
      <c r="Q5966" s="19" t="n"/>
      <c r="R5966" s="19" t="n"/>
      <c r="Y5966" s="19" t="n"/>
    </row>
    <row r="5967">
      <c r="C5967" s="18" t="n"/>
      <c r="J5967" s="19" t="n"/>
      <c r="P5967" s="20" t="n"/>
      <c r="Q5967" s="19" t="n"/>
      <c r="R5967" s="19" t="n"/>
      <c r="Y5967" s="19" t="n"/>
    </row>
    <row r="5968">
      <c r="C5968" s="18" t="n"/>
      <c r="J5968" s="19" t="n"/>
      <c r="P5968" s="20" t="n"/>
      <c r="Q5968" s="19" t="n"/>
      <c r="R5968" s="19" t="n"/>
      <c r="Y5968" s="19" t="n"/>
    </row>
    <row r="5969">
      <c r="C5969" s="18" t="n"/>
      <c r="J5969" s="19" t="n"/>
      <c r="P5969" s="20" t="n"/>
      <c r="Q5969" s="19" t="n"/>
      <c r="R5969" s="19" t="n"/>
      <c r="Y5969" s="19" t="n"/>
    </row>
    <row r="5970">
      <c r="C5970" s="18" t="n"/>
      <c r="J5970" s="19" t="n"/>
      <c r="P5970" s="20" t="n"/>
      <c r="Q5970" s="19" t="n"/>
      <c r="R5970" s="19" t="n"/>
      <c r="Y5970" s="19" t="n"/>
    </row>
    <row r="5971">
      <c r="C5971" s="18" t="n"/>
      <c r="J5971" s="19" t="n"/>
      <c r="P5971" s="20" t="n"/>
      <c r="Q5971" s="19" t="n"/>
      <c r="R5971" s="19" t="n"/>
      <c r="Y5971" s="19" t="n"/>
    </row>
    <row r="5972">
      <c r="C5972" s="18" t="n"/>
      <c r="J5972" s="19" t="n"/>
      <c r="P5972" s="20" t="n"/>
      <c r="Q5972" s="19" t="n"/>
      <c r="R5972" s="19" t="n"/>
      <c r="Y5972" s="19" t="n"/>
    </row>
    <row r="5973">
      <c r="C5973" s="18" t="n"/>
      <c r="J5973" s="19" t="n"/>
      <c r="P5973" s="20" t="n"/>
      <c r="Q5973" s="19" t="n"/>
      <c r="R5973" s="19" t="n"/>
      <c r="Y5973" s="19" t="n"/>
    </row>
    <row r="5974">
      <c r="C5974" s="18" t="n"/>
      <c r="J5974" s="19" t="n"/>
      <c r="P5974" s="20" t="n"/>
      <c r="Q5974" s="19" t="n"/>
      <c r="R5974" s="19" t="n"/>
      <c r="Y5974" s="19" t="n"/>
    </row>
    <row r="5975">
      <c r="C5975" s="18" t="n"/>
      <c r="J5975" s="19" t="n"/>
      <c r="P5975" s="20" t="n"/>
      <c r="Q5975" s="19" t="n"/>
      <c r="R5975" s="19" t="n"/>
      <c r="Y5975" s="19" t="n"/>
    </row>
    <row r="5976">
      <c r="C5976" s="18" t="n"/>
      <c r="J5976" s="19" t="n"/>
      <c r="P5976" s="20" t="n"/>
      <c r="Q5976" s="19" t="n"/>
      <c r="R5976" s="19" t="n"/>
      <c r="Y5976" s="19" t="n"/>
    </row>
    <row r="5977">
      <c r="C5977" s="18" t="n"/>
      <c r="J5977" s="19" t="n"/>
      <c r="P5977" s="20" t="n"/>
      <c r="Q5977" s="19" t="n"/>
      <c r="R5977" s="19" t="n"/>
      <c r="Y5977" s="19" t="n"/>
    </row>
    <row r="5978">
      <c r="C5978" s="18" t="n"/>
      <c r="J5978" s="19" t="n"/>
      <c r="P5978" s="20" t="n"/>
      <c r="Q5978" s="19" t="n"/>
      <c r="R5978" s="19" t="n"/>
      <c r="Y5978" s="19" t="n"/>
    </row>
    <row r="5979">
      <c r="C5979" s="18" t="n"/>
      <c r="J5979" s="19" t="n"/>
      <c r="P5979" s="20" t="n"/>
      <c r="Q5979" s="19" t="n"/>
      <c r="R5979" s="19" t="n"/>
      <c r="Y5979" s="19" t="n"/>
    </row>
    <row r="5980">
      <c r="C5980" s="18" t="n"/>
      <c r="J5980" s="19" t="n"/>
      <c r="P5980" s="20" t="n"/>
      <c r="Q5980" s="19" t="n"/>
      <c r="R5980" s="19" t="n"/>
      <c r="Y5980" s="19" t="n"/>
    </row>
    <row r="5981">
      <c r="C5981" s="18" t="n"/>
      <c r="J5981" s="19" t="n"/>
      <c r="P5981" s="20" t="n"/>
      <c r="Q5981" s="19" t="n"/>
      <c r="R5981" s="19" t="n"/>
      <c r="Y5981" s="19" t="n"/>
    </row>
    <row r="5982">
      <c r="C5982" s="18" t="n"/>
      <c r="J5982" s="19" t="n"/>
      <c r="P5982" s="20" t="n"/>
      <c r="Q5982" s="19" t="n"/>
      <c r="R5982" s="19" t="n"/>
      <c r="Y5982" s="19" t="n"/>
    </row>
    <row r="5983">
      <c r="C5983" s="18" t="n"/>
      <c r="J5983" s="19" t="n"/>
      <c r="P5983" s="20" t="n"/>
      <c r="Q5983" s="19" t="n"/>
      <c r="R5983" s="19" t="n"/>
      <c r="Y5983" s="19" t="n"/>
    </row>
    <row r="5984">
      <c r="C5984" s="18" t="n"/>
      <c r="J5984" s="19" t="n"/>
      <c r="P5984" s="20" t="n"/>
      <c r="Q5984" s="19" t="n"/>
      <c r="R5984" s="19" t="n"/>
      <c r="Y5984" s="19" t="n"/>
    </row>
    <row r="5985">
      <c r="C5985" s="18" t="n"/>
      <c r="J5985" s="19" t="n"/>
      <c r="P5985" s="20" t="n"/>
      <c r="Q5985" s="19" t="n"/>
      <c r="R5985" s="19" t="n"/>
      <c r="Y5985" s="19" t="n"/>
    </row>
    <row r="5986">
      <c r="C5986" s="18" t="n"/>
      <c r="J5986" s="19" t="n"/>
      <c r="P5986" s="20" t="n"/>
      <c r="Q5986" s="19" t="n"/>
      <c r="R5986" s="19" t="n"/>
      <c r="Y5986" s="19" t="n"/>
    </row>
    <row r="5987">
      <c r="C5987" s="18" t="n"/>
      <c r="J5987" s="19" t="n"/>
      <c r="P5987" s="20" t="n"/>
      <c r="Q5987" s="19" t="n"/>
      <c r="R5987" s="19" t="n"/>
      <c r="Y5987" s="19" t="n"/>
    </row>
    <row r="5988">
      <c r="C5988" s="18" t="n"/>
      <c r="J5988" s="19" t="n"/>
      <c r="P5988" s="20" t="n"/>
      <c r="Q5988" s="19" t="n"/>
      <c r="R5988" s="19" t="n"/>
      <c r="Y5988" s="19" t="n"/>
    </row>
    <row r="5989">
      <c r="C5989" s="18" t="n"/>
      <c r="J5989" s="19" t="n"/>
      <c r="P5989" s="20" t="n"/>
      <c r="Q5989" s="19" t="n"/>
      <c r="R5989" s="19" t="n"/>
      <c r="Y5989" s="19" t="n"/>
    </row>
    <row r="5990">
      <c r="C5990" s="18" t="n"/>
      <c r="J5990" s="19" t="n"/>
      <c r="P5990" s="20" t="n"/>
      <c r="Q5990" s="19" t="n"/>
      <c r="R5990" s="19" t="n"/>
      <c r="Y5990" s="19" t="n"/>
    </row>
    <row r="5991">
      <c r="C5991" s="18" t="n"/>
      <c r="J5991" s="19" t="n"/>
      <c r="P5991" s="20" t="n"/>
      <c r="Q5991" s="19" t="n"/>
      <c r="R5991" s="19" t="n"/>
      <c r="Y5991" s="19" t="n"/>
    </row>
    <row r="5992">
      <c r="C5992" s="18" t="n"/>
      <c r="J5992" s="19" t="n"/>
      <c r="P5992" s="20" t="n"/>
      <c r="Q5992" s="19" t="n"/>
      <c r="R5992" s="19" t="n"/>
      <c r="Y5992" s="19" t="n"/>
    </row>
    <row r="5993">
      <c r="C5993" s="18" t="n"/>
      <c r="J5993" s="19" t="n"/>
      <c r="P5993" s="20" t="n"/>
      <c r="Q5993" s="19" t="n"/>
      <c r="R5993" s="19" t="n"/>
      <c r="Y5993" s="19" t="n"/>
    </row>
    <row r="5994">
      <c r="C5994" s="18" t="n"/>
      <c r="J5994" s="19" t="n"/>
      <c r="P5994" s="20" t="n"/>
      <c r="Q5994" s="19" t="n"/>
      <c r="R5994" s="19" t="n"/>
      <c r="Y5994" s="19" t="n"/>
    </row>
    <row r="5995">
      <c r="C5995" s="18" t="n"/>
      <c r="J5995" s="19" t="n"/>
      <c r="P5995" s="20" t="n"/>
      <c r="Q5995" s="19" t="n"/>
      <c r="R5995" s="19" t="n"/>
      <c r="Y5995" s="19" t="n"/>
    </row>
    <row r="5996">
      <c r="C5996" s="18" t="n"/>
      <c r="J5996" s="19" t="n"/>
      <c r="P5996" s="20" t="n"/>
      <c r="Q5996" s="19" t="n"/>
      <c r="R5996" s="19" t="n"/>
      <c r="Y5996" s="19" t="n"/>
    </row>
    <row r="5997">
      <c r="C5997" s="18" t="n"/>
      <c r="J5997" s="19" t="n"/>
      <c r="P5997" s="20" t="n"/>
      <c r="Q5997" s="19" t="n"/>
      <c r="R5997" s="19" t="n"/>
      <c r="Y5997" s="19" t="n"/>
    </row>
    <row r="5998">
      <c r="C5998" s="18" t="n"/>
      <c r="J5998" s="19" t="n"/>
      <c r="P5998" s="20" t="n"/>
      <c r="Q5998" s="19" t="n"/>
      <c r="R5998" s="19" t="n"/>
      <c r="Y5998" s="19" t="n"/>
    </row>
    <row r="5999">
      <c r="C5999" s="18" t="n"/>
      <c r="J5999" s="19" t="n"/>
      <c r="P5999" s="20" t="n"/>
      <c r="Q5999" s="19" t="n"/>
      <c r="R5999" s="19" t="n"/>
      <c r="Y5999" s="19" t="n"/>
    </row>
    <row r="6000">
      <c r="C6000" s="18" t="n"/>
      <c r="J6000" s="19" t="n"/>
      <c r="P6000" s="20" t="n"/>
      <c r="Q6000" s="19" t="n"/>
      <c r="R6000" s="19" t="n"/>
      <c r="Y6000" s="19" t="n"/>
    </row>
    <row r="6001">
      <c r="C6001" s="18" t="n"/>
      <c r="J6001" s="19" t="n"/>
      <c r="P6001" s="20" t="n"/>
      <c r="Q6001" s="19" t="n"/>
      <c r="R6001" s="19" t="n"/>
      <c r="Y6001" s="19" t="n"/>
    </row>
    <row r="6002">
      <c r="C6002" s="18" t="n"/>
      <c r="J6002" s="19" t="n"/>
      <c r="P6002" s="20" t="n"/>
      <c r="Q6002" s="19" t="n"/>
      <c r="R6002" s="19" t="n"/>
      <c r="Y6002" s="19" t="n"/>
    </row>
    <row r="6003">
      <c r="C6003" s="18" t="n"/>
      <c r="J6003" s="19" t="n"/>
      <c r="P6003" s="20" t="n"/>
      <c r="Q6003" s="19" t="n"/>
      <c r="R6003" s="19" t="n"/>
      <c r="Y6003" s="19" t="n"/>
    </row>
    <row r="6004">
      <c r="C6004" s="18" t="n"/>
      <c r="J6004" s="19" t="n"/>
      <c r="P6004" s="20" t="n"/>
      <c r="Q6004" s="19" t="n"/>
      <c r="R6004" s="19" t="n"/>
      <c r="Y6004" s="19" t="n"/>
    </row>
    <row r="6005">
      <c r="C6005" s="18" t="n"/>
      <c r="J6005" s="19" t="n"/>
      <c r="P6005" s="20" t="n"/>
      <c r="Q6005" s="19" t="n"/>
      <c r="R6005" s="19" t="n"/>
      <c r="Y6005" s="19" t="n"/>
    </row>
    <row r="6006">
      <c r="C6006" s="18" t="n"/>
      <c r="J6006" s="19" t="n"/>
      <c r="P6006" s="20" t="n"/>
      <c r="Q6006" s="19" t="n"/>
      <c r="R6006" s="19" t="n"/>
      <c r="Y6006" s="19" t="n"/>
    </row>
    <row r="6007">
      <c r="C6007" s="18" t="n"/>
      <c r="J6007" s="19" t="n"/>
      <c r="P6007" s="20" t="n"/>
      <c r="Q6007" s="19" t="n"/>
      <c r="R6007" s="19" t="n"/>
      <c r="Y6007" s="19" t="n"/>
    </row>
    <row r="6008">
      <c r="C6008" s="18" t="n"/>
      <c r="J6008" s="19" t="n"/>
      <c r="P6008" s="20" t="n"/>
      <c r="Q6008" s="19" t="n"/>
      <c r="R6008" s="19" t="n"/>
      <c r="Y6008" s="19" t="n"/>
    </row>
    <row r="6009">
      <c r="C6009" s="18" t="n"/>
      <c r="J6009" s="19" t="n"/>
      <c r="P6009" s="20" t="n"/>
      <c r="Q6009" s="19" t="n"/>
      <c r="R6009" s="19" t="n"/>
      <c r="Y6009" s="19" t="n"/>
    </row>
    <row r="6010">
      <c r="C6010" s="18" t="n"/>
      <c r="J6010" s="19" t="n"/>
      <c r="P6010" s="20" t="n"/>
      <c r="Q6010" s="19" t="n"/>
      <c r="R6010" s="19" t="n"/>
      <c r="Y6010" s="19" t="n"/>
    </row>
    <row r="6011">
      <c r="C6011" s="18" t="n"/>
      <c r="J6011" s="19" t="n"/>
      <c r="P6011" s="20" t="n"/>
      <c r="Q6011" s="19" t="n"/>
      <c r="R6011" s="19" t="n"/>
      <c r="Y6011" s="19" t="n"/>
    </row>
    <row r="6012">
      <c r="C6012" s="18" t="n"/>
      <c r="J6012" s="19" t="n"/>
      <c r="P6012" s="20" t="n"/>
      <c r="Q6012" s="19" t="n"/>
      <c r="R6012" s="19" t="n"/>
      <c r="Y6012" s="19" t="n"/>
    </row>
    <row r="6013">
      <c r="C6013" s="18" t="n"/>
      <c r="J6013" s="19" t="n"/>
      <c r="P6013" s="20" t="n"/>
      <c r="Q6013" s="19" t="n"/>
      <c r="R6013" s="19" t="n"/>
      <c r="Y6013" s="19" t="n"/>
    </row>
    <row r="6014">
      <c r="C6014" s="18" t="n"/>
      <c r="J6014" s="19" t="n"/>
      <c r="P6014" s="20" t="n"/>
      <c r="Q6014" s="19" t="n"/>
      <c r="R6014" s="19" t="n"/>
      <c r="Y6014" s="19" t="n"/>
    </row>
    <row r="6015">
      <c r="C6015" s="18" t="n"/>
      <c r="J6015" s="19" t="n"/>
      <c r="P6015" s="20" t="n"/>
      <c r="Q6015" s="19" t="n"/>
      <c r="R6015" s="19" t="n"/>
      <c r="Y6015" s="19" t="n"/>
    </row>
    <row r="6016">
      <c r="C6016" s="18" t="n"/>
      <c r="J6016" s="19" t="n"/>
      <c r="P6016" s="20" t="n"/>
      <c r="Q6016" s="19" t="n"/>
      <c r="R6016" s="19" t="n"/>
      <c r="Y6016" s="19" t="n"/>
    </row>
    <row r="6017">
      <c r="C6017" s="18" t="n"/>
      <c r="J6017" s="19" t="n"/>
      <c r="P6017" s="20" t="n"/>
      <c r="Q6017" s="19" t="n"/>
      <c r="R6017" s="19" t="n"/>
      <c r="Y6017" s="19" t="n"/>
    </row>
    <row r="6018">
      <c r="C6018" s="18" t="n"/>
      <c r="J6018" s="19" t="n"/>
      <c r="P6018" s="20" t="n"/>
      <c r="Q6018" s="19" t="n"/>
      <c r="R6018" s="19" t="n"/>
      <c r="Y6018" s="19" t="n"/>
    </row>
    <row r="6019">
      <c r="C6019" s="18" t="n"/>
      <c r="J6019" s="19" t="n"/>
      <c r="P6019" s="20" t="n"/>
      <c r="Q6019" s="19" t="n"/>
      <c r="R6019" s="19" t="n"/>
      <c r="Y6019" s="19" t="n"/>
    </row>
    <row r="6020">
      <c r="C6020" s="18" t="n"/>
      <c r="J6020" s="19" t="n"/>
      <c r="P6020" s="20" t="n"/>
      <c r="Q6020" s="19" t="n"/>
      <c r="R6020" s="19" t="n"/>
      <c r="Y6020" s="19" t="n"/>
    </row>
    <row r="6021">
      <c r="C6021" s="18" t="n"/>
      <c r="J6021" s="19" t="n"/>
      <c r="P6021" s="20" t="n"/>
      <c r="Q6021" s="19" t="n"/>
      <c r="R6021" s="19" t="n"/>
      <c r="Y6021" s="19" t="n"/>
    </row>
    <row r="6022">
      <c r="C6022" s="18" t="n"/>
      <c r="J6022" s="19" t="n"/>
      <c r="P6022" s="20" t="n"/>
      <c r="Q6022" s="19" t="n"/>
      <c r="R6022" s="19" t="n"/>
      <c r="Y6022" s="19" t="n"/>
    </row>
    <row r="6023">
      <c r="C6023" s="18" t="n"/>
      <c r="J6023" s="19" t="n"/>
      <c r="P6023" s="20" t="n"/>
      <c r="Q6023" s="19" t="n"/>
      <c r="R6023" s="19" t="n"/>
      <c r="Y6023" s="19" t="n"/>
    </row>
    <row r="6024">
      <c r="C6024" s="18" t="n"/>
      <c r="J6024" s="19" t="n"/>
      <c r="P6024" s="20" t="n"/>
      <c r="Q6024" s="19" t="n"/>
      <c r="R6024" s="19" t="n"/>
      <c r="Y6024" s="19" t="n"/>
    </row>
    <row r="6025">
      <c r="C6025" s="18" t="n"/>
      <c r="J6025" s="19" t="n"/>
      <c r="P6025" s="20" t="n"/>
      <c r="Q6025" s="19" t="n"/>
      <c r="R6025" s="19" t="n"/>
      <c r="Y6025" s="19" t="n"/>
    </row>
    <row r="6026">
      <c r="C6026" s="18" t="n"/>
      <c r="J6026" s="19" t="n"/>
      <c r="P6026" s="20" t="n"/>
      <c r="Q6026" s="19" t="n"/>
      <c r="R6026" s="19" t="n"/>
      <c r="Y6026" s="19" t="n"/>
    </row>
    <row r="6027">
      <c r="C6027" s="18" t="n"/>
      <c r="J6027" s="19" t="n"/>
      <c r="P6027" s="20" t="n"/>
      <c r="Q6027" s="19" t="n"/>
      <c r="R6027" s="19" t="n"/>
      <c r="Y6027" s="19" t="n"/>
    </row>
    <row r="6028">
      <c r="C6028" s="18" t="n"/>
      <c r="J6028" s="19" t="n"/>
      <c r="P6028" s="20" t="n"/>
      <c r="Q6028" s="19" t="n"/>
      <c r="R6028" s="19" t="n"/>
      <c r="Y6028" s="19" t="n"/>
    </row>
    <row r="6029">
      <c r="C6029" s="18" t="n"/>
      <c r="J6029" s="19" t="n"/>
      <c r="P6029" s="20" t="n"/>
      <c r="Q6029" s="19" t="n"/>
      <c r="R6029" s="19" t="n"/>
      <c r="Y6029" s="19" t="n"/>
    </row>
    <row r="6030">
      <c r="C6030" s="18" t="n"/>
      <c r="J6030" s="19" t="n"/>
      <c r="P6030" s="20" t="n"/>
      <c r="Q6030" s="19" t="n"/>
      <c r="R6030" s="19" t="n"/>
      <c r="Y6030" s="19" t="n"/>
    </row>
    <row r="6031">
      <c r="C6031" s="18" t="n"/>
      <c r="J6031" s="19" t="n"/>
      <c r="P6031" s="20" t="n"/>
      <c r="Q6031" s="19" t="n"/>
      <c r="R6031" s="19" t="n"/>
      <c r="Y6031" s="19" t="n"/>
    </row>
    <row r="6032">
      <c r="C6032" s="18" t="n"/>
      <c r="J6032" s="19" t="n"/>
      <c r="P6032" s="20" t="n"/>
      <c r="Q6032" s="19" t="n"/>
      <c r="R6032" s="19" t="n"/>
      <c r="Y6032" s="19" t="n"/>
    </row>
    <row r="6033">
      <c r="C6033" s="18" t="n"/>
      <c r="J6033" s="19" t="n"/>
      <c r="P6033" s="20" t="n"/>
      <c r="Q6033" s="19" t="n"/>
      <c r="R6033" s="19" t="n"/>
      <c r="Y6033" s="19" t="n"/>
    </row>
    <row r="6034">
      <c r="C6034" s="18" t="n"/>
      <c r="J6034" s="19" t="n"/>
      <c r="P6034" s="20" t="n"/>
      <c r="Q6034" s="19" t="n"/>
      <c r="R6034" s="19" t="n"/>
      <c r="Y6034" s="19" t="n"/>
    </row>
    <row r="6035">
      <c r="C6035" s="18" t="n"/>
      <c r="J6035" s="19" t="n"/>
      <c r="P6035" s="20" t="n"/>
      <c r="Q6035" s="19" t="n"/>
      <c r="R6035" s="19" t="n"/>
      <c r="Y6035" s="19" t="n"/>
    </row>
    <row r="6036">
      <c r="C6036" s="18" t="n"/>
      <c r="J6036" s="19" t="n"/>
      <c r="P6036" s="20" t="n"/>
      <c r="Q6036" s="19" t="n"/>
      <c r="R6036" s="19" t="n"/>
      <c r="Y6036" s="19" t="n"/>
    </row>
    <row r="6037">
      <c r="C6037" s="18" t="n"/>
      <c r="J6037" s="19" t="n"/>
      <c r="P6037" s="20" t="n"/>
      <c r="Q6037" s="19" t="n"/>
      <c r="R6037" s="19" t="n"/>
      <c r="Y6037" s="19" t="n"/>
    </row>
    <row r="6038">
      <c r="C6038" s="18" t="n"/>
      <c r="J6038" s="19" t="n"/>
      <c r="P6038" s="20" t="n"/>
      <c r="Q6038" s="19" t="n"/>
      <c r="R6038" s="19" t="n"/>
      <c r="Y6038" s="19" t="n"/>
    </row>
    <row r="6039">
      <c r="C6039" s="18" t="n"/>
      <c r="J6039" s="19" t="n"/>
      <c r="P6039" s="20" t="n"/>
      <c r="Q6039" s="19" t="n"/>
      <c r="R6039" s="19" t="n"/>
      <c r="Y6039" s="19" t="n"/>
    </row>
    <row r="6040">
      <c r="C6040" s="18" t="n"/>
      <c r="J6040" s="19" t="n"/>
      <c r="P6040" s="20" t="n"/>
      <c r="Q6040" s="19" t="n"/>
      <c r="R6040" s="19" t="n"/>
      <c r="Y6040" s="19" t="n"/>
    </row>
    <row r="6041">
      <c r="C6041" s="18" t="n"/>
      <c r="J6041" s="19" t="n"/>
      <c r="P6041" s="20" t="n"/>
      <c r="Q6041" s="19" t="n"/>
      <c r="R6041" s="19" t="n"/>
      <c r="Y6041" s="19" t="n"/>
    </row>
    <row r="6042">
      <c r="C6042" s="18" t="n"/>
      <c r="J6042" s="19" t="n"/>
      <c r="P6042" s="20" t="n"/>
      <c r="Q6042" s="19" t="n"/>
      <c r="R6042" s="19" t="n"/>
      <c r="Y6042" s="19" t="n"/>
    </row>
    <row r="6043">
      <c r="C6043" s="18" t="n"/>
      <c r="J6043" s="19" t="n"/>
      <c r="P6043" s="20" t="n"/>
      <c r="Q6043" s="19" t="n"/>
      <c r="R6043" s="19" t="n"/>
      <c r="Y6043" s="19" t="n"/>
    </row>
    <row r="6044">
      <c r="C6044" s="18" t="n"/>
      <c r="J6044" s="19" t="n"/>
      <c r="P6044" s="20" t="n"/>
      <c r="Q6044" s="19" t="n"/>
      <c r="R6044" s="19" t="n"/>
      <c r="Y6044" s="19" t="n"/>
    </row>
    <row r="6045">
      <c r="C6045" s="18" t="n"/>
      <c r="J6045" s="19" t="n"/>
      <c r="P6045" s="20" t="n"/>
      <c r="Q6045" s="19" t="n"/>
      <c r="R6045" s="19" t="n"/>
      <c r="Y6045" s="19" t="n"/>
    </row>
    <row r="6046">
      <c r="C6046" s="18" t="n"/>
      <c r="J6046" s="19" t="n"/>
      <c r="P6046" s="20" t="n"/>
      <c r="Q6046" s="19" t="n"/>
      <c r="R6046" s="19" t="n"/>
      <c r="Y6046" s="19" t="n"/>
    </row>
    <row r="6047">
      <c r="C6047" s="18" t="n"/>
      <c r="J6047" s="19" t="n"/>
      <c r="P6047" s="20" t="n"/>
      <c r="Q6047" s="19" t="n"/>
      <c r="R6047" s="19" t="n"/>
      <c r="Y6047" s="19" t="n"/>
    </row>
    <row r="6048">
      <c r="C6048" s="18" t="n"/>
      <c r="J6048" s="19" t="n"/>
      <c r="P6048" s="20" t="n"/>
      <c r="Q6048" s="19" t="n"/>
      <c r="R6048" s="19" t="n"/>
      <c r="Y6048" s="19" t="n"/>
    </row>
    <row r="6049">
      <c r="C6049" s="18" t="n"/>
      <c r="J6049" s="19" t="n"/>
      <c r="P6049" s="20" t="n"/>
      <c r="Q6049" s="19" t="n"/>
      <c r="R6049" s="19" t="n"/>
      <c r="Y6049" s="19" t="n"/>
    </row>
    <row r="6050">
      <c r="C6050" s="18" t="n"/>
      <c r="J6050" s="19" t="n"/>
      <c r="P6050" s="20" t="n"/>
      <c r="Q6050" s="19" t="n"/>
      <c r="R6050" s="19" t="n"/>
      <c r="Y6050" s="19" t="n"/>
    </row>
    <row r="6051">
      <c r="C6051" s="18" t="n"/>
      <c r="J6051" s="19" t="n"/>
      <c r="P6051" s="20" t="n"/>
      <c r="Q6051" s="19" t="n"/>
      <c r="R6051" s="19" t="n"/>
      <c r="Y6051" s="19" t="n"/>
    </row>
    <row r="6052">
      <c r="C6052" s="18" t="n"/>
      <c r="J6052" s="19" t="n"/>
      <c r="P6052" s="20" t="n"/>
      <c r="Q6052" s="19" t="n"/>
      <c r="R6052" s="19" t="n"/>
      <c r="Y6052" s="19" t="n"/>
    </row>
    <row r="6053">
      <c r="C6053" s="18" t="n"/>
      <c r="J6053" s="19" t="n"/>
      <c r="P6053" s="20" t="n"/>
      <c r="Q6053" s="19" t="n"/>
      <c r="R6053" s="19" t="n"/>
      <c r="Y6053" s="19" t="n"/>
    </row>
    <row r="6054">
      <c r="C6054" s="18" t="n"/>
      <c r="J6054" s="19" t="n"/>
      <c r="P6054" s="20" t="n"/>
      <c r="Q6054" s="19" t="n"/>
      <c r="R6054" s="19" t="n"/>
      <c r="Y6054" s="19" t="n"/>
    </row>
    <row r="6055">
      <c r="C6055" s="18" t="n"/>
      <c r="J6055" s="19" t="n"/>
      <c r="P6055" s="20" t="n"/>
      <c r="Q6055" s="19" t="n"/>
      <c r="R6055" s="19" t="n"/>
      <c r="Y6055" s="19" t="n"/>
    </row>
    <row r="6056">
      <c r="C6056" s="18" t="n"/>
      <c r="J6056" s="19" t="n"/>
      <c r="P6056" s="20" t="n"/>
      <c r="Q6056" s="19" t="n"/>
      <c r="R6056" s="19" t="n"/>
      <c r="Y6056" s="19" t="n"/>
    </row>
    <row r="6057">
      <c r="C6057" s="18" t="n"/>
      <c r="J6057" s="19" t="n"/>
      <c r="P6057" s="20" t="n"/>
      <c r="Q6057" s="19" t="n"/>
      <c r="R6057" s="19" t="n"/>
      <c r="Y6057" s="19" t="n"/>
    </row>
    <row r="6058">
      <c r="C6058" s="18" t="n"/>
      <c r="J6058" s="19" t="n"/>
      <c r="P6058" s="20" t="n"/>
      <c r="Q6058" s="19" t="n"/>
      <c r="R6058" s="19" t="n"/>
      <c r="Y6058" s="19" t="n"/>
    </row>
    <row r="6059">
      <c r="C6059" s="18" t="n"/>
      <c r="J6059" s="19" t="n"/>
      <c r="P6059" s="20" t="n"/>
      <c r="Q6059" s="19" t="n"/>
      <c r="R6059" s="19" t="n"/>
      <c r="Y6059" s="19" t="n"/>
    </row>
    <row r="6060">
      <c r="C6060" s="18" t="n"/>
      <c r="J6060" s="19" t="n"/>
      <c r="P6060" s="20" t="n"/>
      <c r="Q6060" s="19" t="n"/>
      <c r="R6060" s="19" t="n"/>
      <c r="Y6060" s="19" t="n"/>
    </row>
    <row r="6061">
      <c r="C6061" s="18" t="n"/>
      <c r="J6061" s="19" t="n"/>
      <c r="P6061" s="20" t="n"/>
      <c r="Q6061" s="19" t="n"/>
      <c r="R6061" s="19" t="n"/>
      <c r="Y6061" s="19" t="n"/>
    </row>
    <row r="6062">
      <c r="C6062" s="18" t="n"/>
      <c r="J6062" s="19" t="n"/>
      <c r="P6062" s="20" t="n"/>
      <c r="Q6062" s="19" t="n"/>
      <c r="R6062" s="19" t="n"/>
      <c r="Y6062" s="19" t="n"/>
    </row>
    <row r="6063">
      <c r="C6063" s="18" t="n"/>
      <c r="J6063" s="19" t="n"/>
      <c r="P6063" s="20" t="n"/>
      <c r="Q6063" s="19" t="n"/>
      <c r="R6063" s="19" t="n"/>
      <c r="Y6063" s="19" t="n"/>
    </row>
    <row r="6064">
      <c r="C6064" s="18" t="n"/>
      <c r="J6064" s="19" t="n"/>
      <c r="P6064" s="20" t="n"/>
      <c r="Q6064" s="19" t="n"/>
      <c r="R6064" s="19" t="n"/>
      <c r="Y6064" s="19" t="n"/>
    </row>
    <row r="6065">
      <c r="C6065" s="18" t="n"/>
      <c r="J6065" s="19" t="n"/>
      <c r="P6065" s="20" t="n"/>
      <c r="Q6065" s="19" t="n"/>
      <c r="R6065" s="19" t="n"/>
      <c r="Y6065" s="19" t="n"/>
    </row>
    <row r="6066">
      <c r="C6066" s="18" t="n"/>
      <c r="J6066" s="19" t="n"/>
      <c r="P6066" s="20" t="n"/>
      <c r="Q6066" s="19" t="n"/>
      <c r="R6066" s="19" t="n"/>
      <c r="Y6066" s="19" t="n"/>
    </row>
    <row r="6067">
      <c r="C6067" s="18" t="n"/>
      <c r="J6067" s="19" t="n"/>
      <c r="P6067" s="20" t="n"/>
      <c r="Q6067" s="19" t="n"/>
      <c r="R6067" s="19" t="n"/>
      <c r="Y6067" s="19" t="n"/>
    </row>
    <row r="6068">
      <c r="C6068" s="18" t="n"/>
      <c r="J6068" s="19" t="n"/>
      <c r="P6068" s="20" t="n"/>
      <c r="Q6068" s="19" t="n"/>
      <c r="R6068" s="19" t="n"/>
      <c r="Y6068" s="19" t="n"/>
    </row>
    <row r="6069">
      <c r="C6069" s="18" t="n"/>
      <c r="J6069" s="19" t="n"/>
      <c r="P6069" s="20" t="n"/>
      <c r="Q6069" s="19" t="n"/>
      <c r="R6069" s="19" t="n"/>
      <c r="Y6069" s="19" t="n"/>
    </row>
    <row r="6070">
      <c r="C6070" s="18" t="n"/>
      <c r="J6070" s="19" t="n"/>
      <c r="P6070" s="20" t="n"/>
      <c r="Q6070" s="19" t="n"/>
      <c r="R6070" s="19" t="n"/>
      <c r="Y6070" s="19" t="n"/>
    </row>
    <row r="6071">
      <c r="C6071" s="18" t="n"/>
      <c r="J6071" s="19" t="n"/>
      <c r="P6071" s="20" t="n"/>
      <c r="Q6071" s="19" t="n"/>
      <c r="R6071" s="19" t="n"/>
      <c r="Y6071" s="19" t="n"/>
    </row>
    <row r="6072">
      <c r="C6072" s="18" t="n"/>
      <c r="J6072" s="19" t="n"/>
      <c r="P6072" s="20" t="n"/>
      <c r="Q6072" s="19" t="n"/>
      <c r="R6072" s="19" t="n"/>
      <c r="Y6072" s="19" t="n"/>
    </row>
    <row r="6073">
      <c r="C6073" s="18" t="n"/>
      <c r="J6073" s="19" t="n"/>
      <c r="P6073" s="20" t="n"/>
      <c r="Q6073" s="19" t="n"/>
      <c r="R6073" s="19" t="n"/>
      <c r="Y6073" s="19" t="n"/>
    </row>
    <row r="6074">
      <c r="C6074" s="18" t="n"/>
      <c r="J6074" s="19" t="n"/>
      <c r="P6074" s="20" t="n"/>
      <c r="Q6074" s="19" t="n"/>
      <c r="R6074" s="19" t="n"/>
      <c r="Y6074" s="19" t="n"/>
    </row>
    <row r="6075">
      <c r="C6075" s="18" t="n"/>
      <c r="J6075" s="19" t="n"/>
      <c r="P6075" s="20" t="n"/>
      <c r="Q6075" s="19" t="n"/>
      <c r="R6075" s="19" t="n"/>
      <c r="Y6075" s="19" t="n"/>
    </row>
    <row r="6076">
      <c r="C6076" s="18" t="n"/>
      <c r="J6076" s="19" t="n"/>
      <c r="P6076" s="20" t="n"/>
      <c r="Q6076" s="19" t="n"/>
      <c r="R6076" s="19" t="n"/>
      <c r="Y6076" s="19" t="n"/>
    </row>
    <row r="6077">
      <c r="C6077" s="18" t="n"/>
      <c r="J6077" s="19" t="n"/>
      <c r="P6077" s="20" t="n"/>
      <c r="Q6077" s="19" t="n"/>
      <c r="R6077" s="19" t="n"/>
      <c r="Y6077" s="19" t="n"/>
    </row>
    <row r="6078">
      <c r="C6078" s="18" t="n"/>
      <c r="J6078" s="19" t="n"/>
      <c r="P6078" s="20" t="n"/>
      <c r="Q6078" s="19" t="n"/>
      <c r="R6078" s="19" t="n"/>
      <c r="Y6078" s="19" t="n"/>
    </row>
    <row r="6079">
      <c r="C6079" s="18" t="n"/>
      <c r="J6079" s="19" t="n"/>
      <c r="P6079" s="20" t="n"/>
      <c r="Q6079" s="19" t="n"/>
      <c r="R6079" s="19" t="n"/>
      <c r="Y6079" s="19" t="n"/>
    </row>
    <row r="6080">
      <c r="C6080" s="18" t="n"/>
      <c r="J6080" s="19" t="n"/>
      <c r="P6080" s="20" t="n"/>
      <c r="Q6080" s="19" t="n"/>
      <c r="R6080" s="19" t="n"/>
      <c r="Y6080" s="19" t="n"/>
    </row>
    <row r="6081">
      <c r="C6081" s="18" t="n"/>
      <c r="J6081" s="19" t="n"/>
      <c r="P6081" s="20" t="n"/>
      <c r="Q6081" s="19" t="n"/>
      <c r="R6081" s="19" t="n"/>
      <c r="Y6081" s="19" t="n"/>
    </row>
    <row r="6082">
      <c r="C6082" s="18" t="n"/>
      <c r="J6082" s="19" t="n"/>
      <c r="P6082" s="20" t="n"/>
      <c r="Q6082" s="19" t="n"/>
      <c r="R6082" s="19" t="n"/>
      <c r="Y6082" s="19" t="n"/>
    </row>
    <row r="6083">
      <c r="C6083" s="18" t="n"/>
      <c r="J6083" s="19" t="n"/>
      <c r="P6083" s="20" t="n"/>
      <c r="Q6083" s="19" t="n"/>
      <c r="R6083" s="19" t="n"/>
      <c r="Y6083" s="19" t="n"/>
    </row>
    <row r="6084">
      <c r="C6084" s="18" t="n"/>
      <c r="J6084" s="19" t="n"/>
      <c r="P6084" s="20" t="n"/>
      <c r="Q6084" s="19" t="n"/>
      <c r="R6084" s="19" t="n"/>
      <c r="Y6084" s="19" t="n"/>
    </row>
    <row r="6085">
      <c r="C6085" s="18" t="n"/>
      <c r="J6085" s="19" t="n"/>
      <c r="P6085" s="20" t="n"/>
      <c r="Q6085" s="19" t="n"/>
      <c r="R6085" s="19" t="n"/>
      <c r="Y6085" s="19" t="n"/>
    </row>
    <row r="6086">
      <c r="C6086" s="18" t="n"/>
      <c r="J6086" s="19" t="n"/>
      <c r="P6086" s="20" t="n"/>
      <c r="Q6086" s="19" t="n"/>
      <c r="R6086" s="19" t="n"/>
      <c r="Y6086" s="19" t="n"/>
    </row>
    <row r="6087">
      <c r="C6087" s="18" t="n"/>
      <c r="J6087" s="19" t="n"/>
      <c r="P6087" s="20" t="n"/>
      <c r="Q6087" s="19" t="n"/>
      <c r="R6087" s="19" t="n"/>
      <c r="Y6087" s="19" t="n"/>
    </row>
    <row r="6088">
      <c r="C6088" s="18" t="n"/>
      <c r="J6088" s="19" t="n"/>
      <c r="P6088" s="20" t="n"/>
      <c r="Q6088" s="19" t="n"/>
      <c r="R6088" s="19" t="n"/>
      <c r="Y6088" s="19" t="n"/>
    </row>
    <row r="6089">
      <c r="C6089" s="18" t="n"/>
      <c r="J6089" s="19" t="n"/>
      <c r="P6089" s="20" t="n"/>
      <c r="Q6089" s="19" t="n"/>
      <c r="R6089" s="19" t="n"/>
      <c r="Y6089" s="19" t="n"/>
    </row>
    <row r="6090">
      <c r="C6090" s="18" t="n"/>
      <c r="J6090" s="19" t="n"/>
      <c r="P6090" s="20" t="n"/>
      <c r="Q6090" s="19" t="n"/>
      <c r="R6090" s="19" t="n"/>
      <c r="Y6090" s="19" t="n"/>
    </row>
    <row r="6091">
      <c r="C6091" s="18" t="n"/>
      <c r="J6091" s="19" t="n"/>
      <c r="P6091" s="20" t="n"/>
      <c r="Q6091" s="19" t="n"/>
      <c r="R6091" s="19" t="n"/>
      <c r="Y6091" s="19" t="n"/>
    </row>
    <row r="6092">
      <c r="C6092" s="18" t="n"/>
      <c r="J6092" s="19" t="n"/>
      <c r="P6092" s="20" t="n"/>
      <c r="Q6092" s="19" t="n"/>
      <c r="R6092" s="19" t="n"/>
      <c r="Y6092" s="19" t="n"/>
    </row>
    <row r="6093">
      <c r="C6093" s="18" t="n"/>
      <c r="J6093" s="19" t="n"/>
      <c r="P6093" s="20" t="n"/>
      <c r="Q6093" s="19" t="n"/>
      <c r="R6093" s="19" t="n"/>
      <c r="Y6093" s="19" t="n"/>
    </row>
    <row r="6094">
      <c r="C6094" s="18" t="n"/>
      <c r="J6094" s="19" t="n"/>
      <c r="P6094" s="20" t="n"/>
      <c r="Q6094" s="19" t="n"/>
      <c r="R6094" s="19" t="n"/>
      <c r="Y6094" s="19" t="n"/>
    </row>
    <row r="6095">
      <c r="C6095" s="18" t="n"/>
      <c r="J6095" s="19" t="n"/>
      <c r="P6095" s="20" t="n"/>
      <c r="Q6095" s="19" t="n"/>
      <c r="R6095" s="19" t="n"/>
      <c r="Y6095" s="19" t="n"/>
    </row>
    <row r="6096">
      <c r="C6096" s="18" t="n"/>
      <c r="J6096" s="19" t="n"/>
      <c r="P6096" s="20" t="n"/>
      <c r="Q6096" s="19" t="n"/>
      <c r="R6096" s="19" t="n"/>
      <c r="Y6096" s="19" t="n"/>
    </row>
    <row r="6097">
      <c r="C6097" s="18" t="n"/>
      <c r="J6097" s="19" t="n"/>
      <c r="P6097" s="20" t="n"/>
      <c r="Q6097" s="19" t="n"/>
      <c r="R6097" s="19" t="n"/>
      <c r="Y6097" s="19" t="n"/>
    </row>
    <row r="6098">
      <c r="C6098" s="18" t="n"/>
      <c r="J6098" s="19" t="n"/>
      <c r="P6098" s="20" t="n"/>
      <c r="Q6098" s="19" t="n"/>
      <c r="R6098" s="19" t="n"/>
      <c r="Y6098" s="19" t="n"/>
    </row>
    <row r="6099">
      <c r="C6099" s="18" t="n"/>
      <c r="J6099" s="19" t="n"/>
      <c r="P6099" s="20" t="n"/>
      <c r="Q6099" s="19" t="n"/>
      <c r="R6099" s="19" t="n"/>
      <c r="Y6099" s="19" t="n"/>
    </row>
    <row r="6100">
      <c r="C6100" s="18" t="n"/>
      <c r="J6100" s="19" t="n"/>
      <c r="P6100" s="20" t="n"/>
      <c r="Q6100" s="19" t="n"/>
      <c r="R6100" s="19" t="n"/>
      <c r="Y6100" s="19" t="n"/>
    </row>
    <row r="6101">
      <c r="C6101" s="18" t="n"/>
      <c r="J6101" s="19" t="n"/>
      <c r="P6101" s="20" t="n"/>
      <c r="Q6101" s="19" t="n"/>
      <c r="R6101" s="19" t="n"/>
      <c r="Y6101" s="19" t="n"/>
    </row>
    <row r="6102">
      <c r="C6102" s="18" t="n"/>
      <c r="J6102" s="19" t="n"/>
      <c r="P6102" s="20" t="n"/>
      <c r="Q6102" s="19" t="n"/>
      <c r="R6102" s="19" t="n"/>
      <c r="Y6102" s="19" t="n"/>
    </row>
    <row r="6103">
      <c r="C6103" s="18" t="n"/>
      <c r="J6103" s="19" t="n"/>
      <c r="P6103" s="20" t="n"/>
      <c r="Q6103" s="19" t="n"/>
      <c r="R6103" s="19" t="n"/>
      <c r="Y6103" s="19" t="n"/>
    </row>
    <row r="6104">
      <c r="C6104" s="18" t="n"/>
      <c r="J6104" s="19" t="n"/>
      <c r="P6104" s="20" t="n"/>
      <c r="Q6104" s="19" t="n"/>
      <c r="R6104" s="19" t="n"/>
      <c r="Y6104" s="19" t="n"/>
    </row>
    <row r="6105">
      <c r="C6105" s="18" t="n"/>
      <c r="J6105" s="19" t="n"/>
      <c r="P6105" s="20" t="n"/>
      <c r="Q6105" s="19" t="n"/>
      <c r="R6105" s="19" t="n"/>
      <c r="Y6105" s="19" t="n"/>
    </row>
    <row r="6106">
      <c r="C6106" s="18" t="n"/>
      <c r="J6106" s="19" t="n"/>
      <c r="P6106" s="20" t="n"/>
      <c r="Q6106" s="19" t="n"/>
      <c r="R6106" s="19" t="n"/>
      <c r="Y6106" s="19" t="n"/>
    </row>
    <row r="6107">
      <c r="C6107" s="18" t="n"/>
      <c r="J6107" s="19" t="n"/>
      <c r="P6107" s="20" t="n"/>
      <c r="Q6107" s="19" t="n"/>
      <c r="R6107" s="19" t="n"/>
      <c r="Y6107" s="19" t="n"/>
    </row>
    <row r="6108">
      <c r="C6108" s="18" t="n"/>
      <c r="J6108" s="19" t="n"/>
      <c r="P6108" s="20" t="n"/>
      <c r="Q6108" s="19" t="n"/>
      <c r="R6108" s="19" t="n"/>
      <c r="Y6108" s="19" t="n"/>
    </row>
    <row r="6109">
      <c r="C6109" s="18" t="n"/>
      <c r="J6109" s="19" t="n"/>
      <c r="P6109" s="20" t="n"/>
      <c r="Q6109" s="19" t="n"/>
      <c r="R6109" s="19" t="n"/>
      <c r="Y6109" s="19" t="n"/>
    </row>
    <row r="6110">
      <c r="C6110" s="18" t="n"/>
      <c r="J6110" s="19" t="n"/>
      <c r="P6110" s="20" t="n"/>
      <c r="Q6110" s="19" t="n"/>
      <c r="R6110" s="19" t="n"/>
      <c r="Y6110" s="19" t="n"/>
    </row>
    <row r="6111">
      <c r="C6111" s="18" t="n"/>
      <c r="J6111" s="19" t="n"/>
      <c r="P6111" s="20" t="n"/>
      <c r="Q6111" s="19" t="n"/>
      <c r="R6111" s="19" t="n"/>
      <c r="Y6111" s="19" t="n"/>
    </row>
    <row r="6112">
      <c r="C6112" s="18" t="n"/>
      <c r="J6112" s="19" t="n"/>
      <c r="P6112" s="20" t="n"/>
      <c r="Q6112" s="19" t="n"/>
      <c r="R6112" s="19" t="n"/>
      <c r="Y6112" s="19" t="n"/>
    </row>
    <row r="6113">
      <c r="C6113" s="18" t="n"/>
      <c r="J6113" s="19" t="n"/>
      <c r="P6113" s="20" t="n"/>
      <c r="Q6113" s="19" t="n"/>
      <c r="R6113" s="19" t="n"/>
      <c r="Y6113" s="19" t="n"/>
    </row>
    <row r="6114">
      <c r="C6114" s="18" t="n"/>
      <c r="J6114" s="19" t="n"/>
      <c r="P6114" s="20" t="n"/>
      <c r="Q6114" s="19" t="n"/>
      <c r="R6114" s="19" t="n"/>
      <c r="Y6114" s="19" t="n"/>
    </row>
    <row r="6115">
      <c r="C6115" s="18" t="n"/>
      <c r="J6115" s="19" t="n"/>
      <c r="P6115" s="20" t="n"/>
      <c r="Q6115" s="19" t="n"/>
      <c r="R6115" s="19" t="n"/>
      <c r="Y6115" s="19" t="n"/>
    </row>
    <row r="6116">
      <c r="C6116" s="18" t="n"/>
      <c r="J6116" s="19" t="n"/>
      <c r="P6116" s="20" t="n"/>
      <c r="Q6116" s="19" t="n"/>
      <c r="R6116" s="19" t="n"/>
      <c r="Y6116" s="19" t="n"/>
    </row>
    <row r="6117">
      <c r="C6117" s="18" t="n"/>
      <c r="J6117" s="19" t="n"/>
      <c r="P6117" s="20" t="n"/>
      <c r="Q6117" s="19" t="n"/>
      <c r="R6117" s="19" t="n"/>
      <c r="Y6117" s="19" t="n"/>
    </row>
    <row r="6118">
      <c r="C6118" s="18" t="n"/>
      <c r="J6118" s="19" t="n"/>
      <c r="P6118" s="20" t="n"/>
      <c r="Q6118" s="19" t="n"/>
      <c r="R6118" s="19" t="n"/>
      <c r="Y6118" s="19" t="n"/>
    </row>
    <row r="6119">
      <c r="C6119" s="18" t="n"/>
      <c r="J6119" s="19" t="n"/>
      <c r="P6119" s="20" t="n"/>
      <c r="Q6119" s="19" t="n"/>
      <c r="R6119" s="19" t="n"/>
      <c r="Y6119" s="19" t="n"/>
    </row>
    <row r="6120">
      <c r="C6120" s="18" t="n"/>
      <c r="J6120" s="19" t="n"/>
      <c r="P6120" s="20" t="n"/>
      <c r="Q6120" s="19" t="n"/>
      <c r="R6120" s="19" t="n"/>
      <c r="Y6120" s="19" t="n"/>
    </row>
    <row r="6121">
      <c r="C6121" s="18" t="n"/>
      <c r="J6121" s="19" t="n"/>
      <c r="P6121" s="20" t="n"/>
      <c r="Q6121" s="19" t="n"/>
      <c r="R6121" s="19" t="n"/>
      <c r="Y6121" s="19" t="n"/>
    </row>
    <row r="6122">
      <c r="C6122" s="18" t="n"/>
      <c r="J6122" s="19" t="n"/>
      <c r="P6122" s="20" t="n"/>
      <c r="Q6122" s="19" t="n"/>
      <c r="R6122" s="19" t="n"/>
      <c r="Y6122" s="19" t="n"/>
    </row>
    <row r="6123">
      <c r="C6123" s="18" t="n"/>
      <c r="J6123" s="19" t="n"/>
      <c r="P6123" s="20" t="n"/>
      <c r="Q6123" s="19" t="n"/>
      <c r="R6123" s="19" t="n"/>
      <c r="Y6123" s="19" t="n"/>
    </row>
    <row r="6124">
      <c r="C6124" s="18" t="n"/>
      <c r="J6124" s="19" t="n"/>
      <c r="P6124" s="20" t="n"/>
      <c r="Q6124" s="19" t="n"/>
      <c r="R6124" s="19" t="n"/>
      <c r="Y6124" s="19" t="n"/>
    </row>
    <row r="6125">
      <c r="C6125" s="18" t="n"/>
      <c r="J6125" s="19" t="n"/>
      <c r="P6125" s="20" t="n"/>
      <c r="Q6125" s="19" t="n"/>
      <c r="R6125" s="19" t="n"/>
      <c r="Y6125" s="19" t="n"/>
    </row>
    <row r="6126">
      <c r="C6126" s="18" t="n"/>
      <c r="J6126" s="19" t="n"/>
      <c r="P6126" s="20" t="n"/>
      <c r="Q6126" s="19" t="n"/>
      <c r="R6126" s="19" t="n"/>
      <c r="Y6126" s="19" t="n"/>
    </row>
    <row r="6127">
      <c r="C6127" s="18" t="n"/>
      <c r="J6127" s="19" t="n"/>
      <c r="P6127" s="20" t="n"/>
      <c r="Q6127" s="19" t="n"/>
      <c r="R6127" s="19" t="n"/>
      <c r="Y6127" s="19" t="n"/>
    </row>
    <row r="6128">
      <c r="C6128" s="18" t="n"/>
      <c r="J6128" s="19" t="n"/>
      <c r="P6128" s="20" t="n"/>
      <c r="Q6128" s="19" t="n"/>
      <c r="R6128" s="19" t="n"/>
      <c r="Y6128" s="19" t="n"/>
    </row>
    <row r="6129">
      <c r="C6129" s="18" t="n"/>
      <c r="J6129" s="19" t="n"/>
      <c r="P6129" s="20" t="n"/>
      <c r="Q6129" s="19" t="n"/>
      <c r="R6129" s="19" t="n"/>
      <c r="Y6129" s="19" t="n"/>
    </row>
    <row r="6130">
      <c r="C6130" s="18" t="n"/>
      <c r="J6130" s="19" t="n"/>
      <c r="P6130" s="20" t="n"/>
      <c r="Q6130" s="19" t="n"/>
      <c r="R6130" s="19" t="n"/>
      <c r="Y6130" s="19" t="n"/>
    </row>
    <row r="6131">
      <c r="C6131" s="18" t="n"/>
      <c r="J6131" s="19" t="n"/>
      <c r="P6131" s="20" t="n"/>
      <c r="Q6131" s="19" t="n"/>
      <c r="R6131" s="19" t="n"/>
      <c r="Y6131" s="19" t="n"/>
    </row>
    <row r="6132">
      <c r="C6132" s="18" t="n"/>
      <c r="J6132" s="19" t="n"/>
      <c r="P6132" s="20" t="n"/>
      <c r="Q6132" s="19" t="n"/>
      <c r="R6132" s="19" t="n"/>
      <c r="Y6132" s="19" t="n"/>
    </row>
    <row r="6133">
      <c r="C6133" s="18" t="n"/>
      <c r="J6133" s="19" t="n"/>
      <c r="P6133" s="20" t="n"/>
      <c r="Q6133" s="19" t="n"/>
      <c r="R6133" s="19" t="n"/>
      <c r="Y6133" s="19" t="n"/>
    </row>
    <row r="6134">
      <c r="C6134" s="18" t="n"/>
      <c r="J6134" s="19" t="n"/>
      <c r="P6134" s="20" t="n"/>
      <c r="Q6134" s="19" t="n"/>
      <c r="R6134" s="19" t="n"/>
      <c r="Y6134" s="19" t="n"/>
    </row>
    <row r="6135">
      <c r="C6135" s="18" t="n"/>
      <c r="J6135" s="19" t="n"/>
      <c r="P6135" s="20" t="n"/>
      <c r="Q6135" s="19" t="n"/>
      <c r="R6135" s="19" t="n"/>
      <c r="Y6135" s="19" t="n"/>
    </row>
    <row r="6136">
      <c r="C6136" s="18" t="n"/>
      <c r="J6136" s="19" t="n"/>
      <c r="P6136" s="20" t="n"/>
      <c r="Q6136" s="19" t="n"/>
      <c r="R6136" s="19" t="n"/>
      <c r="Y6136" s="19" t="n"/>
    </row>
    <row r="6137">
      <c r="C6137" s="18" t="n"/>
      <c r="J6137" s="19" t="n"/>
      <c r="P6137" s="20" t="n"/>
      <c r="Q6137" s="19" t="n"/>
      <c r="R6137" s="19" t="n"/>
      <c r="Y6137" s="19" t="n"/>
    </row>
    <row r="6138">
      <c r="C6138" s="18" t="n"/>
      <c r="J6138" s="19" t="n"/>
      <c r="P6138" s="20" t="n"/>
      <c r="Q6138" s="19" t="n"/>
      <c r="R6138" s="19" t="n"/>
      <c r="Y6138" s="19" t="n"/>
    </row>
    <row r="6139">
      <c r="C6139" s="18" t="n"/>
      <c r="J6139" s="19" t="n"/>
      <c r="P6139" s="20" t="n"/>
      <c r="Q6139" s="19" t="n"/>
      <c r="R6139" s="19" t="n"/>
      <c r="Y6139" s="19" t="n"/>
    </row>
    <row r="6140">
      <c r="C6140" s="18" t="n"/>
      <c r="J6140" s="19" t="n"/>
      <c r="P6140" s="20" t="n"/>
      <c r="Q6140" s="19" t="n"/>
      <c r="R6140" s="19" t="n"/>
      <c r="Y6140" s="19" t="n"/>
    </row>
    <row r="6141">
      <c r="C6141" s="18" t="n"/>
      <c r="J6141" s="19" t="n"/>
      <c r="P6141" s="20" t="n"/>
      <c r="Q6141" s="19" t="n"/>
      <c r="R6141" s="19" t="n"/>
      <c r="Y6141" s="19" t="n"/>
    </row>
    <row r="6142">
      <c r="C6142" s="18" t="n"/>
      <c r="J6142" s="19" t="n"/>
      <c r="P6142" s="20" t="n"/>
      <c r="Q6142" s="19" t="n"/>
      <c r="R6142" s="19" t="n"/>
      <c r="Y6142" s="19" t="n"/>
    </row>
    <row r="6143">
      <c r="C6143" s="18" t="n"/>
      <c r="J6143" s="19" t="n"/>
      <c r="P6143" s="20" t="n"/>
      <c r="Q6143" s="19" t="n"/>
      <c r="R6143" s="19" t="n"/>
      <c r="Y6143" s="19" t="n"/>
    </row>
    <row r="6144">
      <c r="C6144" s="18" t="n"/>
      <c r="J6144" s="19" t="n"/>
      <c r="P6144" s="20" t="n"/>
      <c r="Q6144" s="19" t="n"/>
      <c r="R6144" s="19" t="n"/>
      <c r="Y6144" s="19" t="n"/>
    </row>
    <row r="6145">
      <c r="C6145" s="18" t="n"/>
      <c r="J6145" s="19" t="n"/>
      <c r="P6145" s="20" t="n"/>
      <c r="Q6145" s="19" t="n"/>
      <c r="R6145" s="19" t="n"/>
      <c r="Y6145" s="19" t="n"/>
    </row>
    <row r="6146">
      <c r="C6146" s="18" t="n"/>
      <c r="J6146" s="19" t="n"/>
      <c r="P6146" s="20" t="n"/>
      <c r="Q6146" s="19" t="n"/>
      <c r="R6146" s="19" t="n"/>
      <c r="Y6146" s="19" t="n"/>
    </row>
    <row r="6147">
      <c r="C6147" s="18" t="n"/>
      <c r="J6147" s="19" t="n"/>
      <c r="P6147" s="20" t="n"/>
      <c r="Q6147" s="19" t="n"/>
      <c r="R6147" s="19" t="n"/>
      <c r="Y6147" s="19" t="n"/>
    </row>
    <row r="6148">
      <c r="C6148" s="18" t="n"/>
      <c r="J6148" s="19" t="n"/>
      <c r="P6148" s="20" t="n"/>
      <c r="Q6148" s="19" t="n"/>
      <c r="R6148" s="19" t="n"/>
      <c r="Y6148" s="19" t="n"/>
    </row>
    <row r="6149">
      <c r="C6149" s="18" t="n"/>
      <c r="J6149" s="19" t="n"/>
      <c r="P6149" s="20" t="n"/>
      <c r="Q6149" s="19" t="n"/>
      <c r="R6149" s="19" t="n"/>
      <c r="Y6149" s="19" t="n"/>
    </row>
    <row r="6150">
      <c r="C6150" s="18" t="n"/>
      <c r="J6150" s="19" t="n"/>
      <c r="P6150" s="20" t="n"/>
      <c r="Q6150" s="19" t="n"/>
      <c r="R6150" s="19" t="n"/>
      <c r="Y6150" s="19" t="n"/>
    </row>
    <row r="6151">
      <c r="C6151" s="18" t="n"/>
      <c r="J6151" s="19" t="n"/>
      <c r="P6151" s="20" t="n"/>
      <c r="Q6151" s="19" t="n"/>
      <c r="R6151" s="19" t="n"/>
      <c r="Y6151" s="19" t="n"/>
    </row>
    <row r="6152">
      <c r="C6152" s="18" t="n"/>
      <c r="J6152" s="19" t="n"/>
      <c r="P6152" s="20" t="n"/>
      <c r="Q6152" s="19" t="n"/>
      <c r="R6152" s="19" t="n"/>
      <c r="Y6152" s="19" t="n"/>
    </row>
    <row r="6153">
      <c r="C6153" s="18" t="n"/>
      <c r="J6153" s="19" t="n"/>
      <c r="P6153" s="20" t="n"/>
      <c r="Q6153" s="19" t="n"/>
      <c r="R6153" s="19" t="n"/>
      <c r="Y6153" s="19" t="n"/>
    </row>
    <row r="6154">
      <c r="C6154" s="18" t="n"/>
      <c r="J6154" s="19" t="n"/>
      <c r="P6154" s="20" t="n"/>
      <c r="Q6154" s="19" t="n"/>
      <c r="R6154" s="19" t="n"/>
      <c r="Y6154" s="19" t="n"/>
    </row>
    <row r="6155">
      <c r="C6155" s="18" t="n"/>
      <c r="J6155" s="19" t="n"/>
      <c r="P6155" s="20" t="n"/>
      <c r="Q6155" s="19" t="n"/>
      <c r="R6155" s="19" t="n"/>
      <c r="Y6155" s="19" t="n"/>
    </row>
    <row r="6156">
      <c r="C6156" s="18" t="n"/>
      <c r="J6156" s="19" t="n"/>
      <c r="P6156" s="20" t="n"/>
      <c r="Q6156" s="19" t="n"/>
      <c r="R6156" s="19" t="n"/>
      <c r="Y6156" s="19" t="n"/>
    </row>
    <row r="6157">
      <c r="C6157" s="18" t="n"/>
      <c r="J6157" s="19" t="n"/>
      <c r="P6157" s="20" t="n"/>
      <c r="Q6157" s="19" t="n"/>
      <c r="R6157" s="19" t="n"/>
      <c r="Y6157" s="19" t="n"/>
    </row>
    <row r="6158">
      <c r="C6158" s="18" t="n"/>
      <c r="J6158" s="19" t="n"/>
      <c r="P6158" s="20" t="n"/>
      <c r="Q6158" s="19" t="n"/>
      <c r="R6158" s="19" t="n"/>
      <c r="Y6158" s="19" t="n"/>
    </row>
    <row r="6159">
      <c r="C6159" s="18" t="n"/>
      <c r="J6159" s="19" t="n"/>
      <c r="P6159" s="20" t="n"/>
      <c r="Q6159" s="19" t="n"/>
      <c r="R6159" s="19" t="n"/>
      <c r="Y6159" s="19" t="n"/>
    </row>
    <row r="6160">
      <c r="C6160" s="18" t="n"/>
      <c r="J6160" s="19" t="n"/>
      <c r="P6160" s="20" t="n"/>
      <c r="Q6160" s="19" t="n"/>
      <c r="R6160" s="19" t="n"/>
      <c r="Y6160" s="19" t="n"/>
    </row>
    <row r="6161">
      <c r="C6161" s="18" t="n"/>
      <c r="J6161" s="19" t="n"/>
      <c r="P6161" s="20" t="n"/>
      <c r="Q6161" s="19" t="n"/>
      <c r="R6161" s="19" t="n"/>
      <c r="Y6161" s="19" t="n"/>
    </row>
    <row r="6162">
      <c r="C6162" s="18" t="n"/>
      <c r="J6162" s="19" t="n"/>
      <c r="P6162" s="20" t="n"/>
      <c r="Q6162" s="19" t="n"/>
      <c r="R6162" s="19" t="n"/>
      <c r="Y6162" s="19" t="n"/>
    </row>
    <row r="6163">
      <c r="C6163" s="18" t="n"/>
      <c r="J6163" s="19" t="n"/>
      <c r="P6163" s="20" t="n"/>
      <c r="Q6163" s="19" t="n"/>
      <c r="R6163" s="19" t="n"/>
      <c r="Y6163" s="19" t="n"/>
    </row>
    <row r="6164">
      <c r="C6164" s="18" t="n"/>
      <c r="J6164" s="19" t="n"/>
      <c r="P6164" s="20" t="n"/>
      <c r="Q6164" s="19" t="n"/>
      <c r="R6164" s="19" t="n"/>
      <c r="Y6164" s="19" t="n"/>
    </row>
    <row r="6165">
      <c r="C6165" s="18" t="n"/>
      <c r="J6165" s="19" t="n"/>
      <c r="P6165" s="20" t="n"/>
      <c r="Q6165" s="19" t="n"/>
      <c r="R6165" s="19" t="n"/>
      <c r="Y6165" s="19" t="n"/>
    </row>
    <row r="6166">
      <c r="C6166" s="18" t="n"/>
      <c r="J6166" s="19" t="n"/>
      <c r="P6166" s="20" t="n"/>
      <c r="Q6166" s="19" t="n"/>
      <c r="R6166" s="19" t="n"/>
      <c r="Y6166" s="19" t="n"/>
    </row>
    <row r="6167">
      <c r="C6167" s="18" t="n"/>
      <c r="J6167" s="19" t="n"/>
      <c r="P6167" s="20" t="n"/>
      <c r="Q6167" s="19" t="n"/>
      <c r="R6167" s="19" t="n"/>
      <c r="Y6167" s="19" t="n"/>
    </row>
    <row r="6168">
      <c r="C6168" s="18" t="n"/>
      <c r="J6168" s="19" t="n"/>
      <c r="P6168" s="20" t="n"/>
      <c r="Q6168" s="19" t="n"/>
      <c r="R6168" s="19" t="n"/>
      <c r="Y6168" s="19" t="n"/>
    </row>
    <row r="6169">
      <c r="C6169" s="18" t="n"/>
      <c r="J6169" s="19" t="n"/>
      <c r="P6169" s="20" t="n"/>
      <c r="Q6169" s="19" t="n"/>
      <c r="R6169" s="19" t="n"/>
      <c r="Y6169" s="19" t="n"/>
    </row>
    <row r="6170">
      <c r="C6170" s="18" t="n"/>
      <c r="J6170" s="19" t="n"/>
      <c r="P6170" s="20" t="n"/>
      <c r="Q6170" s="19" t="n"/>
      <c r="R6170" s="19" t="n"/>
      <c r="Y6170" s="19" t="n"/>
    </row>
    <row r="6171">
      <c r="C6171" s="18" t="n"/>
      <c r="J6171" s="19" t="n"/>
      <c r="P6171" s="20" t="n"/>
      <c r="Q6171" s="19" t="n"/>
      <c r="R6171" s="19" t="n"/>
      <c r="Y6171" s="19" t="n"/>
    </row>
    <row r="6172">
      <c r="C6172" s="18" t="n"/>
      <c r="J6172" s="19" t="n"/>
      <c r="P6172" s="20" t="n"/>
      <c r="Q6172" s="19" t="n"/>
      <c r="R6172" s="19" t="n"/>
      <c r="Y6172" s="19" t="n"/>
    </row>
    <row r="6173">
      <c r="C6173" s="18" t="n"/>
      <c r="J6173" s="19" t="n"/>
      <c r="P6173" s="20" t="n"/>
      <c r="Q6173" s="19" t="n"/>
      <c r="R6173" s="19" t="n"/>
      <c r="Y6173" s="19" t="n"/>
    </row>
    <row r="6174">
      <c r="C6174" s="18" t="n"/>
      <c r="J6174" s="19" t="n"/>
      <c r="P6174" s="20" t="n"/>
      <c r="Q6174" s="19" t="n"/>
      <c r="R6174" s="19" t="n"/>
      <c r="Y6174" s="19" t="n"/>
    </row>
    <row r="6175">
      <c r="C6175" s="18" t="n"/>
      <c r="J6175" s="19" t="n"/>
      <c r="P6175" s="20" t="n"/>
      <c r="Q6175" s="19" t="n"/>
      <c r="R6175" s="19" t="n"/>
      <c r="Y6175" s="19" t="n"/>
    </row>
    <row r="6176">
      <c r="C6176" s="18" t="n"/>
      <c r="J6176" s="19" t="n"/>
      <c r="P6176" s="20" t="n"/>
      <c r="Q6176" s="19" t="n"/>
      <c r="R6176" s="19" t="n"/>
      <c r="Y6176" s="19" t="n"/>
    </row>
    <row r="6177">
      <c r="C6177" s="18" t="n"/>
      <c r="J6177" s="19" t="n"/>
      <c r="P6177" s="20" t="n"/>
      <c r="Q6177" s="19" t="n"/>
      <c r="R6177" s="19" t="n"/>
      <c r="Y6177" s="19" t="n"/>
    </row>
    <row r="6178">
      <c r="C6178" s="18" t="n"/>
      <c r="J6178" s="19" t="n"/>
      <c r="P6178" s="20" t="n"/>
      <c r="Q6178" s="19" t="n"/>
      <c r="R6178" s="19" t="n"/>
      <c r="Y6178" s="19" t="n"/>
    </row>
    <row r="6179">
      <c r="C6179" s="18" t="n"/>
      <c r="J6179" s="19" t="n"/>
      <c r="P6179" s="20" t="n"/>
      <c r="Q6179" s="19" t="n"/>
      <c r="R6179" s="19" t="n"/>
      <c r="Y6179" s="19" t="n"/>
    </row>
    <row r="6180">
      <c r="C6180" s="18" t="n"/>
      <c r="J6180" s="19" t="n"/>
      <c r="P6180" s="20" t="n"/>
      <c r="Q6180" s="19" t="n"/>
      <c r="R6180" s="19" t="n"/>
      <c r="Y6180" s="19" t="n"/>
    </row>
    <row r="6181">
      <c r="C6181" s="18" t="n"/>
      <c r="J6181" s="19" t="n"/>
      <c r="P6181" s="20" t="n"/>
      <c r="Q6181" s="19" t="n"/>
      <c r="R6181" s="19" t="n"/>
      <c r="Y6181" s="19" t="n"/>
    </row>
    <row r="6182">
      <c r="C6182" s="18" t="n"/>
      <c r="J6182" s="19" t="n"/>
      <c r="P6182" s="20" t="n"/>
      <c r="Q6182" s="19" t="n"/>
      <c r="R6182" s="19" t="n"/>
      <c r="Y6182" s="19" t="n"/>
    </row>
    <row r="6183">
      <c r="C6183" s="18" t="n"/>
      <c r="J6183" s="19" t="n"/>
      <c r="P6183" s="20" t="n"/>
      <c r="Q6183" s="19" t="n"/>
      <c r="R6183" s="19" t="n"/>
      <c r="Y6183" s="19" t="n"/>
    </row>
    <row r="6184">
      <c r="C6184" s="18" t="n"/>
      <c r="J6184" s="19" t="n"/>
      <c r="P6184" s="20" t="n"/>
      <c r="Q6184" s="19" t="n"/>
      <c r="R6184" s="19" t="n"/>
      <c r="Y6184" s="19" t="n"/>
    </row>
    <row r="6185">
      <c r="C6185" s="18" t="n"/>
      <c r="J6185" s="19" t="n"/>
      <c r="P6185" s="20" t="n"/>
      <c r="Q6185" s="19" t="n"/>
      <c r="R6185" s="19" t="n"/>
      <c r="Y6185" s="19" t="n"/>
    </row>
    <row r="6186">
      <c r="C6186" s="18" t="n"/>
      <c r="J6186" s="19" t="n"/>
      <c r="P6186" s="20" t="n"/>
      <c r="Q6186" s="19" t="n"/>
      <c r="R6186" s="19" t="n"/>
      <c r="Y6186" s="19" t="n"/>
    </row>
    <row r="6187">
      <c r="C6187" s="18" t="n"/>
      <c r="J6187" s="19" t="n"/>
      <c r="P6187" s="20" t="n"/>
      <c r="Q6187" s="19" t="n"/>
      <c r="R6187" s="19" t="n"/>
      <c r="Y6187" s="19" t="n"/>
    </row>
    <row r="6188">
      <c r="C6188" s="18" t="n"/>
      <c r="J6188" s="19" t="n"/>
      <c r="P6188" s="20" t="n"/>
      <c r="Q6188" s="19" t="n"/>
      <c r="R6188" s="19" t="n"/>
      <c r="Y6188" s="19" t="n"/>
    </row>
    <row r="6189">
      <c r="C6189" s="18" t="n"/>
      <c r="J6189" s="19" t="n"/>
      <c r="P6189" s="20" t="n"/>
      <c r="Q6189" s="19" t="n"/>
      <c r="R6189" s="19" t="n"/>
      <c r="Y6189" s="19" t="n"/>
    </row>
    <row r="6190">
      <c r="C6190" s="18" t="n"/>
      <c r="J6190" s="19" t="n"/>
      <c r="P6190" s="20" t="n"/>
      <c r="Q6190" s="19" t="n"/>
      <c r="R6190" s="19" t="n"/>
      <c r="Y6190" s="19" t="n"/>
    </row>
    <row r="6191">
      <c r="C6191" s="18" t="n"/>
      <c r="J6191" s="19" t="n"/>
      <c r="P6191" s="20" t="n"/>
      <c r="Q6191" s="19" t="n"/>
      <c r="R6191" s="19" t="n"/>
      <c r="Y6191" s="19" t="n"/>
    </row>
    <row r="6192">
      <c r="C6192" s="18" t="n"/>
      <c r="J6192" s="19" t="n"/>
      <c r="P6192" s="20" t="n"/>
      <c r="Q6192" s="19" t="n"/>
      <c r="R6192" s="19" t="n"/>
      <c r="Y6192" s="19" t="n"/>
    </row>
    <row r="6193">
      <c r="C6193" s="18" t="n"/>
      <c r="J6193" s="19" t="n"/>
      <c r="P6193" s="20" t="n"/>
      <c r="Q6193" s="19" t="n"/>
      <c r="R6193" s="19" t="n"/>
      <c r="Y6193" s="19" t="n"/>
    </row>
    <row r="6194">
      <c r="C6194" s="18" t="n"/>
      <c r="J6194" s="19" t="n"/>
      <c r="P6194" s="20" t="n"/>
      <c r="Q6194" s="19" t="n"/>
      <c r="R6194" s="19" t="n"/>
      <c r="Y6194" s="19" t="n"/>
    </row>
    <row r="6195">
      <c r="C6195" s="18" t="n"/>
      <c r="J6195" s="19" t="n"/>
      <c r="P6195" s="20" t="n"/>
      <c r="Q6195" s="19" t="n"/>
      <c r="R6195" s="19" t="n"/>
      <c r="Y6195" s="19" t="n"/>
    </row>
    <row r="6196">
      <c r="C6196" s="18" t="n"/>
      <c r="J6196" s="19" t="n"/>
      <c r="P6196" s="20" t="n"/>
      <c r="Q6196" s="19" t="n"/>
      <c r="R6196" s="19" t="n"/>
      <c r="Y6196" s="19" t="n"/>
    </row>
    <row r="6197">
      <c r="C6197" s="18" t="n"/>
      <c r="J6197" s="19" t="n"/>
      <c r="P6197" s="20" t="n"/>
      <c r="Q6197" s="19" t="n"/>
      <c r="R6197" s="19" t="n"/>
      <c r="Y6197" s="19" t="n"/>
    </row>
    <row r="6198">
      <c r="C6198" s="18" t="n"/>
      <c r="J6198" s="19" t="n"/>
      <c r="P6198" s="20" t="n"/>
      <c r="Q6198" s="19" t="n"/>
      <c r="R6198" s="19" t="n"/>
      <c r="Y6198" s="19" t="n"/>
    </row>
    <row r="6199">
      <c r="C6199" s="18" t="n"/>
      <c r="J6199" s="19" t="n"/>
      <c r="P6199" s="20" t="n"/>
      <c r="Q6199" s="19" t="n"/>
      <c r="R6199" s="19" t="n"/>
      <c r="Y6199" s="19" t="n"/>
    </row>
    <row r="6200">
      <c r="C6200" s="18" t="n"/>
      <c r="J6200" s="19" t="n"/>
      <c r="P6200" s="20" t="n"/>
      <c r="Q6200" s="19" t="n"/>
      <c r="R6200" s="19" t="n"/>
      <c r="Y6200" s="19" t="n"/>
    </row>
    <row r="6201">
      <c r="C6201" s="18" t="n"/>
      <c r="J6201" s="19" t="n"/>
      <c r="P6201" s="20" t="n"/>
      <c r="Q6201" s="19" t="n"/>
      <c r="R6201" s="19" t="n"/>
      <c r="Y6201" s="19" t="n"/>
    </row>
    <row r="6202">
      <c r="C6202" s="18" t="n"/>
      <c r="J6202" s="19" t="n"/>
      <c r="P6202" s="20" t="n"/>
      <c r="Q6202" s="19" t="n"/>
      <c r="R6202" s="19" t="n"/>
      <c r="Y6202" s="19" t="n"/>
    </row>
    <row r="6203">
      <c r="C6203" s="18" t="n"/>
      <c r="J6203" s="19" t="n"/>
      <c r="P6203" s="20" t="n"/>
      <c r="Q6203" s="19" t="n"/>
      <c r="R6203" s="19" t="n"/>
      <c r="Y6203" s="19" t="n"/>
    </row>
    <row r="6204">
      <c r="C6204" s="18" t="n"/>
      <c r="J6204" s="19" t="n"/>
      <c r="P6204" s="20" t="n"/>
      <c r="Q6204" s="19" t="n"/>
      <c r="R6204" s="19" t="n"/>
      <c r="Y6204" s="19" t="n"/>
    </row>
    <row r="6205">
      <c r="C6205" s="18" t="n"/>
      <c r="J6205" s="19" t="n"/>
      <c r="P6205" s="20" t="n"/>
      <c r="Q6205" s="19" t="n"/>
      <c r="R6205" s="19" t="n"/>
      <c r="Y6205" s="19" t="n"/>
    </row>
    <row r="6206">
      <c r="C6206" s="18" t="n"/>
      <c r="J6206" s="19" t="n"/>
      <c r="P6206" s="20" t="n"/>
      <c r="Q6206" s="19" t="n"/>
      <c r="R6206" s="19" t="n"/>
      <c r="Y6206" s="19" t="n"/>
    </row>
    <row r="6207">
      <c r="C6207" s="18" t="n"/>
      <c r="J6207" s="19" t="n"/>
      <c r="P6207" s="20" t="n"/>
      <c r="Q6207" s="19" t="n"/>
      <c r="R6207" s="19" t="n"/>
      <c r="Y6207" s="19" t="n"/>
    </row>
    <row r="6208">
      <c r="C6208" s="18" t="n"/>
      <c r="J6208" s="19" t="n"/>
      <c r="P6208" s="20" t="n"/>
      <c r="Q6208" s="19" t="n"/>
      <c r="R6208" s="19" t="n"/>
      <c r="Y6208" s="19" t="n"/>
    </row>
    <row r="6209">
      <c r="C6209" s="18" t="n"/>
      <c r="J6209" s="19" t="n"/>
      <c r="P6209" s="20" t="n"/>
      <c r="Q6209" s="19" t="n"/>
      <c r="R6209" s="19" t="n"/>
      <c r="Y6209" s="19" t="n"/>
    </row>
    <row r="6210">
      <c r="C6210" s="18" t="n"/>
      <c r="J6210" s="19" t="n"/>
      <c r="P6210" s="20" t="n"/>
      <c r="Q6210" s="19" t="n"/>
      <c r="R6210" s="19" t="n"/>
      <c r="Y6210" s="19" t="n"/>
    </row>
    <row r="6211">
      <c r="C6211" s="18" t="n"/>
      <c r="J6211" s="19" t="n"/>
      <c r="P6211" s="20" t="n"/>
      <c r="Q6211" s="19" t="n"/>
      <c r="R6211" s="19" t="n"/>
      <c r="Y6211" s="19" t="n"/>
    </row>
    <row r="6212">
      <c r="C6212" s="18" t="n"/>
      <c r="J6212" s="19" t="n"/>
      <c r="P6212" s="20" t="n"/>
      <c r="Q6212" s="19" t="n"/>
      <c r="R6212" s="19" t="n"/>
      <c r="Y6212" s="19" t="n"/>
    </row>
    <row r="6213">
      <c r="C6213" s="18" t="n"/>
      <c r="J6213" s="19" t="n"/>
      <c r="P6213" s="20" t="n"/>
      <c r="Q6213" s="19" t="n"/>
      <c r="R6213" s="19" t="n"/>
      <c r="Y6213" s="19" t="n"/>
    </row>
    <row r="6214">
      <c r="C6214" s="18" t="n"/>
      <c r="J6214" s="19" t="n"/>
      <c r="P6214" s="20" t="n"/>
      <c r="Q6214" s="19" t="n"/>
      <c r="R6214" s="19" t="n"/>
      <c r="Y6214" s="19" t="n"/>
    </row>
    <row r="6215">
      <c r="C6215" s="18" t="n"/>
      <c r="J6215" s="19" t="n"/>
      <c r="P6215" s="20" t="n"/>
      <c r="Q6215" s="19" t="n"/>
      <c r="R6215" s="19" t="n"/>
      <c r="Y6215" s="19" t="n"/>
    </row>
    <row r="6216">
      <c r="C6216" s="18" t="n"/>
      <c r="J6216" s="19" t="n"/>
      <c r="P6216" s="20" t="n"/>
      <c r="Q6216" s="19" t="n"/>
      <c r="R6216" s="19" t="n"/>
      <c r="Y6216" s="19" t="n"/>
    </row>
    <row r="6217">
      <c r="C6217" s="18" t="n"/>
      <c r="J6217" s="19" t="n"/>
      <c r="P6217" s="20" t="n"/>
      <c r="Q6217" s="19" t="n"/>
      <c r="R6217" s="19" t="n"/>
      <c r="Y6217" s="19" t="n"/>
    </row>
    <row r="6218">
      <c r="C6218" s="18" t="n"/>
      <c r="J6218" s="19" t="n"/>
      <c r="P6218" s="20" t="n"/>
      <c r="Q6218" s="19" t="n"/>
      <c r="R6218" s="19" t="n"/>
      <c r="Y6218" s="19" t="n"/>
    </row>
    <row r="6219">
      <c r="C6219" s="18" t="n"/>
      <c r="J6219" s="19" t="n"/>
      <c r="P6219" s="20" t="n"/>
      <c r="Q6219" s="19" t="n"/>
      <c r="R6219" s="19" t="n"/>
      <c r="Y6219" s="19" t="n"/>
    </row>
    <row r="6220">
      <c r="C6220" s="18" t="n"/>
      <c r="J6220" s="19" t="n"/>
      <c r="P6220" s="20" t="n"/>
      <c r="Q6220" s="19" t="n"/>
      <c r="R6220" s="19" t="n"/>
      <c r="Y6220" s="19" t="n"/>
    </row>
    <row r="6221">
      <c r="C6221" s="18" t="n"/>
      <c r="J6221" s="19" t="n"/>
      <c r="P6221" s="20" t="n"/>
      <c r="Q6221" s="19" t="n"/>
      <c r="R6221" s="19" t="n"/>
      <c r="Y6221" s="19" t="n"/>
    </row>
    <row r="6222">
      <c r="C6222" s="18" t="n"/>
      <c r="J6222" s="19" t="n"/>
      <c r="P6222" s="20" t="n"/>
      <c r="Q6222" s="19" t="n"/>
      <c r="R6222" s="19" t="n"/>
      <c r="Y6222" s="19" t="n"/>
    </row>
    <row r="6223">
      <c r="C6223" s="18" t="n"/>
      <c r="J6223" s="19" t="n"/>
      <c r="P6223" s="20" t="n"/>
      <c r="Q6223" s="19" t="n"/>
      <c r="R6223" s="19" t="n"/>
      <c r="Y6223" s="19" t="n"/>
    </row>
    <row r="6224">
      <c r="C6224" s="18" t="n"/>
      <c r="J6224" s="19" t="n"/>
      <c r="P6224" s="20" t="n"/>
      <c r="Q6224" s="19" t="n"/>
      <c r="R6224" s="19" t="n"/>
      <c r="Y6224" s="19" t="n"/>
    </row>
    <row r="6225">
      <c r="C6225" s="18" t="n"/>
      <c r="J6225" s="19" t="n"/>
      <c r="P6225" s="20" t="n"/>
      <c r="Q6225" s="19" t="n"/>
      <c r="R6225" s="19" t="n"/>
      <c r="Y6225" s="19" t="n"/>
    </row>
    <row r="6226">
      <c r="C6226" s="18" t="n"/>
      <c r="J6226" s="19" t="n"/>
      <c r="P6226" s="20" t="n"/>
      <c r="Q6226" s="19" t="n"/>
      <c r="R6226" s="19" t="n"/>
      <c r="Y6226" s="19" t="n"/>
    </row>
    <row r="6227">
      <c r="C6227" s="18" t="n"/>
      <c r="J6227" s="19" t="n"/>
      <c r="P6227" s="20" t="n"/>
      <c r="Q6227" s="19" t="n"/>
      <c r="R6227" s="19" t="n"/>
      <c r="Y6227" s="19" t="n"/>
    </row>
    <row r="6228">
      <c r="C6228" s="18" t="n"/>
      <c r="J6228" s="19" t="n"/>
      <c r="P6228" s="20" t="n"/>
      <c r="Q6228" s="19" t="n"/>
      <c r="R6228" s="19" t="n"/>
      <c r="Y6228" s="19" t="n"/>
    </row>
    <row r="6229">
      <c r="C6229" s="18" t="n"/>
      <c r="J6229" s="19" t="n"/>
      <c r="P6229" s="20" t="n"/>
      <c r="Q6229" s="19" t="n"/>
      <c r="R6229" s="19" t="n"/>
      <c r="Y6229" s="19" t="n"/>
    </row>
    <row r="6230">
      <c r="C6230" s="18" t="n"/>
      <c r="J6230" s="19" t="n"/>
      <c r="P6230" s="20" t="n"/>
      <c r="Q6230" s="19" t="n"/>
      <c r="R6230" s="19" t="n"/>
      <c r="Y6230" s="19" t="n"/>
    </row>
    <row r="6231">
      <c r="C6231" s="18" t="n"/>
      <c r="J6231" s="19" t="n"/>
      <c r="P6231" s="20" t="n"/>
      <c r="Q6231" s="19" t="n"/>
      <c r="R6231" s="19" t="n"/>
      <c r="Y6231" s="19" t="n"/>
    </row>
    <row r="6232">
      <c r="C6232" s="18" t="n"/>
      <c r="J6232" s="19" t="n"/>
      <c r="P6232" s="20" t="n"/>
      <c r="Q6232" s="19" t="n"/>
      <c r="R6232" s="19" t="n"/>
      <c r="Y6232" s="19" t="n"/>
    </row>
    <row r="6233">
      <c r="C6233" s="18" t="n"/>
      <c r="J6233" s="19" t="n"/>
      <c r="P6233" s="20" t="n"/>
      <c r="Q6233" s="19" t="n"/>
      <c r="R6233" s="19" t="n"/>
      <c r="Y6233" s="19" t="n"/>
    </row>
    <row r="6234">
      <c r="C6234" s="18" t="n"/>
      <c r="J6234" s="19" t="n"/>
      <c r="P6234" s="20" t="n"/>
      <c r="Q6234" s="19" t="n"/>
      <c r="R6234" s="19" t="n"/>
      <c r="Y6234" s="19" t="n"/>
    </row>
    <row r="6235">
      <c r="C6235" s="18" t="n"/>
      <c r="J6235" s="19" t="n"/>
      <c r="P6235" s="20" t="n"/>
      <c r="Q6235" s="19" t="n"/>
      <c r="R6235" s="19" t="n"/>
      <c r="Y6235" s="19" t="n"/>
    </row>
    <row r="6236">
      <c r="C6236" s="18" t="n"/>
      <c r="J6236" s="19" t="n"/>
      <c r="P6236" s="20" t="n"/>
      <c r="Q6236" s="19" t="n"/>
      <c r="R6236" s="19" t="n"/>
      <c r="Y6236" s="19" t="n"/>
    </row>
    <row r="6237">
      <c r="C6237" s="18" t="n"/>
      <c r="J6237" s="19" t="n"/>
      <c r="P6237" s="20" t="n"/>
      <c r="Q6237" s="19" t="n"/>
      <c r="R6237" s="19" t="n"/>
      <c r="Y6237" s="19" t="n"/>
    </row>
    <row r="6238">
      <c r="C6238" s="18" t="n"/>
      <c r="J6238" s="19" t="n"/>
      <c r="P6238" s="20" t="n"/>
      <c r="Q6238" s="19" t="n"/>
      <c r="R6238" s="19" t="n"/>
      <c r="Y6238" s="19" t="n"/>
    </row>
    <row r="6239">
      <c r="C6239" s="18" t="n"/>
      <c r="J6239" s="19" t="n"/>
      <c r="P6239" s="20" t="n"/>
      <c r="Q6239" s="19" t="n"/>
      <c r="R6239" s="19" t="n"/>
      <c r="Y6239" s="19" t="n"/>
    </row>
    <row r="6240">
      <c r="C6240" s="18" t="n"/>
      <c r="J6240" s="19" t="n"/>
      <c r="P6240" s="20" t="n"/>
      <c r="Q6240" s="19" t="n"/>
      <c r="R6240" s="19" t="n"/>
      <c r="Y6240" s="19" t="n"/>
    </row>
    <row r="6241">
      <c r="C6241" s="18" t="n"/>
      <c r="J6241" s="19" t="n"/>
      <c r="P6241" s="20" t="n"/>
      <c r="Q6241" s="19" t="n"/>
      <c r="R6241" s="19" t="n"/>
      <c r="Y6241" s="19" t="n"/>
    </row>
    <row r="6242">
      <c r="C6242" s="18" t="n"/>
      <c r="J6242" s="19" t="n"/>
      <c r="P6242" s="20" t="n"/>
      <c r="Q6242" s="19" t="n"/>
      <c r="R6242" s="19" t="n"/>
      <c r="Y6242" s="19" t="n"/>
    </row>
    <row r="6243">
      <c r="C6243" s="18" t="n"/>
      <c r="J6243" s="19" t="n"/>
      <c r="P6243" s="20" t="n"/>
      <c r="Q6243" s="19" t="n"/>
      <c r="R6243" s="19" t="n"/>
      <c r="Y6243" s="19" t="n"/>
    </row>
    <row r="6244">
      <c r="C6244" s="18" t="n"/>
      <c r="J6244" s="19" t="n"/>
      <c r="P6244" s="20" t="n"/>
      <c r="Q6244" s="19" t="n"/>
      <c r="R6244" s="19" t="n"/>
      <c r="Y6244" s="19" t="n"/>
    </row>
    <row r="6245">
      <c r="C6245" s="18" t="n"/>
      <c r="J6245" s="19" t="n"/>
      <c r="P6245" s="20" t="n"/>
      <c r="Q6245" s="19" t="n"/>
      <c r="R6245" s="19" t="n"/>
      <c r="Y6245" s="19" t="n"/>
    </row>
    <row r="6246">
      <c r="C6246" s="18" t="n"/>
      <c r="J6246" s="19" t="n"/>
      <c r="P6246" s="20" t="n"/>
      <c r="Q6246" s="19" t="n"/>
      <c r="R6246" s="19" t="n"/>
      <c r="Y6246" s="19" t="n"/>
    </row>
    <row r="6247">
      <c r="C6247" s="18" t="n"/>
      <c r="J6247" s="19" t="n"/>
      <c r="P6247" s="20" t="n"/>
      <c r="Q6247" s="19" t="n"/>
      <c r="R6247" s="19" t="n"/>
      <c r="Y6247" s="19" t="n"/>
    </row>
    <row r="6248">
      <c r="C6248" s="18" t="n"/>
      <c r="J6248" s="19" t="n"/>
      <c r="P6248" s="20" t="n"/>
      <c r="Q6248" s="19" t="n"/>
      <c r="R6248" s="19" t="n"/>
      <c r="Y6248" s="19" t="n"/>
    </row>
    <row r="6249">
      <c r="C6249" s="18" t="n"/>
      <c r="J6249" s="19" t="n"/>
      <c r="P6249" s="20" t="n"/>
      <c r="Q6249" s="19" t="n"/>
      <c r="R6249" s="19" t="n"/>
      <c r="Y6249" s="19" t="n"/>
    </row>
    <row r="6250">
      <c r="C6250" s="18" t="n"/>
      <c r="J6250" s="19" t="n"/>
      <c r="P6250" s="20" t="n"/>
      <c r="Q6250" s="19" t="n"/>
      <c r="R6250" s="19" t="n"/>
      <c r="Y6250" s="19" t="n"/>
    </row>
    <row r="6251">
      <c r="C6251" s="18" t="n"/>
      <c r="J6251" s="19" t="n"/>
      <c r="P6251" s="20" t="n"/>
      <c r="Q6251" s="19" t="n"/>
      <c r="R6251" s="19" t="n"/>
      <c r="Y6251" s="19" t="n"/>
    </row>
    <row r="6252">
      <c r="C6252" s="18" t="n"/>
      <c r="J6252" s="19" t="n"/>
      <c r="P6252" s="20" t="n"/>
      <c r="Q6252" s="19" t="n"/>
      <c r="R6252" s="19" t="n"/>
      <c r="Y6252" s="19" t="n"/>
    </row>
    <row r="6253">
      <c r="C6253" s="18" t="n"/>
      <c r="J6253" s="19" t="n"/>
      <c r="P6253" s="20" t="n"/>
      <c r="Q6253" s="19" t="n"/>
      <c r="R6253" s="19" t="n"/>
      <c r="Y6253" s="19" t="n"/>
    </row>
    <row r="6254">
      <c r="C6254" s="18" t="n"/>
      <c r="J6254" s="19" t="n"/>
      <c r="P6254" s="20" t="n"/>
      <c r="Q6254" s="19" t="n"/>
      <c r="R6254" s="19" t="n"/>
      <c r="Y6254" s="19" t="n"/>
    </row>
    <row r="6255">
      <c r="C6255" s="18" t="n"/>
      <c r="J6255" s="19" t="n"/>
      <c r="P6255" s="20" t="n"/>
      <c r="Q6255" s="19" t="n"/>
      <c r="R6255" s="19" t="n"/>
      <c r="Y6255" s="19" t="n"/>
    </row>
    <row r="6256">
      <c r="C6256" s="18" t="n"/>
      <c r="J6256" s="19" t="n"/>
      <c r="P6256" s="20" t="n"/>
      <c r="Q6256" s="19" t="n"/>
      <c r="R6256" s="19" t="n"/>
      <c r="Y6256" s="19" t="n"/>
    </row>
    <row r="6257">
      <c r="C6257" s="18" t="n"/>
      <c r="J6257" s="19" t="n"/>
      <c r="P6257" s="20" t="n"/>
      <c r="Q6257" s="19" t="n"/>
      <c r="R6257" s="19" t="n"/>
      <c r="Y6257" s="19" t="n"/>
    </row>
    <row r="6258">
      <c r="C6258" s="18" t="n"/>
      <c r="J6258" s="19" t="n"/>
      <c r="P6258" s="20" t="n"/>
      <c r="Q6258" s="19" t="n"/>
      <c r="R6258" s="19" t="n"/>
      <c r="Y6258" s="19" t="n"/>
    </row>
    <row r="6259">
      <c r="C6259" s="18" t="n"/>
      <c r="J6259" s="19" t="n"/>
      <c r="P6259" s="20" t="n"/>
      <c r="Q6259" s="19" t="n"/>
      <c r="R6259" s="19" t="n"/>
      <c r="Y6259" s="19" t="n"/>
    </row>
    <row r="6260">
      <c r="C6260" s="18" t="n"/>
      <c r="J6260" s="19" t="n"/>
      <c r="P6260" s="20" t="n"/>
      <c r="Q6260" s="19" t="n"/>
      <c r="R6260" s="19" t="n"/>
      <c r="Y6260" s="19" t="n"/>
    </row>
    <row r="6261">
      <c r="C6261" s="18" t="n"/>
      <c r="J6261" s="19" t="n"/>
      <c r="P6261" s="20" t="n"/>
      <c r="Q6261" s="19" t="n"/>
      <c r="R6261" s="19" t="n"/>
      <c r="Y6261" s="19" t="n"/>
    </row>
    <row r="6262">
      <c r="C6262" s="18" t="n"/>
      <c r="J6262" s="19" t="n"/>
      <c r="P6262" s="20" t="n"/>
      <c r="Q6262" s="19" t="n"/>
      <c r="R6262" s="19" t="n"/>
      <c r="Y6262" s="19" t="n"/>
    </row>
    <row r="6263">
      <c r="C6263" s="18" t="n"/>
      <c r="J6263" s="19" t="n"/>
      <c r="P6263" s="20" t="n"/>
      <c r="Q6263" s="19" t="n"/>
      <c r="R6263" s="19" t="n"/>
      <c r="Y6263" s="19" t="n"/>
    </row>
    <row r="6264">
      <c r="C6264" s="18" t="n"/>
      <c r="J6264" s="19" t="n"/>
      <c r="P6264" s="20" t="n"/>
      <c r="Q6264" s="19" t="n"/>
      <c r="R6264" s="19" t="n"/>
      <c r="Y6264" s="19" t="n"/>
    </row>
    <row r="6265">
      <c r="C6265" s="18" t="n"/>
      <c r="J6265" s="19" t="n"/>
      <c r="P6265" s="20" t="n"/>
      <c r="Q6265" s="19" t="n"/>
      <c r="R6265" s="19" t="n"/>
      <c r="Y6265" s="19" t="n"/>
    </row>
    <row r="6266">
      <c r="C6266" s="18" t="n"/>
      <c r="J6266" s="19" t="n"/>
      <c r="P6266" s="20" t="n"/>
      <c r="Q6266" s="19" t="n"/>
      <c r="R6266" s="19" t="n"/>
      <c r="Y6266" s="19" t="n"/>
    </row>
    <row r="6267">
      <c r="C6267" s="18" t="n"/>
      <c r="J6267" s="19" t="n"/>
      <c r="P6267" s="20" t="n"/>
      <c r="Q6267" s="19" t="n"/>
      <c r="R6267" s="19" t="n"/>
      <c r="Y6267" s="19" t="n"/>
    </row>
    <row r="6268">
      <c r="C6268" s="18" t="n"/>
      <c r="J6268" s="19" t="n"/>
      <c r="P6268" s="20" t="n"/>
      <c r="Q6268" s="19" t="n"/>
      <c r="R6268" s="19" t="n"/>
      <c r="Y6268" s="19" t="n"/>
    </row>
    <row r="6269">
      <c r="C6269" s="18" t="n"/>
      <c r="J6269" s="19" t="n"/>
      <c r="P6269" s="20" t="n"/>
      <c r="Q6269" s="19" t="n"/>
      <c r="R6269" s="19" t="n"/>
      <c r="Y6269" s="19" t="n"/>
    </row>
    <row r="6270">
      <c r="C6270" s="18" t="n"/>
      <c r="J6270" s="19" t="n"/>
      <c r="P6270" s="20" t="n"/>
      <c r="Q6270" s="19" t="n"/>
      <c r="R6270" s="19" t="n"/>
      <c r="Y6270" s="19" t="n"/>
    </row>
    <row r="6271">
      <c r="C6271" s="18" t="n"/>
      <c r="J6271" s="19" t="n"/>
      <c r="P6271" s="20" t="n"/>
      <c r="Q6271" s="19" t="n"/>
      <c r="R6271" s="19" t="n"/>
      <c r="Y6271" s="19" t="n"/>
    </row>
    <row r="6272">
      <c r="C6272" s="18" t="n"/>
      <c r="J6272" s="19" t="n"/>
      <c r="P6272" s="20" t="n"/>
      <c r="Q6272" s="19" t="n"/>
      <c r="R6272" s="19" t="n"/>
      <c r="Y6272" s="19" t="n"/>
    </row>
    <row r="6273">
      <c r="C6273" s="18" t="n"/>
      <c r="J6273" s="19" t="n"/>
      <c r="P6273" s="20" t="n"/>
      <c r="Q6273" s="19" t="n"/>
      <c r="R6273" s="19" t="n"/>
      <c r="Y6273" s="19" t="n"/>
    </row>
    <row r="6274">
      <c r="C6274" s="18" t="n"/>
      <c r="J6274" s="19" t="n"/>
      <c r="P6274" s="20" t="n"/>
      <c r="Q6274" s="19" t="n"/>
      <c r="R6274" s="19" t="n"/>
      <c r="Y6274" s="19" t="n"/>
    </row>
    <row r="6275">
      <c r="C6275" s="18" t="n"/>
      <c r="J6275" s="19" t="n"/>
      <c r="P6275" s="20" t="n"/>
      <c r="Q6275" s="19" t="n"/>
      <c r="R6275" s="19" t="n"/>
      <c r="Y6275" s="19" t="n"/>
    </row>
    <row r="6276">
      <c r="C6276" s="18" t="n"/>
      <c r="J6276" s="19" t="n"/>
      <c r="P6276" s="20" t="n"/>
      <c r="Q6276" s="19" t="n"/>
      <c r="R6276" s="19" t="n"/>
      <c r="Y6276" s="19" t="n"/>
    </row>
    <row r="6277">
      <c r="C6277" s="18" t="n"/>
      <c r="J6277" s="19" t="n"/>
      <c r="P6277" s="20" t="n"/>
      <c r="Q6277" s="19" t="n"/>
      <c r="R6277" s="19" t="n"/>
      <c r="Y6277" s="19" t="n"/>
    </row>
    <row r="6278">
      <c r="C6278" s="18" t="n"/>
      <c r="J6278" s="19" t="n"/>
      <c r="P6278" s="20" t="n"/>
      <c r="Q6278" s="19" t="n"/>
      <c r="R6278" s="19" t="n"/>
      <c r="Y6278" s="19" t="n"/>
    </row>
    <row r="6279">
      <c r="C6279" s="18" t="n"/>
      <c r="J6279" s="19" t="n"/>
      <c r="P6279" s="20" t="n"/>
      <c r="Q6279" s="19" t="n"/>
      <c r="R6279" s="19" t="n"/>
      <c r="Y6279" s="19" t="n"/>
    </row>
    <row r="6280">
      <c r="C6280" s="18" t="n"/>
      <c r="J6280" s="19" t="n"/>
      <c r="P6280" s="20" t="n"/>
      <c r="Q6280" s="19" t="n"/>
      <c r="R6280" s="19" t="n"/>
      <c r="Y6280" s="19" t="n"/>
    </row>
    <row r="6281">
      <c r="C6281" s="18" t="n"/>
      <c r="J6281" s="19" t="n"/>
      <c r="P6281" s="20" t="n"/>
      <c r="Q6281" s="19" t="n"/>
      <c r="R6281" s="19" t="n"/>
      <c r="Y6281" s="19" t="n"/>
    </row>
    <row r="6282">
      <c r="C6282" s="18" t="n"/>
      <c r="J6282" s="19" t="n"/>
      <c r="P6282" s="20" t="n"/>
      <c r="Q6282" s="19" t="n"/>
      <c r="R6282" s="19" t="n"/>
      <c r="Y6282" s="19" t="n"/>
    </row>
    <row r="6283">
      <c r="C6283" s="18" t="n"/>
      <c r="J6283" s="19" t="n"/>
      <c r="P6283" s="20" t="n"/>
      <c r="Q6283" s="19" t="n"/>
      <c r="R6283" s="19" t="n"/>
      <c r="Y6283" s="19" t="n"/>
    </row>
    <row r="6284">
      <c r="C6284" s="18" t="n"/>
      <c r="J6284" s="19" t="n"/>
      <c r="P6284" s="20" t="n"/>
      <c r="Q6284" s="19" t="n"/>
      <c r="R6284" s="19" t="n"/>
      <c r="Y6284" s="19" t="n"/>
    </row>
    <row r="6285">
      <c r="C6285" s="18" t="n"/>
      <c r="J6285" s="19" t="n"/>
      <c r="P6285" s="20" t="n"/>
      <c r="Q6285" s="19" t="n"/>
      <c r="R6285" s="19" t="n"/>
      <c r="Y6285" s="19" t="n"/>
    </row>
    <row r="6286">
      <c r="C6286" s="18" t="n"/>
      <c r="J6286" s="19" t="n"/>
      <c r="P6286" s="20" t="n"/>
      <c r="Q6286" s="19" t="n"/>
      <c r="R6286" s="19" t="n"/>
      <c r="Y6286" s="19" t="n"/>
    </row>
    <row r="6287">
      <c r="C6287" s="18" t="n"/>
      <c r="J6287" s="19" t="n"/>
      <c r="P6287" s="20" t="n"/>
      <c r="Q6287" s="19" t="n"/>
      <c r="R6287" s="19" t="n"/>
      <c r="Y6287" s="19" t="n"/>
    </row>
    <row r="6288">
      <c r="C6288" s="18" t="n"/>
      <c r="J6288" s="19" t="n"/>
      <c r="P6288" s="20" t="n"/>
      <c r="Q6288" s="19" t="n"/>
      <c r="R6288" s="19" t="n"/>
      <c r="Y6288" s="19" t="n"/>
    </row>
    <row r="6289">
      <c r="C6289" s="18" t="n"/>
      <c r="J6289" s="19" t="n"/>
      <c r="P6289" s="20" t="n"/>
      <c r="Q6289" s="19" t="n"/>
      <c r="R6289" s="19" t="n"/>
      <c r="Y6289" s="19" t="n"/>
    </row>
    <row r="6290">
      <c r="C6290" s="18" t="n"/>
      <c r="J6290" s="19" t="n"/>
      <c r="P6290" s="20" t="n"/>
      <c r="Q6290" s="19" t="n"/>
      <c r="R6290" s="19" t="n"/>
      <c r="Y6290" s="19" t="n"/>
    </row>
    <row r="6291">
      <c r="C6291" s="18" t="n"/>
      <c r="J6291" s="19" t="n"/>
      <c r="P6291" s="20" t="n"/>
      <c r="Q6291" s="19" t="n"/>
      <c r="R6291" s="19" t="n"/>
      <c r="Y6291" s="19" t="n"/>
    </row>
    <row r="6292">
      <c r="C6292" s="18" t="n"/>
      <c r="J6292" s="19" t="n"/>
      <c r="P6292" s="20" t="n"/>
      <c r="Q6292" s="19" t="n"/>
      <c r="R6292" s="19" t="n"/>
      <c r="Y6292" s="19" t="n"/>
    </row>
    <row r="6293">
      <c r="C6293" s="18" t="n"/>
      <c r="J6293" s="19" t="n"/>
      <c r="P6293" s="20" t="n"/>
      <c r="Q6293" s="19" t="n"/>
      <c r="R6293" s="19" t="n"/>
      <c r="Y6293" s="19" t="n"/>
    </row>
    <row r="6294">
      <c r="C6294" s="18" t="n"/>
      <c r="J6294" s="19" t="n"/>
      <c r="P6294" s="20" t="n"/>
      <c r="Q6294" s="19" t="n"/>
      <c r="R6294" s="19" t="n"/>
      <c r="Y6294" s="19" t="n"/>
    </row>
    <row r="6295">
      <c r="C6295" s="18" t="n"/>
      <c r="J6295" s="19" t="n"/>
      <c r="P6295" s="20" t="n"/>
      <c r="Q6295" s="19" t="n"/>
      <c r="R6295" s="19" t="n"/>
      <c r="Y6295" s="19" t="n"/>
    </row>
    <row r="6296">
      <c r="C6296" s="18" t="n"/>
      <c r="J6296" s="19" t="n"/>
      <c r="P6296" s="20" t="n"/>
      <c r="Q6296" s="19" t="n"/>
      <c r="R6296" s="19" t="n"/>
      <c r="Y6296" s="19" t="n"/>
    </row>
    <row r="6297">
      <c r="C6297" s="18" t="n"/>
      <c r="J6297" s="19" t="n"/>
      <c r="P6297" s="20" t="n"/>
      <c r="Q6297" s="19" t="n"/>
      <c r="R6297" s="19" t="n"/>
      <c r="Y6297" s="19" t="n"/>
    </row>
    <row r="6298">
      <c r="C6298" s="18" t="n"/>
      <c r="J6298" s="19" t="n"/>
      <c r="P6298" s="20" t="n"/>
      <c r="Q6298" s="19" t="n"/>
      <c r="R6298" s="19" t="n"/>
      <c r="Y6298" s="19" t="n"/>
    </row>
    <row r="6299">
      <c r="C6299" s="18" t="n"/>
      <c r="J6299" s="19" t="n"/>
      <c r="P6299" s="20" t="n"/>
      <c r="Q6299" s="19" t="n"/>
      <c r="R6299" s="19" t="n"/>
      <c r="Y6299" s="19" t="n"/>
    </row>
    <row r="6300">
      <c r="C6300" s="18" t="n"/>
      <c r="J6300" s="19" t="n"/>
      <c r="P6300" s="20" t="n"/>
      <c r="Q6300" s="19" t="n"/>
      <c r="R6300" s="19" t="n"/>
      <c r="Y6300" s="19" t="n"/>
    </row>
    <row r="6301">
      <c r="C6301" s="18" t="n"/>
      <c r="J6301" s="19" t="n"/>
      <c r="P6301" s="20" t="n"/>
      <c r="Q6301" s="19" t="n"/>
      <c r="R6301" s="19" t="n"/>
      <c r="Y6301" s="19" t="n"/>
    </row>
    <row r="6302">
      <c r="C6302" s="18" t="n"/>
      <c r="J6302" s="19" t="n"/>
      <c r="P6302" s="20" t="n"/>
      <c r="Q6302" s="19" t="n"/>
      <c r="R6302" s="19" t="n"/>
      <c r="Y6302" s="19" t="n"/>
    </row>
    <row r="6303">
      <c r="C6303" s="18" t="n"/>
      <c r="J6303" s="19" t="n"/>
      <c r="P6303" s="20" t="n"/>
      <c r="Q6303" s="19" t="n"/>
      <c r="R6303" s="19" t="n"/>
      <c r="Y6303" s="19" t="n"/>
    </row>
    <row r="6304">
      <c r="C6304" s="18" t="n"/>
      <c r="J6304" s="19" t="n"/>
      <c r="P6304" s="20" t="n"/>
      <c r="Q6304" s="19" t="n"/>
      <c r="R6304" s="19" t="n"/>
      <c r="Y6304" s="19" t="n"/>
    </row>
    <row r="6305">
      <c r="C6305" s="18" t="n"/>
      <c r="J6305" s="19" t="n"/>
      <c r="P6305" s="20" t="n"/>
      <c r="Q6305" s="19" t="n"/>
      <c r="R6305" s="19" t="n"/>
      <c r="Y6305" s="19" t="n"/>
    </row>
    <row r="6306">
      <c r="C6306" s="18" t="n"/>
      <c r="J6306" s="19" t="n"/>
      <c r="P6306" s="20" t="n"/>
      <c r="Q6306" s="19" t="n"/>
      <c r="R6306" s="19" t="n"/>
      <c r="Y6306" s="19" t="n"/>
    </row>
    <row r="6307">
      <c r="C6307" s="18" t="n"/>
      <c r="J6307" s="19" t="n"/>
      <c r="P6307" s="20" t="n"/>
      <c r="Q6307" s="19" t="n"/>
      <c r="R6307" s="19" t="n"/>
      <c r="Y6307" s="19" t="n"/>
    </row>
    <row r="6308">
      <c r="C6308" s="18" t="n"/>
      <c r="J6308" s="19" t="n"/>
      <c r="P6308" s="20" t="n"/>
      <c r="Q6308" s="19" t="n"/>
      <c r="R6308" s="19" t="n"/>
      <c r="Y6308" s="19" t="n"/>
    </row>
    <row r="6309">
      <c r="C6309" s="18" t="n"/>
      <c r="J6309" s="19" t="n"/>
      <c r="P6309" s="20" t="n"/>
      <c r="Q6309" s="19" t="n"/>
      <c r="R6309" s="19" t="n"/>
      <c r="Y6309" s="19" t="n"/>
    </row>
    <row r="6310">
      <c r="C6310" s="18" t="n"/>
      <c r="J6310" s="19" t="n"/>
      <c r="P6310" s="20" t="n"/>
      <c r="Q6310" s="19" t="n"/>
      <c r="R6310" s="19" t="n"/>
      <c r="Y6310" s="19" t="n"/>
    </row>
    <row r="6311">
      <c r="C6311" s="18" t="n"/>
      <c r="J6311" s="19" t="n"/>
      <c r="P6311" s="20" t="n"/>
      <c r="Q6311" s="19" t="n"/>
      <c r="R6311" s="19" t="n"/>
      <c r="Y6311" s="19" t="n"/>
    </row>
    <row r="6312">
      <c r="C6312" s="18" t="n"/>
      <c r="J6312" s="19" t="n"/>
      <c r="P6312" s="20" t="n"/>
      <c r="Q6312" s="19" t="n"/>
      <c r="R6312" s="19" t="n"/>
      <c r="Y6312" s="19" t="n"/>
    </row>
    <row r="6313">
      <c r="C6313" s="18" t="n"/>
      <c r="J6313" s="19" t="n"/>
      <c r="P6313" s="20" t="n"/>
      <c r="Q6313" s="19" t="n"/>
      <c r="R6313" s="19" t="n"/>
      <c r="Y6313" s="19" t="n"/>
    </row>
    <row r="6314">
      <c r="C6314" s="18" t="n"/>
      <c r="J6314" s="19" t="n"/>
      <c r="P6314" s="20" t="n"/>
      <c r="Q6314" s="19" t="n"/>
      <c r="R6314" s="19" t="n"/>
      <c r="Y6314" s="19" t="n"/>
    </row>
    <row r="6315">
      <c r="C6315" s="18" t="n"/>
      <c r="J6315" s="19" t="n"/>
      <c r="P6315" s="20" t="n"/>
      <c r="Q6315" s="19" t="n"/>
      <c r="R6315" s="19" t="n"/>
      <c r="Y6315" s="19" t="n"/>
    </row>
    <row r="6316">
      <c r="C6316" s="18" t="n"/>
      <c r="J6316" s="19" t="n"/>
      <c r="P6316" s="20" t="n"/>
      <c r="Q6316" s="19" t="n"/>
      <c r="R6316" s="19" t="n"/>
      <c r="Y6316" s="19" t="n"/>
    </row>
    <row r="6317">
      <c r="C6317" s="18" t="n"/>
      <c r="J6317" s="19" t="n"/>
      <c r="P6317" s="20" t="n"/>
      <c r="Q6317" s="19" t="n"/>
      <c r="R6317" s="19" t="n"/>
      <c r="Y6317" s="19" t="n"/>
    </row>
    <row r="6318">
      <c r="C6318" s="18" t="n"/>
      <c r="J6318" s="19" t="n"/>
      <c r="P6318" s="20" t="n"/>
      <c r="Q6318" s="19" t="n"/>
      <c r="R6318" s="19" t="n"/>
      <c r="Y6318" s="19" t="n"/>
    </row>
    <row r="6319">
      <c r="C6319" s="18" t="n"/>
      <c r="J6319" s="19" t="n"/>
      <c r="P6319" s="20" t="n"/>
      <c r="Q6319" s="19" t="n"/>
      <c r="R6319" s="19" t="n"/>
      <c r="Y6319" s="19" t="n"/>
    </row>
    <row r="6320">
      <c r="C6320" s="18" t="n"/>
      <c r="J6320" s="19" t="n"/>
      <c r="P6320" s="20" t="n"/>
      <c r="Q6320" s="19" t="n"/>
      <c r="R6320" s="19" t="n"/>
      <c r="Y6320" s="19" t="n"/>
    </row>
    <row r="6321">
      <c r="C6321" s="18" t="n"/>
      <c r="J6321" s="19" t="n"/>
      <c r="P6321" s="20" t="n"/>
      <c r="Q6321" s="19" t="n"/>
      <c r="R6321" s="19" t="n"/>
      <c r="Y6321" s="19" t="n"/>
    </row>
    <row r="6322">
      <c r="C6322" s="18" t="n"/>
      <c r="J6322" s="19" t="n"/>
      <c r="P6322" s="20" t="n"/>
      <c r="Q6322" s="19" t="n"/>
      <c r="R6322" s="19" t="n"/>
      <c r="Y6322" s="19" t="n"/>
    </row>
    <row r="6323">
      <c r="C6323" s="18" t="n"/>
      <c r="J6323" s="19" t="n"/>
      <c r="P6323" s="20" t="n"/>
      <c r="Q6323" s="19" t="n"/>
      <c r="R6323" s="19" t="n"/>
      <c r="Y6323" s="19" t="n"/>
    </row>
    <row r="6324">
      <c r="C6324" s="18" t="n"/>
      <c r="J6324" s="19" t="n"/>
      <c r="P6324" s="20" t="n"/>
      <c r="Q6324" s="19" t="n"/>
      <c r="R6324" s="19" t="n"/>
      <c r="Y6324" s="19" t="n"/>
    </row>
    <row r="6325">
      <c r="C6325" s="18" t="n"/>
      <c r="J6325" s="19" t="n"/>
      <c r="P6325" s="20" t="n"/>
      <c r="Q6325" s="19" t="n"/>
      <c r="R6325" s="19" t="n"/>
      <c r="Y6325" s="19" t="n"/>
    </row>
    <row r="6326">
      <c r="C6326" s="18" t="n"/>
      <c r="J6326" s="19" t="n"/>
      <c r="P6326" s="20" t="n"/>
      <c r="Q6326" s="19" t="n"/>
      <c r="R6326" s="19" t="n"/>
      <c r="Y6326" s="19" t="n"/>
    </row>
    <row r="6327">
      <c r="C6327" s="18" t="n"/>
      <c r="J6327" s="19" t="n"/>
      <c r="P6327" s="20" t="n"/>
      <c r="Q6327" s="19" t="n"/>
      <c r="R6327" s="19" t="n"/>
      <c r="Y6327" s="19" t="n"/>
    </row>
    <row r="6328">
      <c r="C6328" s="18" t="n"/>
      <c r="J6328" s="19" t="n"/>
      <c r="P6328" s="20" t="n"/>
      <c r="Q6328" s="19" t="n"/>
      <c r="R6328" s="19" t="n"/>
      <c r="Y6328" s="19" t="n"/>
    </row>
    <row r="6329">
      <c r="C6329" s="18" t="n"/>
      <c r="J6329" s="19" t="n"/>
      <c r="P6329" s="20" t="n"/>
      <c r="Q6329" s="19" t="n"/>
      <c r="R6329" s="19" t="n"/>
      <c r="Y6329" s="19" t="n"/>
    </row>
    <row r="6330">
      <c r="C6330" s="18" t="n"/>
      <c r="J6330" s="19" t="n"/>
      <c r="P6330" s="20" t="n"/>
      <c r="Q6330" s="19" t="n"/>
      <c r="R6330" s="19" t="n"/>
      <c r="Y6330" s="19" t="n"/>
    </row>
    <row r="6331">
      <c r="C6331" s="18" t="n"/>
      <c r="J6331" s="19" t="n"/>
      <c r="P6331" s="20" t="n"/>
      <c r="Q6331" s="19" t="n"/>
      <c r="R6331" s="19" t="n"/>
      <c r="Y6331" s="19" t="n"/>
    </row>
    <row r="6332">
      <c r="C6332" s="18" t="n"/>
      <c r="J6332" s="19" t="n"/>
      <c r="P6332" s="20" t="n"/>
      <c r="Q6332" s="19" t="n"/>
      <c r="R6332" s="19" t="n"/>
      <c r="Y6332" s="19" t="n"/>
    </row>
    <row r="6333">
      <c r="C6333" s="18" t="n"/>
      <c r="J6333" s="19" t="n"/>
      <c r="P6333" s="20" t="n"/>
      <c r="Q6333" s="19" t="n"/>
      <c r="R6333" s="19" t="n"/>
      <c r="Y6333" s="19" t="n"/>
    </row>
    <row r="6334">
      <c r="C6334" s="18" t="n"/>
      <c r="J6334" s="19" t="n"/>
      <c r="P6334" s="20" t="n"/>
      <c r="Q6334" s="19" t="n"/>
      <c r="R6334" s="19" t="n"/>
      <c r="Y6334" s="19" t="n"/>
    </row>
    <row r="6335">
      <c r="C6335" s="18" t="n"/>
      <c r="J6335" s="19" t="n"/>
      <c r="P6335" s="20" t="n"/>
      <c r="Q6335" s="19" t="n"/>
      <c r="R6335" s="19" t="n"/>
      <c r="Y6335" s="19" t="n"/>
    </row>
    <row r="6336">
      <c r="C6336" s="18" t="n"/>
      <c r="J6336" s="19" t="n"/>
      <c r="P6336" s="20" t="n"/>
      <c r="Q6336" s="19" t="n"/>
      <c r="R6336" s="19" t="n"/>
      <c r="Y6336" s="19" t="n"/>
    </row>
    <row r="6337">
      <c r="C6337" s="18" t="n"/>
      <c r="J6337" s="19" t="n"/>
      <c r="P6337" s="20" t="n"/>
      <c r="Q6337" s="19" t="n"/>
      <c r="R6337" s="19" t="n"/>
      <c r="Y6337" s="19" t="n"/>
    </row>
    <row r="6338">
      <c r="C6338" s="18" t="n"/>
      <c r="J6338" s="19" t="n"/>
      <c r="P6338" s="20" t="n"/>
      <c r="Q6338" s="19" t="n"/>
      <c r="R6338" s="19" t="n"/>
      <c r="Y6338" s="19" t="n"/>
    </row>
    <row r="6339">
      <c r="C6339" s="18" t="n"/>
      <c r="J6339" s="19" t="n"/>
      <c r="P6339" s="20" t="n"/>
      <c r="Q6339" s="19" t="n"/>
      <c r="R6339" s="19" t="n"/>
      <c r="Y6339" s="19" t="n"/>
    </row>
    <row r="6340">
      <c r="C6340" s="18" t="n"/>
      <c r="J6340" s="19" t="n"/>
      <c r="P6340" s="20" t="n"/>
      <c r="Q6340" s="19" t="n"/>
      <c r="R6340" s="19" t="n"/>
      <c r="Y6340" s="19" t="n"/>
    </row>
    <row r="6341">
      <c r="C6341" s="18" t="n"/>
      <c r="J6341" s="19" t="n"/>
      <c r="P6341" s="20" t="n"/>
      <c r="Q6341" s="19" t="n"/>
      <c r="R6341" s="19" t="n"/>
      <c r="Y6341" s="19" t="n"/>
    </row>
    <row r="6342">
      <c r="C6342" s="18" t="n"/>
      <c r="J6342" s="19" t="n"/>
      <c r="P6342" s="20" t="n"/>
      <c r="Q6342" s="19" t="n"/>
      <c r="R6342" s="19" t="n"/>
      <c r="Y6342" s="19" t="n"/>
    </row>
    <row r="6343">
      <c r="C6343" s="18" t="n"/>
      <c r="J6343" s="19" t="n"/>
      <c r="P6343" s="20" t="n"/>
      <c r="Q6343" s="19" t="n"/>
      <c r="R6343" s="19" t="n"/>
      <c r="Y6343" s="19" t="n"/>
    </row>
    <row r="6344">
      <c r="C6344" s="18" t="n"/>
      <c r="J6344" s="19" t="n"/>
      <c r="P6344" s="20" t="n"/>
      <c r="Q6344" s="19" t="n"/>
      <c r="R6344" s="19" t="n"/>
      <c r="Y6344" s="19" t="n"/>
    </row>
    <row r="6345">
      <c r="C6345" s="18" t="n"/>
      <c r="J6345" s="19" t="n"/>
      <c r="P6345" s="20" t="n"/>
      <c r="Q6345" s="19" t="n"/>
      <c r="R6345" s="19" t="n"/>
      <c r="Y6345" s="19" t="n"/>
    </row>
    <row r="6346">
      <c r="C6346" s="18" t="n"/>
      <c r="J6346" s="19" t="n"/>
      <c r="P6346" s="20" t="n"/>
      <c r="Q6346" s="19" t="n"/>
      <c r="R6346" s="19" t="n"/>
      <c r="Y6346" s="19" t="n"/>
    </row>
    <row r="6347">
      <c r="C6347" s="18" t="n"/>
      <c r="J6347" s="19" t="n"/>
      <c r="P6347" s="20" t="n"/>
      <c r="Q6347" s="19" t="n"/>
      <c r="R6347" s="19" t="n"/>
      <c r="Y6347" s="19" t="n"/>
    </row>
    <row r="6348">
      <c r="C6348" s="18" t="n"/>
      <c r="J6348" s="19" t="n"/>
      <c r="P6348" s="20" t="n"/>
      <c r="Q6348" s="19" t="n"/>
      <c r="R6348" s="19" t="n"/>
      <c r="Y6348" s="19" t="n"/>
    </row>
    <row r="6349">
      <c r="C6349" s="18" t="n"/>
      <c r="J6349" s="19" t="n"/>
      <c r="P6349" s="20" t="n"/>
      <c r="Q6349" s="19" t="n"/>
      <c r="R6349" s="19" t="n"/>
      <c r="Y6349" s="19" t="n"/>
    </row>
    <row r="6350">
      <c r="C6350" s="18" t="n"/>
      <c r="J6350" s="19" t="n"/>
      <c r="P6350" s="20" t="n"/>
      <c r="Q6350" s="19" t="n"/>
      <c r="R6350" s="19" t="n"/>
      <c r="Y6350" s="19" t="n"/>
    </row>
    <row r="6351">
      <c r="C6351" s="18" t="n"/>
      <c r="J6351" s="19" t="n"/>
      <c r="P6351" s="20" t="n"/>
      <c r="Q6351" s="19" t="n"/>
      <c r="R6351" s="19" t="n"/>
      <c r="Y6351" s="19" t="n"/>
    </row>
    <row r="6352">
      <c r="C6352" s="18" t="n"/>
      <c r="J6352" s="19" t="n"/>
      <c r="P6352" s="20" t="n"/>
      <c r="Q6352" s="19" t="n"/>
      <c r="R6352" s="19" t="n"/>
      <c r="Y6352" s="19" t="n"/>
    </row>
    <row r="6353">
      <c r="C6353" s="18" t="n"/>
      <c r="J6353" s="19" t="n"/>
      <c r="P6353" s="20" t="n"/>
      <c r="Q6353" s="19" t="n"/>
      <c r="R6353" s="19" t="n"/>
      <c r="Y6353" s="19" t="n"/>
    </row>
    <row r="6354">
      <c r="C6354" s="18" t="n"/>
      <c r="J6354" s="19" t="n"/>
      <c r="P6354" s="20" t="n"/>
      <c r="Q6354" s="19" t="n"/>
      <c r="R6354" s="19" t="n"/>
      <c r="Y6354" s="19" t="n"/>
    </row>
    <row r="6355">
      <c r="C6355" s="18" t="n"/>
      <c r="J6355" s="19" t="n"/>
      <c r="P6355" s="20" t="n"/>
      <c r="Q6355" s="19" t="n"/>
      <c r="R6355" s="19" t="n"/>
      <c r="Y6355" s="19" t="n"/>
    </row>
    <row r="6356">
      <c r="C6356" s="18" t="n"/>
      <c r="J6356" s="19" t="n"/>
      <c r="P6356" s="20" t="n"/>
      <c r="Q6356" s="19" t="n"/>
      <c r="R6356" s="19" t="n"/>
      <c r="Y6356" s="19" t="n"/>
    </row>
    <row r="6357">
      <c r="C6357" s="18" t="n"/>
      <c r="J6357" s="19" t="n"/>
      <c r="P6357" s="20" t="n"/>
      <c r="Q6357" s="19" t="n"/>
      <c r="R6357" s="19" t="n"/>
      <c r="Y6357" s="19" t="n"/>
    </row>
    <row r="6358">
      <c r="C6358" s="18" t="n"/>
      <c r="J6358" s="19" t="n"/>
      <c r="P6358" s="20" t="n"/>
      <c r="Q6358" s="19" t="n"/>
      <c r="R6358" s="19" t="n"/>
      <c r="Y6358" s="19" t="n"/>
    </row>
    <row r="6359">
      <c r="C6359" s="18" t="n"/>
      <c r="J6359" s="19" t="n"/>
      <c r="P6359" s="20" t="n"/>
      <c r="Q6359" s="19" t="n"/>
      <c r="R6359" s="19" t="n"/>
      <c r="Y6359" s="19" t="n"/>
    </row>
    <row r="6360">
      <c r="C6360" s="18" t="n"/>
      <c r="J6360" s="19" t="n"/>
      <c r="P6360" s="20" t="n"/>
      <c r="Q6360" s="19" t="n"/>
      <c r="R6360" s="19" t="n"/>
      <c r="Y6360" s="19" t="n"/>
    </row>
    <row r="6361">
      <c r="C6361" s="18" t="n"/>
      <c r="J6361" s="19" t="n"/>
      <c r="P6361" s="20" t="n"/>
      <c r="Q6361" s="19" t="n"/>
      <c r="R6361" s="19" t="n"/>
      <c r="Y6361" s="19" t="n"/>
    </row>
    <row r="6362">
      <c r="C6362" s="18" t="n"/>
      <c r="J6362" s="19" t="n"/>
      <c r="P6362" s="20" t="n"/>
      <c r="Q6362" s="19" t="n"/>
      <c r="R6362" s="19" t="n"/>
      <c r="Y6362" s="19" t="n"/>
    </row>
    <row r="6363">
      <c r="C6363" s="18" t="n"/>
      <c r="J6363" s="19" t="n"/>
      <c r="P6363" s="20" t="n"/>
      <c r="Q6363" s="19" t="n"/>
      <c r="R6363" s="19" t="n"/>
      <c r="Y6363" s="19" t="n"/>
    </row>
    <row r="6364">
      <c r="C6364" s="18" t="n"/>
      <c r="J6364" s="19" t="n"/>
      <c r="P6364" s="20" t="n"/>
      <c r="Q6364" s="19" t="n"/>
      <c r="R6364" s="19" t="n"/>
      <c r="Y6364" s="19" t="n"/>
    </row>
    <row r="6365">
      <c r="C6365" s="18" t="n"/>
      <c r="J6365" s="19" t="n"/>
      <c r="P6365" s="20" t="n"/>
      <c r="Q6365" s="19" t="n"/>
      <c r="R6365" s="19" t="n"/>
      <c r="Y6365" s="19" t="n"/>
    </row>
    <row r="6366">
      <c r="C6366" s="18" t="n"/>
      <c r="J6366" s="19" t="n"/>
      <c r="P6366" s="20" t="n"/>
      <c r="Q6366" s="19" t="n"/>
      <c r="R6366" s="19" t="n"/>
      <c r="Y6366" s="19" t="n"/>
    </row>
    <row r="6367">
      <c r="C6367" s="18" t="n"/>
      <c r="J6367" s="19" t="n"/>
      <c r="P6367" s="20" t="n"/>
      <c r="Q6367" s="19" t="n"/>
      <c r="R6367" s="19" t="n"/>
      <c r="Y6367" s="19" t="n"/>
    </row>
    <row r="6368">
      <c r="C6368" s="18" t="n"/>
      <c r="J6368" s="19" t="n"/>
      <c r="P6368" s="20" t="n"/>
      <c r="Q6368" s="19" t="n"/>
      <c r="R6368" s="19" t="n"/>
      <c r="Y6368" s="19" t="n"/>
    </row>
    <row r="6369">
      <c r="C6369" s="18" t="n"/>
      <c r="J6369" s="19" t="n"/>
      <c r="P6369" s="20" t="n"/>
      <c r="Q6369" s="19" t="n"/>
      <c r="R6369" s="19" t="n"/>
      <c r="Y6369" s="19" t="n"/>
    </row>
    <row r="6370">
      <c r="C6370" s="18" t="n"/>
      <c r="J6370" s="19" t="n"/>
      <c r="P6370" s="20" t="n"/>
      <c r="Q6370" s="19" t="n"/>
      <c r="R6370" s="19" t="n"/>
      <c r="Y6370" s="19" t="n"/>
    </row>
    <row r="6371">
      <c r="C6371" s="18" t="n"/>
      <c r="J6371" s="19" t="n"/>
      <c r="P6371" s="20" t="n"/>
      <c r="Q6371" s="19" t="n"/>
      <c r="R6371" s="19" t="n"/>
      <c r="Y6371" s="19" t="n"/>
    </row>
    <row r="6372">
      <c r="C6372" s="18" t="n"/>
      <c r="J6372" s="19" t="n"/>
      <c r="P6372" s="20" t="n"/>
      <c r="Q6372" s="19" t="n"/>
      <c r="R6372" s="19" t="n"/>
      <c r="Y6372" s="19" t="n"/>
    </row>
    <row r="6373">
      <c r="C6373" s="18" t="n"/>
      <c r="J6373" s="19" t="n"/>
      <c r="P6373" s="20" t="n"/>
      <c r="Q6373" s="19" t="n"/>
      <c r="R6373" s="19" t="n"/>
      <c r="Y6373" s="19" t="n"/>
    </row>
    <row r="6374">
      <c r="C6374" s="18" t="n"/>
      <c r="J6374" s="19" t="n"/>
      <c r="P6374" s="20" t="n"/>
      <c r="Q6374" s="19" t="n"/>
      <c r="R6374" s="19" t="n"/>
      <c r="Y6374" s="19" t="n"/>
    </row>
    <row r="6375">
      <c r="C6375" s="18" t="n"/>
      <c r="J6375" s="19" t="n"/>
      <c r="P6375" s="20" t="n"/>
      <c r="Q6375" s="19" t="n"/>
      <c r="R6375" s="19" t="n"/>
      <c r="Y6375" s="19" t="n"/>
    </row>
    <row r="6376">
      <c r="C6376" s="18" t="n"/>
      <c r="J6376" s="19" t="n"/>
      <c r="P6376" s="20" t="n"/>
      <c r="Q6376" s="19" t="n"/>
      <c r="R6376" s="19" t="n"/>
      <c r="Y6376" s="19" t="n"/>
    </row>
    <row r="6377">
      <c r="C6377" s="18" t="n"/>
      <c r="J6377" s="19" t="n"/>
      <c r="P6377" s="20" t="n"/>
      <c r="Q6377" s="19" t="n"/>
      <c r="R6377" s="19" t="n"/>
      <c r="Y6377" s="19" t="n"/>
    </row>
    <row r="6378">
      <c r="C6378" s="18" t="n"/>
      <c r="J6378" s="19" t="n"/>
      <c r="P6378" s="20" t="n"/>
      <c r="Q6378" s="19" t="n"/>
      <c r="R6378" s="19" t="n"/>
      <c r="Y6378" s="19" t="n"/>
    </row>
    <row r="6379">
      <c r="C6379" s="18" t="n"/>
      <c r="J6379" s="19" t="n"/>
      <c r="P6379" s="20" t="n"/>
      <c r="Q6379" s="19" t="n"/>
      <c r="R6379" s="19" t="n"/>
      <c r="Y6379" s="19" t="n"/>
    </row>
    <row r="6380">
      <c r="C6380" s="18" t="n"/>
      <c r="J6380" s="19" t="n"/>
      <c r="P6380" s="20" t="n"/>
      <c r="Q6380" s="19" t="n"/>
      <c r="R6380" s="19" t="n"/>
      <c r="Y6380" s="19" t="n"/>
    </row>
    <row r="6381">
      <c r="C6381" s="18" t="n"/>
      <c r="J6381" s="19" t="n"/>
      <c r="P6381" s="20" t="n"/>
      <c r="Q6381" s="19" t="n"/>
      <c r="R6381" s="19" t="n"/>
      <c r="Y6381" s="19" t="n"/>
    </row>
    <row r="6382">
      <c r="C6382" s="18" t="n"/>
      <c r="J6382" s="19" t="n"/>
      <c r="P6382" s="20" t="n"/>
      <c r="Q6382" s="19" t="n"/>
      <c r="R6382" s="19" t="n"/>
      <c r="Y6382" s="19" t="n"/>
    </row>
    <row r="6383">
      <c r="C6383" s="18" t="n"/>
      <c r="J6383" s="19" t="n"/>
      <c r="P6383" s="20" t="n"/>
      <c r="Q6383" s="19" t="n"/>
      <c r="R6383" s="19" t="n"/>
      <c r="Y6383" s="19" t="n"/>
    </row>
    <row r="6384">
      <c r="C6384" s="18" t="n"/>
      <c r="J6384" s="19" t="n"/>
      <c r="P6384" s="20" t="n"/>
      <c r="Q6384" s="19" t="n"/>
      <c r="R6384" s="19" t="n"/>
      <c r="Y6384" s="19" t="n"/>
    </row>
    <row r="6385">
      <c r="C6385" s="18" t="n"/>
      <c r="J6385" s="19" t="n"/>
      <c r="P6385" s="20" t="n"/>
      <c r="Q6385" s="19" t="n"/>
      <c r="R6385" s="19" t="n"/>
      <c r="Y6385" s="19" t="n"/>
    </row>
    <row r="6386">
      <c r="C6386" s="18" t="n"/>
      <c r="J6386" s="19" t="n"/>
      <c r="P6386" s="20" t="n"/>
      <c r="Q6386" s="19" t="n"/>
      <c r="R6386" s="19" t="n"/>
      <c r="Y6386" s="19" t="n"/>
    </row>
    <row r="6387">
      <c r="C6387" s="18" t="n"/>
      <c r="J6387" s="19" t="n"/>
      <c r="P6387" s="20" t="n"/>
      <c r="Q6387" s="19" t="n"/>
      <c r="R6387" s="19" t="n"/>
      <c r="Y6387" s="19" t="n"/>
    </row>
    <row r="6388">
      <c r="C6388" s="18" t="n"/>
      <c r="J6388" s="19" t="n"/>
      <c r="P6388" s="20" t="n"/>
      <c r="Q6388" s="19" t="n"/>
      <c r="R6388" s="19" t="n"/>
      <c r="Y6388" s="19" t="n"/>
    </row>
    <row r="6389">
      <c r="C6389" s="18" t="n"/>
      <c r="J6389" s="19" t="n"/>
      <c r="P6389" s="20" t="n"/>
      <c r="Q6389" s="19" t="n"/>
      <c r="R6389" s="19" t="n"/>
      <c r="Y6389" s="19" t="n"/>
    </row>
    <row r="6390">
      <c r="C6390" s="18" t="n"/>
      <c r="J6390" s="19" t="n"/>
      <c r="P6390" s="20" t="n"/>
      <c r="Q6390" s="19" t="n"/>
      <c r="R6390" s="19" t="n"/>
      <c r="Y6390" s="19" t="n"/>
    </row>
    <row r="6391">
      <c r="C6391" s="18" t="n"/>
      <c r="J6391" s="19" t="n"/>
      <c r="P6391" s="20" t="n"/>
      <c r="Q6391" s="19" t="n"/>
      <c r="R6391" s="19" t="n"/>
      <c r="Y6391" s="19" t="n"/>
    </row>
    <row r="6392">
      <c r="C6392" s="18" t="n"/>
      <c r="J6392" s="19" t="n"/>
      <c r="P6392" s="20" t="n"/>
      <c r="Q6392" s="19" t="n"/>
      <c r="R6392" s="19" t="n"/>
      <c r="Y6392" s="19" t="n"/>
    </row>
    <row r="6393">
      <c r="C6393" s="18" t="n"/>
      <c r="J6393" s="19" t="n"/>
      <c r="P6393" s="20" t="n"/>
      <c r="Q6393" s="19" t="n"/>
      <c r="R6393" s="19" t="n"/>
      <c r="Y6393" s="19" t="n"/>
    </row>
    <row r="6394">
      <c r="C6394" s="18" t="n"/>
      <c r="J6394" s="19" t="n"/>
      <c r="P6394" s="20" t="n"/>
      <c r="Q6394" s="19" t="n"/>
      <c r="R6394" s="19" t="n"/>
      <c r="Y6394" s="19" t="n"/>
    </row>
    <row r="6395">
      <c r="C6395" s="18" t="n"/>
      <c r="J6395" s="19" t="n"/>
      <c r="P6395" s="20" t="n"/>
      <c r="Q6395" s="19" t="n"/>
      <c r="R6395" s="19" t="n"/>
      <c r="Y6395" s="19" t="n"/>
    </row>
    <row r="6396">
      <c r="C6396" s="18" t="n"/>
      <c r="J6396" s="19" t="n"/>
      <c r="P6396" s="20" t="n"/>
      <c r="Q6396" s="19" t="n"/>
      <c r="R6396" s="19" t="n"/>
      <c r="Y6396" s="19" t="n"/>
    </row>
    <row r="6397">
      <c r="C6397" s="18" t="n"/>
      <c r="J6397" s="19" t="n"/>
      <c r="P6397" s="20" t="n"/>
      <c r="Q6397" s="19" t="n"/>
      <c r="R6397" s="19" t="n"/>
      <c r="Y6397" s="19" t="n"/>
    </row>
    <row r="6398">
      <c r="C6398" s="18" t="n"/>
      <c r="J6398" s="19" t="n"/>
      <c r="P6398" s="20" t="n"/>
      <c r="Q6398" s="19" t="n"/>
      <c r="R6398" s="19" t="n"/>
      <c r="Y6398" s="19" t="n"/>
    </row>
    <row r="6399">
      <c r="C6399" s="18" t="n"/>
      <c r="J6399" s="19" t="n"/>
      <c r="P6399" s="20" t="n"/>
      <c r="Q6399" s="19" t="n"/>
      <c r="R6399" s="19" t="n"/>
      <c r="Y6399" s="19" t="n"/>
    </row>
    <row r="6400">
      <c r="C6400" s="18" t="n"/>
      <c r="J6400" s="19" t="n"/>
      <c r="P6400" s="20" t="n"/>
      <c r="Q6400" s="19" t="n"/>
      <c r="R6400" s="19" t="n"/>
      <c r="Y6400" s="19" t="n"/>
    </row>
    <row r="6401">
      <c r="C6401" s="18" t="n"/>
      <c r="J6401" s="19" t="n"/>
      <c r="P6401" s="20" t="n"/>
      <c r="Q6401" s="19" t="n"/>
      <c r="R6401" s="19" t="n"/>
      <c r="Y6401" s="19" t="n"/>
    </row>
    <row r="6402">
      <c r="C6402" s="18" t="n"/>
      <c r="J6402" s="19" t="n"/>
      <c r="P6402" s="20" t="n"/>
      <c r="Q6402" s="19" t="n"/>
      <c r="R6402" s="19" t="n"/>
      <c r="Y6402" s="19" t="n"/>
    </row>
    <row r="6403">
      <c r="C6403" s="18" t="n"/>
      <c r="J6403" s="19" t="n"/>
      <c r="P6403" s="20" t="n"/>
      <c r="Q6403" s="19" t="n"/>
      <c r="R6403" s="19" t="n"/>
      <c r="Y6403" s="19" t="n"/>
    </row>
    <row r="6404">
      <c r="C6404" s="18" t="n"/>
      <c r="J6404" s="19" t="n"/>
      <c r="P6404" s="20" t="n"/>
      <c r="Q6404" s="19" t="n"/>
      <c r="R6404" s="19" t="n"/>
      <c r="Y6404" s="19" t="n"/>
    </row>
    <row r="6405">
      <c r="C6405" s="18" t="n"/>
      <c r="J6405" s="19" t="n"/>
      <c r="P6405" s="20" t="n"/>
      <c r="Q6405" s="19" t="n"/>
      <c r="R6405" s="19" t="n"/>
      <c r="Y6405" s="19" t="n"/>
    </row>
    <row r="6406">
      <c r="C6406" s="18" t="n"/>
      <c r="J6406" s="19" t="n"/>
      <c r="P6406" s="20" t="n"/>
      <c r="Q6406" s="19" t="n"/>
      <c r="R6406" s="19" t="n"/>
      <c r="Y6406" s="19" t="n"/>
    </row>
    <row r="6407">
      <c r="C6407" s="18" t="n"/>
      <c r="J6407" s="19" t="n"/>
      <c r="P6407" s="20" t="n"/>
      <c r="Q6407" s="19" t="n"/>
      <c r="R6407" s="19" t="n"/>
      <c r="Y6407" s="19" t="n"/>
    </row>
    <row r="6408">
      <c r="C6408" s="18" t="n"/>
      <c r="J6408" s="19" t="n"/>
      <c r="P6408" s="20" t="n"/>
      <c r="Q6408" s="19" t="n"/>
      <c r="R6408" s="19" t="n"/>
      <c r="Y6408" s="19" t="n"/>
    </row>
    <row r="6409">
      <c r="C6409" s="18" t="n"/>
      <c r="J6409" s="19" t="n"/>
      <c r="P6409" s="20" t="n"/>
      <c r="Q6409" s="19" t="n"/>
      <c r="R6409" s="19" t="n"/>
      <c r="Y6409" s="19" t="n"/>
    </row>
    <row r="6410">
      <c r="C6410" s="18" t="n"/>
      <c r="J6410" s="19" t="n"/>
      <c r="P6410" s="20" t="n"/>
      <c r="Q6410" s="19" t="n"/>
      <c r="R6410" s="19" t="n"/>
      <c r="Y6410" s="19" t="n"/>
    </row>
    <row r="6411">
      <c r="C6411" s="18" t="n"/>
      <c r="J6411" s="19" t="n"/>
      <c r="P6411" s="20" t="n"/>
      <c r="Q6411" s="19" t="n"/>
      <c r="R6411" s="19" t="n"/>
      <c r="Y6411" s="19" t="n"/>
    </row>
    <row r="6412">
      <c r="C6412" s="18" t="n"/>
      <c r="J6412" s="19" t="n"/>
      <c r="P6412" s="20" t="n"/>
      <c r="Q6412" s="19" t="n"/>
      <c r="R6412" s="19" t="n"/>
      <c r="Y6412" s="19" t="n"/>
    </row>
    <row r="6413">
      <c r="C6413" s="18" t="n"/>
      <c r="J6413" s="19" t="n"/>
      <c r="P6413" s="20" t="n"/>
      <c r="Q6413" s="19" t="n"/>
      <c r="R6413" s="19" t="n"/>
      <c r="Y6413" s="19" t="n"/>
    </row>
    <row r="6414">
      <c r="C6414" s="18" t="n"/>
      <c r="J6414" s="19" t="n"/>
      <c r="P6414" s="20" t="n"/>
      <c r="Q6414" s="19" t="n"/>
      <c r="R6414" s="19" t="n"/>
      <c r="Y6414" s="19" t="n"/>
    </row>
    <row r="6415">
      <c r="C6415" s="18" t="n"/>
      <c r="J6415" s="19" t="n"/>
      <c r="P6415" s="20" t="n"/>
      <c r="Q6415" s="19" t="n"/>
      <c r="R6415" s="19" t="n"/>
      <c r="Y6415" s="19" t="n"/>
    </row>
    <row r="6416">
      <c r="C6416" s="18" t="n"/>
      <c r="J6416" s="19" t="n"/>
      <c r="P6416" s="20" t="n"/>
      <c r="Q6416" s="19" t="n"/>
      <c r="R6416" s="19" t="n"/>
      <c r="Y6416" s="19" t="n"/>
    </row>
    <row r="6417">
      <c r="C6417" s="18" t="n"/>
      <c r="J6417" s="19" t="n"/>
      <c r="P6417" s="20" t="n"/>
      <c r="Q6417" s="19" t="n"/>
      <c r="R6417" s="19" t="n"/>
      <c r="Y6417" s="19" t="n"/>
    </row>
    <row r="6418">
      <c r="C6418" s="18" t="n"/>
      <c r="J6418" s="19" t="n"/>
      <c r="P6418" s="20" t="n"/>
      <c r="Q6418" s="19" t="n"/>
      <c r="R6418" s="19" t="n"/>
      <c r="Y6418" s="19" t="n"/>
    </row>
    <row r="6419">
      <c r="C6419" s="18" t="n"/>
      <c r="J6419" s="19" t="n"/>
      <c r="P6419" s="20" t="n"/>
      <c r="Q6419" s="19" t="n"/>
      <c r="R6419" s="19" t="n"/>
      <c r="Y6419" s="19" t="n"/>
    </row>
    <row r="6420">
      <c r="C6420" s="18" t="n"/>
      <c r="J6420" s="19" t="n"/>
      <c r="P6420" s="20" t="n"/>
      <c r="Q6420" s="19" t="n"/>
      <c r="R6420" s="19" t="n"/>
      <c r="Y6420" s="19" t="n"/>
    </row>
    <row r="6421">
      <c r="C6421" s="18" t="n"/>
      <c r="J6421" s="19" t="n"/>
      <c r="P6421" s="20" t="n"/>
      <c r="Q6421" s="19" t="n"/>
      <c r="R6421" s="19" t="n"/>
      <c r="Y6421" s="19" t="n"/>
    </row>
    <row r="6422">
      <c r="C6422" s="18" t="n"/>
      <c r="J6422" s="19" t="n"/>
      <c r="P6422" s="20" t="n"/>
      <c r="Q6422" s="19" t="n"/>
      <c r="R6422" s="19" t="n"/>
      <c r="Y6422" s="19" t="n"/>
    </row>
    <row r="6423">
      <c r="C6423" s="18" t="n"/>
      <c r="J6423" s="19" t="n"/>
      <c r="P6423" s="20" t="n"/>
      <c r="Q6423" s="19" t="n"/>
      <c r="R6423" s="19" t="n"/>
      <c r="Y6423" s="19" t="n"/>
    </row>
    <row r="6424">
      <c r="C6424" s="18" t="n"/>
      <c r="J6424" s="19" t="n"/>
      <c r="P6424" s="20" t="n"/>
      <c r="Q6424" s="19" t="n"/>
      <c r="R6424" s="19" t="n"/>
      <c r="Y6424" s="19" t="n"/>
    </row>
    <row r="6425">
      <c r="C6425" s="18" t="n"/>
      <c r="J6425" s="19" t="n"/>
      <c r="P6425" s="20" t="n"/>
      <c r="Q6425" s="19" t="n"/>
      <c r="R6425" s="19" t="n"/>
      <c r="Y6425" s="19" t="n"/>
    </row>
    <row r="6426">
      <c r="C6426" s="18" t="n"/>
      <c r="J6426" s="19" t="n"/>
      <c r="P6426" s="20" t="n"/>
      <c r="Q6426" s="19" t="n"/>
      <c r="R6426" s="19" t="n"/>
      <c r="Y6426" s="19" t="n"/>
    </row>
    <row r="6427">
      <c r="C6427" s="18" t="n"/>
      <c r="J6427" s="19" t="n"/>
      <c r="P6427" s="20" t="n"/>
      <c r="Q6427" s="19" t="n"/>
      <c r="R6427" s="19" t="n"/>
      <c r="Y6427" s="19" t="n"/>
    </row>
    <row r="6428">
      <c r="C6428" s="18" t="n"/>
      <c r="J6428" s="19" t="n"/>
      <c r="P6428" s="20" t="n"/>
      <c r="Q6428" s="19" t="n"/>
      <c r="R6428" s="19" t="n"/>
      <c r="Y6428" s="19" t="n"/>
    </row>
    <row r="6429">
      <c r="C6429" s="18" t="n"/>
      <c r="J6429" s="19" t="n"/>
      <c r="P6429" s="20" t="n"/>
      <c r="Q6429" s="19" t="n"/>
      <c r="R6429" s="19" t="n"/>
      <c r="Y6429" s="19" t="n"/>
    </row>
    <row r="6430">
      <c r="C6430" s="18" t="n"/>
      <c r="J6430" s="19" t="n"/>
      <c r="P6430" s="20" t="n"/>
      <c r="Q6430" s="19" t="n"/>
      <c r="R6430" s="19" t="n"/>
      <c r="Y6430" s="19" t="n"/>
    </row>
    <row r="6431">
      <c r="C6431" s="18" t="n"/>
      <c r="J6431" s="19" t="n"/>
      <c r="P6431" s="20" t="n"/>
      <c r="Q6431" s="19" t="n"/>
      <c r="R6431" s="19" t="n"/>
      <c r="Y6431" s="19" t="n"/>
    </row>
    <row r="6432">
      <c r="C6432" s="18" t="n"/>
      <c r="J6432" s="19" t="n"/>
      <c r="P6432" s="20" t="n"/>
      <c r="Q6432" s="19" t="n"/>
      <c r="R6432" s="19" t="n"/>
      <c r="Y6432" s="19" t="n"/>
    </row>
    <row r="6433">
      <c r="C6433" s="18" t="n"/>
      <c r="J6433" s="19" t="n"/>
      <c r="P6433" s="20" t="n"/>
      <c r="Q6433" s="19" t="n"/>
      <c r="R6433" s="19" t="n"/>
      <c r="Y6433" s="19" t="n"/>
    </row>
    <row r="6434">
      <c r="C6434" s="18" t="n"/>
      <c r="J6434" s="19" t="n"/>
      <c r="P6434" s="20" t="n"/>
      <c r="Q6434" s="19" t="n"/>
      <c r="R6434" s="19" t="n"/>
      <c r="Y6434" s="19" t="n"/>
    </row>
    <row r="6435">
      <c r="C6435" s="18" t="n"/>
      <c r="J6435" s="19" t="n"/>
      <c r="P6435" s="20" t="n"/>
      <c r="Q6435" s="19" t="n"/>
      <c r="R6435" s="19" t="n"/>
      <c r="Y6435" s="19" t="n"/>
    </row>
    <row r="6436">
      <c r="C6436" s="18" t="n"/>
      <c r="J6436" s="19" t="n"/>
      <c r="P6436" s="20" t="n"/>
      <c r="Q6436" s="19" t="n"/>
      <c r="R6436" s="19" t="n"/>
      <c r="Y6436" s="19" t="n"/>
    </row>
    <row r="6437">
      <c r="C6437" s="18" t="n"/>
      <c r="J6437" s="19" t="n"/>
      <c r="P6437" s="20" t="n"/>
      <c r="Q6437" s="19" t="n"/>
      <c r="R6437" s="19" t="n"/>
      <c r="Y6437" s="19" t="n"/>
    </row>
    <row r="6438">
      <c r="C6438" s="18" t="n"/>
      <c r="J6438" s="19" t="n"/>
      <c r="P6438" s="20" t="n"/>
      <c r="Q6438" s="19" t="n"/>
      <c r="R6438" s="19" t="n"/>
      <c r="Y6438" s="19" t="n"/>
    </row>
    <row r="6439">
      <c r="C6439" s="18" t="n"/>
      <c r="J6439" s="19" t="n"/>
      <c r="P6439" s="20" t="n"/>
      <c r="Q6439" s="19" t="n"/>
      <c r="R6439" s="19" t="n"/>
      <c r="Y6439" s="19" t="n"/>
    </row>
    <row r="6440">
      <c r="C6440" s="18" t="n"/>
      <c r="J6440" s="19" t="n"/>
      <c r="P6440" s="20" t="n"/>
      <c r="Q6440" s="19" t="n"/>
      <c r="R6440" s="19" t="n"/>
      <c r="Y6440" s="19" t="n"/>
    </row>
    <row r="6441">
      <c r="C6441" s="18" t="n"/>
      <c r="J6441" s="19" t="n"/>
      <c r="P6441" s="20" t="n"/>
      <c r="Q6441" s="19" t="n"/>
      <c r="R6441" s="19" t="n"/>
      <c r="Y6441" s="19" t="n"/>
    </row>
    <row r="6442">
      <c r="C6442" s="18" t="n"/>
      <c r="J6442" s="19" t="n"/>
      <c r="P6442" s="20" t="n"/>
      <c r="Q6442" s="19" t="n"/>
      <c r="R6442" s="19" t="n"/>
      <c r="Y6442" s="19" t="n"/>
    </row>
    <row r="6443">
      <c r="C6443" s="18" t="n"/>
      <c r="J6443" s="19" t="n"/>
      <c r="P6443" s="20" t="n"/>
      <c r="Q6443" s="19" t="n"/>
      <c r="R6443" s="19" t="n"/>
      <c r="Y6443" s="19" t="n"/>
    </row>
    <row r="6444">
      <c r="C6444" s="18" t="n"/>
      <c r="J6444" s="19" t="n"/>
      <c r="P6444" s="20" t="n"/>
      <c r="Q6444" s="19" t="n"/>
      <c r="R6444" s="19" t="n"/>
      <c r="Y6444" s="19" t="n"/>
    </row>
    <row r="6445">
      <c r="C6445" s="18" t="n"/>
      <c r="J6445" s="19" t="n"/>
      <c r="P6445" s="20" t="n"/>
      <c r="Q6445" s="19" t="n"/>
      <c r="R6445" s="19" t="n"/>
      <c r="Y6445" s="19" t="n"/>
    </row>
    <row r="6446">
      <c r="C6446" s="18" t="n"/>
      <c r="J6446" s="19" t="n"/>
      <c r="P6446" s="20" t="n"/>
      <c r="Q6446" s="19" t="n"/>
      <c r="R6446" s="19" t="n"/>
      <c r="Y6446" s="19" t="n"/>
    </row>
    <row r="6447">
      <c r="C6447" s="18" t="n"/>
      <c r="J6447" s="19" t="n"/>
      <c r="P6447" s="20" t="n"/>
      <c r="Q6447" s="19" t="n"/>
      <c r="R6447" s="19" t="n"/>
      <c r="Y6447" s="19" t="n"/>
    </row>
    <row r="6448">
      <c r="C6448" s="18" t="n"/>
      <c r="J6448" s="19" t="n"/>
      <c r="P6448" s="20" t="n"/>
      <c r="Q6448" s="19" t="n"/>
      <c r="R6448" s="19" t="n"/>
      <c r="Y6448" s="19" t="n"/>
    </row>
    <row r="6449">
      <c r="C6449" s="18" t="n"/>
      <c r="J6449" s="19" t="n"/>
      <c r="P6449" s="20" t="n"/>
      <c r="Q6449" s="19" t="n"/>
      <c r="R6449" s="19" t="n"/>
      <c r="Y6449" s="19" t="n"/>
    </row>
    <row r="6450">
      <c r="C6450" s="18" t="n"/>
      <c r="J6450" s="19" t="n"/>
      <c r="P6450" s="20" t="n"/>
      <c r="Q6450" s="19" t="n"/>
      <c r="R6450" s="19" t="n"/>
      <c r="Y6450" s="19" t="n"/>
    </row>
    <row r="6451">
      <c r="C6451" s="18" t="n"/>
      <c r="J6451" s="19" t="n"/>
      <c r="P6451" s="20" t="n"/>
      <c r="Q6451" s="19" t="n"/>
      <c r="R6451" s="19" t="n"/>
      <c r="Y6451" s="19" t="n"/>
    </row>
    <row r="6452">
      <c r="C6452" s="18" t="n"/>
      <c r="J6452" s="19" t="n"/>
      <c r="P6452" s="20" t="n"/>
      <c r="Q6452" s="19" t="n"/>
      <c r="R6452" s="19" t="n"/>
      <c r="Y6452" s="19" t="n"/>
    </row>
    <row r="6453">
      <c r="C6453" s="18" t="n"/>
      <c r="J6453" s="19" t="n"/>
      <c r="P6453" s="20" t="n"/>
      <c r="Q6453" s="19" t="n"/>
      <c r="R6453" s="19" t="n"/>
      <c r="Y6453" s="19" t="n"/>
    </row>
    <row r="6454">
      <c r="C6454" s="18" t="n"/>
      <c r="J6454" s="19" t="n"/>
      <c r="P6454" s="20" t="n"/>
      <c r="Q6454" s="19" t="n"/>
      <c r="R6454" s="19" t="n"/>
      <c r="Y6454" s="19" t="n"/>
    </row>
    <row r="6455">
      <c r="C6455" s="18" t="n"/>
      <c r="J6455" s="19" t="n"/>
      <c r="P6455" s="20" t="n"/>
      <c r="Q6455" s="19" t="n"/>
      <c r="R6455" s="19" t="n"/>
      <c r="Y6455" s="19" t="n"/>
    </row>
    <row r="6456">
      <c r="C6456" s="18" t="n"/>
      <c r="J6456" s="19" t="n"/>
      <c r="P6456" s="20" t="n"/>
      <c r="Q6456" s="19" t="n"/>
      <c r="R6456" s="19" t="n"/>
      <c r="Y6456" s="19" t="n"/>
    </row>
    <row r="6457">
      <c r="C6457" s="18" t="n"/>
      <c r="J6457" s="19" t="n"/>
      <c r="P6457" s="20" t="n"/>
      <c r="Q6457" s="19" t="n"/>
      <c r="R6457" s="19" t="n"/>
      <c r="Y6457" s="19" t="n"/>
    </row>
    <row r="6458">
      <c r="C6458" s="18" t="n"/>
      <c r="J6458" s="19" t="n"/>
      <c r="P6458" s="20" t="n"/>
      <c r="Q6458" s="19" t="n"/>
      <c r="R6458" s="19" t="n"/>
      <c r="Y6458" s="19" t="n"/>
    </row>
    <row r="6459">
      <c r="C6459" s="18" t="n"/>
      <c r="J6459" s="19" t="n"/>
      <c r="P6459" s="20" t="n"/>
      <c r="Q6459" s="19" t="n"/>
      <c r="R6459" s="19" t="n"/>
      <c r="Y6459" s="19" t="n"/>
    </row>
    <row r="6460">
      <c r="C6460" s="18" t="n"/>
      <c r="J6460" s="19" t="n"/>
      <c r="P6460" s="20" t="n"/>
      <c r="Q6460" s="19" t="n"/>
      <c r="R6460" s="19" t="n"/>
      <c r="Y6460" s="19" t="n"/>
    </row>
    <row r="6461">
      <c r="C6461" s="18" t="n"/>
      <c r="J6461" s="19" t="n"/>
      <c r="P6461" s="20" t="n"/>
      <c r="Q6461" s="19" t="n"/>
      <c r="R6461" s="19" t="n"/>
      <c r="Y6461" s="19" t="n"/>
    </row>
    <row r="6462">
      <c r="C6462" s="18" t="n"/>
      <c r="J6462" s="19" t="n"/>
      <c r="P6462" s="20" t="n"/>
      <c r="Q6462" s="19" t="n"/>
      <c r="R6462" s="19" t="n"/>
      <c r="Y6462" s="19" t="n"/>
    </row>
    <row r="6463">
      <c r="C6463" s="18" t="n"/>
      <c r="J6463" s="19" t="n"/>
      <c r="P6463" s="20" t="n"/>
      <c r="Q6463" s="19" t="n"/>
      <c r="R6463" s="19" t="n"/>
      <c r="Y6463" s="19" t="n"/>
    </row>
    <row r="6464">
      <c r="C6464" s="18" t="n"/>
      <c r="J6464" s="19" t="n"/>
      <c r="P6464" s="20" t="n"/>
      <c r="Q6464" s="19" t="n"/>
      <c r="R6464" s="19" t="n"/>
      <c r="Y6464" s="19" t="n"/>
    </row>
    <row r="6465">
      <c r="C6465" s="18" t="n"/>
      <c r="J6465" s="19" t="n"/>
      <c r="P6465" s="20" t="n"/>
      <c r="Q6465" s="19" t="n"/>
      <c r="R6465" s="19" t="n"/>
      <c r="Y6465" s="19" t="n"/>
    </row>
    <row r="6466">
      <c r="C6466" s="18" t="n"/>
      <c r="J6466" s="19" t="n"/>
      <c r="P6466" s="20" t="n"/>
      <c r="Q6466" s="19" t="n"/>
      <c r="R6466" s="19" t="n"/>
      <c r="Y6466" s="19" t="n"/>
    </row>
    <row r="6467">
      <c r="C6467" s="18" t="n"/>
      <c r="J6467" s="19" t="n"/>
      <c r="P6467" s="20" t="n"/>
      <c r="Q6467" s="19" t="n"/>
      <c r="R6467" s="19" t="n"/>
      <c r="Y6467" s="19" t="n"/>
    </row>
    <row r="6468">
      <c r="C6468" s="18" t="n"/>
      <c r="J6468" s="19" t="n"/>
      <c r="P6468" s="20" t="n"/>
      <c r="Q6468" s="19" t="n"/>
      <c r="R6468" s="19" t="n"/>
      <c r="Y6468" s="19" t="n"/>
    </row>
    <row r="6469">
      <c r="C6469" s="18" t="n"/>
      <c r="J6469" s="19" t="n"/>
      <c r="P6469" s="20" t="n"/>
      <c r="Q6469" s="19" t="n"/>
      <c r="R6469" s="19" t="n"/>
      <c r="Y6469" s="19" t="n"/>
    </row>
    <row r="6470">
      <c r="C6470" s="18" t="n"/>
      <c r="J6470" s="19" t="n"/>
      <c r="P6470" s="20" t="n"/>
      <c r="Q6470" s="19" t="n"/>
      <c r="R6470" s="19" t="n"/>
      <c r="Y6470" s="19" t="n"/>
    </row>
    <row r="6471">
      <c r="C6471" s="18" t="n"/>
      <c r="J6471" s="19" t="n"/>
      <c r="P6471" s="20" t="n"/>
      <c r="Q6471" s="19" t="n"/>
      <c r="R6471" s="19" t="n"/>
      <c r="Y6471" s="19" t="n"/>
    </row>
    <row r="6472">
      <c r="C6472" s="18" t="n"/>
      <c r="J6472" s="19" t="n"/>
      <c r="P6472" s="20" t="n"/>
      <c r="Q6472" s="19" t="n"/>
      <c r="R6472" s="19" t="n"/>
      <c r="Y6472" s="19" t="n"/>
    </row>
    <row r="6473">
      <c r="C6473" s="18" t="n"/>
      <c r="J6473" s="19" t="n"/>
      <c r="P6473" s="20" t="n"/>
      <c r="Q6473" s="19" t="n"/>
      <c r="R6473" s="19" t="n"/>
      <c r="Y6473" s="19" t="n"/>
    </row>
    <row r="6474">
      <c r="C6474" s="18" t="n"/>
      <c r="J6474" s="19" t="n"/>
      <c r="P6474" s="20" t="n"/>
      <c r="Q6474" s="19" t="n"/>
      <c r="R6474" s="19" t="n"/>
      <c r="Y6474" s="19" t="n"/>
    </row>
    <row r="6475">
      <c r="C6475" s="18" t="n"/>
      <c r="J6475" s="19" t="n"/>
      <c r="P6475" s="20" t="n"/>
      <c r="Q6475" s="19" t="n"/>
      <c r="R6475" s="19" t="n"/>
      <c r="Y6475" s="19" t="n"/>
    </row>
    <row r="6476">
      <c r="C6476" s="18" t="n"/>
      <c r="J6476" s="19" t="n"/>
      <c r="P6476" s="20" t="n"/>
      <c r="Q6476" s="19" t="n"/>
      <c r="R6476" s="19" t="n"/>
      <c r="Y6476" s="19" t="n"/>
    </row>
    <row r="6477">
      <c r="C6477" s="18" t="n"/>
      <c r="J6477" s="19" t="n"/>
      <c r="P6477" s="20" t="n"/>
      <c r="Q6477" s="19" t="n"/>
      <c r="R6477" s="19" t="n"/>
      <c r="Y6477" s="19" t="n"/>
    </row>
    <row r="6478">
      <c r="C6478" s="18" t="n"/>
      <c r="J6478" s="19" t="n"/>
      <c r="P6478" s="20" t="n"/>
      <c r="Q6478" s="19" t="n"/>
      <c r="R6478" s="19" t="n"/>
      <c r="Y6478" s="19" t="n"/>
    </row>
    <row r="6479">
      <c r="C6479" s="18" t="n"/>
      <c r="J6479" s="19" t="n"/>
      <c r="P6479" s="20" t="n"/>
      <c r="Q6479" s="19" t="n"/>
      <c r="R6479" s="19" t="n"/>
      <c r="Y6479" s="19" t="n"/>
    </row>
    <row r="6480">
      <c r="C6480" s="18" t="n"/>
      <c r="J6480" s="19" t="n"/>
      <c r="P6480" s="20" t="n"/>
      <c r="Q6480" s="19" t="n"/>
      <c r="R6480" s="19" t="n"/>
      <c r="Y6480" s="19" t="n"/>
    </row>
    <row r="6481">
      <c r="C6481" s="18" t="n"/>
      <c r="J6481" s="19" t="n"/>
      <c r="P6481" s="20" t="n"/>
      <c r="Q6481" s="19" t="n"/>
      <c r="R6481" s="19" t="n"/>
      <c r="Y6481" s="19" t="n"/>
    </row>
    <row r="6482">
      <c r="C6482" s="18" t="n"/>
      <c r="J6482" s="19" t="n"/>
      <c r="P6482" s="20" t="n"/>
      <c r="Q6482" s="19" t="n"/>
      <c r="R6482" s="19" t="n"/>
      <c r="Y6482" s="19" t="n"/>
    </row>
    <row r="6483">
      <c r="C6483" s="18" t="n"/>
      <c r="J6483" s="19" t="n"/>
      <c r="P6483" s="20" t="n"/>
      <c r="Q6483" s="19" t="n"/>
      <c r="R6483" s="19" t="n"/>
      <c r="Y6483" s="19" t="n"/>
    </row>
    <row r="6484">
      <c r="C6484" s="18" t="n"/>
      <c r="J6484" s="19" t="n"/>
      <c r="P6484" s="20" t="n"/>
      <c r="Q6484" s="19" t="n"/>
      <c r="R6484" s="19" t="n"/>
      <c r="Y6484" s="19" t="n"/>
    </row>
    <row r="6485">
      <c r="C6485" s="18" t="n"/>
      <c r="J6485" s="19" t="n"/>
      <c r="P6485" s="20" t="n"/>
      <c r="Q6485" s="19" t="n"/>
      <c r="R6485" s="19" t="n"/>
      <c r="Y6485" s="19" t="n"/>
    </row>
    <row r="6486">
      <c r="C6486" s="18" t="n"/>
      <c r="J6486" s="19" t="n"/>
      <c r="P6486" s="20" t="n"/>
      <c r="Q6486" s="19" t="n"/>
      <c r="R6486" s="19" t="n"/>
      <c r="Y6486" s="19" t="n"/>
    </row>
    <row r="6487">
      <c r="C6487" s="18" t="n"/>
      <c r="J6487" s="19" t="n"/>
      <c r="P6487" s="20" t="n"/>
      <c r="Q6487" s="19" t="n"/>
      <c r="R6487" s="19" t="n"/>
      <c r="Y6487" s="19" t="n"/>
    </row>
    <row r="6488">
      <c r="C6488" s="18" t="n"/>
      <c r="J6488" s="19" t="n"/>
      <c r="P6488" s="20" t="n"/>
      <c r="Q6488" s="19" t="n"/>
      <c r="R6488" s="19" t="n"/>
      <c r="Y6488" s="19" t="n"/>
    </row>
    <row r="6489">
      <c r="C6489" s="18" t="n"/>
      <c r="J6489" s="19" t="n"/>
      <c r="P6489" s="20" t="n"/>
      <c r="Q6489" s="19" t="n"/>
      <c r="R6489" s="19" t="n"/>
      <c r="Y6489" s="19" t="n"/>
    </row>
    <row r="6490">
      <c r="C6490" s="18" t="n"/>
      <c r="J6490" s="19" t="n"/>
      <c r="P6490" s="20" t="n"/>
      <c r="Q6490" s="19" t="n"/>
      <c r="R6490" s="19" t="n"/>
      <c r="Y6490" s="19" t="n"/>
    </row>
    <row r="6491">
      <c r="C6491" s="18" t="n"/>
      <c r="J6491" s="19" t="n"/>
      <c r="P6491" s="20" t="n"/>
      <c r="Q6491" s="19" t="n"/>
      <c r="R6491" s="19" t="n"/>
      <c r="Y6491" s="19" t="n"/>
    </row>
    <row r="6492">
      <c r="C6492" s="18" t="n"/>
      <c r="J6492" s="19" t="n"/>
      <c r="P6492" s="20" t="n"/>
      <c r="Q6492" s="19" t="n"/>
      <c r="R6492" s="19" t="n"/>
      <c r="Y6492" s="19" t="n"/>
    </row>
    <row r="6493">
      <c r="C6493" s="18" t="n"/>
      <c r="J6493" s="19" t="n"/>
      <c r="P6493" s="20" t="n"/>
      <c r="Q6493" s="19" t="n"/>
      <c r="R6493" s="19" t="n"/>
      <c r="Y6493" s="19" t="n"/>
    </row>
    <row r="6494">
      <c r="C6494" s="18" t="n"/>
      <c r="J6494" s="19" t="n"/>
      <c r="P6494" s="20" t="n"/>
      <c r="Q6494" s="19" t="n"/>
      <c r="R6494" s="19" t="n"/>
      <c r="Y6494" s="19" t="n"/>
    </row>
    <row r="6495">
      <c r="C6495" s="18" t="n"/>
      <c r="J6495" s="19" t="n"/>
      <c r="P6495" s="20" t="n"/>
      <c r="Q6495" s="19" t="n"/>
      <c r="R6495" s="19" t="n"/>
      <c r="Y6495" s="19" t="n"/>
    </row>
    <row r="6496">
      <c r="C6496" s="18" t="n"/>
      <c r="J6496" s="19" t="n"/>
      <c r="P6496" s="20" t="n"/>
      <c r="Q6496" s="19" t="n"/>
      <c r="R6496" s="19" t="n"/>
      <c r="Y6496" s="19" t="n"/>
    </row>
    <row r="6497">
      <c r="C6497" s="18" t="n"/>
      <c r="J6497" s="19" t="n"/>
      <c r="P6497" s="20" t="n"/>
      <c r="Q6497" s="19" t="n"/>
      <c r="R6497" s="19" t="n"/>
      <c r="Y6497" s="19" t="n"/>
    </row>
    <row r="6498">
      <c r="C6498" s="18" t="n"/>
      <c r="J6498" s="19" t="n"/>
      <c r="P6498" s="20" t="n"/>
      <c r="Q6498" s="19" t="n"/>
      <c r="R6498" s="19" t="n"/>
      <c r="Y6498" s="19" t="n"/>
    </row>
    <row r="6499">
      <c r="C6499" s="18" t="n"/>
      <c r="J6499" s="19" t="n"/>
      <c r="P6499" s="20" t="n"/>
      <c r="Q6499" s="19" t="n"/>
      <c r="R6499" s="19" t="n"/>
      <c r="Y6499" s="19" t="n"/>
    </row>
    <row r="6500">
      <c r="C6500" s="18" t="n"/>
      <c r="J6500" s="19" t="n"/>
      <c r="P6500" s="20" t="n"/>
      <c r="Q6500" s="19" t="n"/>
      <c r="R6500" s="19" t="n"/>
      <c r="Y6500" s="19" t="n"/>
    </row>
    <row r="6501">
      <c r="C6501" s="18" t="n"/>
      <c r="J6501" s="19" t="n"/>
      <c r="P6501" s="20" t="n"/>
      <c r="Q6501" s="19" t="n"/>
      <c r="R6501" s="19" t="n"/>
      <c r="Y6501" s="19" t="n"/>
    </row>
    <row r="6502">
      <c r="C6502" s="18" t="n"/>
      <c r="J6502" s="19" t="n"/>
      <c r="P6502" s="20" t="n"/>
      <c r="Q6502" s="19" t="n"/>
      <c r="R6502" s="19" t="n"/>
      <c r="Y6502" s="19" t="n"/>
    </row>
    <row r="6503">
      <c r="C6503" s="18" t="n"/>
      <c r="J6503" s="19" t="n"/>
      <c r="P6503" s="20" t="n"/>
      <c r="Q6503" s="19" t="n"/>
      <c r="R6503" s="19" t="n"/>
      <c r="Y6503" s="19" t="n"/>
    </row>
    <row r="6504">
      <c r="C6504" s="18" t="n"/>
      <c r="J6504" s="19" t="n"/>
      <c r="P6504" s="20" t="n"/>
      <c r="Q6504" s="19" t="n"/>
      <c r="R6504" s="19" t="n"/>
      <c r="Y6504" s="19" t="n"/>
    </row>
    <row r="6505">
      <c r="C6505" s="18" t="n"/>
      <c r="J6505" s="19" t="n"/>
      <c r="P6505" s="20" t="n"/>
      <c r="Q6505" s="19" t="n"/>
      <c r="R6505" s="19" t="n"/>
      <c r="Y6505" s="19" t="n"/>
    </row>
    <row r="6506">
      <c r="C6506" s="18" t="n"/>
      <c r="J6506" s="19" t="n"/>
      <c r="P6506" s="20" t="n"/>
      <c r="Q6506" s="19" t="n"/>
      <c r="R6506" s="19" t="n"/>
      <c r="Y6506" s="19" t="n"/>
    </row>
    <row r="6507">
      <c r="C6507" s="18" t="n"/>
      <c r="J6507" s="19" t="n"/>
      <c r="P6507" s="20" t="n"/>
      <c r="Q6507" s="19" t="n"/>
      <c r="R6507" s="19" t="n"/>
      <c r="Y6507" s="19" t="n"/>
    </row>
    <row r="6508">
      <c r="C6508" s="18" t="n"/>
      <c r="J6508" s="19" t="n"/>
      <c r="P6508" s="20" t="n"/>
      <c r="Q6508" s="19" t="n"/>
      <c r="R6508" s="19" t="n"/>
      <c r="Y6508" s="19" t="n"/>
    </row>
    <row r="6509">
      <c r="C6509" s="18" t="n"/>
      <c r="J6509" s="19" t="n"/>
      <c r="P6509" s="20" t="n"/>
      <c r="Q6509" s="19" t="n"/>
      <c r="R6509" s="19" t="n"/>
      <c r="Y6509" s="19" t="n"/>
    </row>
    <row r="6510">
      <c r="C6510" s="18" t="n"/>
      <c r="J6510" s="19" t="n"/>
      <c r="P6510" s="20" t="n"/>
      <c r="Q6510" s="19" t="n"/>
      <c r="R6510" s="19" t="n"/>
      <c r="Y6510" s="19" t="n"/>
    </row>
    <row r="6511">
      <c r="C6511" s="18" t="n"/>
      <c r="J6511" s="19" t="n"/>
      <c r="P6511" s="20" t="n"/>
      <c r="Q6511" s="19" t="n"/>
      <c r="R6511" s="19" t="n"/>
      <c r="Y6511" s="19" t="n"/>
    </row>
    <row r="6512">
      <c r="C6512" s="18" t="n"/>
      <c r="J6512" s="19" t="n"/>
      <c r="P6512" s="20" t="n"/>
      <c r="Q6512" s="19" t="n"/>
      <c r="R6512" s="19" t="n"/>
      <c r="Y6512" s="19" t="n"/>
    </row>
    <row r="6513">
      <c r="C6513" s="18" t="n"/>
      <c r="J6513" s="19" t="n"/>
      <c r="P6513" s="20" t="n"/>
      <c r="Q6513" s="19" t="n"/>
      <c r="R6513" s="19" t="n"/>
      <c r="Y6513" s="19" t="n"/>
    </row>
    <row r="6514">
      <c r="C6514" s="18" t="n"/>
      <c r="J6514" s="19" t="n"/>
      <c r="P6514" s="20" t="n"/>
      <c r="Q6514" s="19" t="n"/>
      <c r="R6514" s="19" t="n"/>
      <c r="Y6514" s="19" t="n"/>
    </row>
    <row r="6515">
      <c r="C6515" s="18" t="n"/>
      <c r="J6515" s="19" t="n"/>
      <c r="P6515" s="20" t="n"/>
      <c r="Q6515" s="19" t="n"/>
      <c r="R6515" s="19" t="n"/>
      <c r="Y6515" s="19" t="n"/>
    </row>
    <row r="6516">
      <c r="C6516" s="18" t="n"/>
      <c r="J6516" s="19" t="n"/>
      <c r="P6516" s="20" t="n"/>
      <c r="Q6516" s="19" t="n"/>
      <c r="R6516" s="19" t="n"/>
      <c r="Y6516" s="19" t="n"/>
    </row>
    <row r="6517">
      <c r="C6517" s="18" t="n"/>
      <c r="J6517" s="19" t="n"/>
      <c r="P6517" s="20" t="n"/>
      <c r="Q6517" s="19" t="n"/>
      <c r="R6517" s="19" t="n"/>
      <c r="Y6517" s="19" t="n"/>
    </row>
    <row r="6518">
      <c r="C6518" s="18" t="n"/>
      <c r="J6518" s="19" t="n"/>
      <c r="P6518" s="20" t="n"/>
      <c r="Q6518" s="19" t="n"/>
      <c r="R6518" s="19" t="n"/>
      <c r="Y6518" s="19" t="n"/>
    </row>
    <row r="6519">
      <c r="C6519" s="18" t="n"/>
      <c r="J6519" s="19" t="n"/>
      <c r="P6519" s="20" t="n"/>
      <c r="Q6519" s="19" t="n"/>
      <c r="R6519" s="19" t="n"/>
      <c r="Y6519" s="19" t="n"/>
    </row>
    <row r="6520">
      <c r="C6520" s="18" t="n"/>
      <c r="J6520" s="19" t="n"/>
      <c r="P6520" s="20" t="n"/>
      <c r="Q6520" s="19" t="n"/>
      <c r="R6520" s="19" t="n"/>
      <c r="Y6520" s="19" t="n"/>
    </row>
    <row r="6521">
      <c r="C6521" s="18" t="n"/>
      <c r="J6521" s="19" t="n"/>
      <c r="P6521" s="20" t="n"/>
      <c r="Q6521" s="19" t="n"/>
      <c r="R6521" s="19" t="n"/>
      <c r="Y6521" s="19" t="n"/>
    </row>
    <row r="6522">
      <c r="C6522" s="18" t="n"/>
      <c r="J6522" s="19" t="n"/>
      <c r="P6522" s="20" t="n"/>
      <c r="Q6522" s="19" t="n"/>
      <c r="R6522" s="19" t="n"/>
      <c r="Y6522" s="19" t="n"/>
    </row>
    <row r="6523">
      <c r="C6523" s="18" t="n"/>
      <c r="J6523" s="19" t="n"/>
      <c r="P6523" s="20" t="n"/>
      <c r="Q6523" s="19" t="n"/>
      <c r="R6523" s="19" t="n"/>
      <c r="Y6523" s="19" t="n"/>
    </row>
    <row r="6524">
      <c r="C6524" s="18" t="n"/>
      <c r="J6524" s="19" t="n"/>
      <c r="P6524" s="20" t="n"/>
      <c r="Q6524" s="19" t="n"/>
      <c r="R6524" s="19" t="n"/>
      <c r="Y6524" s="19" t="n"/>
    </row>
    <row r="6525">
      <c r="C6525" s="18" t="n"/>
      <c r="J6525" s="19" t="n"/>
      <c r="P6525" s="20" t="n"/>
      <c r="Q6525" s="19" t="n"/>
      <c r="R6525" s="19" t="n"/>
      <c r="Y6525" s="19" t="n"/>
    </row>
    <row r="6526">
      <c r="C6526" s="18" t="n"/>
      <c r="J6526" s="19" t="n"/>
      <c r="P6526" s="20" t="n"/>
      <c r="Q6526" s="19" t="n"/>
      <c r="R6526" s="19" t="n"/>
      <c r="Y6526" s="19" t="n"/>
    </row>
    <row r="6527">
      <c r="C6527" s="18" t="n"/>
      <c r="J6527" s="19" t="n"/>
      <c r="P6527" s="20" t="n"/>
      <c r="Q6527" s="19" t="n"/>
      <c r="R6527" s="19" t="n"/>
      <c r="Y6527" s="19" t="n"/>
    </row>
    <row r="6528">
      <c r="C6528" s="18" t="n"/>
      <c r="J6528" s="19" t="n"/>
      <c r="P6528" s="20" t="n"/>
      <c r="Q6528" s="19" t="n"/>
      <c r="R6528" s="19" t="n"/>
      <c r="Y6528" s="19" t="n"/>
    </row>
    <row r="6529">
      <c r="C6529" s="18" t="n"/>
      <c r="J6529" s="19" t="n"/>
      <c r="P6529" s="20" t="n"/>
      <c r="Q6529" s="19" t="n"/>
      <c r="R6529" s="19" t="n"/>
      <c r="Y6529" s="19" t="n"/>
    </row>
    <row r="6530">
      <c r="C6530" s="18" t="n"/>
      <c r="J6530" s="19" t="n"/>
      <c r="P6530" s="20" t="n"/>
      <c r="Q6530" s="19" t="n"/>
      <c r="R6530" s="19" t="n"/>
      <c r="Y6530" s="19" t="n"/>
    </row>
    <row r="6531">
      <c r="C6531" s="18" t="n"/>
      <c r="J6531" s="19" t="n"/>
      <c r="P6531" s="20" t="n"/>
      <c r="Q6531" s="19" t="n"/>
      <c r="R6531" s="19" t="n"/>
      <c r="Y6531" s="19" t="n"/>
    </row>
    <row r="6532">
      <c r="C6532" s="18" t="n"/>
      <c r="J6532" s="19" t="n"/>
      <c r="P6532" s="20" t="n"/>
      <c r="Q6532" s="19" t="n"/>
      <c r="R6532" s="19" t="n"/>
      <c r="Y6532" s="19" t="n"/>
    </row>
    <row r="6533">
      <c r="C6533" s="18" t="n"/>
      <c r="J6533" s="19" t="n"/>
      <c r="P6533" s="20" t="n"/>
      <c r="Q6533" s="19" t="n"/>
      <c r="R6533" s="19" t="n"/>
      <c r="Y6533" s="19" t="n"/>
    </row>
    <row r="6534">
      <c r="C6534" s="18" t="n"/>
      <c r="J6534" s="19" t="n"/>
      <c r="P6534" s="20" t="n"/>
      <c r="Q6534" s="19" t="n"/>
      <c r="R6534" s="19" t="n"/>
      <c r="Y6534" s="19" t="n"/>
    </row>
    <row r="6535">
      <c r="C6535" s="18" t="n"/>
      <c r="J6535" s="19" t="n"/>
      <c r="P6535" s="20" t="n"/>
      <c r="Q6535" s="19" t="n"/>
      <c r="R6535" s="19" t="n"/>
      <c r="Y6535" s="19" t="n"/>
    </row>
    <row r="6536">
      <c r="C6536" s="18" t="n"/>
      <c r="J6536" s="19" t="n"/>
      <c r="P6536" s="20" t="n"/>
      <c r="Q6536" s="19" t="n"/>
      <c r="R6536" s="19" t="n"/>
      <c r="Y6536" s="19" t="n"/>
    </row>
    <row r="6537">
      <c r="C6537" s="18" t="n"/>
      <c r="J6537" s="19" t="n"/>
      <c r="P6537" s="20" t="n"/>
      <c r="Q6537" s="19" t="n"/>
      <c r="R6537" s="19" t="n"/>
      <c r="Y6537" s="19" t="n"/>
    </row>
    <row r="6538">
      <c r="C6538" s="18" t="n"/>
      <c r="J6538" s="19" t="n"/>
      <c r="P6538" s="20" t="n"/>
      <c r="Q6538" s="19" t="n"/>
      <c r="R6538" s="19" t="n"/>
      <c r="Y6538" s="19" t="n"/>
    </row>
    <row r="6539">
      <c r="C6539" s="18" t="n"/>
      <c r="J6539" s="19" t="n"/>
      <c r="P6539" s="20" t="n"/>
      <c r="Q6539" s="19" t="n"/>
      <c r="R6539" s="19" t="n"/>
      <c r="Y6539" s="19" t="n"/>
    </row>
    <row r="6540">
      <c r="C6540" s="18" t="n"/>
      <c r="J6540" s="19" t="n"/>
      <c r="P6540" s="20" t="n"/>
      <c r="Q6540" s="19" t="n"/>
      <c r="R6540" s="19" t="n"/>
      <c r="Y6540" s="19" t="n"/>
    </row>
    <row r="6541">
      <c r="C6541" s="18" t="n"/>
      <c r="J6541" s="19" t="n"/>
      <c r="P6541" s="20" t="n"/>
      <c r="Q6541" s="19" t="n"/>
      <c r="R6541" s="19" t="n"/>
      <c r="Y6541" s="19" t="n"/>
    </row>
    <row r="6542">
      <c r="C6542" s="18" t="n"/>
      <c r="J6542" s="19" t="n"/>
      <c r="P6542" s="20" t="n"/>
      <c r="Q6542" s="19" t="n"/>
      <c r="R6542" s="19" t="n"/>
      <c r="Y6542" s="19" t="n"/>
    </row>
    <row r="6543">
      <c r="C6543" s="18" t="n"/>
      <c r="J6543" s="19" t="n"/>
      <c r="P6543" s="20" t="n"/>
      <c r="Q6543" s="19" t="n"/>
      <c r="R6543" s="19" t="n"/>
      <c r="Y6543" s="19" t="n"/>
    </row>
    <row r="6544">
      <c r="C6544" s="18" t="n"/>
      <c r="J6544" s="19" t="n"/>
      <c r="P6544" s="20" t="n"/>
      <c r="Q6544" s="19" t="n"/>
      <c r="R6544" s="19" t="n"/>
      <c r="Y6544" s="19" t="n"/>
    </row>
    <row r="6545">
      <c r="C6545" s="18" t="n"/>
      <c r="J6545" s="19" t="n"/>
      <c r="P6545" s="20" t="n"/>
      <c r="Q6545" s="19" t="n"/>
      <c r="R6545" s="19" t="n"/>
      <c r="Y6545" s="19" t="n"/>
    </row>
    <row r="6546">
      <c r="C6546" s="18" t="n"/>
      <c r="J6546" s="19" t="n"/>
      <c r="P6546" s="20" t="n"/>
      <c r="Q6546" s="19" t="n"/>
      <c r="R6546" s="19" t="n"/>
      <c r="Y6546" s="19" t="n"/>
    </row>
    <row r="6547">
      <c r="C6547" s="18" t="n"/>
      <c r="J6547" s="19" t="n"/>
      <c r="P6547" s="20" t="n"/>
      <c r="Q6547" s="19" t="n"/>
      <c r="R6547" s="19" t="n"/>
      <c r="Y6547" s="19" t="n"/>
    </row>
    <row r="6548">
      <c r="C6548" s="18" t="n"/>
      <c r="J6548" s="19" t="n"/>
      <c r="P6548" s="20" t="n"/>
      <c r="Q6548" s="19" t="n"/>
      <c r="R6548" s="19" t="n"/>
      <c r="Y6548" s="19" t="n"/>
    </row>
    <row r="6549">
      <c r="C6549" s="18" t="n"/>
      <c r="J6549" s="19" t="n"/>
      <c r="P6549" s="20" t="n"/>
      <c r="Q6549" s="19" t="n"/>
      <c r="R6549" s="19" t="n"/>
      <c r="Y6549" s="19" t="n"/>
    </row>
    <row r="6550">
      <c r="C6550" s="18" t="n"/>
      <c r="J6550" s="19" t="n"/>
      <c r="P6550" s="20" t="n"/>
      <c r="Q6550" s="19" t="n"/>
      <c r="R6550" s="19" t="n"/>
      <c r="Y6550" s="19" t="n"/>
    </row>
    <row r="6551">
      <c r="C6551" s="18" t="n"/>
      <c r="J6551" s="19" t="n"/>
      <c r="P6551" s="20" t="n"/>
      <c r="Q6551" s="19" t="n"/>
      <c r="R6551" s="19" t="n"/>
      <c r="Y6551" s="19" t="n"/>
    </row>
    <row r="6552">
      <c r="C6552" s="18" t="n"/>
      <c r="J6552" s="19" t="n"/>
      <c r="P6552" s="20" t="n"/>
      <c r="Q6552" s="19" t="n"/>
      <c r="R6552" s="19" t="n"/>
      <c r="Y6552" s="19" t="n"/>
    </row>
    <row r="6553">
      <c r="C6553" s="18" t="n"/>
      <c r="J6553" s="19" t="n"/>
      <c r="P6553" s="20" t="n"/>
      <c r="Q6553" s="19" t="n"/>
      <c r="R6553" s="19" t="n"/>
      <c r="Y6553" s="19" t="n"/>
    </row>
    <row r="6554">
      <c r="C6554" s="18" t="n"/>
      <c r="J6554" s="19" t="n"/>
      <c r="P6554" s="20" t="n"/>
      <c r="Q6554" s="19" t="n"/>
      <c r="R6554" s="19" t="n"/>
      <c r="Y6554" s="19" t="n"/>
    </row>
    <row r="6555">
      <c r="C6555" s="18" t="n"/>
      <c r="J6555" s="19" t="n"/>
      <c r="P6555" s="20" t="n"/>
      <c r="Q6555" s="19" t="n"/>
      <c r="R6555" s="19" t="n"/>
      <c r="Y6555" s="19" t="n"/>
    </row>
    <row r="6556">
      <c r="C6556" s="18" t="n"/>
      <c r="J6556" s="19" t="n"/>
      <c r="P6556" s="20" t="n"/>
      <c r="Q6556" s="19" t="n"/>
      <c r="R6556" s="19" t="n"/>
      <c r="Y6556" s="19" t="n"/>
    </row>
    <row r="6557">
      <c r="C6557" s="18" t="n"/>
      <c r="J6557" s="19" t="n"/>
      <c r="P6557" s="20" t="n"/>
      <c r="Q6557" s="19" t="n"/>
      <c r="R6557" s="19" t="n"/>
      <c r="Y6557" s="19" t="n"/>
    </row>
    <row r="6558">
      <c r="C6558" s="18" t="n"/>
      <c r="J6558" s="19" t="n"/>
      <c r="P6558" s="20" t="n"/>
      <c r="Q6558" s="19" t="n"/>
      <c r="R6558" s="19" t="n"/>
      <c r="Y6558" s="19" t="n"/>
    </row>
    <row r="6559">
      <c r="C6559" s="18" t="n"/>
      <c r="J6559" s="19" t="n"/>
      <c r="P6559" s="20" t="n"/>
      <c r="Q6559" s="19" t="n"/>
      <c r="R6559" s="19" t="n"/>
      <c r="Y6559" s="19" t="n"/>
    </row>
    <row r="6560">
      <c r="C6560" s="18" t="n"/>
      <c r="J6560" s="19" t="n"/>
      <c r="P6560" s="20" t="n"/>
      <c r="Q6560" s="19" t="n"/>
      <c r="R6560" s="19" t="n"/>
      <c r="Y6560" s="19" t="n"/>
    </row>
    <row r="6561">
      <c r="C6561" s="18" t="n"/>
      <c r="J6561" s="19" t="n"/>
      <c r="P6561" s="20" t="n"/>
      <c r="Q6561" s="19" t="n"/>
      <c r="R6561" s="19" t="n"/>
      <c r="Y6561" s="19" t="n"/>
    </row>
    <row r="6562">
      <c r="C6562" s="18" t="n"/>
      <c r="J6562" s="19" t="n"/>
      <c r="P6562" s="20" t="n"/>
      <c r="Q6562" s="19" t="n"/>
      <c r="R6562" s="19" t="n"/>
      <c r="Y6562" s="19" t="n"/>
    </row>
    <row r="6563">
      <c r="C6563" s="18" t="n"/>
      <c r="J6563" s="19" t="n"/>
      <c r="P6563" s="20" t="n"/>
      <c r="Q6563" s="19" t="n"/>
      <c r="R6563" s="19" t="n"/>
      <c r="Y6563" s="19" t="n"/>
    </row>
    <row r="6564">
      <c r="C6564" s="18" t="n"/>
      <c r="J6564" s="19" t="n"/>
      <c r="P6564" s="20" t="n"/>
      <c r="Q6564" s="19" t="n"/>
      <c r="R6564" s="19" t="n"/>
      <c r="Y6564" s="19" t="n"/>
    </row>
    <row r="6565">
      <c r="C6565" s="18" t="n"/>
      <c r="J6565" s="19" t="n"/>
      <c r="P6565" s="20" t="n"/>
      <c r="Q6565" s="19" t="n"/>
      <c r="R6565" s="19" t="n"/>
      <c r="Y6565" s="19" t="n"/>
    </row>
    <row r="6566">
      <c r="C6566" s="18" t="n"/>
      <c r="J6566" s="19" t="n"/>
      <c r="P6566" s="20" t="n"/>
      <c r="Q6566" s="19" t="n"/>
      <c r="R6566" s="19" t="n"/>
      <c r="Y6566" s="19" t="n"/>
    </row>
    <row r="6567">
      <c r="C6567" s="18" t="n"/>
      <c r="J6567" s="19" t="n"/>
      <c r="P6567" s="20" t="n"/>
      <c r="Q6567" s="19" t="n"/>
      <c r="R6567" s="19" t="n"/>
      <c r="Y6567" s="19" t="n"/>
    </row>
    <row r="6568">
      <c r="C6568" s="18" t="n"/>
      <c r="J6568" s="19" t="n"/>
      <c r="P6568" s="20" t="n"/>
      <c r="Q6568" s="19" t="n"/>
      <c r="R6568" s="19" t="n"/>
      <c r="Y6568" s="19" t="n"/>
    </row>
    <row r="6569">
      <c r="C6569" s="18" t="n"/>
      <c r="J6569" s="19" t="n"/>
      <c r="P6569" s="20" t="n"/>
      <c r="Q6569" s="19" t="n"/>
      <c r="R6569" s="19" t="n"/>
      <c r="Y6569" s="19" t="n"/>
    </row>
    <row r="6570">
      <c r="C6570" s="18" t="n"/>
      <c r="J6570" s="19" t="n"/>
      <c r="P6570" s="20" t="n"/>
      <c r="Q6570" s="19" t="n"/>
      <c r="R6570" s="19" t="n"/>
      <c r="Y6570" s="19" t="n"/>
    </row>
    <row r="6571">
      <c r="C6571" s="18" t="n"/>
      <c r="J6571" s="19" t="n"/>
      <c r="P6571" s="20" t="n"/>
      <c r="Q6571" s="19" t="n"/>
      <c r="R6571" s="19" t="n"/>
      <c r="Y6571" s="19" t="n"/>
    </row>
    <row r="6572">
      <c r="C6572" s="18" t="n"/>
      <c r="J6572" s="19" t="n"/>
      <c r="P6572" s="20" t="n"/>
      <c r="Q6572" s="19" t="n"/>
      <c r="R6572" s="19" t="n"/>
      <c r="Y6572" s="19" t="n"/>
    </row>
    <row r="6573">
      <c r="C6573" s="18" t="n"/>
      <c r="J6573" s="19" t="n"/>
      <c r="P6573" s="20" t="n"/>
      <c r="Q6573" s="19" t="n"/>
      <c r="R6573" s="19" t="n"/>
      <c r="Y6573" s="19" t="n"/>
    </row>
    <row r="6574">
      <c r="C6574" s="18" t="n"/>
      <c r="J6574" s="19" t="n"/>
      <c r="P6574" s="20" t="n"/>
      <c r="Q6574" s="19" t="n"/>
      <c r="R6574" s="19" t="n"/>
      <c r="Y6574" s="19" t="n"/>
    </row>
    <row r="6575">
      <c r="C6575" s="18" t="n"/>
      <c r="J6575" s="19" t="n"/>
      <c r="P6575" s="20" t="n"/>
      <c r="Q6575" s="19" t="n"/>
      <c r="R6575" s="19" t="n"/>
      <c r="Y6575" s="19" t="n"/>
    </row>
    <row r="6576">
      <c r="C6576" s="18" t="n"/>
      <c r="J6576" s="19" t="n"/>
      <c r="P6576" s="20" t="n"/>
      <c r="Q6576" s="19" t="n"/>
      <c r="R6576" s="19" t="n"/>
      <c r="Y6576" s="19" t="n"/>
    </row>
    <row r="6577">
      <c r="C6577" s="18" t="n"/>
      <c r="J6577" s="19" t="n"/>
      <c r="P6577" s="20" t="n"/>
      <c r="Q6577" s="19" t="n"/>
      <c r="R6577" s="19" t="n"/>
      <c r="Y6577" s="19" t="n"/>
    </row>
    <row r="6578">
      <c r="C6578" s="18" t="n"/>
      <c r="J6578" s="19" t="n"/>
      <c r="P6578" s="20" t="n"/>
      <c r="Q6578" s="19" t="n"/>
      <c r="R6578" s="19" t="n"/>
      <c r="Y6578" s="19" t="n"/>
    </row>
    <row r="6579">
      <c r="C6579" s="18" t="n"/>
      <c r="J6579" s="19" t="n"/>
      <c r="P6579" s="20" t="n"/>
      <c r="Q6579" s="19" t="n"/>
      <c r="R6579" s="19" t="n"/>
      <c r="Y6579" s="19" t="n"/>
    </row>
    <row r="6580">
      <c r="C6580" s="18" t="n"/>
      <c r="J6580" s="19" t="n"/>
      <c r="P6580" s="20" t="n"/>
      <c r="Q6580" s="19" t="n"/>
      <c r="R6580" s="19" t="n"/>
      <c r="Y6580" s="19" t="n"/>
    </row>
    <row r="6581">
      <c r="C6581" s="18" t="n"/>
      <c r="J6581" s="19" t="n"/>
      <c r="P6581" s="20" t="n"/>
      <c r="Q6581" s="19" t="n"/>
      <c r="R6581" s="19" t="n"/>
      <c r="Y6581" s="19" t="n"/>
    </row>
    <row r="6582">
      <c r="C6582" s="18" t="n"/>
      <c r="J6582" s="19" t="n"/>
      <c r="P6582" s="20" t="n"/>
      <c r="Q6582" s="19" t="n"/>
      <c r="R6582" s="19" t="n"/>
      <c r="Y6582" s="19" t="n"/>
    </row>
    <row r="6583">
      <c r="C6583" s="18" t="n"/>
      <c r="J6583" s="19" t="n"/>
      <c r="P6583" s="20" t="n"/>
      <c r="Q6583" s="19" t="n"/>
      <c r="R6583" s="19" t="n"/>
      <c r="Y6583" s="19" t="n"/>
    </row>
    <row r="6584">
      <c r="C6584" s="18" t="n"/>
      <c r="J6584" s="19" t="n"/>
      <c r="P6584" s="20" t="n"/>
      <c r="Q6584" s="19" t="n"/>
      <c r="R6584" s="19" t="n"/>
      <c r="Y6584" s="19" t="n"/>
    </row>
    <row r="6585">
      <c r="C6585" s="18" t="n"/>
      <c r="J6585" s="19" t="n"/>
      <c r="P6585" s="20" t="n"/>
      <c r="Q6585" s="19" t="n"/>
      <c r="R6585" s="19" t="n"/>
      <c r="Y6585" s="19" t="n"/>
    </row>
    <row r="6586">
      <c r="C6586" s="18" t="n"/>
      <c r="J6586" s="19" t="n"/>
      <c r="P6586" s="20" t="n"/>
      <c r="Q6586" s="19" t="n"/>
      <c r="R6586" s="19" t="n"/>
      <c r="Y6586" s="19" t="n"/>
    </row>
    <row r="6587">
      <c r="C6587" s="18" t="n"/>
      <c r="J6587" s="19" t="n"/>
      <c r="P6587" s="20" t="n"/>
      <c r="Q6587" s="19" t="n"/>
      <c r="R6587" s="19" t="n"/>
      <c r="Y6587" s="19" t="n"/>
    </row>
    <row r="6588">
      <c r="C6588" s="18" t="n"/>
      <c r="J6588" s="19" t="n"/>
      <c r="P6588" s="20" t="n"/>
      <c r="Q6588" s="19" t="n"/>
      <c r="R6588" s="19" t="n"/>
      <c r="Y6588" s="19" t="n"/>
    </row>
    <row r="6589">
      <c r="C6589" s="18" t="n"/>
      <c r="J6589" s="19" t="n"/>
      <c r="P6589" s="20" t="n"/>
      <c r="Q6589" s="19" t="n"/>
      <c r="R6589" s="19" t="n"/>
      <c r="Y6589" s="19" t="n"/>
    </row>
    <row r="6590">
      <c r="C6590" s="18" t="n"/>
      <c r="J6590" s="19" t="n"/>
      <c r="P6590" s="20" t="n"/>
      <c r="Q6590" s="19" t="n"/>
      <c r="R6590" s="19" t="n"/>
      <c r="Y6590" s="19" t="n"/>
    </row>
    <row r="6591">
      <c r="C6591" s="18" t="n"/>
      <c r="J6591" s="19" t="n"/>
      <c r="P6591" s="20" t="n"/>
      <c r="Q6591" s="19" t="n"/>
      <c r="R6591" s="19" t="n"/>
      <c r="Y6591" s="19" t="n"/>
    </row>
    <row r="6592">
      <c r="C6592" s="18" t="n"/>
      <c r="J6592" s="19" t="n"/>
      <c r="P6592" s="20" t="n"/>
      <c r="Q6592" s="19" t="n"/>
      <c r="R6592" s="19" t="n"/>
      <c r="Y6592" s="19" t="n"/>
    </row>
    <row r="6593">
      <c r="C6593" s="18" t="n"/>
      <c r="J6593" s="19" t="n"/>
      <c r="P6593" s="20" t="n"/>
      <c r="Q6593" s="19" t="n"/>
      <c r="R6593" s="19" t="n"/>
      <c r="Y6593" s="19" t="n"/>
    </row>
    <row r="6594">
      <c r="C6594" s="18" t="n"/>
      <c r="J6594" s="19" t="n"/>
      <c r="P6594" s="20" t="n"/>
      <c r="Q6594" s="19" t="n"/>
      <c r="R6594" s="19" t="n"/>
      <c r="Y6594" s="19" t="n"/>
    </row>
    <row r="6595">
      <c r="C6595" s="18" t="n"/>
      <c r="J6595" s="19" t="n"/>
      <c r="P6595" s="20" t="n"/>
      <c r="Q6595" s="19" t="n"/>
      <c r="R6595" s="19" t="n"/>
      <c r="Y6595" s="19" t="n"/>
    </row>
    <row r="6596">
      <c r="C6596" s="18" t="n"/>
      <c r="J6596" s="19" t="n"/>
      <c r="P6596" s="20" t="n"/>
      <c r="Q6596" s="19" t="n"/>
      <c r="R6596" s="19" t="n"/>
      <c r="Y6596" s="19" t="n"/>
    </row>
    <row r="6597">
      <c r="C6597" s="18" t="n"/>
      <c r="J6597" s="19" t="n"/>
      <c r="P6597" s="20" t="n"/>
      <c r="Q6597" s="19" t="n"/>
      <c r="R6597" s="19" t="n"/>
      <c r="Y6597" s="19" t="n"/>
    </row>
    <row r="6598">
      <c r="C6598" s="18" t="n"/>
      <c r="J6598" s="19" t="n"/>
      <c r="P6598" s="20" t="n"/>
      <c r="Q6598" s="19" t="n"/>
      <c r="R6598" s="19" t="n"/>
      <c r="Y6598" s="19" t="n"/>
    </row>
    <row r="6599">
      <c r="C6599" s="18" t="n"/>
      <c r="J6599" s="19" t="n"/>
      <c r="P6599" s="20" t="n"/>
      <c r="Q6599" s="19" t="n"/>
      <c r="R6599" s="19" t="n"/>
      <c r="Y6599" s="19" t="n"/>
    </row>
    <row r="6600">
      <c r="C6600" s="18" t="n"/>
      <c r="J6600" s="19" t="n"/>
      <c r="P6600" s="20" t="n"/>
      <c r="Q6600" s="19" t="n"/>
      <c r="R6600" s="19" t="n"/>
      <c r="Y6600" s="19" t="n"/>
    </row>
    <row r="6601">
      <c r="C6601" s="18" t="n"/>
      <c r="J6601" s="19" t="n"/>
      <c r="P6601" s="20" t="n"/>
      <c r="Q6601" s="19" t="n"/>
      <c r="R6601" s="19" t="n"/>
      <c r="Y6601" s="19" t="n"/>
    </row>
    <row r="6602">
      <c r="C6602" s="18" t="n"/>
      <c r="J6602" s="19" t="n"/>
      <c r="P6602" s="20" t="n"/>
      <c r="Q6602" s="19" t="n"/>
      <c r="R6602" s="19" t="n"/>
      <c r="Y6602" s="19" t="n"/>
    </row>
    <row r="6603">
      <c r="C6603" s="18" t="n"/>
      <c r="J6603" s="19" t="n"/>
      <c r="P6603" s="20" t="n"/>
      <c r="Q6603" s="19" t="n"/>
      <c r="R6603" s="19" t="n"/>
      <c r="Y6603" s="19" t="n"/>
    </row>
    <row r="6604">
      <c r="C6604" s="18" t="n"/>
      <c r="J6604" s="19" t="n"/>
      <c r="P6604" s="20" t="n"/>
      <c r="Q6604" s="19" t="n"/>
      <c r="R6604" s="19" t="n"/>
      <c r="Y6604" s="19" t="n"/>
    </row>
    <row r="6605">
      <c r="C6605" s="18" t="n"/>
      <c r="J6605" s="19" t="n"/>
      <c r="P6605" s="20" t="n"/>
      <c r="Q6605" s="19" t="n"/>
      <c r="R6605" s="19" t="n"/>
      <c r="Y6605" s="19" t="n"/>
    </row>
    <row r="6606">
      <c r="C6606" s="18" t="n"/>
      <c r="J6606" s="19" t="n"/>
      <c r="P6606" s="20" t="n"/>
      <c r="Q6606" s="19" t="n"/>
      <c r="R6606" s="19" t="n"/>
      <c r="Y6606" s="19" t="n"/>
    </row>
    <row r="6607">
      <c r="C6607" s="18" t="n"/>
      <c r="J6607" s="19" t="n"/>
      <c r="P6607" s="20" t="n"/>
      <c r="Q6607" s="19" t="n"/>
      <c r="R6607" s="19" t="n"/>
      <c r="Y6607" s="19" t="n"/>
    </row>
    <row r="6608">
      <c r="C6608" s="18" t="n"/>
      <c r="J6608" s="19" t="n"/>
      <c r="P6608" s="20" t="n"/>
      <c r="Q6608" s="19" t="n"/>
      <c r="R6608" s="19" t="n"/>
      <c r="Y6608" s="19" t="n"/>
    </row>
    <row r="6609">
      <c r="C6609" s="18" t="n"/>
      <c r="J6609" s="19" t="n"/>
      <c r="P6609" s="20" t="n"/>
      <c r="Q6609" s="19" t="n"/>
      <c r="R6609" s="19" t="n"/>
      <c r="Y6609" s="19" t="n"/>
    </row>
    <row r="6610">
      <c r="C6610" s="18" t="n"/>
      <c r="J6610" s="19" t="n"/>
      <c r="P6610" s="20" t="n"/>
      <c r="Q6610" s="19" t="n"/>
      <c r="R6610" s="19" t="n"/>
      <c r="Y6610" s="19" t="n"/>
    </row>
    <row r="6611">
      <c r="C6611" s="18" t="n"/>
      <c r="J6611" s="19" t="n"/>
      <c r="P6611" s="20" t="n"/>
      <c r="Q6611" s="19" t="n"/>
      <c r="R6611" s="19" t="n"/>
      <c r="Y6611" s="19" t="n"/>
    </row>
    <row r="6612">
      <c r="C6612" s="18" t="n"/>
      <c r="J6612" s="19" t="n"/>
      <c r="P6612" s="20" t="n"/>
      <c r="Q6612" s="19" t="n"/>
      <c r="R6612" s="19" t="n"/>
      <c r="Y6612" s="19" t="n"/>
    </row>
    <row r="6613">
      <c r="C6613" s="18" t="n"/>
      <c r="J6613" s="19" t="n"/>
      <c r="P6613" s="20" t="n"/>
      <c r="Q6613" s="19" t="n"/>
      <c r="R6613" s="19" t="n"/>
      <c r="Y6613" s="19" t="n"/>
    </row>
    <row r="6614">
      <c r="C6614" s="18" t="n"/>
      <c r="J6614" s="19" t="n"/>
      <c r="P6614" s="20" t="n"/>
      <c r="Q6614" s="19" t="n"/>
      <c r="R6614" s="19" t="n"/>
      <c r="Y6614" s="19" t="n"/>
    </row>
    <row r="6615">
      <c r="C6615" s="18" t="n"/>
      <c r="J6615" s="19" t="n"/>
      <c r="P6615" s="20" t="n"/>
      <c r="Q6615" s="19" t="n"/>
      <c r="R6615" s="19" t="n"/>
      <c r="Y6615" s="19" t="n"/>
    </row>
    <row r="6616">
      <c r="C6616" s="18" t="n"/>
      <c r="J6616" s="19" t="n"/>
      <c r="P6616" s="20" t="n"/>
      <c r="Q6616" s="19" t="n"/>
      <c r="R6616" s="19" t="n"/>
      <c r="Y6616" s="19" t="n"/>
    </row>
    <row r="6617">
      <c r="C6617" s="18" t="n"/>
      <c r="J6617" s="19" t="n"/>
      <c r="P6617" s="20" t="n"/>
      <c r="Q6617" s="19" t="n"/>
      <c r="R6617" s="19" t="n"/>
      <c r="Y6617" s="19" t="n"/>
    </row>
    <row r="6618">
      <c r="C6618" s="18" t="n"/>
      <c r="J6618" s="19" t="n"/>
      <c r="P6618" s="20" t="n"/>
      <c r="Q6618" s="19" t="n"/>
      <c r="R6618" s="19" t="n"/>
      <c r="Y6618" s="19" t="n"/>
    </row>
    <row r="6619">
      <c r="C6619" s="18" t="n"/>
      <c r="J6619" s="19" t="n"/>
      <c r="P6619" s="20" t="n"/>
      <c r="Q6619" s="19" t="n"/>
      <c r="R6619" s="19" t="n"/>
      <c r="Y6619" s="19" t="n"/>
    </row>
    <row r="6620">
      <c r="C6620" s="18" t="n"/>
      <c r="J6620" s="19" t="n"/>
      <c r="P6620" s="20" t="n"/>
      <c r="Q6620" s="19" t="n"/>
      <c r="R6620" s="19" t="n"/>
      <c r="Y6620" s="19" t="n"/>
    </row>
    <row r="6621">
      <c r="C6621" s="18" t="n"/>
      <c r="J6621" s="19" t="n"/>
      <c r="P6621" s="20" t="n"/>
      <c r="Q6621" s="19" t="n"/>
      <c r="R6621" s="19" t="n"/>
      <c r="Y6621" s="19" t="n"/>
    </row>
    <row r="6622">
      <c r="C6622" s="18" t="n"/>
      <c r="J6622" s="19" t="n"/>
      <c r="P6622" s="20" t="n"/>
      <c r="Q6622" s="19" t="n"/>
      <c r="R6622" s="19" t="n"/>
      <c r="Y6622" s="19" t="n"/>
    </row>
    <row r="6623">
      <c r="C6623" s="18" t="n"/>
      <c r="J6623" s="19" t="n"/>
      <c r="P6623" s="20" t="n"/>
      <c r="Q6623" s="19" t="n"/>
      <c r="R6623" s="19" t="n"/>
      <c r="Y6623" s="19" t="n"/>
    </row>
    <row r="6624">
      <c r="C6624" s="18" t="n"/>
      <c r="J6624" s="19" t="n"/>
      <c r="P6624" s="20" t="n"/>
      <c r="Q6624" s="19" t="n"/>
      <c r="R6624" s="19" t="n"/>
      <c r="Y6624" s="19" t="n"/>
    </row>
    <row r="6625">
      <c r="C6625" s="18" t="n"/>
      <c r="J6625" s="19" t="n"/>
      <c r="P6625" s="20" t="n"/>
      <c r="Q6625" s="19" t="n"/>
      <c r="R6625" s="19" t="n"/>
      <c r="Y6625" s="19" t="n"/>
    </row>
    <row r="6626">
      <c r="C6626" s="18" t="n"/>
      <c r="J6626" s="19" t="n"/>
      <c r="P6626" s="20" t="n"/>
      <c r="Q6626" s="19" t="n"/>
      <c r="R6626" s="19" t="n"/>
      <c r="Y6626" s="19" t="n"/>
    </row>
    <row r="6627">
      <c r="C6627" s="18" t="n"/>
      <c r="J6627" s="19" t="n"/>
      <c r="P6627" s="20" t="n"/>
      <c r="Q6627" s="19" t="n"/>
      <c r="R6627" s="19" t="n"/>
      <c r="Y6627" s="19" t="n"/>
    </row>
    <row r="6628">
      <c r="C6628" s="18" t="n"/>
      <c r="J6628" s="19" t="n"/>
      <c r="P6628" s="20" t="n"/>
      <c r="Q6628" s="19" t="n"/>
      <c r="R6628" s="19" t="n"/>
      <c r="Y6628" s="19" t="n"/>
    </row>
    <row r="6629">
      <c r="C6629" s="18" t="n"/>
      <c r="J6629" s="19" t="n"/>
      <c r="P6629" s="20" t="n"/>
      <c r="Q6629" s="19" t="n"/>
      <c r="R6629" s="19" t="n"/>
      <c r="Y6629" s="19" t="n"/>
    </row>
    <row r="6630">
      <c r="C6630" s="18" t="n"/>
      <c r="J6630" s="19" t="n"/>
      <c r="P6630" s="20" t="n"/>
      <c r="Q6630" s="19" t="n"/>
      <c r="R6630" s="19" t="n"/>
      <c r="Y6630" s="19" t="n"/>
    </row>
    <row r="6631">
      <c r="C6631" s="18" t="n"/>
      <c r="J6631" s="19" t="n"/>
      <c r="P6631" s="20" t="n"/>
      <c r="Q6631" s="19" t="n"/>
      <c r="R6631" s="19" t="n"/>
      <c r="Y6631" s="19" t="n"/>
    </row>
    <row r="6632">
      <c r="C6632" s="18" t="n"/>
      <c r="J6632" s="19" t="n"/>
      <c r="P6632" s="20" t="n"/>
      <c r="Q6632" s="19" t="n"/>
      <c r="R6632" s="19" t="n"/>
      <c r="Y6632" s="19" t="n"/>
    </row>
    <row r="6633">
      <c r="C6633" s="18" t="n"/>
      <c r="J6633" s="19" t="n"/>
      <c r="P6633" s="20" t="n"/>
      <c r="Q6633" s="19" t="n"/>
      <c r="R6633" s="19" t="n"/>
      <c r="Y6633" s="19" t="n"/>
    </row>
    <row r="6634">
      <c r="C6634" s="18" t="n"/>
      <c r="J6634" s="19" t="n"/>
      <c r="P6634" s="20" t="n"/>
      <c r="Q6634" s="19" t="n"/>
      <c r="R6634" s="19" t="n"/>
      <c r="Y6634" s="19" t="n"/>
    </row>
    <row r="6635">
      <c r="C6635" s="18" t="n"/>
      <c r="J6635" s="19" t="n"/>
      <c r="P6635" s="20" t="n"/>
      <c r="Q6635" s="19" t="n"/>
      <c r="R6635" s="19" t="n"/>
      <c r="Y6635" s="19" t="n"/>
    </row>
    <row r="6636">
      <c r="C6636" s="18" t="n"/>
      <c r="J6636" s="19" t="n"/>
      <c r="P6636" s="20" t="n"/>
      <c r="Q6636" s="19" t="n"/>
      <c r="R6636" s="19" t="n"/>
      <c r="Y6636" s="19" t="n"/>
    </row>
    <row r="6637">
      <c r="C6637" s="18" t="n"/>
      <c r="J6637" s="19" t="n"/>
      <c r="P6637" s="20" t="n"/>
      <c r="Q6637" s="19" t="n"/>
      <c r="R6637" s="19" t="n"/>
      <c r="Y6637" s="19" t="n"/>
    </row>
    <row r="6638">
      <c r="C6638" s="18" t="n"/>
      <c r="J6638" s="19" t="n"/>
      <c r="P6638" s="20" t="n"/>
      <c r="Q6638" s="19" t="n"/>
      <c r="R6638" s="19" t="n"/>
      <c r="Y6638" s="19" t="n"/>
    </row>
    <row r="6639">
      <c r="C6639" s="18" t="n"/>
      <c r="J6639" s="19" t="n"/>
      <c r="P6639" s="20" t="n"/>
      <c r="Q6639" s="19" t="n"/>
      <c r="R6639" s="19" t="n"/>
      <c r="Y6639" s="19" t="n"/>
    </row>
    <row r="6640">
      <c r="C6640" s="18" t="n"/>
      <c r="J6640" s="19" t="n"/>
      <c r="P6640" s="20" t="n"/>
      <c r="Q6640" s="19" t="n"/>
      <c r="R6640" s="19" t="n"/>
      <c r="Y6640" s="19" t="n"/>
    </row>
    <row r="6641">
      <c r="C6641" s="18" t="n"/>
      <c r="J6641" s="19" t="n"/>
      <c r="P6641" s="20" t="n"/>
      <c r="Q6641" s="19" t="n"/>
      <c r="R6641" s="19" t="n"/>
      <c r="Y6641" s="19" t="n"/>
    </row>
    <row r="6642">
      <c r="C6642" s="18" t="n"/>
      <c r="J6642" s="19" t="n"/>
      <c r="P6642" s="20" t="n"/>
      <c r="Q6642" s="19" t="n"/>
      <c r="R6642" s="19" t="n"/>
      <c r="Y6642" s="19" t="n"/>
    </row>
    <row r="6643">
      <c r="C6643" s="18" t="n"/>
      <c r="J6643" s="19" t="n"/>
      <c r="P6643" s="20" t="n"/>
      <c r="Q6643" s="19" t="n"/>
      <c r="R6643" s="19" t="n"/>
      <c r="Y6643" s="19" t="n"/>
    </row>
    <row r="6644">
      <c r="C6644" s="18" t="n"/>
      <c r="J6644" s="19" t="n"/>
      <c r="P6644" s="20" t="n"/>
      <c r="Q6644" s="19" t="n"/>
      <c r="R6644" s="19" t="n"/>
      <c r="Y6644" s="19" t="n"/>
    </row>
    <row r="6645">
      <c r="C6645" s="18" t="n"/>
      <c r="J6645" s="19" t="n"/>
      <c r="P6645" s="20" t="n"/>
      <c r="Q6645" s="19" t="n"/>
      <c r="R6645" s="19" t="n"/>
      <c r="Y6645" s="19" t="n"/>
    </row>
    <row r="6646">
      <c r="C6646" s="18" t="n"/>
      <c r="J6646" s="19" t="n"/>
      <c r="P6646" s="20" t="n"/>
      <c r="Q6646" s="19" t="n"/>
      <c r="R6646" s="19" t="n"/>
      <c r="Y6646" s="19" t="n"/>
    </row>
    <row r="6647">
      <c r="C6647" s="18" t="n"/>
      <c r="J6647" s="19" t="n"/>
      <c r="P6647" s="20" t="n"/>
      <c r="Q6647" s="19" t="n"/>
      <c r="R6647" s="19" t="n"/>
      <c r="Y6647" s="19" t="n"/>
    </row>
    <row r="6648">
      <c r="C6648" s="18" t="n"/>
      <c r="J6648" s="19" t="n"/>
      <c r="P6648" s="20" t="n"/>
      <c r="Q6648" s="19" t="n"/>
      <c r="R6648" s="19" t="n"/>
      <c r="Y6648" s="19" t="n"/>
    </row>
    <row r="6649">
      <c r="C6649" s="18" t="n"/>
      <c r="J6649" s="19" t="n"/>
      <c r="P6649" s="20" t="n"/>
      <c r="Q6649" s="19" t="n"/>
      <c r="R6649" s="19" t="n"/>
      <c r="Y6649" s="19" t="n"/>
    </row>
    <row r="6650">
      <c r="C6650" s="18" t="n"/>
      <c r="J6650" s="19" t="n"/>
      <c r="P6650" s="20" t="n"/>
      <c r="Q6650" s="19" t="n"/>
      <c r="R6650" s="19" t="n"/>
      <c r="Y6650" s="19" t="n"/>
    </row>
    <row r="6651">
      <c r="C6651" s="18" t="n"/>
      <c r="J6651" s="19" t="n"/>
      <c r="P6651" s="20" t="n"/>
      <c r="Q6651" s="19" t="n"/>
      <c r="R6651" s="19" t="n"/>
      <c r="Y6651" s="19" t="n"/>
    </row>
    <row r="6652">
      <c r="C6652" s="18" t="n"/>
      <c r="J6652" s="19" t="n"/>
      <c r="P6652" s="20" t="n"/>
      <c r="Q6652" s="19" t="n"/>
      <c r="R6652" s="19" t="n"/>
      <c r="Y6652" s="19" t="n"/>
    </row>
    <row r="6653">
      <c r="C6653" s="18" t="n"/>
      <c r="J6653" s="19" t="n"/>
      <c r="P6653" s="20" t="n"/>
      <c r="Q6653" s="19" t="n"/>
      <c r="R6653" s="19" t="n"/>
      <c r="Y6653" s="19" t="n"/>
    </row>
    <row r="6654">
      <c r="C6654" s="18" t="n"/>
      <c r="J6654" s="19" t="n"/>
      <c r="P6654" s="20" t="n"/>
      <c r="Q6654" s="19" t="n"/>
      <c r="R6654" s="19" t="n"/>
      <c r="Y6654" s="19" t="n"/>
    </row>
    <row r="6655">
      <c r="C6655" s="18" t="n"/>
      <c r="J6655" s="19" t="n"/>
      <c r="P6655" s="20" t="n"/>
      <c r="Q6655" s="19" t="n"/>
      <c r="R6655" s="19" t="n"/>
      <c r="Y6655" s="19" t="n"/>
    </row>
    <row r="6656">
      <c r="C6656" s="18" t="n"/>
      <c r="J6656" s="19" t="n"/>
      <c r="P6656" s="20" t="n"/>
      <c r="Q6656" s="19" t="n"/>
      <c r="R6656" s="19" t="n"/>
      <c r="Y6656" s="19" t="n"/>
    </row>
    <row r="6657">
      <c r="C6657" s="18" t="n"/>
      <c r="J6657" s="19" t="n"/>
      <c r="P6657" s="20" t="n"/>
      <c r="Q6657" s="19" t="n"/>
      <c r="R6657" s="19" t="n"/>
      <c r="Y6657" s="19" t="n"/>
    </row>
    <row r="6658">
      <c r="C6658" s="18" t="n"/>
      <c r="J6658" s="19" t="n"/>
      <c r="P6658" s="20" t="n"/>
      <c r="Q6658" s="19" t="n"/>
      <c r="R6658" s="19" t="n"/>
      <c r="Y6658" s="19" t="n"/>
    </row>
    <row r="6659">
      <c r="C6659" s="18" t="n"/>
      <c r="J6659" s="19" t="n"/>
      <c r="P6659" s="20" t="n"/>
      <c r="Q6659" s="19" t="n"/>
      <c r="R6659" s="19" t="n"/>
      <c r="Y6659" s="19" t="n"/>
    </row>
    <row r="6660">
      <c r="C6660" s="18" t="n"/>
      <c r="J6660" s="19" t="n"/>
      <c r="P6660" s="20" t="n"/>
      <c r="Q6660" s="19" t="n"/>
      <c r="R6660" s="19" t="n"/>
      <c r="Y6660" s="19" t="n"/>
    </row>
    <row r="6661">
      <c r="C6661" s="18" t="n"/>
      <c r="J6661" s="19" t="n"/>
      <c r="P6661" s="20" t="n"/>
      <c r="Q6661" s="19" t="n"/>
      <c r="R6661" s="19" t="n"/>
      <c r="Y6661" s="19" t="n"/>
    </row>
    <row r="6662">
      <c r="C6662" s="18" t="n"/>
      <c r="J6662" s="19" t="n"/>
      <c r="P6662" s="20" t="n"/>
      <c r="Q6662" s="19" t="n"/>
      <c r="R6662" s="19" t="n"/>
      <c r="Y6662" s="19" t="n"/>
    </row>
    <row r="6663">
      <c r="C6663" s="18" t="n"/>
      <c r="J6663" s="19" t="n"/>
      <c r="P6663" s="20" t="n"/>
      <c r="Q6663" s="19" t="n"/>
      <c r="R6663" s="19" t="n"/>
      <c r="Y6663" s="19" t="n"/>
    </row>
    <row r="6664">
      <c r="C6664" s="18" t="n"/>
      <c r="J6664" s="19" t="n"/>
      <c r="P6664" s="20" t="n"/>
      <c r="Q6664" s="19" t="n"/>
      <c r="R6664" s="19" t="n"/>
      <c r="Y6664" s="19" t="n"/>
    </row>
    <row r="6665">
      <c r="C6665" s="18" t="n"/>
      <c r="J6665" s="19" t="n"/>
      <c r="P6665" s="20" t="n"/>
      <c r="Q6665" s="19" t="n"/>
      <c r="R6665" s="19" t="n"/>
      <c r="Y6665" s="19" t="n"/>
    </row>
    <row r="6666">
      <c r="C6666" s="18" t="n"/>
      <c r="J6666" s="19" t="n"/>
      <c r="P6666" s="20" t="n"/>
      <c r="Q6666" s="19" t="n"/>
      <c r="R6666" s="19" t="n"/>
      <c r="Y6666" s="19" t="n"/>
    </row>
    <row r="6667">
      <c r="C6667" s="18" t="n"/>
      <c r="J6667" s="19" t="n"/>
      <c r="P6667" s="20" t="n"/>
      <c r="Q6667" s="19" t="n"/>
      <c r="R6667" s="19" t="n"/>
      <c r="Y6667" s="19" t="n"/>
    </row>
    <row r="6668">
      <c r="C6668" s="18" t="n"/>
      <c r="J6668" s="19" t="n"/>
      <c r="P6668" s="20" t="n"/>
      <c r="Q6668" s="19" t="n"/>
      <c r="R6668" s="19" t="n"/>
      <c r="Y6668" s="19" t="n"/>
    </row>
    <row r="6669">
      <c r="C6669" s="18" t="n"/>
      <c r="J6669" s="19" t="n"/>
      <c r="P6669" s="20" t="n"/>
      <c r="Q6669" s="19" t="n"/>
      <c r="R6669" s="19" t="n"/>
      <c r="Y6669" s="19" t="n"/>
    </row>
    <row r="6670">
      <c r="C6670" s="18" t="n"/>
      <c r="J6670" s="19" t="n"/>
      <c r="P6670" s="20" t="n"/>
      <c r="Q6670" s="19" t="n"/>
      <c r="R6670" s="19" t="n"/>
      <c r="Y6670" s="19" t="n"/>
    </row>
    <row r="6671">
      <c r="C6671" s="18" t="n"/>
      <c r="J6671" s="19" t="n"/>
      <c r="P6671" s="20" t="n"/>
      <c r="Q6671" s="19" t="n"/>
      <c r="R6671" s="19" t="n"/>
      <c r="Y6671" s="19" t="n"/>
    </row>
    <row r="6672">
      <c r="C6672" s="18" t="n"/>
      <c r="J6672" s="19" t="n"/>
      <c r="P6672" s="20" t="n"/>
      <c r="Q6672" s="19" t="n"/>
      <c r="R6672" s="19" t="n"/>
      <c r="Y6672" s="19" t="n"/>
    </row>
    <row r="6673">
      <c r="C6673" s="18" t="n"/>
      <c r="J6673" s="19" t="n"/>
      <c r="P6673" s="20" t="n"/>
      <c r="Q6673" s="19" t="n"/>
      <c r="R6673" s="19" t="n"/>
      <c r="Y6673" s="19" t="n"/>
    </row>
    <row r="6674">
      <c r="C6674" s="18" t="n"/>
      <c r="J6674" s="19" t="n"/>
      <c r="P6674" s="20" t="n"/>
      <c r="Q6674" s="19" t="n"/>
      <c r="R6674" s="19" t="n"/>
      <c r="Y6674" s="19" t="n"/>
    </row>
    <row r="6675">
      <c r="C6675" s="18" t="n"/>
      <c r="J6675" s="19" t="n"/>
      <c r="P6675" s="20" t="n"/>
      <c r="Q6675" s="19" t="n"/>
      <c r="R6675" s="19" t="n"/>
      <c r="Y6675" s="19" t="n"/>
    </row>
    <row r="6676">
      <c r="C6676" s="18" t="n"/>
      <c r="J6676" s="19" t="n"/>
      <c r="P6676" s="20" t="n"/>
      <c r="Q6676" s="19" t="n"/>
      <c r="R6676" s="19" t="n"/>
      <c r="Y6676" s="19" t="n"/>
    </row>
    <row r="6677">
      <c r="C6677" s="18" t="n"/>
      <c r="J6677" s="19" t="n"/>
      <c r="P6677" s="20" t="n"/>
      <c r="Q6677" s="19" t="n"/>
      <c r="R6677" s="19" t="n"/>
      <c r="Y6677" s="19" t="n"/>
    </row>
    <row r="6678">
      <c r="C6678" s="18" t="n"/>
      <c r="J6678" s="19" t="n"/>
      <c r="P6678" s="20" t="n"/>
      <c r="Q6678" s="19" t="n"/>
      <c r="R6678" s="19" t="n"/>
      <c r="Y6678" s="19" t="n"/>
    </row>
    <row r="6679">
      <c r="C6679" s="18" t="n"/>
      <c r="J6679" s="19" t="n"/>
      <c r="P6679" s="20" t="n"/>
      <c r="Q6679" s="19" t="n"/>
      <c r="R6679" s="19" t="n"/>
      <c r="Y6679" s="19" t="n"/>
    </row>
    <row r="6680">
      <c r="C6680" s="18" t="n"/>
      <c r="J6680" s="19" t="n"/>
      <c r="P6680" s="20" t="n"/>
      <c r="Q6680" s="19" t="n"/>
      <c r="R6680" s="19" t="n"/>
      <c r="Y6680" s="19" t="n"/>
    </row>
    <row r="6681">
      <c r="C6681" s="18" t="n"/>
      <c r="J6681" s="19" t="n"/>
      <c r="P6681" s="20" t="n"/>
      <c r="Q6681" s="19" t="n"/>
      <c r="R6681" s="19" t="n"/>
      <c r="Y6681" s="19" t="n"/>
    </row>
    <row r="6682">
      <c r="C6682" s="18" t="n"/>
      <c r="J6682" s="19" t="n"/>
      <c r="P6682" s="20" t="n"/>
      <c r="Q6682" s="19" t="n"/>
      <c r="R6682" s="19" t="n"/>
      <c r="Y6682" s="19" t="n"/>
    </row>
    <row r="6683">
      <c r="C6683" s="18" t="n"/>
      <c r="J6683" s="19" t="n"/>
      <c r="P6683" s="20" t="n"/>
      <c r="Q6683" s="19" t="n"/>
      <c r="R6683" s="19" t="n"/>
      <c r="Y6683" s="19" t="n"/>
    </row>
    <row r="6684">
      <c r="C6684" s="18" t="n"/>
      <c r="J6684" s="19" t="n"/>
      <c r="P6684" s="20" t="n"/>
      <c r="Q6684" s="19" t="n"/>
      <c r="R6684" s="19" t="n"/>
      <c r="Y6684" s="19" t="n"/>
    </row>
    <row r="6685">
      <c r="C6685" s="18" t="n"/>
      <c r="J6685" s="19" t="n"/>
      <c r="P6685" s="20" t="n"/>
      <c r="Q6685" s="19" t="n"/>
      <c r="R6685" s="19" t="n"/>
      <c r="Y6685" s="19" t="n"/>
    </row>
    <row r="6686">
      <c r="C6686" s="18" t="n"/>
      <c r="J6686" s="19" t="n"/>
      <c r="P6686" s="20" t="n"/>
      <c r="Q6686" s="19" t="n"/>
      <c r="R6686" s="19" t="n"/>
      <c r="Y6686" s="19" t="n"/>
    </row>
    <row r="6687">
      <c r="C6687" s="18" t="n"/>
      <c r="J6687" s="19" t="n"/>
      <c r="P6687" s="20" t="n"/>
      <c r="Q6687" s="19" t="n"/>
      <c r="R6687" s="19" t="n"/>
      <c r="Y6687" s="19" t="n"/>
    </row>
    <row r="6688">
      <c r="C6688" s="18" t="n"/>
      <c r="J6688" s="19" t="n"/>
      <c r="P6688" s="20" t="n"/>
      <c r="Q6688" s="19" t="n"/>
      <c r="R6688" s="19" t="n"/>
      <c r="Y6688" s="19" t="n"/>
    </row>
    <row r="6689">
      <c r="C6689" s="18" t="n"/>
      <c r="J6689" s="19" t="n"/>
      <c r="P6689" s="20" t="n"/>
      <c r="Q6689" s="19" t="n"/>
      <c r="R6689" s="19" t="n"/>
      <c r="Y6689" s="19" t="n"/>
    </row>
    <row r="6690">
      <c r="C6690" s="18" t="n"/>
      <c r="J6690" s="19" t="n"/>
      <c r="P6690" s="20" t="n"/>
      <c r="Q6690" s="19" t="n"/>
      <c r="R6690" s="19" t="n"/>
      <c r="Y6690" s="19" t="n"/>
    </row>
    <row r="6691">
      <c r="C6691" s="18" t="n"/>
      <c r="J6691" s="19" t="n"/>
      <c r="P6691" s="20" t="n"/>
      <c r="Q6691" s="19" t="n"/>
      <c r="R6691" s="19" t="n"/>
      <c r="Y6691" s="19" t="n"/>
    </row>
    <row r="6692">
      <c r="C6692" s="18" t="n"/>
      <c r="J6692" s="19" t="n"/>
      <c r="P6692" s="20" t="n"/>
      <c r="Q6692" s="19" t="n"/>
      <c r="R6692" s="19" t="n"/>
      <c r="Y6692" s="19" t="n"/>
    </row>
    <row r="6693">
      <c r="C6693" s="18" t="n"/>
      <c r="J6693" s="19" t="n"/>
      <c r="P6693" s="20" t="n"/>
      <c r="Q6693" s="19" t="n"/>
      <c r="R6693" s="19" t="n"/>
      <c r="Y6693" s="19" t="n"/>
    </row>
    <row r="6694">
      <c r="C6694" s="18" t="n"/>
      <c r="J6694" s="19" t="n"/>
      <c r="P6694" s="20" t="n"/>
      <c r="Q6694" s="19" t="n"/>
      <c r="R6694" s="19" t="n"/>
      <c r="Y6694" s="19" t="n"/>
    </row>
    <row r="6695">
      <c r="C6695" s="18" t="n"/>
      <c r="J6695" s="19" t="n"/>
      <c r="P6695" s="20" t="n"/>
      <c r="Q6695" s="19" t="n"/>
      <c r="R6695" s="19" t="n"/>
      <c r="Y6695" s="19" t="n"/>
    </row>
    <row r="6696">
      <c r="C6696" s="18" t="n"/>
      <c r="J6696" s="19" t="n"/>
      <c r="P6696" s="20" t="n"/>
      <c r="Q6696" s="19" t="n"/>
      <c r="R6696" s="19" t="n"/>
      <c r="Y6696" s="19" t="n"/>
    </row>
    <row r="6697">
      <c r="C6697" s="18" t="n"/>
      <c r="J6697" s="19" t="n"/>
      <c r="P6697" s="20" t="n"/>
      <c r="Q6697" s="19" t="n"/>
      <c r="R6697" s="19" t="n"/>
      <c r="Y6697" s="19" t="n"/>
    </row>
    <row r="6698">
      <c r="C6698" s="18" t="n"/>
      <c r="J6698" s="19" t="n"/>
      <c r="P6698" s="20" t="n"/>
      <c r="Q6698" s="19" t="n"/>
      <c r="R6698" s="19" t="n"/>
      <c r="Y6698" s="19" t="n"/>
    </row>
    <row r="6699">
      <c r="C6699" s="18" t="n"/>
      <c r="J6699" s="19" t="n"/>
      <c r="P6699" s="20" t="n"/>
      <c r="Q6699" s="19" t="n"/>
      <c r="R6699" s="19" t="n"/>
      <c r="Y6699" s="19" t="n"/>
    </row>
    <row r="6700">
      <c r="C6700" s="18" t="n"/>
      <c r="J6700" s="19" t="n"/>
      <c r="P6700" s="20" t="n"/>
      <c r="Q6700" s="19" t="n"/>
      <c r="R6700" s="19" t="n"/>
      <c r="Y6700" s="19" t="n"/>
    </row>
    <row r="6701">
      <c r="C6701" s="18" t="n"/>
      <c r="J6701" s="19" t="n"/>
      <c r="P6701" s="20" t="n"/>
      <c r="Q6701" s="19" t="n"/>
      <c r="R6701" s="19" t="n"/>
      <c r="Y6701" s="19" t="n"/>
    </row>
    <row r="6702">
      <c r="C6702" s="18" t="n"/>
      <c r="J6702" s="19" t="n"/>
      <c r="P6702" s="20" t="n"/>
      <c r="Q6702" s="19" t="n"/>
      <c r="R6702" s="19" t="n"/>
      <c r="Y6702" s="19" t="n"/>
    </row>
    <row r="6703">
      <c r="C6703" s="18" t="n"/>
      <c r="J6703" s="19" t="n"/>
      <c r="P6703" s="20" t="n"/>
      <c r="Q6703" s="19" t="n"/>
      <c r="R6703" s="19" t="n"/>
      <c r="Y6703" s="19" t="n"/>
    </row>
    <row r="6704">
      <c r="C6704" s="18" t="n"/>
      <c r="J6704" s="19" t="n"/>
      <c r="P6704" s="20" t="n"/>
      <c r="Q6704" s="19" t="n"/>
      <c r="R6704" s="19" t="n"/>
      <c r="Y6704" s="19" t="n"/>
    </row>
    <row r="6705">
      <c r="C6705" s="18" t="n"/>
      <c r="J6705" s="19" t="n"/>
      <c r="P6705" s="20" t="n"/>
      <c r="Q6705" s="19" t="n"/>
      <c r="R6705" s="19" t="n"/>
      <c r="Y6705" s="19" t="n"/>
    </row>
    <row r="6706">
      <c r="C6706" s="18" t="n"/>
      <c r="J6706" s="19" t="n"/>
      <c r="P6706" s="20" t="n"/>
      <c r="Q6706" s="19" t="n"/>
      <c r="R6706" s="19" t="n"/>
      <c r="Y6706" s="19" t="n"/>
    </row>
    <row r="6707">
      <c r="C6707" s="18" t="n"/>
      <c r="J6707" s="19" t="n"/>
      <c r="P6707" s="20" t="n"/>
      <c r="Q6707" s="19" t="n"/>
      <c r="R6707" s="19" t="n"/>
      <c r="Y6707" s="19" t="n"/>
    </row>
    <row r="6708">
      <c r="C6708" s="18" t="n"/>
      <c r="J6708" s="19" t="n"/>
      <c r="P6708" s="20" t="n"/>
      <c r="Q6708" s="19" t="n"/>
      <c r="R6708" s="19" t="n"/>
      <c r="Y6708" s="19" t="n"/>
    </row>
    <row r="6709">
      <c r="C6709" s="18" t="n"/>
      <c r="J6709" s="19" t="n"/>
      <c r="P6709" s="20" t="n"/>
      <c r="Q6709" s="19" t="n"/>
      <c r="R6709" s="19" t="n"/>
      <c r="Y6709" s="19" t="n"/>
    </row>
    <row r="6710">
      <c r="C6710" s="18" t="n"/>
      <c r="J6710" s="19" t="n"/>
      <c r="P6710" s="20" t="n"/>
      <c r="Q6710" s="19" t="n"/>
      <c r="R6710" s="19" t="n"/>
      <c r="Y6710" s="19" t="n"/>
    </row>
    <row r="6711">
      <c r="C6711" s="18" t="n"/>
      <c r="J6711" s="19" t="n"/>
      <c r="P6711" s="20" t="n"/>
      <c r="Q6711" s="19" t="n"/>
      <c r="R6711" s="19" t="n"/>
      <c r="Y6711" s="19" t="n"/>
    </row>
    <row r="6712">
      <c r="C6712" s="18" t="n"/>
      <c r="J6712" s="19" t="n"/>
      <c r="P6712" s="20" t="n"/>
      <c r="Q6712" s="19" t="n"/>
      <c r="R6712" s="19" t="n"/>
      <c r="Y6712" s="19" t="n"/>
    </row>
    <row r="6713">
      <c r="C6713" s="18" t="n"/>
      <c r="J6713" s="19" t="n"/>
      <c r="P6713" s="20" t="n"/>
      <c r="Q6713" s="19" t="n"/>
      <c r="R6713" s="19" t="n"/>
      <c r="Y6713" s="19" t="n"/>
    </row>
    <row r="6714">
      <c r="C6714" s="18" t="n"/>
      <c r="J6714" s="19" t="n"/>
      <c r="P6714" s="20" t="n"/>
      <c r="Q6714" s="19" t="n"/>
      <c r="R6714" s="19" t="n"/>
      <c r="Y6714" s="19" t="n"/>
    </row>
    <row r="6715">
      <c r="C6715" s="18" t="n"/>
      <c r="J6715" s="19" t="n"/>
      <c r="P6715" s="20" t="n"/>
      <c r="Q6715" s="19" t="n"/>
      <c r="R6715" s="19" t="n"/>
      <c r="Y6715" s="19" t="n"/>
    </row>
    <row r="6716">
      <c r="C6716" s="18" t="n"/>
      <c r="J6716" s="19" t="n"/>
      <c r="P6716" s="20" t="n"/>
      <c r="Q6716" s="19" t="n"/>
      <c r="R6716" s="19" t="n"/>
      <c r="Y6716" s="19" t="n"/>
    </row>
    <row r="6717">
      <c r="C6717" s="18" t="n"/>
      <c r="J6717" s="19" t="n"/>
      <c r="P6717" s="20" t="n"/>
      <c r="Q6717" s="19" t="n"/>
      <c r="R6717" s="19" t="n"/>
      <c r="Y6717" s="19" t="n"/>
    </row>
    <row r="6718">
      <c r="C6718" s="18" t="n"/>
      <c r="J6718" s="19" t="n"/>
      <c r="P6718" s="20" t="n"/>
      <c r="Q6718" s="19" t="n"/>
      <c r="R6718" s="19" t="n"/>
      <c r="Y6718" s="19" t="n"/>
    </row>
    <row r="6719">
      <c r="C6719" s="18" t="n"/>
      <c r="J6719" s="19" t="n"/>
      <c r="P6719" s="20" t="n"/>
      <c r="Q6719" s="19" t="n"/>
      <c r="R6719" s="19" t="n"/>
      <c r="Y6719" s="19" t="n"/>
    </row>
    <row r="6720">
      <c r="C6720" s="18" t="n"/>
      <c r="J6720" s="19" t="n"/>
      <c r="P6720" s="20" t="n"/>
      <c r="Q6720" s="19" t="n"/>
      <c r="R6720" s="19" t="n"/>
      <c r="Y6720" s="19" t="n"/>
    </row>
    <row r="6721">
      <c r="C6721" s="18" t="n"/>
      <c r="J6721" s="19" t="n"/>
      <c r="P6721" s="20" t="n"/>
      <c r="Q6721" s="19" t="n"/>
      <c r="R6721" s="19" t="n"/>
      <c r="Y6721" s="19" t="n"/>
    </row>
    <row r="6722">
      <c r="C6722" s="18" t="n"/>
      <c r="J6722" s="19" t="n"/>
      <c r="P6722" s="20" t="n"/>
      <c r="Q6722" s="19" t="n"/>
      <c r="R6722" s="19" t="n"/>
      <c r="Y6722" s="19" t="n"/>
    </row>
    <row r="6723">
      <c r="C6723" s="18" t="n"/>
      <c r="J6723" s="19" t="n"/>
      <c r="P6723" s="20" t="n"/>
      <c r="Q6723" s="19" t="n"/>
      <c r="R6723" s="19" t="n"/>
      <c r="Y6723" s="19" t="n"/>
    </row>
    <row r="6724">
      <c r="C6724" s="18" t="n"/>
      <c r="J6724" s="19" t="n"/>
      <c r="P6724" s="20" t="n"/>
      <c r="Q6724" s="19" t="n"/>
      <c r="R6724" s="19" t="n"/>
      <c r="Y6724" s="19" t="n"/>
    </row>
    <row r="6725">
      <c r="C6725" s="18" t="n"/>
      <c r="J6725" s="19" t="n"/>
      <c r="P6725" s="20" t="n"/>
      <c r="Q6725" s="19" t="n"/>
      <c r="R6725" s="19" t="n"/>
      <c r="Y6725" s="19" t="n"/>
    </row>
    <row r="6726">
      <c r="C6726" s="18" t="n"/>
      <c r="J6726" s="19" t="n"/>
      <c r="P6726" s="20" t="n"/>
      <c r="Q6726" s="19" t="n"/>
      <c r="R6726" s="19" t="n"/>
      <c r="Y6726" s="19" t="n"/>
    </row>
    <row r="6727">
      <c r="C6727" s="18" t="n"/>
      <c r="J6727" s="19" t="n"/>
      <c r="P6727" s="20" t="n"/>
      <c r="Q6727" s="19" t="n"/>
      <c r="R6727" s="19" t="n"/>
      <c r="Y6727" s="19" t="n"/>
    </row>
    <row r="6728">
      <c r="C6728" s="18" t="n"/>
      <c r="J6728" s="19" t="n"/>
      <c r="P6728" s="20" t="n"/>
      <c r="Q6728" s="19" t="n"/>
      <c r="R6728" s="19" t="n"/>
      <c r="Y6728" s="19" t="n"/>
    </row>
    <row r="6729">
      <c r="C6729" s="18" t="n"/>
      <c r="J6729" s="19" t="n"/>
      <c r="P6729" s="20" t="n"/>
      <c r="Q6729" s="19" t="n"/>
      <c r="R6729" s="19" t="n"/>
      <c r="Y6729" s="19" t="n"/>
    </row>
    <row r="6730">
      <c r="C6730" s="18" t="n"/>
      <c r="J6730" s="19" t="n"/>
      <c r="P6730" s="20" t="n"/>
      <c r="Q6730" s="19" t="n"/>
      <c r="R6730" s="19" t="n"/>
      <c r="Y6730" s="19" t="n"/>
    </row>
    <row r="6731">
      <c r="C6731" s="18" t="n"/>
      <c r="J6731" s="19" t="n"/>
      <c r="P6731" s="20" t="n"/>
      <c r="Q6731" s="19" t="n"/>
      <c r="R6731" s="19" t="n"/>
      <c r="Y6731" s="19" t="n"/>
    </row>
    <row r="6732">
      <c r="C6732" s="18" t="n"/>
      <c r="J6732" s="19" t="n"/>
      <c r="P6732" s="20" t="n"/>
      <c r="Q6732" s="19" t="n"/>
      <c r="R6732" s="19" t="n"/>
      <c r="Y6732" s="19" t="n"/>
    </row>
    <row r="6733">
      <c r="C6733" s="18" t="n"/>
      <c r="J6733" s="19" t="n"/>
      <c r="P6733" s="20" t="n"/>
      <c r="Q6733" s="19" t="n"/>
      <c r="R6733" s="19" t="n"/>
      <c r="Y6733" s="19" t="n"/>
    </row>
    <row r="6734">
      <c r="C6734" s="18" t="n"/>
      <c r="J6734" s="19" t="n"/>
      <c r="P6734" s="20" t="n"/>
      <c r="Q6734" s="19" t="n"/>
      <c r="R6734" s="19" t="n"/>
      <c r="Y6734" s="19" t="n"/>
    </row>
    <row r="6735">
      <c r="C6735" s="18" t="n"/>
      <c r="J6735" s="19" t="n"/>
      <c r="P6735" s="20" t="n"/>
      <c r="Q6735" s="19" t="n"/>
      <c r="R6735" s="19" t="n"/>
      <c r="Y6735" s="19" t="n"/>
    </row>
    <row r="6736">
      <c r="C6736" s="18" t="n"/>
      <c r="J6736" s="19" t="n"/>
      <c r="P6736" s="20" t="n"/>
      <c r="Q6736" s="19" t="n"/>
      <c r="R6736" s="19" t="n"/>
      <c r="Y6736" s="19" t="n"/>
    </row>
    <row r="6737">
      <c r="C6737" s="18" t="n"/>
      <c r="J6737" s="19" t="n"/>
      <c r="P6737" s="20" t="n"/>
      <c r="Q6737" s="19" t="n"/>
      <c r="R6737" s="19" t="n"/>
      <c r="Y6737" s="19" t="n"/>
    </row>
    <row r="6738">
      <c r="C6738" s="18" t="n"/>
      <c r="J6738" s="19" t="n"/>
      <c r="P6738" s="20" t="n"/>
      <c r="Q6738" s="19" t="n"/>
      <c r="R6738" s="19" t="n"/>
      <c r="Y6738" s="19" t="n"/>
    </row>
    <row r="6739">
      <c r="C6739" s="18" t="n"/>
      <c r="J6739" s="19" t="n"/>
      <c r="P6739" s="20" t="n"/>
      <c r="Q6739" s="19" t="n"/>
      <c r="R6739" s="19" t="n"/>
      <c r="Y6739" s="19" t="n"/>
    </row>
    <row r="6740">
      <c r="C6740" s="18" t="n"/>
      <c r="J6740" s="19" t="n"/>
      <c r="P6740" s="20" t="n"/>
      <c r="Q6740" s="19" t="n"/>
      <c r="R6740" s="19" t="n"/>
      <c r="Y6740" s="19" t="n"/>
    </row>
    <row r="6741">
      <c r="C6741" s="18" t="n"/>
      <c r="J6741" s="19" t="n"/>
      <c r="P6741" s="20" t="n"/>
      <c r="Q6741" s="19" t="n"/>
      <c r="R6741" s="19" t="n"/>
      <c r="Y6741" s="19" t="n"/>
    </row>
    <row r="6742">
      <c r="C6742" s="18" t="n"/>
      <c r="J6742" s="19" t="n"/>
      <c r="P6742" s="20" t="n"/>
      <c r="Q6742" s="19" t="n"/>
      <c r="R6742" s="19" t="n"/>
      <c r="Y6742" s="19" t="n"/>
    </row>
    <row r="6743">
      <c r="C6743" s="18" t="n"/>
      <c r="J6743" s="19" t="n"/>
      <c r="P6743" s="20" t="n"/>
      <c r="Q6743" s="19" t="n"/>
      <c r="R6743" s="19" t="n"/>
      <c r="Y6743" s="19" t="n"/>
    </row>
    <row r="6744">
      <c r="C6744" s="18" t="n"/>
      <c r="J6744" s="19" t="n"/>
      <c r="P6744" s="20" t="n"/>
      <c r="Q6744" s="19" t="n"/>
      <c r="R6744" s="19" t="n"/>
      <c r="Y6744" s="19" t="n"/>
    </row>
    <row r="6745">
      <c r="C6745" s="18" t="n"/>
      <c r="J6745" s="19" t="n"/>
      <c r="P6745" s="20" t="n"/>
      <c r="Q6745" s="19" t="n"/>
      <c r="R6745" s="19" t="n"/>
      <c r="Y6745" s="19" t="n"/>
    </row>
    <row r="6746">
      <c r="C6746" s="18" t="n"/>
      <c r="J6746" s="19" t="n"/>
      <c r="P6746" s="20" t="n"/>
      <c r="Q6746" s="19" t="n"/>
      <c r="R6746" s="19" t="n"/>
      <c r="Y6746" s="19" t="n"/>
    </row>
    <row r="6747">
      <c r="C6747" s="18" t="n"/>
      <c r="J6747" s="19" t="n"/>
      <c r="P6747" s="20" t="n"/>
      <c r="Q6747" s="19" t="n"/>
      <c r="R6747" s="19" t="n"/>
      <c r="Y6747" s="19" t="n"/>
    </row>
    <row r="6748">
      <c r="C6748" s="18" t="n"/>
      <c r="J6748" s="19" t="n"/>
      <c r="P6748" s="20" t="n"/>
      <c r="Q6748" s="19" t="n"/>
      <c r="R6748" s="19" t="n"/>
      <c r="Y6748" s="19" t="n"/>
    </row>
    <row r="6749">
      <c r="C6749" s="18" t="n"/>
      <c r="J6749" s="19" t="n"/>
      <c r="P6749" s="20" t="n"/>
      <c r="Q6749" s="19" t="n"/>
      <c r="R6749" s="19" t="n"/>
      <c r="Y6749" s="19" t="n"/>
    </row>
    <row r="6750">
      <c r="C6750" s="18" t="n"/>
      <c r="J6750" s="19" t="n"/>
      <c r="P6750" s="20" t="n"/>
      <c r="Q6750" s="19" t="n"/>
      <c r="R6750" s="19" t="n"/>
      <c r="Y6750" s="19" t="n"/>
    </row>
    <row r="6751">
      <c r="C6751" s="18" t="n"/>
      <c r="J6751" s="19" t="n"/>
      <c r="P6751" s="20" t="n"/>
      <c r="Q6751" s="19" t="n"/>
      <c r="R6751" s="19" t="n"/>
      <c r="Y6751" s="19" t="n"/>
    </row>
    <row r="6752">
      <c r="C6752" s="18" t="n"/>
      <c r="J6752" s="19" t="n"/>
      <c r="P6752" s="20" t="n"/>
      <c r="Q6752" s="19" t="n"/>
      <c r="R6752" s="19" t="n"/>
      <c r="Y6752" s="19" t="n"/>
    </row>
    <row r="6753">
      <c r="C6753" s="18" t="n"/>
      <c r="J6753" s="19" t="n"/>
      <c r="P6753" s="20" t="n"/>
      <c r="Q6753" s="19" t="n"/>
      <c r="R6753" s="19" t="n"/>
      <c r="Y6753" s="19" t="n"/>
    </row>
    <row r="6754">
      <c r="C6754" s="18" t="n"/>
      <c r="J6754" s="19" t="n"/>
      <c r="P6754" s="20" t="n"/>
      <c r="Q6754" s="19" t="n"/>
      <c r="R6754" s="19" t="n"/>
      <c r="Y6754" s="19" t="n"/>
    </row>
    <row r="6755">
      <c r="C6755" s="18" t="n"/>
      <c r="J6755" s="19" t="n"/>
      <c r="P6755" s="20" t="n"/>
      <c r="Q6755" s="19" t="n"/>
      <c r="R6755" s="19" t="n"/>
      <c r="Y6755" s="19" t="n"/>
    </row>
    <row r="6756">
      <c r="C6756" s="18" t="n"/>
      <c r="J6756" s="19" t="n"/>
      <c r="P6756" s="20" t="n"/>
      <c r="Q6756" s="19" t="n"/>
      <c r="R6756" s="19" t="n"/>
      <c r="Y6756" s="19" t="n"/>
    </row>
    <row r="6757">
      <c r="C6757" s="18" t="n"/>
      <c r="J6757" s="19" t="n"/>
      <c r="P6757" s="20" t="n"/>
      <c r="Q6757" s="19" t="n"/>
      <c r="R6757" s="19" t="n"/>
      <c r="Y6757" s="19" t="n"/>
    </row>
    <row r="6758">
      <c r="C6758" s="18" t="n"/>
      <c r="J6758" s="19" t="n"/>
      <c r="P6758" s="20" t="n"/>
      <c r="Q6758" s="19" t="n"/>
      <c r="R6758" s="19" t="n"/>
      <c r="Y6758" s="19" t="n"/>
    </row>
    <row r="6759">
      <c r="C6759" s="18" t="n"/>
      <c r="J6759" s="19" t="n"/>
      <c r="P6759" s="20" t="n"/>
      <c r="Q6759" s="19" t="n"/>
      <c r="R6759" s="19" t="n"/>
      <c r="Y6759" s="19" t="n"/>
    </row>
    <row r="6760">
      <c r="C6760" s="18" t="n"/>
      <c r="J6760" s="19" t="n"/>
      <c r="P6760" s="20" t="n"/>
      <c r="Q6760" s="19" t="n"/>
      <c r="R6760" s="19" t="n"/>
      <c r="Y6760" s="19" t="n"/>
    </row>
    <row r="6761">
      <c r="C6761" s="18" t="n"/>
      <c r="J6761" s="19" t="n"/>
      <c r="P6761" s="20" t="n"/>
      <c r="Q6761" s="19" t="n"/>
      <c r="R6761" s="19" t="n"/>
      <c r="Y6761" s="19" t="n"/>
    </row>
    <row r="6762">
      <c r="C6762" s="18" t="n"/>
      <c r="J6762" s="19" t="n"/>
      <c r="P6762" s="20" t="n"/>
      <c r="Q6762" s="19" t="n"/>
      <c r="R6762" s="19" t="n"/>
      <c r="Y6762" s="19" t="n"/>
    </row>
    <row r="6763">
      <c r="C6763" s="18" t="n"/>
      <c r="J6763" s="19" t="n"/>
      <c r="P6763" s="20" t="n"/>
      <c r="Q6763" s="19" t="n"/>
      <c r="R6763" s="19" t="n"/>
      <c r="Y6763" s="19" t="n"/>
    </row>
    <row r="6764">
      <c r="C6764" s="18" t="n"/>
      <c r="J6764" s="19" t="n"/>
      <c r="P6764" s="20" t="n"/>
      <c r="Q6764" s="19" t="n"/>
      <c r="R6764" s="19" t="n"/>
      <c r="Y6764" s="19" t="n"/>
    </row>
    <row r="6765">
      <c r="C6765" s="18" t="n"/>
      <c r="J6765" s="19" t="n"/>
      <c r="P6765" s="20" t="n"/>
      <c r="Q6765" s="19" t="n"/>
      <c r="R6765" s="19" t="n"/>
      <c r="Y6765" s="19" t="n"/>
    </row>
    <row r="6766">
      <c r="C6766" s="18" t="n"/>
      <c r="J6766" s="19" t="n"/>
      <c r="P6766" s="20" t="n"/>
      <c r="Q6766" s="19" t="n"/>
      <c r="R6766" s="19" t="n"/>
      <c r="Y6766" s="19" t="n"/>
    </row>
    <row r="6767">
      <c r="C6767" s="18" t="n"/>
      <c r="J6767" s="19" t="n"/>
      <c r="P6767" s="20" t="n"/>
      <c r="Q6767" s="19" t="n"/>
      <c r="R6767" s="19" t="n"/>
      <c r="Y6767" s="19" t="n"/>
    </row>
    <row r="6768">
      <c r="C6768" s="18" t="n"/>
      <c r="J6768" s="19" t="n"/>
      <c r="P6768" s="20" t="n"/>
      <c r="Q6768" s="19" t="n"/>
      <c r="R6768" s="19" t="n"/>
      <c r="Y6768" s="19" t="n"/>
    </row>
    <row r="6769">
      <c r="C6769" s="18" t="n"/>
      <c r="J6769" s="19" t="n"/>
      <c r="P6769" s="20" t="n"/>
      <c r="Q6769" s="19" t="n"/>
      <c r="R6769" s="19" t="n"/>
      <c r="Y6769" s="19" t="n"/>
    </row>
    <row r="6770">
      <c r="C6770" s="18" t="n"/>
      <c r="J6770" s="19" t="n"/>
      <c r="P6770" s="20" t="n"/>
      <c r="Q6770" s="19" t="n"/>
      <c r="R6770" s="19" t="n"/>
      <c r="Y6770" s="19" t="n"/>
    </row>
    <row r="6771">
      <c r="C6771" s="18" t="n"/>
      <c r="J6771" s="19" t="n"/>
      <c r="P6771" s="20" t="n"/>
      <c r="Q6771" s="19" t="n"/>
      <c r="R6771" s="19" t="n"/>
      <c r="Y6771" s="19" t="n"/>
    </row>
    <row r="6772">
      <c r="C6772" s="18" t="n"/>
      <c r="J6772" s="19" t="n"/>
      <c r="P6772" s="20" t="n"/>
      <c r="Q6772" s="19" t="n"/>
      <c r="R6772" s="19" t="n"/>
      <c r="Y6772" s="19" t="n"/>
    </row>
    <row r="6773">
      <c r="C6773" s="18" t="n"/>
      <c r="J6773" s="19" t="n"/>
      <c r="P6773" s="20" t="n"/>
      <c r="Q6773" s="19" t="n"/>
      <c r="R6773" s="19" t="n"/>
      <c r="Y6773" s="19" t="n"/>
    </row>
    <row r="6774">
      <c r="C6774" s="18" t="n"/>
      <c r="J6774" s="19" t="n"/>
      <c r="P6774" s="20" t="n"/>
      <c r="Q6774" s="19" t="n"/>
      <c r="R6774" s="19" t="n"/>
      <c r="Y6774" s="19" t="n"/>
    </row>
    <row r="6775">
      <c r="C6775" s="18" t="n"/>
      <c r="J6775" s="19" t="n"/>
      <c r="P6775" s="20" t="n"/>
      <c r="Q6775" s="19" t="n"/>
      <c r="R6775" s="19" t="n"/>
      <c r="Y6775" s="19" t="n"/>
    </row>
    <row r="6776">
      <c r="C6776" s="18" t="n"/>
      <c r="J6776" s="19" t="n"/>
      <c r="P6776" s="20" t="n"/>
      <c r="Q6776" s="19" t="n"/>
      <c r="R6776" s="19" t="n"/>
      <c r="Y6776" s="19" t="n"/>
    </row>
    <row r="6777">
      <c r="C6777" s="18" t="n"/>
      <c r="J6777" s="19" t="n"/>
      <c r="P6777" s="20" t="n"/>
      <c r="Q6777" s="19" t="n"/>
      <c r="R6777" s="19" t="n"/>
      <c r="Y6777" s="19" t="n"/>
    </row>
    <row r="6778">
      <c r="C6778" s="18" t="n"/>
      <c r="J6778" s="19" t="n"/>
      <c r="P6778" s="20" t="n"/>
      <c r="Q6778" s="19" t="n"/>
      <c r="R6778" s="19" t="n"/>
      <c r="Y6778" s="19" t="n"/>
    </row>
    <row r="6779">
      <c r="C6779" s="18" t="n"/>
      <c r="J6779" s="19" t="n"/>
      <c r="P6779" s="20" t="n"/>
      <c r="Q6779" s="19" t="n"/>
      <c r="R6779" s="19" t="n"/>
      <c r="Y6779" s="19" t="n"/>
    </row>
    <row r="6780">
      <c r="C6780" s="18" t="n"/>
      <c r="J6780" s="19" t="n"/>
      <c r="P6780" s="20" t="n"/>
      <c r="Q6780" s="19" t="n"/>
      <c r="R6780" s="19" t="n"/>
      <c r="Y6780" s="19" t="n"/>
    </row>
    <row r="6781">
      <c r="C6781" s="18" t="n"/>
      <c r="J6781" s="19" t="n"/>
      <c r="P6781" s="20" t="n"/>
      <c r="Q6781" s="19" t="n"/>
      <c r="R6781" s="19" t="n"/>
      <c r="Y6781" s="19" t="n"/>
    </row>
    <row r="6782">
      <c r="C6782" s="18" t="n"/>
      <c r="J6782" s="19" t="n"/>
      <c r="P6782" s="20" t="n"/>
      <c r="Q6782" s="19" t="n"/>
      <c r="R6782" s="19" t="n"/>
      <c r="Y6782" s="19" t="n"/>
    </row>
    <row r="6783">
      <c r="C6783" s="18" t="n"/>
      <c r="J6783" s="19" t="n"/>
      <c r="P6783" s="20" t="n"/>
      <c r="Q6783" s="19" t="n"/>
      <c r="R6783" s="19" t="n"/>
      <c r="Y6783" s="19" t="n"/>
    </row>
    <row r="6784">
      <c r="C6784" s="18" t="n"/>
      <c r="J6784" s="19" t="n"/>
      <c r="P6784" s="20" t="n"/>
      <c r="Q6784" s="19" t="n"/>
      <c r="R6784" s="19" t="n"/>
      <c r="Y6784" s="19" t="n"/>
    </row>
    <row r="6785">
      <c r="C6785" s="18" t="n"/>
      <c r="J6785" s="19" t="n"/>
      <c r="P6785" s="20" t="n"/>
      <c r="Q6785" s="19" t="n"/>
      <c r="R6785" s="19" t="n"/>
      <c r="Y6785" s="19" t="n"/>
    </row>
    <row r="6786">
      <c r="C6786" s="18" t="n"/>
      <c r="J6786" s="19" t="n"/>
      <c r="P6786" s="20" t="n"/>
      <c r="Q6786" s="19" t="n"/>
      <c r="R6786" s="19" t="n"/>
      <c r="Y6786" s="19" t="n"/>
    </row>
    <row r="6787">
      <c r="C6787" s="18" t="n"/>
      <c r="J6787" s="19" t="n"/>
      <c r="P6787" s="20" t="n"/>
      <c r="Q6787" s="19" t="n"/>
      <c r="R6787" s="19" t="n"/>
      <c r="Y6787" s="19" t="n"/>
    </row>
    <row r="6788">
      <c r="C6788" s="18" t="n"/>
      <c r="J6788" s="19" t="n"/>
      <c r="P6788" s="20" t="n"/>
      <c r="Q6788" s="19" t="n"/>
      <c r="R6788" s="19" t="n"/>
      <c r="Y6788" s="19" t="n"/>
    </row>
    <row r="6789">
      <c r="C6789" s="18" t="n"/>
      <c r="J6789" s="19" t="n"/>
      <c r="P6789" s="20" t="n"/>
      <c r="Q6789" s="19" t="n"/>
      <c r="R6789" s="19" t="n"/>
      <c r="Y6789" s="19" t="n"/>
    </row>
    <row r="6790">
      <c r="C6790" s="18" t="n"/>
      <c r="J6790" s="19" t="n"/>
      <c r="P6790" s="20" t="n"/>
      <c r="Q6790" s="19" t="n"/>
      <c r="R6790" s="19" t="n"/>
      <c r="Y6790" s="19" t="n"/>
    </row>
    <row r="6791">
      <c r="C6791" s="18" t="n"/>
      <c r="J6791" s="19" t="n"/>
      <c r="P6791" s="20" t="n"/>
      <c r="Q6791" s="19" t="n"/>
      <c r="R6791" s="19" t="n"/>
      <c r="Y6791" s="19" t="n"/>
    </row>
    <row r="6792">
      <c r="C6792" s="18" t="n"/>
      <c r="J6792" s="19" t="n"/>
      <c r="P6792" s="20" t="n"/>
      <c r="Q6792" s="19" t="n"/>
      <c r="R6792" s="19" t="n"/>
      <c r="Y6792" s="19" t="n"/>
    </row>
    <row r="6793">
      <c r="C6793" s="18" t="n"/>
      <c r="J6793" s="19" t="n"/>
      <c r="P6793" s="20" t="n"/>
      <c r="Q6793" s="19" t="n"/>
      <c r="R6793" s="19" t="n"/>
      <c r="Y6793" s="19" t="n"/>
    </row>
    <row r="6794">
      <c r="C6794" s="18" t="n"/>
      <c r="J6794" s="19" t="n"/>
      <c r="P6794" s="20" t="n"/>
      <c r="Q6794" s="19" t="n"/>
      <c r="R6794" s="19" t="n"/>
      <c r="Y6794" s="19" t="n"/>
    </row>
    <row r="6795">
      <c r="C6795" s="18" t="n"/>
      <c r="J6795" s="19" t="n"/>
      <c r="P6795" s="20" t="n"/>
      <c r="Q6795" s="19" t="n"/>
      <c r="R6795" s="19" t="n"/>
      <c r="Y6795" s="19" t="n"/>
    </row>
    <row r="6796">
      <c r="C6796" s="18" t="n"/>
      <c r="J6796" s="19" t="n"/>
      <c r="P6796" s="20" t="n"/>
      <c r="Q6796" s="19" t="n"/>
      <c r="R6796" s="19" t="n"/>
      <c r="Y6796" s="19" t="n"/>
    </row>
    <row r="6797">
      <c r="C6797" s="18" t="n"/>
      <c r="J6797" s="19" t="n"/>
      <c r="P6797" s="20" t="n"/>
      <c r="Q6797" s="19" t="n"/>
      <c r="R6797" s="19" t="n"/>
      <c r="Y6797" s="19" t="n"/>
    </row>
    <row r="6798">
      <c r="C6798" s="18" t="n"/>
      <c r="J6798" s="19" t="n"/>
      <c r="P6798" s="20" t="n"/>
      <c r="Q6798" s="19" t="n"/>
      <c r="R6798" s="19" t="n"/>
      <c r="Y6798" s="19" t="n"/>
    </row>
    <row r="6799">
      <c r="C6799" s="18" t="n"/>
      <c r="J6799" s="19" t="n"/>
      <c r="P6799" s="20" t="n"/>
      <c r="Q6799" s="19" t="n"/>
      <c r="R6799" s="19" t="n"/>
      <c r="Y6799" s="19" t="n"/>
    </row>
    <row r="6800">
      <c r="C6800" s="18" t="n"/>
      <c r="J6800" s="19" t="n"/>
      <c r="P6800" s="20" t="n"/>
      <c r="Q6800" s="19" t="n"/>
      <c r="R6800" s="19" t="n"/>
      <c r="Y6800" s="19" t="n"/>
    </row>
    <row r="6801">
      <c r="C6801" s="18" t="n"/>
      <c r="J6801" s="19" t="n"/>
      <c r="P6801" s="20" t="n"/>
      <c r="Q6801" s="19" t="n"/>
      <c r="R6801" s="19" t="n"/>
      <c r="Y6801" s="19" t="n"/>
    </row>
    <row r="6802">
      <c r="C6802" s="18" t="n"/>
      <c r="J6802" s="19" t="n"/>
      <c r="P6802" s="20" t="n"/>
      <c r="Q6802" s="19" t="n"/>
      <c r="R6802" s="19" t="n"/>
      <c r="Y6802" s="19" t="n"/>
    </row>
    <row r="6803">
      <c r="C6803" s="18" t="n"/>
      <c r="J6803" s="19" t="n"/>
      <c r="P6803" s="20" t="n"/>
      <c r="Q6803" s="19" t="n"/>
      <c r="R6803" s="19" t="n"/>
      <c r="Y6803" s="19" t="n"/>
    </row>
    <row r="6804">
      <c r="C6804" s="18" t="n"/>
      <c r="J6804" s="19" t="n"/>
      <c r="P6804" s="20" t="n"/>
      <c r="Q6804" s="19" t="n"/>
      <c r="R6804" s="19" t="n"/>
      <c r="Y6804" s="19" t="n"/>
    </row>
    <row r="6805">
      <c r="C6805" s="18" t="n"/>
      <c r="J6805" s="19" t="n"/>
      <c r="P6805" s="20" t="n"/>
      <c r="Q6805" s="19" t="n"/>
      <c r="R6805" s="19" t="n"/>
      <c r="Y6805" s="19" t="n"/>
    </row>
    <row r="6806">
      <c r="C6806" s="18" t="n"/>
      <c r="J6806" s="19" t="n"/>
      <c r="P6806" s="20" t="n"/>
      <c r="Q6806" s="19" t="n"/>
      <c r="R6806" s="19" t="n"/>
      <c r="Y6806" s="19" t="n"/>
    </row>
    <row r="6807">
      <c r="C6807" s="18" t="n"/>
      <c r="J6807" s="19" t="n"/>
      <c r="P6807" s="20" t="n"/>
      <c r="Q6807" s="19" t="n"/>
      <c r="R6807" s="19" t="n"/>
      <c r="Y6807" s="19" t="n"/>
    </row>
    <row r="6808">
      <c r="C6808" s="18" t="n"/>
      <c r="J6808" s="19" t="n"/>
      <c r="P6808" s="20" t="n"/>
      <c r="Q6808" s="19" t="n"/>
      <c r="R6808" s="19" t="n"/>
      <c r="Y6808" s="19" t="n"/>
    </row>
    <row r="6809">
      <c r="C6809" s="18" t="n"/>
      <c r="J6809" s="19" t="n"/>
      <c r="P6809" s="20" t="n"/>
      <c r="Q6809" s="19" t="n"/>
      <c r="R6809" s="19" t="n"/>
      <c r="Y6809" s="19" t="n"/>
    </row>
    <row r="6810">
      <c r="C6810" s="18" t="n"/>
      <c r="J6810" s="19" t="n"/>
      <c r="P6810" s="20" t="n"/>
      <c r="Q6810" s="19" t="n"/>
      <c r="R6810" s="19" t="n"/>
      <c r="Y6810" s="19" t="n"/>
    </row>
    <row r="6811">
      <c r="C6811" s="18" t="n"/>
      <c r="J6811" s="19" t="n"/>
      <c r="P6811" s="20" t="n"/>
      <c r="Q6811" s="19" t="n"/>
      <c r="R6811" s="19" t="n"/>
      <c r="Y6811" s="19" t="n"/>
    </row>
    <row r="6812">
      <c r="C6812" s="18" t="n"/>
      <c r="J6812" s="19" t="n"/>
      <c r="P6812" s="20" t="n"/>
      <c r="Q6812" s="19" t="n"/>
      <c r="R6812" s="19" t="n"/>
      <c r="Y6812" s="19" t="n"/>
    </row>
    <row r="6813">
      <c r="C6813" s="18" t="n"/>
      <c r="J6813" s="19" t="n"/>
      <c r="P6813" s="20" t="n"/>
      <c r="Q6813" s="19" t="n"/>
      <c r="R6813" s="19" t="n"/>
      <c r="Y6813" s="19" t="n"/>
    </row>
    <row r="6814">
      <c r="C6814" s="18" t="n"/>
      <c r="J6814" s="19" t="n"/>
      <c r="P6814" s="20" t="n"/>
      <c r="Q6814" s="19" t="n"/>
      <c r="R6814" s="19" t="n"/>
      <c r="Y6814" s="19" t="n"/>
    </row>
    <row r="6815">
      <c r="C6815" s="18" t="n"/>
      <c r="J6815" s="19" t="n"/>
      <c r="P6815" s="20" t="n"/>
      <c r="Q6815" s="19" t="n"/>
      <c r="R6815" s="19" t="n"/>
      <c r="Y6815" s="19" t="n"/>
    </row>
    <row r="6816">
      <c r="C6816" s="18" t="n"/>
      <c r="J6816" s="19" t="n"/>
      <c r="P6816" s="20" t="n"/>
      <c r="Q6816" s="19" t="n"/>
      <c r="R6816" s="19" t="n"/>
      <c r="Y6816" s="19" t="n"/>
    </row>
    <row r="6817">
      <c r="C6817" s="18" t="n"/>
      <c r="J6817" s="19" t="n"/>
      <c r="P6817" s="20" t="n"/>
      <c r="Q6817" s="19" t="n"/>
      <c r="R6817" s="19" t="n"/>
      <c r="Y6817" s="19" t="n"/>
    </row>
    <row r="6818">
      <c r="C6818" s="18" t="n"/>
      <c r="J6818" s="19" t="n"/>
      <c r="P6818" s="20" t="n"/>
      <c r="Q6818" s="19" t="n"/>
      <c r="R6818" s="19" t="n"/>
      <c r="Y6818" s="19" t="n"/>
    </row>
    <row r="6819">
      <c r="C6819" s="18" t="n"/>
      <c r="J6819" s="19" t="n"/>
      <c r="P6819" s="20" t="n"/>
      <c r="Q6819" s="19" t="n"/>
      <c r="R6819" s="19" t="n"/>
      <c r="Y6819" s="19" t="n"/>
    </row>
    <row r="6820">
      <c r="C6820" s="18" t="n"/>
      <c r="J6820" s="19" t="n"/>
      <c r="P6820" s="20" t="n"/>
      <c r="Q6820" s="19" t="n"/>
      <c r="R6820" s="19" t="n"/>
      <c r="Y6820" s="19" t="n"/>
    </row>
    <row r="6821">
      <c r="C6821" s="18" t="n"/>
      <c r="J6821" s="19" t="n"/>
      <c r="P6821" s="20" t="n"/>
      <c r="Q6821" s="19" t="n"/>
      <c r="R6821" s="19" t="n"/>
      <c r="Y6821" s="19" t="n"/>
    </row>
    <row r="6822">
      <c r="C6822" s="18" t="n"/>
      <c r="J6822" s="19" t="n"/>
      <c r="P6822" s="20" t="n"/>
      <c r="Q6822" s="19" t="n"/>
      <c r="R6822" s="19" t="n"/>
      <c r="Y6822" s="19" t="n"/>
    </row>
    <row r="6823">
      <c r="C6823" s="18" t="n"/>
      <c r="J6823" s="19" t="n"/>
      <c r="P6823" s="20" t="n"/>
      <c r="Q6823" s="19" t="n"/>
      <c r="R6823" s="19" t="n"/>
      <c r="Y6823" s="19" t="n"/>
    </row>
    <row r="6824">
      <c r="C6824" s="18" t="n"/>
      <c r="J6824" s="19" t="n"/>
      <c r="P6824" s="20" t="n"/>
      <c r="Q6824" s="19" t="n"/>
      <c r="R6824" s="19" t="n"/>
      <c r="Y6824" s="19" t="n"/>
    </row>
    <row r="6825">
      <c r="C6825" s="18" t="n"/>
      <c r="J6825" s="19" t="n"/>
      <c r="P6825" s="20" t="n"/>
      <c r="Q6825" s="19" t="n"/>
      <c r="R6825" s="19" t="n"/>
      <c r="Y6825" s="19" t="n"/>
    </row>
    <row r="6826">
      <c r="C6826" s="18" t="n"/>
      <c r="J6826" s="19" t="n"/>
      <c r="P6826" s="20" t="n"/>
      <c r="Q6826" s="19" t="n"/>
      <c r="R6826" s="19" t="n"/>
      <c r="Y6826" s="19" t="n"/>
    </row>
    <row r="6827">
      <c r="C6827" s="18" t="n"/>
      <c r="J6827" s="19" t="n"/>
      <c r="P6827" s="20" t="n"/>
      <c r="Q6827" s="19" t="n"/>
      <c r="R6827" s="19" t="n"/>
      <c r="Y6827" s="19" t="n"/>
    </row>
    <row r="6828">
      <c r="C6828" s="18" t="n"/>
      <c r="J6828" s="19" t="n"/>
      <c r="P6828" s="20" t="n"/>
      <c r="Q6828" s="19" t="n"/>
      <c r="R6828" s="19" t="n"/>
      <c r="Y6828" s="19" t="n"/>
    </row>
    <row r="6829">
      <c r="C6829" s="18" t="n"/>
      <c r="J6829" s="19" t="n"/>
      <c r="P6829" s="20" t="n"/>
      <c r="Q6829" s="19" t="n"/>
      <c r="R6829" s="19" t="n"/>
      <c r="Y6829" s="19" t="n"/>
    </row>
    <row r="6830">
      <c r="C6830" s="18" t="n"/>
      <c r="J6830" s="19" t="n"/>
      <c r="P6830" s="20" t="n"/>
      <c r="Q6830" s="19" t="n"/>
      <c r="R6830" s="19" t="n"/>
      <c r="Y6830" s="19" t="n"/>
    </row>
    <row r="6831">
      <c r="C6831" s="18" t="n"/>
      <c r="J6831" s="19" t="n"/>
      <c r="P6831" s="20" t="n"/>
      <c r="Q6831" s="19" t="n"/>
      <c r="R6831" s="19" t="n"/>
      <c r="Y6831" s="19" t="n"/>
    </row>
    <row r="6832">
      <c r="C6832" s="18" t="n"/>
      <c r="J6832" s="19" t="n"/>
      <c r="P6832" s="20" t="n"/>
      <c r="Q6832" s="19" t="n"/>
      <c r="R6832" s="19" t="n"/>
      <c r="Y6832" s="19" t="n"/>
    </row>
    <row r="6833">
      <c r="C6833" s="18" t="n"/>
      <c r="J6833" s="19" t="n"/>
      <c r="P6833" s="20" t="n"/>
      <c r="Q6833" s="19" t="n"/>
      <c r="R6833" s="19" t="n"/>
      <c r="Y6833" s="19" t="n"/>
    </row>
    <row r="6834">
      <c r="C6834" s="18" t="n"/>
      <c r="J6834" s="19" t="n"/>
      <c r="P6834" s="20" t="n"/>
      <c r="Q6834" s="19" t="n"/>
      <c r="R6834" s="19" t="n"/>
      <c r="Y6834" s="19" t="n"/>
    </row>
    <row r="6835">
      <c r="C6835" s="18" t="n"/>
      <c r="J6835" s="19" t="n"/>
      <c r="P6835" s="20" t="n"/>
      <c r="Q6835" s="19" t="n"/>
      <c r="R6835" s="19" t="n"/>
      <c r="Y6835" s="19" t="n"/>
    </row>
    <row r="6836">
      <c r="C6836" s="18" t="n"/>
      <c r="J6836" s="19" t="n"/>
      <c r="P6836" s="20" t="n"/>
      <c r="Q6836" s="19" t="n"/>
      <c r="R6836" s="19" t="n"/>
      <c r="Y6836" s="19" t="n"/>
    </row>
    <row r="6837">
      <c r="C6837" s="18" t="n"/>
      <c r="J6837" s="19" t="n"/>
      <c r="P6837" s="20" t="n"/>
      <c r="Q6837" s="19" t="n"/>
      <c r="R6837" s="19" t="n"/>
      <c r="Y6837" s="19" t="n"/>
    </row>
    <row r="6838">
      <c r="C6838" s="18" t="n"/>
      <c r="J6838" s="19" t="n"/>
      <c r="P6838" s="20" t="n"/>
      <c r="Q6838" s="19" t="n"/>
      <c r="R6838" s="19" t="n"/>
      <c r="Y6838" s="19" t="n"/>
    </row>
    <row r="6839">
      <c r="C6839" s="18" t="n"/>
      <c r="J6839" s="19" t="n"/>
      <c r="P6839" s="20" t="n"/>
      <c r="Q6839" s="19" t="n"/>
      <c r="R6839" s="19" t="n"/>
      <c r="Y6839" s="19" t="n"/>
    </row>
    <row r="6840">
      <c r="C6840" s="18" t="n"/>
      <c r="J6840" s="19" t="n"/>
      <c r="P6840" s="20" t="n"/>
      <c r="Q6840" s="19" t="n"/>
      <c r="R6840" s="19" t="n"/>
      <c r="Y6840" s="19" t="n"/>
    </row>
    <row r="6841">
      <c r="C6841" s="18" t="n"/>
      <c r="J6841" s="19" t="n"/>
      <c r="P6841" s="20" t="n"/>
      <c r="Q6841" s="19" t="n"/>
      <c r="R6841" s="19" t="n"/>
      <c r="Y6841" s="19" t="n"/>
    </row>
    <row r="6842">
      <c r="C6842" s="18" t="n"/>
      <c r="J6842" s="19" t="n"/>
      <c r="P6842" s="20" t="n"/>
      <c r="Q6842" s="19" t="n"/>
      <c r="R6842" s="19" t="n"/>
      <c r="Y6842" s="19" t="n"/>
    </row>
    <row r="6843">
      <c r="C6843" s="18" t="n"/>
      <c r="J6843" s="19" t="n"/>
      <c r="P6843" s="20" t="n"/>
      <c r="Q6843" s="19" t="n"/>
      <c r="R6843" s="19" t="n"/>
      <c r="Y6843" s="19" t="n"/>
    </row>
    <row r="6844">
      <c r="C6844" s="18" t="n"/>
      <c r="J6844" s="19" t="n"/>
      <c r="P6844" s="20" t="n"/>
      <c r="Q6844" s="19" t="n"/>
      <c r="R6844" s="19" t="n"/>
      <c r="Y6844" s="19" t="n"/>
    </row>
    <row r="6845">
      <c r="C6845" s="18" t="n"/>
      <c r="J6845" s="19" t="n"/>
      <c r="P6845" s="20" t="n"/>
      <c r="Q6845" s="19" t="n"/>
      <c r="R6845" s="19" t="n"/>
      <c r="Y6845" s="19" t="n"/>
    </row>
    <row r="6846">
      <c r="C6846" s="18" t="n"/>
      <c r="J6846" s="19" t="n"/>
      <c r="P6846" s="20" t="n"/>
      <c r="Q6846" s="19" t="n"/>
      <c r="R6846" s="19" t="n"/>
      <c r="Y6846" s="19" t="n"/>
    </row>
    <row r="6847">
      <c r="C6847" s="18" t="n"/>
      <c r="J6847" s="19" t="n"/>
      <c r="P6847" s="20" t="n"/>
      <c r="Q6847" s="19" t="n"/>
      <c r="R6847" s="19" t="n"/>
      <c r="Y6847" s="19" t="n"/>
    </row>
    <row r="6848">
      <c r="C6848" s="18" t="n"/>
      <c r="J6848" s="19" t="n"/>
      <c r="P6848" s="20" t="n"/>
      <c r="Q6848" s="19" t="n"/>
      <c r="R6848" s="19" t="n"/>
      <c r="Y6848" s="19" t="n"/>
    </row>
    <row r="6849">
      <c r="C6849" s="18" t="n"/>
      <c r="J6849" s="19" t="n"/>
      <c r="P6849" s="20" t="n"/>
      <c r="Q6849" s="19" t="n"/>
      <c r="R6849" s="19" t="n"/>
      <c r="Y6849" s="19" t="n"/>
    </row>
    <row r="6850">
      <c r="C6850" s="18" t="n"/>
      <c r="J6850" s="19" t="n"/>
      <c r="P6850" s="20" t="n"/>
      <c r="Q6850" s="19" t="n"/>
      <c r="R6850" s="19" t="n"/>
      <c r="Y6850" s="19" t="n"/>
    </row>
    <row r="6851">
      <c r="C6851" s="18" t="n"/>
      <c r="J6851" s="19" t="n"/>
      <c r="P6851" s="20" t="n"/>
      <c r="Q6851" s="19" t="n"/>
      <c r="R6851" s="19" t="n"/>
      <c r="Y6851" s="19" t="n"/>
    </row>
    <row r="6852">
      <c r="C6852" s="18" t="n"/>
      <c r="J6852" s="19" t="n"/>
      <c r="P6852" s="20" t="n"/>
      <c r="Q6852" s="19" t="n"/>
      <c r="R6852" s="19" t="n"/>
      <c r="Y6852" s="19" t="n"/>
    </row>
    <row r="6853">
      <c r="C6853" s="18" t="n"/>
      <c r="J6853" s="19" t="n"/>
      <c r="P6853" s="20" t="n"/>
      <c r="Q6853" s="19" t="n"/>
      <c r="R6853" s="19" t="n"/>
      <c r="Y6853" s="19" t="n"/>
    </row>
    <row r="6854">
      <c r="C6854" s="18" t="n"/>
      <c r="J6854" s="19" t="n"/>
      <c r="P6854" s="20" t="n"/>
      <c r="Q6854" s="19" t="n"/>
      <c r="R6854" s="19" t="n"/>
      <c r="Y6854" s="19" t="n"/>
    </row>
    <row r="6855">
      <c r="C6855" s="18" t="n"/>
      <c r="J6855" s="19" t="n"/>
      <c r="P6855" s="20" t="n"/>
      <c r="Q6855" s="19" t="n"/>
      <c r="R6855" s="19" t="n"/>
      <c r="Y6855" s="19" t="n"/>
    </row>
    <row r="6856">
      <c r="C6856" s="18" t="n"/>
      <c r="J6856" s="19" t="n"/>
      <c r="P6856" s="20" t="n"/>
      <c r="Q6856" s="19" t="n"/>
      <c r="R6856" s="19" t="n"/>
      <c r="Y6856" s="19" t="n"/>
    </row>
    <row r="6857">
      <c r="C6857" s="18" t="n"/>
      <c r="J6857" s="19" t="n"/>
      <c r="P6857" s="20" t="n"/>
      <c r="Q6857" s="19" t="n"/>
      <c r="R6857" s="19" t="n"/>
      <c r="Y6857" s="19" t="n"/>
    </row>
    <row r="6858">
      <c r="C6858" s="18" t="n"/>
      <c r="J6858" s="19" t="n"/>
      <c r="P6858" s="20" t="n"/>
      <c r="Q6858" s="19" t="n"/>
      <c r="R6858" s="19" t="n"/>
      <c r="Y6858" s="19" t="n"/>
    </row>
    <row r="6859">
      <c r="C6859" s="18" t="n"/>
      <c r="J6859" s="19" t="n"/>
      <c r="P6859" s="20" t="n"/>
      <c r="Q6859" s="19" t="n"/>
      <c r="R6859" s="19" t="n"/>
      <c r="Y6859" s="19" t="n"/>
    </row>
    <row r="6860">
      <c r="C6860" s="18" t="n"/>
      <c r="J6860" s="19" t="n"/>
      <c r="P6860" s="20" t="n"/>
      <c r="Q6860" s="19" t="n"/>
      <c r="R6860" s="19" t="n"/>
      <c r="Y6860" s="19" t="n"/>
    </row>
    <row r="6861">
      <c r="C6861" s="18" t="n"/>
      <c r="J6861" s="19" t="n"/>
      <c r="P6861" s="20" t="n"/>
      <c r="Q6861" s="19" t="n"/>
      <c r="R6861" s="19" t="n"/>
      <c r="Y6861" s="19" t="n"/>
    </row>
    <row r="6862">
      <c r="C6862" s="18" t="n"/>
      <c r="J6862" s="19" t="n"/>
      <c r="P6862" s="20" t="n"/>
      <c r="Q6862" s="19" t="n"/>
      <c r="R6862" s="19" t="n"/>
      <c r="Y6862" s="19" t="n"/>
    </row>
    <row r="6863">
      <c r="C6863" s="18" t="n"/>
      <c r="J6863" s="19" t="n"/>
      <c r="P6863" s="20" t="n"/>
      <c r="Q6863" s="19" t="n"/>
      <c r="R6863" s="19" t="n"/>
      <c r="Y6863" s="19" t="n"/>
    </row>
    <row r="6864">
      <c r="C6864" s="18" t="n"/>
      <c r="J6864" s="19" t="n"/>
      <c r="P6864" s="20" t="n"/>
      <c r="Q6864" s="19" t="n"/>
      <c r="R6864" s="19" t="n"/>
      <c r="Y6864" s="19" t="n"/>
    </row>
    <row r="6865">
      <c r="C6865" s="18" t="n"/>
      <c r="J6865" s="19" t="n"/>
      <c r="P6865" s="20" t="n"/>
      <c r="Q6865" s="19" t="n"/>
      <c r="R6865" s="19" t="n"/>
      <c r="Y6865" s="19" t="n"/>
    </row>
    <row r="6866">
      <c r="C6866" s="18" t="n"/>
      <c r="J6866" s="19" t="n"/>
      <c r="P6866" s="20" t="n"/>
      <c r="Q6866" s="19" t="n"/>
      <c r="R6866" s="19" t="n"/>
      <c r="Y6866" s="19" t="n"/>
    </row>
    <row r="6867">
      <c r="C6867" s="18" t="n"/>
      <c r="J6867" s="19" t="n"/>
      <c r="P6867" s="20" t="n"/>
      <c r="Q6867" s="19" t="n"/>
      <c r="R6867" s="19" t="n"/>
      <c r="Y6867" s="19" t="n"/>
    </row>
    <row r="6868">
      <c r="C6868" s="18" t="n"/>
      <c r="J6868" s="19" t="n"/>
      <c r="P6868" s="20" t="n"/>
      <c r="Q6868" s="19" t="n"/>
      <c r="R6868" s="19" t="n"/>
      <c r="Y6868" s="19" t="n"/>
    </row>
    <row r="6869">
      <c r="C6869" s="18" t="n"/>
      <c r="J6869" s="19" t="n"/>
      <c r="P6869" s="20" t="n"/>
      <c r="Q6869" s="19" t="n"/>
      <c r="R6869" s="19" t="n"/>
      <c r="Y6869" s="19" t="n"/>
    </row>
    <row r="6870">
      <c r="C6870" s="18" t="n"/>
      <c r="J6870" s="19" t="n"/>
      <c r="P6870" s="20" t="n"/>
      <c r="Q6870" s="19" t="n"/>
      <c r="R6870" s="19" t="n"/>
      <c r="Y6870" s="19" t="n"/>
    </row>
    <row r="6871">
      <c r="C6871" s="18" t="n"/>
      <c r="J6871" s="19" t="n"/>
      <c r="P6871" s="20" t="n"/>
      <c r="Q6871" s="19" t="n"/>
      <c r="R6871" s="19" t="n"/>
      <c r="Y6871" s="19" t="n"/>
    </row>
    <row r="6872">
      <c r="C6872" s="18" t="n"/>
      <c r="J6872" s="19" t="n"/>
      <c r="P6872" s="20" t="n"/>
      <c r="Q6872" s="19" t="n"/>
      <c r="R6872" s="19" t="n"/>
      <c r="Y6872" s="19" t="n"/>
    </row>
    <row r="6873">
      <c r="C6873" s="18" t="n"/>
      <c r="J6873" s="19" t="n"/>
      <c r="P6873" s="20" t="n"/>
      <c r="Q6873" s="19" t="n"/>
      <c r="R6873" s="19" t="n"/>
      <c r="Y6873" s="19" t="n"/>
    </row>
    <row r="6874">
      <c r="C6874" s="18" t="n"/>
      <c r="J6874" s="19" t="n"/>
      <c r="P6874" s="20" t="n"/>
      <c r="Q6874" s="19" t="n"/>
      <c r="R6874" s="19" t="n"/>
      <c r="Y6874" s="19" t="n"/>
    </row>
    <row r="6875">
      <c r="C6875" s="18" t="n"/>
      <c r="J6875" s="19" t="n"/>
      <c r="P6875" s="20" t="n"/>
      <c r="Q6875" s="19" t="n"/>
      <c r="R6875" s="19" t="n"/>
      <c r="Y6875" s="19" t="n"/>
    </row>
    <row r="6876">
      <c r="C6876" s="18" t="n"/>
      <c r="J6876" s="19" t="n"/>
      <c r="P6876" s="20" t="n"/>
      <c r="Q6876" s="19" t="n"/>
      <c r="R6876" s="19" t="n"/>
      <c r="Y6876" s="19" t="n"/>
    </row>
    <row r="6877">
      <c r="C6877" s="18" t="n"/>
      <c r="J6877" s="19" t="n"/>
      <c r="P6877" s="20" t="n"/>
      <c r="Q6877" s="19" t="n"/>
      <c r="R6877" s="19" t="n"/>
      <c r="Y6877" s="19" t="n"/>
    </row>
    <row r="6878">
      <c r="C6878" s="18" t="n"/>
      <c r="J6878" s="19" t="n"/>
      <c r="P6878" s="20" t="n"/>
      <c r="Q6878" s="19" t="n"/>
      <c r="R6878" s="19" t="n"/>
      <c r="Y6878" s="19" t="n"/>
    </row>
    <row r="6879">
      <c r="C6879" s="18" t="n"/>
      <c r="J6879" s="19" t="n"/>
      <c r="P6879" s="20" t="n"/>
      <c r="Q6879" s="19" t="n"/>
      <c r="R6879" s="19" t="n"/>
      <c r="Y6879" s="19" t="n"/>
    </row>
    <row r="6880">
      <c r="C6880" s="18" t="n"/>
      <c r="J6880" s="19" t="n"/>
      <c r="P6880" s="20" t="n"/>
      <c r="Q6880" s="19" t="n"/>
      <c r="R6880" s="19" t="n"/>
      <c r="Y6880" s="19" t="n"/>
    </row>
    <row r="6881">
      <c r="C6881" s="18" t="n"/>
      <c r="J6881" s="19" t="n"/>
      <c r="P6881" s="20" t="n"/>
      <c r="Q6881" s="19" t="n"/>
      <c r="R6881" s="19" t="n"/>
      <c r="Y6881" s="19" t="n"/>
    </row>
    <row r="6882">
      <c r="C6882" s="18" t="n"/>
      <c r="J6882" s="19" t="n"/>
      <c r="P6882" s="20" t="n"/>
      <c r="Q6882" s="19" t="n"/>
      <c r="R6882" s="19" t="n"/>
      <c r="Y6882" s="19" t="n"/>
    </row>
    <row r="6883">
      <c r="C6883" s="18" t="n"/>
      <c r="J6883" s="19" t="n"/>
      <c r="P6883" s="20" t="n"/>
      <c r="Q6883" s="19" t="n"/>
      <c r="R6883" s="19" t="n"/>
      <c r="Y6883" s="19" t="n"/>
    </row>
    <row r="6884">
      <c r="C6884" s="18" t="n"/>
      <c r="J6884" s="19" t="n"/>
      <c r="P6884" s="20" t="n"/>
      <c r="Q6884" s="19" t="n"/>
      <c r="R6884" s="19" t="n"/>
      <c r="Y6884" s="19" t="n"/>
    </row>
    <row r="6885">
      <c r="C6885" s="18" t="n"/>
      <c r="J6885" s="19" t="n"/>
      <c r="P6885" s="20" t="n"/>
      <c r="Q6885" s="19" t="n"/>
      <c r="R6885" s="19" t="n"/>
      <c r="Y6885" s="19" t="n"/>
    </row>
    <row r="6886">
      <c r="C6886" s="18" t="n"/>
      <c r="J6886" s="19" t="n"/>
      <c r="P6886" s="20" t="n"/>
      <c r="Q6886" s="19" t="n"/>
      <c r="R6886" s="19" t="n"/>
      <c r="Y6886" s="19" t="n"/>
    </row>
    <row r="6887">
      <c r="C6887" s="18" t="n"/>
      <c r="J6887" s="19" t="n"/>
      <c r="P6887" s="20" t="n"/>
      <c r="Q6887" s="19" t="n"/>
      <c r="R6887" s="19" t="n"/>
      <c r="Y6887" s="19" t="n"/>
    </row>
    <row r="6888">
      <c r="C6888" s="18" t="n"/>
      <c r="J6888" s="19" t="n"/>
      <c r="P6888" s="20" t="n"/>
      <c r="Q6888" s="19" t="n"/>
      <c r="R6888" s="19" t="n"/>
      <c r="Y6888" s="19" t="n"/>
    </row>
    <row r="6889">
      <c r="C6889" s="18" t="n"/>
      <c r="J6889" s="19" t="n"/>
      <c r="P6889" s="20" t="n"/>
      <c r="Q6889" s="19" t="n"/>
      <c r="R6889" s="19" t="n"/>
      <c r="Y6889" s="19" t="n"/>
    </row>
    <row r="6890">
      <c r="C6890" s="18" t="n"/>
      <c r="J6890" s="19" t="n"/>
      <c r="P6890" s="20" t="n"/>
      <c r="Q6890" s="19" t="n"/>
      <c r="R6890" s="19" t="n"/>
      <c r="Y6890" s="19" t="n"/>
    </row>
    <row r="6891">
      <c r="C6891" s="18" t="n"/>
      <c r="J6891" s="19" t="n"/>
      <c r="P6891" s="20" t="n"/>
      <c r="Q6891" s="19" t="n"/>
      <c r="R6891" s="19" t="n"/>
      <c r="Y6891" s="19" t="n"/>
    </row>
    <row r="6892">
      <c r="C6892" s="18" t="n"/>
      <c r="J6892" s="19" t="n"/>
      <c r="P6892" s="20" t="n"/>
      <c r="Q6892" s="19" t="n"/>
      <c r="R6892" s="19" t="n"/>
      <c r="Y6892" s="19" t="n"/>
    </row>
    <row r="6893">
      <c r="C6893" s="18" t="n"/>
      <c r="J6893" s="19" t="n"/>
      <c r="P6893" s="20" t="n"/>
      <c r="Q6893" s="19" t="n"/>
      <c r="R6893" s="19" t="n"/>
      <c r="Y6893" s="19" t="n"/>
    </row>
    <row r="6894">
      <c r="C6894" s="18" t="n"/>
      <c r="J6894" s="19" t="n"/>
      <c r="P6894" s="20" t="n"/>
      <c r="Q6894" s="19" t="n"/>
      <c r="R6894" s="19" t="n"/>
      <c r="Y6894" s="19" t="n"/>
    </row>
    <row r="6895">
      <c r="C6895" s="18" t="n"/>
      <c r="J6895" s="19" t="n"/>
      <c r="P6895" s="20" t="n"/>
      <c r="Q6895" s="19" t="n"/>
      <c r="R6895" s="19" t="n"/>
      <c r="Y6895" s="19" t="n"/>
    </row>
    <row r="6896">
      <c r="C6896" s="18" t="n"/>
      <c r="J6896" s="19" t="n"/>
      <c r="P6896" s="20" t="n"/>
      <c r="Q6896" s="19" t="n"/>
      <c r="R6896" s="19" t="n"/>
      <c r="Y6896" s="19" t="n"/>
    </row>
    <row r="6897">
      <c r="C6897" s="18" t="n"/>
      <c r="J6897" s="19" t="n"/>
      <c r="P6897" s="20" t="n"/>
      <c r="Q6897" s="19" t="n"/>
      <c r="R6897" s="19" t="n"/>
      <c r="Y6897" s="19" t="n"/>
    </row>
    <row r="6898">
      <c r="C6898" s="18" t="n"/>
      <c r="J6898" s="19" t="n"/>
      <c r="P6898" s="20" t="n"/>
      <c r="Q6898" s="19" t="n"/>
      <c r="R6898" s="19" t="n"/>
      <c r="Y6898" s="19" t="n"/>
    </row>
    <row r="6899">
      <c r="C6899" s="18" t="n"/>
      <c r="J6899" s="19" t="n"/>
      <c r="P6899" s="20" t="n"/>
      <c r="Q6899" s="19" t="n"/>
      <c r="R6899" s="19" t="n"/>
      <c r="Y6899" s="19" t="n"/>
    </row>
    <row r="6900">
      <c r="C6900" s="18" t="n"/>
      <c r="J6900" s="19" t="n"/>
      <c r="P6900" s="20" t="n"/>
      <c r="Q6900" s="19" t="n"/>
      <c r="R6900" s="19" t="n"/>
      <c r="Y6900" s="19" t="n"/>
    </row>
    <row r="6901">
      <c r="C6901" s="18" t="n"/>
      <c r="J6901" s="19" t="n"/>
      <c r="P6901" s="20" t="n"/>
      <c r="Q6901" s="19" t="n"/>
      <c r="R6901" s="19" t="n"/>
      <c r="Y6901" s="19" t="n"/>
    </row>
    <row r="6902">
      <c r="C6902" s="18" t="n"/>
      <c r="J6902" s="19" t="n"/>
      <c r="P6902" s="20" t="n"/>
      <c r="Q6902" s="19" t="n"/>
      <c r="R6902" s="19" t="n"/>
      <c r="Y6902" s="19" t="n"/>
    </row>
    <row r="6903">
      <c r="C6903" s="18" t="n"/>
      <c r="J6903" s="19" t="n"/>
      <c r="P6903" s="20" t="n"/>
      <c r="Q6903" s="19" t="n"/>
      <c r="R6903" s="19" t="n"/>
      <c r="Y6903" s="19" t="n"/>
    </row>
    <row r="6904">
      <c r="C6904" s="18" t="n"/>
      <c r="J6904" s="19" t="n"/>
      <c r="P6904" s="20" t="n"/>
      <c r="Q6904" s="19" t="n"/>
      <c r="R6904" s="19" t="n"/>
      <c r="Y6904" s="19" t="n"/>
    </row>
    <row r="6905">
      <c r="C6905" s="18" t="n"/>
      <c r="J6905" s="19" t="n"/>
      <c r="P6905" s="20" t="n"/>
      <c r="Q6905" s="19" t="n"/>
      <c r="R6905" s="19" t="n"/>
      <c r="Y6905" s="19" t="n"/>
    </row>
    <row r="6906">
      <c r="C6906" s="18" t="n"/>
      <c r="J6906" s="19" t="n"/>
      <c r="P6906" s="20" t="n"/>
      <c r="Q6906" s="19" t="n"/>
      <c r="R6906" s="19" t="n"/>
      <c r="Y6906" s="19" t="n"/>
    </row>
    <row r="6907">
      <c r="C6907" s="18" t="n"/>
      <c r="J6907" s="19" t="n"/>
      <c r="P6907" s="20" t="n"/>
      <c r="Q6907" s="19" t="n"/>
      <c r="R6907" s="19" t="n"/>
      <c r="Y6907" s="19" t="n"/>
    </row>
    <row r="6908">
      <c r="C6908" s="18" t="n"/>
      <c r="J6908" s="19" t="n"/>
      <c r="P6908" s="20" t="n"/>
      <c r="Q6908" s="19" t="n"/>
      <c r="R6908" s="19" t="n"/>
      <c r="Y6908" s="19" t="n"/>
    </row>
    <row r="6909">
      <c r="C6909" s="18" t="n"/>
      <c r="J6909" s="19" t="n"/>
      <c r="P6909" s="20" t="n"/>
      <c r="Q6909" s="19" t="n"/>
      <c r="R6909" s="19" t="n"/>
      <c r="Y6909" s="19" t="n"/>
    </row>
    <row r="6910">
      <c r="C6910" s="18" t="n"/>
      <c r="J6910" s="19" t="n"/>
      <c r="P6910" s="20" t="n"/>
      <c r="Q6910" s="19" t="n"/>
      <c r="R6910" s="19" t="n"/>
      <c r="Y6910" s="19" t="n"/>
    </row>
    <row r="6911">
      <c r="C6911" s="18" t="n"/>
      <c r="J6911" s="19" t="n"/>
      <c r="P6911" s="20" t="n"/>
      <c r="Q6911" s="19" t="n"/>
      <c r="R6911" s="19" t="n"/>
      <c r="Y6911" s="19" t="n"/>
    </row>
    <row r="6912">
      <c r="C6912" s="18" t="n"/>
      <c r="J6912" s="19" t="n"/>
      <c r="P6912" s="20" t="n"/>
      <c r="Q6912" s="19" t="n"/>
      <c r="R6912" s="19" t="n"/>
      <c r="Y6912" s="19" t="n"/>
    </row>
    <row r="6913">
      <c r="C6913" s="18" t="n"/>
      <c r="J6913" s="19" t="n"/>
      <c r="P6913" s="20" t="n"/>
      <c r="Q6913" s="19" t="n"/>
      <c r="R6913" s="19" t="n"/>
      <c r="Y6913" s="19" t="n"/>
    </row>
    <row r="6914">
      <c r="C6914" s="18" t="n"/>
      <c r="J6914" s="19" t="n"/>
      <c r="P6914" s="20" t="n"/>
      <c r="Q6914" s="19" t="n"/>
      <c r="R6914" s="19" t="n"/>
      <c r="Y6914" s="19" t="n"/>
    </row>
    <row r="6915">
      <c r="C6915" s="18" t="n"/>
      <c r="J6915" s="19" t="n"/>
      <c r="P6915" s="20" t="n"/>
      <c r="Q6915" s="19" t="n"/>
      <c r="R6915" s="19" t="n"/>
      <c r="Y6915" s="19" t="n"/>
    </row>
    <row r="6916">
      <c r="C6916" s="18" t="n"/>
      <c r="J6916" s="19" t="n"/>
      <c r="P6916" s="20" t="n"/>
      <c r="Q6916" s="19" t="n"/>
      <c r="R6916" s="19" t="n"/>
      <c r="Y6916" s="19" t="n"/>
    </row>
    <row r="6917">
      <c r="C6917" s="18" t="n"/>
      <c r="J6917" s="19" t="n"/>
      <c r="P6917" s="20" t="n"/>
      <c r="Q6917" s="19" t="n"/>
      <c r="R6917" s="19" t="n"/>
      <c r="Y6917" s="19" t="n"/>
    </row>
    <row r="6918">
      <c r="C6918" s="18" t="n"/>
      <c r="J6918" s="19" t="n"/>
      <c r="P6918" s="20" t="n"/>
      <c r="Q6918" s="19" t="n"/>
      <c r="R6918" s="19" t="n"/>
      <c r="Y6918" s="19" t="n"/>
    </row>
    <row r="6919">
      <c r="C6919" s="18" t="n"/>
      <c r="J6919" s="19" t="n"/>
      <c r="P6919" s="20" t="n"/>
      <c r="Q6919" s="19" t="n"/>
      <c r="R6919" s="19" t="n"/>
      <c r="Y6919" s="19" t="n"/>
    </row>
    <row r="6920">
      <c r="C6920" s="18" t="n"/>
      <c r="J6920" s="19" t="n"/>
      <c r="P6920" s="20" t="n"/>
      <c r="Q6920" s="19" t="n"/>
      <c r="R6920" s="19" t="n"/>
      <c r="Y6920" s="19" t="n"/>
    </row>
    <row r="6921">
      <c r="C6921" s="18" t="n"/>
      <c r="J6921" s="19" t="n"/>
      <c r="P6921" s="20" t="n"/>
      <c r="Q6921" s="19" t="n"/>
      <c r="R6921" s="19" t="n"/>
      <c r="Y6921" s="19" t="n"/>
    </row>
    <row r="6922">
      <c r="C6922" s="18" t="n"/>
      <c r="J6922" s="19" t="n"/>
      <c r="P6922" s="20" t="n"/>
      <c r="Q6922" s="19" t="n"/>
      <c r="R6922" s="19" t="n"/>
      <c r="Y6922" s="19" t="n"/>
    </row>
    <row r="6923">
      <c r="C6923" s="18" t="n"/>
      <c r="J6923" s="19" t="n"/>
      <c r="P6923" s="20" t="n"/>
      <c r="Q6923" s="19" t="n"/>
      <c r="R6923" s="19" t="n"/>
      <c r="Y6923" s="19" t="n"/>
    </row>
    <row r="6924">
      <c r="C6924" s="18" t="n"/>
      <c r="J6924" s="19" t="n"/>
      <c r="P6924" s="20" t="n"/>
      <c r="Q6924" s="19" t="n"/>
      <c r="R6924" s="19" t="n"/>
      <c r="Y6924" s="19" t="n"/>
    </row>
    <row r="6925">
      <c r="C6925" s="18" t="n"/>
      <c r="J6925" s="19" t="n"/>
      <c r="P6925" s="20" t="n"/>
      <c r="Q6925" s="19" t="n"/>
      <c r="R6925" s="19" t="n"/>
      <c r="Y6925" s="19" t="n"/>
    </row>
    <row r="6926">
      <c r="C6926" s="18" t="n"/>
      <c r="J6926" s="19" t="n"/>
      <c r="P6926" s="20" t="n"/>
      <c r="Q6926" s="19" t="n"/>
      <c r="R6926" s="19" t="n"/>
      <c r="Y6926" s="19" t="n"/>
    </row>
    <row r="6927">
      <c r="C6927" s="18" t="n"/>
      <c r="J6927" s="19" t="n"/>
      <c r="P6927" s="20" t="n"/>
      <c r="Q6927" s="19" t="n"/>
      <c r="R6927" s="19" t="n"/>
      <c r="Y6927" s="19" t="n"/>
    </row>
    <row r="6928">
      <c r="C6928" s="18" t="n"/>
      <c r="J6928" s="19" t="n"/>
      <c r="P6928" s="20" t="n"/>
      <c r="Q6928" s="19" t="n"/>
      <c r="R6928" s="19" t="n"/>
      <c r="Y6928" s="19" t="n"/>
    </row>
    <row r="6929">
      <c r="C6929" s="18" t="n"/>
      <c r="J6929" s="19" t="n"/>
      <c r="P6929" s="20" t="n"/>
      <c r="Q6929" s="19" t="n"/>
      <c r="R6929" s="19" t="n"/>
      <c r="Y6929" s="19" t="n"/>
    </row>
    <row r="6930">
      <c r="C6930" s="18" t="n"/>
      <c r="J6930" s="19" t="n"/>
      <c r="P6930" s="20" t="n"/>
      <c r="Q6930" s="19" t="n"/>
      <c r="R6930" s="19" t="n"/>
      <c r="Y6930" s="19" t="n"/>
    </row>
    <row r="6931">
      <c r="C6931" s="18" t="n"/>
      <c r="J6931" s="19" t="n"/>
      <c r="P6931" s="20" t="n"/>
      <c r="Q6931" s="19" t="n"/>
      <c r="R6931" s="19" t="n"/>
      <c r="Y6931" s="19" t="n"/>
    </row>
    <row r="6932">
      <c r="C6932" s="18" t="n"/>
      <c r="J6932" s="19" t="n"/>
      <c r="P6932" s="20" t="n"/>
      <c r="Q6932" s="19" t="n"/>
      <c r="R6932" s="19" t="n"/>
      <c r="Y6932" s="19" t="n"/>
    </row>
    <row r="6933">
      <c r="C6933" s="18" t="n"/>
      <c r="J6933" s="19" t="n"/>
      <c r="P6933" s="20" t="n"/>
      <c r="Q6933" s="19" t="n"/>
      <c r="R6933" s="19" t="n"/>
      <c r="Y6933" s="19" t="n"/>
    </row>
    <row r="6934">
      <c r="C6934" s="18" t="n"/>
      <c r="J6934" s="19" t="n"/>
      <c r="P6934" s="20" t="n"/>
      <c r="Q6934" s="19" t="n"/>
      <c r="R6934" s="19" t="n"/>
      <c r="Y6934" s="19" t="n"/>
    </row>
    <row r="6935">
      <c r="C6935" s="18" t="n"/>
      <c r="J6935" s="19" t="n"/>
      <c r="P6935" s="20" t="n"/>
      <c r="Q6935" s="19" t="n"/>
      <c r="R6935" s="19" t="n"/>
      <c r="Y6935" s="19" t="n"/>
    </row>
    <row r="6936">
      <c r="C6936" s="18" t="n"/>
      <c r="J6936" s="19" t="n"/>
      <c r="P6936" s="20" t="n"/>
      <c r="Q6936" s="19" t="n"/>
      <c r="R6936" s="19" t="n"/>
      <c r="Y6936" s="19" t="n"/>
    </row>
    <row r="6937">
      <c r="C6937" s="18" t="n"/>
      <c r="J6937" s="19" t="n"/>
      <c r="P6937" s="20" t="n"/>
      <c r="Q6937" s="19" t="n"/>
      <c r="R6937" s="19" t="n"/>
      <c r="Y6937" s="19" t="n"/>
    </row>
    <row r="6938">
      <c r="C6938" s="18" t="n"/>
      <c r="J6938" s="19" t="n"/>
      <c r="P6938" s="20" t="n"/>
      <c r="Q6938" s="19" t="n"/>
      <c r="R6938" s="19" t="n"/>
      <c r="Y6938" s="19" t="n"/>
    </row>
    <row r="6939">
      <c r="C6939" s="18" t="n"/>
      <c r="J6939" s="19" t="n"/>
      <c r="P6939" s="20" t="n"/>
      <c r="Q6939" s="19" t="n"/>
      <c r="R6939" s="19" t="n"/>
      <c r="Y6939" s="19" t="n"/>
    </row>
    <row r="6940">
      <c r="C6940" s="18" t="n"/>
      <c r="J6940" s="19" t="n"/>
      <c r="P6940" s="20" t="n"/>
      <c r="Q6940" s="19" t="n"/>
      <c r="R6940" s="19" t="n"/>
      <c r="Y6940" s="19" t="n"/>
    </row>
    <row r="6941">
      <c r="C6941" s="18" t="n"/>
      <c r="J6941" s="19" t="n"/>
      <c r="P6941" s="20" t="n"/>
      <c r="Q6941" s="19" t="n"/>
      <c r="R6941" s="19" t="n"/>
      <c r="Y6941" s="19" t="n"/>
    </row>
    <row r="6942">
      <c r="C6942" s="18" t="n"/>
      <c r="J6942" s="19" t="n"/>
      <c r="P6942" s="20" t="n"/>
      <c r="Q6942" s="19" t="n"/>
      <c r="R6942" s="19" t="n"/>
      <c r="Y6942" s="19" t="n"/>
    </row>
    <row r="6943">
      <c r="C6943" s="18" t="n"/>
      <c r="J6943" s="19" t="n"/>
      <c r="P6943" s="20" t="n"/>
      <c r="Q6943" s="19" t="n"/>
      <c r="R6943" s="19" t="n"/>
      <c r="Y6943" s="19" t="n"/>
    </row>
    <row r="6944">
      <c r="C6944" s="18" t="n"/>
      <c r="J6944" s="19" t="n"/>
      <c r="P6944" s="20" t="n"/>
      <c r="Q6944" s="19" t="n"/>
      <c r="R6944" s="19" t="n"/>
      <c r="Y6944" s="19" t="n"/>
    </row>
    <row r="6945">
      <c r="C6945" s="18" t="n"/>
      <c r="J6945" s="19" t="n"/>
      <c r="P6945" s="20" t="n"/>
      <c r="Q6945" s="19" t="n"/>
      <c r="R6945" s="19" t="n"/>
      <c r="Y6945" s="19" t="n"/>
    </row>
    <row r="6946">
      <c r="C6946" s="18" t="n"/>
      <c r="J6946" s="19" t="n"/>
      <c r="P6946" s="20" t="n"/>
      <c r="Q6946" s="19" t="n"/>
      <c r="R6946" s="19" t="n"/>
      <c r="Y6946" s="19" t="n"/>
    </row>
    <row r="6947">
      <c r="C6947" s="18" t="n"/>
      <c r="J6947" s="19" t="n"/>
      <c r="P6947" s="20" t="n"/>
      <c r="Q6947" s="19" t="n"/>
      <c r="R6947" s="19" t="n"/>
      <c r="Y6947" s="19" t="n"/>
    </row>
    <row r="6948">
      <c r="C6948" s="18" t="n"/>
      <c r="J6948" s="19" t="n"/>
      <c r="P6948" s="20" t="n"/>
      <c r="Q6948" s="19" t="n"/>
      <c r="R6948" s="19" t="n"/>
      <c r="Y6948" s="19" t="n"/>
    </row>
    <row r="6949">
      <c r="C6949" s="18" t="n"/>
      <c r="J6949" s="19" t="n"/>
      <c r="P6949" s="20" t="n"/>
      <c r="Q6949" s="19" t="n"/>
      <c r="R6949" s="19" t="n"/>
      <c r="Y6949" s="19" t="n"/>
    </row>
    <row r="6950">
      <c r="C6950" s="18" t="n"/>
      <c r="J6950" s="19" t="n"/>
      <c r="P6950" s="20" t="n"/>
      <c r="Q6950" s="19" t="n"/>
      <c r="R6950" s="19" t="n"/>
      <c r="Y6950" s="19" t="n"/>
    </row>
    <row r="6951">
      <c r="C6951" s="18" t="n"/>
      <c r="J6951" s="19" t="n"/>
      <c r="P6951" s="20" t="n"/>
      <c r="Q6951" s="19" t="n"/>
      <c r="R6951" s="19" t="n"/>
      <c r="Y6951" s="19" t="n"/>
    </row>
    <row r="6952">
      <c r="C6952" s="18" t="n"/>
      <c r="J6952" s="19" t="n"/>
      <c r="P6952" s="20" t="n"/>
      <c r="Q6952" s="19" t="n"/>
      <c r="R6952" s="19" t="n"/>
      <c r="Y6952" s="19" t="n"/>
    </row>
    <row r="6953">
      <c r="C6953" s="18" t="n"/>
      <c r="J6953" s="19" t="n"/>
      <c r="P6953" s="20" t="n"/>
      <c r="Q6953" s="19" t="n"/>
      <c r="R6953" s="19" t="n"/>
      <c r="Y6953" s="19" t="n"/>
    </row>
    <row r="6954">
      <c r="C6954" s="18" t="n"/>
      <c r="J6954" s="19" t="n"/>
      <c r="P6954" s="20" t="n"/>
      <c r="Q6954" s="19" t="n"/>
      <c r="R6954" s="19" t="n"/>
      <c r="Y6954" s="19" t="n"/>
    </row>
    <row r="6955">
      <c r="C6955" s="18" t="n"/>
      <c r="J6955" s="19" t="n"/>
      <c r="P6955" s="20" t="n"/>
      <c r="Q6955" s="19" t="n"/>
      <c r="R6955" s="19" t="n"/>
      <c r="Y6955" s="19" t="n"/>
    </row>
    <row r="6956">
      <c r="C6956" s="18" t="n"/>
      <c r="J6956" s="19" t="n"/>
      <c r="P6956" s="20" t="n"/>
      <c r="Q6956" s="19" t="n"/>
      <c r="R6956" s="19" t="n"/>
      <c r="Y6956" s="19" t="n"/>
    </row>
    <row r="6957">
      <c r="C6957" s="18" t="n"/>
      <c r="J6957" s="19" t="n"/>
      <c r="P6957" s="20" t="n"/>
      <c r="Q6957" s="19" t="n"/>
      <c r="R6957" s="19" t="n"/>
      <c r="Y6957" s="19" t="n"/>
    </row>
    <row r="6958">
      <c r="C6958" s="18" t="n"/>
      <c r="J6958" s="19" t="n"/>
      <c r="P6958" s="20" t="n"/>
      <c r="Q6958" s="19" t="n"/>
      <c r="R6958" s="19" t="n"/>
      <c r="Y6958" s="19" t="n"/>
    </row>
    <row r="6959">
      <c r="C6959" s="18" t="n"/>
      <c r="J6959" s="19" t="n"/>
      <c r="P6959" s="20" t="n"/>
      <c r="Q6959" s="19" t="n"/>
      <c r="R6959" s="19" t="n"/>
      <c r="Y6959" s="19" t="n"/>
    </row>
    <row r="6960">
      <c r="C6960" s="18" t="n"/>
      <c r="J6960" s="19" t="n"/>
      <c r="P6960" s="20" t="n"/>
      <c r="Q6960" s="19" t="n"/>
      <c r="R6960" s="19" t="n"/>
      <c r="Y6960" s="19" t="n"/>
    </row>
    <row r="6961">
      <c r="C6961" s="18" t="n"/>
      <c r="J6961" s="19" t="n"/>
      <c r="P6961" s="20" t="n"/>
      <c r="Q6961" s="19" t="n"/>
      <c r="R6961" s="19" t="n"/>
      <c r="Y6961" s="19" t="n"/>
    </row>
    <row r="6962">
      <c r="C6962" s="18" t="n"/>
      <c r="J6962" s="19" t="n"/>
      <c r="P6962" s="20" t="n"/>
      <c r="Q6962" s="19" t="n"/>
      <c r="R6962" s="19" t="n"/>
      <c r="Y6962" s="19" t="n"/>
    </row>
    <row r="6963">
      <c r="C6963" s="18" t="n"/>
      <c r="J6963" s="19" t="n"/>
      <c r="P6963" s="20" t="n"/>
      <c r="Q6963" s="19" t="n"/>
      <c r="R6963" s="19" t="n"/>
      <c r="Y6963" s="19" t="n"/>
    </row>
    <row r="6964">
      <c r="C6964" s="18" t="n"/>
      <c r="J6964" s="19" t="n"/>
      <c r="P6964" s="20" t="n"/>
      <c r="Q6964" s="19" t="n"/>
      <c r="R6964" s="19" t="n"/>
      <c r="Y6964" s="19" t="n"/>
    </row>
    <row r="6965">
      <c r="C6965" s="18" t="n"/>
      <c r="J6965" s="19" t="n"/>
      <c r="P6965" s="20" t="n"/>
      <c r="Q6965" s="19" t="n"/>
      <c r="R6965" s="19" t="n"/>
      <c r="Y6965" s="19" t="n"/>
    </row>
    <row r="6966">
      <c r="C6966" s="18" t="n"/>
      <c r="J6966" s="19" t="n"/>
      <c r="P6966" s="20" t="n"/>
      <c r="Q6966" s="19" t="n"/>
      <c r="R6966" s="19" t="n"/>
      <c r="Y6966" s="19" t="n"/>
    </row>
    <row r="6967">
      <c r="C6967" s="18" t="n"/>
      <c r="J6967" s="19" t="n"/>
      <c r="P6967" s="20" t="n"/>
      <c r="Q6967" s="19" t="n"/>
      <c r="R6967" s="19" t="n"/>
      <c r="Y6967" s="19" t="n"/>
    </row>
    <row r="6968">
      <c r="C6968" s="18" t="n"/>
      <c r="J6968" s="19" t="n"/>
      <c r="P6968" s="20" t="n"/>
      <c r="Q6968" s="19" t="n"/>
      <c r="R6968" s="19" t="n"/>
      <c r="Y6968" s="19" t="n"/>
    </row>
    <row r="6969">
      <c r="C6969" s="18" t="n"/>
      <c r="J6969" s="19" t="n"/>
      <c r="P6969" s="20" t="n"/>
      <c r="Q6969" s="19" t="n"/>
      <c r="R6969" s="19" t="n"/>
      <c r="Y6969" s="19" t="n"/>
    </row>
    <row r="6970">
      <c r="C6970" s="18" t="n"/>
      <c r="J6970" s="19" t="n"/>
      <c r="P6970" s="20" t="n"/>
      <c r="Q6970" s="19" t="n"/>
      <c r="R6970" s="19" t="n"/>
      <c r="Y6970" s="19" t="n"/>
    </row>
    <row r="6971">
      <c r="C6971" s="18" t="n"/>
      <c r="J6971" s="19" t="n"/>
      <c r="P6971" s="20" t="n"/>
      <c r="Q6971" s="19" t="n"/>
      <c r="R6971" s="19" t="n"/>
      <c r="Y6971" s="19" t="n"/>
    </row>
    <row r="6972">
      <c r="C6972" s="18" t="n"/>
      <c r="J6972" s="19" t="n"/>
      <c r="P6972" s="20" t="n"/>
      <c r="Q6972" s="19" t="n"/>
      <c r="R6972" s="19" t="n"/>
      <c r="Y6972" s="19" t="n"/>
    </row>
    <row r="6973">
      <c r="C6973" s="18" t="n"/>
      <c r="J6973" s="19" t="n"/>
      <c r="P6973" s="20" t="n"/>
      <c r="Q6973" s="19" t="n"/>
      <c r="R6973" s="19" t="n"/>
      <c r="Y6973" s="19" t="n"/>
    </row>
    <row r="6974">
      <c r="C6974" s="18" t="n"/>
      <c r="J6974" s="19" t="n"/>
      <c r="P6974" s="20" t="n"/>
      <c r="Q6974" s="19" t="n"/>
      <c r="R6974" s="19" t="n"/>
      <c r="Y6974" s="19" t="n"/>
    </row>
    <row r="6975">
      <c r="C6975" s="18" t="n"/>
      <c r="J6975" s="19" t="n"/>
      <c r="P6975" s="20" t="n"/>
      <c r="Q6975" s="19" t="n"/>
      <c r="R6975" s="19" t="n"/>
      <c r="Y6975" s="19" t="n"/>
    </row>
    <row r="6976">
      <c r="C6976" s="18" t="n"/>
      <c r="J6976" s="19" t="n"/>
      <c r="P6976" s="20" t="n"/>
      <c r="Q6976" s="19" t="n"/>
      <c r="R6976" s="19" t="n"/>
      <c r="Y6976" s="19" t="n"/>
    </row>
    <row r="6977">
      <c r="C6977" s="18" t="n"/>
      <c r="J6977" s="19" t="n"/>
      <c r="P6977" s="20" t="n"/>
      <c r="Q6977" s="19" t="n"/>
      <c r="R6977" s="19" t="n"/>
      <c r="Y6977" s="19" t="n"/>
    </row>
    <row r="6978">
      <c r="C6978" s="18" t="n"/>
      <c r="J6978" s="19" t="n"/>
      <c r="P6978" s="20" t="n"/>
      <c r="Q6978" s="19" t="n"/>
      <c r="R6978" s="19" t="n"/>
      <c r="Y6978" s="19" t="n"/>
    </row>
    <row r="6979">
      <c r="C6979" s="18" t="n"/>
      <c r="J6979" s="19" t="n"/>
      <c r="P6979" s="20" t="n"/>
      <c r="Q6979" s="19" t="n"/>
      <c r="R6979" s="19" t="n"/>
      <c r="Y6979" s="19" t="n"/>
    </row>
    <row r="6980">
      <c r="C6980" s="18" t="n"/>
      <c r="J6980" s="19" t="n"/>
      <c r="P6980" s="20" t="n"/>
      <c r="Q6980" s="19" t="n"/>
      <c r="R6980" s="19" t="n"/>
      <c r="Y6980" s="19" t="n"/>
    </row>
    <row r="6981">
      <c r="C6981" s="18" t="n"/>
      <c r="J6981" s="19" t="n"/>
      <c r="P6981" s="20" t="n"/>
      <c r="Q6981" s="19" t="n"/>
      <c r="R6981" s="19" t="n"/>
      <c r="Y6981" s="19" t="n"/>
    </row>
    <row r="6982">
      <c r="C6982" s="18" t="n"/>
      <c r="J6982" s="19" t="n"/>
      <c r="P6982" s="20" t="n"/>
      <c r="Q6982" s="19" t="n"/>
      <c r="R6982" s="19" t="n"/>
      <c r="Y6982" s="19" t="n"/>
    </row>
    <row r="6983">
      <c r="C6983" s="18" t="n"/>
      <c r="J6983" s="19" t="n"/>
      <c r="P6983" s="20" t="n"/>
      <c r="Q6983" s="19" t="n"/>
      <c r="R6983" s="19" t="n"/>
      <c r="Y6983" s="19" t="n"/>
    </row>
    <row r="6984">
      <c r="C6984" s="18" t="n"/>
      <c r="J6984" s="19" t="n"/>
      <c r="P6984" s="20" t="n"/>
      <c r="Q6984" s="19" t="n"/>
      <c r="R6984" s="19" t="n"/>
      <c r="Y6984" s="19" t="n"/>
    </row>
    <row r="6985">
      <c r="C6985" s="18" t="n"/>
      <c r="J6985" s="19" t="n"/>
      <c r="P6985" s="20" t="n"/>
      <c r="Q6985" s="19" t="n"/>
      <c r="R6985" s="19" t="n"/>
      <c r="Y6985" s="19" t="n"/>
    </row>
    <row r="6986">
      <c r="C6986" s="18" t="n"/>
      <c r="J6986" s="19" t="n"/>
      <c r="P6986" s="20" t="n"/>
      <c r="Q6986" s="19" t="n"/>
      <c r="R6986" s="19" t="n"/>
      <c r="Y6986" s="19" t="n"/>
    </row>
    <row r="6987">
      <c r="C6987" s="18" t="n"/>
      <c r="J6987" s="19" t="n"/>
      <c r="P6987" s="20" t="n"/>
      <c r="Q6987" s="19" t="n"/>
      <c r="R6987" s="19" t="n"/>
      <c r="Y6987" s="19" t="n"/>
    </row>
    <row r="6988">
      <c r="C6988" s="18" t="n"/>
      <c r="J6988" s="19" t="n"/>
      <c r="P6988" s="20" t="n"/>
      <c r="Q6988" s="19" t="n"/>
      <c r="R6988" s="19" t="n"/>
      <c r="Y6988" s="19" t="n"/>
    </row>
    <row r="6989">
      <c r="C6989" s="18" t="n"/>
      <c r="J6989" s="19" t="n"/>
      <c r="P6989" s="20" t="n"/>
      <c r="Q6989" s="19" t="n"/>
      <c r="R6989" s="19" t="n"/>
      <c r="Y6989" s="19" t="n"/>
    </row>
    <row r="6990">
      <c r="C6990" s="18" t="n"/>
      <c r="J6990" s="19" t="n"/>
      <c r="P6990" s="20" t="n"/>
      <c r="Q6990" s="19" t="n"/>
      <c r="R6990" s="19" t="n"/>
      <c r="Y6990" s="19" t="n"/>
    </row>
    <row r="6991">
      <c r="C6991" s="18" t="n"/>
      <c r="J6991" s="19" t="n"/>
      <c r="P6991" s="20" t="n"/>
      <c r="Q6991" s="19" t="n"/>
      <c r="R6991" s="19" t="n"/>
      <c r="Y6991" s="19" t="n"/>
    </row>
    <row r="6992">
      <c r="C6992" s="18" t="n"/>
      <c r="J6992" s="19" t="n"/>
      <c r="P6992" s="20" t="n"/>
      <c r="Q6992" s="19" t="n"/>
      <c r="R6992" s="19" t="n"/>
      <c r="Y6992" s="19" t="n"/>
    </row>
    <row r="6993">
      <c r="C6993" s="18" t="n"/>
      <c r="J6993" s="19" t="n"/>
      <c r="P6993" s="20" t="n"/>
      <c r="Q6993" s="19" t="n"/>
      <c r="R6993" s="19" t="n"/>
      <c r="Y6993" s="19" t="n"/>
    </row>
    <row r="6994">
      <c r="C6994" s="18" t="n"/>
      <c r="J6994" s="19" t="n"/>
      <c r="P6994" s="20" t="n"/>
      <c r="Q6994" s="19" t="n"/>
      <c r="R6994" s="19" t="n"/>
      <c r="Y6994" s="19" t="n"/>
    </row>
    <row r="6995">
      <c r="C6995" s="18" t="n"/>
      <c r="J6995" s="19" t="n"/>
      <c r="P6995" s="20" t="n"/>
      <c r="Q6995" s="19" t="n"/>
      <c r="R6995" s="19" t="n"/>
      <c r="Y6995" s="19" t="n"/>
    </row>
    <row r="6996">
      <c r="C6996" s="18" t="n"/>
      <c r="J6996" s="19" t="n"/>
      <c r="P6996" s="20" t="n"/>
      <c r="Q6996" s="19" t="n"/>
      <c r="R6996" s="19" t="n"/>
      <c r="Y6996" s="19" t="n"/>
    </row>
    <row r="6997">
      <c r="C6997" s="18" t="n"/>
      <c r="J6997" s="19" t="n"/>
      <c r="P6997" s="20" t="n"/>
      <c r="Q6997" s="19" t="n"/>
      <c r="R6997" s="19" t="n"/>
      <c r="Y6997" s="19" t="n"/>
    </row>
    <row r="6998">
      <c r="C6998" s="18" t="n"/>
      <c r="J6998" s="19" t="n"/>
      <c r="P6998" s="20" t="n"/>
      <c r="Q6998" s="19" t="n"/>
      <c r="R6998" s="19" t="n"/>
      <c r="Y6998" s="19" t="n"/>
    </row>
    <row r="6999">
      <c r="C6999" s="18" t="n"/>
      <c r="J6999" s="19" t="n"/>
      <c r="P6999" s="20" t="n"/>
      <c r="Q6999" s="19" t="n"/>
      <c r="R6999" s="19" t="n"/>
      <c r="Y6999" s="19" t="n"/>
    </row>
    <row r="7000">
      <c r="C7000" s="18" t="n"/>
      <c r="J7000" s="19" t="n"/>
      <c r="P7000" s="20" t="n"/>
      <c r="Q7000" s="19" t="n"/>
      <c r="R7000" s="19" t="n"/>
      <c r="Y7000" s="19" t="n"/>
    </row>
    <row r="7001">
      <c r="C7001" s="18" t="n"/>
      <c r="J7001" s="19" t="n"/>
      <c r="P7001" s="20" t="n"/>
      <c r="Q7001" s="19" t="n"/>
      <c r="R7001" s="19" t="n"/>
      <c r="Y7001" s="19" t="n"/>
    </row>
    <row r="7002">
      <c r="C7002" s="18" t="n"/>
      <c r="J7002" s="19" t="n"/>
      <c r="P7002" s="20" t="n"/>
      <c r="Q7002" s="19" t="n"/>
      <c r="R7002" s="19" t="n"/>
      <c r="Y7002" s="19" t="n"/>
    </row>
    <row r="7003">
      <c r="C7003" s="18" t="n"/>
      <c r="J7003" s="19" t="n"/>
      <c r="P7003" s="20" t="n"/>
      <c r="Q7003" s="19" t="n"/>
      <c r="R7003" s="19" t="n"/>
      <c r="Y7003" s="19" t="n"/>
    </row>
    <row r="7004">
      <c r="C7004" s="18" t="n"/>
      <c r="J7004" s="19" t="n"/>
      <c r="P7004" s="20" t="n"/>
      <c r="Q7004" s="19" t="n"/>
      <c r="R7004" s="19" t="n"/>
      <c r="Y7004" s="19" t="n"/>
    </row>
    <row r="7005">
      <c r="C7005" s="18" t="n"/>
      <c r="J7005" s="19" t="n"/>
      <c r="P7005" s="20" t="n"/>
      <c r="Q7005" s="19" t="n"/>
      <c r="R7005" s="19" t="n"/>
      <c r="Y7005" s="19" t="n"/>
    </row>
    <row r="7006">
      <c r="C7006" s="18" t="n"/>
      <c r="J7006" s="19" t="n"/>
      <c r="P7006" s="20" t="n"/>
      <c r="Q7006" s="19" t="n"/>
      <c r="R7006" s="19" t="n"/>
      <c r="Y7006" s="19" t="n"/>
    </row>
    <row r="7007">
      <c r="C7007" s="18" t="n"/>
      <c r="J7007" s="19" t="n"/>
      <c r="P7007" s="20" t="n"/>
      <c r="Q7007" s="19" t="n"/>
      <c r="R7007" s="19" t="n"/>
      <c r="Y7007" s="19" t="n"/>
    </row>
    <row r="7008">
      <c r="C7008" s="18" t="n"/>
      <c r="J7008" s="19" t="n"/>
      <c r="P7008" s="20" t="n"/>
      <c r="Q7008" s="19" t="n"/>
      <c r="R7008" s="19" t="n"/>
      <c r="Y7008" s="19" t="n"/>
    </row>
    <row r="7009">
      <c r="C7009" s="18" t="n"/>
      <c r="J7009" s="19" t="n"/>
      <c r="P7009" s="20" t="n"/>
      <c r="Q7009" s="19" t="n"/>
      <c r="R7009" s="19" t="n"/>
      <c r="Y7009" s="19" t="n"/>
    </row>
    <row r="7010">
      <c r="C7010" s="18" t="n"/>
      <c r="J7010" s="19" t="n"/>
      <c r="P7010" s="20" t="n"/>
      <c r="Q7010" s="19" t="n"/>
      <c r="R7010" s="19" t="n"/>
      <c r="Y7010" s="19" t="n"/>
    </row>
    <row r="7011">
      <c r="C7011" s="18" t="n"/>
      <c r="J7011" s="19" t="n"/>
      <c r="P7011" s="20" t="n"/>
      <c r="Q7011" s="19" t="n"/>
      <c r="R7011" s="19" t="n"/>
      <c r="Y7011" s="19" t="n"/>
    </row>
    <row r="7012">
      <c r="C7012" s="18" t="n"/>
      <c r="J7012" s="19" t="n"/>
      <c r="P7012" s="20" t="n"/>
      <c r="Q7012" s="19" t="n"/>
      <c r="R7012" s="19" t="n"/>
      <c r="Y7012" s="19" t="n"/>
    </row>
    <row r="7013">
      <c r="C7013" s="18" t="n"/>
      <c r="J7013" s="19" t="n"/>
      <c r="P7013" s="20" t="n"/>
      <c r="Q7013" s="19" t="n"/>
      <c r="R7013" s="19" t="n"/>
      <c r="Y7013" s="19" t="n"/>
    </row>
    <row r="7014">
      <c r="C7014" s="18" t="n"/>
      <c r="J7014" s="19" t="n"/>
      <c r="P7014" s="20" t="n"/>
      <c r="Q7014" s="19" t="n"/>
      <c r="R7014" s="19" t="n"/>
      <c r="Y7014" s="19" t="n"/>
    </row>
    <row r="7015">
      <c r="C7015" s="18" t="n"/>
      <c r="J7015" s="19" t="n"/>
      <c r="P7015" s="20" t="n"/>
      <c r="Q7015" s="19" t="n"/>
      <c r="R7015" s="19" t="n"/>
      <c r="Y7015" s="19" t="n"/>
    </row>
    <row r="7016">
      <c r="C7016" s="18" t="n"/>
      <c r="J7016" s="19" t="n"/>
      <c r="P7016" s="20" t="n"/>
      <c r="Q7016" s="19" t="n"/>
      <c r="R7016" s="19" t="n"/>
      <c r="Y7016" s="19" t="n"/>
    </row>
    <row r="7017">
      <c r="C7017" s="18" t="n"/>
      <c r="J7017" s="19" t="n"/>
      <c r="P7017" s="20" t="n"/>
      <c r="Q7017" s="19" t="n"/>
      <c r="R7017" s="19" t="n"/>
      <c r="Y7017" s="19" t="n"/>
    </row>
    <row r="7018">
      <c r="C7018" s="18" t="n"/>
      <c r="J7018" s="19" t="n"/>
      <c r="P7018" s="20" t="n"/>
      <c r="Q7018" s="19" t="n"/>
      <c r="R7018" s="19" t="n"/>
      <c r="Y7018" s="19" t="n"/>
    </row>
    <row r="7019">
      <c r="C7019" s="18" t="n"/>
      <c r="J7019" s="19" t="n"/>
      <c r="P7019" s="20" t="n"/>
      <c r="Q7019" s="19" t="n"/>
      <c r="R7019" s="19" t="n"/>
      <c r="Y7019" s="19" t="n"/>
    </row>
    <row r="7020">
      <c r="C7020" s="18" t="n"/>
      <c r="J7020" s="19" t="n"/>
      <c r="P7020" s="20" t="n"/>
      <c r="Q7020" s="19" t="n"/>
      <c r="R7020" s="19" t="n"/>
      <c r="Y7020" s="19" t="n"/>
    </row>
    <row r="7021">
      <c r="C7021" s="18" t="n"/>
      <c r="J7021" s="19" t="n"/>
      <c r="P7021" s="20" t="n"/>
      <c r="Q7021" s="19" t="n"/>
      <c r="R7021" s="19" t="n"/>
      <c r="Y7021" s="19" t="n"/>
    </row>
    <row r="7022">
      <c r="C7022" s="18" t="n"/>
      <c r="J7022" s="19" t="n"/>
      <c r="P7022" s="20" t="n"/>
      <c r="Q7022" s="19" t="n"/>
      <c r="R7022" s="19" t="n"/>
      <c r="Y7022" s="19" t="n"/>
    </row>
    <row r="7023">
      <c r="C7023" s="18" t="n"/>
      <c r="J7023" s="19" t="n"/>
      <c r="P7023" s="20" t="n"/>
      <c r="Q7023" s="19" t="n"/>
      <c r="R7023" s="19" t="n"/>
      <c r="Y7023" s="19" t="n"/>
    </row>
    <row r="7024">
      <c r="C7024" s="18" t="n"/>
      <c r="J7024" s="19" t="n"/>
      <c r="P7024" s="20" t="n"/>
      <c r="Q7024" s="19" t="n"/>
      <c r="R7024" s="19" t="n"/>
      <c r="Y7024" s="19" t="n"/>
    </row>
    <row r="7025">
      <c r="C7025" s="18" t="n"/>
      <c r="J7025" s="19" t="n"/>
      <c r="P7025" s="20" t="n"/>
      <c r="Q7025" s="19" t="n"/>
      <c r="R7025" s="19" t="n"/>
      <c r="Y7025" s="19" t="n"/>
    </row>
    <row r="7026">
      <c r="C7026" s="18" t="n"/>
      <c r="J7026" s="19" t="n"/>
      <c r="P7026" s="20" t="n"/>
      <c r="Q7026" s="19" t="n"/>
      <c r="R7026" s="19" t="n"/>
      <c r="Y7026" s="19" t="n"/>
    </row>
    <row r="7027">
      <c r="C7027" s="18" t="n"/>
      <c r="J7027" s="19" t="n"/>
      <c r="P7027" s="20" t="n"/>
      <c r="Q7027" s="19" t="n"/>
      <c r="R7027" s="19" t="n"/>
      <c r="Y7027" s="19" t="n"/>
    </row>
    <row r="7028">
      <c r="C7028" s="18" t="n"/>
      <c r="J7028" s="19" t="n"/>
      <c r="P7028" s="20" t="n"/>
      <c r="Q7028" s="19" t="n"/>
      <c r="R7028" s="19" t="n"/>
      <c r="Y7028" s="19" t="n"/>
    </row>
    <row r="7029">
      <c r="C7029" s="18" t="n"/>
      <c r="J7029" s="19" t="n"/>
      <c r="P7029" s="20" t="n"/>
      <c r="Q7029" s="19" t="n"/>
      <c r="R7029" s="19" t="n"/>
      <c r="Y7029" s="19" t="n"/>
    </row>
    <row r="7030">
      <c r="C7030" s="18" t="n"/>
      <c r="J7030" s="19" t="n"/>
      <c r="P7030" s="20" t="n"/>
      <c r="Q7030" s="19" t="n"/>
      <c r="R7030" s="19" t="n"/>
      <c r="Y7030" s="19" t="n"/>
    </row>
    <row r="7031">
      <c r="C7031" s="18" t="n"/>
      <c r="J7031" s="19" t="n"/>
      <c r="P7031" s="20" t="n"/>
      <c r="Q7031" s="19" t="n"/>
      <c r="R7031" s="19" t="n"/>
      <c r="Y7031" s="19" t="n"/>
    </row>
    <row r="7032">
      <c r="C7032" s="18" t="n"/>
      <c r="J7032" s="19" t="n"/>
      <c r="P7032" s="20" t="n"/>
      <c r="Q7032" s="19" t="n"/>
      <c r="R7032" s="19" t="n"/>
      <c r="Y7032" s="19" t="n"/>
    </row>
    <row r="7033">
      <c r="C7033" s="18" t="n"/>
      <c r="J7033" s="19" t="n"/>
      <c r="P7033" s="20" t="n"/>
      <c r="Q7033" s="19" t="n"/>
      <c r="R7033" s="19" t="n"/>
      <c r="Y7033" s="19" t="n"/>
    </row>
    <row r="7034">
      <c r="C7034" s="18" t="n"/>
      <c r="J7034" s="19" t="n"/>
      <c r="P7034" s="20" t="n"/>
      <c r="Q7034" s="19" t="n"/>
      <c r="R7034" s="19" t="n"/>
      <c r="Y7034" s="19" t="n"/>
    </row>
    <row r="7035">
      <c r="C7035" s="18" t="n"/>
      <c r="J7035" s="19" t="n"/>
      <c r="P7035" s="20" t="n"/>
      <c r="Q7035" s="19" t="n"/>
      <c r="R7035" s="19" t="n"/>
      <c r="Y7035" s="19" t="n"/>
    </row>
    <row r="7036">
      <c r="C7036" s="18" t="n"/>
      <c r="J7036" s="19" t="n"/>
      <c r="P7036" s="20" t="n"/>
      <c r="Q7036" s="19" t="n"/>
      <c r="R7036" s="19" t="n"/>
      <c r="Y7036" s="19" t="n"/>
    </row>
    <row r="7037">
      <c r="C7037" s="18" t="n"/>
      <c r="J7037" s="19" t="n"/>
      <c r="P7037" s="20" t="n"/>
      <c r="Q7037" s="19" t="n"/>
      <c r="R7037" s="19" t="n"/>
      <c r="Y7037" s="19" t="n"/>
    </row>
    <row r="7038">
      <c r="C7038" s="18" t="n"/>
      <c r="J7038" s="19" t="n"/>
      <c r="P7038" s="20" t="n"/>
      <c r="Q7038" s="19" t="n"/>
      <c r="R7038" s="19" t="n"/>
      <c r="Y7038" s="19" t="n"/>
    </row>
    <row r="7039">
      <c r="C7039" s="18" t="n"/>
      <c r="J7039" s="19" t="n"/>
      <c r="P7039" s="20" t="n"/>
      <c r="Q7039" s="19" t="n"/>
      <c r="R7039" s="19" t="n"/>
      <c r="Y7039" s="19" t="n"/>
    </row>
    <row r="7040">
      <c r="C7040" s="18" t="n"/>
      <c r="J7040" s="19" t="n"/>
      <c r="P7040" s="20" t="n"/>
      <c r="Q7040" s="19" t="n"/>
      <c r="R7040" s="19" t="n"/>
      <c r="Y7040" s="19" t="n"/>
    </row>
    <row r="7041">
      <c r="C7041" s="18" t="n"/>
      <c r="J7041" s="19" t="n"/>
      <c r="P7041" s="20" t="n"/>
      <c r="Q7041" s="19" t="n"/>
      <c r="R7041" s="19" t="n"/>
      <c r="Y7041" s="19" t="n"/>
    </row>
    <row r="7042">
      <c r="C7042" s="18" t="n"/>
      <c r="J7042" s="19" t="n"/>
      <c r="P7042" s="20" t="n"/>
      <c r="Q7042" s="19" t="n"/>
      <c r="R7042" s="19" t="n"/>
      <c r="Y7042" s="19" t="n"/>
    </row>
    <row r="7043">
      <c r="C7043" s="18" t="n"/>
      <c r="J7043" s="19" t="n"/>
      <c r="P7043" s="20" t="n"/>
      <c r="Q7043" s="19" t="n"/>
      <c r="R7043" s="19" t="n"/>
      <c r="Y7043" s="19" t="n"/>
    </row>
    <row r="7044">
      <c r="C7044" s="18" t="n"/>
      <c r="J7044" s="19" t="n"/>
      <c r="P7044" s="20" t="n"/>
      <c r="Q7044" s="19" t="n"/>
      <c r="R7044" s="19" t="n"/>
      <c r="Y7044" s="19" t="n"/>
    </row>
    <row r="7045">
      <c r="C7045" s="18" t="n"/>
      <c r="J7045" s="19" t="n"/>
      <c r="P7045" s="20" t="n"/>
      <c r="Q7045" s="19" t="n"/>
      <c r="R7045" s="19" t="n"/>
      <c r="Y7045" s="19" t="n"/>
    </row>
    <row r="7046">
      <c r="C7046" s="18" t="n"/>
      <c r="J7046" s="19" t="n"/>
      <c r="P7046" s="20" t="n"/>
      <c r="Q7046" s="19" t="n"/>
      <c r="R7046" s="19" t="n"/>
      <c r="Y7046" s="19" t="n"/>
    </row>
    <row r="7047">
      <c r="C7047" s="18" t="n"/>
      <c r="J7047" s="19" t="n"/>
      <c r="P7047" s="20" t="n"/>
      <c r="Q7047" s="19" t="n"/>
      <c r="R7047" s="19" t="n"/>
      <c r="Y7047" s="19" t="n"/>
    </row>
    <row r="7048">
      <c r="C7048" s="18" t="n"/>
      <c r="J7048" s="19" t="n"/>
      <c r="P7048" s="20" t="n"/>
      <c r="Q7048" s="19" t="n"/>
      <c r="R7048" s="19" t="n"/>
      <c r="Y7048" s="19" t="n"/>
    </row>
    <row r="7049">
      <c r="C7049" s="18" t="n"/>
      <c r="J7049" s="19" t="n"/>
      <c r="P7049" s="20" t="n"/>
      <c r="Q7049" s="19" t="n"/>
      <c r="R7049" s="19" t="n"/>
      <c r="Y7049" s="19" t="n"/>
    </row>
    <row r="7050">
      <c r="C7050" s="18" t="n"/>
      <c r="J7050" s="19" t="n"/>
      <c r="P7050" s="20" t="n"/>
      <c r="Q7050" s="19" t="n"/>
      <c r="R7050" s="19" t="n"/>
      <c r="Y7050" s="19" t="n"/>
    </row>
    <row r="7051">
      <c r="C7051" s="18" t="n"/>
      <c r="J7051" s="19" t="n"/>
      <c r="P7051" s="20" t="n"/>
      <c r="Q7051" s="19" t="n"/>
      <c r="R7051" s="19" t="n"/>
      <c r="Y7051" s="19" t="n"/>
    </row>
    <row r="7052">
      <c r="C7052" s="18" t="n"/>
      <c r="J7052" s="19" t="n"/>
      <c r="P7052" s="20" t="n"/>
      <c r="Q7052" s="19" t="n"/>
      <c r="R7052" s="19" t="n"/>
      <c r="Y7052" s="19" t="n"/>
    </row>
    <row r="7053">
      <c r="C7053" s="18" t="n"/>
      <c r="J7053" s="19" t="n"/>
      <c r="P7053" s="20" t="n"/>
      <c r="Q7053" s="19" t="n"/>
      <c r="R7053" s="19" t="n"/>
      <c r="Y7053" s="19" t="n"/>
    </row>
    <row r="7054">
      <c r="C7054" s="18" t="n"/>
      <c r="J7054" s="19" t="n"/>
      <c r="P7054" s="20" t="n"/>
      <c r="Q7054" s="19" t="n"/>
      <c r="R7054" s="19" t="n"/>
      <c r="Y7054" s="19" t="n"/>
    </row>
    <row r="7055">
      <c r="C7055" s="18" t="n"/>
      <c r="J7055" s="19" t="n"/>
      <c r="P7055" s="20" t="n"/>
      <c r="Q7055" s="19" t="n"/>
      <c r="R7055" s="19" t="n"/>
      <c r="Y7055" s="19" t="n"/>
    </row>
    <row r="7056">
      <c r="C7056" s="18" t="n"/>
      <c r="J7056" s="19" t="n"/>
      <c r="P7056" s="20" t="n"/>
      <c r="Q7056" s="19" t="n"/>
      <c r="R7056" s="19" t="n"/>
      <c r="Y7056" s="19" t="n"/>
    </row>
    <row r="7057">
      <c r="C7057" s="18" t="n"/>
      <c r="J7057" s="19" t="n"/>
      <c r="P7057" s="20" t="n"/>
      <c r="Q7057" s="19" t="n"/>
      <c r="R7057" s="19" t="n"/>
      <c r="Y7057" s="19" t="n"/>
    </row>
    <row r="7058">
      <c r="C7058" s="18" t="n"/>
      <c r="J7058" s="19" t="n"/>
      <c r="P7058" s="20" t="n"/>
      <c r="Q7058" s="19" t="n"/>
      <c r="R7058" s="19" t="n"/>
      <c r="Y7058" s="19" t="n"/>
    </row>
    <row r="7059">
      <c r="C7059" s="18" t="n"/>
      <c r="J7059" s="19" t="n"/>
      <c r="P7059" s="20" t="n"/>
      <c r="Q7059" s="19" t="n"/>
      <c r="R7059" s="19" t="n"/>
      <c r="Y7059" s="19" t="n"/>
    </row>
    <row r="7060">
      <c r="C7060" s="18" t="n"/>
      <c r="J7060" s="19" t="n"/>
      <c r="P7060" s="20" t="n"/>
      <c r="Q7060" s="19" t="n"/>
      <c r="R7060" s="19" t="n"/>
      <c r="Y7060" s="19" t="n"/>
    </row>
    <row r="7061">
      <c r="C7061" s="18" t="n"/>
      <c r="J7061" s="19" t="n"/>
      <c r="P7061" s="20" t="n"/>
      <c r="Q7061" s="19" t="n"/>
      <c r="R7061" s="19" t="n"/>
      <c r="Y7061" s="19" t="n"/>
    </row>
    <row r="7062">
      <c r="C7062" s="18" t="n"/>
      <c r="J7062" s="19" t="n"/>
      <c r="P7062" s="20" t="n"/>
      <c r="Q7062" s="19" t="n"/>
      <c r="R7062" s="19" t="n"/>
      <c r="Y7062" s="19" t="n"/>
    </row>
    <row r="7063">
      <c r="C7063" s="18" t="n"/>
      <c r="J7063" s="19" t="n"/>
      <c r="P7063" s="20" t="n"/>
      <c r="Q7063" s="19" t="n"/>
      <c r="R7063" s="19" t="n"/>
      <c r="Y7063" s="19" t="n"/>
    </row>
    <row r="7064">
      <c r="C7064" s="18" t="n"/>
      <c r="J7064" s="19" t="n"/>
      <c r="P7064" s="20" t="n"/>
      <c r="Q7064" s="19" t="n"/>
      <c r="R7064" s="19" t="n"/>
      <c r="Y7064" s="19" t="n"/>
    </row>
    <row r="7065">
      <c r="C7065" s="18" t="n"/>
      <c r="J7065" s="19" t="n"/>
      <c r="P7065" s="20" t="n"/>
      <c r="Q7065" s="19" t="n"/>
      <c r="R7065" s="19" t="n"/>
      <c r="Y7065" s="19" t="n"/>
    </row>
    <row r="7066">
      <c r="C7066" s="18" t="n"/>
      <c r="J7066" s="19" t="n"/>
      <c r="P7066" s="20" t="n"/>
      <c r="Q7066" s="19" t="n"/>
      <c r="R7066" s="19" t="n"/>
      <c r="Y7066" s="19" t="n"/>
    </row>
    <row r="7067">
      <c r="C7067" s="18" t="n"/>
      <c r="J7067" s="19" t="n"/>
      <c r="P7067" s="20" t="n"/>
      <c r="Q7067" s="19" t="n"/>
      <c r="R7067" s="19" t="n"/>
      <c r="Y7067" s="19" t="n"/>
    </row>
    <row r="7068">
      <c r="C7068" s="18" t="n"/>
      <c r="J7068" s="19" t="n"/>
      <c r="P7068" s="20" t="n"/>
      <c r="Q7068" s="19" t="n"/>
      <c r="R7068" s="19" t="n"/>
      <c r="Y7068" s="19" t="n"/>
    </row>
    <row r="7069">
      <c r="C7069" s="18" t="n"/>
      <c r="J7069" s="19" t="n"/>
      <c r="P7069" s="20" t="n"/>
      <c r="Q7069" s="19" t="n"/>
      <c r="R7069" s="19" t="n"/>
      <c r="Y7069" s="19" t="n"/>
    </row>
    <row r="7070">
      <c r="C7070" s="18" t="n"/>
      <c r="J7070" s="19" t="n"/>
      <c r="P7070" s="20" t="n"/>
      <c r="Q7070" s="19" t="n"/>
      <c r="R7070" s="19" t="n"/>
      <c r="Y7070" s="19" t="n"/>
    </row>
    <row r="7071">
      <c r="C7071" s="18" t="n"/>
      <c r="J7071" s="19" t="n"/>
      <c r="P7071" s="20" t="n"/>
      <c r="Q7071" s="19" t="n"/>
      <c r="R7071" s="19" t="n"/>
      <c r="Y7071" s="19" t="n"/>
    </row>
    <row r="7072">
      <c r="C7072" s="18" t="n"/>
      <c r="J7072" s="19" t="n"/>
      <c r="P7072" s="20" t="n"/>
      <c r="Q7072" s="19" t="n"/>
      <c r="R7072" s="19" t="n"/>
      <c r="Y7072" s="19" t="n"/>
    </row>
    <row r="7073">
      <c r="C7073" s="18" t="n"/>
      <c r="J7073" s="19" t="n"/>
      <c r="P7073" s="20" t="n"/>
      <c r="Q7073" s="19" t="n"/>
      <c r="R7073" s="19" t="n"/>
      <c r="Y7073" s="19" t="n"/>
    </row>
    <row r="7074">
      <c r="C7074" s="18" t="n"/>
      <c r="J7074" s="19" t="n"/>
      <c r="P7074" s="20" t="n"/>
      <c r="Q7074" s="19" t="n"/>
      <c r="R7074" s="19" t="n"/>
      <c r="Y7074" s="19" t="n"/>
    </row>
    <row r="7075">
      <c r="C7075" s="18" t="n"/>
      <c r="J7075" s="19" t="n"/>
      <c r="P7075" s="20" t="n"/>
      <c r="Q7075" s="19" t="n"/>
      <c r="R7075" s="19" t="n"/>
      <c r="Y7075" s="19" t="n"/>
    </row>
    <row r="7076">
      <c r="C7076" s="18" t="n"/>
      <c r="J7076" s="19" t="n"/>
      <c r="P7076" s="20" t="n"/>
      <c r="Q7076" s="19" t="n"/>
      <c r="R7076" s="19" t="n"/>
      <c r="Y7076" s="19" t="n"/>
    </row>
    <row r="7077">
      <c r="C7077" s="18" t="n"/>
      <c r="J7077" s="19" t="n"/>
      <c r="P7077" s="20" t="n"/>
      <c r="Q7077" s="19" t="n"/>
      <c r="R7077" s="19" t="n"/>
      <c r="Y7077" s="19" t="n"/>
    </row>
    <row r="7078">
      <c r="C7078" s="18" t="n"/>
      <c r="J7078" s="19" t="n"/>
      <c r="P7078" s="20" t="n"/>
      <c r="Q7078" s="19" t="n"/>
      <c r="R7078" s="19" t="n"/>
      <c r="Y7078" s="19" t="n"/>
    </row>
    <row r="7079">
      <c r="C7079" s="18" t="n"/>
      <c r="J7079" s="19" t="n"/>
      <c r="P7079" s="20" t="n"/>
      <c r="Q7079" s="19" t="n"/>
      <c r="R7079" s="19" t="n"/>
      <c r="Y7079" s="19" t="n"/>
    </row>
    <row r="7080">
      <c r="C7080" s="18" t="n"/>
      <c r="J7080" s="19" t="n"/>
      <c r="P7080" s="20" t="n"/>
      <c r="Q7080" s="19" t="n"/>
      <c r="R7080" s="19" t="n"/>
      <c r="Y7080" s="19" t="n"/>
    </row>
    <row r="7081">
      <c r="C7081" s="18" t="n"/>
      <c r="J7081" s="19" t="n"/>
      <c r="P7081" s="20" t="n"/>
      <c r="Q7081" s="19" t="n"/>
      <c r="R7081" s="19" t="n"/>
      <c r="Y7081" s="19" t="n"/>
    </row>
    <row r="7082">
      <c r="C7082" s="18" t="n"/>
      <c r="J7082" s="19" t="n"/>
      <c r="P7082" s="20" t="n"/>
      <c r="Q7082" s="19" t="n"/>
      <c r="R7082" s="19" t="n"/>
      <c r="Y7082" s="19" t="n"/>
    </row>
    <row r="7083">
      <c r="C7083" s="18" t="n"/>
      <c r="J7083" s="19" t="n"/>
      <c r="P7083" s="20" t="n"/>
      <c r="Q7083" s="19" t="n"/>
      <c r="R7083" s="19" t="n"/>
      <c r="Y7083" s="19" t="n"/>
    </row>
    <row r="7084">
      <c r="C7084" s="18" t="n"/>
      <c r="J7084" s="19" t="n"/>
      <c r="P7084" s="20" t="n"/>
      <c r="Q7084" s="19" t="n"/>
      <c r="R7084" s="19" t="n"/>
      <c r="Y7084" s="19" t="n"/>
    </row>
    <row r="7085">
      <c r="C7085" s="18" t="n"/>
      <c r="J7085" s="19" t="n"/>
      <c r="P7085" s="20" t="n"/>
      <c r="Q7085" s="19" t="n"/>
      <c r="R7085" s="19" t="n"/>
      <c r="Y7085" s="19" t="n"/>
    </row>
    <row r="7086">
      <c r="C7086" s="18" t="n"/>
      <c r="J7086" s="19" t="n"/>
      <c r="P7086" s="20" t="n"/>
      <c r="Q7086" s="19" t="n"/>
      <c r="R7086" s="19" t="n"/>
      <c r="Y7086" s="19" t="n"/>
    </row>
    <row r="7087">
      <c r="C7087" s="18" t="n"/>
      <c r="J7087" s="19" t="n"/>
      <c r="P7087" s="20" t="n"/>
      <c r="Q7087" s="19" t="n"/>
      <c r="R7087" s="19" t="n"/>
      <c r="Y7087" s="19" t="n"/>
    </row>
    <row r="7088">
      <c r="C7088" s="18" t="n"/>
      <c r="J7088" s="19" t="n"/>
      <c r="P7088" s="20" t="n"/>
      <c r="Q7088" s="19" t="n"/>
      <c r="R7088" s="19" t="n"/>
      <c r="Y7088" s="19" t="n"/>
    </row>
    <row r="7089">
      <c r="C7089" s="18" t="n"/>
      <c r="J7089" s="19" t="n"/>
      <c r="P7089" s="20" t="n"/>
      <c r="Q7089" s="19" t="n"/>
      <c r="R7089" s="19" t="n"/>
      <c r="Y7089" s="19" t="n"/>
    </row>
    <row r="7090">
      <c r="C7090" s="18" t="n"/>
      <c r="J7090" s="19" t="n"/>
      <c r="P7090" s="20" t="n"/>
      <c r="Q7090" s="19" t="n"/>
      <c r="R7090" s="19" t="n"/>
      <c r="Y7090" s="19" t="n"/>
    </row>
    <row r="7091">
      <c r="C7091" s="18" t="n"/>
      <c r="J7091" s="19" t="n"/>
      <c r="P7091" s="20" t="n"/>
      <c r="Q7091" s="19" t="n"/>
      <c r="R7091" s="19" t="n"/>
      <c r="Y7091" s="19" t="n"/>
    </row>
    <row r="7092">
      <c r="C7092" s="18" t="n"/>
      <c r="J7092" s="19" t="n"/>
      <c r="P7092" s="20" t="n"/>
      <c r="Q7092" s="19" t="n"/>
      <c r="R7092" s="19" t="n"/>
      <c r="Y7092" s="19" t="n"/>
    </row>
    <row r="7093">
      <c r="C7093" s="18" t="n"/>
      <c r="J7093" s="19" t="n"/>
      <c r="P7093" s="20" t="n"/>
      <c r="Q7093" s="19" t="n"/>
      <c r="R7093" s="19" t="n"/>
      <c r="Y7093" s="19" t="n"/>
    </row>
    <row r="7094">
      <c r="C7094" s="18" t="n"/>
      <c r="J7094" s="19" t="n"/>
      <c r="P7094" s="20" t="n"/>
      <c r="Q7094" s="19" t="n"/>
      <c r="R7094" s="19" t="n"/>
      <c r="Y7094" s="19" t="n"/>
    </row>
    <row r="7095">
      <c r="C7095" s="18" t="n"/>
      <c r="J7095" s="19" t="n"/>
      <c r="P7095" s="20" t="n"/>
      <c r="Q7095" s="19" t="n"/>
      <c r="R7095" s="19" t="n"/>
      <c r="Y7095" s="19" t="n"/>
    </row>
    <row r="7096">
      <c r="C7096" s="18" t="n"/>
      <c r="J7096" s="19" t="n"/>
      <c r="P7096" s="20" t="n"/>
      <c r="Q7096" s="19" t="n"/>
      <c r="R7096" s="19" t="n"/>
      <c r="Y7096" s="19" t="n"/>
    </row>
    <row r="7097">
      <c r="C7097" s="18" t="n"/>
      <c r="J7097" s="19" t="n"/>
      <c r="P7097" s="20" t="n"/>
      <c r="Q7097" s="19" t="n"/>
      <c r="R7097" s="19" t="n"/>
      <c r="Y7097" s="19" t="n"/>
    </row>
    <row r="7098">
      <c r="C7098" s="18" t="n"/>
      <c r="J7098" s="19" t="n"/>
      <c r="P7098" s="20" t="n"/>
      <c r="Q7098" s="19" t="n"/>
      <c r="R7098" s="19" t="n"/>
      <c r="Y7098" s="19" t="n"/>
    </row>
    <row r="7099">
      <c r="C7099" s="18" t="n"/>
      <c r="J7099" s="19" t="n"/>
      <c r="P7099" s="20" t="n"/>
      <c r="Q7099" s="19" t="n"/>
      <c r="R7099" s="19" t="n"/>
      <c r="Y7099" s="19" t="n"/>
    </row>
    <row r="7100">
      <c r="C7100" s="18" t="n"/>
      <c r="J7100" s="19" t="n"/>
      <c r="P7100" s="20" t="n"/>
      <c r="Q7100" s="19" t="n"/>
      <c r="R7100" s="19" t="n"/>
      <c r="Y7100" s="19" t="n"/>
    </row>
    <row r="7101">
      <c r="C7101" s="18" t="n"/>
      <c r="J7101" s="19" t="n"/>
      <c r="P7101" s="20" t="n"/>
      <c r="Q7101" s="19" t="n"/>
      <c r="R7101" s="19" t="n"/>
      <c r="Y7101" s="19" t="n"/>
    </row>
    <row r="7102">
      <c r="C7102" s="18" t="n"/>
      <c r="J7102" s="19" t="n"/>
      <c r="P7102" s="20" t="n"/>
      <c r="Q7102" s="19" t="n"/>
      <c r="R7102" s="19" t="n"/>
      <c r="Y7102" s="19" t="n"/>
    </row>
    <row r="7103">
      <c r="C7103" s="18" t="n"/>
      <c r="J7103" s="19" t="n"/>
      <c r="P7103" s="20" t="n"/>
      <c r="Q7103" s="19" t="n"/>
      <c r="R7103" s="19" t="n"/>
      <c r="Y7103" s="19" t="n"/>
    </row>
    <row r="7104">
      <c r="C7104" s="18" t="n"/>
      <c r="J7104" s="19" t="n"/>
      <c r="P7104" s="20" t="n"/>
      <c r="Q7104" s="19" t="n"/>
      <c r="R7104" s="19" t="n"/>
      <c r="Y7104" s="19" t="n"/>
    </row>
    <row r="7105">
      <c r="C7105" s="18" t="n"/>
      <c r="J7105" s="19" t="n"/>
      <c r="P7105" s="20" t="n"/>
      <c r="Q7105" s="19" t="n"/>
      <c r="R7105" s="19" t="n"/>
      <c r="Y7105" s="19" t="n"/>
    </row>
    <row r="7106">
      <c r="C7106" s="18" t="n"/>
      <c r="J7106" s="19" t="n"/>
      <c r="P7106" s="20" t="n"/>
      <c r="Q7106" s="19" t="n"/>
      <c r="R7106" s="19" t="n"/>
      <c r="Y7106" s="19" t="n"/>
    </row>
    <row r="7107">
      <c r="C7107" s="18" t="n"/>
      <c r="J7107" s="19" t="n"/>
      <c r="P7107" s="20" t="n"/>
      <c r="Q7107" s="19" t="n"/>
      <c r="R7107" s="19" t="n"/>
      <c r="Y7107" s="19" t="n"/>
    </row>
    <row r="7108">
      <c r="C7108" s="18" t="n"/>
      <c r="J7108" s="19" t="n"/>
      <c r="P7108" s="20" t="n"/>
      <c r="Q7108" s="19" t="n"/>
      <c r="R7108" s="19" t="n"/>
      <c r="Y7108" s="19" t="n"/>
    </row>
    <row r="7109">
      <c r="C7109" s="18" t="n"/>
      <c r="J7109" s="19" t="n"/>
      <c r="P7109" s="20" t="n"/>
      <c r="Q7109" s="19" t="n"/>
      <c r="R7109" s="19" t="n"/>
      <c r="Y7109" s="19" t="n"/>
    </row>
    <row r="7110">
      <c r="C7110" s="18" t="n"/>
      <c r="J7110" s="19" t="n"/>
      <c r="P7110" s="20" t="n"/>
      <c r="Q7110" s="19" t="n"/>
      <c r="R7110" s="19" t="n"/>
      <c r="Y7110" s="19" t="n"/>
    </row>
    <row r="7111">
      <c r="C7111" s="18" t="n"/>
      <c r="J7111" s="19" t="n"/>
      <c r="P7111" s="20" t="n"/>
      <c r="Q7111" s="19" t="n"/>
      <c r="R7111" s="19" t="n"/>
      <c r="Y7111" s="19" t="n"/>
    </row>
    <row r="7112">
      <c r="C7112" s="18" t="n"/>
      <c r="J7112" s="19" t="n"/>
      <c r="P7112" s="20" t="n"/>
      <c r="Q7112" s="19" t="n"/>
      <c r="R7112" s="19" t="n"/>
      <c r="Y7112" s="19" t="n"/>
    </row>
    <row r="7113">
      <c r="C7113" s="18" t="n"/>
      <c r="J7113" s="19" t="n"/>
      <c r="P7113" s="20" t="n"/>
      <c r="Q7113" s="19" t="n"/>
      <c r="R7113" s="19" t="n"/>
      <c r="Y7113" s="19" t="n"/>
    </row>
    <row r="7114">
      <c r="C7114" s="18" t="n"/>
      <c r="J7114" s="19" t="n"/>
      <c r="P7114" s="20" t="n"/>
      <c r="Q7114" s="19" t="n"/>
      <c r="R7114" s="19" t="n"/>
      <c r="Y7114" s="19" t="n"/>
    </row>
    <row r="7115">
      <c r="C7115" s="18" t="n"/>
      <c r="J7115" s="19" t="n"/>
      <c r="P7115" s="20" t="n"/>
      <c r="Q7115" s="19" t="n"/>
      <c r="R7115" s="19" t="n"/>
      <c r="Y7115" s="19" t="n"/>
    </row>
    <row r="7116">
      <c r="C7116" s="18" t="n"/>
      <c r="J7116" s="19" t="n"/>
      <c r="P7116" s="20" t="n"/>
      <c r="Q7116" s="19" t="n"/>
      <c r="R7116" s="19" t="n"/>
      <c r="Y7116" s="19" t="n"/>
    </row>
    <row r="7117">
      <c r="C7117" s="18" t="n"/>
      <c r="J7117" s="19" t="n"/>
      <c r="P7117" s="20" t="n"/>
      <c r="Q7117" s="19" t="n"/>
      <c r="R7117" s="19" t="n"/>
      <c r="Y7117" s="19" t="n"/>
    </row>
    <row r="7118">
      <c r="C7118" s="18" t="n"/>
      <c r="J7118" s="19" t="n"/>
      <c r="P7118" s="20" t="n"/>
      <c r="Q7118" s="19" t="n"/>
      <c r="R7118" s="19" t="n"/>
      <c r="Y7118" s="19" t="n"/>
    </row>
    <row r="7119">
      <c r="C7119" s="18" t="n"/>
      <c r="J7119" s="19" t="n"/>
      <c r="P7119" s="20" t="n"/>
      <c r="Q7119" s="19" t="n"/>
      <c r="R7119" s="19" t="n"/>
      <c r="Y7119" s="19" t="n"/>
    </row>
    <row r="7120">
      <c r="C7120" s="18" t="n"/>
      <c r="J7120" s="19" t="n"/>
      <c r="P7120" s="20" t="n"/>
      <c r="Q7120" s="19" t="n"/>
      <c r="R7120" s="19" t="n"/>
      <c r="Y7120" s="19" t="n"/>
    </row>
    <row r="7121">
      <c r="C7121" s="18" t="n"/>
      <c r="J7121" s="19" t="n"/>
      <c r="P7121" s="20" t="n"/>
      <c r="Q7121" s="19" t="n"/>
      <c r="R7121" s="19" t="n"/>
      <c r="Y7121" s="19" t="n"/>
    </row>
    <row r="7122">
      <c r="C7122" s="18" t="n"/>
      <c r="J7122" s="19" t="n"/>
      <c r="P7122" s="20" t="n"/>
      <c r="Q7122" s="19" t="n"/>
      <c r="R7122" s="19" t="n"/>
      <c r="Y7122" s="19" t="n"/>
    </row>
    <row r="7123">
      <c r="C7123" s="18" t="n"/>
      <c r="J7123" s="19" t="n"/>
      <c r="P7123" s="20" t="n"/>
      <c r="Q7123" s="19" t="n"/>
      <c r="R7123" s="19" t="n"/>
      <c r="Y7123" s="19" t="n"/>
    </row>
    <row r="7124">
      <c r="C7124" s="18" t="n"/>
      <c r="J7124" s="19" t="n"/>
      <c r="P7124" s="20" t="n"/>
      <c r="Q7124" s="19" t="n"/>
      <c r="R7124" s="19" t="n"/>
      <c r="Y7124" s="19" t="n"/>
    </row>
    <row r="7125">
      <c r="C7125" s="18" t="n"/>
      <c r="J7125" s="19" t="n"/>
      <c r="P7125" s="20" t="n"/>
      <c r="Q7125" s="19" t="n"/>
      <c r="R7125" s="19" t="n"/>
      <c r="Y7125" s="19" t="n"/>
    </row>
    <row r="7126">
      <c r="C7126" s="18" t="n"/>
      <c r="J7126" s="19" t="n"/>
      <c r="P7126" s="20" t="n"/>
      <c r="Q7126" s="19" t="n"/>
      <c r="R7126" s="19" t="n"/>
      <c r="Y7126" s="19" t="n"/>
    </row>
    <row r="7127">
      <c r="C7127" s="18" t="n"/>
      <c r="J7127" s="19" t="n"/>
      <c r="P7127" s="20" t="n"/>
      <c r="Q7127" s="19" t="n"/>
      <c r="R7127" s="19" t="n"/>
      <c r="Y7127" s="19" t="n"/>
    </row>
    <row r="7128">
      <c r="C7128" s="18" t="n"/>
      <c r="J7128" s="19" t="n"/>
      <c r="P7128" s="20" t="n"/>
      <c r="Q7128" s="19" t="n"/>
      <c r="R7128" s="19" t="n"/>
      <c r="Y7128" s="19" t="n"/>
    </row>
    <row r="7129">
      <c r="C7129" s="18" t="n"/>
      <c r="J7129" s="19" t="n"/>
      <c r="P7129" s="20" t="n"/>
      <c r="Q7129" s="19" t="n"/>
      <c r="R7129" s="19" t="n"/>
      <c r="Y7129" s="19" t="n"/>
    </row>
    <row r="7130">
      <c r="C7130" s="18" t="n"/>
      <c r="J7130" s="19" t="n"/>
      <c r="P7130" s="20" t="n"/>
      <c r="Q7130" s="19" t="n"/>
      <c r="R7130" s="19" t="n"/>
      <c r="Y7130" s="19" t="n"/>
    </row>
    <row r="7131">
      <c r="C7131" s="18" t="n"/>
      <c r="J7131" s="19" t="n"/>
      <c r="P7131" s="20" t="n"/>
      <c r="Q7131" s="19" t="n"/>
      <c r="R7131" s="19" t="n"/>
      <c r="Y7131" s="19" t="n"/>
    </row>
    <row r="7132">
      <c r="C7132" s="18" t="n"/>
      <c r="J7132" s="19" t="n"/>
      <c r="P7132" s="20" t="n"/>
      <c r="Q7132" s="19" t="n"/>
      <c r="R7132" s="19" t="n"/>
      <c r="Y7132" s="19" t="n"/>
    </row>
    <row r="7133">
      <c r="C7133" s="18" t="n"/>
      <c r="J7133" s="19" t="n"/>
      <c r="P7133" s="20" t="n"/>
      <c r="Q7133" s="19" t="n"/>
      <c r="R7133" s="19" t="n"/>
      <c r="Y7133" s="19" t="n"/>
    </row>
    <row r="7134">
      <c r="C7134" s="18" t="n"/>
      <c r="J7134" s="19" t="n"/>
      <c r="P7134" s="20" t="n"/>
      <c r="Q7134" s="19" t="n"/>
      <c r="R7134" s="19" t="n"/>
      <c r="Y7134" s="19" t="n"/>
    </row>
    <row r="7135">
      <c r="C7135" s="18" t="n"/>
      <c r="J7135" s="19" t="n"/>
      <c r="P7135" s="20" t="n"/>
      <c r="Q7135" s="19" t="n"/>
      <c r="R7135" s="19" t="n"/>
      <c r="Y7135" s="19" t="n"/>
    </row>
    <row r="7136">
      <c r="C7136" s="18" t="n"/>
      <c r="J7136" s="19" t="n"/>
      <c r="P7136" s="20" t="n"/>
      <c r="Q7136" s="19" t="n"/>
      <c r="R7136" s="19" t="n"/>
      <c r="Y7136" s="19" t="n"/>
    </row>
    <row r="7137">
      <c r="C7137" s="18" t="n"/>
      <c r="J7137" s="19" t="n"/>
      <c r="P7137" s="20" t="n"/>
      <c r="Q7137" s="19" t="n"/>
      <c r="R7137" s="19" t="n"/>
      <c r="Y7137" s="19" t="n"/>
    </row>
    <row r="7138">
      <c r="C7138" s="18" t="n"/>
      <c r="J7138" s="19" t="n"/>
      <c r="P7138" s="20" t="n"/>
      <c r="Q7138" s="19" t="n"/>
      <c r="R7138" s="19" t="n"/>
      <c r="Y7138" s="19" t="n"/>
    </row>
    <row r="7139">
      <c r="C7139" s="18" t="n"/>
      <c r="J7139" s="19" t="n"/>
      <c r="P7139" s="20" t="n"/>
      <c r="Q7139" s="19" t="n"/>
      <c r="R7139" s="19" t="n"/>
      <c r="Y7139" s="19" t="n"/>
    </row>
    <row r="7140">
      <c r="C7140" s="18" t="n"/>
      <c r="J7140" s="19" t="n"/>
      <c r="P7140" s="20" t="n"/>
      <c r="Q7140" s="19" t="n"/>
      <c r="R7140" s="19" t="n"/>
      <c r="Y7140" s="19" t="n"/>
    </row>
    <row r="7141">
      <c r="C7141" s="18" t="n"/>
      <c r="J7141" s="19" t="n"/>
      <c r="P7141" s="20" t="n"/>
      <c r="Q7141" s="19" t="n"/>
      <c r="R7141" s="19" t="n"/>
      <c r="Y7141" s="19" t="n"/>
    </row>
    <row r="7142">
      <c r="C7142" s="18" t="n"/>
      <c r="J7142" s="19" t="n"/>
      <c r="P7142" s="20" t="n"/>
      <c r="Q7142" s="19" t="n"/>
      <c r="R7142" s="19" t="n"/>
      <c r="Y7142" s="19" t="n"/>
    </row>
    <row r="7143">
      <c r="C7143" s="18" t="n"/>
      <c r="J7143" s="19" t="n"/>
      <c r="P7143" s="20" t="n"/>
      <c r="Q7143" s="19" t="n"/>
      <c r="R7143" s="19" t="n"/>
      <c r="Y7143" s="19" t="n"/>
    </row>
    <row r="7144">
      <c r="C7144" s="18" t="n"/>
      <c r="J7144" s="19" t="n"/>
      <c r="P7144" s="20" t="n"/>
      <c r="Q7144" s="19" t="n"/>
      <c r="R7144" s="19" t="n"/>
      <c r="Y7144" s="19" t="n"/>
    </row>
    <row r="7145">
      <c r="C7145" s="18" t="n"/>
      <c r="J7145" s="19" t="n"/>
      <c r="P7145" s="20" t="n"/>
      <c r="Q7145" s="19" t="n"/>
      <c r="R7145" s="19" t="n"/>
      <c r="Y7145" s="19" t="n"/>
    </row>
    <row r="7146">
      <c r="C7146" s="18" t="n"/>
      <c r="J7146" s="19" t="n"/>
      <c r="P7146" s="20" t="n"/>
      <c r="Q7146" s="19" t="n"/>
      <c r="R7146" s="19" t="n"/>
      <c r="Y7146" s="19" t="n"/>
    </row>
    <row r="7147">
      <c r="C7147" s="18" t="n"/>
      <c r="J7147" s="19" t="n"/>
      <c r="P7147" s="20" t="n"/>
      <c r="Q7147" s="19" t="n"/>
      <c r="R7147" s="19" t="n"/>
      <c r="Y7147" s="19" t="n"/>
    </row>
    <row r="7148">
      <c r="C7148" s="18" t="n"/>
      <c r="J7148" s="19" t="n"/>
      <c r="P7148" s="20" t="n"/>
      <c r="Q7148" s="19" t="n"/>
      <c r="R7148" s="19" t="n"/>
      <c r="Y7148" s="19" t="n"/>
    </row>
    <row r="7149">
      <c r="C7149" s="18" t="n"/>
      <c r="J7149" s="19" t="n"/>
      <c r="P7149" s="20" t="n"/>
      <c r="Q7149" s="19" t="n"/>
      <c r="R7149" s="19" t="n"/>
      <c r="Y7149" s="19" t="n"/>
    </row>
    <row r="7150">
      <c r="C7150" s="18" t="n"/>
      <c r="J7150" s="19" t="n"/>
      <c r="P7150" s="20" t="n"/>
      <c r="Q7150" s="19" t="n"/>
      <c r="R7150" s="19" t="n"/>
      <c r="Y7150" s="19" t="n"/>
    </row>
    <row r="7151">
      <c r="C7151" s="18" t="n"/>
      <c r="J7151" s="19" t="n"/>
      <c r="P7151" s="20" t="n"/>
      <c r="Q7151" s="19" t="n"/>
      <c r="R7151" s="19" t="n"/>
      <c r="Y7151" s="19" t="n"/>
    </row>
    <row r="7152">
      <c r="C7152" s="18" t="n"/>
      <c r="J7152" s="19" t="n"/>
      <c r="P7152" s="20" t="n"/>
      <c r="Q7152" s="19" t="n"/>
      <c r="R7152" s="19" t="n"/>
      <c r="Y7152" s="19" t="n"/>
    </row>
    <row r="7153">
      <c r="C7153" s="18" t="n"/>
      <c r="J7153" s="19" t="n"/>
      <c r="P7153" s="20" t="n"/>
      <c r="Q7153" s="19" t="n"/>
      <c r="R7153" s="19" t="n"/>
      <c r="Y7153" s="19" t="n"/>
    </row>
    <row r="7154">
      <c r="C7154" s="18" t="n"/>
      <c r="J7154" s="19" t="n"/>
      <c r="P7154" s="20" t="n"/>
      <c r="Q7154" s="19" t="n"/>
      <c r="R7154" s="19" t="n"/>
      <c r="Y7154" s="19" t="n"/>
    </row>
    <row r="7155">
      <c r="C7155" s="18" t="n"/>
      <c r="J7155" s="19" t="n"/>
      <c r="P7155" s="20" t="n"/>
      <c r="Q7155" s="19" t="n"/>
      <c r="R7155" s="19" t="n"/>
      <c r="Y7155" s="19" t="n"/>
    </row>
    <row r="7156">
      <c r="C7156" s="18" t="n"/>
      <c r="J7156" s="19" t="n"/>
      <c r="P7156" s="20" t="n"/>
      <c r="Q7156" s="19" t="n"/>
      <c r="R7156" s="19" t="n"/>
      <c r="Y7156" s="19" t="n"/>
    </row>
    <row r="7157">
      <c r="C7157" s="18" t="n"/>
      <c r="J7157" s="19" t="n"/>
      <c r="P7157" s="20" t="n"/>
      <c r="Q7157" s="19" t="n"/>
      <c r="R7157" s="19" t="n"/>
      <c r="Y7157" s="19" t="n"/>
    </row>
    <row r="7158">
      <c r="C7158" s="18" t="n"/>
      <c r="J7158" s="19" t="n"/>
      <c r="P7158" s="20" t="n"/>
      <c r="Q7158" s="19" t="n"/>
      <c r="R7158" s="19" t="n"/>
      <c r="Y7158" s="19" t="n"/>
    </row>
    <row r="7159">
      <c r="C7159" s="18" t="n"/>
      <c r="J7159" s="19" t="n"/>
      <c r="P7159" s="20" t="n"/>
      <c r="Q7159" s="19" t="n"/>
      <c r="R7159" s="19" t="n"/>
      <c r="Y7159" s="19" t="n"/>
    </row>
    <row r="7160">
      <c r="C7160" s="18" t="n"/>
      <c r="J7160" s="19" t="n"/>
      <c r="P7160" s="20" t="n"/>
      <c r="Q7160" s="19" t="n"/>
      <c r="R7160" s="19" t="n"/>
      <c r="Y7160" s="19" t="n"/>
    </row>
    <row r="7161">
      <c r="C7161" s="18" t="n"/>
      <c r="J7161" s="19" t="n"/>
      <c r="P7161" s="20" t="n"/>
      <c r="Q7161" s="19" t="n"/>
      <c r="R7161" s="19" t="n"/>
      <c r="Y7161" s="19" t="n"/>
    </row>
    <row r="7162">
      <c r="C7162" s="18" t="n"/>
      <c r="J7162" s="19" t="n"/>
      <c r="P7162" s="20" t="n"/>
      <c r="Q7162" s="19" t="n"/>
      <c r="R7162" s="19" t="n"/>
      <c r="Y7162" s="19" t="n"/>
    </row>
    <row r="7163">
      <c r="C7163" s="18" t="n"/>
      <c r="J7163" s="19" t="n"/>
      <c r="P7163" s="20" t="n"/>
      <c r="Q7163" s="19" t="n"/>
      <c r="R7163" s="19" t="n"/>
      <c r="Y7163" s="19" t="n"/>
    </row>
    <row r="7164">
      <c r="C7164" s="18" t="n"/>
      <c r="J7164" s="19" t="n"/>
      <c r="P7164" s="20" t="n"/>
      <c r="Q7164" s="19" t="n"/>
      <c r="R7164" s="19" t="n"/>
      <c r="Y7164" s="19" t="n"/>
    </row>
    <row r="7165">
      <c r="C7165" s="18" t="n"/>
      <c r="J7165" s="19" t="n"/>
      <c r="P7165" s="20" t="n"/>
      <c r="Q7165" s="19" t="n"/>
      <c r="R7165" s="19" t="n"/>
      <c r="Y7165" s="19" t="n"/>
    </row>
    <row r="7166">
      <c r="C7166" s="18" t="n"/>
      <c r="J7166" s="19" t="n"/>
      <c r="P7166" s="20" t="n"/>
      <c r="Q7166" s="19" t="n"/>
      <c r="R7166" s="19" t="n"/>
      <c r="Y7166" s="19" t="n"/>
    </row>
    <row r="7167">
      <c r="C7167" s="18" t="n"/>
      <c r="J7167" s="19" t="n"/>
      <c r="P7167" s="20" t="n"/>
      <c r="Q7167" s="19" t="n"/>
      <c r="R7167" s="19" t="n"/>
      <c r="Y7167" s="19" t="n"/>
    </row>
    <row r="7168">
      <c r="C7168" s="18" t="n"/>
      <c r="J7168" s="19" t="n"/>
      <c r="P7168" s="20" t="n"/>
      <c r="Q7168" s="19" t="n"/>
      <c r="R7168" s="19" t="n"/>
      <c r="Y7168" s="19" t="n"/>
    </row>
    <row r="7169">
      <c r="C7169" s="18" t="n"/>
      <c r="J7169" s="19" t="n"/>
      <c r="P7169" s="20" t="n"/>
      <c r="Q7169" s="19" t="n"/>
      <c r="R7169" s="19" t="n"/>
      <c r="Y7169" s="19" t="n"/>
    </row>
    <row r="7170">
      <c r="C7170" s="18" t="n"/>
      <c r="J7170" s="19" t="n"/>
      <c r="P7170" s="20" t="n"/>
      <c r="Q7170" s="19" t="n"/>
      <c r="R7170" s="19" t="n"/>
      <c r="Y7170" s="19" t="n"/>
    </row>
    <row r="7171">
      <c r="C7171" s="18" t="n"/>
      <c r="J7171" s="19" t="n"/>
      <c r="P7171" s="20" t="n"/>
      <c r="Q7171" s="19" t="n"/>
      <c r="R7171" s="19" t="n"/>
      <c r="Y7171" s="19" t="n"/>
    </row>
    <row r="7172">
      <c r="C7172" s="18" t="n"/>
      <c r="J7172" s="19" t="n"/>
      <c r="P7172" s="20" t="n"/>
      <c r="Q7172" s="19" t="n"/>
      <c r="R7172" s="19" t="n"/>
      <c r="Y7172" s="19" t="n"/>
    </row>
    <row r="7173">
      <c r="C7173" s="18" t="n"/>
      <c r="J7173" s="19" t="n"/>
      <c r="P7173" s="20" t="n"/>
      <c r="Q7173" s="19" t="n"/>
      <c r="R7173" s="19" t="n"/>
      <c r="Y7173" s="19" t="n"/>
    </row>
    <row r="7174">
      <c r="C7174" s="18" t="n"/>
      <c r="J7174" s="19" t="n"/>
      <c r="P7174" s="20" t="n"/>
      <c r="Q7174" s="19" t="n"/>
      <c r="R7174" s="19" t="n"/>
      <c r="Y7174" s="19" t="n"/>
    </row>
    <row r="7175">
      <c r="C7175" s="18" t="n"/>
      <c r="J7175" s="19" t="n"/>
      <c r="P7175" s="20" t="n"/>
      <c r="Q7175" s="19" t="n"/>
      <c r="R7175" s="19" t="n"/>
      <c r="Y7175" s="19" t="n"/>
    </row>
    <row r="7176">
      <c r="C7176" s="18" t="n"/>
      <c r="J7176" s="19" t="n"/>
      <c r="P7176" s="20" t="n"/>
      <c r="Q7176" s="19" t="n"/>
      <c r="R7176" s="19" t="n"/>
      <c r="Y7176" s="19" t="n"/>
    </row>
    <row r="7177">
      <c r="C7177" s="18" t="n"/>
      <c r="J7177" s="19" t="n"/>
      <c r="P7177" s="20" t="n"/>
      <c r="Q7177" s="19" t="n"/>
      <c r="R7177" s="19" t="n"/>
      <c r="Y7177" s="19" t="n"/>
    </row>
    <row r="7178">
      <c r="C7178" s="18" t="n"/>
      <c r="J7178" s="19" t="n"/>
      <c r="P7178" s="20" t="n"/>
      <c r="Q7178" s="19" t="n"/>
      <c r="R7178" s="19" t="n"/>
      <c r="Y7178" s="19" t="n"/>
    </row>
    <row r="7179">
      <c r="C7179" s="18" t="n"/>
      <c r="J7179" s="19" t="n"/>
      <c r="P7179" s="20" t="n"/>
      <c r="Q7179" s="19" t="n"/>
      <c r="R7179" s="19" t="n"/>
      <c r="Y7179" s="19" t="n"/>
    </row>
    <row r="7180">
      <c r="C7180" s="18" t="n"/>
      <c r="J7180" s="19" t="n"/>
      <c r="P7180" s="20" t="n"/>
      <c r="Q7180" s="19" t="n"/>
      <c r="R7180" s="19" t="n"/>
      <c r="Y7180" s="19" t="n"/>
    </row>
    <row r="7181">
      <c r="C7181" s="18" t="n"/>
      <c r="J7181" s="19" t="n"/>
      <c r="P7181" s="20" t="n"/>
      <c r="Q7181" s="19" t="n"/>
      <c r="R7181" s="19" t="n"/>
      <c r="Y7181" s="19" t="n"/>
    </row>
    <row r="7182">
      <c r="C7182" s="18" t="n"/>
      <c r="J7182" s="19" t="n"/>
      <c r="P7182" s="20" t="n"/>
      <c r="Q7182" s="19" t="n"/>
      <c r="R7182" s="19" t="n"/>
      <c r="Y7182" s="19" t="n"/>
    </row>
    <row r="7183">
      <c r="C7183" s="18" t="n"/>
      <c r="J7183" s="19" t="n"/>
      <c r="P7183" s="20" t="n"/>
      <c r="Q7183" s="19" t="n"/>
      <c r="R7183" s="19" t="n"/>
      <c r="Y7183" s="19" t="n"/>
    </row>
    <row r="7184">
      <c r="C7184" s="18" t="n"/>
      <c r="J7184" s="19" t="n"/>
      <c r="P7184" s="20" t="n"/>
      <c r="Q7184" s="19" t="n"/>
      <c r="R7184" s="19" t="n"/>
      <c r="Y7184" s="19" t="n"/>
    </row>
    <row r="7185">
      <c r="C7185" s="18" t="n"/>
      <c r="J7185" s="19" t="n"/>
      <c r="P7185" s="20" t="n"/>
      <c r="Q7185" s="19" t="n"/>
      <c r="R7185" s="19" t="n"/>
      <c r="Y7185" s="19" t="n"/>
    </row>
    <row r="7186">
      <c r="C7186" s="18" t="n"/>
      <c r="J7186" s="19" t="n"/>
      <c r="P7186" s="20" t="n"/>
      <c r="Q7186" s="19" t="n"/>
      <c r="R7186" s="19" t="n"/>
      <c r="Y7186" s="19" t="n"/>
    </row>
    <row r="7187">
      <c r="C7187" s="18" t="n"/>
      <c r="J7187" s="19" t="n"/>
      <c r="P7187" s="20" t="n"/>
      <c r="Q7187" s="19" t="n"/>
      <c r="R7187" s="19" t="n"/>
      <c r="Y7187" s="19" t="n"/>
    </row>
    <row r="7188">
      <c r="C7188" s="18" t="n"/>
      <c r="J7188" s="19" t="n"/>
      <c r="P7188" s="20" t="n"/>
      <c r="Q7188" s="19" t="n"/>
      <c r="R7188" s="19" t="n"/>
      <c r="Y7188" s="19" t="n"/>
    </row>
    <row r="7189">
      <c r="C7189" s="18" t="n"/>
      <c r="J7189" s="19" t="n"/>
      <c r="P7189" s="20" t="n"/>
      <c r="Q7189" s="19" t="n"/>
      <c r="R7189" s="19" t="n"/>
      <c r="Y7189" s="19" t="n"/>
    </row>
    <row r="7190">
      <c r="C7190" s="18" t="n"/>
      <c r="J7190" s="19" t="n"/>
      <c r="P7190" s="20" t="n"/>
      <c r="Q7190" s="19" t="n"/>
      <c r="R7190" s="19" t="n"/>
      <c r="Y7190" s="19" t="n"/>
    </row>
    <row r="7191">
      <c r="C7191" s="18" t="n"/>
      <c r="J7191" s="19" t="n"/>
      <c r="P7191" s="20" t="n"/>
      <c r="Q7191" s="19" t="n"/>
      <c r="R7191" s="19" t="n"/>
      <c r="Y7191" s="19" t="n"/>
    </row>
    <row r="7192">
      <c r="C7192" s="18" t="n"/>
      <c r="J7192" s="19" t="n"/>
      <c r="P7192" s="20" t="n"/>
      <c r="Q7192" s="19" t="n"/>
      <c r="R7192" s="19" t="n"/>
      <c r="Y7192" s="19" t="n"/>
    </row>
    <row r="7193">
      <c r="C7193" s="18" t="n"/>
      <c r="J7193" s="19" t="n"/>
      <c r="P7193" s="20" t="n"/>
      <c r="Q7193" s="19" t="n"/>
      <c r="R7193" s="19" t="n"/>
      <c r="Y7193" s="19" t="n"/>
    </row>
    <row r="7194">
      <c r="C7194" s="18" t="n"/>
      <c r="J7194" s="19" t="n"/>
      <c r="P7194" s="20" t="n"/>
      <c r="Q7194" s="19" t="n"/>
      <c r="R7194" s="19" t="n"/>
      <c r="Y7194" s="19" t="n"/>
    </row>
    <row r="7195">
      <c r="C7195" s="18" t="n"/>
      <c r="J7195" s="19" t="n"/>
      <c r="P7195" s="20" t="n"/>
      <c r="Q7195" s="19" t="n"/>
      <c r="R7195" s="19" t="n"/>
      <c r="Y7195" s="19" t="n"/>
    </row>
    <row r="7196">
      <c r="C7196" s="18" t="n"/>
      <c r="J7196" s="19" t="n"/>
      <c r="P7196" s="20" t="n"/>
      <c r="Q7196" s="19" t="n"/>
      <c r="R7196" s="19" t="n"/>
      <c r="Y7196" s="19" t="n"/>
    </row>
    <row r="7197">
      <c r="C7197" s="18" t="n"/>
      <c r="J7197" s="19" t="n"/>
      <c r="P7197" s="20" t="n"/>
      <c r="Q7197" s="19" t="n"/>
      <c r="R7197" s="19" t="n"/>
      <c r="Y7197" s="19" t="n"/>
    </row>
    <row r="7198">
      <c r="C7198" s="18" t="n"/>
      <c r="J7198" s="19" t="n"/>
      <c r="P7198" s="20" t="n"/>
      <c r="Q7198" s="19" t="n"/>
      <c r="R7198" s="19" t="n"/>
      <c r="Y7198" s="19" t="n"/>
    </row>
    <row r="7199">
      <c r="C7199" s="18" t="n"/>
      <c r="J7199" s="19" t="n"/>
      <c r="P7199" s="20" t="n"/>
      <c r="Q7199" s="19" t="n"/>
      <c r="R7199" s="19" t="n"/>
      <c r="Y7199" s="19" t="n"/>
    </row>
    <row r="7200">
      <c r="C7200" s="18" t="n"/>
      <c r="J7200" s="19" t="n"/>
      <c r="P7200" s="20" t="n"/>
      <c r="Q7200" s="19" t="n"/>
      <c r="R7200" s="19" t="n"/>
      <c r="Y7200" s="19" t="n"/>
    </row>
    <row r="7201">
      <c r="C7201" s="18" t="n"/>
      <c r="J7201" s="19" t="n"/>
      <c r="P7201" s="20" t="n"/>
      <c r="Q7201" s="19" t="n"/>
      <c r="R7201" s="19" t="n"/>
      <c r="Y7201" s="19" t="n"/>
    </row>
    <row r="7202">
      <c r="C7202" s="18" t="n"/>
      <c r="J7202" s="19" t="n"/>
      <c r="P7202" s="20" t="n"/>
      <c r="Q7202" s="19" t="n"/>
      <c r="R7202" s="19" t="n"/>
      <c r="Y7202" s="19" t="n"/>
    </row>
    <row r="7203">
      <c r="C7203" s="18" t="n"/>
      <c r="J7203" s="19" t="n"/>
      <c r="P7203" s="20" t="n"/>
      <c r="Q7203" s="19" t="n"/>
      <c r="R7203" s="19" t="n"/>
      <c r="Y7203" s="19" t="n"/>
    </row>
    <row r="7204">
      <c r="C7204" s="18" t="n"/>
      <c r="J7204" s="19" t="n"/>
      <c r="P7204" s="20" t="n"/>
      <c r="Q7204" s="19" t="n"/>
      <c r="R7204" s="19" t="n"/>
      <c r="Y7204" s="19" t="n"/>
    </row>
    <row r="7205">
      <c r="C7205" s="18" t="n"/>
      <c r="J7205" s="19" t="n"/>
      <c r="P7205" s="20" t="n"/>
      <c r="Q7205" s="19" t="n"/>
      <c r="R7205" s="19" t="n"/>
      <c r="Y7205" s="19" t="n"/>
    </row>
    <row r="7206">
      <c r="C7206" s="18" t="n"/>
      <c r="J7206" s="19" t="n"/>
      <c r="P7206" s="20" t="n"/>
      <c r="Q7206" s="19" t="n"/>
      <c r="R7206" s="19" t="n"/>
      <c r="Y7206" s="19" t="n"/>
    </row>
    <row r="7207">
      <c r="C7207" s="18" t="n"/>
      <c r="J7207" s="19" t="n"/>
      <c r="P7207" s="20" t="n"/>
      <c r="Q7207" s="19" t="n"/>
      <c r="R7207" s="19" t="n"/>
      <c r="Y7207" s="19" t="n"/>
    </row>
    <row r="7208">
      <c r="C7208" s="18" t="n"/>
      <c r="J7208" s="19" t="n"/>
      <c r="P7208" s="20" t="n"/>
      <c r="Q7208" s="19" t="n"/>
      <c r="R7208" s="19" t="n"/>
      <c r="Y7208" s="19" t="n"/>
    </row>
    <row r="7209">
      <c r="C7209" s="18" t="n"/>
      <c r="J7209" s="19" t="n"/>
      <c r="P7209" s="20" t="n"/>
      <c r="Q7209" s="19" t="n"/>
      <c r="R7209" s="19" t="n"/>
      <c r="Y7209" s="19" t="n"/>
    </row>
    <row r="7210">
      <c r="C7210" s="18" t="n"/>
      <c r="J7210" s="19" t="n"/>
      <c r="P7210" s="20" t="n"/>
      <c r="Q7210" s="19" t="n"/>
      <c r="R7210" s="19" t="n"/>
      <c r="Y7210" s="19" t="n"/>
    </row>
    <row r="7211">
      <c r="C7211" s="18" t="n"/>
      <c r="J7211" s="19" t="n"/>
      <c r="P7211" s="20" t="n"/>
      <c r="Q7211" s="19" t="n"/>
      <c r="R7211" s="19" t="n"/>
      <c r="Y7211" s="19" t="n"/>
    </row>
    <row r="7212">
      <c r="C7212" s="18" t="n"/>
      <c r="J7212" s="19" t="n"/>
      <c r="P7212" s="20" t="n"/>
      <c r="Q7212" s="19" t="n"/>
      <c r="R7212" s="19" t="n"/>
      <c r="Y7212" s="19" t="n"/>
    </row>
    <row r="7213">
      <c r="C7213" s="18" t="n"/>
      <c r="J7213" s="19" t="n"/>
      <c r="P7213" s="20" t="n"/>
      <c r="Q7213" s="19" t="n"/>
      <c r="R7213" s="19" t="n"/>
      <c r="Y7213" s="19" t="n"/>
    </row>
    <row r="7214">
      <c r="C7214" s="18" t="n"/>
      <c r="J7214" s="19" t="n"/>
      <c r="P7214" s="20" t="n"/>
      <c r="Q7214" s="19" t="n"/>
      <c r="R7214" s="19" t="n"/>
      <c r="Y7214" s="19" t="n"/>
    </row>
    <row r="7215">
      <c r="C7215" s="18" t="n"/>
      <c r="J7215" s="19" t="n"/>
      <c r="P7215" s="20" t="n"/>
      <c r="Q7215" s="19" t="n"/>
      <c r="R7215" s="19" t="n"/>
      <c r="Y7215" s="19" t="n"/>
    </row>
    <row r="7216">
      <c r="C7216" s="18" t="n"/>
      <c r="J7216" s="19" t="n"/>
      <c r="P7216" s="20" t="n"/>
      <c r="Q7216" s="19" t="n"/>
      <c r="R7216" s="19" t="n"/>
      <c r="Y7216" s="19" t="n"/>
    </row>
    <row r="7217">
      <c r="C7217" s="18" t="n"/>
      <c r="J7217" s="19" t="n"/>
      <c r="P7217" s="20" t="n"/>
      <c r="Q7217" s="19" t="n"/>
      <c r="R7217" s="19" t="n"/>
      <c r="Y7217" s="19" t="n"/>
    </row>
    <row r="7218">
      <c r="C7218" s="18" t="n"/>
      <c r="J7218" s="19" t="n"/>
      <c r="P7218" s="20" t="n"/>
      <c r="Q7218" s="19" t="n"/>
      <c r="R7218" s="19" t="n"/>
      <c r="Y7218" s="19" t="n"/>
    </row>
    <row r="7219">
      <c r="C7219" s="18" t="n"/>
      <c r="J7219" s="19" t="n"/>
      <c r="P7219" s="20" t="n"/>
      <c r="Q7219" s="19" t="n"/>
      <c r="R7219" s="19" t="n"/>
      <c r="Y7219" s="19" t="n"/>
    </row>
    <row r="7220">
      <c r="C7220" s="18" t="n"/>
      <c r="J7220" s="19" t="n"/>
      <c r="P7220" s="20" t="n"/>
      <c r="Q7220" s="19" t="n"/>
      <c r="R7220" s="19" t="n"/>
      <c r="Y7220" s="19" t="n"/>
    </row>
    <row r="7221">
      <c r="C7221" s="18" t="n"/>
      <c r="J7221" s="19" t="n"/>
      <c r="P7221" s="20" t="n"/>
      <c r="Q7221" s="19" t="n"/>
      <c r="R7221" s="19" t="n"/>
      <c r="Y7221" s="19" t="n"/>
    </row>
    <row r="7222">
      <c r="C7222" s="18" t="n"/>
      <c r="J7222" s="19" t="n"/>
      <c r="P7222" s="20" t="n"/>
      <c r="Q7222" s="19" t="n"/>
      <c r="R7222" s="19" t="n"/>
      <c r="Y7222" s="19" t="n"/>
    </row>
    <row r="7223">
      <c r="C7223" s="18" t="n"/>
      <c r="J7223" s="19" t="n"/>
      <c r="P7223" s="20" t="n"/>
      <c r="Q7223" s="19" t="n"/>
      <c r="R7223" s="19" t="n"/>
      <c r="Y7223" s="19" t="n"/>
    </row>
    <row r="7224">
      <c r="C7224" s="18" t="n"/>
      <c r="J7224" s="19" t="n"/>
      <c r="P7224" s="20" t="n"/>
      <c r="Q7224" s="19" t="n"/>
      <c r="R7224" s="19" t="n"/>
      <c r="Y7224" s="19" t="n"/>
    </row>
    <row r="7225">
      <c r="C7225" s="18" t="n"/>
      <c r="J7225" s="19" t="n"/>
      <c r="P7225" s="20" t="n"/>
      <c r="Q7225" s="19" t="n"/>
      <c r="R7225" s="19" t="n"/>
      <c r="Y7225" s="19" t="n"/>
    </row>
    <row r="7226">
      <c r="C7226" s="18" t="n"/>
      <c r="J7226" s="19" t="n"/>
      <c r="P7226" s="20" t="n"/>
      <c r="Q7226" s="19" t="n"/>
      <c r="R7226" s="19" t="n"/>
      <c r="Y7226" s="19" t="n"/>
    </row>
    <row r="7227">
      <c r="C7227" s="18" t="n"/>
      <c r="J7227" s="19" t="n"/>
      <c r="P7227" s="20" t="n"/>
      <c r="Q7227" s="19" t="n"/>
      <c r="R7227" s="19" t="n"/>
      <c r="Y7227" s="19" t="n"/>
    </row>
    <row r="7228">
      <c r="C7228" s="18" t="n"/>
      <c r="J7228" s="19" t="n"/>
      <c r="P7228" s="20" t="n"/>
      <c r="Q7228" s="19" t="n"/>
      <c r="R7228" s="19" t="n"/>
      <c r="Y7228" s="19" t="n"/>
    </row>
    <row r="7229">
      <c r="C7229" s="18" t="n"/>
      <c r="J7229" s="19" t="n"/>
      <c r="P7229" s="20" t="n"/>
      <c r="Q7229" s="19" t="n"/>
      <c r="R7229" s="19" t="n"/>
      <c r="Y7229" s="19" t="n"/>
    </row>
    <row r="7230">
      <c r="C7230" s="18" t="n"/>
      <c r="J7230" s="19" t="n"/>
      <c r="P7230" s="20" t="n"/>
      <c r="Q7230" s="19" t="n"/>
      <c r="R7230" s="19" t="n"/>
      <c r="Y7230" s="19" t="n"/>
    </row>
    <row r="7231">
      <c r="C7231" s="18" t="n"/>
      <c r="J7231" s="19" t="n"/>
      <c r="P7231" s="20" t="n"/>
      <c r="Q7231" s="19" t="n"/>
      <c r="R7231" s="19" t="n"/>
      <c r="Y7231" s="19" t="n"/>
    </row>
    <row r="7232">
      <c r="C7232" s="18" t="n"/>
      <c r="J7232" s="19" t="n"/>
      <c r="P7232" s="20" t="n"/>
      <c r="Q7232" s="19" t="n"/>
      <c r="R7232" s="19" t="n"/>
      <c r="Y7232" s="19" t="n"/>
    </row>
    <row r="7233">
      <c r="C7233" s="18" t="n"/>
      <c r="J7233" s="19" t="n"/>
      <c r="P7233" s="20" t="n"/>
      <c r="Q7233" s="19" t="n"/>
      <c r="R7233" s="19" t="n"/>
      <c r="Y7233" s="19" t="n"/>
    </row>
    <row r="7234">
      <c r="C7234" s="18" t="n"/>
      <c r="J7234" s="19" t="n"/>
      <c r="P7234" s="20" t="n"/>
      <c r="Q7234" s="19" t="n"/>
      <c r="R7234" s="19" t="n"/>
      <c r="Y7234" s="19" t="n"/>
    </row>
    <row r="7235">
      <c r="C7235" s="18" t="n"/>
      <c r="J7235" s="19" t="n"/>
      <c r="P7235" s="20" t="n"/>
      <c r="Q7235" s="19" t="n"/>
      <c r="R7235" s="19" t="n"/>
      <c r="Y7235" s="19" t="n"/>
    </row>
    <row r="7236">
      <c r="C7236" s="18" t="n"/>
      <c r="J7236" s="19" t="n"/>
      <c r="P7236" s="20" t="n"/>
      <c r="Q7236" s="19" t="n"/>
      <c r="R7236" s="19" t="n"/>
      <c r="Y7236" s="19" t="n"/>
    </row>
    <row r="7237">
      <c r="C7237" s="18" t="n"/>
      <c r="J7237" s="19" t="n"/>
      <c r="P7237" s="20" t="n"/>
      <c r="Q7237" s="19" t="n"/>
      <c r="R7237" s="19" t="n"/>
      <c r="Y7237" s="19" t="n"/>
    </row>
    <row r="7238">
      <c r="C7238" s="18" t="n"/>
      <c r="J7238" s="19" t="n"/>
      <c r="P7238" s="20" t="n"/>
      <c r="Q7238" s="19" t="n"/>
      <c r="R7238" s="19" t="n"/>
      <c r="Y7238" s="19" t="n"/>
    </row>
    <row r="7239">
      <c r="C7239" s="18" t="n"/>
      <c r="J7239" s="19" t="n"/>
      <c r="P7239" s="20" t="n"/>
      <c r="Q7239" s="19" t="n"/>
      <c r="R7239" s="19" t="n"/>
      <c r="Y7239" s="19" t="n"/>
    </row>
    <row r="7240">
      <c r="C7240" s="18" t="n"/>
      <c r="J7240" s="19" t="n"/>
      <c r="P7240" s="20" t="n"/>
      <c r="Q7240" s="19" t="n"/>
      <c r="R7240" s="19" t="n"/>
      <c r="Y7240" s="19" t="n"/>
    </row>
    <row r="7241">
      <c r="C7241" s="18" t="n"/>
      <c r="J7241" s="19" t="n"/>
      <c r="P7241" s="20" t="n"/>
      <c r="Q7241" s="19" t="n"/>
      <c r="R7241" s="19" t="n"/>
      <c r="Y7241" s="19" t="n"/>
    </row>
    <row r="7242">
      <c r="C7242" s="18" t="n"/>
      <c r="J7242" s="19" t="n"/>
      <c r="P7242" s="20" t="n"/>
      <c r="Q7242" s="19" t="n"/>
      <c r="R7242" s="19" t="n"/>
      <c r="Y7242" s="19" t="n"/>
    </row>
    <row r="7243">
      <c r="C7243" s="18" t="n"/>
      <c r="J7243" s="19" t="n"/>
      <c r="P7243" s="20" t="n"/>
      <c r="Q7243" s="19" t="n"/>
      <c r="R7243" s="19" t="n"/>
      <c r="Y7243" s="19" t="n"/>
    </row>
    <row r="7244">
      <c r="C7244" s="18" t="n"/>
      <c r="J7244" s="19" t="n"/>
      <c r="P7244" s="20" t="n"/>
      <c r="Q7244" s="19" t="n"/>
      <c r="R7244" s="19" t="n"/>
      <c r="Y7244" s="19" t="n"/>
    </row>
    <row r="7245">
      <c r="C7245" s="18" t="n"/>
      <c r="J7245" s="19" t="n"/>
      <c r="P7245" s="20" t="n"/>
      <c r="Q7245" s="19" t="n"/>
      <c r="R7245" s="19" t="n"/>
      <c r="Y7245" s="19" t="n"/>
    </row>
    <row r="7246">
      <c r="C7246" s="18" t="n"/>
      <c r="J7246" s="19" t="n"/>
      <c r="P7246" s="20" t="n"/>
      <c r="Q7246" s="19" t="n"/>
      <c r="R7246" s="19" t="n"/>
      <c r="Y7246" s="19" t="n"/>
    </row>
    <row r="7247">
      <c r="C7247" s="18" t="n"/>
      <c r="J7247" s="19" t="n"/>
      <c r="P7247" s="20" t="n"/>
      <c r="Q7247" s="19" t="n"/>
      <c r="R7247" s="19" t="n"/>
      <c r="Y7247" s="19" t="n"/>
    </row>
    <row r="7248">
      <c r="C7248" s="18" t="n"/>
      <c r="J7248" s="19" t="n"/>
      <c r="P7248" s="20" t="n"/>
      <c r="Q7248" s="19" t="n"/>
      <c r="R7248" s="19" t="n"/>
      <c r="Y7248" s="19" t="n"/>
    </row>
    <row r="7249">
      <c r="C7249" s="18" t="n"/>
      <c r="J7249" s="19" t="n"/>
      <c r="P7249" s="20" t="n"/>
      <c r="Q7249" s="19" t="n"/>
      <c r="R7249" s="19" t="n"/>
      <c r="Y7249" s="19" t="n"/>
    </row>
    <row r="7250">
      <c r="C7250" s="18" t="n"/>
      <c r="J7250" s="19" t="n"/>
      <c r="P7250" s="20" t="n"/>
      <c r="Q7250" s="19" t="n"/>
      <c r="R7250" s="19" t="n"/>
      <c r="Y7250" s="19" t="n"/>
    </row>
    <row r="7251">
      <c r="C7251" s="18" t="n"/>
      <c r="J7251" s="19" t="n"/>
      <c r="P7251" s="20" t="n"/>
      <c r="Q7251" s="19" t="n"/>
      <c r="R7251" s="19" t="n"/>
      <c r="Y7251" s="19" t="n"/>
    </row>
    <row r="7252">
      <c r="C7252" s="18" t="n"/>
      <c r="J7252" s="19" t="n"/>
      <c r="P7252" s="20" t="n"/>
      <c r="Q7252" s="19" t="n"/>
      <c r="R7252" s="19" t="n"/>
      <c r="Y7252" s="19" t="n"/>
    </row>
    <row r="7253">
      <c r="C7253" s="18" t="n"/>
      <c r="J7253" s="19" t="n"/>
      <c r="P7253" s="20" t="n"/>
      <c r="Q7253" s="19" t="n"/>
      <c r="R7253" s="19" t="n"/>
      <c r="Y7253" s="19" t="n"/>
    </row>
    <row r="7254">
      <c r="C7254" s="18" t="n"/>
      <c r="J7254" s="19" t="n"/>
      <c r="P7254" s="20" t="n"/>
      <c r="Q7254" s="19" t="n"/>
      <c r="R7254" s="19" t="n"/>
      <c r="Y7254" s="19" t="n"/>
    </row>
    <row r="7255">
      <c r="C7255" s="18" t="n"/>
      <c r="J7255" s="19" t="n"/>
      <c r="P7255" s="20" t="n"/>
      <c r="Q7255" s="19" t="n"/>
      <c r="R7255" s="19" t="n"/>
      <c r="Y7255" s="19" t="n"/>
    </row>
    <row r="7256">
      <c r="C7256" s="18" t="n"/>
      <c r="J7256" s="19" t="n"/>
      <c r="P7256" s="20" t="n"/>
      <c r="Q7256" s="19" t="n"/>
      <c r="R7256" s="19" t="n"/>
      <c r="Y7256" s="19" t="n"/>
    </row>
    <row r="7257">
      <c r="C7257" s="18" t="n"/>
      <c r="J7257" s="19" t="n"/>
      <c r="P7257" s="20" t="n"/>
      <c r="Q7257" s="19" t="n"/>
      <c r="R7257" s="19" t="n"/>
      <c r="Y7257" s="19" t="n"/>
    </row>
    <row r="7258">
      <c r="C7258" s="18" t="n"/>
      <c r="J7258" s="19" t="n"/>
      <c r="P7258" s="20" t="n"/>
      <c r="Q7258" s="19" t="n"/>
      <c r="R7258" s="19" t="n"/>
      <c r="Y7258" s="19" t="n"/>
    </row>
    <row r="7259">
      <c r="C7259" s="18" t="n"/>
      <c r="J7259" s="19" t="n"/>
      <c r="P7259" s="20" t="n"/>
      <c r="Q7259" s="19" t="n"/>
      <c r="R7259" s="19" t="n"/>
      <c r="Y7259" s="19" t="n"/>
    </row>
    <row r="7260">
      <c r="C7260" s="18" t="n"/>
      <c r="J7260" s="19" t="n"/>
      <c r="P7260" s="20" t="n"/>
      <c r="Q7260" s="19" t="n"/>
      <c r="R7260" s="19" t="n"/>
      <c r="Y7260" s="19" t="n"/>
    </row>
    <row r="7261">
      <c r="C7261" s="18" t="n"/>
      <c r="J7261" s="19" t="n"/>
      <c r="P7261" s="20" t="n"/>
      <c r="Q7261" s="19" t="n"/>
      <c r="R7261" s="19" t="n"/>
      <c r="Y7261" s="19" t="n"/>
    </row>
    <row r="7262">
      <c r="C7262" s="18" t="n"/>
      <c r="J7262" s="19" t="n"/>
      <c r="P7262" s="20" t="n"/>
      <c r="Q7262" s="19" t="n"/>
      <c r="R7262" s="19" t="n"/>
      <c r="Y7262" s="19" t="n"/>
    </row>
    <row r="7263">
      <c r="C7263" s="18" t="n"/>
      <c r="J7263" s="19" t="n"/>
      <c r="P7263" s="20" t="n"/>
      <c r="Q7263" s="19" t="n"/>
      <c r="R7263" s="19" t="n"/>
      <c r="Y7263" s="19" t="n"/>
    </row>
    <row r="7264">
      <c r="C7264" s="18" t="n"/>
      <c r="J7264" s="19" t="n"/>
      <c r="P7264" s="20" t="n"/>
      <c r="Q7264" s="19" t="n"/>
      <c r="R7264" s="19" t="n"/>
      <c r="Y7264" s="19" t="n"/>
    </row>
    <row r="7265">
      <c r="C7265" s="18" t="n"/>
      <c r="J7265" s="19" t="n"/>
      <c r="P7265" s="20" t="n"/>
      <c r="Q7265" s="19" t="n"/>
      <c r="R7265" s="19" t="n"/>
      <c r="Y7265" s="19" t="n"/>
    </row>
    <row r="7266">
      <c r="C7266" s="18" t="n"/>
      <c r="J7266" s="19" t="n"/>
      <c r="P7266" s="20" t="n"/>
      <c r="Q7266" s="19" t="n"/>
      <c r="R7266" s="19" t="n"/>
      <c r="Y7266" s="19" t="n"/>
    </row>
    <row r="7267">
      <c r="C7267" s="18" t="n"/>
      <c r="J7267" s="19" t="n"/>
      <c r="P7267" s="20" t="n"/>
      <c r="Q7267" s="19" t="n"/>
      <c r="R7267" s="19" t="n"/>
      <c r="Y7267" s="19" t="n"/>
    </row>
    <row r="7268">
      <c r="C7268" s="18" t="n"/>
      <c r="J7268" s="19" t="n"/>
      <c r="P7268" s="20" t="n"/>
      <c r="Q7268" s="19" t="n"/>
      <c r="R7268" s="19" t="n"/>
      <c r="Y7268" s="19" t="n"/>
    </row>
    <row r="7269">
      <c r="C7269" s="18" t="n"/>
      <c r="J7269" s="19" t="n"/>
      <c r="P7269" s="20" t="n"/>
      <c r="Q7269" s="19" t="n"/>
      <c r="R7269" s="19" t="n"/>
      <c r="Y7269" s="19" t="n"/>
    </row>
    <row r="7270">
      <c r="C7270" s="18" t="n"/>
      <c r="J7270" s="19" t="n"/>
      <c r="P7270" s="20" t="n"/>
      <c r="Q7270" s="19" t="n"/>
      <c r="R7270" s="19" t="n"/>
      <c r="Y7270" s="19" t="n"/>
    </row>
    <row r="7271">
      <c r="C7271" s="18" t="n"/>
      <c r="J7271" s="19" t="n"/>
      <c r="P7271" s="20" t="n"/>
      <c r="Q7271" s="19" t="n"/>
      <c r="R7271" s="19" t="n"/>
      <c r="Y7271" s="19" t="n"/>
    </row>
    <row r="7272">
      <c r="C7272" s="18" t="n"/>
      <c r="J7272" s="19" t="n"/>
      <c r="P7272" s="20" t="n"/>
      <c r="Q7272" s="19" t="n"/>
      <c r="R7272" s="19" t="n"/>
      <c r="Y7272" s="19" t="n"/>
    </row>
    <row r="7273">
      <c r="C7273" s="18" t="n"/>
      <c r="J7273" s="19" t="n"/>
      <c r="P7273" s="20" t="n"/>
      <c r="Q7273" s="19" t="n"/>
      <c r="R7273" s="19" t="n"/>
      <c r="Y7273" s="19" t="n"/>
    </row>
    <row r="7274">
      <c r="C7274" s="18" t="n"/>
      <c r="J7274" s="19" t="n"/>
      <c r="P7274" s="20" t="n"/>
      <c r="Q7274" s="19" t="n"/>
      <c r="R7274" s="19" t="n"/>
      <c r="Y7274" s="19" t="n"/>
    </row>
    <row r="7275">
      <c r="C7275" s="18" t="n"/>
      <c r="J7275" s="19" t="n"/>
      <c r="P7275" s="20" t="n"/>
      <c r="Q7275" s="19" t="n"/>
      <c r="R7275" s="19" t="n"/>
      <c r="Y7275" s="19" t="n"/>
    </row>
    <row r="7276">
      <c r="C7276" s="18" t="n"/>
      <c r="J7276" s="19" t="n"/>
      <c r="P7276" s="20" t="n"/>
      <c r="Q7276" s="19" t="n"/>
      <c r="R7276" s="19" t="n"/>
      <c r="Y7276" s="19" t="n"/>
    </row>
    <row r="7277">
      <c r="C7277" s="18" t="n"/>
      <c r="J7277" s="19" t="n"/>
      <c r="P7277" s="20" t="n"/>
      <c r="Q7277" s="19" t="n"/>
      <c r="R7277" s="19" t="n"/>
      <c r="Y7277" s="19" t="n"/>
    </row>
    <row r="7278">
      <c r="C7278" s="18" t="n"/>
      <c r="J7278" s="19" t="n"/>
      <c r="P7278" s="20" t="n"/>
      <c r="Q7278" s="19" t="n"/>
      <c r="R7278" s="19" t="n"/>
      <c r="Y7278" s="19" t="n"/>
    </row>
    <row r="7279">
      <c r="C7279" s="18" t="n"/>
      <c r="J7279" s="19" t="n"/>
      <c r="P7279" s="20" t="n"/>
      <c r="Q7279" s="19" t="n"/>
      <c r="R7279" s="19" t="n"/>
      <c r="Y7279" s="19" t="n"/>
    </row>
    <row r="7280">
      <c r="C7280" s="18" t="n"/>
      <c r="J7280" s="19" t="n"/>
      <c r="P7280" s="20" t="n"/>
      <c r="Q7280" s="19" t="n"/>
      <c r="R7280" s="19" t="n"/>
      <c r="Y7280" s="19" t="n"/>
    </row>
    <row r="7281">
      <c r="C7281" s="18" t="n"/>
      <c r="J7281" s="19" t="n"/>
      <c r="P7281" s="20" t="n"/>
      <c r="Q7281" s="19" t="n"/>
      <c r="R7281" s="19" t="n"/>
      <c r="Y7281" s="19" t="n"/>
    </row>
    <row r="7282">
      <c r="C7282" s="18" t="n"/>
      <c r="J7282" s="19" t="n"/>
      <c r="P7282" s="20" t="n"/>
      <c r="Q7282" s="19" t="n"/>
      <c r="R7282" s="19" t="n"/>
      <c r="Y7282" s="19" t="n"/>
    </row>
    <row r="7283">
      <c r="C7283" s="18" t="n"/>
      <c r="J7283" s="19" t="n"/>
      <c r="P7283" s="20" t="n"/>
      <c r="Q7283" s="19" t="n"/>
      <c r="R7283" s="19" t="n"/>
      <c r="Y7283" s="19" t="n"/>
    </row>
    <row r="7284">
      <c r="C7284" s="18" t="n"/>
      <c r="J7284" s="19" t="n"/>
      <c r="P7284" s="20" t="n"/>
      <c r="Q7284" s="19" t="n"/>
      <c r="R7284" s="19" t="n"/>
      <c r="Y7284" s="19" t="n"/>
    </row>
    <row r="7285">
      <c r="C7285" s="18" t="n"/>
      <c r="J7285" s="19" t="n"/>
      <c r="P7285" s="20" t="n"/>
      <c r="Q7285" s="19" t="n"/>
      <c r="R7285" s="19" t="n"/>
      <c r="Y7285" s="19" t="n"/>
    </row>
    <row r="7286">
      <c r="C7286" s="18" t="n"/>
      <c r="J7286" s="19" t="n"/>
      <c r="P7286" s="20" t="n"/>
      <c r="Q7286" s="19" t="n"/>
      <c r="R7286" s="19" t="n"/>
      <c r="Y7286" s="19" t="n"/>
    </row>
    <row r="7287">
      <c r="C7287" s="18" t="n"/>
      <c r="J7287" s="19" t="n"/>
      <c r="P7287" s="20" t="n"/>
      <c r="Q7287" s="19" t="n"/>
      <c r="R7287" s="19" t="n"/>
      <c r="Y7287" s="19" t="n"/>
    </row>
    <row r="7288">
      <c r="C7288" s="18" t="n"/>
      <c r="J7288" s="19" t="n"/>
      <c r="P7288" s="20" t="n"/>
      <c r="Q7288" s="19" t="n"/>
      <c r="R7288" s="19" t="n"/>
      <c r="Y7288" s="19" t="n"/>
    </row>
    <row r="7289">
      <c r="C7289" s="18" t="n"/>
      <c r="J7289" s="19" t="n"/>
      <c r="P7289" s="20" t="n"/>
      <c r="Q7289" s="19" t="n"/>
      <c r="R7289" s="19" t="n"/>
      <c r="Y7289" s="19" t="n"/>
    </row>
    <row r="7290">
      <c r="C7290" s="18" t="n"/>
      <c r="J7290" s="19" t="n"/>
      <c r="P7290" s="20" t="n"/>
      <c r="Q7290" s="19" t="n"/>
      <c r="R7290" s="19" t="n"/>
      <c r="Y7290" s="19" t="n"/>
    </row>
    <row r="7291">
      <c r="C7291" s="18" t="n"/>
      <c r="J7291" s="19" t="n"/>
      <c r="P7291" s="20" t="n"/>
      <c r="Q7291" s="19" t="n"/>
      <c r="R7291" s="19" t="n"/>
      <c r="Y7291" s="19" t="n"/>
    </row>
    <row r="7292">
      <c r="C7292" s="18" t="n"/>
      <c r="J7292" s="19" t="n"/>
      <c r="P7292" s="20" t="n"/>
      <c r="Q7292" s="19" t="n"/>
      <c r="R7292" s="19" t="n"/>
      <c r="Y7292" s="19" t="n"/>
    </row>
    <row r="7293">
      <c r="C7293" s="18" t="n"/>
      <c r="J7293" s="19" t="n"/>
      <c r="P7293" s="20" t="n"/>
      <c r="Q7293" s="19" t="n"/>
      <c r="R7293" s="19" t="n"/>
      <c r="Y7293" s="19" t="n"/>
    </row>
    <row r="7294">
      <c r="C7294" s="18" t="n"/>
      <c r="J7294" s="19" t="n"/>
      <c r="P7294" s="20" t="n"/>
      <c r="Q7294" s="19" t="n"/>
      <c r="R7294" s="19" t="n"/>
      <c r="Y7294" s="19" t="n"/>
    </row>
    <row r="7295">
      <c r="C7295" s="18" t="n"/>
      <c r="J7295" s="19" t="n"/>
      <c r="P7295" s="20" t="n"/>
      <c r="Q7295" s="19" t="n"/>
      <c r="R7295" s="19" t="n"/>
      <c r="Y7295" s="19" t="n"/>
    </row>
    <row r="7296">
      <c r="C7296" s="18" t="n"/>
      <c r="J7296" s="19" t="n"/>
      <c r="P7296" s="20" t="n"/>
      <c r="Q7296" s="19" t="n"/>
      <c r="R7296" s="19" t="n"/>
      <c r="Y7296" s="19" t="n"/>
    </row>
    <row r="7297">
      <c r="C7297" s="18" t="n"/>
      <c r="J7297" s="19" t="n"/>
      <c r="P7297" s="20" t="n"/>
      <c r="Q7297" s="19" t="n"/>
      <c r="R7297" s="19" t="n"/>
      <c r="Y7297" s="19" t="n"/>
    </row>
    <row r="7298">
      <c r="C7298" s="18" t="n"/>
      <c r="J7298" s="19" t="n"/>
      <c r="P7298" s="20" t="n"/>
      <c r="Q7298" s="19" t="n"/>
      <c r="R7298" s="19" t="n"/>
      <c r="Y7298" s="19" t="n"/>
    </row>
    <row r="7299">
      <c r="C7299" s="18" t="n"/>
      <c r="J7299" s="19" t="n"/>
      <c r="P7299" s="20" t="n"/>
      <c r="Q7299" s="19" t="n"/>
      <c r="R7299" s="19" t="n"/>
      <c r="Y7299" s="19" t="n"/>
    </row>
    <row r="7300">
      <c r="C7300" s="18" t="n"/>
      <c r="J7300" s="19" t="n"/>
      <c r="P7300" s="20" t="n"/>
      <c r="Q7300" s="19" t="n"/>
      <c r="R7300" s="19" t="n"/>
      <c r="Y7300" s="19" t="n"/>
    </row>
    <row r="7301">
      <c r="C7301" s="18" t="n"/>
      <c r="J7301" s="19" t="n"/>
      <c r="P7301" s="20" t="n"/>
      <c r="Q7301" s="19" t="n"/>
      <c r="R7301" s="19" t="n"/>
      <c r="Y7301" s="19" t="n"/>
    </row>
    <row r="7302">
      <c r="C7302" s="18" t="n"/>
      <c r="J7302" s="19" t="n"/>
      <c r="P7302" s="20" t="n"/>
      <c r="Q7302" s="19" t="n"/>
      <c r="R7302" s="19" t="n"/>
      <c r="Y7302" s="19" t="n"/>
    </row>
    <row r="7303">
      <c r="C7303" s="18" t="n"/>
      <c r="J7303" s="19" t="n"/>
      <c r="P7303" s="20" t="n"/>
      <c r="Q7303" s="19" t="n"/>
      <c r="R7303" s="19" t="n"/>
      <c r="Y7303" s="19" t="n"/>
    </row>
    <row r="7304">
      <c r="C7304" s="18" t="n"/>
      <c r="J7304" s="19" t="n"/>
      <c r="P7304" s="20" t="n"/>
      <c r="Q7304" s="19" t="n"/>
      <c r="R7304" s="19" t="n"/>
      <c r="Y7304" s="19" t="n"/>
    </row>
    <row r="7305">
      <c r="C7305" s="18" t="n"/>
      <c r="J7305" s="19" t="n"/>
      <c r="P7305" s="20" t="n"/>
      <c r="Q7305" s="19" t="n"/>
      <c r="R7305" s="19" t="n"/>
      <c r="Y7305" s="19" t="n"/>
    </row>
    <row r="7306">
      <c r="C7306" s="18" t="n"/>
      <c r="J7306" s="19" t="n"/>
      <c r="P7306" s="20" t="n"/>
      <c r="Q7306" s="19" t="n"/>
      <c r="R7306" s="19" t="n"/>
      <c r="Y7306" s="19" t="n"/>
    </row>
    <row r="7307">
      <c r="C7307" s="18" t="n"/>
      <c r="J7307" s="19" t="n"/>
      <c r="P7307" s="20" t="n"/>
      <c r="Q7307" s="19" t="n"/>
      <c r="R7307" s="19" t="n"/>
      <c r="Y7307" s="19" t="n"/>
    </row>
    <row r="7308">
      <c r="C7308" s="18" t="n"/>
      <c r="J7308" s="19" t="n"/>
      <c r="P7308" s="20" t="n"/>
      <c r="Q7308" s="19" t="n"/>
      <c r="R7308" s="19" t="n"/>
      <c r="Y7308" s="19" t="n"/>
    </row>
    <row r="7309">
      <c r="C7309" s="18" t="n"/>
      <c r="J7309" s="19" t="n"/>
      <c r="P7309" s="20" t="n"/>
      <c r="Q7309" s="19" t="n"/>
      <c r="R7309" s="19" t="n"/>
      <c r="Y7309" s="19" t="n"/>
    </row>
    <row r="7310">
      <c r="C7310" s="18" t="n"/>
      <c r="J7310" s="19" t="n"/>
      <c r="P7310" s="20" t="n"/>
      <c r="Q7310" s="19" t="n"/>
      <c r="R7310" s="19" t="n"/>
      <c r="Y7310" s="19" t="n"/>
    </row>
    <row r="7311">
      <c r="C7311" s="18" t="n"/>
      <c r="J7311" s="19" t="n"/>
      <c r="P7311" s="20" t="n"/>
      <c r="Q7311" s="19" t="n"/>
      <c r="R7311" s="19" t="n"/>
      <c r="Y7311" s="19" t="n"/>
    </row>
    <row r="7312">
      <c r="C7312" s="18" t="n"/>
      <c r="J7312" s="19" t="n"/>
      <c r="P7312" s="20" t="n"/>
      <c r="Q7312" s="19" t="n"/>
      <c r="R7312" s="19" t="n"/>
      <c r="Y7312" s="19" t="n"/>
    </row>
    <row r="7313">
      <c r="C7313" s="18" t="n"/>
      <c r="J7313" s="19" t="n"/>
      <c r="P7313" s="20" t="n"/>
      <c r="Q7313" s="19" t="n"/>
      <c r="R7313" s="19" t="n"/>
      <c r="Y7313" s="19" t="n"/>
    </row>
    <row r="7314">
      <c r="C7314" s="18" t="n"/>
      <c r="J7314" s="19" t="n"/>
      <c r="P7314" s="20" t="n"/>
      <c r="Q7314" s="19" t="n"/>
      <c r="R7314" s="19" t="n"/>
      <c r="Y7314" s="19" t="n"/>
    </row>
    <row r="7315">
      <c r="C7315" s="18" t="n"/>
      <c r="J7315" s="19" t="n"/>
      <c r="P7315" s="20" t="n"/>
      <c r="Q7315" s="19" t="n"/>
      <c r="R7315" s="19" t="n"/>
      <c r="Y7315" s="19" t="n"/>
    </row>
    <row r="7316">
      <c r="C7316" s="18" t="n"/>
      <c r="J7316" s="19" t="n"/>
      <c r="P7316" s="20" t="n"/>
      <c r="Q7316" s="19" t="n"/>
      <c r="R7316" s="19" t="n"/>
      <c r="Y7316" s="19" t="n"/>
    </row>
    <row r="7317">
      <c r="C7317" s="18" t="n"/>
      <c r="J7317" s="19" t="n"/>
      <c r="P7317" s="20" t="n"/>
      <c r="Q7317" s="19" t="n"/>
      <c r="R7317" s="19" t="n"/>
      <c r="Y7317" s="19" t="n"/>
    </row>
    <row r="7318">
      <c r="C7318" s="18" t="n"/>
      <c r="J7318" s="19" t="n"/>
      <c r="P7318" s="20" t="n"/>
      <c r="Q7318" s="19" t="n"/>
      <c r="R7318" s="19" t="n"/>
      <c r="Y7318" s="19" t="n"/>
    </row>
    <row r="7319">
      <c r="C7319" s="18" t="n"/>
      <c r="J7319" s="19" t="n"/>
      <c r="P7319" s="20" t="n"/>
      <c r="Q7319" s="19" t="n"/>
      <c r="R7319" s="19" t="n"/>
      <c r="Y7319" s="19" t="n"/>
    </row>
    <row r="7320">
      <c r="C7320" s="18" t="n"/>
      <c r="J7320" s="19" t="n"/>
      <c r="P7320" s="20" t="n"/>
      <c r="Q7320" s="19" t="n"/>
      <c r="R7320" s="19" t="n"/>
      <c r="Y7320" s="19" t="n"/>
    </row>
    <row r="7321">
      <c r="C7321" s="18" t="n"/>
      <c r="J7321" s="19" t="n"/>
      <c r="P7321" s="20" t="n"/>
      <c r="Q7321" s="19" t="n"/>
      <c r="R7321" s="19" t="n"/>
      <c r="Y7321" s="19" t="n"/>
    </row>
    <row r="7322">
      <c r="C7322" s="18" t="n"/>
      <c r="J7322" s="19" t="n"/>
      <c r="P7322" s="20" t="n"/>
      <c r="Q7322" s="19" t="n"/>
      <c r="R7322" s="19" t="n"/>
      <c r="Y7322" s="19" t="n"/>
    </row>
    <row r="7323">
      <c r="C7323" s="18" t="n"/>
      <c r="J7323" s="19" t="n"/>
      <c r="P7323" s="20" t="n"/>
      <c r="Q7323" s="19" t="n"/>
      <c r="R7323" s="19" t="n"/>
      <c r="Y7323" s="19" t="n"/>
    </row>
    <row r="7324">
      <c r="C7324" s="18" t="n"/>
      <c r="J7324" s="19" t="n"/>
      <c r="P7324" s="20" t="n"/>
      <c r="Q7324" s="19" t="n"/>
      <c r="R7324" s="19" t="n"/>
      <c r="Y7324" s="19" t="n"/>
    </row>
    <row r="7325">
      <c r="C7325" s="18" t="n"/>
      <c r="J7325" s="19" t="n"/>
      <c r="P7325" s="20" t="n"/>
      <c r="Q7325" s="19" t="n"/>
      <c r="R7325" s="19" t="n"/>
      <c r="Y7325" s="19" t="n"/>
    </row>
    <row r="7326">
      <c r="C7326" s="18" t="n"/>
      <c r="J7326" s="19" t="n"/>
      <c r="P7326" s="20" t="n"/>
      <c r="Q7326" s="19" t="n"/>
      <c r="R7326" s="19" t="n"/>
      <c r="Y7326" s="19" t="n"/>
    </row>
    <row r="7327">
      <c r="C7327" s="18" t="n"/>
      <c r="J7327" s="19" t="n"/>
      <c r="P7327" s="20" t="n"/>
      <c r="Q7327" s="19" t="n"/>
      <c r="R7327" s="19" t="n"/>
      <c r="Y7327" s="19" t="n"/>
    </row>
    <row r="7328">
      <c r="C7328" s="18" t="n"/>
      <c r="J7328" s="19" t="n"/>
      <c r="P7328" s="20" t="n"/>
      <c r="Q7328" s="19" t="n"/>
      <c r="R7328" s="19" t="n"/>
      <c r="Y7328" s="19" t="n"/>
    </row>
    <row r="7329">
      <c r="C7329" s="18" t="n"/>
      <c r="J7329" s="19" t="n"/>
      <c r="P7329" s="20" t="n"/>
      <c r="Q7329" s="19" t="n"/>
      <c r="R7329" s="19" t="n"/>
      <c r="Y7329" s="19" t="n"/>
    </row>
    <row r="7330">
      <c r="C7330" s="18" t="n"/>
      <c r="J7330" s="19" t="n"/>
      <c r="P7330" s="20" t="n"/>
      <c r="Q7330" s="19" t="n"/>
      <c r="R7330" s="19" t="n"/>
      <c r="Y7330" s="19" t="n"/>
    </row>
    <row r="7331">
      <c r="C7331" s="18" t="n"/>
      <c r="J7331" s="19" t="n"/>
      <c r="P7331" s="20" t="n"/>
      <c r="Q7331" s="19" t="n"/>
      <c r="R7331" s="19" t="n"/>
      <c r="Y7331" s="19" t="n"/>
    </row>
    <row r="7332">
      <c r="C7332" s="18" t="n"/>
      <c r="J7332" s="19" t="n"/>
      <c r="P7332" s="20" t="n"/>
      <c r="Q7332" s="19" t="n"/>
      <c r="R7332" s="19" t="n"/>
      <c r="Y7332" s="19" t="n"/>
    </row>
    <row r="7333">
      <c r="C7333" s="18" t="n"/>
      <c r="J7333" s="19" t="n"/>
      <c r="P7333" s="20" t="n"/>
      <c r="Q7333" s="19" t="n"/>
      <c r="R7333" s="19" t="n"/>
      <c r="Y7333" s="19" t="n"/>
    </row>
    <row r="7334">
      <c r="C7334" s="18" t="n"/>
      <c r="J7334" s="19" t="n"/>
      <c r="P7334" s="20" t="n"/>
      <c r="Q7334" s="19" t="n"/>
      <c r="R7334" s="19" t="n"/>
      <c r="Y7334" s="19" t="n"/>
    </row>
    <row r="7335">
      <c r="C7335" s="18" t="n"/>
      <c r="J7335" s="19" t="n"/>
      <c r="P7335" s="20" t="n"/>
      <c r="Q7335" s="19" t="n"/>
      <c r="R7335" s="19" t="n"/>
      <c r="Y7335" s="19" t="n"/>
    </row>
    <row r="7336">
      <c r="C7336" s="18" t="n"/>
      <c r="J7336" s="19" t="n"/>
      <c r="P7336" s="20" t="n"/>
      <c r="Q7336" s="19" t="n"/>
      <c r="R7336" s="19" t="n"/>
      <c r="Y7336" s="19" t="n"/>
    </row>
    <row r="7337">
      <c r="C7337" s="18" t="n"/>
      <c r="J7337" s="19" t="n"/>
      <c r="P7337" s="20" t="n"/>
      <c r="Q7337" s="19" t="n"/>
      <c r="R7337" s="19" t="n"/>
      <c r="Y7337" s="19" t="n"/>
    </row>
    <row r="7338">
      <c r="C7338" s="18" t="n"/>
      <c r="J7338" s="19" t="n"/>
      <c r="P7338" s="20" t="n"/>
      <c r="Q7338" s="19" t="n"/>
      <c r="R7338" s="19" t="n"/>
      <c r="Y7338" s="19" t="n"/>
    </row>
    <row r="7339">
      <c r="C7339" s="18" t="n"/>
      <c r="J7339" s="19" t="n"/>
      <c r="P7339" s="20" t="n"/>
      <c r="Q7339" s="19" t="n"/>
      <c r="R7339" s="19" t="n"/>
      <c r="Y7339" s="19" t="n"/>
    </row>
    <row r="7340">
      <c r="C7340" s="18" t="n"/>
      <c r="J7340" s="19" t="n"/>
      <c r="P7340" s="20" t="n"/>
      <c r="Q7340" s="19" t="n"/>
      <c r="R7340" s="19" t="n"/>
      <c r="Y7340" s="19" t="n"/>
    </row>
    <row r="7341">
      <c r="C7341" s="18" t="n"/>
      <c r="J7341" s="19" t="n"/>
      <c r="P7341" s="20" t="n"/>
      <c r="Q7341" s="19" t="n"/>
      <c r="R7341" s="19" t="n"/>
      <c r="Y7341" s="19" t="n"/>
    </row>
    <row r="7342">
      <c r="C7342" s="18" t="n"/>
      <c r="J7342" s="19" t="n"/>
      <c r="P7342" s="20" t="n"/>
      <c r="Q7342" s="19" t="n"/>
      <c r="R7342" s="19" t="n"/>
      <c r="Y7342" s="19" t="n"/>
    </row>
    <row r="7343">
      <c r="C7343" s="18" t="n"/>
      <c r="J7343" s="19" t="n"/>
      <c r="P7343" s="20" t="n"/>
      <c r="Q7343" s="19" t="n"/>
      <c r="R7343" s="19" t="n"/>
      <c r="Y7343" s="19" t="n"/>
    </row>
    <row r="7344">
      <c r="C7344" s="18" t="n"/>
      <c r="J7344" s="19" t="n"/>
      <c r="P7344" s="20" t="n"/>
      <c r="Q7344" s="19" t="n"/>
      <c r="R7344" s="19" t="n"/>
      <c r="Y7344" s="19" t="n"/>
    </row>
    <row r="7345">
      <c r="C7345" s="18" t="n"/>
      <c r="J7345" s="19" t="n"/>
      <c r="P7345" s="20" t="n"/>
      <c r="Q7345" s="19" t="n"/>
      <c r="R7345" s="19" t="n"/>
      <c r="Y7345" s="19" t="n"/>
    </row>
    <row r="7346">
      <c r="C7346" s="18" t="n"/>
      <c r="J7346" s="19" t="n"/>
      <c r="P7346" s="20" t="n"/>
      <c r="Q7346" s="19" t="n"/>
      <c r="R7346" s="19" t="n"/>
      <c r="Y7346" s="19" t="n"/>
    </row>
    <row r="7347">
      <c r="C7347" s="18" t="n"/>
      <c r="J7347" s="19" t="n"/>
      <c r="P7347" s="20" t="n"/>
      <c r="Q7347" s="19" t="n"/>
      <c r="R7347" s="19" t="n"/>
      <c r="Y7347" s="19" t="n"/>
    </row>
    <row r="7348">
      <c r="C7348" s="18" t="n"/>
      <c r="J7348" s="19" t="n"/>
      <c r="P7348" s="20" t="n"/>
      <c r="Q7348" s="19" t="n"/>
      <c r="R7348" s="19" t="n"/>
      <c r="Y7348" s="19" t="n"/>
    </row>
    <row r="7349">
      <c r="C7349" s="18" t="n"/>
      <c r="J7349" s="19" t="n"/>
      <c r="P7349" s="20" t="n"/>
      <c r="Q7349" s="19" t="n"/>
      <c r="R7349" s="19" t="n"/>
      <c r="Y7349" s="19" t="n"/>
    </row>
    <row r="7350">
      <c r="C7350" s="18" t="n"/>
      <c r="J7350" s="19" t="n"/>
      <c r="P7350" s="20" t="n"/>
      <c r="Q7350" s="19" t="n"/>
      <c r="R7350" s="19" t="n"/>
      <c r="Y7350" s="19" t="n"/>
    </row>
    <row r="7351">
      <c r="C7351" s="18" t="n"/>
      <c r="J7351" s="19" t="n"/>
      <c r="P7351" s="20" t="n"/>
      <c r="Q7351" s="19" t="n"/>
      <c r="R7351" s="19" t="n"/>
      <c r="Y7351" s="19" t="n"/>
    </row>
    <row r="7352">
      <c r="C7352" s="18" t="n"/>
      <c r="J7352" s="19" t="n"/>
      <c r="P7352" s="20" t="n"/>
      <c r="Q7352" s="19" t="n"/>
      <c r="R7352" s="19" t="n"/>
      <c r="Y7352" s="19" t="n"/>
    </row>
    <row r="7353">
      <c r="C7353" s="18" t="n"/>
      <c r="J7353" s="19" t="n"/>
      <c r="P7353" s="20" t="n"/>
      <c r="Q7353" s="19" t="n"/>
      <c r="R7353" s="19" t="n"/>
      <c r="Y7353" s="19" t="n"/>
    </row>
    <row r="7354">
      <c r="C7354" s="18" t="n"/>
      <c r="J7354" s="19" t="n"/>
      <c r="P7354" s="20" t="n"/>
      <c r="Q7354" s="19" t="n"/>
      <c r="R7354" s="19" t="n"/>
      <c r="Y7354" s="19" t="n"/>
    </row>
    <row r="7355">
      <c r="C7355" s="18" t="n"/>
      <c r="J7355" s="19" t="n"/>
      <c r="P7355" s="20" t="n"/>
      <c r="Q7355" s="19" t="n"/>
      <c r="R7355" s="19" t="n"/>
      <c r="Y7355" s="19" t="n"/>
    </row>
    <row r="7356">
      <c r="C7356" s="18" t="n"/>
      <c r="J7356" s="19" t="n"/>
      <c r="P7356" s="20" t="n"/>
      <c r="Q7356" s="19" t="n"/>
      <c r="R7356" s="19" t="n"/>
      <c r="Y7356" s="19" t="n"/>
    </row>
    <row r="7357">
      <c r="C7357" s="18" t="n"/>
      <c r="J7357" s="19" t="n"/>
      <c r="P7357" s="20" t="n"/>
      <c r="Q7357" s="19" t="n"/>
      <c r="R7357" s="19" t="n"/>
      <c r="Y7357" s="19" t="n"/>
    </row>
    <row r="7358">
      <c r="C7358" s="18" t="n"/>
      <c r="J7358" s="19" t="n"/>
      <c r="P7358" s="20" t="n"/>
      <c r="Q7358" s="19" t="n"/>
      <c r="R7358" s="19" t="n"/>
      <c r="Y7358" s="19" t="n"/>
    </row>
    <row r="7359">
      <c r="C7359" s="18" t="n"/>
      <c r="J7359" s="19" t="n"/>
      <c r="P7359" s="20" t="n"/>
      <c r="Q7359" s="19" t="n"/>
      <c r="R7359" s="19" t="n"/>
      <c r="Y7359" s="19" t="n"/>
    </row>
    <row r="7360">
      <c r="C7360" s="18" t="n"/>
      <c r="J7360" s="19" t="n"/>
      <c r="P7360" s="20" t="n"/>
      <c r="Q7360" s="19" t="n"/>
      <c r="R7360" s="19" t="n"/>
      <c r="Y7360" s="19" t="n"/>
    </row>
    <row r="7361">
      <c r="C7361" s="18" t="n"/>
      <c r="J7361" s="19" t="n"/>
      <c r="P7361" s="20" t="n"/>
      <c r="Q7361" s="19" t="n"/>
      <c r="R7361" s="19" t="n"/>
      <c r="Y7361" s="19" t="n"/>
    </row>
    <row r="7362">
      <c r="C7362" s="18" t="n"/>
      <c r="J7362" s="19" t="n"/>
      <c r="P7362" s="20" t="n"/>
      <c r="Q7362" s="19" t="n"/>
      <c r="R7362" s="19" t="n"/>
      <c r="Y7362" s="19" t="n"/>
    </row>
    <row r="7363">
      <c r="C7363" s="18" t="n"/>
      <c r="J7363" s="19" t="n"/>
      <c r="P7363" s="20" t="n"/>
      <c r="Q7363" s="19" t="n"/>
      <c r="R7363" s="19" t="n"/>
      <c r="Y7363" s="19" t="n"/>
    </row>
    <row r="7364">
      <c r="C7364" s="18" t="n"/>
      <c r="J7364" s="19" t="n"/>
      <c r="P7364" s="20" t="n"/>
      <c r="Q7364" s="19" t="n"/>
      <c r="R7364" s="19" t="n"/>
      <c r="Y7364" s="19" t="n"/>
    </row>
    <row r="7365">
      <c r="C7365" s="18" t="n"/>
      <c r="J7365" s="19" t="n"/>
      <c r="P7365" s="20" t="n"/>
      <c r="Q7365" s="19" t="n"/>
      <c r="R7365" s="19" t="n"/>
      <c r="Y7365" s="19" t="n"/>
    </row>
    <row r="7366">
      <c r="C7366" s="18" t="n"/>
      <c r="J7366" s="19" t="n"/>
      <c r="P7366" s="20" t="n"/>
      <c r="Q7366" s="19" t="n"/>
      <c r="R7366" s="19" t="n"/>
      <c r="Y7366" s="19" t="n"/>
    </row>
    <row r="7367">
      <c r="C7367" s="18" t="n"/>
      <c r="J7367" s="19" t="n"/>
      <c r="P7367" s="20" t="n"/>
      <c r="Q7367" s="19" t="n"/>
      <c r="R7367" s="19" t="n"/>
      <c r="Y7367" s="19" t="n"/>
    </row>
    <row r="7368">
      <c r="C7368" s="18" t="n"/>
      <c r="J7368" s="19" t="n"/>
      <c r="P7368" s="20" t="n"/>
      <c r="Q7368" s="19" t="n"/>
      <c r="R7368" s="19" t="n"/>
      <c r="Y7368" s="19" t="n"/>
    </row>
    <row r="7369">
      <c r="C7369" s="18" t="n"/>
      <c r="J7369" s="19" t="n"/>
      <c r="P7369" s="20" t="n"/>
      <c r="Q7369" s="19" t="n"/>
      <c r="R7369" s="19" t="n"/>
      <c r="Y7369" s="19" t="n"/>
    </row>
    <row r="7370">
      <c r="C7370" s="18" t="n"/>
      <c r="J7370" s="19" t="n"/>
      <c r="P7370" s="20" t="n"/>
      <c r="Q7370" s="19" t="n"/>
      <c r="R7370" s="19" t="n"/>
      <c r="Y7370" s="19" t="n"/>
    </row>
    <row r="7371">
      <c r="C7371" s="18" t="n"/>
      <c r="J7371" s="19" t="n"/>
      <c r="P7371" s="20" t="n"/>
      <c r="Q7371" s="19" t="n"/>
      <c r="R7371" s="19" t="n"/>
      <c r="Y7371" s="19" t="n"/>
    </row>
    <row r="7372">
      <c r="C7372" s="18" t="n"/>
      <c r="J7372" s="19" t="n"/>
      <c r="P7372" s="20" t="n"/>
      <c r="Q7372" s="19" t="n"/>
      <c r="R7372" s="19" t="n"/>
      <c r="Y7372" s="19" t="n"/>
    </row>
    <row r="7373">
      <c r="C7373" s="18" t="n"/>
      <c r="J7373" s="19" t="n"/>
      <c r="P7373" s="20" t="n"/>
      <c r="Q7373" s="19" t="n"/>
      <c r="R7373" s="19" t="n"/>
      <c r="Y7373" s="19" t="n"/>
    </row>
    <row r="7374">
      <c r="C7374" s="18" t="n"/>
      <c r="J7374" s="19" t="n"/>
      <c r="P7374" s="20" t="n"/>
      <c r="Q7374" s="19" t="n"/>
      <c r="R7374" s="19" t="n"/>
      <c r="Y7374" s="19" t="n"/>
    </row>
    <row r="7375">
      <c r="C7375" s="18" t="n"/>
      <c r="J7375" s="19" t="n"/>
      <c r="P7375" s="20" t="n"/>
      <c r="Q7375" s="19" t="n"/>
      <c r="R7375" s="19" t="n"/>
      <c r="Y7375" s="19" t="n"/>
    </row>
    <row r="7376">
      <c r="C7376" s="18" t="n"/>
      <c r="J7376" s="19" t="n"/>
      <c r="P7376" s="20" t="n"/>
      <c r="Q7376" s="19" t="n"/>
      <c r="R7376" s="19" t="n"/>
      <c r="Y7376" s="19" t="n"/>
    </row>
    <row r="7377">
      <c r="C7377" s="18" t="n"/>
      <c r="J7377" s="19" t="n"/>
      <c r="P7377" s="20" t="n"/>
      <c r="Q7377" s="19" t="n"/>
      <c r="R7377" s="19" t="n"/>
      <c r="Y7377" s="19" t="n"/>
    </row>
    <row r="7378">
      <c r="C7378" s="18" t="n"/>
      <c r="J7378" s="19" t="n"/>
      <c r="P7378" s="20" t="n"/>
      <c r="Q7378" s="19" t="n"/>
      <c r="R7378" s="19" t="n"/>
      <c r="Y7378" s="19" t="n"/>
    </row>
    <row r="7379">
      <c r="C7379" s="18" t="n"/>
      <c r="J7379" s="19" t="n"/>
      <c r="P7379" s="20" t="n"/>
      <c r="Q7379" s="19" t="n"/>
      <c r="R7379" s="19" t="n"/>
      <c r="Y7379" s="19" t="n"/>
    </row>
    <row r="7380">
      <c r="C7380" s="18" t="n"/>
      <c r="J7380" s="19" t="n"/>
      <c r="P7380" s="20" t="n"/>
      <c r="Q7380" s="19" t="n"/>
      <c r="R7380" s="19" t="n"/>
      <c r="Y7380" s="19" t="n"/>
    </row>
    <row r="7381">
      <c r="C7381" s="18" t="n"/>
      <c r="J7381" s="19" t="n"/>
      <c r="P7381" s="20" t="n"/>
      <c r="Q7381" s="19" t="n"/>
      <c r="R7381" s="19" t="n"/>
      <c r="Y7381" s="19" t="n"/>
    </row>
    <row r="7382">
      <c r="C7382" s="18" t="n"/>
      <c r="J7382" s="19" t="n"/>
      <c r="P7382" s="20" t="n"/>
      <c r="Q7382" s="19" t="n"/>
      <c r="R7382" s="19" t="n"/>
      <c r="Y7382" s="19" t="n"/>
    </row>
    <row r="7383">
      <c r="C7383" s="18" t="n"/>
      <c r="J7383" s="19" t="n"/>
      <c r="P7383" s="20" t="n"/>
      <c r="Q7383" s="19" t="n"/>
      <c r="R7383" s="19" t="n"/>
      <c r="Y7383" s="19" t="n"/>
    </row>
    <row r="7384">
      <c r="C7384" s="18" t="n"/>
      <c r="J7384" s="19" t="n"/>
      <c r="P7384" s="20" t="n"/>
      <c r="Q7384" s="19" t="n"/>
      <c r="R7384" s="19" t="n"/>
      <c r="Y7384" s="19" t="n"/>
    </row>
    <row r="7385">
      <c r="C7385" s="18" t="n"/>
      <c r="J7385" s="19" t="n"/>
      <c r="P7385" s="20" t="n"/>
      <c r="Q7385" s="19" t="n"/>
      <c r="R7385" s="19" t="n"/>
      <c r="Y7385" s="19" t="n"/>
    </row>
    <row r="7386">
      <c r="C7386" s="18" t="n"/>
      <c r="J7386" s="19" t="n"/>
      <c r="P7386" s="20" t="n"/>
      <c r="Q7386" s="19" t="n"/>
      <c r="R7386" s="19" t="n"/>
      <c r="Y7386" s="19" t="n"/>
    </row>
    <row r="7387">
      <c r="C7387" s="18" t="n"/>
      <c r="J7387" s="19" t="n"/>
      <c r="P7387" s="20" t="n"/>
      <c r="Q7387" s="19" t="n"/>
      <c r="R7387" s="19" t="n"/>
      <c r="Y7387" s="19" t="n"/>
    </row>
    <row r="7388">
      <c r="C7388" s="18" t="n"/>
      <c r="J7388" s="19" t="n"/>
      <c r="P7388" s="20" t="n"/>
      <c r="Q7388" s="19" t="n"/>
      <c r="R7388" s="19" t="n"/>
      <c r="Y7388" s="19" t="n"/>
    </row>
    <row r="7389">
      <c r="C7389" s="18" t="n"/>
      <c r="J7389" s="19" t="n"/>
      <c r="P7389" s="20" t="n"/>
      <c r="Q7389" s="19" t="n"/>
      <c r="R7389" s="19" t="n"/>
      <c r="Y7389" s="19" t="n"/>
    </row>
    <row r="7390">
      <c r="C7390" s="18" t="n"/>
      <c r="J7390" s="19" t="n"/>
      <c r="P7390" s="20" t="n"/>
      <c r="Q7390" s="19" t="n"/>
      <c r="R7390" s="19" t="n"/>
      <c r="Y7390" s="19" t="n"/>
    </row>
    <row r="7391">
      <c r="C7391" s="18" t="n"/>
      <c r="J7391" s="19" t="n"/>
      <c r="P7391" s="20" t="n"/>
      <c r="Q7391" s="19" t="n"/>
      <c r="R7391" s="19" t="n"/>
      <c r="Y7391" s="19" t="n"/>
    </row>
    <row r="7392">
      <c r="C7392" s="18" t="n"/>
      <c r="J7392" s="19" t="n"/>
      <c r="P7392" s="20" t="n"/>
      <c r="Q7392" s="19" t="n"/>
      <c r="R7392" s="19" t="n"/>
      <c r="Y7392" s="19" t="n"/>
    </row>
    <row r="7393">
      <c r="C7393" s="18" t="n"/>
      <c r="J7393" s="19" t="n"/>
      <c r="P7393" s="20" t="n"/>
      <c r="Q7393" s="19" t="n"/>
      <c r="R7393" s="19" t="n"/>
      <c r="Y7393" s="19" t="n"/>
    </row>
    <row r="7394">
      <c r="C7394" s="18" t="n"/>
      <c r="J7394" s="19" t="n"/>
      <c r="P7394" s="20" t="n"/>
      <c r="Q7394" s="19" t="n"/>
      <c r="R7394" s="19" t="n"/>
      <c r="Y7394" s="19" t="n"/>
    </row>
    <row r="7395">
      <c r="C7395" s="18" t="n"/>
      <c r="J7395" s="19" t="n"/>
      <c r="P7395" s="20" t="n"/>
      <c r="Q7395" s="19" t="n"/>
      <c r="R7395" s="19" t="n"/>
      <c r="Y7395" s="19" t="n"/>
    </row>
    <row r="7396">
      <c r="C7396" s="18" t="n"/>
      <c r="J7396" s="19" t="n"/>
      <c r="P7396" s="20" t="n"/>
      <c r="Q7396" s="19" t="n"/>
      <c r="R7396" s="19" t="n"/>
      <c r="Y7396" s="19" t="n"/>
    </row>
    <row r="7397">
      <c r="C7397" s="18" t="n"/>
      <c r="J7397" s="19" t="n"/>
      <c r="P7397" s="20" t="n"/>
      <c r="Q7397" s="19" t="n"/>
      <c r="R7397" s="19" t="n"/>
      <c r="Y7397" s="19" t="n"/>
    </row>
    <row r="7398">
      <c r="C7398" s="18" t="n"/>
      <c r="J7398" s="19" t="n"/>
      <c r="P7398" s="20" t="n"/>
      <c r="Q7398" s="19" t="n"/>
      <c r="R7398" s="19" t="n"/>
      <c r="Y7398" s="19" t="n"/>
    </row>
    <row r="7399">
      <c r="C7399" s="18" t="n"/>
      <c r="J7399" s="19" t="n"/>
      <c r="P7399" s="20" t="n"/>
      <c r="Q7399" s="19" t="n"/>
      <c r="R7399" s="19" t="n"/>
      <c r="Y7399" s="19" t="n"/>
    </row>
    <row r="7400">
      <c r="C7400" s="18" t="n"/>
      <c r="J7400" s="19" t="n"/>
      <c r="P7400" s="20" t="n"/>
      <c r="Q7400" s="19" t="n"/>
      <c r="R7400" s="19" t="n"/>
      <c r="Y7400" s="19" t="n"/>
    </row>
    <row r="7401">
      <c r="C7401" s="18" t="n"/>
      <c r="J7401" s="19" t="n"/>
      <c r="P7401" s="20" t="n"/>
      <c r="Q7401" s="19" t="n"/>
      <c r="R7401" s="19" t="n"/>
      <c r="Y7401" s="19" t="n"/>
    </row>
    <row r="7402">
      <c r="C7402" s="18" t="n"/>
      <c r="J7402" s="19" t="n"/>
      <c r="P7402" s="20" t="n"/>
      <c r="Q7402" s="19" t="n"/>
      <c r="R7402" s="19" t="n"/>
      <c r="Y7402" s="19" t="n"/>
    </row>
    <row r="7403">
      <c r="C7403" s="18" t="n"/>
      <c r="J7403" s="19" t="n"/>
      <c r="P7403" s="20" t="n"/>
      <c r="Q7403" s="19" t="n"/>
      <c r="R7403" s="19" t="n"/>
      <c r="Y7403" s="19" t="n"/>
    </row>
    <row r="7404">
      <c r="C7404" s="18" t="n"/>
      <c r="J7404" s="19" t="n"/>
      <c r="P7404" s="20" t="n"/>
      <c r="Q7404" s="19" t="n"/>
      <c r="R7404" s="19" t="n"/>
      <c r="Y7404" s="19" t="n"/>
    </row>
    <row r="7405">
      <c r="C7405" s="18" t="n"/>
      <c r="J7405" s="19" t="n"/>
      <c r="P7405" s="20" t="n"/>
      <c r="Q7405" s="19" t="n"/>
      <c r="R7405" s="19" t="n"/>
      <c r="Y7405" s="19" t="n"/>
    </row>
    <row r="7406">
      <c r="C7406" s="18" t="n"/>
      <c r="J7406" s="19" t="n"/>
      <c r="P7406" s="20" t="n"/>
      <c r="Q7406" s="19" t="n"/>
      <c r="R7406" s="19" t="n"/>
      <c r="Y7406" s="19" t="n"/>
    </row>
    <row r="7407">
      <c r="C7407" s="18" t="n"/>
      <c r="J7407" s="19" t="n"/>
      <c r="P7407" s="20" t="n"/>
      <c r="Q7407" s="19" t="n"/>
      <c r="R7407" s="19" t="n"/>
      <c r="Y7407" s="19" t="n"/>
    </row>
    <row r="7408">
      <c r="C7408" s="18" t="n"/>
      <c r="J7408" s="19" t="n"/>
      <c r="P7408" s="20" t="n"/>
      <c r="Q7408" s="19" t="n"/>
      <c r="R7408" s="19" t="n"/>
      <c r="Y7408" s="19" t="n"/>
    </row>
    <row r="7409">
      <c r="C7409" s="18" t="n"/>
      <c r="J7409" s="19" t="n"/>
      <c r="P7409" s="20" t="n"/>
      <c r="Q7409" s="19" t="n"/>
      <c r="R7409" s="19" t="n"/>
      <c r="Y7409" s="19" t="n"/>
    </row>
    <row r="7410">
      <c r="C7410" s="18" t="n"/>
      <c r="J7410" s="19" t="n"/>
      <c r="P7410" s="20" t="n"/>
      <c r="Q7410" s="19" t="n"/>
      <c r="R7410" s="19" t="n"/>
      <c r="Y7410" s="19" t="n"/>
    </row>
    <row r="7411">
      <c r="C7411" s="18" t="n"/>
      <c r="J7411" s="19" t="n"/>
      <c r="P7411" s="20" t="n"/>
      <c r="Q7411" s="19" t="n"/>
      <c r="R7411" s="19" t="n"/>
      <c r="Y7411" s="19" t="n"/>
    </row>
    <row r="7412">
      <c r="C7412" s="18" t="n"/>
      <c r="J7412" s="19" t="n"/>
      <c r="P7412" s="20" t="n"/>
      <c r="Q7412" s="19" t="n"/>
      <c r="R7412" s="19" t="n"/>
      <c r="Y7412" s="19" t="n"/>
    </row>
    <row r="7413">
      <c r="C7413" s="18" t="n"/>
      <c r="J7413" s="19" t="n"/>
      <c r="P7413" s="20" t="n"/>
      <c r="Q7413" s="19" t="n"/>
      <c r="R7413" s="19" t="n"/>
      <c r="Y7413" s="19" t="n"/>
    </row>
    <row r="7414">
      <c r="C7414" s="18" t="n"/>
      <c r="J7414" s="19" t="n"/>
      <c r="P7414" s="20" t="n"/>
      <c r="Q7414" s="19" t="n"/>
      <c r="R7414" s="19" t="n"/>
      <c r="Y7414" s="19" t="n"/>
    </row>
    <row r="7415">
      <c r="C7415" s="18" t="n"/>
      <c r="J7415" s="19" t="n"/>
      <c r="P7415" s="20" t="n"/>
      <c r="Q7415" s="19" t="n"/>
      <c r="R7415" s="19" t="n"/>
      <c r="Y7415" s="19" t="n"/>
    </row>
    <row r="7416">
      <c r="C7416" s="18" t="n"/>
      <c r="J7416" s="19" t="n"/>
      <c r="P7416" s="20" t="n"/>
      <c r="Q7416" s="19" t="n"/>
      <c r="R7416" s="19" t="n"/>
      <c r="Y7416" s="19" t="n"/>
    </row>
    <row r="7417">
      <c r="C7417" s="18" t="n"/>
      <c r="J7417" s="19" t="n"/>
      <c r="P7417" s="20" t="n"/>
      <c r="Q7417" s="19" t="n"/>
      <c r="R7417" s="19" t="n"/>
      <c r="Y7417" s="19" t="n"/>
    </row>
    <row r="7418">
      <c r="C7418" s="18" t="n"/>
      <c r="J7418" s="19" t="n"/>
      <c r="P7418" s="20" t="n"/>
      <c r="Q7418" s="19" t="n"/>
      <c r="R7418" s="19" t="n"/>
      <c r="Y7418" s="19" t="n"/>
    </row>
    <row r="7419">
      <c r="C7419" s="18" t="n"/>
      <c r="J7419" s="19" t="n"/>
      <c r="P7419" s="20" t="n"/>
      <c r="Q7419" s="19" t="n"/>
      <c r="R7419" s="19" t="n"/>
      <c r="Y7419" s="19" t="n"/>
    </row>
    <row r="7420">
      <c r="C7420" s="18" t="n"/>
      <c r="J7420" s="19" t="n"/>
      <c r="P7420" s="20" t="n"/>
      <c r="Q7420" s="19" t="n"/>
      <c r="R7420" s="19" t="n"/>
      <c r="Y7420" s="19" t="n"/>
    </row>
    <row r="7421">
      <c r="C7421" s="18" t="n"/>
      <c r="J7421" s="19" t="n"/>
      <c r="P7421" s="20" t="n"/>
      <c r="Q7421" s="19" t="n"/>
      <c r="R7421" s="19" t="n"/>
      <c r="Y7421" s="19" t="n"/>
    </row>
    <row r="7422">
      <c r="C7422" s="18" t="n"/>
      <c r="J7422" s="19" t="n"/>
      <c r="P7422" s="20" t="n"/>
      <c r="Q7422" s="19" t="n"/>
      <c r="R7422" s="19" t="n"/>
      <c r="Y7422" s="19" t="n"/>
    </row>
    <row r="7423">
      <c r="C7423" s="18" t="n"/>
      <c r="J7423" s="19" t="n"/>
      <c r="P7423" s="20" t="n"/>
      <c r="Q7423" s="19" t="n"/>
      <c r="R7423" s="19" t="n"/>
      <c r="Y7423" s="19" t="n"/>
    </row>
    <row r="7424">
      <c r="C7424" s="18" t="n"/>
      <c r="J7424" s="19" t="n"/>
      <c r="P7424" s="20" t="n"/>
      <c r="Q7424" s="19" t="n"/>
      <c r="R7424" s="19" t="n"/>
      <c r="Y7424" s="19" t="n"/>
    </row>
    <row r="7425">
      <c r="C7425" s="18" t="n"/>
      <c r="J7425" s="19" t="n"/>
      <c r="P7425" s="20" t="n"/>
      <c r="Q7425" s="19" t="n"/>
      <c r="R7425" s="19" t="n"/>
      <c r="Y7425" s="19" t="n"/>
    </row>
    <row r="7426">
      <c r="C7426" s="18" t="n"/>
      <c r="J7426" s="19" t="n"/>
      <c r="P7426" s="20" t="n"/>
      <c r="Q7426" s="19" t="n"/>
      <c r="R7426" s="19" t="n"/>
      <c r="Y7426" s="19" t="n"/>
    </row>
    <row r="7427">
      <c r="C7427" s="18" t="n"/>
      <c r="J7427" s="19" t="n"/>
      <c r="P7427" s="20" t="n"/>
      <c r="Q7427" s="19" t="n"/>
      <c r="R7427" s="19" t="n"/>
      <c r="Y7427" s="19" t="n"/>
    </row>
    <row r="7428">
      <c r="C7428" s="18" t="n"/>
      <c r="J7428" s="19" t="n"/>
      <c r="P7428" s="20" t="n"/>
      <c r="Q7428" s="19" t="n"/>
      <c r="R7428" s="19" t="n"/>
      <c r="Y7428" s="19" t="n"/>
    </row>
    <row r="7429">
      <c r="C7429" s="18" t="n"/>
      <c r="J7429" s="19" t="n"/>
      <c r="P7429" s="20" t="n"/>
      <c r="Q7429" s="19" t="n"/>
      <c r="R7429" s="19" t="n"/>
      <c r="Y7429" s="19" t="n"/>
    </row>
    <row r="7430">
      <c r="C7430" s="18" t="n"/>
      <c r="J7430" s="19" t="n"/>
      <c r="P7430" s="20" t="n"/>
      <c r="Q7430" s="19" t="n"/>
      <c r="R7430" s="19" t="n"/>
      <c r="Y7430" s="19" t="n"/>
    </row>
    <row r="7431">
      <c r="C7431" s="18" t="n"/>
      <c r="J7431" s="19" t="n"/>
      <c r="P7431" s="20" t="n"/>
      <c r="Q7431" s="19" t="n"/>
      <c r="R7431" s="19" t="n"/>
      <c r="Y7431" s="19" t="n"/>
    </row>
    <row r="7432">
      <c r="C7432" s="18" t="n"/>
      <c r="J7432" s="19" t="n"/>
      <c r="P7432" s="20" t="n"/>
      <c r="Q7432" s="19" t="n"/>
      <c r="R7432" s="19" t="n"/>
      <c r="Y7432" s="19" t="n"/>
    </row>
    <row r="7433">
      <c r="C7433" s="18" t="n"/>
      <c r="J7433" s="19" t="n"/>
      <c r="P7433" s="20" t="n"/>
      <c r="Q7433" s="19" t="n"/>
      <c r="R7433" s="19" t="n"/>
      <c r="Y7433" s="19" t="n"/>
    </row>
    <row r="7434">
      <c r="C7434" s="18" t="n"/>
      <c r="J7434" s="19" t="n"/>
      <c r="P7434" s="20" t="n"/>
      <c r="Q7434" s="19" t="n"/>
      <c r="R7434" s="19" t="n"/>
      <c r="Y7434" s="19" t="n"/>
    </row>
    <row r="7435">
      <c r="C7435" s="18" t="n"/>
      <c r="J7435" s="19" t="n"/>
      <c r="P7435" s="20" t="n"/>
      <c r="Q7435" s="19" t="n"/>
      <c r="R7435" s="19" t="n"/>
      <c r="Y7435" s="19" t="n"/>
    </row>
    <row r="7436">
      <c r="C7436" s="18" t="n"/>
      <c r="J7436" s="19" t="n"/>
      <c r="P7436" s="20" t="n"/>
      <c r="Q7436" s="19" t="n"/>
      <c r="R7436" s="19" t="n"/>
      <c r="Y7436" s="19" t="n"/>
    </row>
    <row r="7437">
      <c r="C7437" s="18" t="n"/>
      <c r="J7437" s="19" t="n"/>
      <c r="P7437" s="20" t="n"/>
      <c r="Q7437" s="19" t="n"/>
      <c r="R7437" s="19" t="n"/>
      <c r="Y7437" s="19" t="n"/>
    </row>
    <row r="7438">
      <c r="C7438" s="18" t="n"/>
      <c r="J7438" s="19" t="n"/>
      <c r="P7438" s="20" t="n"/>
      <c r="Q7438" s="19" t="n"/>
      <c r="R7438" s="19" t="n"/>
      <c r="Y7438" s="19" t="n"/>
    </row>
    <row r="7439">
      <c r="C7439" s="18" t="n"/>
      <c r="J7439" s="19" t="n"/>
      <c r="P7439" s="20" t="n"/>
      <c r="Q7439" s="19" t="n"/>
      <c r="R7439" s="19" t="n"/>
      <c r="Y7439" s="19" t="n"/>
    </row>
    <row r="7440">
      <c r="C7440" s="18" t="n"/>
      <c r="J7440" s="19" t="n"/>
      <c r="P7440" s="20" t="n"/>
      <c r="Q7440" s="19" t="n"/>
      <c r="R7440" s="19" t="n"/>
      <c r="Y7440" s="19" t="n"/>
    </row>
    <row r="7441">
      <c r="C7441" s="18" t="n"/>
      <c r="J7441" s="19" t="n"/>
      <c r="P7441" s="20" t="n"/>
      <c r="Q7441" s="19" t="n"/>
      <c r="R7441" s="19" t="n"/>
      <c r="Y7441" s="19" t="n"/>
    </row>
    <row r="7442">
      <c r="C7442" s="18" t="n"/>
      <c r="J7442" s="19" t="n"/>
      <c r="P7442" s="20" t="n"/>
      <c r="Q7442" s="19" t="n"/>
      <c r="R7442" s="19" t="n"/>
      <c r="Y7442" s="19" t="n"/>
    </row>
    <row r="7443">
      <c r="C7443" s="18" t="n"/>
      <c r="J7443" s="19" t="n"/>
      <c r="P7443" s="20" t="n"/>
      <c r="Q7443" s="19" t="n"/>
      <c r="R7443" s="19" t="n"/>
      <c r="Y7443" s="19" t="n"/>
    </row>
    <row r="7444">
      <c r="C7444" s="18" t="n"/>
      <c r="J7444" s="19" t="n"/>
      <c r="P7444" s="20" t="n"/>
      <c r="Q7444" s="19" t="n"/>
      <c r="R7444" s="19" t="n"/>
      <c r="Y7444" s="19" t="n"/>
    </row>
    <row r="7445">
      <c r="C7445" s="18" t="n"/>
      <c r="J7445" s="19" t="n"/>
      <c r="P7445" s="20" t="n"/>
      <c r="Q7445" s="19" t="n"/>
      <c r="R7445" s="19" t="n"/>
      <c r="Y7445" s="19" t="n"/>
    </row>
    <row r="7446">
      <c r="C7446" s="18" t="n"/>
      <c r="J7446" s="19" t="n"/>
      <c r="P7446" s="20" t="n"/>
      <c r="Q7446" s="19" t="n"/>
      <c r="R7446" s="19" t="n"/>
      <c r="Y7446" s="19" t="n"/>
    </row>
    <row r="7447">
      <c r="C7447" s="18" t="n"/>
      <c r="J7447" s="19" t="n"/>
      <c r="P7447" s="20" t="n"/>
      <c r="Q7447" s="19" t="n"/>
      <c r="R7447" s="19" t="n"/>
      <c r="Y7447" s="19" t="n"/>
    </row>
    <row r="7448">
      <c r="C7448" s="18" t="n"/>
      <c r="J7448" s="19" t="n"/>
      <c r="P7448" s="20" t="n"/>
      <c r="Q7448" s="19" t="n"/>
      <c r="R7448" s="19" t="n"/>
      <c r="Y7448" s="19" t="n"/>
    </row>
    <row r="7449">
      <c r="C7449" s="18" t="n"/>
      <c r="J7449" s="19" t="n"/>
      <c r="P7449" s="20" t="n"/>
      <c r="Q7449" s="19" t="n"/>
      <c r="R7449" s="19" t="n"/>
      <c r="Y7449" s="19" t="n"/>
    </row>
    <row r="7450">
      <c r="C7450" s="18" t="n"/>
      <c r="J7450" s="19" t="n"/>
      <c r="P7450" s="20" t="n"/>
      <c r="Q7450" s="19" t="n"/>
      <c r="R7450" s="19" t="n"/>
      <c r="Y7450" s="19" t="n"/>
    </row>
    <row r="7451">
      <c r="C7451" s="18" t="n"/>
      <c r="J7451" s="19" t="n"/>
      <c r="P7451" s="20" t="n"/>
      <c r="Q7451" s="19" t="n"/>
      <c r="R7451" s="19" t="n"/>
      <c r="Y7451" s="19" t="n"/>
    </row>
    <row r="7452">
      <c r="C7452" s="18" t="n"/>
      <c r="J7452" s="19" t="n"/>
      <c r="P7452" s="20" t="n"/>
      <c r="Q7452" s="19" t="n"/>
      <c r="R7452" s="19" t="n"/>
      <c r="Y7452" s="19" t="n"/>
    </row>
    <row r="7453">
      <c r="C7453" s="18" t="n"/>
      <c r="J7453" s="19" t="n"/>
      <c r="P7453" s="20" t="n"/>
      <c r="Q7453" s="19" t="n"/>
      <c r="R7453" s="19" t="n"/>
      <c r="Y7453" s="19" t="n"/>
    </row>
    <row r="7454">
      <c r="C7454" s="18" t="n"/>
      <c r="J7454" s="19" t="n"/>
      <c r="P7454" s="20" t="n"/>
      <c r="Q7454" s="19" t="n"/>
      <c r="R7454" s="19" t="n"/>
      <c r="Y7454" s="19" t="n"/>
    </row>
    <row r="7455">
      <c r="C7455" s="18" t="n"/>
      <c r="J7455" s="19" t="n"/>
      <c r="P7455" s="20" t="n"/>
      <c r="Q7455" s="19" t="n"/>
      <c r="R7455" s="19" t="n"/>
      <c r="Y7455" s="19" t="n"/>
    </row>
    <row r="7456">
      <c r="C7456" s="18" t="n"/>
      <c r="J7456" s="19" t="n"/>
      <c r="P7456" s="20" t="n"/>
      <c r="Q7456" s="19" t="n"/>
      <c r="R7456" s="19" t="n"/>
      <c r="Y7456" s="19" t="n"/>
    </row>
    <row r="7457">
      <c r="C7457" s="18" t="n"/>
      <c r="J7457" s="19" t="n"/>
      <c r="P7457" s="20" t="n"/>
      <c r="Q7457" s="19" t="n"/>
      <c r="R7457" s="19" t="n"/>
      <c r="Y7457" s="19" t="n"/>
    </row>
    <row r="7458">
      <c r="C7458" s="18" t="n"/>
      <c r="J7458" s="19" t="n"/>
      <c r="P7458" s="20" t="n"/>
      <c r="Q7458" s="19" t="n"/>
      <c r="R7458" s="19" t="n"/>
      <c r="Y7458" s="19" t="n"/>
    </row>
    <row r="7459">
      <c r="C7459" s="18" t="n"/>
      <c r="J7459" s="19" t="n"/>
      <c r="P7459" s="20" t="n"/>
      <c r="Q7459" s="19" t="n"/>
      <c r="R7459" s="19" t="n"/>
      <c r="Y7459" s="19" t="n"/>
    </row>
    <row r="7460">
      <c r="C7460" s="18" t="n"/>
      <c r="J7460" s="19" t="n"/>
      <c r="P7460" s="20" t="n"/>
      <c r="Q7460" s="19" t="n"/>
      <c r="R7460" s="19" t="n"/>
      <c r="Y7460" s="19" t="n"/>
    </row>
    <row r="7461">
      <c r="C7461" s="18" t="n"/>
      <c r="J7461" s="19" t="n"/>
      <c r="P7461" s="20" t="n"/>
      <c r="Q7461" s="19" t="n"/>
      <c r="R7461" s="19" t="n"/>
      <c r="Y7461" s="19" t="n"/>
    </row>
    <row r="7462">
      <c r="C7462" s="18" t="n"/>
      <c r="J7462" s="19" t="n"/>
      <c r="P7462" s="20" t="n"/>
      <c r="Q7462" s="19" t="n"/>
      <c r="R7462" s="19" t="n"/>
      <c r="Y7462" s="19" t="n"/>
    </row>
    <row r="7463">
      <c r="C7463" s="18" t="n"/>
      <c r="J7463" s="19" t="n"/>
      <c r="P7463" s="20" t="n"/>
      <c r="Q7463" s="19" t="n"/>
      <c r="R7463" s="19" t="n"/>
      <c r="Y7463" s="19" t="n"/>
    </row>
    <row r="7464">
      <c r="C7464" s="18" t="n"/>
      <c r="J7464" s="19" t="n"/>
      <c r="P7464" s="20" t="n"/>
      <c r="Q7464" s="19" t="n"/>
      <c r="R7464" s="19" t="n"/>
      <c r="Y7464" s="19" t="n"/>
    </row>
    <row r="7465">
      <c r="C7465" s="18" t="n"/>
      <c r="J7465" s="19" t="n"/>
      <c r="P7465" s="20" t="n"/>
      <c r="Q7465" s="19" t="n"/>
      <c r="R7465" s="19" t="n"/>
      <c r="Y7465" s="19" t="n"/>
    </row>
    <row r="7466">
      <c r="C7466" s="18" t="n"/>
      <c r="J7466" s="19" t="n"/>
      <c r="P7466" s="20" t="n"/>
      <c r="Q7466" s="19" t="n"/>
      <c r="R7466" s="19" t="n"/>
      <c r="Y7466" s="19" t="n"/>
    </row>
    <row r="7467">
      <c r="C7467" s="18" t="n"/>
      <c r="J7467" s="19" t="n"/>
      <c r="P7467" s="20" t="n"/>
      <c r="Q7467" s="19" t="n"/>
      <c r="R7467" s="19" t="n"/>
      <c r="Y7467" s="19" t="n"/>
    </row>
    <row r="7468">
      <c r="C7468" s="18" t="n"/>
      <c r="J7468" s="19" t="n"/>
      <c r="P7468" s="20" t="n"/>
      <c r="Q7468" s="19" t="n"/>
      <c r="R7468" s="19" t="n"/>
      <c r="Y7468" s="19" t="n"/>
    </row>
    <row r="7469">
      <c r="C7469" s="18" t="n"/>
      <c r="J7469" s="19" t="n"/>
      <c r="P7469" s="20" t="n"/>
      <c r="Q7469" s="19" t="n"/>
      <c r="R7469" s="19" t="n"/>
      <c r="Y7469" s="19" t="n"/>
    </row>
    <row r="7470">
      <c r="C7470" s="18" t="n"/>
      <c r="J7470" s="19" t="n"/>
      <c r="P7470" s="20" t="n"/>
      <c r="Q7470" s="19" t="n"/>
      <c r="R7470" s="19" t="n"/>
      <c r="Y7470" s="19" t="n"/>
    </row>
    <row r="7471">
      <c r="C7471" s="18" t="n"/>
      <c r="J7471" s="19" t="n"/>
      <c r="P7471" s="20" t="n"/>
      <c r="Q7471" s="19" t="n"/>
      <c r="R7471" s="19" t="n"/>
      <c r="Y7471" s="19" t="n"/>
    </row>
    <row r="7472">
      <c r="C7472" s="18" t="n"/>
      <c r="J7472" s="19" t="n"/>
      <c r="P7472" s="20" t="n"/>
      <c r="Q7472" s="19" t="n"/>
      <c r="R7472" s="19" t="n"/>
      <c r="Y7472" s="19" t="n"/>
    </row>
    <row r="7473">
      <c r="C7473" s="18" t="n"/>
      <c r="J7473" s="19" t="n"/>
      <c r="P7473" s="20" t="n"/>
      <c r="Q7473" s="19" t="n"/>
      <c r="R7473" s="19" t="n"/>
      <c r="Y7473" s="19" t="n"/>
    </row>
    <row r="7474">
      <c r="C7474" s="18" t="n"/>
      <c r="J7474" s="19" t="n"/>
      <c r="P7474" s="20" t="n"/>
      <c r="Q7474" s="19" t="n"/>
      <c r="R7474" s="19" t="n"/>
      <c r="Y7474" s="19" t="n"/>
    </row>
    <row r="7475">
      <c r="C7475" s="18" t="n"/>
      <c r="J7475" s="19" t="n"/>
      <c r="P7475" s="20" t="n"/>
      <c r="Q7475" s="19" t="n"/>
      <c r="R7475" s="19" t="n"/>
      <c r="Y7475" s="19" t="n"/>
    </row>
    <row r="7476">
      <c r="C7476" s="18" t="n"/>
      <c r="J7476" s="19" t="n"/>
      <c r="P7476" s="20" t="n"/>
      <c r="Q7476" s="19" t="n"/>
      <c r="R7476" s="19" t="n"/>
      <c r="Y7476" s="19" t="n"/>
    </row>
    <row r="7477">
      <c r="C7477" s="18" t="n"/>
      <c r="J7477" s="19" t="n"/>
      <c r="P7477" s="20" t="n"/>
      <c r="Q7477" s="19" t="n"/>
      <c r="R7477" s="19" t="n"/>
      <c r="Y7477" s="19" t="n"/>
    </row>
    <row r="7478">
      <c r="C7478" s="18" t="n"/>
      <c r="J7478" s="19" t="n"/>
      <c r="P7478" s="20" t="n"/>
      <c r="Q7478" s="19" t="n"/>
      <c r="R7478" s="19" t="n"/>
      <c r="Y7478" s="19" t="n"/>
    </row>
    <row r="7479">
      <c r="C7479" s="18" t="n"/>
      <c r="J7479" s="19" t="n"/>
      <c r="P7479" s="20" t="n"/>
      <c r="Q7479" s="19" t="n"/>
      <c r="R7479" s="19" t="n"/>
      <c r="Y7479" s="19" t="n"/>
    </row>
    <row r="7480">
      <c r="C7480" s="18" t="n"/>
      <c r="J7480" s="19" t="n"/>
      <c r="P7480" s="20" t="n"/>
      <c r="Q7480" s="19" t="n"/>
      <c r="R7480" s="19" t="n"/>
      <c r="Y7480" s="19" t="n"/>
    </row>
    <row r="7481">
      <c r="C7481" s="18" t="n"/>
      <c r="J7481" s="19" t="n"/>
      <c r="P7481" s="20" t="n"/>
      <c r="Q7481" s="19" t="n"/>
      <c r="R7481" s="19" t="n"/>
      <c r="Y7481" s="19" t="n"/>
    </row>
    <row r="7482">
      <c r="C7482" s="18" t="n"/>
      <c r="J7482" s="19" t="n"/>
      <c r="P7482" s="20" t="n"/>
      <c r="Q7482" s="19" t="n"/>
      <c r="R7482" s="19" t="n"/>
      <c r="Y7482" s="19" t="n"/>
    </row>
    <row r="7483">
      <c r="C7483" s="18" t="n"/>
      <c r="J7483" s="19" t="n"/>
      <c r="P7483" s="20" t="n"/>
      <c r="Q7483" s="19" t="n"/>
      <c r="R7483" s="19" t="n"/>
      <c r="Y7483" s="19" t="n"/>
    </row>
    <row r="7484">
      <c r="C7484" s="18" t="n"/>
      <c r="J7484" s="19" t="n"/>
      <c r="P7484" s="20" t="n"/>
      <c r="Q7484" s="19" t="n"/>
      <c r="R7484" s="19" t="n"/>
      <c r="Y7484" s="19" t="n"/>
    </row>
    <row r="7485">
      <c r="C7485" s="18" t="n"/>
      <c r="J7485" s="19" t="n"/>
      <c r="P7485" s="20" t="n"/>
      <c r="Q7485" s="19" t="n"/>
      <c r="R7485" s="19" t="n"/>
      <c r="Y7485" s="19" t="n"/>
    </row>
    <row r="7486">
      <c r="C7486" s="18" t="n"/>
      <c r="J7486" s="19" t="n"/>
      <c r="P7486" s="20" t="n"/>
      <c r="Q7486" s="19" t="n"/>
      <c r="R7486" s="19" t="n"/>
      <c r="Y7486" s="19" t="n"/>
    </row>
    <row r="7487">
      <c r="C7487" s="18" t="n"/>
      <c r="J7487" s="19" t="n"/>
      <c r="P7487" s="20" t="n"/>
      <c r="Q7487" s="19" t="n"/>
      <c r="R7487" s="19" t="n"/>
      <c r="Y7487" s="19" t="n"/>
    </row>
    <row r="7488">
      <c r="C7488" s="18" t="n"/>
      <c r="J7488" s="19" t="n"/>
      <c r="P7488" s="20" t="n"/>
      <c r="Q7488" s="19" t="n"/>
      <c r="R7488" s="19" t="n"/>
      <c r="Y7488" s="19" t="n"/>
    </row>
    <row r="7489">
      <c r="C7489" s="18" t="n"/>
      <c r="J7489" s="19" t="n"/>
      <c r="P7489" s="20" t="n"/>
      <c r="Q7489" s="19" t="n"/>
      <c r="R7489" s="19" t="n"/>
      <c r="Y7489" s="19" t="n"/>
    </row>
    <row r="7490">
      <c r="C7490" s="18" t="n"/>
      <c r="J7490" s="19" t="n"/>
      <c r="P7490" s="20" t="n"/>
      <c r="Q7490" s="19" t="n"/>
      <c r="R7490" s="19" t="n"/>
      <c r="Y7490" s="19" t="n"/>
    </row>
    <row r="7491">
      <c r="C7491" s="18" t="n"/>
      <c r="J7491" s="19" t="n"/>
      <c r="P7491" s="20" t="n"/>
      <c r="Q7491" s="19" t="n"/>
      <c r="R7491" s="19" t="n"/>
      <c r="Y7491" s="19" t="n"/>
    </row>
    <row r="7492">
      <c r="C7492" s="18" t="n"/>
      <c r="J7492" s="19" t="n"/>
      <c r="P7492" s="20" t="n"/>
      <c r="Q7492" s="19" t="n"/>
      <c r="R7492" s="19" t="n"/>
      <c r="Y7492" s="19" t="n"/>
    </row>
    <row r="7493">
      <c r="C7493" s="18" t="n"/>
      <c r="J7493" s="19" t="n"/>
      <c r="P7493" s="20" t="n"/>
      <c r="Q7493" s="19" t="n"/>
      <c r="R7493" s="19" t="n"/>
      <c r="Y7493" s="19" t="n"/>
    </row>
    <row r="7494">
      <c r="C7494" s="18" t="n"/>
      <c r="J7494" s="19" t="n"/>
      <c r="P7494" s="20" t="n"/>
      <c r="Q7494" s="19" t="n"/>
      <c r="R7494" s="19" t="n"/>
      <c r="Y7494" s="19" t="n"/>
    </row>
    <row r="7495">
      <c r="C7495" s="18" t="n"/>
      <c r="J7495" s="19" t="n"/>
      <c r="P7495" s="20" t="n"/>
      <c r="Q7495" s="19" t="n"/>
      <c r="R7495" s="19" t="n"/>
      <c r="Y7495" s="19" t="n"/>
    </row>
    <row r="7496">
      <c r="C7496" s="18" t="n"/>
      <c r="J7496" s="19" t="n"/>
      <c r="P7496" s="20" t="n"/>
      <c r="Q7496" s="19" t="n"/>
      <c r="R7496" s="19" t="n"/>
      <c r="Y7496" s="19" t="n"/>
    </row>
    <row r="7497">
      <c r="C7497" s="18" t="n"/>
      <c r="J7497" s="19" t="n"/>
      <c r="P7497" s="20" t="n"/>
      <c r="Q7497" s="19" t="n"/>
      <c r="R7497" s="19" t="n"/>
      <c r="Y7497" s="19" t="n"/>
    </row>
    <row r="7498">
      <c r="C7498" s="18" t="n"/>
      <c r="J7498" s="19" t="n"/>
      <c r="P7498" s="20" t="n"/>
      <c r="Q7498" s="19" t="n"/>
      <c r="R7498" s="19" t="n"/>
      <c r="Y7498" s="19" t="n"/>
    </row>
    <row r="7499">
      <c r="C7499" s="18" t="n"/>
      <c r="J7499" s="19" t="n"/>
      <c r="P7499" s="20" t="n"/>
      <c r="Q7499" s="19" t="n"/>
      <c r="R7499" s="19" t="n"/>
      <c r="Y7499" s="19" t="n"/>
    </row>
    <row r="7500">
      <c r="C7500" s="18" t="n"/>
      <c r="J7500" s="19" t="n"/>
      <c r="P7500" s="20" t="n"/>
      <c r="Q7500" s="19" t="n"/>
      <c r="R7500" s="19" t="n"/>
      <c r="Y7500" s="19" t="n"/>
    </row>
    <row r="7501">
      <c r="C7501" s="18" t="n"/>
      <c r="J7501" s="19" t="n"/>
      <c r="P7501" s="20" t="n"/>
      <c r="Q7501" s="19" t="n"/>
      <c r="R7501" s="19" t="n"/>
      <c r="Y7501" s="19" t="n"/>
    </row>
    <row r="7502">
      <c r="C7502" s="18" t="n"/>
      <c r="J7502" s="19" t="n"/>
      <c r="P7502" s="20" t="n"/>
      <c r="Q7502" s="19" t="n"/>
      <c r="R7502" s="19" t="n"/>
      <c r="Y7502" s="19" t="n"/>
    </row>
    <row r="7503">
      <c r="C7503" s="18" t="n"/>
      <c r="J7503" s="19" t="n"/>
      <c r="P7503" s="20" t="n"/>
      <c r="Q7503" s="19" t="n"/>
      <c r="R7503" s="19" t="n"/>
      <c r="Y7503" s="19" t="n"/>
    </row>
    <row r="7504">
      <c r="C7504" s="18" t="n"/>
      <c r="J7504" s="19" t="n"/>
      <c r="P7504" s="20" t="n"/>
      <c r="Q7504" s="19" t="n"/>
      <c r="R7504" s="19" t="n"/>
      <c r="Y7504" s="19" t="n"/>
    </row>
    <row r="7505">
      <c r="C7505" s="18" t="n"/>
      <c r="J7505" s="19" t="n"/>
      <c r="P7505" s="20" t="n"/>
      <c r="Q7505" s="19" t="n"/>
      <c r="R7505" s="19" t="n"/>
      <c r="Y7505" s="19" t="n"/>
    </row>
    <row r="7506">
      <c r="C7506" s="18" t="n"/>
      <c r="J7506" s="19" t="n"/>
      <c r="P7506" s="20" t="n"/>
      <c r="Q7506" s="19" t="n"/>
      <c r="R7506" s="19" t="n"/>
      <c r="Y7506" s="19" t="n"/>
    </row>
    <row r="7507">
      <c r="C7507" s="18" t="n"/>
      <c r="J7507" s="19" t="n"/>
      <c r="P7507" s="20" t="n"/>
      <c r="Q7507" s="19" t="n"/>
      <c r="R7507" s="19" t="n"/>
      <c r="Y7507" s="19" t="n"/>
    </row>
    <row r="7508">
      <c r="C7508" s="18" t="n"/>
      <c r="J7508" s="19" t="n"/>
      <c r="P7508" s="20" t="n"/>
      <c r="Q7508" s="19" t="n"/>
      <c r="R7508" s="19" t="n"/>
      <c r="Y7508" s="19" t="n"/>
    </row>
    <row r="7509">
      <c r="C7509" s="18" t="n"/>
      <c r="J7509" s="19" t="n"/>
      <c r="P7509" s="20" t="n"/>
      <c r="Q7509" s="19" t="n"/>
      <c r="R7509" s="19" t="n"/>
      <c r="Y7509" s="19" t="n"/>
    </row>
    <row r="7510">
      <c r="C7510" s="18" t="n"/>
      <c r="J7510" s="19" t="n"/>
      <c r="P7510" s="20" t="n"/>
      <c r="Q7510" s="19" t="n"/>
      <c r="R7510" s="19" t="n"/>
      <c r="Y7510" s="19" t="n"/>
    </row>
    <row r="7511">
      <c r="C7511" s="18" t="n"/>
      <c r="J7511" s="19" t="n"/>
      <c r="P7511" s="20" t="n"/>
      <c r="Q7511" s="19" t="n"/>
      <c r="R7511" s="19" t="n"/>
      <c r="Y7511" s="19" t="n"/>
    </row>
    <row r="7512">
      <c r="C7512" s="18" t="n"/>
      <c r="J7512" s="19" t="n"/>
      <c r="P7512" s="20" t="n"/>
      <c r="Q7512" s="19" t="n"/>
      <c r="R7512" s="19" t="n"/>
      <c r="Y7512" s="19" t="n"/>
    </row>
    <row r="7513">
      <c r="C7513" s="18" t="n"/>
      <c r="J7513" s="19" t="n"/>
      <c r="P7513" s="20" t="n"/>
      <c r="Q7513" s="19" t="n"/>
      <c r="R7513" s="19" t="n"/>
      <c r="Y7513" s="19" t="n"/>
    </row>
    <row r="7514">
      <c r="C7514" s="18" t="n"/>
      <c r="J7514" s="19" t="n"/>
      <c r="P7514" s="20" t="n"/>
      <c r="Q7514" s="19" t="n"/>
      <c r="R7514" s="19" t="n"/>
      <c r="Y7514" s="19" t="n"/>
    </row>
    <row r="7515">
      <c r="C7515" s="18" t="n"/>
      <c r="J7515" s="19" t="n"/>
      <c r="P7515" s="20" t="n"/>
      <c r="Q7515" s="19" t="n"/>
      <c r="R7515" s="19" t="n"/>
      <c r="Y7515" s="19" t="n"/>
    </row>
    <row r="7516">
      <c r="C7516" s="18" t="n"/>
      <c r="J7516" s="19" t="n"/>
      <c r="P7516" s="20" t="n"/>
      <c r="Q7516" s="19" t="n"/>
      <c r="R7516" s="19" t="n"/>
      <c r="Y7516" s="19" t="n"/>
    </row>
    <row r="7517">
      <c r="C7517" s="18" t="n"/>
      <c r="J7517" s="19" t="n"/>
      <c r="P7517" s="20" t="n"/>
      <c r="Q7517" s="19" t="n"/>
      <c r="R7517" s="19" t="n"/>
      <c r="Y7517" s="19" t="n"/>
    </row>
    <row r="7518">
      <c r="C7518" s="18" t="n"/>
      <c r="J7518" s="19" t="n"/>
      <c r="P7518" s="20" t="n"/>
      <c r="Q7518" s="19" t="n"/>
      <c r="R7518" s="19" t="n"/>
      <c r="Y7518" s="19" t="n"/>
    </row>
    <row r="7519">
      <c r="C7519" s="18" t="n"/>
      <c r="J7519" s="19" t="n"/>
      <c r="P7519" s="20" t="n"/>
      <c r="Q7519" s="19" t="n"/>
      <c r="R7519" s="19" t="n"/>
      <c r="Y7519" s="19" t="n"/>
    </row>
    <row r="7520">
      <c r="C7520" s="18" t="n"/>
      <c r="J7520" s="19" t="n"/>
      <c r="P7520" s="20" t="n"/>
      <c r="Q7520" s="19" t="n"/>
      <c r="R7520" s="19" t="n"/>
      <c r="Y7520" s="19" t="n"/>
    </row>
    <row r="7521">
      <c r="C7521" s="18" t="n"/>
      <c r="J7521" s="19" t="n"/>
      <c r="P7521" s="20" t="n"/>
      <c r="Q7521" s="19" t="n"/>
      <c r="R7521" s="19" t="n"/>
      <c r="Y7521" s="19" t="n"/>
    </row>
    <row r="7522">
      <c r="C7522" s="18" t="n"/>
      <c r="J7522" s="19" t="n"/>
      <c r="P7522" s="20" t="n"/>
      <c r="Q7522" s="19" t="n"/>
      <c r="R7522" s="19" t="n"/>
      <c r="Y7522" s="19" t="n"/>
    </row>
    <row r="7523">
      <c r="C7523" s="18" t="n"/>
      <c r="J7523" s="19" t="n"/>
      <c r="P7523" s="20" t="n"/>
      <c r="Q7523" s="19" t="n"/>
      <c r="R7523" s="19" t="n"/>
      <c r="Y7523" s="19" t="n"/>
    </row>
    <row r="7524">
      <c r="C7524" s="18" t="n"/>
      <c r="J7524" s="19" t="n"/>
      <c r="P7524" s="20" t="n"/>
      <c r="Q7524" s="19" t="n"/>
      <c r="R7524" s="19" t="n"/>
      <c r="Y7524" s="19" t="n"/>
    </row>
    <row r="7525">
      <c r="C7525" s="18" t="n"/>
      <c r="J7525" s="19" t="n"/>
      <c r="P7525" s="20" t="n"/>
      <c r="Q7525" s="19" t="n"/>
      <c r="R7525" s="19" t="n"/>
      <c r="Y7525" s="19" t="n"/>
    </row>
    <row r="7526">
      <c r="C7526" s="18" t="n"/>
      <c r="J7526" s="19" t="n"/>
      <c r="P7526" s="20" t="n"/>
      <c r="Q7526" s="19" t="n"/>
      <c r="R7526" s="19" t="n"/>
      <c r="Y7526" s="19" t="n"/>
    </row>
    <row r="7527">
      <c r="C7527" s="18" t="n"/>
      <c r="J7527" s="19" t="n"/>
      <c r="P7527" s="20" t="n"/>
      <c r="Q7527" s="19" t="n"/>
      <c r="R7527" s="19" t="n"/>
      <c r="Y7527" s="19" t="n"/>
    </row>
    <row r="7528">
      <c r="C7528" s="18" t="n"/>
      <c r="J7528" s="19" t="n"/>
      <c r="P7528" s="20" t="n"/>
      <c r="Q7528" s="19" t="n"/>
      <c r="R7528" s="19" t="n"/>
      <c r="Y7528" s="19" t="n"/>
    </row>
    <row r="7529">
      <c r="C7529" s="18" t="n"/>
      <c r="J7529" s="19" t="n"/>
      <c r="P7529" s="20" t="n"/>
      <c r="Q7529" s="19" t="n"/>
      <c r="R7529" s="19" t="n"/>
      <c r="Y7529" s="19" t="n"/>
    </row>
    <row r="7530">
      <c r="C7530" s="18" t="n"/>
      <c r="J7530" s="19" t="n"/>
      <c r="P7530" s="20" t="n"/>
      <c r="Q7530" s="19" t="n"/>
      <c r="R7530" s="19" t="n"/>
      <c r="Y7530" s="19" t="n"/>
    </row>
    <row r="7531">
      <c r="C7531" s="18" t="n"/>
      <c r="J7531" s="19" t="n"/>
      <c r="P7531" s="20" t="n"/>
      <c r="Q7531" s="19" t="n"/>
      <c r="R7531" s="19" t="n"/>
      <c r="Y7531" s="19" t="n"/>
    </row>
    <row r="7532">
      <c r="C7532" s="18" t="n"/>
      <c r="J7532" s="19" t="n"/>
      <c r="P7532" s="20" t="n"/>
      <c r="Q7532" s="19" t="n"/>
      <c r="R7532" s="19" t="n"/>
      <c r="Y7532" s="19" t="n"/>
    </row>
    <row r="7533">
      <c r="C7533" s="18" t="n"/>
      <c r="J7533" s="19" t="n"/>
      <c r="P7533" s="20" t="n"/>
      <c r="Q7533" s="19" t="n"/>
      <c r="R7533" s="19" t="n"/>
      <c r="Y7533" s="19" t="n"/>
    </row>
    <row r="7534">
      <c r="C7534" s="18" t="n"/>
      <c r="J7534" s="19" t="n"/>
      <c r="P7534" s="20" t="n"/>
      <c r="Q7534" s="19" t="n"/>
      <c r="R7534" s="19" t="n"/>
      <c r="Y7534" s="19" t="n"/>
    </row>
    <row r="7535">
      <c r="C7535" s="18" t="n"/>
      <c r="J7535" s="19" t="n"/>
      <c r="P7535" s="20" t="n"/>
      <c r="Q7535" s="19" t="n"/>
      <c r="R7535" s="19" t="n"/>
      <c r="Y7535" s="19" t="n"/>
    </row>
    <row r="7536">
      <c r="C7536" s="18" t="n"/>
      <c r="J7536" s="19" t="n"/>
      <c r="P7536" s="20" t="n"/>
      <c r="Q7536" s="19" t="n"/>
      <c r="R7536" s="19" t="n"/>
      <c r="Y7536" s="19" t="n"/>
    </row>
    <row r="7537">
      <c r="C7537" s="18" t="n"/>
      <c r="J7537" s="19" t="n"/>
      <c r="P7537" s="20" t="n"/>
      <c r="Q7537" s="19" t="n"/>
      <c r="R7537" s="19" t="n"/>
      <c r="Y7537" s="19" t="n"/>
    </row>
    <row r="7538">
      <c r="C7538" s="18" t="n"/>
      <c r="J7538" s="19" t="n"/>
      <c r="P7538" s="20" t="n"/>
      <c r="Q7538" s="19" t="n"/>
      <c r="R7538" s="19" t="n"/>
      <c r="Y7538" s="19" t="n"/>
    </row>
    <row r="7539">
      <c r="C7539" s="18" t="n"/>
      <c r="J7539" s="19" t="n"/>
      <c r="P7539" s="20" t="n"/>
      <c r="Q7539" s="19" t="n"/>
      <c r="R7539" s="19" t="n"/>
      <c r="Y7539" s="19" t="n"/>
    </row>
    <row r="7540">
      <c r="C7540" s="18" t="n"/>
      <c r="J7540" s="19" t="n"/>
      <c r="P7540" s="20" t="n"/>
      <c r="Q7540" s="19" t="n"/>
      <c r="R7540" s="19" t="n"/>
      <c r="Y7540" s="19" t="n"/>
    </row>
    <row r="7541">
      <c r="C7541" s="18" t="n"/>
      <c r="J7541" s="19" t="n"/>
      <c r="P7541" s="20" t="n"/>
      <c r="Q7541" s="19" t="n"/>
      <c r="R7541" s="19" t="n"/>
      <c r="Y7541" s="19" t="n"/>
    </row>
    <row r="7542">
      <c r="C7542" s="18" t="n"/>
      <c r="J7542" s="19" t="n"/>
      <c r="P7542" s="20" t="n"/>
      <c r="Q7542" s="19" t="n"/>
      <c r="R7542" s="19" t="n"/>
      <c r="Y7542" s="19" t="n"/>
    </row>
    <row r="7543">
      <c r="C7543" s="18" t="n"/>
      <c r="J7543" s="19" t="n"/>
      <c r="P7543" s="20" t="n"/>
      <c r="Q7543" s="19" t="n"/>
      <c r="R7543" s="19" t="n"/>
      <c r="Y7543" s="19" t="n"/>
    </row>
    <row r="7544">
      <c r="C7544" s="18" t="n"/>
      <c r="J7544" s="19" t="n"/>
      <c r="P7544" s="20" t="n"/>
      <c r="Q7544" s="19" t="n"/>
      <c r="R7544" s="19" t="n"/>
      <c r="Y7544" s="19" t="n"/>
    </row>
    <row r="7545">
      <c r="C7545" s="18" t="n"/>
      <c r="J7545" s="19" t="n"/>
      <c r="P7545" s="20" t="n"/>
      <c r="Q7545" s="19" t="n"/>
      <c r="R7545" s="19" t="n"/>
      <c r="Y7545" s="19" t="n"/>
    </row>
    <row r="7546">
      <c r="C7546" s="18" t="n"/>
      <c r="J7546" s="19" t="n"/>
      <c r="P7546" s="20" t="n"/>
      <c r="Q7546" s="19" t="n"/>
      <c r="R7546" s="19" t="n"/>
      <c r="Y7546" s="19" t="n"/>
    </row>
    <row r="7547">
      <c r="C7547" s="18" t="n"/>
      <c r="J7547" s="19" t="n"/>
      <c r="P7547" s="20" t="n"/>
      <c r="Q7547" s="19" t="n"/>
      <c r="R7547" s="19" t="n"/>
      <c r="Y7547" s="19" t="n"/>
    </row>
    <row r="7548">
      <c r="C7548" s="18" t="n"/>
      <c r="J7548" s="19" t="n"/>
      <c r="P7548" s="20" t="n"/>
      <c r="Q7548" s="19" t="n"/>
      <c r="R7548" s="19" t="n"/>
      <c r="Y7548" s="19" t="n"/>
    </row>
    <row r="7549">
      <c r="C7549" s="18" t="n"/>
      <c r="J7549" s="19" t="n"/>
      <c r="P7549" s="20" t="n"/>
      <c r="Q7549" s="19" t="n"/>
      <c r="R7549" s="19" t="n"/>
      <c r="Y7549" s="19" t="n"/>
    </row>
    <row r="7550">
      <c r="C7550" s="18" t="n"/>
      <c r="J7550" s="19" t="n"/>
      <c r="P7550" s="20" t="n"/>
      <c r="Q7550" s="19" t="n"/>
      <c r="R7550" s="19" t="n"/>
      <c r="Y7550" s="19" t="n"/>
    </row>
    <row r="7551">
      <c r="C7551" s="18" t="n"/>
      <c r="J7551" s="19" t="n"/>
      <c r="P7551" s="20" t="n"/>
      <c r="Q7551" s="19" t="n"/>
      <c r="R7551" s="19" t="n"/>
      <c r="Y7551" s="19" t="n"/>
    </row>
    <row r="7552">
      <c r="C7552" s="18" t="n"/>
      <c r="J7552" s="19" t="n"/>
      <c r="P7552" s="20" t="n"/>
      <c r="Q7552" s="19" t="n"/>
      <c r="R7552" s="19" t="n"/>
      <c r="Y7552" s="19" t="n"/>
    </row>
    <row r="7553">
      <c r="C7553" s="18" t="n"/>
      <c r="J7553" s="19" t="n"/>
      <c r="P7553" s="20" t="n"/>
      <c r="Q7553" s="19" t="n"/>
      <c r="R7553" s="19" t="n"/>
      <c r="Y7553" s="19" t="n"/>
    </row>
    <row r="7554">
      <c r="C7554" s="18" t="n"/>
      <c r="J7554" s="19" t="n"/>
      <c r="P7554" s="20" t="n"/>
      <c r="Q7554" s="19" t="n"/>
      <c r="R7554" s="19" t="n"/>
      <c r="Y7554" s="19" t="n"/>
    </row>
    <row r="7555">
      <c r="C7555" s="18" t="n"/>
      <c r="J7555" s="19" t="n"/>
      <c r="P7555" s="20" t="n"/>
      <c r="Q7555" s="19" t="n"/>
      <c r="R7555" s="19" t="n"/>
      <c r="Y7555" s="19" t="n"/>
    </row>
    <row r="7556">
      <c r="C7556" s="18" t="n"/>
      <c r="J7556" s="19" t="n"/>
      <c r="P7556" s="20" t="n"/>
      <c r="Q7556" s="19" t="n"/>
      <c r="R7556" s="19" t="n"/>
      <c r="Y7556" s="19" t="n"/>
    </row>
    <row r="7557">
      <c r="C7557" s="18" t="n"/>
      <c r="J7557" s="19" t="n"/>
      <c r="P7557" s="20" t="n"/>
      <c r="Q7557" s="19" t="n"/>
      <c r="R7557" s="19" t="n"/>
      <c r="Y7557" s="19" t="n"/>
    </row>
    <row r="7558">
      <c r="C7558" s="18" t="n"/>
      <c r="J7558" s="19" t="n"/>
      <c r="P7558" s="20" t="n"/>
      <c r="Q7558" s="19" t="n"/>
      <c r="R7558" s="19" t="n"/>
      <c r="Y7558" s="19" t="n"/>
    </row>
    <row r="7559">
      <c r="C7559" s="18" t="n"/>
      <c r="J7559" s="19" t="n"/>
      <c r="P7559" s="20" t="n"/>
      <c r="Q7559" s="19" t="n"/>
      <c r="R7559" s="19" t="n"/>
      <c r="Y7559" s="19" t="n"/>
    </row>
    <row r="7560">
      <c r="C7560" s="18" t="n"/>
      <c r="J7560" s="19" t="n"/>
      <c r="P7560" s="20" t="n"/>
      <c r="Q7560" s="19" t="n"/>
      <c r="R7560" s="19" t="n"/>
      <c r="Y7560" s="19" t="n"/>
    </row>
    <row r="7561">
      <c r="C7561" s="18" t="n"/>
      <c r="J7561" s="19" t="n"/>
      <c r="P7561" s="20" t="n"/>
      <c r="Q7561" s="19" t="n"/>
      <c r="R7561" s="19" t="n"/>
      <c r="Y7561" s="19" t="n"/>
    </row>
    <row r="7562">
      <c r="C7562" s="18" t="n"/>
      <c r="J7562" s="19" t="n"/>
      <c r="P7562" s="20" t="n"/>
      <c r="Q7562" s="19" t="n"/>
      <c r="R7562" s="19" t="n"/>
      <c r="Y7562" s="19" t="n"/>
    </row>
    <row r="7563">
      <c r="C7563" s="18" t="n"/>
      <c r="J7563" s="19" t="n"/>
      <c r="P7563" s="20" t="n"/>
      <c r="Q7563" s="19" t="n"/>
      <c r="R7563" s="19" t="n"/>
      <c r="Y7563" s="19" t="n"/>
    </row>
    <row r="7564">
      <c r="C7564" s="18" t="n"/>
      <c r="J7564" s="19" t="n"/>
      <c r="P7564" s="20" t="n"/>
      <c r="Q7564" s="19" t="n"/>
      <c r="R7564" s="19" t="n"/>
      <c r="Y7564" s="19" t="n"/>
    </row>
    <row r="7565">
      <c r="C7565" s="18" t="n"/>
      <c r="J7565" s="19" t="n"/>
      <c r="P7565" s="20" t="n"/>
      <c r="Q7565" s="19" t="n"/>
      <c r="R7565" s="19" t="n"/>
      <c r="Y7565" s="19" t="n"/>
    </row>
    <row r="7566">
      <c r="C7566" s="18" t="n"/>
      <c r="J7566" s="19" t="n"/>
      <c r="P7566" s="20" t="n"/>
      <c r="Q7566" s="19" t="n"/>
      <c r="R7566" s="19" t="n"/>
      <c r="Y7566" s="19" t="n"/>
    </row>
    <row r="7567">
      <c r="C7567" s="18" t="n"/>
      <c r="J7567" s="19" t="n"/>
      <c r="P7567" s="20" t="n"/>
      <c r="Q7567" s="19" t="n"/>
      <c r="R7567" s="19" t="n"/>
      <c r="Y7567" s="19" t="n"/>
    </row>
    <row r="7568">
      <c r="C7568" s="18" t="n"/>
      <c r="J7568" s="19" t="n"/>
      <c r="P7568" s="20" t="n"/>
      <c r="Q7568" s="19" t="n"/>
      <c r="R7568" s="19" t="n"/>
      <c r="Y7568" s="19" t="n"/>
    </row>
    <row r="7569">
      <c r="C7569" s="18" t="n"/>
      <c r="J7569" s="19" t="n"/>
      <c r="P7569" s="20" t="n"/>
      <c r="Q7569" s="19" t="n"/>
      <c r="R7569" s="19" t="n"/>
      <c r="Y7569" s="19" t="n"/>
    </row>
    <row r="7570">
      <c r="C7570" s="18" t="n"/>
      <c r="J7570" s="19" t="n"/>
      <c r="P7570" s="20" t="n"/>
      <c r="Q7570" s="19" t="n"/>
      <c r="R7570" s="19" t="n"/>
      <c r="Y7570" s="19" t="n"/>
    </row>
    <row r="7571">
      <c r="C7571" s="18" t="n"/>
      <c r="J7571" s="19" t="n"/>
      <c r="P7571" s="20" t="n"/>
      <c r="Q7571" s="19" t="n"/>
      <c r="R7571" s="19" t="n"/>
      <c r="Y7571" s="19" t="n"/>
    </row>
    <row r="7572">
      <c r="C7572" s="18" t="n"/>
      <c r="J7572" s="19" t="n"/>
      <c r="P7572" s="20" t="n"/>
      <c r="Q7572" s="19" t="n"/>
      <c r="R7572" s="19" t="n"/>
      <c r="Y7572" s="19" t="n"/>
    </row>
    <row r="7573">
      <c r="C7573" s="18" t="n"/>
      <c r="J7573" s="19" t="n"/>
      <c r="P7573" s="20" t="n"/>
      <c r="Q7573" s="19" t="n"/>
      <c r="R7573" s="19" t="n"/>
      <c r="Y7573" s="19" t="n"/>
    </row>
    <row r="7574">
      <c r="C7574" s="18" t="n"/>
      <c r="J7574" s="19" t="n"/>
      <c r="P7574" s="20" t="n"/>
      <c r="Q7574" s="19" t="n"/>
      <c r="R7574" s="19" t="n"/>
      <c r="Y7574" s="19" t="n"/>
    </row>
    <row r="7575">
      <c r="C7575" s="18" t="n"/>
      <c r="J7575" s="19" t="n"/>
      <c r="P7575" s="20" t="n"/>
      <c r="Q7575" s="19" t="n"/>
      <c r="R7575" s="19" t="n"/>
      <c r="Y7575" s="19" t="n"/>
    </row>
    <row r="7576">
      <c r="C7576" s="18" t="n"/>
      <c r="J7576" s="19" t="n"/>
      <c r="P7576" s="20" t="n"/>
      <c r="Q7576" s="19" t="n"/>
      <c r="R7576" s="19" t="n"/>
      <c r="Y7576" s="19" t="n"/>
    </row>
    <row r="7577">
      <c r="C7577" s="18" t="n"/>
      <c r="J7577" s="19" t="n"/>
      <c r="P7577" s="20" t="n"/>
      <c r="Q7577" s="19" t="n"/>
      <c r="R7577" s="19" t="n"/>
      <c r="Y7577" s="19" t="n"/>
    </row>
    <row r="7578">
      <c r="C7578" s="18" t="n"/>
      <c r="J7578" s="19" t="n"/>
      <c r="P7578" s="20" t="n"/>
      <c r="Q7578" s="19" t="n"/>
      <c r="R7578" s="19" t="n"/>
      <c r="Y7578" s="19" t="n"/>
    </row>
    <row r="7579">
      <c r="C7579" s="18" t="n"/>
      <c r="J7579" s="19" t="n"/>
      <c r="P7579" s="20" t="n"/>
      <c r="Q7579" s="19" t="n"/>
      <c r="R7579" s="19" t="n"/>
      <c r="Y7579" s="19" t="n"/>
    </row>
    <row r="7580">
      <c r="C7580" s="18" t="n"/>
      <c r="J7580" s="19" t="n"/>
      <c r="P7580" s="20" t="n"/>
      <c r="Q7580" s="19" t="n"/>
      <c r="R7580" s="19" t="n"/>
      <c r="Y7580" s="19" t="n"/>
    </row>
    <row r="7581">
      <c r="C7581" s="18" t="n"/>
      <c r="J7581" s="19" t="n"/>
      <c r="P7581" s="20" t="n"/>
      <c r="Q7581" s="19" t="n"/>
      <c r="R7581" s="19" t="n"/>
      <c r="Y7581" s="19" t="n"/>
    </row>
    <row r="7582">
      <c r="C7582" s="18" t="n"/>
      <c r="J7582" s="19" t="n"/>
      <c r="P7582" s="20" t="n"/>
      <c r="Q7582" s="19" t="n"/>
      <c r="R7582" s="19" t="n"/>
      <c r="Y7582" s="19" t="n"/>
    </row>
    <row r="7583">
      <c r="C7583" s="18" t="n"/>
      <c r="J7583" s="19" t="n"/>
      <c r="P7583" s="20" t="n"/>
      <c r="Q7583" s="19" t="n"/>
      <c r="R7583" s="19" t="n"/>
      <c r="Y7583" s="19" t="n"/>
    </row>
    <row r="7584">
      <c r="C7584" s="18" t="n"/>
      <c r="J7584" s="19" t="n"/>
      <c r="P7584" s="20" t="n"/>
      <c r="Q7584" s="19" t="n"/>
      <c r="R7584" s="19" t="n"/>
      <c r="Y7584" s="19" t="n"/>
    </row>
    <row r="7585">
      <c r="C7585" s="18" t="n"/>
      <c r="J7585" s="19" t="n"/>
      <c r="P7585" s="20" t="n"/>
      <c r="Q7585" s="19" t="n"/>
      <c r="R7585" s="19" t="n"/>
      <c r="Y7585" s="19" t="n"/>
    </row>
    <row r="7586">
      <c r="C7586" s="18" t="n"/>
      <c r="J7586" s="19" t="n"/>
      <c r="P7586" s="20" t="n"/>
      <c r="Q7586" s="19" t="n"/>
      <c r="R7586" s="19" t="n"/>
      <c r="Y7586" s="19" t="n"/>
    </row>
    <row r="7587">
      <c r="C7587" s="18" t="n"/>
      <c r="J7587" s="19" t="n"/>
      <c r="P7587" s="20" t="n"/>
      <c r="Q7587" s="19" t="n"/>
      <c r="R7587" s="19" t="n"/>
      <c r="Y7587" s="19" t="n"/>
    </row>
    <row r="7588">
      <c r="C7588" s="18" t="n"/>
      <c r="J7588" s="19" t="n"/>
      <c r="P7588" s="20" t="n"/>
      <c r="Q7588" s="19" t="n"/>
      <c r="R7588" s="19" t="n"/>
      <c r="Y7588" s="19" t="n"/>
    </row>
    <row r="7589">
      <c r="C7589" s="18" t="n"/>
      <c r="J7589" s="19" t="n"/>
      <c r="P7589" s="20" t="n"/>
      <c r="Q7589" s="19" t="n"/>
      <c r="R7589" s="19" t="n"/>
      <c r="Y7589" s="19" t="n"/>
    </row>
    <row r="7590">
      <c r="C7590" s="18" t="n"/>
      <c r="J7590" s="19" t="n"/>
      <c r="P7590" s="20" t="n"/>
      <c r="Q7590" s="19" t="n"/>
      <c r="R7590" s="19" t="n"/>
      <c r="Y7590" s="19" t="n"/>
    </row>
    <row r="7591">
      <c r="C7591" s="18" t="n"/>
      <c r="J7591" s="19" t="n"/>
      <c r="P7591" s="20" t="n"/>
      <c r="Q7591" s="19" t="n"/>
      <c r="R7591" s="19" t="n"/>
      <c r="Y7591" s="19" t="n"/>
    </row>
    <row r="7592">
      <c r="C7592" s="18" t="n"/>
      <c r="J7592" s="19" t="n"/>
      <c r="P7592" s="20" t="n"/>
      <c r="Q7592" s="19" t="n"/>
      <c r="R7592" s="19" t="n"/>
      <c r="Y7592" s="19" t="n"/>
    </row>
    <row r="7593">
      <c r="C7593" s="18" t="n"/>
      <c r="J7593" s="19" t="n"/>
      <c r="P7593" s="20" t="n"/>
      <c r="Q7593" s="19" t="n"/>
      <c r="R7593" s="19" t="n"/>
      <c r="Y7593" s="19" t="n"/>
    </row>
    <row r="7594">
      <c r="C7594" s="18" t="n"/>
      <c r="J7594" s="19" t="n"/>
      <c r="P7594" s="20" t="n"/>
      <c r="Q7594" s="19" t="n"/>
      <c r="R7594" s="19" t="n"/>
      <c r="Y7594" s="19" t="n"/>
    </row>
    <row r="7595">
      <c r="C7595" s="18" t="n"/>
      <c r="J7595" s="19" t="n"/>
      <c r="P7595" s="20" t="n"/>
      <c r="Q7595" s="19" t="n"/>
      <c r="R7595" s="19" t="n"/>
      <c r="Y7595" s="19" t="n"/>
    </row>
    <row r="7596">
      <c r="C7596" s="18" t="n"/>
      <c r="J7596" s="19" t="n"/>
      <c r="P7596" s="20" t="n"/>
      <c r="Q7596" s="19" t="n"/>
      <c r="R7596" s="19" t="n"/>
      <c r="Y7596" s="19" t="n"/>
    </row>
    <row r="7597">
      <c r="C7597" s="18" t="n"/>
      <c r="J7597" s="19" t="n"/>
      <c r="P7597" s="20" t="n"/>
      <c r="Q7597" s="19" t="n"/>
      <c r="R7597" s="19" t="n"/>
      <c r="Y7597" s="19" t="n"/>
    </row>
    <row r="7598">
      <c r="C7598" s="18" t="n"/>
      <c r="J7598" s="19" t="n"/>
      <c r="P7598" s="20" t="n"/>
      <c r="Q7598" s="19" t="n"/>
      <c r="R7598" s="19" t="n"/>
      <c r="Y7598" s="19" t="n"/>
    </row>
    <row r="7599">
      <c r="C7599" s="18" t="n"/>
      <c r="J7599" s="19" t="n"/>
      <c r="P7599" s="20" t="n"/>
      <c r="Q7599" s="19" t="n"/>
      <c r="R7599" s="19" t="n"/>
      <c r="Y7599" s="19" t="n"/>
    </row>
    <row r="7600">
      <c r="C7600" s="18" t="n"/>
      <c r="J7600" s="19" t="n"/>
      <c r="P7600" s="20" t="n"/>
      <c r="Q7600" s="19" t="n"/>
      <c r="R7600" s="19" t="n"/>
      <c r="Y7600" s="19" t="n"/>
    </row>
    <row r="7601">
      <c r="C7601" s="18" t="n"/>
      <c r="J7601" s="19" t="n"/>
      <c r="P7601" s="20" t="n"/>
      <c r="Q7601" s="19" t="n"/>
      <c r="R7601" s="19" t="n"/>
      <c r="Y7601" s="19" t="n"/>
    </row>
    <row r="7602">
      <c r="C7602" s="18" t="n"/>
      <c r="J7602" s="19" t="n"/>
      <c r="P7602" s="20" t="n"/>
      <c r="Q7602" s="19" t="n"/>
      <c r="R7602" s="19" t="n"/>
      <c r="Y7602" s="19" t="n"/>
    </row>
    <row r="7603">
      <c r="C7603" s="18" t="n"/>
      <c r="J7603" s="19" t="n"/>
      <c r="P7603" s="20" t="n"/>
      <c r="Q7603" s="19" t="n"/>
      <c r="R7603" s="19" t="n"/>
      <c r="Y7603" s="19" t="n"/>
    </row>
    <row r="7604">
      <c r="C7604" s="18" t="n"/>
      <c r="J7604" s="19" t="n"/>
      <c r="P7604" s="20" t="n"/>
      <c r="Q7604" s="19" t="n"/>
      <c r="R7604" s="19" t="n"/>
      <c r="Y7604" s="19" t="n"/>
    </row>
    <row r="7605">
      <c r="C7605" s="18" t="n"/>
      <c r="J7605" s="19" t="n"/>
      <c r="P7605" s="20" t="n"/>
      <c r="Q7605" s="19" t="n"/>
      <c r="R7605" s="19" t="n"/>
      <c r="Y7605" s="19" t="n"/>
    </row>
    <row r="7606">
      <c r="C7606" s="18" t="n"/>
      <c r="J7606" s="19" t="n"/>
      <c r="P7606" s="20" t="n"/>
      <c r="Q7606" s="19" t="n"/>
      <c r="R7606" s="19" t="n"/>
      <c r="Y7606" s="19" t="n"/>
    </row>
    <row r="7607">
      <c r="C7607" s="18" t="n"/>
      <c r="J7607" s="19" t="n"/>
      <c r="P7607" s="20" t="n"/>
      <c r="Q7607" s="19" t="n"/>
      <c r="R7607" s="19" t="n"/>
      <c r="Y7607" s="19" t="n"/>
    </row>
    <row r="7608">
      <c r="C7608" s="18" t="n"/>
      <c r="J7608" s="19" t="n"/>
      <c r="P7608" s="20" t="n"/>
      <c r="Q7608" s="19" t="n"/>
      <c r="R7608" s="19" t="n"/>
      <c r="Y7608" s="19" t="n"/>
    </row>
    <row r="7609">
      <c r="C7609" s="18" t="n"/>
      <c r="J7609" s="19" t="n"/>
      <c r="P7609" s="20" t="n"/>
      <c r="Q7609" s="19" t="n"/>
      <c r="R7609" s="19" t="n"/>
      <c r="Y7609" s="19" t="n"/>
    </row>
    <row r="7610">
      <c r="C7610" s="18" t="n"/>
      <c r="J7610" s="19" t="n"/>
      <c r="P7610" s="20" t="n"/>
      <c r="Q7610" s="19" t="n"/>
      <c r="R7610" s="19" t="n"/>
      <c r="Y7610" s="19" t="n"/>
    </row>
    <row r="7611">
      <c r="C7611" s="18" t="n"/>
      <c r="J7611" s="19" t="n"/>
      <c r="P7611" s="20" t="n"/>
      <c r="Q7611" s="19" t="n"/>
      <c r="R7611" s="19" t="n"/>
      <c r="Y7611" s="19" t="n"/>
    </row>
    <row r="7612">
      <c r="C7612" s="18" t="n"/>
      <c r="J7612" s="19" t="n"/>
      <c r="P7612" s="20" t="n"/>
      <c r="Q7612" s="19" t="n"/>
      <c r="R7612" s="19" t="n"/>
      <c r="Y7612" s="19" t="n"/>
    </row>
    <row r="7613">
      <c r="C7613" s="18" t="n"/>
      <c r="J7613" s="19" t="n"/>
      <c r="P7613" s="20" t="n"/>
      <c r="Q7613" s="19" t="n"/>
      <c r="R7613" s="19" t="n"/>
      <c r="Y7613" s="19" t="n"/>
    </row>
    <row r="7614">
      <c r="C7614" s="18" t="n"/>
      <c r="J7614" s="19" t="n"/>
      <c r="P7614" s="20" t="n"/>
      <c r="Q7614" s="19" t="n"/>
      <c r="R7614" s="19" t="n"/>
      <c r="Y7614" s="19" t="n"/>
    </row>
    <row r="7615">
      <c r="C7615" s="18" t="n"/>
      <c r="J7615" s="19" t="n"/>
      <c r="P7615" s="20" t="n"/>
      <c r="Q7615" s="19" t="n"/>
      <c r="R7615" s="19" t="n"/>
      <c r="Y7615" s="19" t="n"/>
    </row>
    <row r="7616">
      <c r="C7616" s="18" t="n"/>
      <c r="J7616" s="19" t="n"/>
      <c r="P7616" s="20" t="n"/>
      <c r="Q7616" s="19" t="n"/>
      <c r="R7616" s="19" t="n"/>
      <c r="Y7616" s="19" t="n"/>
    </row>
    <row r="7617">
      <c r="C7617" s="18" t="n"/>
      <c r="J7617" s="19" t="n"/>
      <c r="P7617" s="20" t="n"/>
      <c r="Q7617" s="19" t="n"/>
      <c r="R7617" s="19" t="n"/>
      <c r="Y7617" s="19" t="n"/>
    </row>
    <row r="7618">
      <c r="C7618" s="18" t="n"/>
      <c r="J7618" s="19" t="n"/>
      <c r="P7618" s="20" t="n"/>
      <c r="Q7618" s="19" t="n"/>
      <c r="R7618" s="19" t="n"/>
      <c r="Y7618" s="19" t="n"/>
    </row>
    <row r="7619">
      <c r="C7619" s="18" t="n"/>
      <c r="J7619" s="19" t="n"/>
      <c r="P7619" s="20" t="n"/>
      <c r="Q7619" s="19" t="n"/>
      <c r="R7619" s="19" t="n"/>
      <c r="Y7619" s="19" t="n"/>
    </row>
    <row r="7620">
      <c r="C7620" s="18" t="n"/>
      <c r="J7620" s="19" t="n"/>
      <c r="P7620" s="20" t="n"/>
      <c r="Q7620" s="19" t="n"/>
      <c r="R7620" s="19" t="n"/>
      <c r="Y7620" s="19" t="n"/>
    </row>
    <row r="7621">
      <c r="C7621" s="18" t="n"/>
      <c r="J7621" s="19" t="n"/>
      <c r="P7621" s="20" t="n"/>
      <c r="Q7621" s="19" t="n"/>
      <c r="R7621" s="19" t="n"/>
      <c r="Y7621" s="19" t="n"/>
    </row>
    <row r="7622">
      <c r="C7622" s="18" t="n"/>
      <c r="J7622" s="19" t="n"/>
      <c r="P7622" s="20" t="n"/>
      <c r="Q7622" s="19" t="n"/>
      <c r="R7622" s="19" t="n"/>
      <c r="Y7622" s="19" t="n"/>
    </row>
    <row r="7623">
      <c r="C7623" s="18" t="n"/>
      <c r="J7623" s="19" t="n"/>
      <c r="P7623" s="20" t="n"/>
      <c r="Q7623" s="19" t="n"/>
      <c r="R7623" s="19" t="n"/>
      <c r="Y7623" s="19" t="n"/>
    </row>
    <row r="7624">
      <c r="C7624" s="18" t="n"/>
      <c r="J7624" s="19" t="n"/>
      <c r="P7624" s="20" t="n"/>
      <c r="Q7624" s="19" t="n"/>
      <c r="R7624" s="19" t="n"/>
      <c r="Y7624" s="19" t="n"/>
    </row>
    <row r="7625">
      <c r="C7625" s="18" t="n"/>
      <c r="J7625" s="19" t="n"/>
      <c r="P7625" s="20" t="n"/>
      <c r="Q7625" s="19" t="n"/>
      <c r="R7625" s="19" t="n"/>
      <c r="Y7625" s="19" t="n"/>
    </row>
    <row r="7626">
      <c r="C7626" s="18" t="n"/>
      <c r="J7626" s="19" t="n"/>
      <c r="P7626" s="20" t="n"/>
      <c r="Q7626" s="19" t="n"/>
      <c r="R7626" s="19" t="n"/>
      <c r="Y7626" s="19" t="n"/>
    </row>
    <row r="7627">
      <c r="C7627" s="18" t="n"/>
      <c r="J7627" s="19" t="n"/>
      <c r="P7627" s="20" t="n"/>
      <c r="Q7627" s="19" t="n"/>
      <c r="R7627" s="19" t="n"/>
      <c r="Y7627" s="19" t="n"/>
    </row>
    <row r="7628">
      <c r="C7628" s="18" t="n"/>
      <c r="J7628" s="19" t="n"/>
      <c r="P7628" s="20" t="n"/>
      <c r="Q7628" s="19" t="n"/>
      <c r="R7628" s="19" t="n"/>
      <c r="Y7628" s="19" t="n"/>
    </row>
    <row r="7629">
      <c r="C7629" s="18" t="n"/>
      <c r="J7629" s="19" t="n"/>
      <c r="P7629" s="20" t="n"/>
      <c r="Q7629" s="19" t="n"/>
      <c r="R7629" s="19" t="n"/>
      <c r="Y7629" s="19" t="n"/>
    </row>
    <row r="7630">
      <c r="C7630" s="18" t="n"/>
      <c r="J7630" s="19" t="n"/>
      <c r="P7630" s="20" t="n"/>
      <c r="Q7630" s="19" t="n"/>
      <c r="R7630" s="19" t="n"/>
      <c r="Y7630" s="19" t="n"/>
    </row>
    <row r="7631">
      <c r="C7631" s="18" t="n"/>
      <c r="J7631" s="19" t="n"/>
      <c r="P7631" s="20" t="n"/>
      <c r="Q7631" s="19" t="n"/>
      <c r="R7631" s="19" t="n"/>
      <c r="Y7631" s="19" t="n"/>
    </row>
    <row r="7632">
      <c r="C7632" s="18" t="n"/>
      <c r="J7632" s="19" t="n"/>
      <c r="P7632" s="20" t="n"/>
      <c r="Q7632" s="19" t="n"/>
      <c r="R7632" s="19" t="n"/>
      <c r="Y7632" s="19" t="n"/>
    </row>
    <row r="7633">
      <c r="C7633" s="18" t="n"/>
      <c r="J7633" s="19" t="n"/>
      <c r="P7633" s="20" t="n"/>
      <c r="Q7633" s="19" t="n"/>
      <c r="R7633" s="19" t="n"/>
      <c r="Y7633" s="19" t="n"/>
    </row>
    <row r="7634">
      <c r="C7634" s="18" t="n"/>
      <c r="J7634" s="19" t="n"/>
      <c r="P7634" s="20" t="n"/>
      <c r="Q7634" s="19" t="n"/>
      <c r="R7634" s="19" t="n"/>
      <c r="Y7634" s="19" t="n"/>
    </row>
    <row r="7635">
      <c r="C7635" s="18" t="n"/>
      <c r="J7635" s="19" t="n"/>
      <c r="P7635" s="20" t="n"/>
      <c r="Q7635" s="19" t="n"/>
      <c r="R7635" s="19" t="n"/>
      <c r="Y7635" s="19" t="n"/>
    </row>
    <row r="7636">
      <c r="C7636" s="18" t="n"/>
      <c r="J7636" s="19" t="n"/>
      <c r="P7636" s="20" t="n"/>
      <c r="Q7636" s="19" t="n"/>
      <c r="R7636" s="19" t="n"/>
      <c r="Y7636" s="19" t="n"/>
    </row>
    <row r="7637">
      <c r="C7637" s="18" t="n"/>
      <c r="J7637" s="19" t="n"/>
      <c r="P7637" s="20" t="n"/>
      <c r="Q7637" s="19" t="n"/>
      <c r="R7637" s="19" t="n"/>
      <c r="Y7637" s="19" t="n"/>
    </row>
    <row r="7638">
      <c r="C7638" s="18" t="n"/>
      <c r="J7638" s="19" t="n"/>
      <c r="P7638" s="20" t="n"/>
      <c r="Q7638" s="19" t="n"/>
      <c r="R7638" s="19" t="n"/>
      <c r="Y7638" s="19" t="n"/>
    </row>
    <row r="7639">
      <c r="C7639" s="18" t="n"/>
      <c r="J7639" s="19" t="n"/>
      <c r="P7639" s="20" t="n"/>
      <c r="Q7639" s="19" t="n"/>
      <c r="R7639" s="19" t="n"/>
      <c r="Y7639" s="19" t="n"/>
    </row>
    <row r="7640">
      <c r="C7640" s="18" t="n"/>
      <c r="J7640" s="19" t="n"/>
      <c r="P7640" s="20" t="n"/>
      <c r="Q7640" s="19" t="n"/>
      <c r="R7640" s="19" t="n"/>
      <c r="Y7640" s="19" t="n"/>
    </row>
    <row r="7641">
      <c r="C7641" s="18" t="n"/>
      <c r="J7641" s="19" t="n"/>
      <c r="P7641" s="20" t="n"/>
      <c r="Q7641" s="19" t="n"/>
      <c r="R7641" s="19" t="n"/>
      <c r="Y7641" s="19" t="n"/>
    </row>
    <row r="7642">
      <c r="C7642" s="18" t="n"/>
      <c r="J7642" s="19" t="n"/>
      <c r="P7642" s="20" t="n"/>
      <c r="Q7642" s="19" t="n"/>
      <c r="R7642" s="19" t="n"/>
      <c r="Y7642" s="19" t="n"/>
    </row>
    <row r="7643">
      <c r="C7643" s="18" t="n"/>
      <c r="J7643" s="19" t="n"/>
      <c r="P7643" s="20" t="n"/>
      <c r="Q7643" s="19" t="n"/>
      <c r="R7643" s="19" t="n"/>
      <c r="Y7643" s="19" t="n"/>
    </row>
    <row r="7644">
      <c r="C7644" s="18" t="n"/>
      <c r="J7644" s="19" t="n"/>
      <c r="P7644" s="20" t="n"/>
      <c r="Q7644" s="19" t="n"/>
      <c r="R7644" s="19" t="n"/>
      <c r="Y7644" s="19" t="n"/>
    </row>
    <row r="7645">
      <c r="C7645" s="18" t="n"/>
      <c r="J7645" s="19" t="n"/>
      <c r="P7645" s="20" t="n"/>
      <c r="Q7645" s="19" t="n"/>
      <c r="R7645" s="19" t="n"/>
      <c r="Y7645" s="19" t="n"/>
    </row>
    <row r="7646">
      <c r="C7646" s="18" t="n"/>
      <c r="J7646" s="19" t="n"/>
      <c r="P7646" s="20" t="n"/>
      <c r="Q7646" s="19" t="n"/>
      <c r="R7646" s="19" t="n"/>
      <c r="Y7646" s="19" t="n"/>
    </row>
    <row r="7647">
      <c r="C7647" s="18" t="n"/>
      <c r="J7647" s="19" t="n"/>
      <c r="P7647" s="20" t="n"/>
      <c r="Q7647" s="19" t="n"/>
      <c r="R7647" s="19" t="n"/>
      <c r="Y7647" s="19" t="n"/>
    </row>
    <row r="7648">
      <c r="C7648" s="18" t="n"/>
      <c r="J7648" s="19" t="n"/>
      <c r="P7648" s="20" t="n"/>
      <c r="Q7648" s="19" t="n"/>
      <c r="R7648" s="19" t="n"/>
      <c r="Y7648" s="19" t="n"/>
    </row>
    <row r="7649">
      <c r="C7649" s="18" t="n"/>
      <c r="J7649" s="19" t="n"/>
      <c r="P7649" s="20" t="n"/>
      <c r="Q7649" s="19" t="n"/>
      <c r="R7649" s="19" t="n"/>
      <c r="Y7649" s="19" t="n"/>
    </row>
    <row r="7650">
      <c r="C7650" s="18" t="n"/>
      <c r="J7650" s="19" t="n"/>
      <c r="P7650" s="20" t="n"/>
      <c r="Q7650" s="19" t="n"/>
      <c r="R7650" s="19" t="n"/>
      <c r="Y7650" s="19" t="n"/>
    </row>
    <row r="7651">
      <c r="C7651" s="18" t="n"/>
      <c r="J7651" s="19" t="n"/>
      <c r="P7651" s="20" t="n"/>
      <c r="Q7651" s="19" t="n"/>
      <c r="R7651" s="19" t="n"/>
      <c r="Y7651" s="19" t="n"/>
    </row>
    <row r="7652">
      <c r="C7652" s="18" t="n"/>
      <c r="J7652" s="19" t="n"/>
      <c r="P7652" s="20" t="n"/>
      <c r="Q7652" s="19" t="n"/>
      <c r="R7652" s="19" t="n"/>
      <c r="Y7652" s="19" t="n"/>
    </row>
    <row r="7653">
      <c r="C7653" s="18" t="n"/>
      <c r="J7653" s="19" t="n"/>
      <c r="P7653" s="20" t="n"/>
      <c r="Q7653" s="19" t="n"/>
      <c r="R7653" s="19" t="n"/>
      <c r="Y7653" s="19" t="n"/>
    </row>
    <row r="7654">
      <c r="C7654" s="18" t="n"/>
      <c r="J7654" s="19" t="n"/>
      <c r="P7654" s="20" t="n"/>
      <c r="Q7654" s="19" t="n"/>
      <c r="R7654" s="19" t="n"/>
      <c r="Y7654" s="19" t="n"/>
    </row>
    <row r="7655">
      <c r="C7655" s="18" t="n"/>
      <c r="J7655" s="19" t="n"/>
      <c r="P7655" s="20" t="n"/>
      <c r="Q7655" s="19" t="n"/>
      <c r="R7655" s="19" t="n"/>
      <c r="Y7655" s="19" t="n"/>
    </row>
    <row r="7656">
      <c r="C7656" s="18" t="n"/>
      <c r="J7656" s="19" t="n"/>
      <c r="P7656" s="20" t="n"/>
      <c r="Q7656" s="19" t="n"/>
      <c r="R7656" s="19" t="n"/>
      <c r="Y7656" s="19" t="n"/>
    </row>
    <row r="7657">
      <c r="C7657" s="18" t="n"/>
      <c r="J7657" s="19" t="n"/>
      <c r="P7657" s="20" t="n"/>
      <c r="Q7657" s="19" t="n"/>
      <c r="R7657" s="19" t="n"/>
      <c r="Y7657" s="19" t="n"/>
    </row>
    <row r="7658">
      <c r="C7658" s="18" t="n"/>
      <c r="J7658" s="19" t="n"/>
      <c r="P7658" s="20" t="n"/>
      <c r="Q7658" s="19" t="n"/>
      <c r="R7658" s="19" t="n"/>
      <c r="Y7658" s="19" t="n"/>
    </row>
    <row r="7659">
      <c r="C7659" s="18" t="n"/>
      <c r="J7659" s="19" t="n"/>
      <c r="P7659" s="20" t="n"/>
      <c r="Q7659" s="19" t="n"/>
      <c r="R7659" s="19" t="n"/>
      <c r="Y7659" s="19" t="n"/>
    </row>
    <row r="7660">
      <c r="C7660" s="18" t="n"/>
      <c r="J7660" s="19" t="n"/>
      <c r="P7660" s="20" t="n"/>
      <c r="Q7660" s="19" t="n"/>
      <c r="R7660" s="19" t="n"/>
      <c r="Y7660" s="19" t="n"/>
    </row>
    <row r="7661">
      <c r="C7661" s="18" t="n"/>
      <c r="J7661" s="19" t="n"/>
      <c r="P7661" s="20" t="n"/>
      <c r="Q7661" s="19" t="n"/>
      <c r="R7661" s="19" t="n"/>
      <c r="Y7661" s="19" t="n"/>
    </row>
    <row r="7662">
      <c r="C7662" s="18" t="n"/>
      <c r="J7662" s="19" t="n"/>
      <c r="P7662" s="20" t="n"/>
      <c r="Q7662" s="19" t="n"/>
      <c r="R7662" s="19" t="n"/>
      <c r="Y7662" s="19" t="n"/>
    </row>
    <row r="7663">
      <c r="C7663" s="18" t="n"/>
      <c r="J7663" s="19" t="n"/>
      <c r="P7663" s="20" t="n"/>
      <c r="Q7663" s="19" t="n"/>
      <c r="R7663" s="19" t="n"/>
      <c r="Y7663" s="19" t="n"/>
    </row>
    <row r="7664">
      <c r="C7664" s="18" t="n"/>
      <c r="J7664" s="19" t="n"/>
      <c r="P7664" s="20" t="n"/>
      <c r="Q7664" s="19" t="n"/>
      <c r="R7664" s="19" t="n"/>
      <c r="Y7664" s="19" t="n"/>
    </row>
    <row r="7665">
      <c r="C7665" s="18" t="n"/>
      <c r="J7665" s="19" t="n"/>
      <c r="P7665" s="20" t="n"/>
      <c r="Q7665" s="19" t="n"/>
      <c r="R7665" s="19" t="n"/>
      <c r="Y7665" s="19" t="n"/>
    </row>
    <row r="7666">
      <c r="C7666" s="18" t="n"/>
      <c r="J7666" s="19" t="n"/>
      <c r="P7666" s="20" t="n"/>
      <c r="Q7666" s="19" t="n"/>
      <c r="R7666" s="19" t="n"/>
      <c r="Y7666" s="19" t="n"/>
    </row>
    <row r="7667">
      <c r="C7667" s="18" t="n"/>
      <c r="J7667" s="19" t="n"/>
      <c r="P7667" s="20" t="n"/>
      <c r="Q7667" s="19" t="n"/>
      <c r="R7667" s="19" t="n"/>
      <c r="Y7667" s="19" t="n"/>
    </row>
    <row r="7668">
      <c r="C7668" s="18" t="n"/>
      <c r="J7668" s="19" t="n"/>
      <c r="P7668" s="20" t="n"/>
      <c r="Q7668" s="19" t="n"/>
      <c r="R7668" s="19" t="n"/>
      <c r="Y7668" s="19" t="n"/>
    </row>
    <row r="7669">
      <c r="C7669" s="18" t="n"/>
      <c r="J7669" s="19" t="n"/>
      <c r="P7669" s="20" t="n"/>
      <c r="Q7669" s="19" t="n"/>
      <c r="R7669" s="19" t="n"/>
      <c r="Y7669" s="19" t="n"/>
    </row>
    <row r="7670">
      <c r="C7670" s="18" t="n"/>
      <c r="J7670" s="19" t="n"/>
      <c r="P7670" s="20" t="n"/>
      <c r="Q7670" s="19" t="n"/>
      <c r="R7670" s="19" t="n"/>
      <c r="Y7670" s="19" t="n"/>
    </row>
    <row r="7671">
      <c r="C7671" s="18" t="n"/>
      <c r="J7671" s="19" t="n"/>
      <c r="P7671" s="20" t="n"/>
      <c r="Q7671" s="19" t="n"/>
      <c r="R7671" s="19" t="n"/>
      <c r="Y7671" s="19" t="n"/>
    </row>
    <row r="7672">
      <c r="C7672" s="18" t="n"/>
      <c r="J7672" s="19" t="n"/>
      <c r="P7672" s="20" t="n"/>
      <c r="Q7672" s="19" t="n"/>
      <c r="R7672" s="19" t="n"/>
      <c r="Y7672" s="19" t="n"/>
    </row>
    <row r="7673">
      <c r="C7673" s="18" t="n"/>
      <c r="J7673" s="19" t="n"/>
      <c r="P7673" s="20" t="n"/>
      <c r="Q7673" s="19" t="n"/>
      <c r="R7673" s="19" t="n"/>
      <c r="Y7673" s="19" t="n"/>
    </row>
    <row r="7674">
      <c r="C7674" s="18" t="n"/>
      <c r="J7674" s="19" t="n"/>
      <c r="P7674" s="20" t="n"/>
      <c r="Q7674" s="19" t="n"/>
      <c r="R7674" s="19" t="n"/>
      <c r="Y7674" s="19" t="n"/>
    </row>
    <row r="7675">
      <c r="C7675" s="18" t="n"/>
      <c r="J7675" s="19" t="n"/>
      <c r="P7675" s="20" t="n"/>
      <c r="Q7675" s="19" t="n"/>
      <c r="R7675" s="19" t="n"/>
      <c r="Y7675" s="19" t="n"/>
    </row>
    <row r="7676">
      <c r="C7676" s="18" t="n"/>
      <c r="J7676" s="19" t="n"/>
      <c r="P7676" s="20" t="n"/>
      <c r="Q7676" s="19" t="n"/>
      <c r="R7676" s="19" t="n"/>
      <c r="Y7676" s="19" t="n"/>
    </row>
    <row r="7677">
      <c r="C7677" s="18" t="n"/>
      <c r="J7677" s="19" t="n"/>
      <c r="P7677" s="20" t="n"/>
      <c r="Q7677" s="19" t="n"/>
      <c r="R7677" s="19" t="n"/>
      <c r="Y7677" s="19" t="n"/>
    </row>
    <row r="7678">
      <c r="C7678" s="18" t="n"/>
      <c r="J7678" s="19" t="n"/>
      <c r="P7678" s="20" t="n"/>
      <c r="Q7678" s="19" t="n"/>
      <c r="R7678" s="19" t="n"/>
      <c r="Y7678" s="19" t="n"/>
    </row>
    <row r="7679">
      <c r="C7679" s="18" t="n"/>
      <c r="J7679" s="19" t="n"/>
      <c r="P7679" s="20" t="n"/>
      <c r="Q7679" s="19" t="n"/>
      <c r="R7679" s="19" t="n"/>
      <c r="Y7679" s="19" t="n"/>
    </row>
    <row r="7680">
      <c r="C7680" s="18" t="n"/>
      <c r="J7680" s="19" t="n"/>
      <c r="P7680" s="20" t="n"/>
      <c r="Q7680" s="19" t="n"/>
      <c r="R7680" s="19" t="n"/>
      <c r="Y7680" s="19" t="n"/>
    </row>
    <row r="7681">
      <c r="C7681" s="18" t="n"/>
      <c r="J7681" s="19" t="n"/>
      <c r="P7681" s="20" t="n"/>
      <c r="Q7681" s="19" t="n"/>
      <c r="R7681" s="19" t="n"/>
      <c r="Y7681" s="19" t="n"/>
    </row>
    <row r="7682">
      <c r="C7682" s="18" t="n"/>
      <c r="J7682" s="19" t="n"/>
      <c r="P7682" s="20" t="n"/>
      <c r="Q7682" s="19" t="n"/>
      <c r="R7682" s="19" t="n"/>
      <c r="Y7682" s="19" t="n"/>
    </row>
    <row r="7683">
      <c r="C7683" s="18" t="n"/>
      <c r="J7683" s="19" t="n"/>
      <c r="P7683" s="20" t="n"/>
      <c r="Q7683" s="19" t="n"/>
      <c r="R7683" s="19" t="n"/>
      <c r="Y7683" s="19" t="n"/>
    </row>
    <row r="7684">
      <c r="C7684" s="18" t="n"/>
      <c r="J7684" s="19" t="n"/>
      <c r="P7684" s="20" t="n"/>
      <c r="Q7684" s="19" t="n"/>
      <c r="R7684" s="19" t="n"/>
      <c r="Y7684" s="19" t="n"/>
    </row>
    <row r="7685">
      <c r="C7685" s="18" t="n"/>
      <c r="J7685" s="19" t="n"/>
      <c r="P7685" s="20" t="n"/>
      <c r="Q7685" s="19" t="n"/>
      <c r="R7685" s="19" t="n"/>
      <c r="Y7685" s="19" t="n"/>
    </row>
    <row r="7686">
      <c r="C7686" s="18" t="n"/>
      <c r="J7686" s="19" t="n"/>
      <c r="P7686" s="20" t="n"/>
      <c r="Q7686" s="19" t="n"/>
      <c r="R7686" s="19" t="n"/>
      <c r="Y7686" s="19" t="n"/>
    </row>
    <row r="7687">
      <c r="C7687" s="18" t="n"/>
      <c r="J7687" s="19" t="n"/>
      <c r="P7687" s="20" t="n"/>
      <c r="Q7687" s="19" t="n"/>
      <c r="R7687" s="19" t="n"/>
      <c r="Y7687" s="19" t="n"/>
    </row>
    <row r="7688">
      <c r="C7688" s="18" t="n"/>
      <c r="J7688" s="19" t="n"/>
      <c r="P7688" s="20" t="n"/>
      <c r="Q7688" s="19" t="n"/>
      <c r="R7688" s="19" t="n"/>
      <c r="Y7688" s="19" t="n"/>
    </row>
    <row r="7689">
      <c r="C7689" s="18" t="n"/>
      <c r="J7689" s="19" t="n"/>
      <c r="P7689" s="20" t="n"/>
      <c r="Q7689" s="19" t="n"/>
      <c r="R7689" s="19" t="n"/>
      <c r="Y7689" s="19" t="n"/>
    </row>
    <row r="7690">
      <c r="C7690" s="18" t="n"/>
      <c r="J7690" s="19" t="n"/>
      <c r="P7690" s="20" t="n"/>
      <c r="Q7690" s="19" t="n"/>
      <c r="R7690" s="19" t="n"/>
      <c r="Y7690" s="19" t="n"/>
    </row>
    <row r="7691">
      <c r="C7691" s="18" t="n"/>
      <c r="J7691" s="19" t="n"/>
      <c r="P7691" s="20" t="n"/>
      <c r="Q7691" s="19" t="n"/>
      <c r="R7691" s="19" t="n"/>
      <c r="Y7691" s="19" t="n"/>
    </row>
    <row r="7692">
      <c r="C7692" s="18" t="n"/>
      <c r="J7692" s="19" t="n"/>
      <c r="P7692" s="20" t="n"/>
      <c r="Q7692" s="19" t="n"/>
      <c r="R7692" s="19" t="n"/>
      <c r="Y7692" s="19" t="n"/>
    </row>
    <row r="7693">
      <c r="C7693" s="18" t="n"/>
      <c r="J7693" s="19" t="n"/>
      <c r="P7693" s="20" t="n"/>
      <c r="Q7693" s="19" t="n"/>
      <c r="R7693" s="19" t="n"/>
      <c r="Y7693" s="19" t="n"/>
    </row>
    <row r="7694">
      <c r="C7694" s="18" t="n"/>
      <c r="J7694" s="19" t="n"/>
      <c r="P7694" s="20" t="n"/>
      <c r="Q7694" s="19" t="n"/>
      <c r="R7694" s="19" t="n"/>
      <c r="Y7694" s="19" t="n"/>
    </row>
    <row r="7695">
      <c r="C7695" s="18" t="n"/>
      <c r="J7695" s="19" t="n"/>
      <c r="P7695" s="20" t="n"/>
      <c r="Q7695" s="19" t="n"/>
      <c r="R7695" s="19" t="n"/>
      <c r="Y7695" s="19" t="n"/>
    </row>
    <row r="7696">
      <c r="C7696" s="18" t="n"/>
      <c r="J7696" s="19" t="n"/>
      <c r="P7696" s="20" t="n"/>
      <c r="Q7696" s="19" t="n"/>
      <c r="R7696" s="19" t="n"/>
      <c r="Y7696" s="19" t="n"/>
    </row>
    <row r="7697">
      <c r="C7697" s="18" t="n"/>
      <c r="J7697" s="19" t="n"/>
      <c r="P7697" s="20" t="n"/>
      <c r="Q7697" s="19" t="n"/>
      <c r="R7697" s="19" t="n"/>
      <c r="Y7697" s="19" t="n"/>
    </row>
    <row r="7698">
      <c r="C7698" s="18" t="n"/>
      <c r="J7698" s="19" t="n"/>
      <c r="P7698" s="20" t="n"/>
      <c r="Q7698" s="19" t="n"/>
      <c r="R7698" s="19" t="n"/>
      <c r="Y7698" s="19" t="n"/>
    </row>
    <row r="7699">
      <c r="C7699" s="18" t="n"/>
      <c r="J7699" s="19" t="n"/>
      <c r="P7699" s="20" t="n"/>
      <c r="Q7699" s="19" t="n"/>
      <c r="R7699" s="19" t="n"/>
      <c r="Y7699" s="19" t="n"/>
    </row>
    <row r="7700">
      <c r="C7700" s="18" t="n"/>
      <c r="J7700" s="19" t="n"/>
      <c r="P7700" s="20" t="n"/>
      <c r="Q7700" s="19" t="n"/>
      <c r="R7700" s="19" t="n"/>
      <c r="Y7700" s="19" t="n"/>
    </row>
    <row r="7701">
      <c r="C7701" s="18" t="n"/>
      <c r="J7701" s="19" t="n"/>
      <c r="P7701" s="20" t="n"/>
      <c r="Q7701" s="19" t="n"/>
      <c r="R7701" s="19" t="n"/>
      <c r="Y7701" s="19" t="n"/>
    </row>
    <row r="7702">
      <c r="C7702" s="18" t="n"/>
      <c r="J7702" s="19" t="n"/>
      <c r="P7702" s="20" t="n"/>
      <c r="Q7702" s="19" t="n"/>
      <c r="R7702" s="19" t="n"/>
      <c r="Y7702" s="19" t="n"/>
    </row>
    <row r="7703">
      <c r="C7703" s="18" t="n"/>
      <c r="J7703" s="19" t="n"/>
      <c r="P7703" s="20" t="n"/>
      <c r="Q7703" s="19" t="n"/>
      <c r="R7703" s="19" t="n"/>
      <c r="Y7703" s="19" t="n"/>
    </row>
    <row r="7704">
      <c r="C7704" s="18" t="n"/>
      <c r="J7704" s="19" t="n"/>
      <c r="P7704" s="20" t="n"/>
      <c r="Q7704" s="19" t="n"/>
      <c r="R7704" s="19" t="n"/>
      <c r="Y7704" s="19" t="n"/>
    </row>
    <row r="7705">
      <c r="C7705" s="18" t="n"/>
      <c r="J7705" s="19" t="n"/>
      <c r="P7705" s="20" t="n"/>
      <c r="Q7705" s="19" t="n"/>
      <c r="R7705" s="19" t="n"/>
      <c r="Y7705" s="19" t="n"/>
    </row>
    <row r="7706">
      <c r="C7706" s="18" t="n"/>
      <c r="J7706" s="19" t="n"/>
      <c r="P7706" s="20" t="n"/>
      <c r="Q7706" s="19" t="n"/>
      <c r="R7706" s="19" t="n"/>
      <c r="Y7706" s="19" t="n"/>
    </row>
    <row r="7707">
      <c r="C7707" s="18" t="n"/>
      <c r="J7707" s="19" t="n"/>
      <c r="P7707" s="20" t="n"/>
      <c r="Q7707" s="19" t="n"/>
      <c r="R7707" s="19" t="n"/>
      <c r="Y7707" s="19" t="n"/>
    </row>
    <row r="7708">
      <c r="C7708" s="18" t="n"/>
      <c r="J7708" s="19" t="n"/>
      <c r="P7708" s="20" t="n"/>
      <c r="Q7708" s="19" t="n"/>
      <c r="R7708" s="19" t="n"/>
      <c r="Y7708" s="19" t="n"/>
    </row>
    <row r="7709">
      <c r="C7709" s="18" t="n"/>
      <c r="J7709" s="19" t="n"/>
      <c r="P7709" s="20" t="n"/>
      <c r="Q7709" s="19" t="n"/>
      <c r="R7709" s="19" t="n"/>
      <c r="Y7709" s="19" t="n"/>
    </row>
    <row r="7710">
      <c r="C7710" s="18" t="n"/>
      <c r="J7710" s="19" t="n"/>
      <c r="P7710" s="20" t="n"/>
      <c r="Q7710" s="19" t="n"/>
      <c r="R7710" s="19" t="n"/>
      <c r="Y7710" s="19" t="n"/>
    </row>
    <row r="7711">
      <c r="C7711" s="18" t="n"/>
      <c r="J7711" s="19" t="n"/>
      <c r="P7711" s="20" t="n"/>
      <c r="Q7711" s="19" t="n"/>
      <c r="R7711" s="19" t="n"/>
      <c r="Y7711" s="19" t="n"/>
    </row>
    <row r="7712">
      <c r="C7712" s="18" t="n"/>
      <c r="J7712" s="19" t="n"/>
      <c r="P7712" s="20" t="n"/>
      <c r="Q7712" s="19" t="n"/>
      <c r="R7712" s="19" t="n"/>
      <c r="Y7712" s="19" t="n"/>
    </row>
    <row r="7713">
      <c r="C7713" s="18" t="n"/>
      <c r="J7713" s="19" t="n"/>
      <c r="P7713" s="20" t="n"/>
      <c r="Q7713" s="19" t="n"/>
      <c r="R7713" s="19" t="n"/>
      <c r="Y7713" s="19" t="n"/>
    </row>
    <row r="7714">
      <c r="C7714" s="18" t="n"/>
      <c r="J7714" s="19" t="n"/>
      <c r="P7714" s="20" t="n"/>
      <c r="Q7714" s="19" t="n"/>
      <c r="R7714" s="19" t="n"/>
      <c r="Y7714" s="19" t="n"/>
    </row>
    <row r="7715">
      <c r="C7715" s="18" t="n"/>
      <c r="J7715" s="19" t="n"/>
      <c r="P7715" s="20" t="n"/>
      <c r="Q7715" s="19" t="n"/>
      <c r="R7715" s="19" t="n"/>
      <c r="Y7715" s="19" t="n"/>
    </row>
    <row r="7716">
      <c r="C7716" s="18" t="n"/>
      <c r="J7716" s="19" t="n"/>
      <c r="P7716" s="20" t="n"/>
      <c r="Q7716" s="19" t="n"/>
      <c r="R7716" s="19" t="n"/>
      <c r="Y7716" s="19" t="n"/>
    </row>
    <row r="7717">
      <c r="C7717" s="18" t="n"/>
      <c r="J7717" s="19" t="n"/>
      <c r="P7717" s="20" t="n"/>
      <c r="Q7717" s="19" t="n"/>
      <c r="R7717" s="19" t="n"/>
      <c r="Y7717" s="19" t="n"/>
    </row>
    <row r="7718">
      <c r="C7718" s="18" t="n"/>
      <c r="J7718" s="19" t="n"/>
      <c r="P7718" s="20" t="n"/>
      <c r="Q7718" s="19" t="n"/>
      <c r="R7718" s="19" t="n"/>
      <c r="Y7718" s="19" t="n"/>
    </row>
    <row r="7719">
      <c r="C7719" s="18" t="n"/>
      <c r="J7719" s="19" t="n"/>
      <c r="P7719" s="20" t="n"/>
      <c r="Q7719" s="19" t="n"/>
      <c r="R7719" s="19" t="n"/>
      <c r="Y7719" s="19" t="n"/>
    </row>
    <row r="7720">
      <c r="C7720" s="18" t="n"/>
      <c r="J7720" s="19" t="n"/>
      <c r="P7720" s="20" t="n"/>
      <c r="Q7720" s="19" t="n"/>
      <c r="R7720" s="19" t="n"/>
      <c r="Y7720" s="19" t="n"/>
    </row>
    <row r="7721">
      <c r="C7721" s="18" t="n"/>
      <c r="J7721" s="19" t="n"/>
      <c r="P7721" s="20" t="n"/>
      <c r="Q7721" s="19" t="n"/>
      <c r="R7721" s="19" t="n"/>
      <c r="Y7721" s="19" t="n"/>
    </row>
    <row r="7722">
      <c r="C7722" s="18" t="n"/>
      <c r="J7722" s="19" t="n"/>
      <c r="P7722" s="20" t="n"/>
      <c r="Q7722" s="19" t="n"/>
      <c r="R7722" s="19" t="n"/>
      <c r="Y7722" s="19" t="n"/>
    </row>
    <row r="7723">
      <c r="C7723" s="18" t="n"/>
      <c r="J7723" s="19" t="n"/>
      <c r="P7723" s="20" t="n"/>
      <c r="Q7723" s="19" t="n"/>
      <c r="R7723" s="19" t="n"/>
      <c r="Y7723" s="19" t="n"/>
    </row>
    <row r="7724">
      <c r="C7724" s="18" t="n"/>
      <c r="J7724" s="19" t="n"/>
      <c r="P7724" s="20" t="n"/>
      <c r="Q7724" s="19" t="n"/>
      <c r="R7724" s="19" t="n"/>
      <c r="Y7724" s="19" t="n"/>
    </row>
    <row r="7725">
      <c r="C7725" s="18" t="n"/>
      <c r="J7725" s="19" t="n"/>
      <c r="P7725" s="20" t="n"/>
      <c r="Q7725" s="19" t="n"/>
      <c r="R7725" s="19" t="n"/>
      <c r="Y7725" s="19" t="n"/>
    </row>
    <row r="7726">
      <c r="C7726" s="18" t="n"/>
      <c r="J7726" s="19" t="n"/>
      <c r="P7726" s="20" t="n"/>
      <c r="Q7726" s="19" t="n"/>
      <c r="R7726" s="19" t="n"/>
      <c r="Y7726" s="19" t="n"/>
    </row>
    <row r="7727">
      <c r="C7727" s="18" t="n"/>
      <c r="J7727" s="19" t="n"/>
      <c r="P7727" s="20" t="n"/>
      <c r="Q7727" s="19" t="n"/>
      <c r="R7727" s="19" t="n"/>
      <c r="Y7727" s="19" t="n"/>
    </row>
    <row r="7728">
      <c r="C7728" s="18" t="n"/>
      <c r="J7728" s="19" t="n"/>
      <c r="P7728" s="20" t="n"/>
      <c r="Q7728" s="19" t="n"/>
      <c r="R7728" s="19" t="n"/>
      <c r="Y7728" s="19" t="n"/>
    </row>
    <row r="7729">
      <c r="C7729" s="18" t="n"/>
      <c r="J7729" s="19" t="n"/>
      <c r="P7729" s="20" t="n"/>
      <c r="Q7729" s="19" t="n"/>
      <c r="R7729" s="19" t="n"/>
      <c r="Y7729" s="19" t="n"/>
    </row>
    <row r="7730">
      <c r="C7730" s="18" t="n"/>
      <c r="J7730" s="19" t="n"/>
      <c r="P7730" s="20" t="n"/>
      <c r="Q7730" s="19" t="n"/>
      <c r="R7730" s="19" t="n"/>
      <c r="Y7730" s="19" t="n"/>
    </row>
    <row r="7731">
      <c r="C7731" s="18" t="n"/>
      <c r="J7731" s="19" t="n"/>
      <c r="P7731" s="20" t="n"/>
      <c r="Q7731" s="19" t="n"/>
      <c r="R7731" s="19" t="n"/>
      <c r="Y7731" s="19" t="n"/>
    </row>
    <row r="7732">
      <c r="C7732" s="18" t="n"/>
      <c r="J7732" s="19" t="n"/>
      <c r="P7732" s="20" t="n"/>
      <c r="Q7732" s="19" t="n"/>
      <c r="R7732" s="19" t="n"/>
      <c r="Y7732" s="19" t="n"/>
    </row>
    <row r="7733">
      <c r="C7733" s="18" t="n"/>
      <c r="J7733" s="19" t="n"/>
      <c r="P7733" s="20" t="n"/>
      <c r="Q7733" s="19" t="n"/>
      <c r="R7733" s="19" t="n"/>
      <c r="Y7733" s="19" t="n"/>
    </row>
    <row r="7734">
      <c r="C7734" s="18" t="n"/>
      <c r="J7734" s="19" t="n"/>
      <c r="P7734" s="20" t="n"/>
      <c r="Q7734" s="19" t="n"/>
      <c r="R7734" s="19" t="n"/>
      <c r="Y7734" s="19" t="n"/>
    </row>
    <row r="7735">
      <c r="C7735" s="18" t="n"/>
      <c r="J7735" s="19" t="n"/>
      <c r="P7735" s="20" t="n"/>
      <c r="Q7735" s="19" t="n"/>
      <c r="R7735" s="19" t="n"/>
      <c r="Y7735" s="19" t="n"/>
    </row>
    <row r="7736">
      <c r="C7736" s="18" t="n"/>
      <c r="J7736" s="19" t="n"/>
      <c r="P7736" s="20" t="n"/>
      <c r="Q7736" s="19" t="n"/>
      <c r="R7736" s="19" t="n"/>
      <c r="Y7736" s="19" t="n"/>
    </row>
    <row r="7737">
      <c r="C7737" s="18" t="n"/>
      <c r="J7737" s="19" t="n"/>
      <c r="P7737" s="20" t="n"/>
      <c r="Q7737" s="19" t="n"/>
      <c r="R7737" s="19" t="n"/>
      <c r="Y7737" s="19" t="n"/>
    </row>
    <row r="7738">
      <c r="C7738" s="18" t="n"/>
      <c r="J7738" s="19" t="n"/>
      <c r="P7738" s="20" t="n"/>
      <c r="Q7738" s="19" t="n"/>
      <c r="R7738" s="19" t="n"/>
      <c r="Y7738" s="19" t="n"/>
    </row>
    <row r="7739">
      <c r="C7739" s="18" t="n"/>
      <c r="J7739" s="19" t="n"/>
      <c r="P7739" s="20" t="n"/>
      <c r="Q7739" s="19" t="n"/>
      <c r="R7739" s="19" t="n"/>
      <c r="Y7739" s="19" t="n"/>
    </row>
    <row r="7740">
      <c r="C7740" s="18" t="n"/>
      <c r="J7740" s="19" t="n"/>
      <c r="P7740" s="20" t="n"/>
      <c r="Q7740" s="19" t="n"/>
      <c r="R7740" s="19" t="n"/>
      <c r="Y7740" s="19" t="n"/>
    </row>
    <row r="7741">
      <c r="C7741" s="18" t="n"/>
      <c r="J7741" s="19" t="n"/>
      <c r="P7741" s="20" t="n"/>
      <c r="Q7741" s="19" t="n"/>
      <c r="R7741" s="19" t="n"/>
      <c r="Y7741" s="19" t="n"/>
    </row>
    <row r="7742">
      <c r="C7742" s="18" t="n"/>
      <c r="J7742" s="19" t="n"/>
      <c r="P7742" s="20" t="n"/>
      <c r="Q7742" s="19" t="n"/>
      <c r="R7742" s="19" t="n"/>
      <c r="Y7742" s="19" t="n"/>
    </row>
    <row r="7743">
      <c r="C7743" s="18" t="n"/>
      <c r="J7743" s="19" t="n"/>
      <c r="P7743" s="20" t="n"/>
      <c r="Q7743" s="19" t="n"/>
      <c r="R7743" s="19" t="n"/>
      <c r="Y7743" s="19" t="n"/>
    </row>
    <row r="7744">
      <c r="C7744" s="18" t="n"/>
      <c r="J7744" s="19" t="n"/>
      <c r="P7744" s="20" t="n"/>
      <c r="Q7744" s="19" t="n"/>
      <c r="R7744" s="19" t="n"/>
      <c r="Y7744" s="19" t="n"/>
    </row>
    <row r="7745">
      <c r="C7745" s="18" t="n"/>
      <c r="J7745" s="19" t="n"/>
      <c r="P7745" s="20" t="n"/>
      <c r="Q7745" s="19" t="n"/>
      <c r="R7745" s="19" t="n"/>
      <c r="Y7745" s="19" t="n"/>
    </row>
    <row r="7746">
      <c r="C7746" s="18" t="n"/>
      <c r="J7746" s="19" t="n"/>
      <c r="P7746" s="20" t="n"/>
      <c r="Q7746" s="19" t="n"/>
      <c r="R7746" s="19" t="n"/>
      <c r="Y7746" s="19" t="n"/>
    </row>
    <row r="7747">
      <c r="C7747" s="18" t="n"/>
      <c r="J7747" s="19" t="n"/>
      <c r="P7747" s="20" t="n"/>
      <c r="Q7747" s="19" t="n"/>
      <c r="R7747" s="19" t="n"/>
      <c r="Y7747" s="19" t="n"/>
    </row>
    <row r="7748">
      <c r="C7748" s="18" t="n"/>
      <c r="J7748" s="19" t="n"/>
      <c r="P7748" s="20" t="n"/>
      <c r="Q7748" s="19" t="n"/>
      <c r="R7748" s="19" t="n"/>
      <c r="Y7748" s="19" t="n"/>
    </row>
    <row r="7749">
      <c r="C7749" s="18" t="n"/>
      <c r="J7749" s="19" t="n"/>
      <c r="P7749" s="20" t="n"/>
      <c r="Q7749" s="19" t="n"/>
      <c r="R7749" s="19" t="n"/>
      <c r="Y7749" s="19" t="n"/>
    </row>
    <row r="7750">
      <c r="C7750" s="18" t="n"/>
      <c r="J7750" s="19" t="n"/>
      <c r="P7750" s="20" t="n"/>
      <c r="Q7750" s="19" t="n"/>
      <c r="R7750" s="19" t="n"/>
      <c r="Y7750" s="19" t="n"/>
    </row>
    <row r="7751">
      <c r="C7751" s="18" t="n"/>
      <c r="J7751" s="19" t="n"/>
      <c r="P7751" s="20" t="n"/>
      <c r="Q7751" s="19" t="n"/>
      <c r="R7751" s="19" t="n"/>
      <c r="Y7751" s="19" t="n"/>
    </row>
    <row r="7752">
      <c r="C7752" s="18" t="n"/>
      <c r="J7752" s="19" t="n"/>
      <c r="P7752" s="20" t="n"/>
      <c r="Q7752" s="19" t="n"/>
      <c r="R7752" s="19" t="n"/>
      <c r="Y7752" s="19" t="n"/>
    </row>
    <row r="7753">
      <c r="C7753" s="18" t="n"/>
      <c r="J7753" s="19" t="n"/>
      <c r="P7753" s="20" t="n"/>
      <c r="Q7753" s="19" t="n"/>
      <c r="R7753" s="19" t="n"/>
      <c r="Y7753" s="19" t="n"/>
    </row>
    <row r="7754">
      <c r="C7754" s="18" t="n"/>
      <c r="J7754" s="19" t="n"/>
      <c r="P7754" s="20" t="n"/>
      <c r="Q7754" s="19" t="n"/>
      <c r="R7754" s="19" t="n"/>
      <c r="Y7754" s="19" t="n"/>
    </row>
    <row r="7755">
      <c r="C7755" s="18" t="n"/>
      <c r="J7755" s="19" t="n"/>
      <c r="P7755" s="20" t="n"/>
      <c r="Q7755" s="19" t="n"/>
      <c r="R7755" s="19" t="n"/>
      <c r="Y7755" s="19" t="n"/>
    </row>
    <row r="7756">
      <c r="C7756" s="18" t="n"/>
      <c r="J7756" s="19" t="n"/>
      <c r="P7756" s="20" t="n"/>
      <c r="Q7756" s="19" t="n"/>
      <c r="R7756" s="19" t="n"/>
      <c r="Y7756" s="19" t="n"/>
    </row>
    <row r="7757">
      <c r="C7757" s="18" t="n"/>
      <c r="J7757" s="19" t="n"/>
      <c r="P7757" s="20" t="n"/>
      <c r="Q7757" s="19" t="n"/>
      <c r="R7757" s="19" t="n"/>
      <c r="Y7757" s="19" t="n"/>
    </row>
    <row r="7758">
      <c r="C7758" s="18" t="n"/>
      <c r="J7758" s="19" t="n"/>
      <c r="P7758" s="20" t="n"/>
      <c r="Q7758" s="19" t="n"/>
      <c r="R7758" s="19" t="n"/>
      <c r="Y7758" s="19" t="n"/>
    </row>
    <row r="7759">
      <c r="C7759" s="18" t="n"/>
      <c r="J7759" s="19" t="n"/>
      <c r="P7759" s="20" t="n"/>
      <c r="Q7759" s="19" t="n"/>
      <c r="R7759" s="19" t="n"/>
      <c r="Y7759" s="19" t="n"/>
    </row>
    <row r="7760">
      <c r="C7760" s="18" t="n"/>
      <c r="J7760" s="19" t="n"/>
      <c r="P7760" s="20" t="n"/>
      <c r="Q7760" s="19" t="n"/>
      <c r="R7760" s="19" t="n"/>
      <c r="Y7760" s="19" t="n"/>
    </row>
    <row r="7761">
      <c r="C7761" s="18" t="n"/>
      <c r="J7761" s="19" t="n"/>
      <c r="P7761" s="20" t="n"/>
      <c r="Q7761" s="19" t="n"/>
      <c r="R7761" s="19" t="n"/>
      <c r="Y7761" s="19" t="n"/>
    </row>
    <row r="7762">
      <c r="C7762" s="18" t="n"/>
      <c r="J7762" s="19" t="n"/>
      <c r="P7762" s="20" t="n"/>
      <c r="Q7762" s="19" t="n"/>
      <c r="R7762" s="19" t="n"/>
      <c r="Y7762" s="19" t="n"/>
    </row>
    <row r="7763">
      <c r="C7763" s="18" t="n"/>
      <c r="J7763" s="19" t="n"/>
      <c r="P7763" s="20" t="n"/>
      <c r="Q7763" s="19" t="n"/>
      <c r="R7763" s="19" t="n"/>
      <c r="Y7763" s="19" t="n"/>
    </row>
    <row r="7764">
      <c r="C7764" s="18" t="n"/>
      <c r="J7764" s="19" t="n"/>
      <c r="P7764" s="20" t="n"/>
      <c r="Q7764" s="19" t="n"/>
      <c r="R7764" s="19" t="n"/>
      <c r="Y7764" s="19" t="n"/>
    </row>
    <row r="7765">
      <c r="C7765" s="18" t="n"/>
      <c r="J7765" s="19" t="n"/>
      <c r="P7765" s="20" t="n"/>
      <c r="Q7765" s="19" t="n"/>
      <c r="R7765" s="19" t="n"/>
      <c r="Y7765" s="19" t="n"/>
    </row>
    <row r="7766">
      <c r="C7766" s="18" t="n"/>
      <c r="J7766" s="19" t="n"/>
      <c r="P7766" s="20" t="n"/>
      <c r="Q7766" s="19" t="n"/>
      <c r="R7766" s="19" t="n"/>
      <c r="Y7766" s="19" t="n"/>
    </row>
    <row r="7767">
      <c r="C7767" s="18" t="n"/>
      <c r="J7767" s="19" t="n"/>
      <c r="P7767" s="20" t="n"/>
      <c r="Q7767" s="19" t="n"/>
      <c r="R7767" s="19" t="n"/>
      <c r="Y7767" s="19" t="n"/>
    </row>
    <row r="7768">
      <c r="C7768" s="18" t="n"/>
      <c r="J7768" s="19" t="n"/>
      <c r="P7768" s="20" t="n"/>
      <c r="Q7768" s="19" t="n"/>
      <c r="R7768" s="19" t="n"/>
      <c r="Y7768" s="19" t="n"/>
    </row>
    <row r="7769">
      <c r="C7769" s="18" t="n"/>
      <c r="J7769" s="19" t="n"/>
      <c r="P7769" s="20" t="n"/>
      <c r="Q7769" s="19" t="n"/>
      <c r="R7769" s="19" t="n"/>
      <c r="Y7769" s="19" t="n"/>
    </row>
    <row r="7770">
      <c r="C7770" s="18" t="n"/>
      <c r="J7770" s="19" t="n"/>
      <c r="P7770" s="20" t="n"/>
      <c r="Q7770" s="19" t="n"/>
      <c r="R7770" s="19" t="n"/>
      <c r="Y7770" s="19" t="n"/>
    </row>
    <row r="7771">
      <c r="C7771" s="18" t="n"/>
      <c r="J7771" s="19" t="n"/>
      <c r="P7771" s="20" t="n"/>
      <c r="Q7771" s="19" t="n"/>
      <c r="R7771" s="19" t="n"/>
      <c r="Y7771" s="19" t="n"/>
    </row>
    <row r="7772">
      <c r="C7772" s="18" t="n"/>
      <c r="J7772" s="19" t="n"/>
      <c r="P7772" s="20" t="n"/>
      <c r="Q7772" s="19" t="n"/>
      <c r="R7772" s="19" t="n"/>
      <c r="Y7772" s="19" t="n"/>
    </row>
    <row r="7773">
      <c r="C7773" s="18" t="n"/>
      <c r="J7773" s="19" t="n"/>
      <c r="P7773" s="20" t="n"/>
      <c r="Q7773" s="19" t="n"/>
      <c r="R7773" s="19" t="n"/>
      <c r="Y7773" s="19" t="n"/>
    </row>
    <row r="7774">
      <c r="C7774" s="18" t="n"/>
      <c r="J7774" s="19" t="n"/>
      <c r="P7774" s="20" t="n"/>
      <c r="Q7774" s="19" t="n"/>
      <c r="R7774" s="19" t="n"/>
      <c r="Y7774" s="19" t="n"/>
    </row>
    <row r="7775">
      <c r="C7775" s="18" t="n"/>
      <c r="J7775" s="19" t="n"/>
      <c r="P7775" s="20" t="n"/>
      <c r="Q7775" s="19" t="n"/>
      <c r="R7775" s="19" t="n"/>
      <c r="Y7775" s="19" t="n"/>
    </row>
    <row r="7776">
      <c r="C7776" s="18" t="n"/>
      <c r="J7776" s="19" t="n"/>
      <c r="P7776" s="20" t="n"/>
      <c r="Q7776" s="19" t="n"/>
      <c r="R7776" s="19" t="n"/>
      <c r="Y7776" s="19" t="n"/>
    </row>
    <row r="7777">
      <c r="C7777" s="18" t="n"/>
      <c r="J7777" s="19" t="n"/>
      <c r="P7777" s="20" t="n"/>
      <c r="Q7777" s="19" t="n"/>
      <c r="R7777" s="19" t="n"/>
      <c r="Y7777" s="19" t="n"/>
    </row>
    <row r="7778">
      <c r="C7778" s="18" t="n"/>
      <c r="J7778" s="19" t="n"/>
      <c r="P7778" s="20" t="n"/>
      <c r="Q7778" s="19" t="n"/>
      <c r="R7778" s="19" t="n"/>
      <c r="Y7778" s="19" t="n"/>
    </row>
    <row r="7779">
      <c r="C7779" s="18" t="n"/>
      <c r="J7779" s="19" t="n"/>
      <c r="P7779" s="20" t="n"/>
      <c r="Q7779" s="19" t="n"/>
      <c r="R7779" s="19" t="n"/>
      <c r="Y7779" s="19" t="n"/>
    </row>
    <row r="7780">
      <c r="C7780" s="18" t="n"/>
      <c r="J7780" s="19" t="n"/>
      <c r="P7780" s="20" t="n"/>
      <c r="Q7780" s="19" t="n"/>
      <c r="R7780" s="19" t="n"/>
      <c r="Y7780" s="19" t="n"/>
    </row>
    <row r="7781">
      <c r="C7781" s="18" t="n"/>
      <c r="J7781" s="19" t="n"/>
      <c r="P7781" s="20" t="n"/>
      <c r="Q7781" s="19" t="n"/>
      <c r="R7781" s="19" t="n"/>
      <c r="Y7781" s="19" t="n"/>
    </row>
    <row r="7782">
      <c r="C7782" s="18" t="n"/>
      <c r="J7782" s="19" t="n"/>
      <c r="P7782" s="20" t="n"/>
      <c r="Q7782" s="19" t="n"/>
      <c r="R7782" s="19" t="n"/>
      <c r="Y7782" s="19" t="n"/>
    </row>
    <row r="7783">
      <c r="C7783" s="18" t="n"/>
      <c r="J7783" s="19" t="n"/>
      <c r="P7783" s="20" t="n"/>
      <c r="Q7783" s="19" t="n"/>
      <c r="R7783" s="19" t="n"/>
      <c r="Y7783" s="19" t="n"/>
    </row>
    <row r="7784">
      <c r="C7784" s="18" t="n"/>
      <c r="J7784" s="19" t="n"/>
      <c r="P7784" s="20" t="n"/>
      <c r="Q7784" s="19" t="n"/>
      <c r="R7784" s="19" t="n"/>
      <c r="Y7784" s="19" t="n"/>
    </row>
    <row r="7785">
      <c r="C7785" s="18" t="n"/>
      <c r="J7785" s="19" t="n"/>
      <c r="P7785" s="20" t="n"/>
      <c r="Q7785" s="19" t="n"/>
      <c r="R7785" s="19" t="n"/>
      <c r="Y7785" s="19" t="n"/>
    </row>
    <row r="7786">
      <c r="C7786" s="18" t="n"/>
      <c r="J7786" s="19" t="n"/>
      <c r="P7786" s="20" t="n"/>
      <c r="Q7786" s="19" t="n"/>
      <c r="R7786" s="19" t="n"/>
      <c r="Y7786" s="19" t="n"/>
    </row>
    <row r="7787">
      <c r="C7787" s="18" t="n"/>
      <c r="J7787" s="19" t="n"/>
      <c r="P7787" s="20" t="n"/>
      <c r="Q7787" s="19" t="n"/>
      <c r="R7787" s="19" t="n"/>
      <c r="Y7787" s="19" t="n"/>
    </row>
    <row r="7788">
      <c r="C7788" s="18" t="n"/>
      <c r="J7788" s="19" t="n"/>
      <c r="P7788" s="20" t="n"/>
      <c r="Q7788" s="19" t="n"/>
      <c r="R7788" s="19" t="n"/>
      <c r="Y7788" s="19" t="n"/>
    </row>
    <row r="7789">
      <c r="C7789" s="18" t="n"/>
      <c r="J7789" s="19" t="n"/>
      <c r="P7789" s="20" t="n"/>
      <c r="Q7789" s="19" t="n"/>
      <c r="R7789" s="19" t="n"/>
      <c r="Y7789" s="19" t="n"/>
    </row>
    <row r="7790">
      <c r="C7790" s="18" t="n"/>
      <c r="J7790" s="19" t="n"/>
      <c r="P7790" s="20" t="n"/>
      <c r="Q7790" s="19" t="n"/>
      <c r="R7790" s="19" t="n"/>
      <c r="Y7790" s="19" t="n"/>
    </row>
    <row r="7791">
      <c r="C7791" s="18" t="n"/>
      <c r="J7791" s="19" t="n"/>
      <c r="P7791" s="20" t="n"/>
      <c r="Q7791" s="19" t="n"/>
      <c r="R7791" s="19" t="n"/>
      <c r="Y7791" s="19" t="n"/>
    </row>
    <row r="7792">
      <c r="C7792" s="18" t="n"/>
      <c r="J7792" s="19" t="n"/>
      <c r="P7792" s="20" t="n"/>
      <c r="Q7792" s="19" t="n"/>
      <c r="R7792" s="19" t="n"/>
      <c r="Y7792" s="19" t="n"/>
    </row>
    <row r="7793">
      <c r="C7793" s="18" t="n"/>
      <c r="J7793" s="19" t="n"/>
      <c r="P7793" s="20" t="n"/>
      <c r="Q7793" s="19" t="n"/>
      <c r="R7793" s="19" t="n"/>
      <c r="Y7793" s="19" t="n"/>
    </row>
    <row r="7794">
      <c r="C7794" s="18" t="n"/>
      <c r="J7794" s="19" t="n"/>
      <c r="P7794" s="20" t="n"/>
      <c r="Q7794" s="19" t="n"/>
      <c r="R7794" s="19" t="n"/>
      <c r="Y7794" s="19" t="n"/>
    </row>
    <row r="7795">
      <c r="C7795" s="18" t="n"/>
      <c r="J7795" s="19" t="n"/>
      <c r="P7795" s="20" t="n"/>
      <c r="Q7795" s="19" t="n"/>
      <c r="R7795" s="19" t="n"/>
      <c r="Y7795" s="19" t="n"/>
    </row>
    <row r="7796">
      <c r="C7796" s="18" t="n"/>
      <c r="J7796" s="19" t="n"/>
      <c r="P7796" s="20" t="n"/>
      <c r="Q7796" s="19" t="n"/>
      <c r="R7796" s="19" t="n"/>
      <c r="Y7796" s="19" t="n"/>
    </row>
    <row r="7797">
      <c r="C7797" s="18" t="n"/>
      <c r="J7797" s="19" t="n"/>
      <c r="P7797" s="20" t="n"/>
      <c r="Q7797" s="19" t="n"/>
      <c r="R7797" s="19" t="n"/>
      <c r="Y7797" s="19" t="n"/>
    </row>
    <row r="7798">
      <c r="C7798" s="18" t="n"/>
      <c r="J7798" s="19" t="n"/>
      <c r="P7798" s="20" t="n"/>
      <c r="Q7798" s="19" t="n"/>
      <c r="R7798" s="19" t="n"/>
      <c r="Y7798" s="19" t="n"/>
    </row>
    <row r="7799">
      <c r="C7799" s="18" t="n"/>
      <c r="J7799" s="19" t="n"/>
      <c r="P7799" s="20" t="n"/>
      <c r="Q7799" s="19" t="n"/>
      <c r="R7799" s="19" t="n"/>
      <c r="Y7799" s="19" t="n"/>
    </row>
    <row r="7800">
      <c r="C7800" s="18" t="n"/>
      <c r="J7800" s="19" t="n"/>
      <c r="P7800" s="20" t="n"/>
      <c r="Q7800" s="19" t="n"/>
      <c r="R7800" s="19" t="n"/>
      <c r="Y7800" s="19" t="n"/>
    </row>
    <row r="7801">
      <c r="C7801" s="18" t="n"/>
      <c r="J7801" s="19" t="n"/>
      <c r="P7801" s="20" t="n"/>
      <c r="Q7801" s="19" t="n"/>
      <c r="R7801" s="19" t="n"/>
      <c r="Y7801" s="19" t="n"/>
    </row>
    <row r="7802">
      <c r="C7802" s="18" t="n"/>
      <c r="J7802" s="19" t="n"/>
      <c r="P7802" s="20" t="n"/>
      <c r="Q7802" s="19" t="n"/>
      <c r="R7802" s="19" t="n"/>
      <c r="Y7802" s="19" t="n"/>
    </row>
    <row r="7803">
      <c r="C7803" s="18" t="n"/>
      <c r="J7803" s="19" t="n"/>
      <c r="P7803" s="20" t="n"/>
      <c r="Q7803" s="19" t="n"/>
      <c r="R7803" s="19" t="n"/>
      <c r="Y7803" s="19" t="n"/>
    </row>
    <row r="7804">
      <c r="C7804" s="18" t="n"/>
      <c r="J7804" s="19" t="n"/>
      <c r="P7804" s="20" t="n"/>
      <c r="Q7804" s="19" t="n"/>
      <c r="R7804" s="19" t="n"/>
      <c r="Y7804" s="19" t="n"/>
    </row>
    <row r="7805">
      <c r="C7805" s="18" t="n"/>
      <c r="J7805" s="19" t="n"/>
      <c r="P7805" s="20" t="n"/>
      <c r="Q7805" s="19" t="n"/>
      <c r="R7805" s="19" t="n"/>
      <c r="Y7805" s="19" t="n"/>
    </row>
    <row r="7806">
      <c r="C7806" s="18" t="n"/>
      <c r="J7806" s="19" t="n"/>
      <c r="P7806" s="20" t="n"/>
      <c r="Q7806" s="19" t="n"/>
      <c r="R7806" s="19" t="n"/>
      <c r="Y7806" s="19" t="n"/>
    </row>
    <row r="7807">
      <c r="C7807" s="18" t="n"/>
      <c r="J7807" s="19" t="n"/>
      <c r="P7807" s="20" t="n"/>
      <c r="Q7807" s="19" t="n"/>
      <c r="R7807" s="19" t="n"/>
      <c r="Y7807" s="19" t="n"/>
    </row>
    <row r="7808">
      <c r="C7808" s="18" t="n"/>
      <c r="J7808" s="19" t="n"/>
      <c r="P7808" s="20" t="n"/>
      <c r="Q7808" s="19" t="n"/>
      <c r="R7808" s="19" t="n"/>
      <c r="Y7808" s="19" t="n"/>
    </row>
    <row r="7809">
      <c r="C7809" s="18" t="n"/>
      <c r="J7809" s="19" t="n"/>
      <c r="P7809" s="20" t="n"/>
      <c r="Q7809" s="19" t="n"/>
      <c r="R7809" s="19" t="n"/>
      <c r="Y7809" s="19" t="n"/>
    </row>
    <row r="7810">
      <c r="C7810" s="18" t="n"/>
      <c r="J7810" s="19" t="n"/>
      <c r="P7810" s="20" t="n"/>
      <c r="Q7810" s="19" t="n"/>
      <c r="R7810" s="19" t="n"/>
      <c r="Y7810" s="19" t="n"/>
    </row>
    <row r="7811">
      <c r="C7811" s="18" t="n"/>
      <c r="J7811" s="19" t="n"/>
      <c r="P7811" s="20" t="n"/>
      <c r="Q7811" s="19" t="n"/>
      <c r="R7811" s="19" t="n"/>
      <c r="Y7811" s="19" t="n"/>
    </row>
    <row r="7812">
      <c r="C7812" s="18" t="n"/>
      <c r="J7812" s="19" t="n"/>
      <c r="P7812" s="20" t="n"/>
      <c r="Q7812" s="19" t="n"/>
      <c r="R7812" s="19" t="n"/>
      <c r="Y7812" s="19" t="n"/>
    </row>
    <row r="7813">
      <c r="C7813" s="18" t="n"/>
      <c r="J7813" s="19" t="n"/>
      <c r="P7813" s="20" t="n"/>
      <c r="Q7813" s="19" t="n"/>
      <c r="R7813" s="19" t="n"/>
      <c r="Y7813" s="19" t="n"/>
    </row>
    <row r="7814">
      <c r="C7814" s="18" t="n"/>
      <c r="J7814" s="19" t="n"/>
      <c r="P7814" s="20" t="n"/>
      <c r="Q7814" s="19" t="n"/>
      <c r="R7814" s="19" t="n"/>
      <c r="Y7814" s="19" t="n"/>
    </row>
    <row r="7815">
      <c r="C7815" s="18" t="n"/>
      <c r="J7815" s="19" t="n"/>
      <c r="P7815" s="20" t="n"/>
      <c r="Q7815" s="19" t="n"/>
      <c r="R7815" s="19" t="n"/>
      <c r="Y7815" s="19" t="n"/>
    </row>
    <row r="7816">
      <c r="C7816" s="18" t="n"/>
      <c r="J7816" s="19" t="n"/>
      <c r="P7816" s="20" t="n"/>
      <c r="Q7816" s="19" t="n"/>
      <c r="R7816" s="19" t="n"/>
      <c r="Y7816" s="19" t="n"/>
    </row>
    <row r="7817">
      <c r="C7817" s="18" t="n"/>
      <c r="J7817" s="19" t="n"/>
      <c r="P7817" s="20" t="n"/>
      <c r="Q7817" s="19" t="n"/>
      <c r="R7817" s="19" t="n"/>
      <c r="Y7817" s="19" t="n"/>
    </row>
    <row r="7818">
      <c r="C7818" s="18" t="n"/>
      <c r="J7818" s="19" t="n"/>
      <c r="P7818" s="20" t="n"/>
      <c r="Q7818" s="19" t="n"/>
      <c r="R7818" s="19" t="n"/>
      <c r="Y7818" s="19" t="n"/>
    </row>
    <row r="7819">
      <c r="C7819" s="18" t="n"/>
      <c r="J7819" s="19" t="n"/>
      <c r="P7819" s="20" t="n"/>
      <c r="Q7819" s="19" t="n"/>
      <c r="R7819" s="19" t="n"/>
      <c r="Y7819" s="19" t="n"/>
    </row>
    <row r="7820">
      <c r="C7820" s="18" t="n"/>
      <c r="J7820" s="19" t="n"/>
      <c r="P7820" s="20" t="n"/>
      <c r="Q7820" s="19" t="n"/>
      <c r="R7820" s="19" t="n"/>
      <c r="Y7820" s="19" t="n"/>
    </row>
    <row r="7821">
      <c r="C7821" s="18" t="n"/>
      <c r="J7821" s="19" t="n"/>
      <c r="P7821" s="20" t="n"/>
      <c r="Q7821" s="19" t="n"/>
      <c r="R7821" s="19" t="n"/>
      <c r="Y7821" s="19" t="n"/>
    </row>
    <row r="7822">
      <c r="C7822" s="18" t="n"/>
      <c r="J7822" s="19" t="n"/>
      <c r="P7822" s="20" t="n"/>
      <c r="Q7822" s="19" t="n"/>
      <c r="R7822" s="19" t="n"/>
      <c r="Y7822" s="19" t="n"/>
    </row>
    <row r="7823">
      <c r="C7823" s="18" t="n"/>
      <c r="J7823" s="19" t="n"/>
      <c r="P7823" s="20" t="n"/>
      <c r="Q7823" s="19" t="n"/>
      <c r="R7823" s="19" t="n"/>
      <c r="Y7823" s="19" t="n"/>
    </row>
    <row r="7824">
      <c r="C7824" s="18" t="n"/>
      <c r="J7824" s="19" t="n"/>
      <c r="P7824" s="20" t="n"/>
      <c r="Q7824" s="19" t="n"/>
      <c r="R7824" s="19" t="n"/>
      <c r="Y7824" s="19" t="n"/>
    </row>
    <row r="7825">
      <c r="C7825" s="18" t="n"/>
      <c r="J7825" s="19" t="n"/>
      <c r="P7825" s="20" t="n"/>
      <c r="Q7825" s="19" t="n"/>
      <c r="R7825" s="19" t="n"/>
      <c r="Y7825" s="19" t="n"/>
    </row>
    <row r="7826">
      <c r="C7826" s="18" t="n"/>
      <c r="J7826" s="19" t="n"/>
      <c r="P7826" s="20" t="n"/>
      <c r="Q7826" s="19" t="n"/>
      <c r="R7826" s="19" t="n"/>
      <c r="Y7826" s="19" t="n"/>
    </row>
    <row r="7827">
      <c r="C7827" s="18" t="n"/>
      <c r="J7827" s="19" t="n"/>
      <c r="P7827" s="20" t="n"/>
      <c r="Q7827" s="19" t="n"/>
      <c r="R7827" s="19" t="n"/>
      <c r="Y7827" s="19" t="n"/>
    </row>
    <row r="7828">
      <c r="C7828" s="18" t="n"/>
      <c r="J7828" s="19" t="n"/>
      <c r="P7828" s="20" t="n"/>
      <c r="Q7828" s="19" t="n"/>
      <c r="R7828" s="19" t="n"/>
      <c r="Y7828" s="19" t="n"/>
    </row>
    <row r="7829">
      <c r="C7829" s="18" t="n"/>
      <c r="J7829" s="19" t="n"/>
      <c r="P7829" s="20" t="n"/>
      <c r="Q7829" s="19" t="n"/>
      <c r="R7829" s="19" t="n"/>
      <c r="Y7829" s="19" t="n"/>
    </row>
    <row r="7830">
      <c r="C7830" s="18" t="n"/>
      <c r="J7830" s="19" t="n"/>
      <c r="P7830" s="20" t="n"/>
      <c r="Q7830" s="19" t="n"/>
      <c r="R7830" s="19" t="n"/>
      <c r="Y7830" s="19" t="n"/>
    </row>
    <row r="7831">
      <c r="C7831" s="18" t="n"/>
      <c r="J7831" s="19" t="n"/>
      <c r="P7831" s="20" t="n"/>
      <c r="Q7831" s="19" t="n"/>
      <c r="R7831" s="19" t="n"/>
      <c r="Y7831" s="19" t="n"/>
    </row>
    <row r="7832">
      <c r="C7832" s="18" t="n"/>
      <c r="J7832" s="19" t="n"/>
      <c r="P7832" s="20" t="n"/>
      <c r="Q7832" s="19" t="n"/>
      <c r="R7832" s="19" t="n"/>
      <c r="Y7832" s="19" t="n"/>
    </row>
    <row r="7833">
      <c r="C7833" s="18" t="n"/>
      <c r="J7833" s="19" t="n"/>
      <c r="P7833" s="20" t="n"/>
      <c r="Q7833" s="19" t="n"/>
      <c r="R7833" s="19" t="n"/>
      <c r="Y7833" s="19" t="n"/>
    </row>
    <row r="7834">
      <c r="C7834" s="18" t="n"/>
      <c r="J7834" s="19" t="n"/>
      <c r="P7834" s="20" t="n"/>
      <c r="Q7834" s="19" t="n"/>
      <c r="R7834" s="19" t="n"/>
      <c r="Y7834" s="19" t="n"/>
    </row>
    <row r="7835">
      <c r="C7835" s="18" t="n"/>
      <c r="J7835" s="19" t="n"/>
      <c r="P7835" s="20" t="n"/>
      <c r="Q7835" s="19" t="n"/>
      <c r="R7835" s="19" t="n"/>
      <c r="Y7835" s="19" t="n"/>
    </row>
    <row r="7836">
      <c r="C7836" s="18" t="n"/>
      <c r="J7836" s="19" t="n"/>
      <c r="P7836" s="20" t="n"/>
      <c r="Q7836" s="19" t="n"/>
      <c r="R7836" s="19" t="n"/>
      <c r="Y7836" s="19" t="n"/>
    </row>
    <row r="7837">
      <c r="C7837" s="18" t="n"/>
      <c r="J7837" s="19" t="n"/>
      <c r="P7837" s="20" t="n"/>
      <c r="Q7837" s="19" t="n"/>
      <c r="R7837" s="19" t="n"/>
      <c r="Y7837" s="19" t="n"/>
    </row>
    <row r="7838">
      <c r="C7838" s="18" t="n"/>
      <c r="J7838" s="19" t="n"/>
      <c r="P7838" s="20" t="n"/>
      <c r="Q7838" s="19" t="n"/>
      <c r="R7838" s="19" t="n"/>
      <c r="Y7838" s="19" t="n"/>
    </row>
    <row r="7839">
      <c r="C7839" s="18" t="n"/>
      <c r="J7839" s="19" t="n"/>
      <c r="P7839" s="20" t="n"/>
      <c r="Q7839" s="19" t="n"/>
      <c r="R7839" s="19" t="n"/>
      <c r="Y7839" s="19" t="n"/>
    </row>
    <row r="7840">
      <c r="C7840" s="18" t="n"/>
      <c r="J7840" s="19" t="n"/>
      <c r="P7840" s="20" t="n"/>
      <c r="Q7840" s="19" t="n"/>
      <c r="R7840" s="19" t="n"/>
      <c r="Y7840" s="19" t="n"/>
    </row>
    <row r="7841">
      <c r="C7841" s="18" t="n"/>
      <c r="J7841" s="19" t="n"/>
      <c r="P7841" s="20" t="n"/>
      <c r="Q7841" s="19" t="n"/>
      <c r="R7841" s="19" t="n"/>
      <c r="Y7841" s="19" t="n"/>
    </row>
    <row r="7842">
      <c r="C7842" s="18" t="n"/>
      <c r="J7842" s="19" t="n"/>
      <c r="P7842" s="20" t="n"/>
      <c r="Q7842" s="19" t="n"/>
      <c r="R7842" s="19" t="n"/>
      <c r="Y7842" s="19" t="n"/>
    </row>
    <row r="7843">
      <c r="C7843" s="18" t="n"/>
      <c r="J7843" s="19" t="n"/>
      <c r="P7843" s="20" t="n"/>
      <c r="Q7843" s="19" t="n"/>
      <c r="R7843" s="19" t="n"/>
      <c r="Y7843" s="19" t="n"/>
    </row>
    <row r="7844">
      <c r="C7844" s="18" t="n"/>
      <c r="J7844" s="19" t="n"/>
      <c r="P7844" s="20" t="n"/>
      <c r="Q7844" s="19" t="n"/>
      <c r="R7844" s="19" t="n"/>
      <c r="Y7844" s="19" t="n"/>
    </row>
    <row r="7845">
      <c r="C7845" s="18" t="n"/>
      <c r="J7845" s="19" t="n"/>
      <c r="P7845" s="20" t="n"/>
      <c r="Q7845" s="19" t="n"/>
      <c r="R7845" s="19" t="n"/>
      <c r="Y7845" s="19" t="n"/>
    </row>
    <row r="7846">
      <c r="C7846" s="18" t="n"/>
      <c r="J7846" s="19" t="n"/>
      <c r="P7846" s="20" t="n"/>
      <c r="Q7846" s="19" t="n"/>
      <c r="R7846" s="19" t="n"/>
      <c r="Y7846" s="19" t="n"/>
    </row>
    <row r="7847">
      <c r="C7847" s="18" t="n"/>
      <c r="J7847" s="19" t="n"/>
      <c r="P7847" s="20" t="n"/>
      <c r="Q7847" s="19" t="n"/>
      <c r="R7847" s="19" t="n"/>
      <c r="Y7847" s="19" t="n"/>
    </row>
    <row r="7848">
      <c r="C7848" s="18" t="n"/>
      <c r="J7848" s="19" t="n"/>
      <c r="P7848" s="20" t="n"/>
      <c r="Q7848" s="19" t="n"/>
      <c r="R7848" s="19" t="n"/>
      <c r="Y7848" s="19" t="n"/>
    </row>
    <row r="7849">
      <c r="C7849" s="18" t="n"/>
      <c r="J7849" s="19" t="n"/>
      <c r="P7849" s="20" t="n"/>
      <c r="Q7849" s="19" t="n"/>
      <c r="R7849" s="19" t="n"/>
      <c r="Y7849" s="19" t="n"/>
    </row>
    <row r="7850">
      <c r="C7850" s="18" t="n"/>
      <c r="J7850" s="19" t="n"/>
      <c r="P7850" s="20" t="n"/>
      <c r="Q7850" s="19" t="n"/>
      <c r="R7850" s="19" t="n"/>
      <c r="Y7850" s="19" t="n"/>
    </row>
    <row r="7851">
      <c r="C7851" s="18" t="n"/>
      <c r="J7851" s="19" t="n"/>
      <c r="P7851" s="20" t="n"/>
      <c r="Q7851" s="19" t="n"/>
      <c r="R7851" s="19" t="n"/>
      <c r="Y7851" s="19" t="n"/>
    </row>
    <row r="7852">
      <c r="C7852" s="18" t="n"/>
      <c r="J7852" s="19" t="n"/>
      <c r="P7852" s="20" t="n"/>
      <c r="Q7852" s="19" t="n"/>
      <c r="R7852" s="19" t="n"/>
      <c r="Y7852" s="19" t="n"/>
    </row>
    <row r="7853">
      <c r="C7853" s="18" t="n"/>
      <c r="J7853" s="19" t="n"/>
      <c r="P7853" s="20" t="n"/>
      <c r="Q7853" s="19" t="n"/>
      <c r="R7853" s="19" t="n"/>
      <c r="Y7853" s="19" t="n"/>
    </row>
    <row r="7854">
      <c r="C7854" s="18" t="n"/>
      <c r="J7854" s="19" t="n"/>
      <c r="P7854" s="20" t="n"/>
      <c r="Q7854" s="19" t="n"/>
      <c r="R7854" s="19" t="n"/>
      <c r="Y7854" s="19" t="n"/>
    </row>
    <row r="7855">
      <c r="C7855" s="18" t="n"/>
      <c r="J7855" s="19" t="n"/>
      <c r="P7855" s="20" t="n"/>
      <c r="Q7855" s="19" t="n"/>
      <c r="R7855" s="19" t="n"/>
      <c r="Y7855" s="19" t="n"/>
    </row>
    <row r="7856">
      <c r="C7856" s="18" t="n"/>
      <c r="J7856" s="19" t="n"/>
      <c r="P7856" s="20" t="n"/>
      <c r="Q7856" s="19" t="n"/>
      <c r="R7856" s="19" t="n"/>
      <c r="Y7856" s="19" t="n"/>
    </row>
    <row r="7857">
      <c r="C7857" s="18" t="n"/>
      <c r="J7857" s="19" t="n"/>
      <c r="P7857" s="20" t="n"/>
      <c r="Q7857" s="19" t="n"/>
      <c r="R7857" s="19" t="n"/>
      <c r="Y7857" s="19" t="n"/>
    </row>
    <row r="7858">
      <c r="C7858" s="18" t="n"/>
      <c r="J7858" s="19" t="n"/>
      <c r="P7858" s="20" t="n"/>
      <c r="Q7858" s="19" t="n"/>
      <c r="R7858" s="19" t="n"/>
      <c r="Y7858" s="19" t="n"/>
    </row>
    <row r="7859">
      <c r="C7859" s="18" t="n"/>
      <c r="J7859" s="19" t="n"/>
      <c r="P7859" s="20" t="n"/>
      <c r="Q7859" s="19" t="n"/>
      <c r="R7859" s="19" t="n"/>
      <c r="Y7859" s="19" t="n"/>
    </row>
    <row r="7860">
      <c r="C7860" s="18" t="n"/>
      <c r="J7860" s="19" t="n"/>
      <c r="P7860" s="20" t="n"/>
      <c r="Q7860" s="19" t="n"/>
      <c r="R7860" s="19" t="n"/>
      <c r="Y7860" s="19" t="n"/>
    </row>
    <row r="7861">
      <c r="C7861" s="18" t="n"/>
      <c r="J7861" s="19" t="n"/>
      <c r="P7861" s="20" t="n"/>
      <c r="Q7861" s="19" t="n"/>
      <c r="R7861" s="19" t="n"/>
      <c r="Y7861" s="19" t="n"/>
    </row>
    <row r="7862">
      <c r="C7862" s="18" t="n"/>
      <c r="J7862" s="19" t="n"/>
      <c r="P7862" s="20" t="n"/>
      <c r="Q7862" s="19" t="n"/>
      <c r="R7862" s="19" t="n"/>
      <c r="Y7862" s="19" t="n"/>
    </row>
    <row r="7863">
      <c r="C7863" s="18" t="n"/>
      <c r="J7863" s="19" t="n"/>
      <c r="P7863" s="20" t="n"/>
      <c r="Q7863" s="19" t="n"/>
      <c r="R7863" s="19" t="n"/>
      <c r="Y7863" s="19" t="n"/>
    </row>
    <row r="7864">
      <c r="C7864" s="18" t="n"/>
      <c r="J7864" s="19" t="n"/>
      <c r="P7864" s="20" t="n"/>
      <c r="Q7864" s="19" t="n"/>
      <c r="R7864" s="19" t="n"/>
      <c r="Y7864" s="19" t="n"/>
    </row>
    <row r="7865">
      <c r="C7865" s="18" t="n"/>
      <c r="J7865" s="19" t="n"/>
      <c r="P7865" s="20" t="n"/>
      <c r="Q7865" s="19" t="n"/>
      <c r="R7865" s="19" t="n"/>
      <c r="Y7865" s="19" t="n"/>
    </row>
    <row r="7866">
      <c r="C7866" s="18" t="n"/>
      <c r="J7866" s="19" t="n"/>
      <c r="P7866" s="20" t="n"/>
      <c r="Q7866" s="19" t="n"/>
      <c r="R7866" s="19" t="n"/>
      <c r="Y7866" s="19" t="n"/>
    </row>
    <row r="7867">
      <c r="C7867" s="18" t="n"/>
      <c r="J7867" s="19" t="n"/>
      <c r="P7867" s="20" t="n"/>
      <c r="Q7867" s="19" t="n"/>
      <c r="R7867" s="19" t="n"/>
      <c r="Y7867" s="19" t="n"/>
    </row>
    <row r="7868">
      <c r="C7868" s="18" t="n"/>
      <c r="J7868" s="19" t="n"/>
      <c r="P7868" s="20" t="n"/>
      <c r="Q7868" s="19" t="n"/>
      <c r="R7868" s="19" t="n"/>
      <c r="Y7868" s="19" t="n"/>
    </row>
    <row r="7869">
      <c r="C7869" s="18" t="n"/>
      <c r="J7869" s="19" t="n"/>
      <c r="P7869" s="20" t="n"/>
      <c r="Q7869" s="19" t="n"/>
      <c r="R7869" s="19" t="n"/>
      <c r="Y7869" s="19" t="n"/>
    </row>
    <row r="7870">
      <c r="C7870" s="18" t="n"/>
      <c r="J7870" s="19" t="n"/>
      <c r="P7870" s="20" t="n"/>
      <c r="Q7870" s="19" t="n"/>
      <c r="R7870" s="19" t="n"/>
      <c r="Y7870" s="19" t="n"/>
    </row>
    <row r="7871">
      <c r="C7871" s="18" t="n"/>
      <c r="J7871" s="19" t="n"/>
      <c r="P7871" s="20" t="n"/>
      <c r="Q7871" s="19" t="n"/>
      <c r="R7871" s="19" t="n"/>
      <c r="Y7871" s="19" t="n"/>
    </row>
    <row r="7872">
      <c r="C7872" s="18" t="n"/>
      <c r="J7872" s="19" t="n"/>
      <c r="P7872" s="20" t="n"/>
      <c r="Q7872" s="19" t="n"/>
      <c r="R7872" s="19" t="n"/>
      <c r="Y7872" s="19" t="n"/>
    </row>
    <row r="7873">
      <c r="C7873" s="18" t="n"/>
      <c r="J7873" s="19" t="n"/>
      <c r="P7873" s="20" t="n"/>
      <c r="Q7873" s="19" t="n"/>
      <c r="R7873" s="19" t="n"/>
      <c r="Y7873" s="19" t="n"/>
    </row>
    <row r="7874">
      <c r="C7874" s="18" t="n"/>
      <c r="J7874" s="19" t="n"/>
      <c r="P7874" s="20" t="n"/>
      <c r="Q7874" s="19" t="n"/>
      <c r="R7874" s="19" t="n"/>
      <c r="Y7874" s="19" t="n"/>
    </row>
    <row r="7875">
      <c r="C7875" s="18" t="n"/>
      <c r="J7875" s="19" t="n"/>
      <c r="P7875" s="20" t="n"/>
      <c r="Q7875" s="19" t="n"/>
      <c r="R7875" s="19" t="n"/>
      <c r="Y7875" s="19" t="n"/>
    </row>
    <row r="7876">
      <c r="C7876" s="18" t="n"/>
      <c r="J7876" s="19" t="n"/>
      <c r="P7876" s="20" t="n"/>
      <c r="Q7876" s="19" t="n"/>
      <c r="R7876" s="19" t="n"/>
      <c r="Y7876" s="19" t="n"/>
    </row>
    <row r="7877">
      <c r="C7877" s="18" t="n"/>
      <c r="J7877" s="19" t="n"/>
      <c r="P7877" s="20" t="n"/>
      <c r="Q7877" s="19" t="n"/>
      <c r="R7877" s="19" t="n"/>
      <c r="Y7877" s="19" t="n"/>
    </row>
    <row r="7878">
      <c r="C7878" s="18" t="n"/>
      <c r="J7878" s="19" t="n"/>
      <c r="P7878" s="20" t="n"/>
      <c r="Q7878" s="19" t="n"/>
      <c r="R7878" s="19" t="n"/>
      <c r="Y7878" s="19" t="n"/>
    </row>
    <row r="7879">
      <c r="C7879" s="18" t="n"/>
      <c r="J7879" s="19" t="n"/>
      <c r="P7879" s="20" t="n"/>
      <c r="Q7879" s="19" t="n"/>
      <c r="R7879" s="19" t="n"/>
      <c r="Y7879" s="19" t="n"/>
    </row>
    <row r="7880">
      <c r="C7880" s="18" t="n"/>
      <c r="J7880" s="19" t="n"/>
      <c r="P7880" s="20" t="n"/>
      <c r="Q7880" s="19" t="n"/>
      <c r="R7880" s="19" t="n"/>
      <c r="Y7880" s="19" t="n"/>
    </row>
    <row r="7881">
      <c r="C7881" s="18" t="n"/>
      <c r="J7881" s="19" t="n"/>
      <c r="P7881" s="20" t="n"/>
      <c r="Q7881" s="19" t="n"/>
      <c r="R7881" s="19" t="n"/>
      <c r="Y7881" s="19" t="n"/>
    </row>
    <row r="7882">
      <c r="C7882" s="18" t="n"/>
      <c r="J7882" s="19" t="n"/>
      <c r="P7882" s="20" t="n"/>
      <c r="Q7882" s="19" t="n"/>
      <c r="R7882" s="19" t="n"/>
      <c r="Y7882" s="19" t="n"/>
    </row>
    <row r="7883">
      <c r="C7883" s="18" t="n"/>
      <c r="J7883" s="19" t="n"/>
      <c r="P7883" s="20" t="n"/>
      <c r="Q7883" s="19" t="n"/>
      <c r="R7883" s="19" t="n"/>
      <c r="Y7883" s="19" t="n"/>
    </row>
    <row r="7884">
      <c r="C7884" s="18" t="n"/>
      <c r="J7884" s="19" t="n"/>
      <c r="P7884" s="20" t="n"/>
      <c r="Q7884" s="19" t="n"/>
      <c r="R7884" s="19" t="n"/>
      <c r="Y7884" s="19" t="n"/>
    </row>
    <row r="7885">
      <c r="C7885" s="18" t="n"/>
      <c r="J7885" s="19" t="n"/>
      <c r="P7885" s="20" t="n"/>
      <c r="Q7885" s="19" t="n"/>
      <c r="R7885" s="19" t="n"/>
      <c r="Y7885" s="19" t="n"/>
    </row>
    <row r="7886">
      <c r="C7886" s="18" t="n"/>
      <c r="J7886" s="19" t="n"/>
      <c r="P7886" s="20" t="n"/>
      <c r="Q7886" s="19" t="n"/>
      <c r="R7886" s="19" t="n"/>
      <c r="Y7886" s="19" t="n"/>
    </row>
    <row r="7887">
      <c r="C7887" s="18" t="n"/>
      <c r="J7887" s="19" t="n"/>
      <c r="P7887" s="20" t="n"/>
      <c r="Q7887" s="19" t="n"/>
      <c r="R7887" s="19" t="n"/>
      <c r="Y7887" s="19" t="n"/>
    </row>
    <row r="7888">
      <c r="C7888" s="18" t="n"/>
      <c r="J7888" s="19" t="n"/>
      <c r="P7888" s="20" t="n"/>
      <c r="Q7888" s="19" t="n"/>
      <c r="R7888" s="19" t="n"/>
      <c r="Y7888" s="19" t="n"/>
    </row>
    <row r="7889">
      <c r="C7889" s="18" t="n"/>
      <c r="J7889" s="19" t="n"/>
      <c r="P7889" s="20" t="n"/>
      <c r="Q7889" s="19" t="n"/>
      <c r="R7889" s="19" t="n"/>
      <c r="Y7889" s="19" t="n"/>
    </row>
    <row r="7890">
      <c r="C7890" s="18" t="n"/>
      <c r="J7890" s="19" t="n"/>
      <c r="P7890" s="20" t="n"/>
      <c r="Q7890" s="19" t="n"/>
      <c r="R7890" s="19" t="n"/>
      <c r="Y7890" s="19" t="n"/>
    </row>
    <row r="7891">
      <c r="C7891" s="18" t="n"/>
      <c r="J7891" s="19" t="n"/>
      <c r="P7891" s="20" t="n"/>
      <c r="Q7891" s="19" t="n"/>
      <c r="R7891" s="19" t="n"/>
      <c r="Y7891" s="19" t="n"/>
    </row>
    <row r="7892">
      <c r="C7892" s="18" t="n"/>
      <c r="J7892" s="19" t="n"/>
      <c r="P7892" s="20" t="n"/>
      <c r="Q7892" s="19" t="n"/>
      <c r="R7892" s="19" t="n"/>
      <c r="Y7892" s="19" t="n"/>
    </row>
    <row r="7893">
      <c r="C7893" s="18" t="n"/>
      <c r="J7893" s="19" t="n"/>
      <c r="P7893" s="20" t="n"/>
      <c r="Q7893" s="19" t="n"/>
      <c r="R7893" s="19" t="n"/>
      <c r="Y7893" s="19" t="n"/>
    </row>
    <row r="7894">
      <c r="C7894" s="18" t="n"/>
      <c r="J7894" s="19" t="n"/>
      <c r="P7894" s="20" t="n"/>
      <c r="Q7894" s="19" t="n"/>
      <c r="R7894" s="19" t="n"/>
      <c r="Y7894" s="19" t="n"/>
    </row>
    <row r="7895">
      <c r="C7895" s="18" t="n"/>
      <c r="J7895" s="19" t="n"/>
      <c r="P7895" s="20" t="n"/>
      <c r="Q7895" s="19" t="n"/>
      <c r="R7895" s="19" t="n"/>
      <c r="Y7895" s="19" t="n"/>
    </row>
    <row r="7896">
      <c r="C7896" s="18" t="n"/>
      <c r="J7896" s="19" t="n"/>
      <c r="P7896" s="20" t="n"/>
      <c r="Q7896" s="19" t="n"/>
      <c r="R7896" s="19" t="n"/>
      <c r="Y7896" s="19" t="n"/>
    </row>
    <row r="7897">
      <c r="C7897" s="18" t="n"/>
      <c r="J7897" s="19" t="n"/>
      <c r="P7897" s="20" t="n"/>
      <c r="Q7897" s="19" t="n"/>
      <c r="R7897" s="19" t="n"/>
      <c r="Y7897" s="19" t="n"/>
    </row>
    <row r="7898">
      <c r="C7898" s="18" t="n"/>
      <c r="J7898" s="19" t="n"/>
      <c r="P7898" s="20" t="n"/>
      <c r="Q7898" s="19" t="n"/>
      <c r="R7898" s="19" t="n"/>
      <c r="Y7898" s="19" t="n"/>
    </row>
    <row r="7899">
      <c r="C7899" s="18" t="n"/>
      <c r="J7899" s="19" t="n"/>
      <c r="P7899" s="20" t="n"/>
      <c r="Q7899" s="19" t="n"/>
      <c r="R7899" s="19" t="n"/>
      <c r="Y7899" s="19" t="n"/>
    </row>
    <row r="7900">
      <c r="C7900" s="18" t="n"/>
      <c r="J7900" s="19" t="n"/>
      <c r="P7900" s="20" t="n"/>
      <c r="Q7900" s="19" t="n"/>
      <c r="R7900" s="19" t="n"/>
      <c r="Y7900" s="19" t="n"/>
    </row>
    <row r="7901">
      <c r="C7901" s="18" t="n"/>
      <c r="J7901" s="19" t="n"/>
      <c r="P7901" s="20" t="n"/>
      <c r="Q7901" s="19" t="n"/>
      <c r="R7901" s="19" t="n"/>
      <c r="Y7901" s="19" t="n"/>
    </row>
    <row r="7902">
      <c r="C7902" s="18" t="n"/>
      <c r="J7902" s="19" t="n"/>
      <c r="P7902" s="20" t="n"/>
      <c r="Q7902" s="19" t="n"/>
      <c r="R7902" s="19" t="n"/>
      <c r="Y7902" s="19" t="n"/>
    </row>
    <row r="7903">
      <c r="C7903" s="18" t="n"/>
      <c r="J7903" s="19" t="n"/>
      <c r="P7903" s="20" t="n"/>
      <c r="Q7903" s="19" t="n"/>
      <c r="R7903" s="19" t="n"/>
      <c r="Y7903" s="19" t="n"/>
    </row>
    <row r="7904">
      <c r="C7904" s="18" t="n"/>
      <c r="J7904" s="19" t="n"/>
      <c r="P7904" s="20" t="n"/>
      <c r="Q7904" s="19" t="n"/>
      <c r="R7904" s="19" t="n"/>
      <c r="Y7904" s="19" t="n"/>
    </row>
    <row r="7905">
      <c r="C7905" s="18" t="n"/>
      <c r="J7905" s="19" t="n"/>
      <c r="P7905" s="20" t="n"/>
      <c r="Q7905" s="19" t="n"/>
      <c r="R7905" s="19" t="n"/>
      <c r="Y7905" s="19" t="n"/>
    </row>
    <row r="7906">
      <c r="C7906" s="18" t="n"/>
      <c r="J7906" s="19" t="n"/>
      <c r="P7906" s="20" t="n"/>
      <c r="Q7906" s="19" t="n"/>
      <c r="R7906" s="19" t="n"/>
      <c r="Y7906" s="19" t="n"/>
    </row>
    <row r="7907">
      <c r="C7907" s="18" t="n"/>
      <c r="J7907" s="19" t="n"/>
      <c r="P7907" s="20" t="n"/>
      <c r="Q7907" s="19" t="n"/>
      <c r="R7907" s="19" t="n"/>
      <c r="Y7907" s="19" t="n"/>
    </row>
    <row r="7908">
      <c r="C7908" s="18" t="n"/>
      <c r="J7908" s="19" t="n"/>
      <c r="P7908" s="20" t="n"/>
      <c r="Q7908" s="19" t="n"/>
      <c r="R7908" s="19" t="n"/>
      <c r="Y7908" s="19" t="n"/>
    </row>
    <row r="7909">
      <c r="C7909" s="18" t="n"/>
      <c r="J7909" s="19" t="n"/>
      <c r="P7909" s="20" t="n"/>
      <c r="Q7909" s="19" t="n"/>
      <c r="R7909" s="19" t="n"/>
      <c r="Y7909" s="19" t="n"/>
    </row>
    <row r="7910">
      <c r="C7910" s="18" t="n"/>
      <c r="J7910" s="19" t="n"/>
      <c r="P7910" s="20" t="n"/>
      <c r="Q7910" s="19" t="n"/>
      <c r="R7910" s="19" t="n"/>
      <c r="Y7910" s="19" t="n"/>
    </row>
    <row r="7911">
      <c r="C7911" s="18" t="n"/>
      <c r="J7911" s="19" t="n"/>
      <c r="P7911" s="20" t="n"/>
      <c r="Q7911" s="19" t="n"/>
      <c r="R7911" s="19" t="n"/>
      <c r="Y7911" s="19" t="n"/>
    </row>
    <row r="7912">
      <c r="C7912" s="18" t="n"/>
      <c r="J7912" s="19" t="n"/>
      <c r="P7912" s="20" t="n"/>
      <c r="Q7912" s="19" t="n"/>
      <c r="R7912" s="19" t="n"/>
      <c r="Y7912" s="19" t="n"/>
    </row>
    <row r="7913">
      <c r="C7913" s="18" t="n"/>
      <c r="J7913" s="19" t="n"/>
      <c r="P7913" s="20" t="n"/>
      <c r="Q7913" s="19" t="n"/>
      <c r="R7913" s="19" t="n"/>
      <c r="Y7913" s="19" t="n"/>
    </row>
    <row r="7914">
      <c r="C7914" s="18" t="n"/>
      <c r="J7914" s="19" t="n"/>
      <c r="P7914" s="20" t="n"/>
      <c r="Q7914" s="19" t="n"/>
      <c r="R7914" s="19" t="n"/>
      <c r="Y7914" s="19" t="n"/>
    </row>
    <row r="7915">
      <c r="C7915" s="18" t="n"/>
      <c r="J7915" s="19" t="n"/>
      <c r="P7915" s="20" t="n"/>
      <c r="Q7915" s="19" t="n"/>
      <c r="R7915" s="19" t="n"/>
      <c r="Y7915" s="19" t="n"/>
    </row>
    <row r="7916">
      <c r="C7916" s="18" t="n"/>
      <c r="J7916" s="19" t="n"/>
      <c r="P7916" s="20" t="n"/>
      <c r="Q7916" s="19" t="n"/>
      <c r="R7916" s="19" t="n"/>
      <c r="Y7916" s="19" t="n"/>
    </row>
    <row r="7917">
      <c r="C7917" s="18" t="n"/>
      <c r="J7917" s="19" t="n"/>
      <c r="P7917" s="20" t="n"/>
      <c r="Q7917" s="19" t="n"/>
      <c r="R7917" s="19" t="n"/>
      <c r="Y7917" s="19" t="n"/>
    </row>
    <row r="7918">
      <c r="C7918" s="18" t="n"/>
      <c r="J7918" s="19" t="n"/>
      <c r="P7918" s="20" t="n"/>
      <c r="Q7918" s="19" t="n"/>
      <c r="R7918" s="19" t="n"/>
      <c r="Y7918" s="19" t="n"/>
    </row>
    <row r="7919">
      <c r="C7919" s="18" t="n"/>
      <c r="J7919" s="19" t="n"/>
      <c r="P7919" s="20" t="n"/>
      <c r="Q7919" s="19" t="n"/>
      <c r="R7919" s="19" t="n"/>
      <c r="Y7919" s="19" t="n"/>
    </row>
    <row r="7920">
      <c r="C7920" s="18" t="n"/>
      <c r="J7920" s="19" t="n"/>
      <c r="P7920" s="20" t="n"/>
      <c r="Q7920" s="19" t="n"/>
      <c r="R7920" s="19" t="n"/>
      <c r="Y7920" s="19" t="n"/>
    </row>
    <row r="7921">
      <c r="C7921" s="18" t="n"/>
      <c r="J7921" s="19" t="n"/>
      <c r="P7921" s="20" t="n"/>
      <c r="Q7921" s="19" t="n"/>
      <c r="R7921" s="19" t="n"/>
      <c r="Y7921" s="19" t="n"/>
    </row>
    <row r="7922">
      <c r="C7922" s="18" t="n"/>
      <c r="J7922" s="19" t="n"/>
      <c r="P7922" s="20" t="n"/>
      <c r="Q7922" s="19" t="n"/>
      <c r="R7922" s="19" t="n"/>
      <c r="Y7922" s="19" t="n"/>
    </row>
    <row r="7923">
      <c r="C7923" s="18" t="n"/>
      <c r="J7923" s="19" t="n"/>
      <c r="P7923" s="20" t="n"/>
      <c r="Q7923" s="19" t="n"/>
      <c r="R7923" s="19" t="n"/>
      <c r="Y7923" s="19" t="n"/>
    </row>
    <row r="7924">
      <c r="C7924" s="18" t="n"/>
      <c r="J7924" s="19" t="n"/>
      <c r="P7924" s="20" t="n"/>
      <c r="Q7924" s="19" t="n"/>
      <c r="R7924" s="19" t="n"/>
      <c r="Y7924" s="19" t="n"/>
    </row>
    <row r="7925">
      <c r="C7925" s="18" t="n"/>
      <c r="J7925" s="19" t="n"/>
      <c r="P7925" s="20" t="n"/>
      <c r="Q7925" s="19" t="n"/>
      <c r="R7925" s="19" t="n"/>
      <c r="Y7925" s="19" t="n"/>
    </row>
    <row r="7926">
      <c r="C7926" s="18" t="n"/>
      <c r="J7926" s="19" t="n"/>
      <c r="P7926" s="20" t="n"/>
      <c r="Q7926" s="19" t="n"/>
      <c r="R7926" s="19" t="n"/>
      <c r="Y7926" s="19" t="n"/>
    </row>
    <row r="7927">
      <c r="C7927" s="18" t="n"/>
      <c r="J7927" s="19" t="n"/>
      <c r="P7927" s="20" t="n"/>
      <c r="Q7927" s="19" t="n"/>
      <c r="R7927" s="19" t="n"/>
      <c r="Y7927" s="19" t="n"/>
    </row>
    <row r="7928">
      <c r="C7928" s="18" t="n"/>
      <c r="J7928" s="19" t="n"/>
      <c r="P7928" s="20" t="n"/>
      <c r="Q7928" s="19" t="n"/>
      <c r="R7928" s="19" t="n"/>
      <c r="Y7928" s="19" t="n"/>
    </row>
    <row r="7929">
      <c r="C7929" s="18" t="n"/>
      <c r="J7929" s="19" t="n"/>
      <c r="P7929" s="20" t="n"/>
      <c r="Q7929" s="19" t="n"/>
      <c r="R7929" s="19" t="n"/>
      <c r="Y7929" s="19" t="n"/>
    </row>
    <row r="7930">
      <c r="C7930" s="18" t="n"/>
      <c r="J7930" s="19" t="n"/>
      <c r="P7930" s="20" t="n"/>
      <c r="Q7930" s="19" t="n"/>
      <c r="R7930" s="19" t="n"/>
      <c r="Y7930" s="19" t="n"/>
    </row>
    <row r="7931">
      <c r="C7931" s="18" t="n"/>
      <c r="J7931" s="19" t="n"/>
      <c r="P7931" s="20" t="n"/>
      <c r="Q7931" s="19" t="n"/>
      <c r="R7931" s="19" t="n"/>
      <c r="Y7931" s="19" t="n"/>
    </row>
    <row r="7932">
      <c r="C7932" s="18" t="n"/>
      <c r="J7932" s="19" t="n"/>
      <c r="P7932" s="20" t="n"/>
      <c r="Q7932" s="19" t="n"/>
      <c r="R7932" s="19" t="n"/>
      <c r="Y7932" s="19" t="n"/>
    </row>
    <row r="7933">
      <c r="C7933" s="18" t="n"/>
      <c r="J7933" s="19" t="n"/>
      <c r="P7933" s="20" t="n"/>
      <c r="Q7933" s="19" t="n"/>
      <c r="R7933" s="19" t="n"/>
      <c r="Y7933" s="19" t="n"/>
    </row>
    <row r="7934">
      <c r="C7934" s="18" t="n"/>
      <c r="J7934" s="19" t="n"/>
      <c r="P7934" s="20" t="n"/>
      <c r="Q7934" s="19" t="n"/>
      <c r="R7934" s="19" t="n"/>
      <c r="Y7934" s="19" t="n"/>
    </row>
    <row r="7935">
      <c r="C7935" s="18" t="n"/>
      <c r="J7935" s="19" t="n"/>
      <c r="P7935" s="20" t="n"/>
      <c r="Q7935" s="19" t="n"/>
      <c r="R7935" s="19" t="n"/>
      <c r="Y7935" s="19" t="n"/>
    </row>
    <row r="7936">
      <c r="C7936" s="18" t="n"/>
      <c r="J7936" s="19" t="n"/>
      <c r="P7936" s="20" t="n"/>
      <c r="Q7936" s="19" t="n"/>
      <c r="R7936" s="19" t="n"/>
      <c r="Y7936" s="19" t="n"/>
    </row>
    <row r="7937">
      <c r="C7937" s="18" t="n"/>
      <c r="J7937" s="19" t="n"/>
      <c r="P7937" s="20" t="n"/>
      <c r="Q7937" s="19" t="n"/>
      <c r="R7937" s="19" t="n"/>
      <c r="Y7937" s="19" t="n"/>
    </row>
    <row r="7938">
      <c r="C7938" s="18" t="n"/>
      <c r="J7938" s="19" t="n"/>
      <c r="P7938" s="20" t="n"/>
      <c r="Q7938" s="19" t="n"/>
      <c r="R7938" s="19" t="n"/>
      <c r="Y7938" s="19" t="n"/>
    </row>
    <row r="7939">
      <c r="C7939" s="18" t="n"/>
      <c r="J7939" s="19" t="n"/>
      <c r="P7939" s="20" t="n"/>
      <c r="Q7939" s="19" t="n"/>
      <c r="R7939" s="19" t="n"/>
      <c r="Y7939" s="19" t="n"/>
    </row>
    <row r="7940">
      <c r="C7940" s="18" t="n"/>
      <c r="J7940" s="19" t="n"/>
      <c r="P7940" s="20" t="n"/>
      <c r="Q7940" s="19" t="n"/>
      <c r="R7940" s="19" t="n"/>
      <c r="Y7940" s="19" t="n"/>
    </row>
    <row r="7941">
      <c r="C7941" s="18" t="n"/>
      <c r="J7941" s="19" t="n"/>
      <c r="P7941" s="20" t="n"/>
      <c r="Q7941" s="19" t="n"/>
      <c r="R7941" s="19" t="n"/>
      <c r="Y7941" s="19" t="n"/>
    </row>
    <row r="7942">
      <c r="C7942" s="18" t="n"/>
      <c r="J7942" s="19" t="n"/>
      <c r="P7942" s="20" t="n"/>
      <c r="Q7942" s="19" t="n"/>
      <c r="R7942" s="19" t="n"/>
      <c r="Y7942" s="19" t="n"/>
    </row>
    <row r="7943">
      <c r="C7943" s="18" t="n"/>
      <c r="J7943" s="19" t="n"/>
      <c r="P7943" s="20" t="n"/>
      <c r="Q7943" s="19" t="n"/>
      <c r="R7943" s="19" t="n"/>
      <c r="Y7943" s="19" t="n"/>
    </row>
    <row r="7944">
      <c r="C7944" s="18" t="n"/>
      <c r="J7944" s="19" t="n"/>
      <c r="P7944" s="20" t="n"/>
      <c r="Q7944" s="19" t="n"/>
      <c r="R7944" s="19" t="n"/>
      <c r="Y7944" s="19" t="n"/>
    </row>
    <row r="7945">
      <c r="C7945" s="18" t="n"/>
      <c r="J7945" s="19" t="n"/>
      <c r="P7945" s="20" t="n"/>
      <c r="Q7945" s="19" t="n"/>
      <c r="R7945" s="19" t="n"/>
      <c r="Y7945" s="19" t="n"/>
    </row>
    <row r="7946">
      <c r="C7946" s="18" t="n"/>
      <c r="J7946" s="19" t="n"/>
      <c r="P7946" s="20" t="n"/>
      <c r="Q7946" s="19" t="n"/>
      <c r="R7946" s="19" t="n"/>
      <c r="Y7946" s="19" t="n"/>
    </row>
    <row r="7947">
      <c r="C7947" s="18" t="n"/>
      <c r="J7947" s="19" t="n"/>
      <c r="P7947" s="20" t="n"/>
      <c r="Q7947" s="19" t="n"/>
      <c r="R7947" s="19" t="n"/>
      <c r="Y7947" s="19" t="n"/>
    </row>
    <row r="7948">
      <c r="C7948" s="18" t="n"/>
      <c r="J7948" s="19" t="n"/>
      <c r="P7948" s="20" t="n"/>
      <c r="Q7948" s="19" t="n"/>
      <c r="R7948" s="19" t="n"/>
      <c r="Y7948" s="19" t="n"/>
    </row>
    <row r="7949">
      <c r="C7949" s="18" t="n"/>
      <c r="J7949" s="19" t="n"/>
      <c r="P7949" s="20" t="n"/>
      <c r="Q7949" s="19" t="n"/>
      <c r="R7949" s="19" t="n"/>
      <c r="Y7949" s="19" t="n"/>
    </row>
    <row r="7950">
      <c r="C7950" s="18" t="n"/>
      <c r="J7950" s="19" t="n"/>
      <c r="P7950" s="20" t="n"/>
      <c r="Q7950" s="19" t="n"/>
      <c r="R7950" s="19" t="n"/>
      <c r="Y7950" s="19" t="n"/>
    </row>
    <row r="7951">
      <c r="C7951" s="18" t="n"/>
      <c r="J7951" s="19" t="n"/>
      <c r="P7951" s="20" t="n"/>
      <c r="Q7951" s="19" t="n"/>
      <c r="R7951" s="19" t="n"/>
      <c r="Y7951" s="19" t="n"/>
    </row>
    <row r="7952">
      <c r="C7952" s="18" t="n"/>
      <c r="J7952" s="19" t="n"/>
      <c r="P7952" s="20" t="n"/>
      <c r="Q7952" s="19" t="n"/>
      <c r="R7952" s="19" t="n"/>
      <c r="Y7952" s="19" t="n"/>
    </row>
    <row r="7953">
      <c r="C7953" s="18" t="n"/>
      <c r="J7953" s="19" t="n"/>
      <c r="P7953" s="20" t="n"/>
      <c r="Q7953" s="19" t="n"/>
      <c r="R7953" s="19" t="n"/>
      <c r="Y7953" s="19" t="n"/>
    </row>
    <row r="7954">
      <c r="C7954" s="18" t="n"/>
      <c r="J7954" s="19" t="n"/>
      <c r="P7954" s="20" t="n"/>
      <c r="Q7954" s="19" t="n"/>
      <c r="R7954" s="19" t="n"/>
      <c r="Y7954" s="19" t="n"/>
    </row>
    <row r="7955">
      <c r="C7955" s="18" t="n"/>
      <c r="J7955" s="19" t="n"/>
      <c r="P7955" s="20" t="n"/>
      <c r="Q7955" s="19" t="n"/>
      <c r="R7955" s="19" t="n"/>
      <c r="Y7955" s="19" t="n"/>
    </row>
    <row r="7956">
      <c r="C7956" s="18" t="n"/>
      <c r="J7956" s="19" t="n"/>
      <c r="P7956" s="20" t="n"/>
      <c r="Q7956" s="19" t="n"/>
      <c r="R7956" s="19" t="n"/>
      <c r="Y7956" s="19" t="n"/>
    </row>
    <row r="7957">
      <c r="C7957" s="18" t="n"/>
      <c r="J7957" s="19" t="n"/>
      <c r="P7957" s="20" t="n"/>
      <c r="Q7957" s="19" t="n"/>
      <c r="R7957" s="19" t="n"/>
      <c r="Y7957" s="19" t="n"/>
    </row>
    <row r="7958">
      <c r="C7958" s="18" t="n"/>
      <c r="J7958" s="19" t="n"/>
      <c r="P7958" s="20" t="n"/>
      <c r="Q7958" s="19" t="n"/>
      <c r="R7958" s="19" t="n"/>
      <c r="Y7958" s="19" t="n"/>
    </row>
    <row r="7959">
      <c r="C7959" s="18" t="n"/>
      <c r="J7959" s="19" t="n"/>
      <c r="P7959" s="20" t="n"/>
      <c r="Q7959" s="19" t="n"/>
      <c r="R7959" s="19" t="n"/>
      <c r="Y7959" s="19" t="n"/>
    </row>
    <row r="7960">
      <c r="C7960" s="18" t="n"/>
      <c r="J7960" s="19" t="n"/>
      <c r="P7960" s="20" t="n"/>
      <c r="Q7960" s="19" t="n"/>
      <c r="R7960" s="19" t="n"/>
      <c r="Y7960" s="19" t="n"/>
    </row>
    <row r="7961">
      <c r="C7961" s="18" t="n"/>
      <c r="J7961" s="19" t="n"/>
      <c r="P7961" s="20" t="n"/>
      <c r="Q7961" s="19" t="n"/>
      <c r="R7961" s="19" t="n"/>
      <c r="Y7961" s="19" t="n"/>
    </row>
    <row r="7962">
      <c r="C7962" s="18" t="n"/>
      <c r="J7962" s="19" t="n"/>
      <c r="P7962" s="20" t="n"/>
      <c r="Q7962" s="19" t="n"/>
      <c r="R7962" s="19" t="n"/>
      <c r="Y7962" s="19" t="n"/>
    </row>
    <row r="7963">
      <c r="C7963" s="18" t="n"/>
      <c r="J7963" s="19" t="n"/>
      <c r="P7963" s="20" t="n"/>
      <c r="Q7963" s="19" t="n"/>
      <c r="R7963" s="19" t="n"/>
      <c r="Y7963" s="19" t="n"/>
    </row>
    <row r="7964">
      <c r="C7964" s="18" t="n"/>
      <c r="J7964" s="19" t="n"/>
      <c r="P7964" s="20" t="n"/>
      <c r="Q7964" s="19" t="n"/>
      <c r="R7964" s="19" t="n"/>
      <c r="Y7964" s="19" t="n"/>
    </row>
    <row r="7965">
      <c r="C7965" s="18" t="n"/>
      <c r="J7965" s="19" t="n"/>
      <c r="P7965" s="20" t="n"/>
      <c r="Q7965" s="19" t="n"/>
      <c r="R7965" s="19" t="n"/>
      <c r="Y7965" s="19" t="n"/>
    </row>
    <row r="7966">
      <c r="C7966" s="18" t="n"/>
      <c r="J7966" s="19" t="n"/>
      <c r="P7966" s="20" t="n"/>
      <c r="Q7966" s="19" t="n"/>
      <c r="R7966" s="19" t="n"/>
      <c r="Y7966" s="19" t="n"/>
    </row>
    <row r="7967">
      <c r="C7967" s="18" t="n"/>
      <c r="J7967" s="19" t="n"/>
      <c r="P7967" s="20" t="n"/>
      <c r="Q7967" s="19" t="n"/>
      <c r="R7967" s="19" t="n"/>
      <c r="Y7967" s="19" t="n"/>
    </row>
    <row r="7968">
      <c r="C7968" s="18" t="n"/>
      <c r="J7968" s="19" t="n"/>
      <c r="P7968" s="20" t="n"/>
      <c r="Q7968" s="19" t="n"/>
      <c r="R7968" s="19" t="n"/>
      <c r="Y7968" s="19" t="n"/>
    </row>
    <row r="7969">
      <c r="C7969" s="18" t="n"/>
      <c r="J7969" s="19" t="n"/>
      <c r="P7969" s="20" t="n"/>
      <c r="Q7969" s="19" t="n"/>
      <c r="R7969" s="19" t="n"/>
      <c r="Y7969" s="19" t="n"/>
    </row>
    <row r="7970">
      <c r="C7970" s="18" t="n"/>
      <c r="J7970" s="19" t="n"/>
      <c r="P7970" s="20" t="n"/>
      <c r="Q7970" s="19" t="n"/>
      <c r="R7970" s="19" t="n"/>
      <c r="Y7970" s="19" t="n"/>
    </row>
    <row r="7971">
      <c r="C7971" s="18" t="n"/>
      <c r="J7971" s="19" t="n"/>
      <c r="P7971" s="20" t="n"/>
      <c r="Q7971" s="19" t="n"/>
      <c r="R7971" s="19" t="n"/>
      <c r="Y7971" s="19" t="n"/>
    </row>
    <row r="7972">
      <c r="C7972" s="18" t="n"/>
      <c r="J7972" s="19" t="n"/>
      <c r="P7972" s="20" t="n"/>
      <c r="Q7972" s="19" t="n"/>
      <c r="R7972" s="19" t="n"/>
      <c r="Y7972" s="19" t="n"/>
    </row>
    <row r="7973">
      <c r="C7973" s="18" t="n"/>
      <c r="J7973" s="19" t="n"/>
      <c r="P7973" s="20" t="n"/>
      <c r="Q7973" s="19" t="n"/>
      <c r="R7973" s="19" t="n"/>
      <c r="Y7973" s="19" t="n"/>
    </row>
    <row r="7974">
      <c r="C7974" s="18" t="n"/>
      <c r="J7974" s="19" t="n"/>
      <c r="P7974" s="20" t="n"/>
      <c r="Q7974" s="19" t="n"/>
      <c r="R7974" s="19" t="n"/>
      <c r="Y7974" s="19" t="n"/>
    </row>
    <row r="7975">
      <c r="C7975" s="18" t="n"/>
      <c r="J7975" s="19" t="n"/>
      <c r="P7975" s="20" t="n"/>
      <c r="Q7975" s="19" t="n"/>
      <c r="R7975" s="19" t="n"/>
      <c r="Y7975" s="19" t="n"/>
    </row>
    <row r="7976">
      <c r="C7976" s="18" t="n"/>
      <c r="J7976" s="19" t="n"/>
      <c r="P7976" s="20" t="n"/>
      <c r="Q7976" s="19" t="n"/>
      <c r="R7976" s="19" t="n"/>
      <c r="Y7976" s="19" t="n"/>
    </row>
    <row r="7977">
      <c r="C7977" s="18" t="n"/>
      <c r="J7977" s="19" t="n"/>
      <c r="P7977" s="20" t="n"/>
      <c r="Q7977" s="19" t="n"/>
      <c r="R7977" s="19" t="n"/>
      <c r="Y7977" s="19" t="n"/>
    </row>
    <row r="7978">
      <c r="C7978" s="18" t="n"/>
      <c r="J7978" s="19" t="n"/>
      <c r="P7978" s="20" t="n"/>
      <c r="Q7978" s="19" t="n"/>
      <c r="R7978" s="19" t="n"/>
      <c r="Y7978" s="19" t="n"/>
    </row>
    <row r="7979">
      <c r="C7979" s="18" t="n"/>
      <c r="J7979" s="19" t="n"/>
      <c r="P7979" s="20" t="n"/>
      <c r="Q7979" s="19" t="n"/>
      <c r="R7979" s="19" t="n"/>
      <c r="Y7979" s="19" t="n"/>
    </row>
    <row r="7980">
      <c r="C7980" s="18" t="n"/>
      <c r="J7980" s="19" t="n"/>
      <c r="P7980" s="20" t="n"/>
      <c r="Q7980" s="19" t="n"/>
      <c r="R7980" s="19" t="n"/>
      <c r="Y7980" s="19" t="n"/>
    </row>
    <row r="7981">
      <c r="C7981" s="18" t="n"/>
      <c r="J7981" s="19" t="n"/>
      <c r="P7981" s="20" t="n"/>
      <c r="Q7981" s="19" t="n"/>
      <c r="R7981" s="19" t="n"/>
      <c r="Y7981" s="19" t="n"/>
    </row>
    <row r="7982">
      <c r="C7982" s="18" t="n"/>
      <c r="J7982" s="19" t="n"/>
      <c r="P7982" s="20" t="n"/>
      <c r="Q7982" s="19" t="n"/>
      <c r="R7982" s="19" t="n"/>
      <c r="Y7982" s="19" t="n"/>
    </row>
    <row r="7983">
      <c r="C7983" s="18" t="n"/>
      <c r="J7983" s="19" t="n"/>
      <c r="P7983" s="20" t="n"/>
      <c r="Q7983" s="19" t="n"/>
      <c r="R7983" s="19" t="n"/>
      <c r="Y7983" s="19" t="n"/>
    </row>
    <row r="7984">
      <c r="C7984" s="18" t="n"/>
      <c r="J7984" s="19" t="n"/>
      <c r="P7984" s="20" t="n"/>
      <c r="Q7984" s="19" t="n"/>
      <c r="R7984" s="19" t="n"/>
      <c r="Y7984" s="19" t="n"/>
    </row>
    <row r="7985">
      <c r="C7985" s="18" t="n"/>
      <c r="J7985" s="19" t="n"/>
      <c r="P7985" s="20" t="n"/>
      <c r="Q7985" s="19" t="n"/>
      <c r="R7985" s="19" t="n"/>
      <c r="Y7985" s="19" t="n"/>
    </row>
    <row r="7986">
      <c r="C7986" s="18" t="n"/>
      <c r="J7986" s="19" t="n"/>
      <c r="P7986" s="20" t="n"/>
      <c r="Q7986" s="19" t="n"/>
      <c r="R7986" s="19" t="n"/>
      <c r="Y7986" s="19" t="n"/>
    </row>
    <row r="7987">
      <c r="C7987" s="18" t="n"/>
      <c r="J7987" s="19" t="n"/>
      <c r="P7987" s="20" t="n"/>
      <c r="Q7987" s="19" t="n"/>
      <c r="R7987" s="19" t="n"/>
      <c r="Y7987" s="19" t="n"/>
    </row>
    <row r="7988">
      <c r="C7988" s="18" t="n"/>
      <c r="J7988" s="19" t="n"/>
      <c r="P7988" s="20" t="n"/>
      <c r="Q7988" s="19" t="n"/>
      <c r="R7988" s="19" t="n"/>
      <c r="Y7988" s="19" t="n"/>
    </row>
    <row r="7989">
      <c r="C7989" s="18" t="n"/>
      <c r="J7989" s="19" t="n"/>
      <c r="P7989" s="20" t="n"/>
      <c r="Q7989" s="19" t="n"/>
      <c r="R7989" s="19" t="n"/>
      <c r="Y7989" s="19" t="n"/>
    </row>
    <row r="7990">
      <c r="C7990" s="18" t="n"/>
      <c r="J7990" s="19" t="n"/>
      <c r="P7990" s="20" t="n"/>
      <c r="Q7990" s="19" t="n"/>
      <c r="R7990" s="19" t="n"/>
      <c r="Y7990" s="19" t="n"/>
    </row>
    <row r="7991">
      <c r="C7991" s="18" t="n"/>
      <c r="J7991" s="19" t="n"/>
      <c r="P7991" s="20" t="n"/>
      <c r="Q7991" s="19" t="n"/>
      <c r="R7991" s="19" t="n"/>
      <c r="Y7991" s="19" t="n"/>
    </row>
    <row r="7992">
      <c r="C7992" s="18" t="n"/>
      <c r="J7992" s="19" t="n"/>
      <c r="P7992" s="20" t="n"/>
      <c r="Q7992" s="19" t="n"/>
      <c r="R7992" s="19" t="n"/>
      <c r="Y7992" s="19" t="n"/>
    </row>
    <row r="7993">
      <c r="C7993" s="18" t="n"/>
      <c r="J7993" s="19" t="n"/>
      <c r="P7993" s="20" t="n"/>
      <c r="Q7993" s="19" t="n"/>
      <c r="R7993" s="19" t="n"/>
      <c r="Y7993" s="19" t="n"/>
    </row>
    <row r="7994">
      <c r="C7994" s="18" t="n"/>
      <c r="J7994" s="19" t="n"/>
      <c r="P7994" s="20" t="n"/>
      <c r="Q7994" s="19" t="n"/>
      <c r="R7994" s="19" t="n"/>
      <c r="Y7994" s="19" t="n"/>
    </row>
    <row r="7995">
      <c r="C7995" s="18" t="n"/>
      <c r="J7995" s="19" t="n"/>
      <c r="P7995" s="20" t="n"/>
      <c r="Q7995" s="19" t="n"/>
      <c r="R7995" s="19" t="n"/>
      <c r="Y7995" s="19" t="n"/>
    </row>
    <row r="7996">
      <c r="C7996" s="18" t="n"/>
      <c r="J7996" s="19" t="n"/>
      <c r="P7996" s="20" t="n"/>
      <c r="Q7996" s="19" t="n"/>
      <c r="R7996" s="19" t="n"/>
      <c r="Y7996" s="19" t="n"/>
    </row>
    <row r="7997">
      <c r="C7997" s="18" t="n"/>
      <c r="J7997" s="19" t="n"/>
      <c r="P7997" s="20" t="n"/>
      <c r="Q7997" s="19" t="n"/>
      <c r="R7997" s="19" t="n"/>
      <c r="Y7997" s="19" t="n"/>
    </row>
    <row r="7998">
      <c r="C7998" s="18" t="n"/>
      <c r="J7998" s="19" t="n"/>
      <c r="P7998" s="20" t="n"/>
      <c r="Q7998" s="19" t="n"/>
      <c r="R7998" s="19" t="n"/>
      <c r="Y7998" s="19" t="n"/>
    </row>
    <row r="7999">
      <c r="C7999" s="18" t="n"/>
      <c r="J7999" s="19" t="n"/>
      <c r="P7999" s="20" t="n"/>
      <c r="Q7999" s="19" t="n"/>
      <c r="R7999" s="19" t="n"/>
      <c r="Y7999" s="19" t="n"/>
    </row>
    <row r="8000">
      <c r="C8000" s="18" t="n"/>
      <c r="J8000" s="19" t="n"/>
      <c r="P8000" s="20" t="n"/>
      <c r="Q8000" s="19" t="n"/>
      <c r="R8000" s="19" t="n"/>
      <c r="Y8000" s="19" t="n"/>
    </row>
    <row r="8001">
      <c r="C8001" s="18" t="n"/>
      <c r="J8001" s="19" t="n"/>
      <c r="P8001" s="20" t="n"/>
      <c r="Q8001" s="19" t="n"/>
      <c r="R8001" s="19" t="n"/>
      <c r="Y8001" s="19" t="n"/>
    </row>
    <row r="8002">
      <c r="C8002" s="18" t="n"/>
      <c r="J8002" s="19" t="n"/>
      <c r="P8002" s="20" t="n"/>
      <c r="Q8002" s="19" t="n"/>
      <c r="R8002" s="19" t="n"/>
      <c r="Y8002" s="19" t="n"/>
    </row>
    <row r="8003">
      <c r="C8003" s="18" t="n"/>
      <c r="J8003" s="19" t="n"/>
      <c r="P8003" s="20" t="n"/>
      <c r="Q8003" s="19" t="n"/>
      <c r="R8003" s="19" t="n"/>
      <c r="Y8003" s="19" t="n"/>
    </row>
    <row r="8004">
      <c r="C8004" s="18" t="n"/>
      <c r="J8004" s="19" t="n"/>
      <c r="P8004" s="20" t="n"/>
      <c r="Q8004" s="19" t="n"/>
      <c r="R8004" s="19" t="n"/>
      <c r="Y8004" s="19" t="n"/>
    </row>
    <row r="8005">
      <c r="C8005" s="18" t="n"/>
      <c r="J8005" s="19" t="n"/>
      <c r="P8005" s="20" t="n"/>
      <c r="Q8005" s="19" t="n"/>
      <c r="R8005" s="19" t="n"/>
      <c r="Y8005" s="19" t="n"/>
    </row>
    <row r="8006">
      <c r="C8006" s="18" t="n"/>
      <c r="J8006" s="19" t="n"/>
      <c r="P8006" s="20" t="n"/>
      <c r="Q8006" s="19" t="n"/>
      <c r="R8006" s="19" t="n"/>
      <c r="Y8006" s="19" t="n"/>
    </row>
    <row r="8007">
      <c r="C8007" s="18" t="n"/>
      <c r="J8007" s="19" t="n"/>
      <c r="P8007" s="20" t="n"/>
      <c r="Q8007" s="19" t="n"/>
      <c r="R8007" s="19" t="n"/>
      <c r="Y8007" s="19" t="n"/>
    </row>
    <row r="8008">
      <c r="C8008" s="18" t="n"/>
      <c r="J8008" s="19" t="n"/>
      <c r="P8008" s="20" t="n"/>
      <c r="Q8008" s="19" t="n"/>
      <c r="R8008" s="19" t="n"/>
      <c r="Y8008" s="19" t="n"/>
    </row>
    <row r="8009">
      <c r="C8009" s="18" t="n"/>
      <c r="J8009" s="19" t="n"/>
      <c r="P8009" s="20" t="n"/>
      <c r="Q8009" s="19" t="n"/>
      <c r="R8009" s="19" t="n"/>
      <c r="Y8009" s="19" t="n"/>
    </row>
    <row r="8010">
      <c r="C8010" s="18" t="n"/>
      <c r="J8010" s="19" t="n"/>
      <c r="P8010" s="20" t="n"/>
      <c r="Q8010" s="19" t="n"/>
      <c r="R8010" s="19" t="n"/>
      <c r="Y8010" s="19" t="n"/>
    </row>
    <row r="8011">
      <c r="C8011" s="18" t="n"/>
      <c r="J8011" s="19" t="n"/>
      <c r="P8011" s="20" t="n"/>
      <c r="Q8011" s="19" t="n"/>
      <c r="R8011" s="19" t="n"/>
      <c r="Y8011" s="19" t="n"/>
    </row>
    <row r="8012">
      <c r="C8012" s="18" t="n"/>
      <c r="J8012" s="19" t="n"/>
      <c r="P8012" s="20" t="n"/>
      <c r="Q8012" s="19" t="n"/>
      <c r="R8012" s="19" t="n"/>
      <c r="Y8012" s="19" t="n"/>
    </row>
    <row r="8013">
      <c r="C8013" s="18" t="n"/>
      <c r="J8013" s="19" t="n"/>
      <c r="P8013" s="20" t="n"/>
      <c r="Q8013" s="19" t="n"/>
      <c r="R8013" s="19" t="n"/>
      <c r="Y8013" s="19" t="n"/>
    </row>
    <row r="8014">
      <c r="C8014" s="18" t="n"/>
      <c r="J8014" s="19" t="n"/>
      <c r="P8014" s="20" t="n"/>
      <c r="Q8014" s="19" t="n"/>
      <c r="R8014" s="19" t="n"/>
      <c r="Y8014" s="19" t="n"/>
    </row>
    <row r="8015">
      <c r="C8015" s="18" t="n"/>
      <c r="J8015" s="19" t="n"/>
      <c r="P8015" s="20" t="n"/>
      <c r="Q8015" s="19" t="n"/>
      <c r="R8015" s="19" t="n"/>
      <c r="Y8015" s="19" t="n"/>
    </row>
    <row r="8016">
      <c r="C8016" s="18" t="n"/>
      <c r="J8016" s="19" t="n"/>
      <c r="P8016" s="20" t="n"/>
      <c r="Q8016" s="19" t="n"/>
      <c r="R8016" s="19" t="n"/>
      <c r="Y8016" s="19" t="n"/>
    </row>
    <row r="8017">
      <c r="C8017" s="18" t="n"/>
      <c r="J8017" s="19" t="n"/>
      <c r="P8017" s="20" t="n"/>
      <c r="Q8017" s="19" t="n"/>
      <c r="R8017" s="19" t="n"/>
      <c r="Y8017" s="19" t="n"/>
    </row>
    <row r="8018">
      <c r="C8018" s="18" t="n"/>
      <c r="J8018" s="19" t="n"/>
      <c r="P8018" s="20" t="n"/>
      <c r="Q8018" s="19" t="n"/>
      <c r="R8018" s="19" t="n"/>
      <c r="Y8018" s="19" t="n"/>
    </row>
    <row r="8019">
      <c r="C8019" s="18" t="n"/>
      <c r="J8019" s="19" t="n"/>
      <c r="P8019" s="20" t="n"/>
      <c r="Q8019" s="19" t="n"/>
      <c r="R8019" s="19" t="n"/>
      <c r="Y8019" s="19" t="n"/>
    </row>
    <row r="8020">
      <c r="C8020" s="18" t="n"/>
      <c r="J8020" s="19" t="n"/>
      <c r="P8020" s="20" t="n"/>
      <c r="Q8020" s="19" t="n"/>
      <c r="R8020" s="19" t="n"/>
      <c r="Y8020" s="19" t="n"/>
    </row>
    <row r="8021">
      <c r="C8021" s="18" t="n"/>
      <c r="J8021" s="19" t="n"/>
      <c r="P8021" s="20" t="n"/>
      <c r="Q8021" s="19" t="n"/>
      <c r="R8021" s="19" t="n"/>
      <c r="Y8021" s="19" t="n"/>
    </row>
    <row r="8022">
      <c r="C8022" s="18" t="n"/>
      <c r="J8022" s="19" t="n"/>
      <c r="P8022" s="20" t="n"/>
      <c r="Q8022" s="19" t="n"/>
      <c r="R8022" s="19" t="n"/>
      <c r="Y8022" s="19" t="n"/>
    </row>
    <row r="8023">
      <c r="C8023" s="18" t="n"/>
      <c r="J8023" s="19" t="n"/>
      <c r="P8023" s="20" t="n"/>
      <c r="Q8023" s="19" t="n"/>
      <c r="R8023" s="19" t="n"/>
      <c r="Y8023" s="19" t="n"/>
    </row>
    <row r="8024">
      <c r="C8024" s="18" t="n"/>
      <c r="J8024" s="19" t="n"/>
      <c r="P8024" s="20" t="n"/>
      <c r="Q8024" s="19" t="n"/>
      <c r="R8024" s="19" t="n"/>
      <c r="Y8024" s="19" t="n"/>
    </row>
    <row r="8025">
      <c r="C8025" s="18" t="n"/>
      <c r="J8025" s="19" t="n"/>
      <c r="P8025" s="20" t="n"/>
      <c r="Q8025" s="19" t="n"/>
      <c r="R8025" s="19" t="n"/>
      <c r="Y8025" s="19" t="n"/>
    </row>
    <row r="8026">
      <c r="C8026" s="18" t="n"/>
      <c r="J8026" s="19" t="n"/>
      <c r="P8026" s="20" t="n"/>
      <c r="Q8026" s="19" t="n"/>
      <c r="R8026" s="19" t="n"/>
      <c r="Y8026" s="19" t="n"/>
    </row>
    <row r="8027">
      <c r="C8027" s="18" t="n"/>
      <c r="J8027" s="19" t="n"/>
      <c r="P8027" s="20" t="n"/>
      <c r="Q8027" s="19" t="n"/>
      <c r="R8027" s="19" t="n"/>
      <c r="Y8027" s="19" t="n"/>
    </row>
    <row r="8028">
      <c r="C8028" s="18" t="n"/>
      <c r="J8028" s="19" t="n"/>
      <c r="P8028" s="20" t="n"/>
      <c r="Q8028" s="19" t="n"/>
      <c r="R8028" s="19" t="n"/>
      <c r="Y8028" s="19" t="n"/>
    </row>
    <row r="8029">
      <c r="C8029" s="18" t="n"/>
      <c r="J8029" s="19" t="n"/>
      <c r="P8029" s="20" t="n"/>
      <c r="Q8029" s="19" t="n"/>
      <c r="R8029" s="19" t="n"/>
      <c r="Y8029" s="19" t="n"/>
    </row>
    <row r="8030">
      <c r="C8030" s="18" t="n"/>
      <c r="J8030" s="19" t="n"/>
      <c r="P8030" s="20" t="n"/>
      <c r="Q8030" s="19" t="n"/>
      <c r="R8030" s="19" t="n"/>
      <c r="Y8030" s="19" t="n"/>
    </row>
    <row r="8031">
      <c r="C8031" s="18" t="n"/>
      <c r="J8031" s="19" t="n"/>
      <c r="P8031" s="20" t="n"/>
      <c r="Q8031" s="19" t="n"/>
      <c r="R8031" s="19" t="n"/>
      <c r="Y8031" s="19" t="n"/>
    </row>
    <row r="8032">
      <c r="C8032" s="18" t="n"/>
      <c r="J8032" s="19" t="n"/>
      <c r="P8032" s="20" t="n"/>
      <c r="Q8032" s="19" t="n"/>
      <c r="R8032" s="19" t="n"/>
      <c r="Y8032" s="19" t="n"/>
    </row>
    <row r="8033">
      <c r="C8033" s="18" t="n"/>
      <c r="J8033" s="19" t="n"/>
      <c r="P8033" s="20" t="n"/>
      <c r="Q8033" s="19" t="n"/>
      <c r="R8033" s="19" t="n"/>
      <c r="Y8033" s="19" t="n"/>
    </row>
    <row r="8034">
      <c r="C8034" s="18" t="n"/>
      <c r="J8034" s="19" t="n"/>
      <c r="P8034" s="20" t="n"/>
      <c r="Q8034" s="19" t="n"/>
      <c r="R8034" s="19" t="n"/>
      <c r="Y8034" s="19" t="n"/>
    </row>
    <row r="8035">
      <c r="C8035" s="18" t="n"/>
      <c r="J8035" s="19" t="n"/>
      <c r="P8035" s="20" t="n"/>
      <c r="Q8035" s="19" t="n"/>
      <c r="R8035" s="19" t="n"/>
      <c r="Y8035" s="19" t="n"/>
    </row>
    <row r="8036">
      <c r="C8036" s="18" t="n"/>
      <c r="J8036" s="19" t="n"/>
      <c r="P8036" s="20" t="n"/>
      <c r="Q8036" s="19" t="n"/>
      <c r="R8036" s="19" t="n"/>
      <c r="Y8036" s="19" t="n"/>
    </row>
    <row r="8037">
      <c r="C8037" s="18" t="n"/>
      <c r="J8037" s="19" t="n"/>
      <c r="P8037" s="20" t="n"/>
      <c r="Q8037" s="19" t="n"/>
      <c r="R8037" s="19" t="n"/>
      <c r="Y8037" s="19" t="n"/>
    </row>
    <row r="8038">
      <c r="C8038" s="18" t="n"/>
      <c r="J8038" s="19" t="n"/>
      <c r="P8038" s="20" t="n"/>
      <c r="Q8038" s="19" t="n"/>
      <c r="R8038" s="19" t="n"/>
      <c r="Y8038" s="19" t="n"/>
    </row>
    <row r="8039">
      <c r="C8039" s="18" t="n"/>
      <c r="J8039" s="19" t="n"/>
      <c r="P8039" s="20" t="n"/>
      <c r="Q8039" s="19" t="n"/>
      <c r="R8039" s="19" t="n"/>
      <c r="Y8039" s="19" t="n"/>
    </row>
    <row r="8040">
      <c r="C8040" s="18" t="n"/>
      <c r="J8040" s="19" t="n"/>
      <c r="P8040" s="20" t="n"/>
      <c r="Q8040" s="19" t="n"/>
      <c r="R8040" s="19" t="n"/>
      <c r="Y8040" s="19" t="n"/>
    </row>
    <row r="8041">
      <c r="C8041" s="18" t="n"/>
      <c r="J8041" s="19" t="n"/>
      <c r="P8041" s="20" t="n"/>
      <c r="Q8041" s="19" t="n"/>
      <c r="R8041" s="19" t="n"/>
      <c r="Y8041" s="19" t="n"/>
    </row>
    <row r="8042">
      <c r="C8042" s="18" t="n"/>
      <c r="J8042" s="19" t="n"/>
      <c r="P8042" s="20" t="n"/>
      <c r="Q8042" s="19" t="n"/>
      <c r="R8042" s="19" t="n"/>
      <c r="Y8042" s="19" t="n"/>
    </row>
    <row r="8043">
      <c r="C8043" s="18" t="n"/>
      <c r="J8043" s="19" t="n"/>
      <c r="P8043" s="20" t="n"/>
      <c r="Q8043" s="19" t="n"/>
      <c r="R8043" s="19" t="n"/>
      <c r="Y8043" s="19" t="n"/>
    </row>
    <row r="8044">
      <c r="C8044" s="18" t="n"/>
      <c r="J8044" s="19" t="n"/>
      <c r="P8044" s="20" t="n"/>
      <c r="Q8044" s="19" t="n"/>
      <c r="R8044" s="19" t="n"/>
      <c r="Y8044" s="19" t="n"/>
    </row>
    <row r="8045">
      <c r="C8045" s="18" t="n"/>
      <c r="J8045" s="19" t="n"/>
      <c r="P8045" s="20" t="n"/>
      <c r="Q8045" s="19" t="n"/>
      <c r="R8045" s="19" t="n"/>
      <c r="Y8045" s="19" t="n"/>
    </row>
    <row r="8046">
      <c r="C8046" s="18" t="n"/>
      <c r="J8046" s="19" t="n"/>
      <c r="P8046" s="20" t="n"/>
      <c r="Q8046" s="19" t="n"/>
      <c r="R8046" s="19" t="n"/>
      <c r="Y8046" s="19" t="n"/>
    </row>
    <row r="8047">
      <c r="C8047" s="18" t="n"/>
      <c r="J8047" s="19" t="n"/>
      <c r="P8047" s="20" t="n"/>
      <c r="Q8047" s="19" t="n"/>
      <c r="R8047" s="19" t="n"/>
      <c r="Y8047" s="19" t="n"/>
    </row>
    <row r="8048">
      <c r="C8048" s="18" t="n"/>
      <c r="J8048" s="19" t="n"/>
      <c r="P8048" s="20" t="n"/>
      <c r="Q8048" s="19" t="n"/>
      <c r="R8048" s="19" t="n"/>
      <c r="Y8048" s="19" t="n"/>
    </row>
    <row r="8049">
      <c r="C8049" s="18" t="n"/>
      <c r="J8049" s="19" t="n"/>
      <c r="P8049" s="20" t="n"/>
      <c r="Q8049" s="19" t="n"/>
      <c r="R8049" s="19" t="n"/>
      <c r="Y8049" s="19" t="n"/>
    </row>
    <row r="8050">
      <c r="C8050" s="18" t="n"/>
      <c r="J8050" s="19" t="n"/>
      <c r="P8050" s="20" t="n"/>
      <c r="Q8050" s="19" t="n"/>
      <c r="R8050" s="19" t="n"/>
      <c r="Y8050" s="19" t="n"/>
    </row>
    <row r="8051">
      <c r="C8051" s="18" t="n"/>
      <c r="J8051" s="19" t="n"/>
      <c r="P8051" s="20" t="n"/>
      <c r="Q8051" s="19" t="n"/>
      <c r="R8051" s="19" t="n"/>
      <c r="Y8051" s="19" t="n"/>
    </row>
    <row r="8052">
      <c r="C8052" s="18" t="n"/>
      <c r="J8052" s="19" t="n"/>
      <c r="P8052" s="20" t="n"/>
      <c r="Q8052" s="19" t="n"/>
      <c r="R8052" s="19" t="n"/>
      <c r="Y8052" s="19" t="n"/>
    </row>
    <row r="8053">
      <c r="C8053" s="18" t="n"/>
      <c r="J8053" s="19" t="n"/>
      <c r="P8053" s="20" t="n"/>
      <c r="Q8053" s="19" t="n"/>
      <c r="R8053" s="19" t="n"/>
      <c r="Y8053" s="19" t="n"/>
    </row>
    <row r="8054">
      <c r="C8054" s="18" t="n"/>
      <c r="J8054" s="19" t="n"/>
      <c r="P8054" s="20" t="n"/>
      <c r="Q8054" s="19" t="n"/>
      <c r="R8054" s="19" t="n"/>
      <c r="Y8054" s="19" t="n"/>
    </row>
    <row r="8055">
      <c r="C8055" s="18" t="n"/>
      <c r="J8055" s="19" t="n"/>
      <c r="P8055" s="20" t="n"/>
      <c r="Q8055" s="19" t="n"/>
      <c r="R8055" s="19" t="n"/>
      <c r="Y8055" s="19" t="n"/>
    </row>
    <row r="8056">
      <c r="C8056" s="18" t="n"/>
      <c r="J8056" s="19" t="n"/>
      <c r="P8056" s="20" t="n"/>
      <c r="Q8056" s="19" t="n"/>
      <c r="R8056" s="19" t="n"/>
      <c r="Y8056" s="19" t="n"/>
    </row>
    <row r="8057">
      <c r="C8057" s="18" t="n"/>
      <c r="J8057" s="19" t="n"/>
      <c r="P8057" s="20" t="n"/>
      <c r="Q8057" s="19" t="n"/>
      <c r="R8057" s="19" t="n"/>
      <c r="Y8057" s="19" t="n"/>
    </row>
    <row r="8058">
      <c r="C8058" s="18" t="n"/>
      <c r="J8058" s="19" t="n"/>
      <c r="P8058" s="20" t="n"/>
      <c r="Q8058" s="19" t="n"/>
      <c r="R8058" s="19" t="n"/>
      <c r="Y8058" s="19" t="n"/>
    </row>
    <row r="8059">
      <c r="C8059" s="18" t="n"/>
      <c r="J8059" s="19" t="n"/>
      <c r="P8059" s="20" t="n"/>
      <c r="Q8059" s="19" t="n"/>
      <c r="R8059" s="19" t="n"/>
      <c r="Y8059" s="19" t="n"/>
    </row>
    <row r="8060">
      <c r="C8060" s="18" t="n"/>
      <c r="J8060" s="19" t="n"/>
      <c r="P8060" s="20" t="n"/>
      <c r="Q8060" s="19" t="n"/>
      <c r="R8060" s="19" t="n"/>
      <c r="Y8060" s="19" t="n"/>
    </row>
    <row r="8061">
      <c r="C8061" s="18" t="n"/>
      <c r="J8061" s="19" t="n"/>
      <c r="P8061" s="20" t="n"/>
      <c r="Q8061" s="19" t="n"/>
      <c r="R8061" s="19" t="n"/>
      <c r="Y8061" s="19" t="n"/>
    </row>
    <row r="8062">
      <c r="C8062" s="18" t="n"/>
      <c r="J8062" s="19" t="n"/>
      <c r="P8062" s="20" t="n"/>
      <c r="Q8062" s="19" t="n"/>
      <c r="R8062" s="19" t="n"/>
      <c r="Y8062" s="19" t="n"/>
    </row>
    <row r="8063">
      <c r="C8063" s="18" t="n"/>
      <c r="J8063" s="19" t="n"/>
      <c r="P8063" s="20" t="n"/>
      <c r="Q8063" s="19" t="n"/>
      <c r="R8063" s="19" t="n"/>
      <c r="Y8063" s="19" t="n"/>
    </row>
    <row r="8064">
      <c r="C8064" s="18" t="n"/>
      <c r="J8064" s="19" t="n"/>
      <c r="P8064" s="20" t="n"/>
      <c r="Q8064" s="19" t="n"/>
      <c r="R8064" s="19" t="n"/>
      <c r="Y8064" s="19" t="n"/>
    </row>
    <row r="8065">
      <c r="C8065" s="18" t="n"/>
      <c r="J8065" s="19" t="n"/>
      <c r="P8065" s="20" t="n"/>
      <c r="Q8065" s="19" t="n"/>
      <c r="R8065" s="19" t="n"/>
      <c r="Y8065" s="19" t="n"/>
    </row>
    <row r="8066">
      <c r="C8066" s="18" t="n"/>
      <c r="J8066" s="19" t="n"/>
      <c r="P8066" s="20" t="n"/>
      <c r="Q8066" s="19" t="n"/>
      <c r="R8066" s="19" t="n"/>
      <c r="Y8066" s="19" t="n"/>
    </row>
    <row r="8067">
      <c r="C8067" s="18" t="n"/>
      <c r="J8067" s="19" t="n"/>
      <c r="P8067" s="20" t="n"/>
      <c r="Q8067" s="19" t="n"/>
      <c r="R8067" s="19" t="n"/>
      <c r="Y8067" s="19" t="n"/>
    </row>
    <row r="8068">
      <c r="C8068" s="18" t="n"/>
      <c r="J8068" s="19" t="n"/>
      <c r="P8068" s="20" t="n"/>
      <c r="Q8068" s="19" t="n"/>
      <c r="R8068" s="19" t="n"/>
      <c r="Y8068" s="19" t="n"/>
    </row>
    <row r="8069">
      <c r="C8069" s="18" t="n"/>
      <c r="J8069" s="19" t="n"/>
      <c r="P8069" s="20" t="n"/>
      <c r="Q8069" s="19" t="n"/>
      <c r="R8069" s="19" t="n"/>
      <c r="Y8069" s="19" t="n"/>
    </row>
    <row r="8070">
      <c r="C8070" s="18" t="n"/>
      <c r="J8070" s="19" t="n"/>
      <c r="P8070" s="20" t="n"/>
      <c r="Q8070" s="19" t="n"/>
      <c r="R8070" s="19" t="n"/>
      <c r="Y8070" s="19" t="n"/>
    </row>
    <row r="8071">
      <c r="C8071" s="18" t="n"/>
      <c r="J8071" s="19" t="n"/>
      <c r="P8071" s="20" t="n"/>
      <c r="Q8071" s="19" t="n"/>
      <c r="R8071" s="19" t="n"/>
      <c r="Y8071" s="19" t="n"/>
    </row>
    <row r="8072">
      <c r="C8072" s="18" t="n"/>
      <c r="J8072" s="19" t="n"/>
      <c r="P8072" s="20" t="n"/>
      <c r="Q8072" s="19" t="n"/>
      <c r="R8072" s="19" t="n"/>
      <c r="Y8072" s="19" t="n"/>
    </row>
    <row r="8073">
      <c r="C8073" s="18" t="n"/>
      <c r="J8073" s="19" t="n"/>
      <c r="P8073" s="20" t="n"/>
      <c r="Q8073" s="19" t="n"/>
      <c r="R8073" s="19" t="n"/>
      <c r="Y8073" s="19" t="n"/>
    </row>
    <row r="8074">
      <c r="C8074" s="18" t="n"/>
      <c r="J8074" s="19" t="n"/>
      <c r="P8074" s="20" t="n"/>
      <c r="Q8074" s="19" t="n"/>
      <c r="R8074" s="19" t="n"/>
      <c r="Y8074" s="19" t="n"/>
    </row>
    <row r="8075">
      <c r="C8075" s="18" t="n"/>
      <c r="J8075" s="19" t="n"/>
      <c r="P8075" s="20" t="n"/>
      <c r="Q8075" s="19" t="n"/>
      <c r="R8075" s="19" t="n"/>
      <c r="Y8075" s="19" t="n"/>
    </row>
    <row r="8076">
      <c r="C8076" s="18" t="n"/>
      <c r="J8076" s="19" t="n"/>
      <c r="P8076" s="20" t="n"/>
      <c r="Q8076" s="19" t="n"/>
      <c r="R8076" s="19" t="n"/>
      <c r="Y8076" s="19" t="n"/>
    </row>
    <row r="8077">
      <c r="C8077" s="18" t="n"/>
      <c r="J8077" s="19" t="n"/>
      <c r="P8077" s="20" t="n"/>
      <c r="Q8077" s="19" t="n"/>
      <c r="R8077" s="19" t="n"/>
      <c r="Y8077" s="19" t="n"/>
    </row>
    <row r="8078">
      <c r="C8078" s="18" t="n"/>
      <c r="J8078" s="19" t="n"/>
      <c r="P8078" s="20" t="n"/>
      <c r="Q8078" s="19" t="n"/>
      <c r="R8078" s="19" t="n"/>
      <c r="Y8078" s="19" t="n"/>
    </row>
    <row r="8079">
      <c r="C8079" s="18" t="n"/>
      <c r="J8079" s="19" t="n"/>
      <c r="P8079" s="20" t="n"/>
      <c r="Q8079" s="19" t="n"/>
      <c r="R8079" s="19" t="n"/>
      <c r="Y8079" s="19" t="n"/>
    </row>
    <row r="8080">
      <c r="C8080" s="18" t="n"/>
      <c r="J8080" s="19" t="n"/>
      <c r="P8080" s="20" t="n"/>
      <c r="Q8080" s="19" t="n"/>
      <c r="R8080" s="19" t="n"/>
      <c r="Y8080" s="19" t="n"/>
    </row>
    <row r="8081">
      <c r="C8081" s="18" t="n"/>
      <c r="J8081" s="19" t="n"/>
      <c r="P8081" s="20" t="n"/>
      <c r="Q8081" s="19" t="n"/>
      <c r="R8081" s="19" t="n"/>
      <c r="Y8081" s="19" t="n"/>
    </row>
    <row r="8082">
      <c r="C8082" s="18" t="n"/>
      <c r="J8082" s="19" t="n"/>
      <c r="P8082" s="20" t="n"/>
      <c r="Q8082" s="19" t="n"/>
      <c r="R8082" s="19" t="n"/>
      <c r="Y8082" s="19" t="n"/>
    </row>
    <row r="8083">
      <c r="C8083" s="18" t="n"/>
      <c r="J8083" s="19" t="n"/>
      <c r="P8083" s="20" t="n"/>
      <c r="Q8083" s="19" t="n"/>
      <c r="R8083" s="19" t="n"/>
      <c r="Y8083" s="19" t="n"/>
    </row>
    <row r="8084">
      <c r="C8084" s="18" t="n"/>
      <c r="J8084" s="19" t="n"/>
      <c r="P8084" s="20" t="n"/>
      <c r="Q8084" s="19" t="n"/>
      <c r="R8084" s="19" t="n"/>
      <c r="Y8084" s="19" t="n"/>
    </row>
    <row r="8085">
      <c r="C8085" s="18" t="n"/>
      <c r="J8085" s="19" t="n"/>
      <c r="P8085" s="20" t="n"/>
      <c r="Q8085" s="19" t="n"/>
      <c r="R8085" s="19" t="n"/>
      <c r="Y8085" s="19" t="n"/>
    </row>
    <row r="8086">
      <c r="C8086" s="18" t="n"/>
      <c r="J8086" s="19" t="n"/>
      <c r="P8086" s="20" t="n"/>
      <c r="Q8086" s="19" t="n"/>
      <c r="R8086" s="19" t="n"/>
      <c r="Y8086" s="19" t="n"/>
    </row>
    <row r="8087">
      <c r="C8087" s="18" t="n"/>
      <c r="J8087" s="19" t="n"/>
      <c r="P8087" s="20" t="n"/>
      <c r="Q8087" s="19" t="n"/>
      <c r="R8087" s="19" t="n"/>
      <c r="Y8087" s="19" t="n"/>
    </row>
    <row r="8088">
      <c r="C8088" s="18" t="n"/>
      <c r="J8088" s="19" t="n"/>
      <c r="P8088" s="20" t="n"/>
      <c r="Q8088" s="19" t="n"/>
      <c r="R8088" s="19" t="n"/>
      <c r="Y8088" s="19" t="n"/>
    </row>
    <row r="8089">
      <c r="C8089" s="18" t="n"/>
      <c r="J8089" s="19" t="n"/>
      <c r="P8089" s="20" t="n"/>
      <c r="Q8089" s="19" t="n"/>
      <c r="R8089" s="19" t="n"/>
      <c r="Y8089" s="19" t="n"/>
    </row>
    <row r="8090">
      <c r="C8090" s="18" t="n"/>
      <c r="J8090" s="19" t="n"/>
      <c r="P8090" s="20" t="n"/>
      <c r="Q8090" s="19" t="n"/>
      <c r="R8090" s="19" t="n"/>
      <c r="Y8090" s="19" t="n"/>
    </row>
    <row r="8091">
      <c r="C8091" s="18" t="n"/>
      <c r="J8091" s="19" t="n"/>
      <c r="P8091" s="20" t="n"/>
      <c r="Q8091" s="19" t="n"/>
      <c r="R8091" s="19" t="n"/>
      <c r="Y8091" s="19" t="n"/>
    </row>
    <row r="8092">
      <c r="C8092" s="18" t="n"/>
      <c r="J8092" s="19" t="n"/>
      <c r="P8092" s="20" t="n"/>
      <c r="Q8092" s="19" t="n"/>
      <c r="R8092" s="19" t="n"/>
      <c r="Y8092" s="19" t="n"/>
    </row>
    <row r="8093">
      <c r="C8093" s="18" t="n"/>
      <c r="J8093" s="19" t="n"/>
      <c r="P8093" s="20" t="n"/>
      <c r="Q8093" s="19" t="n"/>
      <c r="R8093" s="19" t="n"/>
      <c r="Y8093" s="19" t="n"/>
    </row>
    <row r="8094">
      <c r="C8094" s="18" t="n"/>
      <c r="J8094" s="19" t="n"/>
      <c r="P8094" s="20" t="n"/>
      <c r="Q8094" s="19" t="n"/>
      <c r="R8094" s="19" t="n"/>
      <c r="Y8094" s="19" t="n"/>
    </row>
    <row r="8095">
      <c r="C8095" s="18" t="n"/>
      <c r="J8095" s="19" t="n"/>
      <c r="P8095" s="20" t="n"/>
      <c r="Q8095" s="19" t="n"/>
      <c r="R8095" s="19" t="n"/>
      <c r="Y8095" s="19" t="n"/>
    </row>
    <row r="8096">
      <c r="C8096" s="18" t="n"/>
      <c r="J8096" s="19" t="n"/>
      <c r="P8096" s="20" t="n"/>
      <c r="Q8096" s="19" t="n"/>
      <c r="R8096" s="19" t="n"/>
      <c r="Y8096" s="19" t="n"/>
    </row>
    <row r="8097">
      <c r="C8097" s="18" t="n"/>
      <c r="J8097" s="19" t="n"/>
      <c r="P8097" s="20" t="n"/>
      <c r="Q8097" s="19" t="n"/>
      <c r="R8097" s="19" t="n"/>
      <c r="Y8097" s="19" t="n"/>
    </row>
    <row r="8098">
      <c r="C8098" s="18" t="n"/>
      <c r="J8098" s="19" t="n"/>
      <c r="P8098" s="20" t="n"/>
      <c r="Q8098" s="19" t="n"/>
      <c r="R8098" s="19" t="n"/>
      <c r="Y8098" s="19" t="n"/>
    </row>
    <row r="8099">
      <c r="C8099" s="18" t="n"/>
      <c r="J8099" s="19" t="n"/>
      <c r="P8099" s="20" t="n"/>
      <c r="Q8099" s="19" t="n"/>
      <c r="R8099" s="19" t="n"/>
      <c r="Y8099" s="19" t="n"/>
    </row>
    <row r="8100">
      <c r="C8100" s="18" t="n"/>
      <c r="J8100" s="19" t="n"/>
      <c r="P8100" s="20" t="n"/>
      <c r="Q8100" s="19" t="n"/>
      <c r="R8100" s="19" t="n"/>
      <c r="Y8100" s="19" t="n"/>
    </row>
    <row r="8101">
      <c r="C8101" s="18" t="n"/>
      <c r="J8101" s="19" t="n"/>
      <c r="P8101" s="20" t="n"/>
      <c r="Q8101" s="19" t="n"/>
      <c r="R8101" s="19" t="n"/>
      <c r="Y8101" s="19" t="n"/>
    </row>
    <row r="8102">
      <c r="C8102" s="18" t="n"/>
      <c r="J8102" s="19" t="n"/>
      <c r="P8102" s="20" t="n"/>
      <c r="Q8102" s="19" t="n"/>
      <c r="R8102" s="19" t="n"/>
      <c r="Y8102" s="19" t="n"/>
    </row>
    <row r="8103">
      <c r="C8103" s="18" t="n"/>
      <c r="J8103" s="19" t="n"/>
      <c r="P8103" s="20" t="n"/>
      <c r="Q8103" s="19" t="n"/>
      <c r="R8103" s="19" t="n"/>
      <c r="Y8103" s="19" t="n"/>
    </row>
    <row r="8104">
      <c r="C8104" s="18" t="n"/>
      <c r="J8104" s="19" t="n"/>
      <c r="P8104" s="20" t="n"/>
      <c r="Q8104" s="19" t="n"/>
      <c r="R8104" s="19" t="n"/>
      <c r="Y8104" s="19" t="n"/>
    </row>
    <row r="8105">
      <c r="C8105" s="18" t="n"/>
      <c r="J8105" s="19" t="n"/>
      <c r="P8105" s="20" t="n"/>
      <c r="Q8105" s="19" t="n"/>
      <c r="R8105" s="19" t="n"/>
      <c r="Y8105" s="19" t="n"/>
    </row>
    <row r="8106">
      <c r="C8106" s="18" t="n"/>
      <c r="J8106" s="19" t="n"/>
      <c r="P8106" s="20" t="n"/>
      <c r="Q8106" s="19" t="n"/>
      <c r="R8106" s="19" t="n"/>
      <c r="Y8106" s="19" t="n"/>
    </row>
    <row r="8107">
      <c r="C8107" s="18" t="n"/>
      <c r="J8107" s="19" t="n"/>
      <c r="P8107" s="20" t="n"/>
      <c r="Q8107" s="19" t="n"/>
      <c r="R8107" s="19" t="n"/>
      <c r="Y8107" s="19" t="n"/>
    </row>
    <row r="8108">
      <c r="C8108" s="18" t="n"/>
      <c r="J8108" s="19" t="n"/>
      <c r="P8108" s="20" t="n"/>
      <c r="Q8108" s="19" t="n"/>
      <c r="R8108" s="19" t="n"/>
      <c r="Y8108" s="19" t="n"/>
    </row>
    <row r="8109">
      <c r="C8109" s="18" t="n"/>
      <c r="J8109" s="19" t="n"/>
      <c r="P8109" s="20" t="n"/>
      <c r="Q8109" s="19" t="n"/>
      <c r="R8109" s="19" t="n"/>
      <c r="Y8109" s="19" t="n"/>
    </row>
    <row r="8110">
      <c r="C8110" s="18" t="n"/>
      <c r="J8110" s="19" t="n"/>
      <c r="P8110" s="20" t="n"/>
      <c r="Q8110" s="19" t="n"/>
      <c r="R8110" s="19" t="n"/>
      <c r="Y8110" s="19" t="n"/>
    </row>
    <row r="8111">
      <c r="C8111" s="18" t="n"/>
      <c r="J8111" s="19" t="n"/>
      <c r="P8111" s="20" t="n"/>
      <c r="Q8111" s="19" t="n"/>
      <c r="R8111" s="19" t="n"/>
      <c r="Y8111" s="19" t="n"/>
    </row>
    <row r="8112">
      <c r="C8112" s="18" t="n"/>
      <c r="J8112" s="19" t="n"/>
      <c r="P8112" s="20" t="n"/>
      <c r="Q8112" s="19" t="n"/>
      <c r="R8112" s="19" t="n"/>
      <c r="Y8112" s="19" t="n"/>
    </row>
    <row r="8113">
      <c r="C8113" s="18" t="n"/>
      <c r="J8113" s="19" t="n"/>
      <c r="P8113" s="20" t="n"/>
      <c r="Q8113" s="19" t="n"/>
      <c r="R8113" s="19" t="n"/>
      <c r="Y8113" s="19" t="n"/>
    </row>
    <row r="8114">
      <c r="C8114" s="18" t="n"/>
      <c r="J8114" s="19" t="n"/>
      <c r="P8114" s="20" t="n"/>
      <c r="Q8114" s="19" t="n"/>
      <c r="R8114" s="19" t="n"/>
      <c r="Y8114" s="19" t="n"/>
    </row>
    <row r="8115">
      <c r="C8115" s="18" t="n"/>
      <c r="J8115" s="19" t="n"/>
      <c r="P8115" s="20" t="n"/>
      <c r="Q8115" s="19" t="n"/>
      <c r="R8115" s="19" t="n"/>
      <c r="Y8115" s="19" t="n"/>
    </row>
    <row r="8116">
      <c r="C8116" s="18" t="n"/>
      <c r="J8116" s="19" t="n"/>
      <c r="P8116" s="20" t="n"/>
      <c r="Q8116" s="19" t="n"/>
      <c r="R8116" s="19" t="n"/>
      <c r="Y8116" s="19" t="n"/>
    </row>
    <row r="8117">
      <c r="C8117" s="18" t="n"/>
      <c r="J8117" s="19" t="n"/>
      <c r="P8117" s="20" t="n"/>
      <c r="Q8117" s="19" t="n"/>
      <c r="R8117" s="19" t="n"/>
      <c r="Y8117" s="19" t="n"/>
    </row>
    <row r="8118">
      <c r="C8118" s="18" t="n"/>
      <c r="J8118" s="19" t="n"/>
      <c r="P8118" s="20" t="n"/>
      <c r="Q8118" s="19" t="n"/>
      <c r="R8118" s="19" t="n"/>
      <c r="Y8118" s="19" t="n"/>
    </row>
    <row r="8119">
      <c r="C8119" s="18" t="n"/>
      <c r="J8119" s="19" t="n"/>
      <c r="P8119" s="20" t="n"/>
      <c r="Q8119" s="19" t="n"/>
      <c r="R8119" s="19" t="n"/>
      <c r="Y8119" s="19" t="n"/>
    </row>
    <row r="8120">
      <c r="C8120" s="18" t="n"/>
      <c r="J8120" s="19" t="n"/>
      <c r="P8120" s="20" t="n"/>
      <c r="Q8120" s="19" t="n"/>
      <c r="R8120" s="19" t="n"/>
      <c r="Y8120" s="19" t="n"/>
    </row>
    <row r="8121">
      <c r="C8121" s="18" t="n"/>
      <c r="J8121" s="19" t="n"/>
      <c r="P8121" s="20" t="n"/>
      <c r="Q8121" s="19" t="n"/>
      <c r="R8121" s="19" t="n"/>
      <c r="Y8121" s="19" t="n"/>
    </row>
    <row r="8122">
      <c r="C8122" s="18" t="n"/>
      <c r="J8122" s="19" t="n"/>
      <c r="P8122" s="20" t="n"/>
      <c r="Q8122" s="19" t="n"/>
      <c r="R8122" s="19" t="n"/>
      <c r="Y8122" s="19" t="n"/>
    </row>
    <row r="8123">
      <c r="C8123" s="18" t="n"/>
      <c r="J8123" s="19" t="n"/>
      <c r="P8123" s="20" t="n"/>
      <c r="Q8123" s="19" t="n"/>
      <c r="R8123" s="19" t="n"/>
      <c r="Y8123" s="19" t="n"/>
    </row>
    <row r="8124">
      <c r="C8124" s="18" t="n"/>
      <c r="J8124" s="19" t="n"/>
      <c r="P8124" s="20" t="n"/>
      <c r="Q8124" s="19" t="n"/>
      <c r="R8124" s="19" t="n"/>
      <c r="Y8124" s="19" t="n"/>
    </row>
    <row r="8125">
      <c r="C8125" s="18" t="n"/>
      <c r="J8125" s="19" t="n"/>
      <c r="P8125" s="20" t="n"/>
      <c r="Q8125" s="19" t="n"/>
      <c r="R8125" s="19" t="n"/>
      <c r="Y8125" s="19" t="n"/>
    </row>
    <row r="8126">
      <c r="C8126" s="18" t="n"/>
      <c r="J8126" s="19" t="n"/>
      <c r="P8126" s="20" t="n"/>
      <c r="Q8126" s="19" t="n"/>
      <c r="R8126" s="19" t="n"/>
      <c r="Y8126" s="19" t="n"/>
    </row>
    <row r="8127">
      <c r="C8127" s="18" t="n"/>
      <c r="J8127" s="19" t="n"/>
      <c r="P8127" s="20" t="n"/>
      <c r="Q8127" s="19" t="n"/>
      <c r="R8127" s="19" t="n"/>
      <c r="Y8127" s="19" t="n"/>
    </row>
    <row r="8128">
      <c r="C8128" s="18" t="n"/>
      <c r="J8128" s="19" t="n"/>
      <c r="P8128" s="20" t="n"/>
      <c r="Q8128" s="19" t="n"/>
      <c r="R8128" s="19" t="n"/>
      <c r="Y8128" s="19" t="n"/>
    </row>
    <row r="8129">
      <c r="C8129" s="18" t="n"/>
      <c r="J8129" s="19" t="n"/>
      <c r="P8129" s="20" t="n"/>
      <c r="Q8129" s="19" t="n"/>
      <c r="R8129" s="19" t="n"/>
      <c r="Y8129" s="19" t="n"/>
    </row>
    <row r="8130">
      <c r="C8130" s="18" t="n"/>
      <c r="J8130" s="19" t="n"/>
      <c r="P8130" s="20" t="n"/>
      <c r="Q8130" s="19" t="n"/>
      <c r="R8130" s="19" t="n"/>
      <c r="Y8130" s="19" t="n"/>
    </row>
    <row r="8131">
      <c r="C8131" s="18" t="n"/>
      <c r="J8131" s="19" t="n"/>
      <c r="P8131" s="20" t="n"/>
      <c r="Q8131" s="19" t="n"/>
      <c r="R8131" s="19" t="n"/>
      <c r="Y8131" s="19" t="n"/>
    </row>
    <row r="8132">
      <c r="C8132" s="18" t="n"/>
      <c r="J8132" s="19" t="n"/>
      <c r="P8132" s="20" t="n"/>
      <c r="Q8132" s="19" t="n"/>
      <c r="R8132" s="19" t="n"/>
      <c r="Y8132" s="19" t="n"/>
    </row>
    <row r="8133">
      <c r="C8133" s="18" t="n"/>
      <c r="J8133" s="19" t="n"/>
      <c r="P8133" s="20" t="n"/>
      <c r="Q8133" s="19" t="n"/>
      <c r="R8133" s="19" t="n"/>
      <c r="Y8133" s="19" t="n"/>
    </row>
    <row r="8134">
      <c r="C8134" s="18" t="n"/>
      <c r="J8134" s="19" t="n"/>
      <c r="P8134" s="20" t="n"/>
      <c r="Q8134" s="19" t="n"/>
      <c r="R8134" s="19" t="n"/>
      <c r="Y8134" s="19" t="n"/>
    </row>
    <row r="8135">
      <c r="C8135" s="18" t="n"/>
      <c r="J8135" s="19" t="n"/>
      <c r="P8135" s="20" t="n"/>
      <c r="Q8135" s="19" t="n"/>
      <c r="R8135" s="19" t="n"/>
      <c r="Y8135" s="19" t="n"/>
    </row>
    <row r="8136">
      <c r="C8136" s="18" t="n"/>
      <c r="J8136" s="19" t="n"/>
      <c r="P8136" s="20" t="n"/>
      <c r="Q8136" s="19" t="n"/>
      <c r="R8136" s="19" t="n"/>
      <c r="Y8136" s="19" t="n"/>
    </row>
    <row r="8137">
      <c r="C8137" s="18" t="n"/>
      <c r="J8137" s="19" t="n"/>
      <c r="P8137" s="20" t="n"/>
      <c r="Q8137" s="19" t="n"/>
      <c r="R8137" s="19" t="n"/>
      <c r="Y8137" s="19" t="n"/>
    </row>
    <row r="8138">
      <c r="C8138" s="18" t="n"/>
      <c r="J8138" s="19" t="n"/>
      <c r="P8138" s="20" t="n"/>
      <c r="Q8138" s="19" t="n"/>
      <c r="R8138" s="19" t="n"/>
      <c r="Y8138" s="19" t="n"/>
    </row>
    <row r="8139">
      <c r="C8139" s="18" t="n"/>
      <c r="J8139" s="19" t="n"/>
      <c r="P8139" s="20" t="n"/>
      <c r="Q8139" s="19" t="n"/>
      <c r="R8139" s="19" t="n"/>
      <c r="Y8139" s="19" t="n"/>
    </row>
    <row r="8140">
      <c r="C8140" s="18" t="n"/>
      <c r="J8140" s="19" t="n"/>
      <c r="P8140" s="20" t="n"/>
      <c r="Q8140" s="19" t="n"/>
      <c r="R8140" s="19" t="n"/>
      <c r="Y8140" s="19" t="n"/>
    </row>
    <row r="8141">
      <c r="C8141" s="18" t="n"/>
      <c r="J8141" s="19" t="n"/>
      <c r="P8141" s="20" t="n"/>
      <c r="Q8141" s="19" t="n"/>
      <c r="R8141" s="19" t="n"/>
      <c r="Y8141" s="19" t="n"/>
    </row>
    <row r="8142">
      <c r="C8142" s="18" t="n"/>
      <c r="J8142" s="19" t="n"/>
      <c r="P8142" s="20" t="n"/>
      <c r="Q8142" s="19" t="n"/>
      <c r="R8142" s="19" t="n"/>
      <c r="Y8142" s="19" t="n"/>
    </row>
    <row r="8143">
      <c r="C8143" s="18" t="n"/>
      <c r="J8143" s="19" t="n"/>
      <c r="P8143" s="20" t="n"/>
      <c r="Q8143" s="19" t="n"/>
      <c r="R8143" s="19" t="n"/>
      <c r="Y8143" s="19" t="n"/>
    </row>
    <row r="8144">
      <c r="C8144" s="18" t="n"/>
      <c r="J8144" s="19" t="n"/>
      <c r="P8144" s="20" t="n"/>
      <c r="Q8144" s="19" t="n"/>
      <c r="R8144" s="19" t="n"/>
      <c r="Y8144" s="19" t="n"/>
    </row>
    <row r="8145">
      <c r="C8145" s="18" t="n"/>
      <c r="J8145" s="19" t="n"/>
      <c r="P8145" s="20" t="n"/>
      <c r="Q8145" s="19" t="n"/>
      <c r="R8145" s="19" t="n"/>
      <c r="Y8145" s="19" t="n"/>
    </row>
    <row r="8146">
      <c r="C8146" s="18" t="n"/>
      <c r="J8146" s="19" t="n"/>
      <c r="P8146" s="20" t="n"/>
      <c r="Q8146" s="19" t="n"/>
      <c r="R8146" s="19" t="n"/>
      <c r="Y8146" s="19" t="n"/>
    </row>
    <row r="8147">
      <c r="C8147" s="18" t="n"/>
      <c r="J8147" s="19" t="n"/>
      <c r="P8147" s="20" t="n"/>
      <c r="Q8147" s="19" t="n"/>
      <c r="R8147" s="19" t="n"/>
      <c r="Y8147" s="19" t="n"/>
    </row>
    <row r="8148">
      <c r="C8148" s="18" t="n"/>
      <c r="J8148" s="19" t="n"/>
      <c r="P8148" s="20" t="n"/>
      <c r="Q8148" s="19" t="n"/>
      <c r="R8148" s="19" t="n"/>
      <c r="Y8148" s="19" t="n"/>
    </row>
    <row r="8149">
      <c r="C8149" s="18" t="n"/>
      <c r="J8149" s="19" t="n"/>
      <c r="P8149" s="20" t="n"/>
      <c r="Q8149" s="19" t="n"/>
      <c r="R8149" s="19" t="n"/>
      <c r="Y8149" s="19" t="n"/>
    </row>
    <row r="8150">
      <c r="C8150" s="18" t="n"/>
      <c r="J8150" s="19" t="n"/>
      <c r="P8150" s="20" t="n"/>
      <c r="Q8150" s="19" t="n"/>
      <c r="R8150" s="19" t="n"/>
      <c r="Y8150" s="19" t="n"/>
    </row>
    <row r="8151">
      <c r="C8151" s="18" t="n"/>
      <c r="J8151" s="19" t="n"/>
      <c r="P8151" s="20" t="n"/>
      <c r="Q8151" s="19" t="n"/>
      <c r="R8151" s="19" t="n"/>
      <c r="Y8151" s="19" t="n"/>
    </row>
    <row r="8152">
      <c r="C8152" s="18" t="n"/>
      <c r="J8152" s="19" t="n"/>
      <c r="P8152" s="20" t="n"/>
      <c r="Q8152" s="19" t="n"/>
      <c r="R8152" s="19" t="n"/>
      <c r="Y8152" s="19" t="n"/>
    </row>
    <row r="8153">
      <c r="C8153" s="18" t="n"/>
      <c r="J8153" s="19" t="n"/>
      <c r="P8153" s="20" t="n"/>
      <c r="Q8153" s="19" t="n"/>
      <c r="R8153" s="19" t="n"/>
      <c r="Y8153" s="19" t="n"/>
    </row>
    <row r="8154">
      <c r="C8154" s="18" t="n"/>
      <c r="J8154" s="19" t="n"/>
      <c r="P8154" s="20" t="n"/>
      <c r="Q8154" s="19" t="n"/>
      <c r="R8154" s="19" t="n"/>
      <c r="Y8154" s="19" t="n"/>
    </row>
    <row r="8155">
      <c r="C8155" s="18" t="n"/>
      <c r="J8155" s="19" t="n"/>
      <c r="P8155" s="20" t="n"/>
      <c r="Q8155" s="19" t="n"/>
      <c r="R8155" s="19" t="n"/>
      <c r="Y8155" s="19" t="n"/>
    </row>
    <row r="8156">
      <c r="C8156" s="18" t="n"/>
      <c r="J8156" s="19" t="n"/>
      <c r="P8156" s="20" t="n"/>
      <c r="Q8156" s="19" t="n"/>
      <c r="R8156" s="19" t="n"/>
      <c r="Y8156" s="19" t="n"/>
    </row>
    <row r="8157">
      <c r="C8157" s="18" t="n"/>
      <c r="J8157" s="19" t="n"/>
      <c r="P8157" s="20" t="n"/>
      <c r="Q8157" s="19" t="n"/>
      <c r="R8157" s="19" t="n"/>
      <c r="Y8157" s="19" t="n"/>
    </row>
    <row r="8158">
      <c r="C8158" s="18" t="n"/>
      <c r="J8158" s="19" t="n"/>
      <c r="P8158" s="20" t="n"/>
      <c r="Q8158" s="19" t="n"/>
      <c r="R8158" s="19" t="n"/>
      <c r="Y8158" s="19" t="n"/>
    </row>
    <row r="8159">
      <c r="C8159" s="18" t="n"/>
      <c r="J8159" s="19" t="n"/>
      <c r="P8159" s="20" t="n"/>
      <c r="Q8159" s="19" t="n"/>
      <c r="R8159" s="19" t="n"/>
      <c r="Y8159" s="19" t="n"/>
    </row>
    <row r="8160">
      <c r="C8160" s="18" t="n"/>
      <c r="J8160" s="19" t="n"/>
      <c r="P8160" s="20" t="n"/>
      <c r="Q8160" s="19" t="n"/>
      <c r="R8160" s="19" t="n"/>
      <c r="Y8160" s="19" t="n"/>
    </row>
    <row r="8161">
      <c r="C8161" s="18" t="n"/>
      <c r="J8161" s="19" t="n"/>
      <c r="P8161" s="20" t="n"/>
      <c r="Q8161" s="19" t="n"/>
      <c r="R8161" s="19" t="n"/>
      <c r="Y8161" s="19" t="n"/>
    </row>
    <row r="8162">
      <c r="C8162" s="18" t="n"/>
      <c r="J8162" s="19" t="n"/>
      <c r="P8162" s="20" t="n"/>
      <c r="Q8162" s="19" t="n"/>
      <c r="R8162" s="19" t="n"/>
      <c r="Y8162" s="19" t="n"/>
    </row>
    <row r="8163">
      <c r="C8163" s="18" t="n"/>
      <c r="J8163" s="19" t="n"/>
      <c r="P8163" s="20" t="n"/>
      <c r="Q8163" s="19" t="n"/>
      <c r="R8163" s="19" t="n"/>
      <c r="Y8163" s="19" t="n"/>
    </row>
    <row r="8164">
      <c r="C8164" s="18" t="n"/>
      <c r="J8164" s="19" t="n"/>
      <c r="P8164" s="20" t="n"/>
      <c r="Q8164" s="19" t="n"/>
      <c r="R8164" s="19" t="n"/>
      <c r="Y8164" s="19" t="n"/>
    </row>
    <row r="8165">
      <c r="C8165" s="18" t="n"/>
      <c r="J8165" s="19" t="n"/>
      <c r="P8165" s="20" t="n"/>
      <c r="Q8165" s="19" t="n"/>
      <c r="R8165" s="19" t="n"/>
      <c r="Y8165" s="19" t="n"/>
    </row>
    <row r="8166">
      <c r="C8166" s="18" t="n"/>
      <c r="J8166" s="19" t="n"/>
      <c r="P8166" s="20" t="n"/>
      <c r="Q8166" s="19" t="n"/>
      <c r="R8166" s="19" t="n"/>
      <c r="Y8166" s="19" t="n"/>
    </row>
    <row r="8167">
      <c r="C8167" s="18" t="n"/>
      <c r="J8167" s="19" t="n"/>
      <c r="P8167" s="20" t="n"/>
      <c r="Q8167" s="19" t="n"/>
      <c r="R8167" s="19" t="n"/>
      <c r="Y8167" s="19" t="n"/>
    </row>
    <row r="8168">
      <c r="C8168" s="18" t="n"/>
      <c r="J8168" s="19" t="n"/>
      <c r="P8168" s="20" t="n"/>
      <c r="Q8168" s="19" t="n"/>
      <c r="R8168" s="19" t="n"/>
      <c r="Y8168" s="19" t="n"/>
    </row>
    <row r="8169">
      <c r="C8169" s="18" t="n"/>
      <c r="J8169" s="19" t="n"/>
      <c r="P8169" s="20" t="n"/>
      <c r="Q8169" s="19" t="n"/>
      <c r="R8169" s="19" t="n"/>
      <c r="Y8169" s="19" t="n"/>
    </row>
    <row r="8170">
      <c r="C8170" s="18" t="n"/>
      <c r="J8170" s="19" t="n"/>
      <c r="P8170" s="20" t="n"/>
      <c r="Q8170" s="19" t="n"/>
      <c r="R8170" s="19" t="n"/>
      <c r="Y8170" s="19" t="n"/>
    </row>
    <row r="8171">
      <c r="C8171" s="18" t="n"/>
      <c r="J8171" s="19" t="n"/>
      <c r="P8171" s="20" t="n"/>
      <c r="Q8171" s="19" t="n"/>
      <c r="R8171" s="19" t="n"/>
      <c r="Y8171" s="19" t="n"/>
    </row>
    <row r="8172">
      <c r="C8172" s="18" t="n"/>
      <c r="J8172" s="19" t="n"/>
      <c r="P8172" s="20" t="n"/>
      <c r="Q8172" s="19" t="n"/>
      <c r="R8172" s="19" t="n"/>
      <c r="Y8172" s="19" t="n"/>
    </row>
    <row r="8173">
      <c r="C8173" s="18" t="n"/>
      <c r="J8173" s="19" t="n"/>
      <c r="P8173" s="20" t="n"/>
      <c r="Q8173" s="19" t="n"/>
      <c r="R8173" s="19" t="n"/>
      <c r="Y8173" s="19" t="n"/>
    </row>
    <row r="8174">
      <c r="C8174" s="18" t="n"/>
      <c r="J8174" s="19" t="n"/>
      <c r="P8174" s="20" t="n"/>
      <c r="Q8174" s="19" t="n"/>
      <c r="R8174" s="19" t="n"/>
      <c r="Y8174" s="19" t="n"/>
    </row>
    <row r="8175">
      <c r="C8175" s="18" t="n"/>
      <c r="J8175" s="19" t="n"/>
      <c r="P8175" s="20" t="n"/>
      <c r="Q8175" s="19" t="n"/>
      <c r="R8175" s="19" t="n"/>
      <c r="Y8175" s="19" t="n"/>
    </row>
    <row r="8176">
      <c r="C8176" s="18" t="n"/>
      <c r="J8176" s="19" t="n"/>
      <c r="P8176" s="20" t="n"/>
      <c r="Q8176" s="19" t="n"/>
      <c r="R8176" s="19" t="n"/>
      <c r="Y8176" s="19" t="n"/>
    </row>
    <row r="8177">
      <c r="C8177" s="18" t="n"/>
      <c r="J8177" s="19" t="n"/>
      <c r="P8177" s="20" t="n"/>
      <c r="Q8177" s="19" t="n"/>
      <c r="R8177" s="19" t="n"/>
      <c r="Y8177" s="19" t="n"/>
    </row>
    <row r="8178">
      <c r="C8178" s="18" t="n"/>
      <c r="J8178" s="19" t="n"/>
      <c r="P8178" s="20" t="n"/>
      <c r="Q8178" s="19" t="n"/>
      <c r="R8178" s="19" t="n"/>
      <c r="Y8178" s="19" t="n"/>
    </row>
    <row r="8179">
      <c r="C8179" s="18" t="n"/>
      <c r="J8179" s="19" t="n"/>
      <c r="P8179" s="20" t="n"/>
      <c r="Q8179" s="19" t="n"/>
      <c r="R8179" s="19" t="n"/>
      <c r="Y8179" s="19" t="n"/>
    </row>
    <row r="8180">
      <c r="C8180" s="18" t="n"/>
      <c r="J8180" s="19" t="n"/>
      <c r="P8180" s="20" t="n"/>
      <c r="Q8180" s="19" t="n"/>
      <c r="R8180" s="19" t="n"/>
      <c r="Y8180" s="19" t="n"/>
    </row>
    <row r="8181">
      <c r="C8181" s="18" t="n"/>
      <c r="J8181" s="19" t="n"/>
      <c r="P8181" s="20" t="n"/>
      <c r="Q8181" s="19" t="n"/>
      <c r="R8181" s="19" t="n"/>
      <c r="Y8181" s="19" t="n"/>
    </row>
    <row r="8182">
      <c r="C8182" s="18" t="n"/>
      <c r="J8182" s="19" t="n"/>
      <c r="P8182" s="20" t="n"/>
      <c r="Q8182" s="19" t="n"/>
      <c r="R8182" s="19" t="n"/>
      <c r="Y8182" s="19" t="n"/>
    </row>
    <row r="8183">
      <c r="C8183" s="18" t="n"/>
      <c r="J8183" s="19" t="n"/>
      <c r="P8183" s="20" t="n"/>
      <c r="Q8183" s="19" t="n"/>
      <c r="R8183" s="19" t="n"/>
      <c r="Y8183" s="19" t="n"/>
    </row>
    <row r="8184">
      <c r="C8184" s="18" t="n"/>
      <c r="J8184" s="19" t="n"/>
      <c r="P8184" s="20" t="n"/>
      <c r="Q8184" s="19" t="n"/>
      <c r="R8184" s="19" t="n"/>
      <c r="Y8184" s="19" t="n"/>
    </row>
    <row r="8185">
      <c r="C8185" s="18" t="n"/>
      <c r="J8185" s="19" t="n"/>
      <c r="P8185" s="20" t="n"/>
      <c r="Q8185" s="19" t="n"/>
      <c r="R8185" s="19" t="n"/>
      <c r="Y8185" s="19" t="n"/>
    </row>
    <row r="8186">
      <c r="C8186" s="18" t="n"/>
      <c r="J8186" s="19" t="n"/>
      <c r="P8186" s="20" t="n"/>
      <c r="Q8186" s="19" t="n"/>
      <c r="R8186" s="19" t="n"/>
      <c r="Y8186" s="19" t="n"/>
    </row>
    <row r="8187">
      <c r="C8187" s="18" t="n"/>
      <c r="J8187" s="19" t="n"/>
      <c r="P8187" s="20" t="n"/>
      <c r="Q8187" s="19" t="n"/>
      <c r="R8187" s="19" t="n"/>
      <c r="Y8187" s="19" t="n"/>
    </row>
    <row r="8188">
      <c r="C8188" s="18" t="n"/>
      <c r="J8188" s="19" t="n"/>
      <c r="P8188" s="20" t="n"/>
      <c r="Q8188" s="19" t="n"/>
      <c r="R8188" s="19" t="n"/>
      <c r="Y8188" s="19" t="n"/>
    </row>
    <row r="8189">
      <c r="C8189" s="18" t="n"/>
      <c r="J8189" s="19" t="n"/>
      <c r="P8189" s="20" t="n"/>
      <c r="Q8189" s="19" t="n"/>
      <c r="R8189" s="19" t="n"/>
      <c r="Y8189" s="19" t="n"/>
    </row>
    <row r="8190">
      <c r="C8190" s="18" t="n"/>
      <c r="J8190" s="19" t="n"/>
      <c r="P8190" s="20" t="n"/>
      <c r="Q8190" s="19" t="n"/>
      <c r="R8190" s="19" t="n"/>
      <c r="Y8190" s="19" t="n"/>
    </row>
    <row r="8191">
      <c r="C8191" s="18" t="n"/>
      <c r="J8191" s="19" t="n"/>
      <c r="P8191" s="20" t="n"/>
      <c r="Q8191" s="19" t="n"/>
      <c r="R8191" s="19" t="n"/>
      <c r="Y8191" s="19" t="n"/>
    </row>
    <row r="8192">
      <c r="C8192" s="18" t="n"/>
      <c r="J8192" s="19" t="n"/>
      <c r="P8192" s="20" t="n"/>
      <c r="Q8192" s="19" t="n"/>
      <c r="R8192" s="19" t="n"/>
      <c r="Y8192" s="19" t="n"/>
    </row>
    <row r="8193">
      <c r="C8193" s="18" t="n"/>
      <c r="J8193" s="19" t="n"/>
      <c r="P8193" s="20" t="n"/>
      <c r="Q8193" s="19" t="n"/>
      <c r="R8193" s="19" t="n"/>
      <c r="Y8193" s="19" t="n"/>
    </row>
    <row r="8194">
      <c r="C8194" s="18" t="n"/>
      <c r="J8194" s="19" t="n"/>
      <c r="P8194" s="20" t="n"/>
      <c r="Q8194" s="19" t="n"/>
      <c r="R8194" s="19" t="n"/>
      <c r="Y8194" s="19" t="n"/>
    </row>
    <row r="8195">
      <c r="C8195" s="18" t="n"/>
      <c r="J8195" s="19" t="n"/>
      <c r="P8195" s="20" t="n"/>
      <c r="Q8195" s="19" t="n"/>
      <c r="R8195" s="19" t="n"/>
      <c r="Y8195" s="19" t="n"/>
    </row>
    <row r="8196">
      <c r="C8196" s="18" t="n"/>
      <c r="J8196" s="19" t="n"/>
      <c r="P8196" s="20" t="n"/>
      <c r="Q8196" s="19" t="n"/>
      <c r="R8196" s="19" t="n"/>
      <c r="Y8196" s="19" t="n"/>
    </row>
    <row r="8197">
      <c r="C8197" s="18" t="n"/>
      <c r="J8197" s="19" t="n"/>
      <c r="P8197" s="20" t="n"/>
      <c r="Q8197" s="19" t="n"/>
      <c r="R8197" s="19" t="n"/>
      <c r="Y8197" s="19" t="n"/>
    </row>
    <row r="8198">
      <c r="C8198" s="18" t="n"/>
      <c r="J8198" s="19" t="n"/>
      <c r="P8198" s="20" t="n"/>
      <c r="Q8198" s="19" t="n"/>
      <c r="R8198" s="19" t="n"/>
      <c r="Y8198" s="19" t="n"/>
    </row>
    <row r="8199">
      <c r="C8199" s="18" t="n"/>
      <c r="J8199" s="19" t="n"/>
      <c r="P8199" s="20" t="n"/>
      <c r="Q8199" s="19" t="n"/>
      <c r="R8199" s="19" t="n"/>
      <c r="Y8199" s="19" t="n"/>
    </row>
    <row r="8200">
      <c r="C8200" s="18" t="n"/>
      <c r="J8200" s="19" t="n"/>
      <c r="P8200" s="20" t="n"/>
      <c r="Q8200" s="19" t="n"/>
      <c r="R8200" s="19" t="n"/>
      <c r="Y8200" s="19" t="n"/>
    </row>
    <row r="8201">
      <c r="C8201" s="18" t="n"/>
      <c r="J8201" s="19" t="n"/>
      <c r="P8201" s="20" t="n"/>
      <c r="Q8201" s="19" t="n"/>
      <c r="R8201" s="19" t="n"/>
      <c r="Y8201" s="19" t="n"/>
    </row>
    <row r="8202">
      <c r="C8202" s="18" t="n"/>
      <c r="J8202" s="19" t="n"/>
      <c r="P8202" s="20" t="n"/>
      <c r="Q8202" s="19" t="n"/>
      <c r="R8202" s="19" t="n"/>
      <c r="Y8202" s="19" t="n"/>
    </row>
    <row r="8203">
      <c r="C8203" s="18" t="n"/>
      <c r="J8203" s="19" t="n"/>
      <c r="P8203" s="20" t="n"/>
      <c r="Q8203" s="19" t="n"/>
      <c r="R8203" s="19" t="n"/>
      <c r="Y8203" s="19" t="n"/>
    </row>
    <row r="8204">
      <c r="C8204" s="18" t="n"/>
      <c r="J8204" s="19" t="n"/>
      <c r="P8204" s="20" t="n"/>
      <c r="Q8204" s="19" t="n"/>
      <c r="R8204" s="19" t="n"/>
      <c r="Y8204" s="19" t="n"/>
    </row>
    <row r="8205">
      <c r="C8205" s="18" t="n"/>
      <c r="J8205" s="19" t="n"/>
      <c r="P8205" s="20" t="n"/>
      <c r="Q8205" s="19" t="n"/>
      <c r="R8205" s="19" t="n"/>
      <c r="Y8205" s="19" t="n"/>
    </row>
    <row r="8206">
      <c r="C8206" s="18" t="n"/>
      <c r="J8206" s="19" t="n"/>
      <c r="P8206" s="20" t="n"/>
      <c r="Q8206" s="19" t="n"/>
      <c r="R8206" s="19" t="n"/>
      <c r="Y8206" s="19" t="n"/>
    </row>
    <row r="8207">
      <c r="C8207" s="18" t="n"/>
      <c r="J8207" s="19" t="n"/>
      <c r="P8207" s="20" t="n"/>
      <c r="Q8207" s="19" t="n"/>
      <c r="R8207" s="19" t="n"/>
      <c r="Y8207" s="19" t="n"/>
    </row>
    <row r="8208">
      <c r="C8208" s="18" t="n"/>
      <c r="J8208" s="19" t="n"/>
      <c r="P8208" s="20" t="n"/>
      <c r="Q8208" s="19" t="n"/>
      <c r="R8208" s="19" t="n"/>
      <c r="Y8208" s="19" t="n"/>
    </row>
    <row r="8209">
      <c r="C8209" s="18" t="n"/>
      <c r="J8209" s="19" t="n"/>
      <c r="P8209" s="20" t="n"/>
      <c r="Q8209" s="19" t="n"/>
      <c r="R8209" s="19" t="n"/>
      <c r="Y8209" s="19" t="n"/>
    </row>
    <row r="8210">
      <c r="C8210" s="18" t="n"/>
      <c r="J8210" s="19" t="n"/>
      <c r="P8210" s="20" t="n"/>
      <c r="Q8210" s="19" t="n"/>
      <c r="R8210" s="19" t="n"/>
      <c r="Y8210" s="19" t="n"/>
    </row>
    <row r="8211">
      <c r="C8211" s="18" t="n"/>
      <c r="J8211" s="19" t="n"/>
      <c r="P8211" s="20" t="n"/>
      <c r="Q8211" s="19" t="n"/>
      <c r="R8211" s="19" t="n"/>
      <c r="Y8211" s="19" t="n"/>
    </row>
    <row r="8212">
      <c r="C8212" s="18" t="n"/>
      <c r="J8212" s="19" t="n"/>
      <c r="P8212" s="20" t="n"/>
      <c r="Q8212" s="19" t="n"/>
      <c r="R8212" s="19" t="n"/>
      <c r="Y8212" s="19" t="n"/>
    </row>
    <row r="8213">
      <c r="C8213" s="18" t="n"/>
      <c r="J8213" s="19" t="n"/>
      <c r="P8213" s="20" t="n"/>
      <c r="Q8213" s="19" t="n"/>
      <c r="R8213" s="19" t="n"/>
      <c r="Y8213" s="19" t="n"/>
    </row>
    <row r="8214">
      <c r="C8214" s="18" t="n"/>
      <c r="J8214" s="19" t="n"/>
      <c r="P8214" s="20" t="n"/>
      <c r="Q8214" s="19" t="n"/>
      <c r="R8214" s="19" t="n"/>
      <c r="Y8214" s="19" t="n"/>
    </row>
    <row r="8215">
      <c r="C8215" s="18" t="n"/>
      <c r="J8215" s="19" t="n"/>
      <c r="P8215" s="20" t="n"/>
      <c r="Q8215" s="19" t="n"/>
      <c r="R8215" s="19" t="n"/>
      <c r="Y8215" s="19" t="n"/>
    </row>
    <row r="8216">
      <c r="C8216" s="18" t="n"/>
      <c r="J8216" s="19" t="n"/>
      <c r="P8216" s="20" t="n"/>
      <c r="Q8216" s="19" t="n"/>
      <c r="R8216" s="19" t="n"/>
      <c r="Y8216" s="19" t="n"/>
    </row>
    <row r="8217">
      <c r="C8217" s="18" t="n"/>
      <c r="J8217" s="19" t="n"/>
      <c r="P8217" s="20" t="n"/>
      <c r="Q8217" s="19" t="n"/>
      <c r="R8217" s="19" t="n"/>
      <c r="Y8217" s="19" t="n"/>
    </row>
    <row r="8218">
      <c r="C8218" s="18" t="n"/>
      <c r="J8218" s="19" t="n"/>
      <c r="P8218" s="20" t="n"/>
      <c r="Q8218" s="19" t="n"/>
      <c r="R8218" s="19" t="n"/>
      <c r="Y8218" s="19" t="n"/>
    </row>
    <row r="8219">
      <c r="C8219" s="18" t="n"/>
      <c r="J8219" s="19" t="n"/>
      <c r="P8219" s="20" t="n"/>
      <c r="Q8219" s="19" t="n"/>
      <c r="R8219" s="19" t="n"/>
      <c r="Y8219" s="19" t="n"/>
    </row>
    <row r="8220">
      <c r="C8220" s="18" t="n"/>
      <c r="J8220" s="19" t="n"/>
      <c r="P8220" s="20" t="n"/>
      <c r="Q8220" s="19" t="n"/>
      <c r="R8220" s="19" t="n"/>
      <c r="Y8220" s="19" t="n"/>
    </row>
    <row r="8221">
      <c r="C8221" s="18" t="n"/>
      <c r="J8221" s="19" t="n"/>
      <c r="P8221" s="20" t="n"/>
      <c r="Q8221" s="19" t="n"/>
      <c r="R8221" s="19" t="n"/>
      <c r="Y8221" s="19" t="n"/>
    </row>
    <row r="8222">
      <c r="C8222" s="18" t="n"/>
      <c r="J8222" s="19" t="n"/>
      <c r="P8222" s="20" t="n"/>
      <c r="Q8222" s="19" t="n"/>
      <c r="R8222" s="19" t="n"/>
      <c r="Y8222" s="19" t="n"/>
    </row>
    <row r="8223">
      <c r="C8223" s="18" t="n"/>
      <c r="J8223" s="19" t="n"/>
      <c r="P8223" s="20" t="n"/>
      <c r="Q8223" s="19" t="n"/>
      <c r="R8223" s="19" t="n"/>
      <c r="Y8223" s="19" t="n"/>
    </row>
    <row r="8224">
      <c r="C8224" s="18" t="n"/>
      <c r="J8224" s="19" t="n"/>
      <c r="P8224" s="20" t="n"/>
      <c r="Q8224" s="19" t="n"/>
      <c r="R8224" s="19" t="n"/>
      <c r="Y8224" s="19" t="n"/>
    </row>
    <row r="8225">
      <c r="C8225" s="18" t="n"/>
      <c r="J8225" s="19" t="n"/>
      <c r="P8225" s="20" t="n"/>
      <c r="Q8225" s="19" t="n"/>
      <c r="R8225" s="19" t="n"/>
      <c r="Y8225" s="19" t="n"/>
    </row>
    <row r="8226">
      <c r="C8226" s="18" t="n"/>
      <c r="J8226" s="19" t="n"/>
      <c r="P8226" s="20" t="n"/>
      <c r="Q8226" s="19" t="n"/>
      <c r="R8226" s="19" t="n"/>
      <c r="Y8226" s="19" t="n"/>
    </row>
    <row r="8227">
      <c r="C8227" s="18" t="n"/>
      <c r="J8227" s="19" t="n"/>
      <c r="P8227" s="20" t="n"/>
      <c r="Q8227" s="19" t="n"/>
      <c r="R8227" s="19" t="n"/>
      <c r="Y8227" s="19" t="n"/>
    </row>
    <row r="8228">
      <c r="C8228" s="18" t="n"/>
      <c r="J8228" s="19" t="n"/>
      <c r="P8228" s="20" t="n"/>
      <c r="Q8228" s="19" t="n"/>
      <c r="R8228" s="19" t="n"/>
      <c r="Y8228" s="19" t="n"/>
    </row>
    <row r="8229">
      <c r="C8229" s="18" t="n"/>
      <c r="J8229" s="19" t="n"/>
      <c r="P8229" s="20" t="n"/>
      <c r="Q8229" s="19" t="n"/>
      <c r="R8229" s="19" t="n"/>
      <c r="Y8229" s="19" t="n"/>
    </row>
    <row r="8230">
      <c r="C8230" s="18" t="n"/>
      <c r="J8230" s="19" t="n"/>
      <c r="P8230" s="20" t="n"/>
      <c r="Q8230" s="19" t="n"/>
      <c r="R8230" s="19" t="n"/>
      <c r="Y8230" s="19" t="n"/>
    </row>
    <row r="8231">
      <c r="C8231" s="18" t="n"/>
      <c r="J8231" s="19" t="n"/>
      <c r="P8231" s="20" t="n"/>
      <c r="Q8231" s="19" t="n"/>
      <c r="R8231" s="19" t="n"/>
      <c r="Y8231" s="19" t="n"/>
    </row>
    <row r="8232">
      <c r="C8232" s="18" t="n"/>
      <c r="J8232" s="19" t="n"/>
      <c r="P8232" s="20" t="n"/>
      <c r="Q8232" s="19" t="n"/>
      <c r="R8232" s="19" t="n"/>
      <c r="Y8232" s="19" t="n"/>
    </row>
    <row r="8233">
      <c r="C8233" s="18" t="n"/>
      <c r="J8233" s="19" t="n"/>
      <c r="P8233" s="20" t="n"/>
      <c r="Q8233" s="19" t="n"/>
      <c r="R8233" s="19" t="n"/>
      <c r="Y8233" s="19" t="n"/>
    </row>
    <row r="8234">
      <c r="C8234" s="18" t="n"/>
      <c r="J8234" s="19" t="n"/>
      <c r="P8234" s="20" t="n"/>
      <c r="Q8234" s="19" t="n"/>
      <c r="R8234" s="19" t="n"/>
      <c r="Y8234" s="19" t="n"/>
    </row>
    <row r="8235">
      <c r="C8235" s="18" t="n"/>
      <c r="J8235" s="19" t="n"/>
      <c r="P8235" s="20" t="n"/>
      <c r="Q8235" s="19" t="n"/>
      <c r="R8235" s="19" t="n"/>
      <c r="Y8235" s="19" t="n"/>
    </row>
    <row r="8236">
      <c r="C8236" s="18" t="n"/>
      <c r="J8236" s="19" t="n"/>
      <c r="P8236" s="20" t="n"/>
      <c r="Q8236" s="19" t="n"/>
      <c r="R8236" s="19" t="n"/>
      <c r="Y8236" s="19" t="n"/>
    </row>
    <row r="8237">
      <c r="C8237" s="18" t="n"/>
      <c r="J8237" s="19" t="n"/>
      <c r="P8237" s="20" t="n"/>
      <c r="Q8237" s="19" t="n"/>
      <c r="R8237" s="19" t="n"/>
      <c r="Y8237" s="19" t="n"/>
    </row>
    <row r="8238">
      <c r="C8238" s="18" t="n"/>
      <c r="J8238" s="19" t="n"/>
      <c r="P8238" s="20" t="n"/>
      <c r="Q8238" s="19" t="n"/>
      <c r="R8238" s="19" t="n"/>
      <c r="Y8238" s="19" t="n"/>
    </row>
    <row r="8239">
      <c r="C8239" s="18" t="n"/>
      <c r="J8239" s="19" t="n"/>
      <c r="P8239" s="20" t="n"/>
      <c r="Q8239" s="19" t="n"/>
      <c r="R8239" s="19" t="n"/>
      <c r="Y8239" s="19" t="n"/>
    </row>
    <row r="8240">
      <c r="C8240" s="18" t="n"/>
      <c r="J8240" s="19" t="n"/>
      <c r="P8240" s="20" t="n"/>
      <c r="Q8240" s="19" t="n"/>
      <c r="R8240" s="19" t="n"/>
      <c r="Y8240" s="19" t="n"/>
    </row>
    <row r="8241">
      <c r="C8241" s="18" t="n"/>
      <c r="J8241" s="19" t="n"/>
      <c r="P8241" s="20" t="n"/>
      <c r="Q8241" s="19" t="n"/>
      <c r="R8241" s="19" t="n"/>
      <c r="Y8241" s="19" t="n"/>
    </row>
    <row r="8242">
      <c r="C8242" s="18" t="n"/>
      <c r="J8242" s="19" t="n"/>
      <c r="P8242" s="20" t="n"/>
      <c r="Q8242" s="19" t="n"/>
      <c r="R8242" s="19" t="n"/>
      <c r="Y8242" s="19" t="n"/>
    </row>
    <row r="8243">
      <c r="C8243" s="18" t="n"/>
      <c r="J8243" s="19" t="n"/>
      <c r="P8243" s="20" t="n"/>
      <c r="Q8243" s="19" t="n"/>
      <c r="R8243" s="19" t="n"/>
      <c r="Y8243" s="19" t="n"/>
    </row>
    <row r="8244">
      <c r="C8244" s="18" t="n"/>
      <c r="J8244" s="19" t="n"/>
      <c r="P8244" s="20" t="n"/>
      <c r="Q8244" s="19" t="n"/>
      <c r="R8244" s="19" t="n"/>
      <c r="Y8244" s="19" t="n"/>
    </row>
    <row r="8245">
      <c r="C8245" s="18" t="n"/>
      <c r="J8245" s="19" t="n"/>
      <c r="P8245" s="20" t="n"/>
      <c r="Q8245" s="19" t="n"/>
      <c r="R8245" s="19" t="n"/>
      <c r="Y8245" s="19" t="n"/>
    </row>
    <row r="8246">
      <c r="C8246" s="18" t="n"/>
      <c r="J8246" s="19" t="n"/>
      <c r="P8246" s="20" t="n"/>
      <c r="Q8246" s="19" t="n"/>
      <c r="R8246" s="19" t="n"/>
      <c r="Y8246" s="19" t="n"/>
    </row>
    <row r="8247">
      <c r="C8247" s="18" t="n"/>
      <c r="J8247" s="19" t="n"/>
      <c r="P8247" s="20" t="n"/>
      <c r="Q8247" s="19" t="n"/>
      <c r="R8247" s="19" t="n"/>
      <c r="Y8247" s="19" t="n"/>
    </row>
    <row r="8248">
      <c r="C8248" s="18" t="n"/>
      <c r="J8248" s="19" t="n"/>
      <c r="P8248" s="20" t="n"/>
      <c r="Q8248" s="19" t="n"/>
      <c r="R8248" s="19" t="n"/>
      <c r="Y8248" s="19" t="n"/>
    </row>
    <row r="8249">
      <c r="C8249" s="18" t="n"/>
      <c r="J8249" s="19" t="n"/>
      <c r="P8249" s="20" t="n"/>
      <c r="Q8249" s="19" t="n"/>
      <c r="R8249" s="19" t="n"/>
      <c r="Y8249" s="19" t="n"/>
    </row>
    <row r="8250">
      <c r="C8250" s="18" t="n"/>
      <c r="J8250" s="19" t="n"/>
      <c r="P8250" s="20" t="n"/>
      <c r="Q8250" s="19" t="n"/>
      <c r="R8250" s="19" t="n"/>
      <c r="Y8250" s="19" t="n"/>
    </row>
    <row r="8251">
      <c r="C8251" s="18" t="n"/>
      <c r="J8251" s="19" t="n"/>
      <c r="P8251" s="20" t="n"/>
      <c r="Q8251" s="19" t="n"/>
      <c r="R8251" s="19" t="n"/>
      <c r="Y8251" s="19" t="n"/>
    </row>
    <row r="8252">
      <c r="C8252" s="18" t="n"/>
      <c r="J8252" s="19" t="n"/>
      <c r="P8252" s="20" t="n"/>
      <c r="Q8252" s="19" t="n"/>
      <c r="R8252" s="19" t="n"/>
      <c r="Y8252" s="19" t="n"/>
    </row>
    <row r="8253">
      <c r="C8253" s="18" t="n"/>
      <c r="J8253" s="19" t="n"/>
      <c r="P8253" s="20" t="n"/>
      <c r="Q8253" s="19" t="n"/>
      <c r="R8253" s="19" t="n"/>
      <c r="Y8253" s="19" t="n"/>
    </row>
    <row r="8254">
      <c r="C8254" s="18" t="n"/>
      <c r="J8254" s="19" t="n"/>
      <c r="P8254" s="20" t="n"/>
      <c r="Q8254" s="19" t="n"/>
      <c r="R8254" s="19" t="n"/>
      <c r="Y8254" s="19" t="n"/>
    </row>
    <row r="8255">
      <c r="C8255" s="18" t="n"/>
      <c r="J8255" s="19" t="n"/>
      <c r="P8255" s="20" t="n"/>
      <c r="Q8255" s="19" t="n"/>
      <c r="R8255" s="19" t="n"/>
      <c r="Y8255" s="19" t="n"/>
    </row>
    <row r="8256">
      <c r="C8256" s="18" t="n"/>
      <c r="J8256" s="19" t="n"/>
      <c r="P8256" s="20" t="n"/>
      <c r="Q8256" s="19" t="n"/>
      <c r="R8256" s="19" t="n"/>
      <c r="Y8256" s="19" t="n"/>
    </row>
    <row r="8257">
      <c r="C8257" s="18" t="n"/>
      <c r="J8257" s="19" t="n"/>
      <c r="P8257" s="20" t="n"/>
      <c r="Q8257" s="19" t="n"/>
      <c r="R8257" s="19" t="n"/>
      <c r="Y8257" s="19" t="n"/>
    </row>
    <row r="8258">
      <c r="C8258" s="18" t="n"/>
      <c r="J8258" s="19" t="n"/>
      <c r="P8258" s="20" t="n"/>
      <c r="Q8258" s="19" t="n"/>
      <c r="R8258" s="19" t="n"/>
      <c r="Y8258" s="19" t="n"/>
    </row>
    <row r="8259">
      <c r="C8259" s="18" t="n"/>
      <c r="J8259" s="19" t="n"/>
      <c r="P8259" s="20" t="n"/>
      <c r="Q8259" s="19" t="n"/>
      <c r="R8259" s="19" t="n"/>
      <c r="Y8259" s="19" t="n"/>
    </row>
    <row r="8260">
      <c r="C8260" s="18" t="n"/>
      <c r="J8260" s="19" t="n"/>
      <c r="P8260" s="20" t="n"/>
      <c r="Q8260" s="19" t="n"/>
      <c r="R8260" s="19" t="n"/>
      <c r="Y8260" s="19" t="n"/>
    </row>
    <row r="8261">
      <c r="C8261" s="18" t="n"/>
      <c r="J8261" s="19" t="n"/>
      <c r="P8261" s="20" t="n"/>
      <c r="Q8261" s="19" t="n"/>
      <c r="R8261" s="19" t="n"/>
      <c r="Y8261" s="19" t="n"/>
    </row>
    <row r="8262">
      <c r="C8262" s="18" t="n"/>
      <c r="J8262" s="19" t="n"/>
      <c r="P8262" s="20" t="n"/>
      <c r="Q8262" s="19" t="n"/>
      <c r="R8262" s="19" t="n"/>
      <c r="Y8262" s="19" t="n"/>
    </row>
    <row r="8263">
      <c r="C8263" s="18" t="n"/>
      <c r="J8263" s="19" t="n"/>
      <c r="P8263" s="20" t="n"/>
      <c r="Q8263" s="19" t="n"/>
      <c r="R8263" s="19" t="n"/>
      <c r="Y8263" s="19" t="n"/>
    </row>
    <row r="8264">
      <c r="C8264" s="18" t="n"/>
      <c r="J8264" s="19" t="n"/>
      <c r="P8264" s="20" t="n"/>
      <c r="Q8264" s="19" t="n"/>
      <c r="R8264" s="19" t="n"/>
      <c r="Y8264" s="19" t="n"/>
    </row>
    <row r="8265">
      <c r="C8265" s="18" t="n"/>
      <c r="J8265" s="19" t="n"/>
      <c r="P8265" s="20" t="n"/>
      <c r="Q8265" s="19" t="n"/>
      <c r="R8265" s="19" t="n"/>
      <c r="Y8265" s="19" t="n"/>
    </row>
    <row r="8266">
      <c r="C8266" s="18" t="n"/>
      <c r="J8266" s="19" t="n"/>
      <c r="P8266" s="20" t="n"/>
      <c r="Q8266" s="19" t="n"/>
      <c r="R8266" s="19" t="n"/>
      <c r="Y8266" s="19" t="n"/>
    </row>
    <row r="8267">
      <c r="C8267" s="18" t="n"/>
      <c r="J8267" s="19" t="n"/>
      <c r="P8267" s="20" t="n"/>
      <c r="Q8267" s="19" t="n"/>
      <c r="R8267" s="19" t="n"/>
      <c r="Y8267" s="19" t="n"/>
    </row>
    <row r="8268">
      <c r="C8268" s="18" t="n"/>
      <c r="J8268" s="19" t="n"/>
      <c r="P8268" s="20" t="n"/>
      <c r="Q8268" s="19" t="n"/>
      <c r="R8268" s="19" t="n"/>
      <c r="Y8268" s="19" t="n"/>
    </row>
    <row r="8269">
      <c r="C8269" s="18" t="n"/>
      <c r="J8269" s="19" t="n"/>
      <c r="P8269" s="20" t="n"/>
      <c r="Q8269" s="19" t="n"/>
      <c r="R8269" s="19" t="n"/>
      <c r="Y8269" s="19" t="n"/>
    </row>
    <row r="8270">
      <c r="C8270" s="18" t="n"/>
      <c r="J8270" s="19" t="n"/>
      <c r="P8270" s="20" t="n"/>
      <c r="Q8270" s="19" t="n"/>
      <c r="R8270" s="19" t="n"/>
      <c r="Y8270" s="19" t="n"/>
    </row>
    <row r="8271">
      <c r="C8271" s="18" t="n"/>
      <c r="J8271" s="19" t="n"/>
      <c r="P8271" s="20" t="n"/>
      <c r="Q8271" s="19" t="n"/>
      <c r="R8271" s="19" t="n"/>
      <c r="Y8271" s="19" t="n"/>
    </row>
    <row r="8272">
      <c r="C8272" s="18" t="n"/>
      <c r="J8272" s="19" t="n"/>
      <c r="P8272" s="20" t="n"/>
      <c r="Q8272" s="19" t="n"/>
      <c r="R8272" s="19" t="n"/>
      <c r="Y8272" s="19" t="n"/>
    </row>
    <row r="8273">
      <c r="C8273" s="18" t="n"/>
      <c r="J8273" s="19" t="n"/>
      <c r="P8273" s="20" t="n"/>
      <c r="Q8273" s="19" t="n"/>
      <c r="R8273" s="19" t="n"/>
      <c r="Y8273" s="19" t="n"/>
    </row>
    <row r="8274">
      <c r="C8274" s="18" t="n"/>
      <c r="J8274" s="19" t="n"/>
      <c r="P8274" s="20" t="n"/>
      <c r="Q8274" s="19" t="n"/>
      <c r="R8274" s="19" t="n"/>
      <c r="Y8274" s="19" t="n"/>
    </row>
    <row r="8275">
      <c r="C8275" s="18" t="n"/>
      <c r="J8275" s="19" t="n"/>
      <c r="P8275" s="20" t="n"/>
      <c r="Q8275" s="19" t="n"/>
      <c r="R8275" s="19" t="n"/>
      <c r="Y8275" s="19" t="n"/>
    </row>
    <row r="8276">
      <c r="C8276" s="18" t="n"/>
      <c r="J8276" s="19" t="n"/>
      <c r="P8276" s="20" t="n"/>
      <c r="Q8276" s="19" t="n"/>
      <c r="R8276" s="19" t="n"/>
      <c r="Y8276" s="19" t="n"/>
    </row>
    <row r="8277">
      <c r="C8277" s="18" t="n"/>
      <c r="J8277" s="19" t="n"/>
      <c r="P8277" s="20" t="n"/>
      <c r="Q8277" s="19" t="n"/>
      <c r="R8277" s="19" t="n"/>
      <c r="Y8277" s="19" t="n"/>
    </row>
    <row r="8278">
      <c r="C8278" s="18" t="n"/>
      <c r="J8278" s="19" t="n"/>
      <c r="P8278" s="20" t="n"/>
      <c r="Q8278" s="19" t="n"/>
      <c r="R8278" s="19" t="n"/>
      <c r="Y8278" s="19" t="n"/>
    </row>
    <row r="8279">
      <c r="C8279" s="18" t="n"/>
      <c r="J8279" s="19" t="n"/>
      <c r="P8279" s="20" t="n"/>
      <c r="Q8279" s="19" t="n"/>
      <c r="R8279" s="19" t="n"/>
      <c r="Y8279" s="19" t="n"/>
    </row>
    <row r="8280">
      <c r="C8280" s="18" t="n"/>
      <c r="J8280" s="19" t="n"/>
      <c r="P8280" s="20" t="n"/>
      <c r="Q8280" s="19" t="n"/>
      <c r="R8280" s="19" t="n"/>
      <c r="Y8280" s="19" t="n"/>
    </row>
    <row r="8281">
      <c r="C8281" s="18" t="n"/>
      <c r="J8281" s="19" t="n"/>
      <c r="P8281" s="20" t="n"/>
      <c r="Q8281" s="19" t="n"/>
      <c r="R8281" s="19" t="n"/>
      <c r="Y8281" s="19" t="n"/>
    </row>
    <row r="8282">
      <c r="C8282" s="18" t="n"/>
      <c r="J8282" s="19" t="n"/>
      <c r="P8282" s="20" t="n"/>
      <c r="Q8282" s="19" t="n"/>
      <c r="R8282" s="19" t="n"/>
      <c r="Y8282" s="19" t="n"/>
    </row>
    <row r="8283">
      <c r="C8283" s="18" t="n"/>
      <c r="J8283" s="19" t="n"/>
      <c r="P8283" s="20" t="n"/>
      <c r="Q8283" s="19" t="n"/>
      <c r="R8283" s="19" t="n"/>
      <c r="Y8283" s="19" t="n"/>
    </row>
    <row r="8284">
      <c r="C8284" s="18" t="n"/>
      <c r="J8284" s="19" t="n"/>
      <c r="P8284" s="20" t="n"/>
      <c r="Q8284" s="19" t="n"/>
      <c r="R8284" s="19" t="n"/>
      <c r="Y8284" s="19" t="n"/>
    </row>
    <row r="8285">
      <c r="C8285" s="18" t="n"/>
      <c r="J8285" s="19" t="n"/>
      <c r="P8285" s="20" t="n"/>
      <c r="Q8285" s="19" t="n"/>
      <c r="R8285" s="19" t="n"/>
      <c r="Y8285" s="19" t="n"/>
    </row>
    <row r="8286">
      <c r="C8286" s="18" t="n"/>
      <c r="J8286" s="19" t="n"/>
      <c r="P8286" s="20" t="n"/>
      <c r="Q8286" s="19" t="n"/>
      <c r="R8286" s="19" t="n"/>
      <c r="Y8286" s="19" t="n"/>
    </row>
    <row r="8287">
      <c r="C8287" s="18" t="n"/>
      <c r="J8287" s="19" t="n"/>
      <c r="P8287" s="20" t="n"/>
      <c r="Q8287" s="19" t="n"/>
      <c r="R8287" s="19" t="n"/>
      <c r="Y8287" s="19" t="n"/>
    </row>
    <row r="8288">
      <c r="C8288" s="18" t="n"/>
      <c r="J8288" s="19" t="n"/>
      <c r="P8288" s="20" t="n"/>
      <c r="Q8288" s="19" t="n"/>
      <c r="R8288" s="19" t="n"/>
      <c r="Y8288" s="19" t="n"/>
    </row>
    <row r="8289">
      <c r="C8289" s="18" t="n"/>
      <c r="J8289" s="19" t="n"/>
      <c r="P8289" s="20" t="n"/>
      <c r="Q8289" s="19" t="n"/>
      <c r="R8289" s="19" t="n"/>
      <c r="Y8289" s="19" t="n"/>
    </row>
    <row r="8290">
      <c r="C8290" s="18" t="n"/>
      <c r="J8290" s="19" t="n"/>
      <c r="P8290" s="20" t="n"/>
      <c r="Q8290" s="19" t="n"/>
      <c r="R8290" s="19" t="n"/>
      <c r="Y8290" s="19" t="n"/>
    </row>
    <row r="8291">
      <c r="C8291" s="18" t="n"/>
      <c r="J8291" s="19" t="n"/>
      <c r="P8291" s="20" t="n"/>
      <c r="Q8291" s="19" t="n"/>
      <c r="R8291" s="19" t="n"/>
      <c r="Y8291" s="19" t="n"/>
    </row>
    <row r="8292">
      <c r="C8292" s="18" t="n"/>
      <c r="J8292" s="19" t="n"/>
      <c r="P8292" s="20" t="n"/>
      <c r="Q8292" s="19" t="n"/>
      <c r="R8292" s="19" t="n"/>
      <c r="Y8292" s="19" t="n"/>
    </row>
    <row r="8293">
      <c r="C8293" s="18" t="n"/>
      <c r="J8293" s="19" t="n"/>
      <c r="P8293" s="20" t="n"/>
      <c r="Q8293" s="19" t="n"/>
      <c r="R8293" s="19" t="n"/>
      <c r="Y8293" s="19" t="n"/>
    </row>
    <row r="8294">
      <c r="C8294" s="18" t="n"/>
      <c r="J8294" s="19" t="n"/>
      <c r="P8294" s="20" t="n"/>
      <c r="Q8294" s="19" t="n"/>
      <c r="R8294" s="19" t="n"/>
      <c r="Y8294" s="19" t="n"/>
    </row>
    <row r="8295">
      <c r="C8295" s="18" t="n"/>
      <c r="J8295" s="19" t="n"/>
      <c r="P8295" s="20" t="n"/>
      <c r="Q8295" s="19" t="n"/>
      <c r="R8295" s="19" t="n"/>
      <c r="Y8295" s="19" t="n"/>
    </row>
    <row r="8296">
      <c r="C8296" s="18" t="n"/>
      <c r="J8296" s="19" t="n"/>
      <c r="P8296" s="20" t="n"/>
      <c r="Q8296" s="19" t="n"/>
      <c r="R8296" s="19" t="n"/>
      <c r="Y8296" s="19" t="n"/>
    </row>
    <row r="8297">
      <c r="C8297" s="18" t="n"/>
      <c r="J8297" s="19" t="n"/>
      <c r="P8297" s="20" t="n"/>
      <c r="Q8297" s="19" t="n"/>
      <c r="R8297" s="19" t="n"/>
      <c r="Y8297" s="19" t="n"/>
    </row>
    <row r="8298">
      <c r="C8298" s="18" t="n"/>
      <c r="J8298" s="19" t="n"/>
      <c r="P8298" s="20" t="n"/>
      <c r="Q8298" s="19" t="n"/>
      <c r="R8298" s="19" t="n"/>
      <c r="Y8298" s="19" t="n"/>
    </row>
    <row r="8299">
      <c r="C8299" s="18" t="n"/>
      <c r="J8299" s="19" t="n"/>
      <c r="P8299" s="20" t="n"/>
      <c r="Q8299" s="19" t="n"/>
      <c r="R8299" s="19" t="n"/>
      <c r="Y8299" s="19" t="n"/>
    </row>
    <row r="8300">
      <c r="C8300" s="18" t="n"/>
      <c r="J8300" s="19" t="n"/>
      <c r="P8300" s="20" t="n"/>
      <c r="Q8300" s="19" t="n"/>
      <c r="R8300" s="19" t="n"/>
      <c r="Y8300" s="19" t="n"/>
    </row>
    <row r="8301">
      <c r="C8301" s="18" t="n"/>
      <c r="J8301" s="19" t="n"/>
      <c r="P8301" s="20" t="n"/>
      <c r="Q8301" s="19" t="n"/>
      <c r="R8301" s="19" t="n"/>
      <c r="Y8301" s="19" t="n"/>
    </row>
    <row r="8302">
      <c r="C8302" s="18" t="n"/>
      <c r="J8302" s="19" t="n"/>
      <c r="P8302" s="20" t="n"/>
      <c r="Q8302" s="19" t="n"/>
      <c r="R8302" s="19" t="n"/>
      <c r="Y8302" s="19" t="n"/>
    </row>
    <row r="8303">
      <c r="C8303" s="18" t="n"/>
      <c r="J8303" s="19" t="n"/>
      <c r="P8303" s="20" t="n"/>
      <c r="Q8303" s="19" t="n"/>
      <c r="R8303" s="19" t="n"/>
      <c r="Y8303" s="19" t="n"/>
    </row>
    <row r="8304">
      <c r="C8304" s="18" t="n"/>
      <c r="J8304" s="19" t="n"/>
      <c r="P8304" s="20" t="n"/>
      <c r="Q8304" s="19" t="n"/>
      <c r="R8304" s="19" t="n"/>
      <c r="Y8304" s="19" t="n"/>
    </row>
    <row r="8305">
      <c r="C8305" s="18" t="n"/>
      <c r="J8305" s="19" t="n"/>
      <c r="P8305" s="20" t="n"/>
      <c r="Q8305" s="19" t="n"/>
      <c r="R8305" s="19" t="n"/>
      <c r="Y8305" s="19" t="n"/>
    </row>
    <row r="8306">
      <c r="C8306" s="18" t="n"/>
      <c r="J8306" s="19" t="n"/>
      <c r="P8306" s="20" t="n"/>
      <c r="Q8306" s="19" t="n"/>
      <c r="R8306" s="19" t="n"/>
      <c r="Y8306" s="19" t="n"/>
    </row>
    <row r="8307">
      <c r="C8307" s="18" t="n"/>
      <c r="J8307" s="19" t="n"/>
      <c r="P8307" s="20" t="n"/>
      <c r="Q8307" s="19" t="n"/>
      <c r="R8307" s="19" t="n"/>
      <c r="Y8307" s="19" t="n"/>
    </row>
    <row r="8308">
      <c r="C8308" s="18" t="n"/>
      <c r="J8308" s="19" t="n"/>
      <c r="P8308" s="20" t="n"/>
      <c r="Q8308" s="19" t="n"/>
      <c r="R8308" s="19" t="n"/>
      <c r="Y8308" s="19" t="n"/>
    </row>
    <row r="8309">
      <c r="C8309" s="18" t="n"/>
      <c r="J8309" s="19" t="n"/>
      <c r="P8309" s="20" t="n"/>
      <c r="Q8309" s="19" t="n"/>
      <c r="R8309" s="19" t="n"/>
      <c r="Y8309" s="19" t="n"/>
    </row>
    <row r="8310">
      <c r="C8310" s="18" t="n"/>
      <c r="J8310" s="19" t="n"/>
      <c r="P8310" s="20" t="n"/>
      <c r="Q8310" s="19" t="n"/>
      <c r="R8310" s="19" t="n"/>
      <c r="Y8310" s="19" t="n"/>
    </row>
    <row r="8311">
      <c r="C8311" s="18" t="n"/>
      <c r="J8311" s="19" t="n"/>
      <c r="P8311" s="20" t="n"/>
      <c r="Q8311" s="19" t="n"/>
      <c r="R8311" s="19" t="n"/>
      <c r="Y8311" s="19" t="n"/>
    </row>
    <row r="8312">
      <c r="C8312" s="18" t="n"/>
      <c r="J8312" s="19" t="n"/>
      <c r="P8312" s="20" t="n"/>
      <c r="Q8312" s="19" t="n"/>
      <c r="R8312" s="19" t="n"/>
      <c r="Y8312" s="19" t="n"/>
    </row>
    <row r="8313">
      <c r="C8313" s="18" t="n"/>
      <c r="J8313" s="19" t="n"/>
      <c r="P8313" s="20" t="n"/>
      <c r="Q8313" s="19" t="n"/>
      <c r="R8313" s="19" t="n"/>
      <c r="Y8313" s="19" t="n"/>
    </row>
    <row r="8314">
      <c r="C8314" s="18" t="n"/>
      <c r="J8314" s="19" t="n"/>
      <c r="P8314" s="20" t="n"/>
      <c r="Q8314" s="19" t="n"/>
      <c r="R8314" s="19" t="n"/>
      <c r="Y8314" s="19" t="n"/>
    </row>
    <row r="8315">
      <c r="C8315" s="18" t="n"/>
      <c r="J8315" s="19" t="n"/>
      <c r="P8315" s="20" t="n"/>
      <c r="Q8315" s="19" t="n"/>
      <c r="R8315" s="19" t="n"/>
      <c r="Y8315" s="19" t="n"/>
    </row>
    <row r="8316">
      <c r="C8316" s="18" t="n"/>
      <c r="J8316" s="19" t="n"/>
      <c r="P8316" s="20" t="n"/>
      <c r="Q8316" s="19" t="n"/>
      <c r="R8316" s="19" t="n"/>
      <c r="Y8316" s="19" t="n"/>
    </row>
    <row r="8317">
      <c r="C8317" s="18" t="n"/>
      <c r="J8317" s="19" t="n"/>
      <c r="P8317" s="20" t="n"/>
      <c r="Q8317" s="19" t="n"/>
      <c r="R8317" s="19" t="n"/>
      <c r="Y8317" s="19" t="n"/>
    </row>
    <row r="8318">
      <c r="C8318" s="18" t="n"/>
      <c r="J8318" s="19" t="n"/>
      <c r="P8318" s="20" t="n"/>
      <c r="Q8318" s="19" t="n"/>
      <c r="R8318" s="19" t="n"/>
      <c r="Y8318" s="19" t="n"/>
    </row>
    <row r="8319">
      <c r="C8319" s="18" t="n"/>
      <c r="J8319" s="19" t="n"/>
      <c r="P8319" s="20" t="n"/>
      <c r="Q8319" s="19" t="n"/>
      <c r="R8319" s="19" t="n"/>
      <c r="Y8319" s="19" t="n"/>
    </row>
    <row r="8320">
      <c r="C8320" s="18" t="n"/>
      <c r="J8320" s="19" t="n"/>
      <c r="P8320" s="20" t="n"/>
      <c r="Q8320" s="19" t="n"/>
      <c r="R8320" s="19" t="n"/>
      <c r="Y8320" s="19" t="n"/>
    </row>
    <row r="8321">
      <c r="C8321" s="18" t="n"/>
      <c r="J8321" s="19" t="n"/>
      <c r="P8321" s="20" t="n"/>
      <c r="Q8321" s="19" t="n"/>
      <c r="R8321" s="19" t="n"/>
      <c r="Y8321" s="19" t="n"/>
    </row>
    <row r="8322">
      <c r="C8322" s="18" t="n"/>
      <c r="J8322" s="19" t="n"/>
      <c r="P8322" s="20" t="n"/>
      <c r="Q8322" s="19" t="n"/>
      <c r="R8322" s="19" t="n"/>
      <c r="Y8322" s="19" t="n"/>
    </row>
    <row r="8323">
      <c r="C8323" s="18" t="n"/>
      <c r="J8323" s="19" t="n"/>
      <c r="P8323" s="20" t="n"/>
      <c r="Q8323" s="19" t="n"/>
      <c r="R8323" s="19" t="n"/>
      <c r="Y8323" s="19" t="n"/>
    </row>
    <row r="8324">
      <c r="C8324" s="18" t="n"/>
      <c r="J8324" s="19" t="n"/>
      <c r="P8324" s="20" t="n"/>
      <c r="Q8324" s="19" t="n"/>
      <c r="R8324" s="19" t="n"/>
      <c r="Y8324" s="19" t="n"/>
    </row>
    <row r="8325">
      <c r="C8325" s="18" t="n"/>
      <c r="J8325" s="19" t="n"/>
      <c r="P8325" s="20" t="n"/>
      <c r="Q8325" s="19" t="n"/>
      <c r="R8325" s="19" t="n"/>
      <c r="Y8325" s="19" t="n"/>
    </row>
    <row r="8326">
      <c r="C8326" s="18" t="n"/>
      <c r="J8326" s="19" t="n"/>
      <c r="P8326" s="20" t="n"/>
      <c r="Q8326" s="19" t="n"/>
      <c r="R8326" s="19" t="n"/>
      <c r="Y8326" s="19" t="n"/>
    </row>
    <row r="8327">
      <c r="C8327" s="18" t="n"/>
      <c r="J8327" s="19" t="n"/>
      <c r="P8327" s="20" t="n"/>
      <c r="Q8327" s="19" t="n"/>
      <c r="R8327" s="19" t="n"/>
      <c r="Y8327" s="19" t="n"/>
    </row>
    <row r="8328">
      <c r="C8328" s="18" t="n"/>
      <c r="J8328" s="19" t="n"/>
      <c r="P8328" s="20" t="n"/>
      <c r="Q8328" s="19" t="n"/>
      <c r="R8328" s="19" t="n"/>
      <c r="Y8328" s="19" t="n"/>
    </row>
    <row r="8329">
      <c r="C8329" s="18" t="n"/>
      <c r="J8329" s="19" t="n"/>
      <c r="P8329" s="20" t="n"/>
      <c r="Q8329" s="19" t="n"/>
      <c r="R8329" s="19" t="n"/>
      <c r="Y8329" s="19" t="n"/>
    </row>
    <row r="8330">
      <c r="C8330" s="18" t="n"/>
      <c r="J8330" s="19" t="n"/>
      <c r="P8330" s="20" t="n"/>
      <c r="Q8330" s="19" t="n"/>
      <c r="R8330" s="19" t="n"/>
      <c r="Y8330" s="19" t="n"/>
    </row>
    <row r="8331">
      <c r="C8331" s="18" t="n"/>
      <c r="J8331" s="19" t="n"/>
      <c r="P8331" s="20" t="n"/>
      <c r="Q8331" s="19" t="n"/>
      <c r="R8331" s="19" t="n"/>
      <c r="Y8331" s="19" t="n"/>
    </row>
    <row r="8332">
      <c r="C8332" s="18" t="n"/>
      <c r="J8332" s="19" t="n"/>
      <c r="P8332" s="20" t="n"/>
      <c r="Q8332" s="19" t="n"/>
      <c r="R8332" s="19" t="n"/>
      <c r="Y8332" s="19" t="n"/>
    </row>
    <row r="8333">
      <c r="C8333" s="18" t="n"/>
      <c r="J8333" s="19" t="n"/>
      <c r="P8333" s="20" t="n"/>
      <c r="Q8333" s="19" t="n"/>
      <c r="R8333" s="19" t="n"/>
      <c r="Y8333" s="19" t="n"/>
    </row>
    <row r="8334">
      <c r="C8334" s="18" t="n"/>
      <c r="J8334" s="19" t="n"/>
      <c r="P8334" s="20" t="n"/>
      <c r="Q8334" s="19" t="n"/>
      <c r="R8334" s="19" t="n"/>
      <c r="Y8334" s="19" t="n"/>
    </row>
    <row r="8335">
      <c r="C8335" s="18" t="n"/>
      <c r="J8335" s="19" t="n"/>
      <c r="P8335" s="20" t="n"/>
      <c r="Q8335" s="19" t="n"/>
      <c r="R8335" s="19" t="n"/>
      <c r="Y8335" s="19" t="n"/>
    </row>
    <row r="8336">
      <c r="C8336" s="18" t="n"/>
      <c r="J8336" s="19" t="n"/>
      <c r="P8336" s="20" t="n"/>
      <c r="Q8336" s="19" t="n"/>
      <c r="R8336" s="19" t="n"/>
      <c r="Y8336" s="19" t="n"/>
    </row>
    <row r="8337">
      <c r="C8337" s="18" t="n"/>
      <c r="J8337" s="19" t="n"/>
      <c r="P8337" s="20" t="n"/>
      <c r="Q8337" s="19" t="n"/>
      <c r="R8337" s="19" t="n"/>
      <c r="Y8337" s="19" t="n"/>
    </row>
    <row r="8338">
      <c r="C8338" s="18" t="n"/>
      <c r="J8338" s="19" t="n"/>
      <c r="P8338" s="20" t="n"/>
      <c r="Q8338" s="19" t="n"/>
      <c r="R8338" s="19" t="n"/>
      <c r="Y8338" s="19" t="n"/>
    </row>
    <row r="8339">
      <c r="C8339" s="18" t="n"/>
      <c r="J8339" s="19" t="n"/>
      <c r="P8339" s="20" t="n"/>
      <c r="Q8339" s="19" t="n"/>
      <c r="R8339" s="19" t="n"/>
      <c r="Y8339" s="19" t="n"/>
    </row>
    <row r="8340">
      <c r="C8340" s="18" t="n"/>
      <c r="J8340" s="19" t="n"/>
      <c r="P8340" s="20" t="n"/>
      <c r="Q8340" s="19" t="n"/>
      <c r="R8340" s="19" t="n"/>
      <c r="Y8340" s="19" t="n"/>
    </row>
    <row r="8341">
      <c r="C8341" s="18" t="n"/>
      <c r="J8341" s="19" t="n"/>
      <c r="P8341" s="20" t="n"/>
      <c r="Q8341" s="19" t="n"/>
      <c r="R8341" s="19" t="n"/>
      <c r="Y8341" s="19" t="n"/>
    </row>
    <row r="8342">
      <c r="C8342" s="18" t="n"/>
      <c r="J8342" s="19" t="n"/>
      <c r="P8342" s="20" t="n"/>
      <c r="Q8342" s="19" t="n"/>
      <c r="R8342" s="19" t="n"/>
      <c r="Y8342" s="19" t="n"/>
    </row>
    <row r="8343">
      <c r="C8343" s="18" t="n"/>
      <c r="J8343" s="19" t="n"/>
      <c r="P8343" s="20" t="n"/>
      <c r="Q8343" s="19" t="n"/>
      <c r="R8343" s="19" t="n"/>
      <c r="Y8343" s="19" t="n"/>
    </row>
    <row r="8344">
      <c r="C8344" s="18" t="n"/>
      <c r="J8344" s="19" t="n"/>
      <c r="P8344" s="20" t="n"/>
      <c r="Q8344" s="19" t="n"/>
      <c r="R8344" s="19" t="n"/>
      <c r="Y8344" s="19" t="n"/>
    </row>
    <row r="8345">
      <c r="C8345" s="18" t="n"/>
      <c r="J8345" s="19" t="n"/>
      <c r="P8345" s="20" t="n"/>
      <c r="Q8345" s="19" t="n"/>
      <c r="R8345" s="19" t="n"/>
      <c r="Y8345" s="19" t="n"/>
    </row>
    <row r="8346">
      <c r="C8346" s="18" t="n"/>
      <c r="J8346" s="19" t="n"/>
      <c r="P8346" s="20" t="n"/>
      <c r="Q8346" s="19" t="n"/>
      <c r="R8346" s="19" t="n"/>
      <c r="Y8346" s="19" t="n"/>
    </row>
    <row r="8347">
      <c r="C8347" s="18" t="n"/>
      <c r="J8347" s="19" t="n"/>
      <c r="P8347" s="20" t="n"/>
      <c r="Q8347" s="19" t="n"/>
      <c r="R8347" s="19" t="n"/>
      <c r="Y8347" s="19" t="n"/>
    </row>
    <row r="8348">
      <c r="C8348" s="18" t="n"/>
      <c r="J8348" s="19" t="n"/>
      <c r="P8348" s="20" t="n"/>
      <c r="Q8348" s="19" t="n"/>
      <c r="R8348" s="19" t="n"/>
      <c r="Y8348" s="19" t="n"/>
    </row>
    <row r="8349">
      <c r="C8349" s="18" t="n"/>
      <c r="J8349" s="19" t="n"/>
      <c r="P8349" s="20" t="n"/>
      <c r="Q8349" s="19" t="n"/>
      <c r="R8349" s="19" t="n"/>
      <c r="Y8349" s="19" t="n"/>
    </row>
    <row r="8350">
      <c r="C8350" s="18" t="n"/>
      <c r="J8350" s="19" t="n"/>
      <c r="P8350" s="20" t="n"/>
      <c r="Q8350" s="19" t="n"/>
      <c r="R8350" s="19" t="n"/>
      <c r="Y8350" s="19" t="n"/>
    </row>
    <row r="8351">
      <c r="C8351" s="18" t="n"/>
      <c r="J8351" s="19" t="n"/>
      <c r="P8351" s="20" t="n"/>
      <c r="Q8351" s="19" t="n"/>
      <c r="R8351" s="19" t="n"/>
      <c r="Y8351" s="19" t="n"/>
    </row>
    <row r="8352">
      <c r="C8352" s="18" t="n"/>
      <c r="J8352" s="19" t="n"/>
      <c r="P8352" s="20" t="n"/>
      <c r="Q8352" s="19" t="n"/>
      <c r="R8352" s="19" t="n"/>
      <c r="Y8352" s="19" t="n"/>
    </row>
    <row r="8353">
      <c r="C8353" s="18" t="n"/>
      <c r="J8353" s="19" t="n"/>
      <c r="P8353" s="20" t="n"/>
      <c r="Q8353" s="19" t="n"/>
      <c r="R8353" s="19" t="n"/>
      <c r="Y8353" s="19" t="n"/>
    </row>
    <row r="8354">
      <c r="C8354" s="18" t="n"/>
      <c r="J8354" s="19" t="n"/>
      <c r="P8354" s="20" t="n"/>
      <c r="Q8354" s="19" t="n"/>
      <c r="R8354" s="19" t="n"/>
      <c r="Y8354" s="19" t="n"/>
    </row>
    <row r="8355">
      <c r="C8355" s="18" t="n"/>
      <c r="J8355" s="19" t="n"/>
      <c r="P8355" s="20" t="n"/>
      <c r="Q8355" s="19" t="n"/>
      <c r="R8355" s="19" t="n"/>
      <c r="Y8355" s="19" t="n"/>
    </row>
    <row r="8356">
      <c r="C8356" s="18" t="n"/>
      <c r="J8356" s="19" t="n"/>
      <c r="P8356" s="20" t="n"/>
      <c r="Q8356" s="19" t="n"/>
      <c r="R8356" s="19" t="n"/>
      <c r="Y8356" s="19" t="n"/>
    </row>
    <row r="8357">
      <c r="C8357" s="18" t="n"/>
      <c r="J8357" s="19" t="n"/>
      <c r="P8357" s="20" t="n"/>
      <c r="Q8357" s="19" t="n"/>
      <c r="R8357" s="19" t="n"/>
      <c r="Y8357" s="19" t="n"/>
    </row>
    <row r="8358">
      <c r="C8358" s="18" t="n"/>
      <c r="J8358" s="19" t="n"/>
      <c r="P8358" s="20" t="n"/>
      <c r="Q8358" s="19" t="n"/>
      <c r="R8358" s="19" t="n"/>
      <c r="Y8358" s="19" t="n"/>
    </row>
    <row r="8359">
      <c r="C8359" s="18" t="n"/>
      <c r="J8359" s="19" t="n"/>
      <c r="P8359" s="20" t="n"/>
      <c r="Q8359" s="19" t="n"/>
      <c r="R8359" s="19" t="n"/>
      <c r="Y8359" s="19" t="n"/>
    </row>
    <row r="8360">
      <c r="C8360" s="18" t="n"/>
      <c r="J8360" s="19" t="n"/>
      <c r="P8360" s="20" t="n"/>
      <c r="Q8360" s="19" t="n"/>
      <c r="R8360" s="19" t="n"/>
      <c r="Y8360" s="19" t="n"/>
    </row>
    <row r="8361">
      <c r="C8361" s="18" t="n"/>
      <c r="J8361" s="19" t="n"/>
      <c r="P8361" s="20" t="n"/>
      <c r="Q8361" s="19" t="n"/>
      <c r="R8361" s="19" t="n"/>
      <c r="Y8361" s="19" t="n"/>
    </row>
    <row r="8362">
      <c r="C8362" s="18" t="n"/>
      <c r="J8362" s="19" t="n"/>
      <c r="P8362" s="20" t="n"/>
      <c r="Q8362" s="19" t="n"/>
      <c r="R8362" s="19" t="n"/>
      <c r="Y8362" s="19" t="n"/>
    </row>
    <row r="8363">
      <c r="C8363" s="18" t="n"/>
      <c r="J8363" s="19" t="n"/>
      <c r="P8363" s="20" t="n"/>
      <c r="Q8363" s="19" t="n"/>
      <c r="R8363" s="19" t="n"/>
      <c r="Y8363" s="19" t="n"/>
    </row>
    <row r="8364">
      <c r="C8364" s="18" t="n"/>
      <c r="J8364" s="19" t="n"/>
      <c r="P8364" s="20" t="n"/>
      <c r="Q8364" s="19" t="n"/>
      <c r="R8364" s="19" t="n"/>
      <c r="Y8364" s="19" t="n"/>
    </row>
    <row r="8365">
      <c r="C8365" s="18" t="n"/>
      <c r="J8365" s="19" t="n"/>
      <c r="P8365" s="20" t="n"/>
      <c r="Q8365" s="19" t="n"/>
      <c r="R8365" s="19" t="n"/>
      <c r="Y8365" s="19" t="n"/>
    </row>
    <row r="8366">
      <c r="C8366" s="18" t="n"/>
      <c r="J8366" s="19" t="n"/>
      <c r="P8366" s="20" t="n"/>
      <c r="Q8366" s="19" t="n"/>
      <c r="R8366" s="19" t="n"/>
      <c r="Y8366" s="19" t="n"/>
    </row>
    <row r="8367">
      <c r="C8367" s="18" t="n"/>
      <c r="J8367" s="19" t="n"/>
      <c r="P8367" s="20" t="n"/>
      <c r="Q8367" s="19" t="n"/>
      <c r="R8367" s="19" t="n"/>
      <c r="Y8367" s="19" t="n"/>
    </row>
    <row r="8368">
      <c r="C8368" s="18" t="n"/>
      <c r="J8368" s="19" t="n"/>
      <c r="P8368" s="20" t="n"/>
      <c r="Q8368" s="19" t="n"/>
      <c r="R8368" s="19" t="n"/>
      <c r="Y8368" s="19" t="n"/>
    </row>
    <row r="8369">
      <c r="C8369" s="18" t="n"/>
      <c r="J8369" s="19" t="n"/>
      <c r="P8369" s="20" t="n"/>
      <c r="Q8369" s="19" t="n"/>
      <c r="R8369" s="19" t="n"/>
      <c r="Y8369" s="19" t="n"/>
    </row>
    <row r="8370">
      <c r="C8370" s="18" t="n"/>
      <c r="J8370" s="19" t="n"/>
      <c r="P8370" s="20" t="n"/>
      <c r="Q8370" s="19" t="n"/>
      <c r="R8370" s="19" t="n"/>
      <c r="Y8370" s="19" t="n"/>
    </row>
    <row r="8371">
      <c r="C8371" s="18" t="n"/>
      <c r="J8371" s="19" t="n"/>
      <c r="P8371" s="20" t="n"/>
      <c r="Q8371" s="19" t="n"/>
      <c r="R8371" s="19" t="n"/>
      <c r="Y8371" s="19" t="n"/>
    </row>
    <row r="8372">
      <c r="C8372" s="18" t="n"/>
      <c r="J8372" s="19" t="n"/>
      <c r="P8372" s="20" t="n"/>
      <c r="Q8372" s="19" t="n"/>
      <c r="R8372" s="19" t="n"/>
      <c r="Y8372" s="19" t="n"/>
    </row>
    <row r="8373">
      <c r="C8373" s="18" t="n"/>
      <c r="J8373" s="19" t="n"/>
      <c r="P8373" s="20" t="n"/>
      <c r="Q8373" s="19" t="n"/>
      <c r="R8373" s="19" t="n"/>
      <c r="Y8373" s="19" t="n"/>
    </row>
    <row r="8374">
      <c r="C8374" s="18" t="n"/>
      <c r="J8374" s="19" t="n"/>
      <c r="P8374" s="20" t="n"/>
      <c r="Q8374" s="19" t="n"/>
      <c r="R8374" s="19" t="n"/>
      <c r="Y8374" s="19" t="n"/>
    </row>
    <row r="8375">
      <c r="C8375" s="18" t="n"/>
      <c r="J8375" s="19" t="n"/>
      <c r="P8375" s="20" t="n"/>
      <c r="Q8375" s="19" t="n"/>
      <c r="R8375" s="19" t="n"/>
      <c r="Y8375" s="19" t="n"/>
    </row>
    <row r="8376">
      <c r="C8376" s="18" t="n"/>
      <c r="J8376" s="19" t="n"/>
      <c r="P8376" s="20" t="n"/>
      <c r="Q8376" s="19" t="n"/>
      <c r="R8376" s="19" t="n"/>
      <c r="Y8376" s="19" t="n"/>
    </row>
    <row r="8377">
      <c r="C8377" s="18" t="n"/>
      <c r="J8377" s="19" t="n"/>
      <c r="P8377" s="20" t="n"/>
      <c r="Q8377" s="19" t="n"/>
      <c r="R8377" s="19" t="n"/>
      <c r="Y8377" s="19" t="n"/>
    </row>
    <row r="8378">
      <c r="C8378" s="18" t="n"/>
      <c r="J8378" s="19" t="n"/>
      <c r="P8378" s="20" t="n"/>
      <c r="Q8378" s="19" t="n"/>
      <c r="R8378" s="19" t="n"/>
      <c r="Y8378" s="19" t="n"/>
    </row>
    <row r="8379">
      <c r="C8379" s="18" t="n"/>
      <c r="J8379" s="19" t="n"/>
      <c r="P8379" s="20" t="n"/>
      <c r="Q8379" s="19" t="n"/>
      <c r="R8379" s="19" t="n"/>
      <c r="Y8379" s="19" t="n"/>
    </row>
    <row r="8380">
      <c r="C8380" s="18" t="n"/>
      <c r="J8380" s="19" t="n"/>
      <c r="P8380" s="20" t="n"/>
      <c r="Q8380" s="19" t="n"/>
      <c r="R8380" s="19" t="n"/>
      <c r="Y8380" s="19" t="n"/>
    </row>
    <row r="8381">
      <c r="C8381" s="18" t="n"/>
      <c r="J8381" s="19" t="n"/>
      <c r="P8381" s="20" t="n"/>
      <c r="Q8381" s="19" t="n"/>
      <c r="R8381" s="19" t="n"/>
      <c r="Y8381" s="19" t="n"/>
    </row>
    <row r="8382">
      <c r="C8382" s="18" t="n"/>
      <c r="J8382" s="19" t="n"/>
      <c r="P8382" s="20" t="n"/>
      <c r="Q8382" s="19" t="n"/>
      <c r="R8382" s="19" t="n"/>
      <c r="Y8382" s="19" t="n"/>
    </row>
    <row r="8383">
      <c r="C8383" s="18" t="n"/>
      <c r="J8383" s="19" t="n"/>
      <c r="P8383" s="20" t="n"/>
      <c r="Q8383" s="19" t="n"/>
      <c r="R8383" s="19" t="n"/>
      <c r="Y8383" s="19" t="n"/>
    </row>
    <row r="8384">
      <c r="C8384" s="18" t="n"/>
      <c r="J8384" s="19" t="n"/>
      <c r="P8384" s="20" t="n"/>
      <c r="Q8384" s="19" t="n"/>
      <c r="R8384" s="19" t="n"/>
      <c r="Y8384" s="19" t="n"/>
    </row>
    <row r="8385">
      <c r="C8385" s="18" t="n"/>
      <c r="J8385" s="19" t="n"/>
      <c r="P8385" s="20" t="n"/>
      <c r="Q8385" s="19" t="n"/>
      <c r="R8385" s="19" t="n"/>
      <c r="Y8385" s="19" t="n"/>
    </row>
    <row r="8386">
      <c r="C8386" s="18" t="n"/>
      <c r="J8386" s="19" t="n"/>
      <c r="P8386" s="20" t="n"/>
      <c r="Q8386" s="19" t="n"/>
      <c r="R8386" s="19" t="n"/>
      <c r="Y8386" s="19" t="n"/>
    </row>
    <row r="8387">
      <c r="C8387" s="18" t="n"/>
      <c r="J8387" s="19" t="n"/>
      <c r="P8387" s="20" t="n"/>
      <c r="Q8387" s="19" t="n"/>
      <c r="R8387" s="19" t="n"/>
      <c r="Y8387" s="19" t="n"/>
    </row>
    <row r="8388">
      <c r="C8388" s="18" t="n"/>
      <c r="J8388" s="19" t="n"/>
      <c r="P8388" s="20" t="n"/>
      <c r="Q8388" s="19" t="n"/>
      <c r="R8388" s="19" t="n"/>
      <c r="Y8388" s="19" t="n"/>
    </row>
    <row r="8389">
      <c r="C8389" s="18" t="n"/>
      <c r="J8389" s="19" t="n"/>
      <c r="P8389" s="20" t="n"/>
      <c r="Q8389" s="19" t="n"/>
      <c r="R8389" s="19" t="n"/>
      <c r="Y8389" s="19" t="n"/>
    </row>
    <row r="8390">
      <c r="C8390" s="18" t="n"/>
      <c r="J8390" s="19" t="n"/>
      <c r="P8390" s="20" t="n"/>
      <c r="Q8390" s="19" t="n"/>
      <c r="R8390" s="19" t="n"/>
      <c r="Y8390" s="19" t="n"/>
    </row>
    <row r="8391">
      <c r="C8391" s="18" t="n"/>
      <c r="J8391" s="19" t="n"/>
      <c r="P8391" s="20" t="n"/>
      <c r="Q8391" s="19" t="n"/>
      <c r="R8391" s="19" t="n"/>
      <c r="Y8391" s="19" t="n"/>
    </row>
    <row r="8392">
      <c r="C8392" s="18" t="n"/>
      <c r="J8392" s="19" t="n"/>
      <c r="P8392" s="20" t="n"/>
      <c r="Q8392" s="19" t="n"/>
      <c r="R8392" s="19" t="n"/>
      <c r="Y8392" s="19" t="n"/>
    </row>
    <row r="8393">
      <c r="C8393" s="18" t="n"/>
      <c r="J8393" s="19" t="n"/>
      <c r="P8393" s="20" t="n"/>
      <c r="Q8393" s="19" t="n"/>
      <c r="R8393" s="19" t="n"/>
      <c r="Y8393" s="19" t="n"/>
    </row>
    <row r="8394">
      <c r="C8394" s="18" t="n"/>
      <c r="J8394" s="19" t="n"/>
      <c r="P8394" s="20" t="n"/>
      <c r="Q8394" s="19" t="n"/>
      <c r="R8394" s="19" t="n"/>
      <c r="Y8394" s="19" t="n"/>
    </row>
    <row r="8395">
      <c r="C8395" s="18" t="n"/>
      <c r="J8395" s="19" t="n"/>
      <c r="P8395" s="20" t="n"/>
      <c r="Q8395" s="19" t="n"/>
      <c r="R8395" s="19" t="n"/>
      <c r="Y8395" s="19" t="n"/>
    </row>
    <row r="8396">
      <c r="C8396" s="18" t="n"/>
      <c r="J8396" s="19" t="n"/>
      <c r="P8396" s="20" t="n"/>
      <c r="Q8396" s="19" t="n"/>
      <c r="R8396" s="19" t="n"/>
      <c r="Y8396" s="19" t="n"/>
    </row>
    <row r="8397">
      <c r="C8397" s="18" t="n"/>
      <c r="J8397" s="19" t="n"/>
      <c r="P8397" s="20" t="n"/>
      <c r="Q8397" s="19" t="n"/>
      <c r="R8397" s="19" t="n"/>
      <c r="Y8397" s="19" t="n"/>
    </row>
    <row r="8398">
      <c r="C8398" s="18" t="n"/>
      <c r="J8398" s="19" t="n"/>
      <c r="P8398" s="20" t="n"/>
      <c r="Q8398" s="19" t="n"/>
      <c r="R8398" s="19" t="n"/>
      <c r="Y8398" s="19" t="n"/>
    </row>
    <row r="8399">
      <c r="C8399" s="18" t="n"/>
      <c r="J8399" s="19" t="n"/>
      <c r="P8399" s="20" t="n"/>
      <c r="Q8399" s="19" t="n"/>
      <c r="R8399" s="19" t="n"/>
      <c r="Y8399" s="19" t="n"/>
    </row>
    <row r="8400">
      <c r="C8400" s="18" t="n"/>
      <c r="J8400" s="19" t="n"/>
      <c r="P8400" s="20" t="n"/>
      <c r="Q8400" s="19" t="n"/>
      <c r="R8400" s="19" t="n"/>
      <c r="Y8400" s="19" t="n"/>
    </row>
    <row r="8401">
      <c r="C8401" s="18" t="n"/>
      <c r="J8401" s="19" t="n"/>
      <c r="P8401" s="20" t="n"/>
      <c r="Q8401" s="19" t="n"/>
      <c r="R8401" s="19" t="n"/>
      <c r="Y8401" s="19" t="n"/>
    </row>
    <row r="8402">
      <c r="C8402" s="18" t="n"/>
      <c r="J8402" s="19" t="n"/>
      <c r="P8402" s="20" t="n"/>
      <c r="Q8402" s="19" t="n"/>
      <c r="R8402" s="19" t="n"/>
      <c r="Y8402" s="19" t="n"/>
    </row>
    <row r="8403">
      <c r="C8403" s="18" t="n"/>
      <c r="J8403" s="19" t="n"/>
      <c r="P8403" s="20" t="n"/>
      <c r="Q8403" s="19" t="n"/>
      <c r="R8403" s="19" t="n"/>
      <c r="Y8403" s="19" t="n"/>
    </row>
    <row r="8404">
      <c r="C8404" s="18" t="n"/>
      <c r="J8404" s="19" t="n"/>
      <c r="P8404" s="20" t="n"/>
      <c r="Q8404" s="19" t="n"/>
      <c r="R8404" s="19" t="n"/>
      <c r="Y8404" s="19" t="n"/>
    </row>
    <row r="8405">
      <c r="C8405" s="18" t="n"/>
      <c r="J8405" s="19" t="n"/>
      <c r="P8405" s="20" t="n"/>
      <c r="Q8405" s="19" t="n"/>
      <c r="R8405" s="19" t="n"/>
      <c r="Y8405" s="19" t="n"/>
    </row>
    <row r="8406">
      <c r="C8406" s="18" t="n"/>
      <c r="J8406" s="19" t="n"/>
      <c r="P8406" s="20" t="n"/>
      <c r="Q8406" s="19" t="n"/>
      <c r="R8406" s="19" t="n"/>
      <c r="Y8406" s="19" t="n"/>
    </row>
    <row r="8407">
      <c r="C8407" s="18" t="n"/>
      <c r="J8407" s="19" t="n"/>
      <c r="P8407" s="20" t="n"/>
      <c r="Q8407" s="19" t="n"/>
      <c r="R8407" s="19" t="n"/>
      <c r="Y8407" s="19" t="n"/>
    </row>
    <row r="8408">
      <c r="C8408" s="18" t="n"/>
      <c r="J8408" s="19" t="n"/>
      <c r="P8408" s="20" t="n"/>
      <c r="Q8408" s="19" t="n"/>
      <c r="R8408" s="19" t="n"/>
      <c r="Y8408" s="19" t="n"/>
    </row>
    <row r="8409">
      <c r="C8409" s="18" t="n"/>
      <c r="J8409" s="19" t="n"/>
      <c r="P8409" s="20" t="n"/>
      <c r="Q8409" s="19" t="n"/>
      <c r="R8409" s="19" t="n"/>
      <c r="Y8409" s="19" t="n"/>
    </row>
    <row r="8410">
      <c r="C8410" s="18" t="n"/>
      <c r="J8410" s="19" t="n"/>
      <c r="P8410" s="20" t="n"/>
      <c r="Q8410" s="19" t="n"/>
      <c r="R8410" s="19" t="n"/>
      <c r="Y8410" s="19" t="n"/>
    </row>
    <row r="8411">
      <c r="C8411" s="18" t="n"/>
      <c r="J8411" s="19" t="n"/>
      <c r="P8411" s="20" t="n"/>
      <c r="Q8411" s="19" t="n"/>
      <c r="R8411" s="19" t="n"/>
      <c r="Y8411" s="19" t="n"/>
    </row>
    <row r="8412">
      <c r="C8412" s="18" t="n"/>
      <c r="J8412" s="19" t="n"/>
      <c r="P8412" s="20" t="n"/>
      <c r="Q8412" s="19" t="n"/>
      <c r="R8412" s="19" t="n"/>
      <c r="Y8412" s="19" t="n"/>
    </row>
    <row r="8413">
      <c r="C8413" s="18" t="n"/>
      <c r="J8413" s="19" t="n"/>
      <c r="P8413" s="20" t="n"/>
      <c r="Q8413" s="19" t="n"/>
      <c r="R8413" s="19" t="n"/>
      <c r="Y8413" s="19" t="n"/>
    </row>
    <row r="8414">
      <c r="C8414" s="18" t="n"/>
      <c r="J8414" s="19" t="n"/>
      <c r="P8414" s="20" t="n"/>
      <c r="Q8414" s="19" t="n"/>
      <c r="R8414" s="19" t="n"/>
      <c r="Y8414" s="19" t="n"/>
    </row>
    <row r="8415">
      <c r="C8415" s="18" t="n"/>
      <c r="J8415" s="19" t="n"/>
      <c r="P8415" s="20" t="n"/>
      <c r="Q8415" s="19" t="n"/>
      <c r="R8415" s="19" t="n"/>
      <c r="Y8415" s="19" t="n"/>
    </row>
    <row r="8416">
      <c r="C8416" s="18" t="n"/>
      <c r="J8416" s="19" t="n"/>
      <c r="P8416" s="20" t="n"/>
      <c r="Q8416" s="19" t="n"/>
      <c r="R8416" s="19" t="n"/>
      <c r="Y8416" s="19" t="n"/>
    </row>
    <row r="8417">
      <c r="C8417" s="18" t="n"/>
      <c r="J8417" s="19" t="n"/>
      <c r="P8417" s="20" t="n"/>
      <c r="Q8417" s="19" t="n"/>
      <c r="R8417" s="19" t="n"/>
      <c r="Y8417" s="19" t="n"/>
    </row>
    <row r="8418">
      <c r="C8418" s="18" t="n"/>
      <c r="J8418" s="19" t="n"/>
      <c r="P8418" s="20" t="n"/>
      <c r="Q8418" s="19" t="n"/>
      <c r="R8418" s="19" t="n"/>
      <c r="Y8418" s="19" t="n"/>
    </row>
    <row r="8419">
      <c r="C8419" s="18" t="n"/>
      <c r="J8419" s="19" t="n"/>
      <c r="P8419" s="20" t="n"/>
      <c r="Q8419" s="19" t="n"/>
      <c r="R8419" s="19" t="n"/>
      <c r="Y8419" s="19" t="n"/>
    </row>
    <row r="8420">
      <c r="C8420" s="18" t="n"/>
      <c r="J8420" s="19" t="n"/>
      <c r="P8420" s="20" t="n"/>
      <c r="Q8420" s="19" t="n"/>
      <c r="R8420" s="19" t="n"/>
      <c r="Y8420" s="19" t="n"/>
    </row>
    <row r="8421">
      <c r="C8421" s="18" t="n"/>
      <c r="J8421" s="19" t="n"/>
      <c r="P8421" s="20" t="n"/>
      <c r="Q8421" s="19" t="n"/>
      <c r="R8421" s="19" t="n"/>
      <c r="Y8421" s="19" t="n"/>
    </row>
    <row r="8422">
      <c r="C8422" s="18" t="n"/>
      <c r="J8422" s="19" t="n"/>
      <c r="P8422" s="20" t="n"/>
      <c r="Q8422" s="19" t="n"/>
      <c r="R8422" s="19" t="n"/>
      <c r="Y8422" s="19" t="n"/>
    </row>
    <row r="8423">
      <c r="C8423" s="18" t="n"/>
      <c r="J8423" s="19" t="n"/>
      <c r="P8423" s="20" t="n"/>
      <c r="Q8423" s="19" t="n"/>
      <c r="R8423" s="19" t="n"/>
      <c r="Y8423" s="19" t="n"/>
    </row>
    <row r="8424">
      <c r="C8424" s="18" t="n"/>
      <c r="J8424" s="19" t="n"/>
      <c r="P8424" s="20" t="n"/>
      <c r="Q8424" s="19" t="n"/>
      <c r="R8424" s="19" t="n"/>
      <c r="Y8424" s="19" t="n"/>
    </row>
    <row r="8425">
      <c r="C8425" s="18" t="n"/>
      <c r="J8425" s="19" t="n"/>
      <c r="P8425" s="20" t="n"/>
      <c r="Q8425" s="19" t="n"/>
      <c r="R8425" s="19" t="n"/>
      <c r="Y8425" s="19" t="n"/>
    </row>
    <row r="8426">
      <c r="C8426" s="18" t="n"/>
      <c r="J8426" s="19" t="n"/>
      <c r="P8426" s="20" t="n"/>
      <c r="Q8426" s="19" t="n"/>
      <c r="R8426" s="19" t="n"/>
      <c r="Y8426" s="19" t="n"/>
    </row>
    <row r="8427">
      <c r="C8427" s="18" t="n"/>
      <c r="J8427" s="19" t="n"/>
      <c r="P8427" s="20" t="n"/>
      <c r="Q8427" s="19" t="n"/>
      <c r="R8427" s="19" t="n"/>
      <c r="Y8427" s="19" t="n"/>
    </row>
    <row r="8428">
      <c r="C8428" s="18" t="n"/>
      <c r="J8428" s="19" t="n"/>
      <c r="P8428" s="20" t="n"/>
      <c r="Q8428" s="19" t="n"/>
      <c r="R8428" s="19" t="n"/>
      <c r="Y8428" s="19" t="n"/>
    </row>
    <row r="8429">
      <c r="C8429" s="18" t="n"/>
      <c r="J8429" s="19" t="n"/>
      <c r="P8429" s="20" t="n"/>
      <c r="Q8429" s="19" t="n"/>
      <c r="R8429" s="19" t="n"/>
      <c r="Y8429" s="19" t="n"/>
    </row>
    <row r="8430">
      <c r="C8430" s="18" t="n"/>
      <c r="J8430" s="19" t="n"/>
      <c r="P8430" s="20" t="n"/>
      <c r="Q8430" s="19" t="n"/>
      <c r="R8430" s="19" t="n"/>
      <c r="Y8430" s="19" t="n"/>
    </row>
    <row r="8431">
      <c r="C8431" s="18" t="n"/>
      <c r="J8431" s="19" t="n"/>
      <c r="P8431" s="20" t="n"/>
      <c r="Q8431" s="19" t="n"/>
      <c r="R8431" s="19" t="n"/>
      <c r="Y8431" s="19" t="n"/>
    </row>
    <row r="8432">
      <c r="C8432" s="18" t="n"/>
      <c r="J8432" s="19" t="n"/>
      <c r="P8432" s="20" t="n"/>
      <c r="Q8432" s="19" t="n"/>
      <c r="R8432" s="19" t="n"/>
      <c r="Y8432" s="19" t="n"/>
    </row>
    <row r="8433">
      <c r="C8433" s="18" t="n"/>
      <c r="J8433" s="19" t="n"/>
      <c r="P8433" s="20" t="n"/>
      <c r="Q8433" s="19" t="n"/>
      <c r="R8433" s="19" t="n"/>
      <c r="Y8433" s="19" t="n"/>
    </row>
    <row r="8434">
      <c r="C8434" s="18" t="n"/>
      <c r="J8434" s="19" t="n"/>
      <c r="P8434" s="20" t="n"/>
      <c r="Q8434" s="19" t="n"/>
      <c r="R8434" s="19" t="n"/>
      <c r="Y8434" s="19" t="n"/>
    </row>
    <row r="8435">
      <c r="C8435" s="18" t="n"/>
      <c r="J8435" s="19" t="n"/>
      <c r="P8435" s="20" t="n"/>
      <c r="Q8435" s="19" t="n"/>
      <c r="R8435" s="19" t="n"/>
      <c r="Y8435" s="19" t="n"/>
    </row>
    <row r="8436">
      <c r="C8436" s="18" t="n"/>
      <c r="J8436" s="19" t="n"/>
      <c r="P8436" s="20" t="n"/>
      <c r="Q8436" s="19" t="n"/>
      <c r="R8436" s="19" t="n"/>
      <c r="Y8436" s="19" t="n"/>
    </row>
    <row r="8437">
      <c r="C8437" s="18" t="n"/>
      <c r="J8437" s="19" t="n"/>
      <c r="P8437" s="20" t="n"/>
      <c r="Q8437" s="19" t="n"/>
      <c r="R8437" s="19" t="n"/>
      <c r="Y8437" s="19" t="n"/>
    </row>
    <row r="8438">
      <c r="C8438" s="18" t="n"/>
      <c r="J8438" s="19" t="n"/>
      <c r="P8438" s="20" t="n"/>
      <c r="Q8438" s="19" t="n"/>
      <c r="R8438" s="19" t="n"/>
      <c r="Y8438" s="19" t="n"/>
    </row>
    <row r="8439">
      <c r="C8439" s="18" t="n"/>
      <c r="J8439" s="19" t="n"/>
      <c r="P8439" s="20" t="n"/>
      <c r="Q8439" s="19" t="n"/>
      <c r="R8439" s="19" t="n"/>
      <c r="Y8439" s="19" t="n"/>
    </row>
    <row r="8440">
      <c r="C8440" s="18" t="n"/>
      <c r="J8440" s="19" t="n"/>
      <c r="P8440" s="20" t="n"/>
      <c r="Q8440" s="19" t="n"/>
      <c r="R8440" s="19" t="n"/>
      <c r="Y8440" s="19" t="n"/>
    </row>
    <row r="8441">
      <c r="C8441" s="18" t="n"/>
      <c r="J8441" s="19" t="n"/>
      <c r="P8441" s="20" t="n"/>
      <c r="Q8441" s="19" t="n"/>
      <c r="R8441" s="19" t="n"/>
      <c r="Y8441" s="19" t="n"/>
    </row>
    <row r="8442">
      <c r="C8442" s="18" t="n"/>
      <c r="J8442" s="19" t="n"/>
      <c r="P8442" s="20" t="n"/>
      <c r="Q8442" s="19" t="n"/>
      <c r="R8442" s="19" t="n"/>
      <c r="Y8442" s="19" t="n"/>
    </row>
    <row r="8443">
      <c r="C8443" s="18" t="n"/>
      <c r="J8443" s="19" t="n"/>
      <c r="P8443" s="20" t="n"/>
      <c r="Q8443" s="19" t="n"/>
      <c r="R8443" s="19" t="n"/>
      <c r="Y8443" s="19" t="n"/>
    </row>
    <row r="8444">
      <c r="C8444" s="18" t="n"/>
      <c r="J8444" s="19" t="n"/>
      <c r="P8444" s="20" t="n"/>
      <c r="Q8444" s="19" t="n"/>
      <c r="R8444" s="19" t="n"/>
      <c r="Y8444" s="19" t="n"/>
    </row>
    <row r="8445">
      <c r="C8445" s="18" t="n"/>
      <c r="J8445" s="19" t="n"/>
      <c r="P8445" s="20" t="n"/>
      <c r="Q8445" s="19" t="n"/>
      <c r="R8445" s="19" t="n"/>
      <c r="Y8445" s="19" t="n"/>
    </row>
    <row r="8446">
      <c r="C8446" s="18" t="n"/>
      <c r="J8446" s="19" t="n"/>
      <c r="P8446" s="20" t="n"/>
      <c r="Q8446" s="19" t="n"/>
      <c r="R8446" s="19" t="n"/>
      <c r="Y8446" s="19" t="n"/>
    </row>
    <row r="8447">
      <c r="C8447" s="18" t="n"/>
      <c r="J8447" s="19" t="n"/>
      <c r="P8447" s="20" t="n"/>
      <c r="Q8447" s="19" t="n"/>
      <c r="R8447" s="19" t="n"/>
      <c r="Y8447" s="19" t="n"/>
    </row>
    <row r="8448">
      <c r="C8448" s="18" t="n"/>
      <c r="J8448" s="19" t="n"/>
      <c r="P8448" s="20" t="n"/>
      <c r="Q8448" s="19" t="n"/>
      <c r="R8448" s="19" t="n"/>
      <c r="Y8448" s="19" t="n"/>
    </row>
    <row r="8449">
      <c r="C8449" s="18" t="n"/>
      <c r="J8449" s="19" t="n"/>
      <c r="P8449" s="20" t="n"/>
      <c r="Q8449" s="19" t="n"/>
      <c r="R8449" s="19" t="n"/>
      <c r="Y8449" s="19" t="n"/>
    </row>
    <row r="8450">
      <c r="C8450" s="18" t="n"/>
      <c r="J8450" s="19" t="n"/>
      <c r="P8450" s="20" t="n"/>
      <c r="Q8450" s="19" t="n"/>
      <c r="R8450" s="19" t="n"/>
      <c r="Y8450" s="19" t="n"/>
    </row>
    <row r="8451">
      <c r="C8451" s="18" t="n"/>
      <c r="J8451" s="19" t="n"/>
      <c r="P8451" s="20" t="n"/>
      <c r="Q8451" s="19" t="n"/>
      <c r="R8451" s="19" t="n"/>
      <c r="Y8451" s="19" t="n"/>
    </row>
    <row r="8452">
      <c r="C8452" s="18" t="n"/>
      <c r="J8452" s="19" t="n"/>
      <c r="P8452" s="20" t="n"/>
      <c r="Q8452" s="19" t="n"/>
      <c r="R8452" s="19" t="n"/>
      <c r="Y8452" s="19" t="n"/>
    </row>
    <row r="8453">
      <c r="C8453" s="18" t="n"/>
      <c r="J8453" s="19" t="n"/>
      <c r="P8453" s="20" t="n"/>
      <c r="Q8453" s="19" t="n"/>
      <c r="R8453" s="19" t="n"/>
      <c r="Y8453" s="19" t="n"/>
    </row>
    <row r="8454">
      <c r="C8454" s="18" t="n"/>
      <c r="J8454" s="19" t="n"/>
      <c r="P8454" s="20" t="n"/>
      <c r="Q8454" s="19" t="n"/>
      <c r="R8454" s="19" t="n"/>
      <c r="Y8454" s="19" t="n"/>
    </row>
    <row r="8455">
      <c r="C8455" s="18" t="n"/>
      <c r="J8455" s="19" t="n"/>
      <c r="P8455" s="20" t="n"/>
      <c r="Q8455" s="19" t="n"/>
      <c r="R8455" s="19" t="n"/>
      <c r="Y8455" s="19" t="n"/>
    </row>
    <row r="8456">
      <c r="C8456" s="18" t="n"/>
      <c r="J8456" s="19" t="n"/>
      <c r="P8456" s="20" t="n"/>
      <c r="Q8456" s="19" t="n"/>
      <c r="R8456" s="19" t="n"/>
      <c r="Y8456" s="19" t="n"/>
    </row>
    <row r="8457">
      <c r="C8457" s="18" t="n"/>
      <c r="J8457" s="19" t="n"/>
      <c r="P8457" s="20" t="n"/>
      <c r="Q8457" s="19" t="n"/>
      <c r="R8457" s="19" t="n"/>
      <c r="Y8457" s="19" t="n"/>
    </row>
    <row r="8458">
      <c r="C8458" s="18" t="n"/>
      <c r="J8458" s="19" t="n"/>
      <c r="P8458" s="20" t="n"/>
      <c r="Q8458" s="19" t="n"/>
      <c r="R8458" s="19" t="n"/>
      <c r="Y8458" s="19" t="n"/>
    </row>
    <row r="8459">
      <c r="C8459" s="18" t="n"/>
      <c r="J8459" s="19" t="n"/>
      <c r="P8459" s="20" t="n"/>
      <c r="Q8459" s="19" t="n"/>
      <c r="R8459" s="19" t="n"/>
      <c r="Y8459" s="19" t="n"/>
    </row>
    <row r="8460">
      <c r="C8460" s="18" t="n"/>
      <c r="J8460" s="19" t="n"/>
      <c r="P8460" s="20" t="n"/>
      <c r="Q8460" s="19" t="n"/>
      <c r="R8460" s="19" t="n"/>
      <c r="Y8460" s="19" t="n"/>
    </row>
    <row r="8461">
      <c r="C8461" s="18" t="n"/>
      <c r="J8461" s="19" t="n"/>
      <c r="P8461" s="20" t="n"/>
      <c r="Q8461" s="19" t="n"/>
      <c r="R8461" s="19" t="n"/>
      <c r="Y8461" s="19" t="n"/>
    </row>
    <row r="8462">
      <c r="C8462" s="18" t="n"/>
      <c r="J8462" s="19" t="n"/>
      <c r="P8462" s="20" t="n"/>
      <c r="Q8462" s="19" t="n"/>
      <c r="R8462" s="19" t="n"/>
      <c r="Y8462" s="19" t="n"/>
    </row>
    <row r="8463">
      <c r="C8463" s="18" t="n"/>
      <c r="J8463" s="19" t="n"/>
      <c r="P8463" s="20" t="n"/>
      <c r="Q8463" s="19" t="n"/>
      <c r="R8463" s="19" t="n"/>
      <c r="Y8463" s="19" t="n"/>
    </row>
    <row r="8464">
      <c r="C8464" s="18" t="n"/>
      <c r="J8464" s="19" t="n"/>
      <c r="P8464" s="20" t="n"/>
      <c r="Q8464" s="19" t="n"/>
      <c r="R8464" s="19" t="n"/>
      <c r="Y8464" s="19" t="n"/>
    </row>
    <row r="8465">
      <c r="C8465" s="18" t="n"/>
      <c r="J8465" s="19" t="n"/>
      <c r="P8465" s="20" t="n"/>
      <c r="Q8465" s="19" t="n"/>
      <c r="R8465" s="19" t="n"/>
      <c r="Y8465" s="19" t="n"/>
    </row>
    <row r="8466">
      <c r="C8466" s="18" t="n"/>
      <c r="J8466" s="19" t="n"/>
      <c r="P8466" s="20" t="n"/>
      <c r="Q8466" s="19" t="n"/>
      <c r="R8466" s="19" t="n"/>
      <c r="Y8466" s="19" t="n"/>
    </row>
    <row r="8467">
      <c r="C8467" s="18" t="n"/>
      <c r="J8467" s="19" t="n"/>
      <c r="P8467" s="20" t="n"/>
      <c r="Q8467" s="19" t="n"/>
      <c r="R8467" s="19" t="n"/>
      <c r="Y8467" s="19" t="n"/>
    </row>
    <row r="8468">
      <c r="C8468" s="18" t="n"/>
      <c r="J8468" s="19" t="n"/>
      <c r="P8468" s="20" t="n"/>
      <c r="Q8468" s="19" t="n"/>
      <c r="R8468" s="19" t="n"/>
      <c r="Y8468" s="19" t="n"/>
    </row>
    <row r="8469">
      <c r="C8469" s="18" t="n"/>
      <c r="J8469" s="19" t="n"/>
      <c r="P8469" s="20" t="n"/>
      <c r="Q8469" s="19" t="n"/>
      <c r="R8469" s="19" t="n"/>
      <c r="Y8469" s="19" t="n"/>
    </row>
    <row r="8470">
      <c r="C8470" s="18" t="n"/>
      <c r="J8470" s="19" t="n"/>
      <c r="P8470" s="20" t="n"/>
      <c r="Q8470" s="19" t="n"/>
      <c r="R8470" s="19" t="n"/>
      <c r="Y8470" s="19" t="n"/>
    </row>
    <row r="8471">
      <c r="C8471" s="18" t="n"/>
      <c r="J8471" s="19" t="n"/>
      <c r="P8471" s="20" t="n"/>
      <c r="Q8471" s="19" t="n"/>
      <c r="R8471" s="19" t="n"/>
      <c r="Y8471" s="19" t="n"/>
    </row>
    <row r="8472">
      <c r="C8472" s="18" t="n"/>
      <c r="J8472" s="19" t="n"/>
      <c r="P8472" s="20" t="n"/>
      <c r="Q8472" s="19" t="n"/>
      <c r="R8472" s="19" t="n"/>
      <c r="Y8472" s="19" t="n"/>
    </row>
    <row r="8473">
      <c r="C8473" s="18" t="n"/>
      <c r="J8473" s="19" t="n"/>
      <c r="P8473" s="20" t="n"/>
      <c r="Q8473" s="19" t="n"/>
      <c r="R8473" s="19" t="n"/>
      <c r="Y8473" s="19" t="n"/>
    </row>
    <row r="8474">
      <c r="C8474" s="18" t="n"/>
      <c r="J8474" s="19" t="n"/>
      <c r="P8474" s="20" t="n"/>
      <c r="Q8474" s="19" t="n"/>
      <c r="R8474" s="19" t="n"/>
      <c r="Y8474" s="19" t="n"/>
    </row>
    <row r="8475">
      <c r="C8475" s="18" t="n"/>
      <c r="J8475" s="19" t="n"/>
      <c r="P8475" s="20" t="n"/>
      <c r="Q8475" s="19" t="n"/>
      <c r="R8475" s="19" t="n"/>
      <c r="Y8475" s="19" t="n"/>
    </row>
    <row r="8476">
      <c r="C8476" s="18" t="n"/>
      <c r="J8476" s="19" t="n"/>
      <c r="P8476" s="20" t="n"/>
      <c r="Q8476" s="19" t="n"/>
      <c r="R8476" s="19" t="n"/>
      <c r="Y8476" s="19" t="n"/>
    </row>
    <row r="8477">
      <c r="C8477" s="18" t="n"/>
      <c r="J8477" s="19" t="n"/>
      <c r="P8477" s="20" t="n"/>
      <c r="Q8477" s="19" t="n"/>
      <c r="R8477" s="19" t="n"/>
      <c r="Y8477" s="19" t="n"/>
    </row>
    <row r="8478">
      <c r="C8478" s="18" t="n"/>
      <c r="J8478" s="19" t="n"/>
      <c r="P8478" s="20" t="n"/>
      <c r="Q8478" s="19" t="n"/>
      <c r="R8478" s="19" t="n"/>
      <c r="Y8478" s="19" t="n"/>
    </row>
    <row r="8479">
      <c r="C8479" s="18" t="n"/>
      <c r="J8479" s="19" t="n"/>
      <c r="P8479" s="20" t="n"/>
      <c r="Q8479" s="19" t="n"/>
      <c r="R8479" s="19" t="n"/>
      <c r="Y8479" s="19" t="n"/>
    </row>
    <row r="8480">
      <c r="C8480" s="18" t="n"/>
      <c r="J8480" s="19" t="n"/>
      <c r="P8480" s="20" t="n"/>
      <c r="Q8480" s="19" t="n"/>
      <c r="R8480" s="19" t="n"/>
      <c r="Y8480" s="19" t="n"/>
    </row>
    <row r="8481">
      <c r="C8481" s="18" t="n"/>
      <c r="J8481" s="19" t="n"/>
      <c r="P8481" s="20" t="n"/>
      <c r="Q8481" s="19" t="n"/>
      <c r="R8481" s="19" t="n"/>
      <c r="Y8481" s="19" t="n"/>
    </row>
    <row r="8482">
      <c r="C8482" s="18" t="n"/>
      <c r="J8482" s="19" t="n"/>
      <c r="P8482" s="20" t="n"/>
      <c r="Q8482" s="19" t="n"/>
      <c r="R8482" s="19" t="n"/>
      <c r="Y8482" s="19" t="n"/>
    </row>
    <row r="8483">
      <c r="C8483" s="18" t="n"/>
      <c r="J8483" s="19" t="n"/>
      <c r="P8483" s="20" t="n"/>
      <c r="Q8483" s="19" t="n"/>
      <c r="R8483" s="19" t="n"/>
      <c r="Y8483" s="19" t="n"/>
    </row>
    <row r="8484">
      <c r="C8484" s="18" t="n"/>
      <c r="J8484" s="19" t="n"/>
      <c r="P8484" s="20" t="n"/>
      <c r="Q8484" s="19" t="n"/>
      <c r="R8484" s="19" t="n"/>
      <c r="Y8484" s="19" t="n"/>
    </row>
    <row r="8485">
      <c r="C8485" s="18" t="n"/>
      <c r="J8485" s="19" t="n"/>
      <c r="P8485" s="20" t="n"/>
      <c r="Q8485" s="19" t="n"/>
      <c r="R8485" s="19" t="n"/>
      <c r="Y8485" s="19" t="n"/>
    </row>
    <row r="8486">
      <c r="C8486" s="18" t="n"/>
      <c r="J8486" s="19" t="n"/>
      <c r="P8486" s="20" t="n"/>
      <c r="Q8486" s="19" t="n"/>
      <c r="R8486" s="19" t="n"/>
      <c r="Y8486" s="19" t="n"/>
    </row>
    <row r="8487">
      <c r="C8487" s="18" t="n"/>
      <c r="J8487" s="19" t="n"/>
      <c r="P8487" s="20" t="n"/>
      <c r="Q8487" s="19" t="n"/>
      <c r="R8487" s="19" t="n"/>
      <c r="Y8487" s="19" t="n"/>
    </row>
    <row r="8488">
      <c r="C8488" s="18" t="n"/>
      <c r="J8488" s="19" t="n"/>
      <c r="P8488" s="20" t="n"/>
      <c r="Q8488" s="19" t="n"/>
      <c r="R8488" s="19" t="n"/>
      <c r="Y8488" s="19" t="n"/>
    </row>
    <row r="8489">
      <c r="C8489" s="18" t="n"/>
      <c r="J8489" s="19" t="n"/>
      <c r="P8489" s="20" t="n"/>
      <c r="Q8489" s="19" t="n"/>
      <c r="R8489" s="19" t="n"/>
      <c r="Y8489" s="19" t="n"/>
    </row>
    <row r="8490">
      <c r="C8490" s="18" t="n"/>
      <c r="J8490" s="19" t="n"/>
      <c r="P8490" s="20" t="n"/>
      <c r="Q8490" s="19" t="n"/>
      <c r="R8490" s="19" t="n"/>
      <c r="Y8490" s="19" t="n"/>
    </row>
    <row r="8491">
      <c r="C8491" s="18" t="n"/>
      <c r="J8491" s="19" t="n"/>
      <c r="P8491" s="20" t="n"/>
      <c r="Q8491" s="19" t="n"/>
      <c r="R8491" s="19" t="n"/>
      <c r="Y8491" s="19" t="n"/>
    </row>
    <row r="8492">
      <c r="C8492" s="18" t="n"/>
      <c r="J8492" s="19" t="n"/>
      <c r="P8492" s="20" t="n"/>
      <c r="Q8492" s="19" t="n"/>
      <c r="R8492" s="19" t="n"/>
      <c r="Y8492" s="19" t="n"/>
    </row>
    <row r="8493">
      <c r="C8493" s="18" t="n"/>
      <c r="J8493" s="19" t="n"/>
      <c r="P8493" s="20" t="n"/>
      <c r="Q8493" s="19" t="n"/>
      <c r="R8493" s="19" t="n"/>
      <c r="Y8493" s="19" t="n"/>
    </row>
    <row r="8494">
      <c r="C8494" s="18" t="n"/>
      <c r="J8494" s="19" t="n"/>
      <c r="P8494" s="20" t="n"/>
      <c r="Q8494" s="19" t="n"/>
      <c r="R8494" s="19" t="n"/>
      <c r="Y8494" s="19" t="n"/>
    </row>
    <row r="8495">
      <c r="C8495" s="18" t="n"/>
      <c r="J8495" s="19" t="n"/>
      <c r="P8495" s="20" t="n"/>
      <c r="Q8495" s="19" t="n"/>
      <c r="R8495" s="19" t="n"/>
      <c r="Y8495" s="19" t="n"/>
    </row>
    <row r="8496">
      <c r="C8496" s="18" t="n"/>
      <c r="J8496" s="19" t="n"/>
      <c r="P8496" s="20" t="n"/>
      <c r="Q8496" s="19" t="n"/>
      <c r="R8496" s="19" t="n"/>
      <c r="Y8496" s="19" t="n"/>
    </row>
    <row r="8497">
      <c r="C8497" s="18" t="n"/>
      <c r="J8497" s="19" t="n"/>
      <c r="P8497" s="20" t="n"/>
      <c r="Q8497" s="19" t="n"/>
      <c r="R8497" s="19" t="n"/>
      <c r="Y8497" s="19" t="n"/>
    </row>
    <row r="8498">
      <c r="C8498" s="18" t="n"/>
      <c r="J8498" s="19" t="n"/>
      <c r="P8498" s="20" t="n"/>
      <c r="Q8498" s="19" t="n"/>
      <c r="R8498" s="19" t="n"/>
      <c r="Y8498" s="19" t="n"/>
    </row>
    <row r="8499">
      <c r="C8499" s="18" t="n"/>
      <c r="J8499" s="19" t="n"/>
      <c r="P8499" s="20" t="n"/>
      <c r="Q8499" s="19" t="n"/>
      <c r="R8499" s="19" t="n"/>
      <c r="Y8499" s="19" t="n"/>
    </row>
    <row r="8500">
      <c r="C8500" s="18" t="n"/>
      <c r="J8500" s="19" t="n"/>
      <c r="P8500" s="20" t="n"/>
      <c r="Q8500" s="19" t="n"/>
      <c r="R8500" s="19" t="n"/>
      <c r="Y8500" s="19" t="n"/>
    </row>
    <row r="8501">
      <c r="C8501" s="18" t="n"/>
      <c r="J8501" s="19" t="n"/>
      <c r="P8501" s="20" t="n"/>
      <c r="Q8501" s="19" t="n"/>
      <c r="R8501" s="19" t="n"/>
      <c r="Y8501" s="19" t="n"/>
    </row>
    <row r="8502">
      <c r="C8502" s="18" t="n"/>
      <c r="J8502" s="19" t="n"/>
      <c r="P8502" s="20" t="n"/>
      <c r="Q8502" s="19" t="n"/>
      <c r="R8502" s="19" t="n"/>
      <c r="Y8502" s="19" t="n"/>
    </row>
    <row r="8503">
      <c r="C8503" s="18" t="n"/>
      <c r="J8503" s="19" t="n"/>
      <c r="P8503" s="20" t="n"/>
      <c r="Q8503" s="19" t="n"/>
      <c r="R8503" s="19" t="n"/>
      <c r="Y8503" s="19" t="n"/>
    </row>
    <row r="8504">
      <c r="C8504" s="18" t="n"/>
      <c r="J8504" s="19" t="n"/>
      <c r="P8504" s="20" t="n"/>
      <c r="Q8504" s="19" t="n"/>
      <c r="R8504" s="19" t="n"/>
      <c r="Y8504" s="19" t="n"/>
    </row>
    <row r="8505">
      <c r="C8505" s="18" t="n"/>
      <c r="J8505" s="19" t="n"/>
      <c r="P8505" s="20" t="n"/>
      <c r="Q8505" s="19" t="n"/>
      <c r="R8505" s="19" t="n"/>
      <c r="Y8505" s="19" t="n"/>
    </row>
    <row r="8506">
      <c r="C8506" s="18" t="n"/>
      <c r="J8506" s="19" t="n"/>
      <c r="P8506" s="20" t="n"/>
      <c r="Q8506" s="19" t="n"/>
      <c r="R8506" s="19" t="n"/>
      <c r="Y8506" s="19" t="n"/>
    </row>
    <row r="8507">
      <c r="C8507" s="18" t="n"/>
      <c r="J8507" s="19" t="n"/>
      <c r="P8507" s="20" t="n"/>
      <c r="Q8507" s="19" t="n"/>
      <c r="R8507" s="19" t="n"/>
      <c r="Y8507" s="19" t="n"/>
    </row>
    <row r="8508">
      <c r="C8508" s="18" t="n"/>
      <c r="J8508" s="19" t="n"/>
      <c r="P8508" s="20" t="n"/>
      <c r="Q8508" s="19" t="n"/>
      <c r="R8508" s="19" t="n"/>
      <c r="Y8508" s="19" t="n"/>
    </row>
    <row r="8509">
      <c r="C8509" s="18" t="n"/>
      <c r="J8509" s="19" t="n"/>
      <c r="P8509" s="20" t="n"/>
      <c r="Q8509" s="19" t="n"/>
      <c r="R8509" s="19" t="n"/>
      <c r="Y8509" s="19" t="n"/>
    </row>
    <row r="8510">
      <c r="C8510" s="18" t="n"/>
      <c r="J8510" s="19" t="n"/>
      <c r="P8510" s="20" t="n"/>
      <c r="Q8510" s="19" t="n"/>
      <c r="R8510" s="19" t="n"/>
      <c r="Y8510" s="19" t="n"/>
    </row>
    <row r="8511">
      <c r="C8511" s="18" t="n"/>
      <c r="J8511" s="19" t="n"/>
      <c r="P8511" s="20" t="n"/>
      <c r="Q8511" s="19" t="n"/>
      <c r="R8511" s="19" t="n"/>
      <c r="Y8511" s="19" t="n"/>
    </row>
    <row r="8512">
      <c r="C8512" s="18" t="n"/>
      <c r="J8512" s="19" t="n"/>
      <c r="P8512" s="20" t="n"/>
      <c r="Q8512" s="19" t="n"/>
      <c r="R8512" s="19" t="n"/>
      <c r="Y8512" s="19" t="n"/>
    </row>
    <row r="8513">
      <c r="C8513" s="18" t="n"/>
      <c r="J8513" s="19" t="n"/>
      <c r="P8513" s="20" t="n"/>
      <c r="Q8513" s="19" t="n"/>
      <c r="R8513" s="19" t="n"/>
      <c r="Y8513" s="19" t="n"/>
    </row>
    <row r="8514">
      <c r="C8514" s="18" t="n"/>
      <c r="J8514" s="19" t="n"/>
      <c r="P8514" s="20" t="n"/>
      <c r="Q8514" s="19" t="n"/>
      <c r="R8514" s="19" t="n"/>
      <c r="Y8514" s="19" t="n"/>
    </row>
    <row r="8515">
      <c r="C8515" s="18" t="n"/>
      <c r="J8515" s="19" t="n"/>
      <c r="P8515" s="20" t="n"/>
      <c r="Q8515" s="19" t="n"/>
      <c r="R8515" s="19" t="n"/>
      <c r="Y8515" s="19" t="n"/>
    </row>
    <row r="8516">
      <c r="C8516" s="18" t="n"/>
      <c r="J8516" s="19" t="n"/>
      <c r="P8516" s="20" t="n"/>
      <c r="Q8516" s="19" t="n"/>
      <c r="R8516" s="19" t="n"/>
      <c r="Y8516" s="19" t="n"/>
    </row>
    <row r="8517">
      <c r="C8517" s="18" t="n"/>
      <c r="J8517" s="19" t="n"/>
      <c r="P8517" s="20" t="n"/>
      <c r="Q8517" s="19" t="n"/>
      <c r="R8517" s="19" t="n"/>
      <c r="Y8517" s="19" t="n"/>
    </row>
    <row r="8518">
      <c r="C8518" s="18" t="n"/>
      <c r="J8518" s="19" t="n"/>
      <c r="P8518" s="20" t="n"/>
      <c r="Q8518" s="19" t="n"/>
      <c r="R8518" s="19" t="n"/>
      <c r="Y8518" s="19" t="n"/>
    </row>
    <row r="8519">
      <c r="C8519" s="18" t="n"/>
      <c r="J8519" s="19" t="n"/>
      <c r="P8519" s="20" t="n"/>
      <c r="Q8519" s="19" t="n"/>
      <c r="R8519" s="19" t="n"/>
      <c r="Y8519" s="19" t="n"/>
    </row>
    <row r="8520">
      <c r="C8520" s="18" t="n"/>
      <c r="J8520" s="19" t="n"/>
      <c r="P8520" s="20" t="n"/>
      <c r="Q8520" s="19" t="n"/>
      <c r="R8520" s="19" t="n"/>
      <c r="Y8520" s="19" t="n"/>
    </row>
    <row r="8521">
      <c r="C8521" s="18" t="n"/>
      <c r="J8521" s="19" t="n"/>
      <c r="P8521" s="20" t="n"/>
      <c r="Q8521" s="19" t="n"/>
      <c r="R8521" s="19" t="n"/>
      <c r="Y8521" s="19" t="n"/>
    </row>
    <row r="8522">
      <c r="C8522" s="18" t="n"/>
      <c r="J8522" s="19" t="n"/>
      <c r="P8522" s="20" t="n"/>
      <c r="Q8522" s="19" t="n"/>
      <c r="R8522" s="19" t="n"/>
      <c r="Y8522" s="19" t="n"/>
    </row>
    <row r="8523">
      <c r="C8523" s="18" t="n"/>
      <c r="J8523" s="19" t="n"/>
      <c r="P8523" s="20" t="n"/>
      <c r="Q8523" s="19" t="n"/>
      <c r="R8523" s="19" t="n"/>
      <c r="Y8523" s="19" t="n"/>
    </row>
    <row r="8524">
      <c r="C8524" s="18" t="n"/>
      <c r="J8524" s="19" t="n"/>
      <c r="P8524" s="20" t="n"/>
      <c r="Q8524" s="19" t="n"/>
      <c r="R8524" s="19" t="n"/>
      <c r="Y8524" s="19" t="n"/>
    </row>
    <row r="8525">
      <c r="C8525" s="18" t="n"/>
      <c r="J8525" s="19" t="n"/>
      <c r="P8525" s="20" t="n"/>
      <c r="Q8525" s="19" t="n"/>
      <c r="R8525" s="19" t="n"/>
      <c r="Y8525" s="19" t="n"/>
    </row>
    <row r="8526">
      <c r="C8526" s="18" t="n"/>
      <c r="J8526" s="19" t="n"/>
      <c r="P8526" s="20" t="n"/>
      <c r="Q8526" s="19" t="n"/>
      <c r="R8526" s="19" t="n"/>
      <c r="Y8526" s="19" t="n"/>
    </row>
    <row r="8527">
      <c r="C8527" s="18" t="n"/>
      <c r="J8527" s="19" t="n"/>
      <c r="P8527" s="20" t="n"/>
      <c r="Q8527" s="19" t="n"/>
      <c r="R8527" s="19" t="n"/>
      <c r="Y8527" s="19" t="n"/>
    </row>
    <row r="8528">
      <c r="C8528" s="18" t="n"/>
      <c r="J8528" s="19" t="n"/>
      <c r="P8528" s="20" t="n"/>
      <c r="Q8528" s="19" t="n"/>
      <c r="R8528" s="19" t="n"/>
      <c r="Y8528" s="19" t="n"/>
    </row>
    <row r="8529">
      <c r="C8529" s="18" t="n"/>
      <c r="J8529" s="19" t="n"/>
      <c r="P8529" s="20" t="n"/>
      <c r="Q8529" s="19" t="n"/>
      <c r="R8529" s="19" t="n"/>
      <c r="Y8529" s="19" t="n"/>
    </row>
    <row r="8530">
      <c r="C8530" s="18" t="n"/>
      <c r="J8530" s="19" t="n"/>
      <c r="P8530" s="20" t="n"/>
      <c r="Q8530" s="19" t="n"/>
      <c r="R8530" s="19" t="n"/>
      <c r="Y8530" s="19" t="n"/>
    </row>
    <row r="8531">
      <c r="C8531" s="18" t="n"/>
      <c r="J8531" s="19" t="n"/>
      <c r="P8531" s="20" t="n"/>
      <c r="Q8531" s="19" t="n"/>
      <c r="R8531" s="19" t="n"/>
      <c r="Y8531" s="19" t="n"/>
    </row>
    <row r="8532">
      <c r="C8532" s="18" t="n"/>
      <c r="J8532" s="19" t="n"/>
      <c r="P8532" s="20" t="n"/>
      <c r="Q8532" s="19" t="n"/>
      <c r="R8532" s="19" t="n"/>
      <c r="Y8532" s="19" t="n"/>
    </row>
    <row r="8533">
      <c r="C8533" s="18" t="n"/>
      <c r="J8533" s="19" t="n"/>
      <c r="P8533" s="20" t="n"/>
      <c r="Q8533" s="19" t="n"/>
      <c r="R8533" s="19" t="n"/>
      <c r="Y8533" s="19" t="n"/>
    </row>
    <row r="8534">
      <c r="C8534" s="18" t="n"/>
      <c r="J8534" s="19" t="n"/>
      <c r="P8534" s="20" t="n"/>
      <c r="Q8534" s="19" t="n"/>
      <c r="R8534" s="19" t="n"/>
      <c r="Y8534" s="19" t="n"/>
    </row>
    <row r="8535">
      <c r="C8535" s="18" t="n"/>
      <c r="J8535" s="19" t="n"/>
      <c r="P8535" s="20" t="n"/>
      <c r="Q8535" s="19" t="n"/>
      <c r="R8535" s="19" t="n"/>
      <c r="Y8535" s="19" t="n"/>
    </row>
    <row r="8536">
      <c r="C8536" s="18" t="n"/>
      <c r="J8536" s="19" t="n"/>
      <c r="P8536" s="20" t="n"/>
      <c r="Q8536" s="19" t="n"/>
      <c r="R8536" s="19" t="n"/>
      <c r="Y8536" s="19" t="n"/>
    </row>
    <row r="8537">
      <c r="C8537" s="18" t="n"/>
      <c r="J8537" s="19" t="n"/>
      <c r="P8537" s="20" t="n"/>
      <c r="Q8537" s="19" t="n"/>
      <c r="R8537" s="19" t="n"/>
      <c r="Y8537" s="19" t="n"/>
    </row>
    <row r="8538">
      <c r="C8538" s="18" t="n"/>
      <c r="J8538" s="19" t="n"/>
      <c r="P8538" s="20" t="n"/>
      <c r="Q8538" s="19" t="n"/>
      <c r="R8538" s="19" t="n"/>
      <c r="Y8538" s="19" t="n"/>
    </row>
    <row r="8539">
      <c r="C8539" s="18" t="n"/>
      <c r="J8539" s="19" t="n"/>
      <c r="P8539" s="20" t="n"/>
      <c r="Q8539" s="19" t="n"/>
      <c r="R8539" s="19" t="n"/>
      <c r="Y8539" s="19" t="n"/>
    </row>
    <row r="8540">
      <c r="C8540" s="18" t="n"/>
      <c r="J8540" s="19" t="n"/>
      <c r="P8540" s="20" t="n"/>
      <c r="Q8540" s="19" t="n"/>
      <c r="R8540" s="19" t="n"/>
      <c r="Y8540" s="19" t="n"/>
    </row>
    <row r="8541">
      <c r="C8541" s="18" t="n"/>
      <c r="J8541" s="19" t="n"/>
      <c r="P8541" s="20" t="n"/>
      <c r="Q8541" s="19" t="n"/>
      <c r="R8541" s="19" t="n"/>
      <c r="Y8541" s="19" t="n"/>
    </row>
    <row r="8542">
      <c r="C8542" s="18" t="n"/>
      <c r="J8542" s="19" t="n"/>
      <c r="P8542" s="20" t="n"/>
      <c r="Q8542" s="19" t="n"/>
      <c r="R8542" s="19" t="n"/>
      <c r="Y8542" s="19" t="n"/>
    </row>
    <row r="8543">
      <c r="C8543" s="18" t="n"/>
      <c r="J8543" s="19" t="n"/>
      <c r="P8543" s="20" t="n"/>
      <c r="Q8543" s="19" t="n"/>
      <c r="R8543" s="19" t="n"/>
      <c r="Y8543" s="19" t="n"/>
    </row>
    <row r="8544">
      <c r="C8544" s="18" t="n"/>
      <c r="J8544" s="19" t="n"/>
      <c r="P8544" s="20" t="n"/>
      <c r="Q8544" s="19" t="n"/>
      <c r="R8544" s="19" t="n"/>
      <c r="Y8544" s="19" t="n"/>
    </row>
    <row r="8545">
      <c r="C8545" s="18" t="n"/>
      <c r="J8545" s="19" t="n"/>
      <c r="P8545" s="20" t="n"/>
      <c r="Q8545" s="19" t="n"/>
      <c r="R8545" s="19" t="n"/>
      <c r="Y8545" s="19" t="n"/>
    </row>
    <row r="8546">
      <c r="C8546" s="18" t="n"/>
      <c r="J8546" s="19" t="n"/>
      <c r="P8546" s="20" t="n"/>
      <c r="Q8546" s="19" t="n"/>
      <c r="R8546" s="19" t="n"/>
      <c r="Y8546" s="19" t="n"/>
    </row>
    <row r="8547">
      <c r="C8547" s="18" t="n"/>
      <c r="J8547" s="19" t="n"/>
      <c r="P8547" s="20" t="n"/>
      <c r="Q8547" s="19" t="n"/>
      <c r="R8547" s="19" t="n"/>
      <c r="Y8547" s="19" t="n"/>
    </row>
    <row r="8548">
      <c r="C8548" s="18" t="n"/>
      <c r="J8548" s="19" t="n"/>
      <c r="P8548" s="20" t="n"/>
      <c r="Q8548" s="19" t="n"/>
      <c r="R8548" s="19" t="n"/>
      <c r="Y8548" s="19" t="n"/>
    </row>
    <row r="8549">
      <c r="C8549" s="18" t="n"/>
      <c r="J8549" s="19" t="n"/>
      <c r="P8549" s="20" t="n"/>
      <c r="Q8549" s="19" t="n"/>
      <c r="R8549" s="19" t="n"/>
      <c r="Y8549" s="19" t="n"/>
    </row>
    <row r="8550">
      <c r="C8550" s="18" t="n"/>
      <c r="J8550" s="19" t="n"/>
      <c r="P8550" s="20" t="n"/>
      <c r="Q8550" s="19" t="n"/>
      <c r="R8550" s="19" t="n"/>
      <c r="Y8550" s="19" t="n"/>
    </row>
    <row r="8551">
      <c r="C8551" s="18" t="n"/>
      <c r="J8551" s="19" t="n"/>
      <c r="P8551" s="20" t="n"/>
      <c r="Q8551" s="19" t="n"/>
      <c r="R8551" s="19" t="n"/>
      <c r="Y8551" s="19" t="n"/>
    </row>
    <row r="8552">
      <c r="C8552" s="18" t="n"/>
      <c r="J8552" s="19" t="n"/>
      <c r="P8552" s="20" t="n"/>
      <c r="Q8552" s="19" t="n"/>
      <c r="R8552" s="19" t="n"/>
      <c r="Y8552" s="19" t="n"/>
    </row>
    <row r="8553">
      <c r="C8553" s="18" t="n"/>
      <c r="J8553" s="19" t="n"/>
      <c r="P8553" s="20" t="n"/>
      <c r="Q8553" s="19" t="n"/>
      <c r="R8553" s="19" t="n"/>
      <c r="Y8553" s="19" t="n"/>
    </row>
    <row r="8554">
      <c r="C8554" s="18" t="n"/>
      <c r="J8554" s="19" t="n"/>
      <c r="P8554" s="20" t="n"/>
      <c r="Q8554" s="19" t="n"/>
      <c r="R8554" s="19" t="n"/>
      <c r="Y8554" s="19" t="n"/>
    </row>
    <row r="8555">
      <c r="C8555" s="18" t="n"/>
      <c r="J8555" s="19" t="n"/>
      <c r="P8555" s="20" t="n"/>
      <c r="Q8555" s="19" t="n"/>
      <c r="R8555" s="19" t="n"/>
      <c r="Y8555" s="19" t="n"/>
    </row>
    <row r="8556">
      <c r="C8556" s="18" t="n"/>
      <c r="J8556" s="19" t="n"/>
      <c r="P8556" s="20" t="n"/>
      <c r="Q8556" s="19" t="n"/>
      <c r="R8556" s="19" t="n"/>
      <c r="Y8556" s="19" t="n"/>
    </row>
    <row r="8557">
      <c r="C8557" s="18" t="n"/>
      <c r="J8557" s="19" t="n"/>
      <c r="P8557" s="20" t="n"/>
      <c r="Q8557" s="19" t="n"/>
      <c r="R8557" s="19" t="n"/>
      <c r="Y8557" s="19" t="n"/>
    </row>
    <row r="8558">
      <c r="C8558" s="18" t="n"/>
      <c r="J8558" s="19" t="n"/>
      <c r="P8558" s="20" t="n"/>
      <c r="Q8558" s="19" t="n"/>
      <c r="R8558" s="19" t="n"/>
      <c r="Y8558" s="19" t="n"/>
    </row>
    <row r="8559">
      <c r="C8559" s="18" t="n"/>
      <c r="J8559" s="19" t="n"/>
      <c r="P8559" s="20" t="n"/>
      <c r="Q8559" s="19" t="n"/>
      <c r="R8559" s="19" t="n"/>
      <c r="Y8559" s="19" t="n"/>
    </row>
    <row r="8560">
      <c r="C8560" s="18" t="n"/>
      <c r="J8560" s="19" t="n"/>
      <c r="P8560" s="20" t="n"/>
      <c r="Q8560" s="19" t="n"/>
      <c r="R8560" s="19" t="n"/>
      <c r="Y8560" s="19" t="n"/>
    </row>
    <row r="8561">
      <c r="C8561" s="18" t="n"/>
      <c r="J8561" s="19" t="n"/>
      <c r="P8561" s="20" t="n"/>
      <c r="Q8561" s="19" t="n"/>
      <c r="R8561" s="19" t="n"/>
      <c r="Y8561" s="19" t="n"/>
    </row>
    <row r="8562">
      <c r="C8562" s="18" t="n"/>
      <c r="J8562" s="19" t="n"/>
      <c r="P8562" s="20" t="n"/>
      <c r="Q8562" s="19" t="n"/>
      <c r="R8562" s="19" t="n"/>
      <c r="Y8562" s="19" t="n"/>
    </row>
    <row r="8563">
      <c r="C8563" s="18" t="n"/>
      <c r="J8563" s="19" t="n"/>
      <c r="P8563" s="20" t="n"/>
      <c r="Q8563" s="19" t="n"/>
      <c r="R8563" s="19" t="n"/>
      <c r="Y8563" s="19" t="n"/>
    </row>
    <row r="8564">
      <c r="C8564" s="18" t="n"/>
      <c r="J8564" s="19" t="n"/>
      <c r="P8564" s="20" t="n"/>
      <c r="Q8564" s="19" t="n"/>
      <c r="R8564" s="19" t="n"/>
      <c r="Y8564" s="19" t="n"/>
    </row>
    <row r="8565">
      <c r="C8565" s="18" t="n"/>
      <c r="J8565" s="19" t="n"/>
      <c r="P8565" s="20" t="n"/>
      <c r="Q8565" s="19" t="n"/>
      <c r="R8565" s="19" t="n"/>
      <c r="Y8565" s="19" t="n"/>
    </row>
    <row r="8566">
      <c r="C8566" s="18" t="n"/>
      <c r="J8566" s="19" t="n"/>
      <c r="P8566" s="20" t="n"/>
      <c r="Q8566" s="19" t="n"/>
      <c r="R8566" s="19" t="n"/>
      <c r="Y8566" s="19" t="n"/>
    </row>
    <row r="8567">
      <c r="C8567" s="18" t="n"/>
      <c r="J8567" s="19" t="n"/>
      <c r="P8567" s="20" t="n"/>
      <c r="Q8567" s="19" t="n"/>
      <c r="R8567" s="19" t="n"/>
      <c r="Y8567" s="19" t="n"/>
    </row>
    <row r="8568">
      <c r="C8568" s="18" t="n"/>
      <c r="J8568" s="19" t="n"/>
      <c r="P8568" s="20" t="n"/>
      <c r="Q8568" s="19" t="n"/>
      <c r="R8568" s="19" t="n"/>
      <c r="Y8568" s="19" t="n"/>
    </row>
    <row r="8569">
      <c r="C8569" s="18" t="n"/>
      <c r="J8569" s="19" t="n"/>
      <c r="P8569" s="20" t="n"/>
      <c r="Q8569" s="19" t="n"/>
      <c r="R8569" s="19" t="n"/>
      <c r="Y8569" s="19" t="n"/>
    </row>
    <row r="8570">
      <c r="C8570" s="18" t="n"/>
      <c r="J8570" s="19" t="n"/>
      <c r="P8570" s="20" t="n"/>
      <c r="Q8570" s="19" t="n"/>
      <c r="R8570" s="19" t="n"/>
      <c r="Y8570" s="19" t="n"/>
    </row>
    <row r="8571">
      <c r="C8571" s="18" t="n"/>
      <c r="J8571" s="19" t="n"/>
      <c r="P8571" s="20" t="n"/>
      <c r="Q8571" s="19" t="n"/>
      <c r="R8571" s="19" t="n"/>
      <c r="Y8571" s="19" t="n"/>
    </row>
    <row r="8572">
      <c r="C8572" s="18" t="n"/>
      <c r="J8572" s="19" t="n"/>
      <c r="P8572" s="20" t="n"/>
      <c r="Q8572" s="19" t="n"/>
      <c r="R8572" s="19" t="n"/>
      <c r="Y8572" s="19" t="n"/>
    </row>
    <row r="8573">
      <c r="C8573" s="18" t="n"/>
      <c r="J8573" s="19" t="n"/>
      <c r="P8573" s="20" t="n"/>
      <c r="Q8573" s="19" t="n"/>
      <c r="R8573" s="19" t="n"/>
      <c r="Y8573" s="19" t="n"/>
    </row>
    <row r="8574">
      <c r="C8574" s="18" t="n"/>
      <c r="J8574" s="19" t="n"/>
      <c r="P8574" s="20" t="n"/>
      <c r="Q8574" s="19" t="n"/>
      <c r="R8574" s="19" t="n"/>
      <c r="Y8574" s="19" t="n"/>
    </row>
    <row r="8575">
      <c r="C8575" s="18" t="n"/>
      <c r="J8575" s="19" t="n"/>
      <c r="P8575" s="20" t="n"/>
      <c r="Q8575" s="19" t="n"/>
      <c r="R8575" s="19" t="n"/>
      <c r="Y8575" s="19" t="n"/>
    </row>
    <row r="8576">
      <c r="C8576" s="18" t="n"/>
      <c r="J8576" s="19" t="n"/>
      <c r="P8576" s="20" t="n"/>
      <c r="Q8576" s="19" t="n"/>
      <c r="R8576" s="19" t="n"/>
      <c r="Y8576" s="19" t="n"/>
    </row>
    <row r="8577">
      <c r="C8577" s="18" t="n"/>
      <c r="J8577" s="19" t="n"/>
      <c r="P8577" s="20" t="n"/>
      <c r="Q8577" s="19" t="n"/>
      <c r="R8577" s="19" t="n"/>
      <c r="Y8577" s="19" t="n"/>
    </row>
    <row r="8578">
      <c r="C8578" s="18" t="n"/>
      <c r="J8578" s="19" t="n"/>
      <c r="P8578" s="20" t="n"/>
      <c r="Q8578" s="19" t="n"/>
      <c r="R8578" s="19" t="n"/>
      <c r="Y8578" s="19" t="n"/>
    </row>
    <row r="8579">
      <c r="C8579" s="18" t="n"/>
      <c r="J8579" s="19" t="n"/>
      <c r="P8579" s="20" t="n"/>
      <c r="Q8579" s="19" t="n"/>
      <c r="R8579" s="19" t="n"/>
      <c r="Y8579" s="19" t="n"/>
    </row>
    <row r="8580">
      <c r="C8580" s="18" t="n"/>
      <c r="J8580" s="19" t="n"/>
      <c r="P8580" s="20" t="n"/>
      <c r="Q8580" s="19" t="n"/>
      <c r="R8580" s="19" t="n"/>
      <c r="Y8580" s="19" t="n"/>
    </row>
    <row r="8581">
      <c r="C8581" s="18" t="n"/>
      <c r="J8581" s="19" t="n"/>
      <c r="P8581" s="20" t="n"/>
      <c r="Q8581" s="19" t="n"/>
      <c r="R8581" s="19" t="n"/>
      <c r="Y8581" s="19" t="n"/>
    </row>
    <row r="8582">
      <c r="C8582" s="18" t="n"/>
      <c r="J8582" s="19" t="n"/>
      <c r="P8582" s="20" t="n"/>
      <c r="Q8582" s="19" t="n"/>
      <c r="R8582" s="19" t="n"/>
      <c r="Y8582" s="19" t="n"/>
    </row>
    <row r="8583">
      <c r="C8583" s="18" t="n"/>
      <c r="J8583" s="19" t="n"/>
      <c r="P8583" s="20" t="n"/>
      <c r="Q8583" s="19" t="n"/>
      <c r="R8583" s="19" t="n"/>
      <c r="Y8583" s="19" t="n"/>
    </row>
    <row r="8584">
      <c r="C8584" s="18" t="n"/>
      <c r="J8584" s="19" t="n"/>
      <c r="P8584" s="20" t="n"/>
      <c r="Q8584" s="19" t="n"/>
      <c r="R8584" s="19" t="n"/>
      <c r="Y8584" s="19" t="n"/>
    </row>
    <row r="8585">
      <c r="C8585" s="18" t="n"/>
      <c r="J8585" s="19" t="n"/>
      <c r="P8585" s="20" t="n"/>
      <c r="Q8585" s="19" t="n"/>
      <c r="R8585" s="19" t="n"/>
      <c r="Y8585" s="19" t="n"/>
    </row>
    <row r="8586">
      <c r="C8586" s="18" t="n"/>
      <c r="J8586" s="19" t="n"/>
      <c r="P8586" s="20" t="n"/>
      <c r="Q8586" s="19" t="n"/>
      <c r="R8586" s="19" t="n"/>
      <c r="Y8586" s="19" t="n"/>
    </row>
    <row r="8587">
      <c r="C8587" s="18" t="n"/>
      <c r="J8587" s="19" t="n"/>
      <c r="P8587" s="20" t="n"/>
      <c r="Q8587" s="19" t="n"/>
      <c r="R8587" s="19" t="n"/>
      <c r="Y8587" s="19" t="n"/>
    </row>
    <row r="8588">
      <c r="C8588" s="18" t="n"/>
      <c r="J8588" s="19" t="n"/>
      <c r="P8588" s="20" t="n"/>
      <c r="Q8588" s="19" t="n"/>
      <c r="R8588" s="19" t="n"/>
      <c r="Y8588" s="19" t="n"/>
    </row>
    <row r="8589">
      <c r="C8589" s="18" t="n"/>
      <c r="J8589" s="19" t="n"/>
      <c r="P8589" s="20" t="n"/>
      <c r="Q8589" s="19" t="n"/>
      <c r="R8589" s="19" t="n"/>
      <c r="Y8589" s="19" t="n"/>
    </row>
    <row r="8590">
      <c r="C8590" s="18" t="n"/>
      <c r="J8590" s="19" t="n"/>
      <c r="P8590" s="20" t="n"/>
      <c r="Q8590" s="19" t="n"/>
      <c r="R8590" s="19" t="n"/>
      <c r="Y8590" s="19" t="n"/>
    </row>
    <row r="8591">
      <c r="C8591" s="18" t="n"/>
      <c r="J8591" s="19" t="n"/>
      <c r="P8591" s="20" t="n"/>
      <c r="Q8591" s="19" t="n"/>
      <c r="R8591" s="19" t="n"/>
      <c r="Y8591" s="19" t="n"/>
    </row>
    <row r="8592">
      <c r="C8592" s="18" t="n"/>
      <c r="J8592" s="19" t="n"/>
      <c r="P8592" s="20" t="n"/>
      <c r="Q8592" s="19" t="n"/>
      <c r="R8592" s="19" t="n"/>
      <c r="Y8592" s="19" t="n"/>
    </row>
    <row r="8593">
      <c r="C8593" s="18" t="n"/>
      <c r="J8593" s="19" t="n"/>
      <c r="P8593" s="20" t="n"/>
      <c r="Q8593" s="19" t="n"/>
      <c r="R8593" s="19" t="n"/>
      <c r="Y8593" s="19" t="n"/>
    </row>
    <row r="8594">
      <c r="C8594" s="18" t="n"/>
      <c r="J8594" s="19" t="n"/>
      <c r="P8594" s="20" t="n"/>
      <c r="Q8594" s="19" t="n"/>
      <c r="R8594" s="19" t="n"/>
      <c r="Y8594" s="19" t="n"/>
    </row>
    <row r="8595">
      <c r="C8595" s="18" t="n"/>
      <c r="J8595" s="19" t="n"/>
      <c r="P8595" s="20" t="n"/>
      <c r="Q8595" s="19" t="n"/>
      <c r="R8595" s="19" t="n"/>
      <c r="Y8595" s="19" t="n"/>
    </row>
    <row r="8596">
      <c r="C8596" s="18" t="n"/>
      <c r="J8596" s="19" t="n"/>
      <c r="P8596" s="20" t="n"/>
      <c r="Q8596" s="19" t="n"/>
      <c r="R8596" s="19" t="n"/>
      <c r="Y8596" s="19" t="n"/>
    </row>
    <row r="8597">
      <c r="C8597" s="18" t="n"/>
      <c r="J8597" s="19" t="n"/>
      <c r="P8597" s="20" t="n"/>
      <c r="Q8597" s="19" t="n"/>
      <c r="R8597" s="19" t="n"/>
      <c r="Y8597" s="19" t="n"/>
    </row>
    <row r="8598">
      <c r="C8598" s="18" t="n"/>
      <c r="J8598" s="19" t="n"/>
      <c r="P8598" s="20" t="n"/>
      <c r="Q8598" s="19" t="n"/>
      <c r="R8598" s="19" t="n"/>
      <c r="Y8598" s="19" t="n"/>
    </row>
    <row r="8599">
      <c r="C8599" s="18" t="n"/>
      <c r="J8599" s="19" t="n"/>
      <c r="P8599" s="20" t="n"/>
      <c r="Q8599" s="19" t="n"/>
      <c r="R8599" s="19" t="n"/>
      <c r="Y8599" s="19" t="n"/>
    </row>
    <row r="8600">
      <c r="C8600" s="18" t="n"/>
      <c r="J8600" s="19" t="n"/>
      <c r="P8600" s="20" t="n"/>
      <c r="Q8600" s="19" t="n"/>
      <c r="R8600" s="19" t="n"/>
      <c r="Y8600" s="19" t="n"/>
    </row>
    <row r="8601">
      <c r="C8601" s="18" t="n"/>
      <c r="J8601" s="19" t="n"/>
      <c r="P8601" s="20" t="n"/>
      <c r="Q8601" s="19" t="n"/>
      <c r="R8601" s="19" t="n"/>
      <c r="Y8601" s="19" t="n"/>
    </row>
    <row r="8602">
      <c r="C8602" s="18" t="n"/>
      <c r="J8602" s="19" t="n"/>
      <c r="P8602" s="20" t="n"/>
      <c r="Q8602" s="19" t="n"/>
      <c r="R8602" s="19" t="n"/>
      <c r="Y8602" s="19" t="n"/>
    </row>
    <row r="8603">
      <c r="C8603" s="18" t="n"/>
      <c r="J8603" s="19" t="n"/>
      <c r="P8603" s="20" t="n"/>
      <c r="Q8603" s="19" t="n"/>
      <c r="R8603" s="19" t="n"/>
      <c r="Y8603" s="19" t="n"/>
    </row>
    <row r="8604">
      <c r="C8604" s="18" t="n"/>
      <c r="J8604" s="19" t="n"/>
      <c r="P8604" s="20" t="n"/>
      <c r="Q8604" s="19" t="n"/>
      <c r="R8604" s="19" t="n"/>
      <c r="Y8604" s="19" t="n"/>
    </row>
    <row r="8605">
      <c r="C8605" s="18" t="n"/>
      <c r="J8605" s="19" t="n"/>
      <c r="P8605" s="20" t="n"/>
      <c r="Q8605" s="19" t="n"/>
      <c r="R8605" s="19" t="n"/>
      <c r="Y8605" s="19" t="n"/>
    </row>
    <row r="8606">
      <c r="C8606" s="18" t="n"/>
      <c r="J8606" s="19" t="n"/>
      <c r="P8606" s="20" t="n"/>
      <c r="Q8606" s="19" t="n"/>
      <c r="R8606" s="19" t="n"/>
      <c r="Y8606" s="19" t="n"/>
    </row>
    <row r="8607">
      <c r="C8607" s="18" t="n"/>
      <c r="J8607" s="19" t="n"/>
      <c r="P8607" s="20" t="n"/>
      <c r="Q8607" s="19" t="n"/>
      <c r="R8607" s="19" t="n"/>
      <c r="Y8607" s="19" t="n"/>
    </row>
    <row r="8608">
      <c r="C8608" s="18" t="n"/>
      <c r="J8608" s="19" t="n"/>
      <c r="P8608" s="20" t="n"/>
      <c r="Q8608" s="19" t="n"/>
      <c r="R8608" s="19" t="n"/>
      <c r="Y8608" s="19" t="n"/>
    </row>
    <row r="8609">
      <c r="C8609" s="18" t="n"/>
      <c r="J8609" s="19" t="n"/>
      <c r="P8609" s="20" t="n"/>
      <c r="Q8609" s="19" t="n"/>
      <c r="R8609" s="19" t="n"/>
      <c r="Y8609" s="19" t="n"/>
    </row>
    <row r="8610">
      <c r="C8610" s="18" t="n"/>
      <c r="J8610" s="19" t="n"/>
      <c r="P8610" s="20" t="n"/>
      <c r="Q8610" s="19" t="n"/>
      <c r="R8610" s="19" t="n"/>
      <c r="Y8610" s="19" t="n"/>
    </row>
    <row r="8611">
      <c r="C8611" s="18" t="n"/>
      <c r="J8611" s="19" t="n"/>
      <c r="P8611" s="20" t="n"/>
      <c r="Q8611" s="19" t="n"/>
      <c r="R8611" s="19" t="n"/>
      <c r="Y8611" s="19" t="n"/>
    </row>
    <row r="8612">
      <c r="C8612" s="18" t="n"/>
      <c r="J8612" s="19" t="n"/>
      <c r="P8612" s="20" t="n"/>
      <c r="Q8612" s="19" t="n"/>
      <c r="R8612" s="19" t="n"/>
      <c r="Y8612" s="19" t="n"/>
    </row>
    <row r="8613">
      <c r="C8613" s="18" t="n"/>
      <c r="J8613" s="19" t="n"/>
      <c r="P8613" s="20" t="n"/>
      <c r="Q8613" s="19" t="n"/>
      <c r="R8613" s="19" t="n"/>
      <c r="Y8613" s="19" t="n"/>
    </row>
    <row r="8614">
      <c r="C8614" s="18" t="n"/>
      <c r="J8614" s="19" t="n"/>
      <c r="P8614" s="20" t="n"/>
      <c r="Q8614" s="19" t="n"/>
      <c r="R8614" s="19" t="n"/>
      <c r="Y8614" s="19" t="n"/>
    </row>
    <row r="8615">
      <c r="C8615" s="18" t="n"/>
      <c r="J8615" s="19" t="n"/>
      <c r="P8615" s="20" t="n"/>
      <c r="Q8615" s="19" t="n"/>
      <c r="R8615" s="19" t="n"/>
      <c r="Y8615" s="19" t="n"/>
    </row>
    <row r="8616">
      <c r="C8616" s="18" t="n"/>
      <c r="J8616" s="19" t="n"/>
      <c r="P8616" s="20" t="n"/>
      <c r="Q8616" s="19" t="n"/>
      <c r="R8616" s="19" t="n"/>
      <c r="Y8616" s="19" t="n"/>
    </row>
    <row r="8617">
      <c r="C8617" s="18" t="n"/>
      <c r="J8617" s="19" t="n"/>
      <c r="P8617" s="20" t="n"/>
      <c r="Q8617" s="19" t="n"/>
      <c r="R8617" s="19" t="n"/>
      <c r="Y8617" s="19" t="n"/>
    </row>
    <row r="8618">
      <c r="C8618" s="18" t="n"/>
      <c r="J8618" s="19" t="n"/>
      <c r="P8618" s="20" t="n"/>
      <c r="Q8618" s="19" t="n"/>
      <c r="R8618" s="19" t="n"/>
      <c r="Y8618" s="19" t="n"/>
    </row>
    <row r="8619">
      <c r="C8619" s="18" t="n"/>
      <c r="J8619" s="19" t="n"/>
      <c r="P8619" s="20" t="n"/>
      <c r="Q8619" s="19" t="n"/>
      <c r="R8619" s="19" t="n"/>
      <c r="Y8619" s="19" t="n"/>
    </row>
    <row r="8620">
      <c r="C8620" s="18" t="n"/>
      <c r="J8620" s="19" t="n"/>
      <c r="P8620" s="20" t="n"/>
      <c r="Q8620" s="19" t="n"/>
      <c r="R8620" s="19" t="n"/>
      <c r="Y8620" s="19" t="n"/>
    </row>
    <row r="8621">
      <c r="C8621" s="18" t="n"/>
      <c r="J8621" s="19" t="n"/>
      <c r="P8621" s="20" t="n"/>
      <c r="Q8621" s="19" t="n"/>
      <c r="R8621" s="19" t="n"/>
      <c r="Y8621" s="19" t="n"/>
    </row>
    <row r="8622">
      <c r="C8622" s="18" t="n"/>
      <c r="J8622" s="19" t="n"/>
      <c r="P8622" s="20" t="n"/>
      <c r="Q8622" s="19" t="n"/>
      <c r="R8622" s="19" t="n"/>
      <c r="Y8622" s="19" t="n"/>
    </row>
    <row r="8623">
      <c r="C8623" s="18" t="n"/>
      <c r="J8623" s="19" t="n"/>
      <c r="P8623" s="20" t="n"/>
      <c r="Q8623" s="19" t="n"/>
      <c r="R8623" s="19" t="n"/>
      <c r="Y8623" s="19" t="n"/>
    </row>
    <row r="8624">
      <c r="C8624" s="18" t="n"/>
      <c r="J8624" s="19" t="n"/>
      <c r="P8624" s="20" t="n"/>
      <c r="Q8624" s="19" t="n"/>
      <c r="R8624" s="19" t="n"/>
      <c r="Y8624" s="19" t="n"/>
    </row>
    <row r="8625">
      <c r="C8625" s="18" t="n"/>
      <c r="J8625" s="19" t="n"/>
      <c r="P8625" s="20" t="n"/>
      <c r="Q8625" s="19" t="n"/>
      <c r="R8625" s="19" t="n"/>
      <c r="Y8625" s="19" t="n"/>
    </row>
    <row r="8626">
      <c r="C8626" s="18" t="n"/>
      <c r="J8626" s="19" t="n"/>
      <c r="P8626" s="20" t="n"/>
      <c r="Q8626" s="19" t="n"/>
      <c r="R8626" s="19" t="n"/>
      <c r="Y8626" s="19" t="n"/>
    </row>
    <row r="8627">
      <c r="C8627" s="18" t="n"/>
      <c r="J8627" s="19" t="n"/>
      <c r="P8627" s="20" t="n"/>
      <c r="Q8627" s="19" t="n"/>
      <c r="R8627" s="19" t="n"/>
      <c r="Y8627" s="19" t="n"/>
    </row>
    <row r="8628">
      <c r="C8628" s="18" t="n"/>
      <c r="J8628" s="19" t="n"/>
      <c r="P8628" s="20" t="n"/>
      <c r="Q8628" s="19" t="n"/>
      <c r="R8628" s="19" t="n"/>
      <c r="Y8628" s="19" t="n"/>
    </row>
    <row r="8629">
      <c r="C8629" s="18" t="n"/>
      <c r="J8629" s="19" t="n"/>
      <c r="P8629" s="20" t="n"/>
      <c r="Q8629" s="19" t="n"/>
      <c r="R8629" s="19" t="n"/>
      <c r="Y8629" s="19" t="n"/>
    </row>
    <row r="8630">
      <c r="C8630" s="18" t="n"/>
      <c r="J8630" s="19" t="n"/>
      <c r="P8630" s="20" t="n"/>
      <c r="Q8630" s="19" t="n"/>
      <c r="R8630" s="19" t="n"/>
      <c r="Y8630" s="19" t="n"/>
    </row>
    <row r="8631">
      <c r="C8631" s="18" t="n"/>
      <c r="J8631" s="19" t="n"/>
      <c r="P8631" s="20" t="n"/>
      <c r="Q8631" s="19" t="n"/>
      <c r="R8631" s="19" t="n"/>
      <c r="Y8631" s="19" t="n"/>
    </row>
    <row r="8632">
      <c r="C8632" s="18" t="n"/>
      <c r="J8632" s="19" t="n"/>
      <c r="P8632" s="20" t="n"/>
      <c r="Q8632" s="19" t="n"/>
      <c r="R8632" s="19" t="n"/>
      <c r="Y8632" s="19" t="n"/>
    </row>
    <row r="8633">
      <c r="C8633" s="18" t="n"/>
      <c r="J8633" s="19" t="n"/>
      <c r="P8633" s="20" t="n"/>
      <c r="Q8633" s="19" t="n"/>
      <c r="R8633" s="19" t="n"/>
      <c r="Y8633" s="19" t="n"/>
    </row>
    <row r="8634">
      <c r="C8634" s="18" t="n"/>
      <c r="J8634" s="19" t="n"/>
      <c r="P8634" s="20" t="n"/>
      <c r="Q8634" s="19" t="n"/>
      <c r="R8634" s="19" t="n"/>
      <c r="Y8634" s="19" t="n"/>
    </row>
    <row r="8635">
      <c r="C8635" s="18" t="n"/>
      <c r="J8635" s="19" t="n"/>
      <c r="P8635" s="20" t="n"/>
      <c r="Q8635" s="19" t="n"/>
      <c r="R8635" s="19" t="n"/>
      <c r="Y8635" s="19" t="n"/>
    </row>
    <row r="8636">
      <c r="C8636" s="18" t="n"/>
      <c r="J8636" s="19" t="n"/>
      <c r="P8636" s="20" t="n"/>
      <c r="Q8636" s="19" t="n"/>
      <c r="R8636" s="19" t="n"/>
      <c r="Y8636" s="19" t="n"/>
    </row>
    <row r="8637">
      <c r="C8637" s="18" t="n"/>
      <c r="J8637" s="19" t="n"/>
      <c r="P8637" s="20" t="n"/>
      <c r="Q8637" s="19" t="n"/>
      <c r="R8637" s="19" t="n"/>
      <c r="Y8637" s="19" t="n"/>
    </row>
    <row r="8638">
      <c r="C8638" s="18" t="n"/>
      <c r="J8638" s="19" t="n"/>
      <c r="P8638" s="20" t="n"/>
      <c r="Q8638" s="19" t="n"/>
      <c r="R8638" s="19" t="n"/>
      <c r="Y8638" s="19" t="n"/>
    </row>
    <row r="8639">
      <c r="C8639" s="18" t="n"/>
      <c r="J8639" s="19" t="n"/>
      <c r="P8639" s="20" t="n"/>
      <c r="Q8639" s="19" t="n"/>
      <c r="R8639" s="19" t="n"/>
      <c r="Y8639" s="19" t="n"/>
    </row>
    <row r="8640">
      <c r="C8640" s="18" t="n"/>
      <c r="J8640" s="19" t="n"/>
      <c r="P8640" s="20" t="n"/>
      <c r="Q8640" s="19" t="n"/>
      <c r="R8640" s="19" t="n"/>
      <c r="Y8640" s="19" t="n"/>
    </row>
    <row r="8641">
      <c r="C8641" s="18" t="n"/>
      <c r="J8641" s="19" t="n"/>
      <c r="P8641" s="20" t="n"/>
      <c r="Q8641" s="19" t="n"/>
      <c r="R8641" s="19" t="n"/>
      <c r="Y8641" s="19" t="n"/>
    </row>
    <row r="8642">
      <c r="C8642" s="18" t="n"/>
      <c r="J8642" s="19" t="n"/>
      <c r="P8642" s="20" t="n"/>
      <c r="Q8642" s="19" t="n"/>
      <c r="R8642" s="19" t="n"/>
      <c r="Y8642" s="19" t="n"/>
    </row>
    <row r="8643">
      <c r="C8643" s="18" t="n"/>
      <c r="J8643" s="19" t="n"/>
      <c r="P8643" s="20" t="n"/>
      <c r="Q8643" s="19" t="n"/>
      <c r="R8643" s="19" t="n"/>
      <c r="Y8643" s="19" t="n"/>
    </row>
    <row r="8644">
      <c r="C8644" s="18" t="n"/>
      <c r="J8644" s="19" t="n"/>
      <c r="P8644" s="20" t="n"/>
      <c r="Q8644" s="19" t="n"/>
      <c r="R8644" s="19" t="n"/>
      <c r="Y8644" s="19" t="n"/>
    </row>
    <row r="8645">
      <c r="C8645" s="18" t="n"/>
      <c r="J8645" s="19" t="n"/>
      <c r="P8645" s="20" t="n"/>
      <c r="Q8645" s="19" t="n"/>
      <c r="R8645" s="19" t="n"/>
      <c r="Y8645" s="19" t="n"/>
    </row>
    <row r="8646">
      <c r="C8646" s="18" t="n"/>
      <c r="J8646" s="19" t="n"/>
      <c r="P8646" s="20" t="n"/>
      <c r="Q8646" s="19" t="n"/>
      <c r="R8646" s="19" t="n"/>
      <c r="Y8646" s="19" t="n"/>
    </row>
    <row r="8647">
      <c r="C8647" s="18" t="n"/>
      <c r="J8647" s="19" t="n"/>
      <c r="P8647" s="20" t="n"/>
      <c r="Q8647" s="19" t="n"/>
      <c r="R8647" s="19" t="n"/>
      <c r="Y8647" s="19" t="n"/>
    </row>
    <row r="8648">
      <c r="C8648" s="18" t="n"/>
      <c r="J8648" s="19" t="n"/>
      <c r="P8648" s="20" t="n"/>
      <c r="Q8648" s="19" t="n"/>
      <c r="R8648" s="19" t="n"/>
      <c r="Y8648" s="19" t="n"/>
    </row>
    <row r="8649">
      <c r="C8649" s="18" t="n"/>
      <c r="J8649" s="19" t="n"/>
      <c r="P8649" s="20" t="n"/>
      <c r="Q8649" s="19" t="n"/>
      <c r="R8649" s="19" t="n"/>
      <c r="Y8649" s="19" t="n"/>
    </row>
    <row r="8650">
      <c r="C8650" s="18" t="n"/>
      <c r="J8650" s="19" t="n"/>
      <c r="P8650" s="20" t="n"/>
      <c r="Q8650" s="19" t="n"/>
      <c r="R8650" s="19" t="n"/>
      <c r="Y8650" s="19" t="n"/>
    </row>
    <row r="8651">
      <c r="C8651" s="18" t="n"/>
      <c r="J8651" s="19" t="n"/>
      <c r="P8651" s="20" t="n"/>
      <c r="Q8651" s="19" t="n"/>
      <c r="R8651" s="19" t="n"/>
      <c r="Y8651" s="19" t="n"/>
    </row>
    <row r="8652">
      <c r="C8652" s="18" t="n"/>
      <c r="J8652" s="19" t="n"/>
      <c r="P8652" s="20" t="n"/>
      <c r="Q8652" s="19" t="n"/>
      <c r="R8652" s="19" t="n"/>
      <c r="Y8652" s="19" t="n"/>
    </row>
    <row r="8653">
      <c r="C8653" s="18" t="n"/>
      <c r="J8653" s="19" t="n"/>
      <c r="P8653" s="20" t="n"/>
      <c r="Q8653" s="19" t="n"/>
      <c r="R8653" s="19" t="n"/>
      <c r="Y8653" s="19" t="n"/>
    </row>
    <row r="8654">
      <c r="C8654" s="18" t="n"/>
      <c r="J8654" s="19" t="n"/>
      <c r="P8654" s="20" t="n"/>
      <c r="Q8654" s="19" t="n"/>
      <c r="R8654" s="19" t="n"/>
      <c r="Y8654" s="19" t="n"/>
    </row>
    <row r="8655">
      <c r="C8655" s="18" t="n"/>
      <c r="J8655" s="19" t="n"/>
      <c r="P8655" s="20" t="n"/>
      <c r="Q8655" s="19" t="n"/>
      <c r="R8655" s="19" t="n"/>
      <c r="Y8655" s="19" t="n"/>
    </row>
    <row r="8656">
      <c r="C8656" s="18" t="n"/>
      <c r="J8656" s="19" t="n"/>
      <c r="P8656" s="20" t="n"/>
      <c r="Q8656" s="19" t="n"/>
      <c r="R8656" s="19" t="n"/>
      <c r="Y8656" s="19" t="n"/>
    </row>
    <row r="8657">
      <c r="C8657" s="18" t="n"/>
      <c r="J8657" s="19" t="n"/>
      <c r="P8657" s="20" t="n"/>
      <c r="Q8657" s="19" t="n"/>
      <c r="R8657" s="19" t="n"/>
      <c r="Y8657" s="19" t="n"/>
    </row>
    <row r="8658">
      <c r="C8658" s="18" t="n"/>
      <c r="J8658" s="19" t="n"/>
      <c r="P8658" s="20" t="n"/>
      <c r="Q8658" s="19" t="n"/>
      <c r="R8658" s="19" t="n"/>
      <c r="Y8658" s="19" t="n"/>
    </row>
    <row r="8659">
      <c r="C8659" s="18" t="n"/>
      <c r="J8659" s="19" t="n"/>
      <c r="P8659" s="20" t="n"/>
      <c r="Q8659" s="19" t="n"/>
      <c r="R8659" s="19" t="n"/>
      <c r="Y8659" s="19" t="n"/>
    </row>
    <row r="8660">
      <c r="C8660" s="18" t="n"/>
      <c r="J8660" s="19" t="n"/>
      <c r="P8660" s="20" t="n"/>
      <c r="Q8660" s="19" t="n"/>
      <c r="R8660" s="19" t="n"/>
      <c r="Y8660" s="19" t="n"/>
    </row>
    <row r="8661">
      <c r="C8661" s="18" t="n"/>
      <c r="J8661" s="19" t="n"/>
      <c r="P8661" s="20" t="n"/>
      <c r="Q8661" s="19" t="n"/>
      <c r="R8661" s="19" t="n"/>
      <c r="Y8661" s="19" t="n"/>
    </row>
    <row r="8662">
      <c r="C8662" s="18" t="n"/>
      <c r="J8662" s="19" t="n"/>
      <c r="P8662" s="20" t="n"/>
      <c r="Q8662" s="19" t="n"/>
      <c r="R8662" s="19" t="n"/>
      <c r="Y8662" s="19" t="n"/>
    </row>
    <row r="8663">
      <c r="C8663" s="18" t="n"/>
      <c r="J8663" s="19" t="n"/>
      <c r="P8663" s="20" t="n"/>
      <c r="Q8663" s="19" t="n"/>
      <c r="R8663" s="19" t="n"/>
      <c r="Y8663" s="19" t="n"/>
    </row>
    <row r="8664">
      <c r="C8664" s="18" t="n"/>
      <c r="J8664" s="19" t="n"/>
      <c r="P8664" s="20" t="n"/>
      <c r="Q8664" s="19" t="n"/>
      <c r="R8664" s="19" t="n"/>
      <c r="Y8664" s="19" t="n"/>
    </row>
    <row r="8665">
      <c r="C8665" s="18" t="n"/>
      <c r="J8665" s="19" t="n"/>
      <c r="P8665" s="20" t="n"/>
      <c r="Q8665" s="19" t="n"/>
      <c r="R8665" s="19" t="n"/>
      <c r="Y8665" s="19" t="n"/>
    </row>
    <row r="8666">
      <c r="C8666" s="18" t="n"/>
      <c r="J8666" s="19" t="n"/>
      <c r="P8666" s="20" t="n"/>
      <c r="Q8666" s="19" t="n"/>
      <c r="R8666" s="19" t="n"/>
      <c r="Y8666" s="19" t="n"/>
    </row>
    <row r="8667">
      <c r="C8667" s="18" t="n"/>
      <c r="J8667" s="19" t="n"/>
      <c r="P8667" s="20" t="n"/>
      <c r="Q8667" s="19" t="n"/>
      <c r="R8667" s="19" t="n"/>
      <c r="Y8667" s="19" t="n"/>
    </row>
    <row r="8668">
      <c r="C8668" s="18" t="n"/>
      <c r="J8668" s="19" t="n"/>
      <c r="P8668" s="20" t="n"/>
      <c r="Q8668" s="19" t="n"/>
      <c r="R8668" s="19" t="n"/>
      <c r="Y8668" s="19" t="n"/>
    </row>
    <row r="8669">
      <c r="C8669" s="18" t="n"/>
      <c r="J8669" s="19" t="n"/>
      <c r="P8669" s="20" t="n"/>
      <c r="Q8669" s="19" t="n"/>
      <c r="R8669" s="19" t="n"/>
      <c r="Y8669" s="19" t="n"/>
    </row>
    <row r="8670">
      <c r="C8670" s="18" t="n"/>
      <c r="J8670" s="19" t="n"/>
      <c r="P8670" s="20" t="n"/>
      <c r="Q8670" s="19" t="n"/>
      <c r="R8670" s="19" t="n"/>
      <c r="Y8670" s="19" t="n"/>
    </row>
    <row r="8671">
      <c r="C8671" s="18" t="n"/>
      <c r="J8671" s="19" t="n"/>
      <c r="P8671" s="20" t="n"/>
      <c r="Q8671" s="19" t="n"/>
      <c r="R8671" s="19" t="n"/>
      <c r="Y8671" s="19" t="n"/>
    </row>
    <row r="8672">
      <c r="C8672" s="18" t="n"/>
      <c r="J8672" s="19" t="n"/>
      <c r="P8672" s="20" t="n"/>
      <c r="Q8672" s="19" t="n"/>
      <c r="R8672" s="19" t="n"/>
      <c r="Y8672" s="19" t="n"/>
    </row>
    <row r="8673">
      <c r="C8673" s="18" t="n"/>
      <c r="J8673" s="19" t="n"/>
      <c r="P8673" s="20" t="n"/>
      <c r="Q8673" s="19" t="n"/>
      <c r="R8673" s="19" t="n"/>
      <c r="Y8673" s="19" t="n"/>
    </row>
    <row r="8674">
      <c r="C8674" s="18" t="n"/>
      <c r="J8674" s="19" t="n"/>
      <c r="P8674" s="20" t="n"/>
      <c r="Q8674" s="19" t="n"/>
      <c r="R8674" s="19" t="n"/>
      <c r="Y8674" s="19" t="n"/>
    </row>
    <row r="8675">
      <c r="C8675" s="18" t="n"/>
      <c r="J8675" s="19" t="n"/>
      <c r="P8675" s="20" t="n"/>
      <c r="Q8675" s="19" t="n"/>
      <c r="R8675" s="19" t="n"/>
      <c r="Y8675" s="19" t="n"/>
    </row>
    <row r="8676">
      <c r="C8676" s="18" t="n"/>
      <c r="J8676" s="19" t="n"/>
      <c r="P8676" s="20" t="n"/>
      <c r="Q8676" s="19" t="n"/>
      <c r="R8676" s="19" t="n"/>
      <c r="Y8676" s="19" t="n"/>
    </row>
    <row r="8677">
      <c r="C8677" s="18" t="n"/>
      <c r="J8677" s="19" t="n"/>
      <c r="P8677" s="20" t="n"/>
      <c r="Q8677" s="19" t="n"/>
      <c r="R8677" s="19" t="n"/>
      <c r="Y8677" s="19" t="n"/>
    </row>
    <row r="8678">
      <c r="C8678" s="18" t="n"/>
      <c r="J8678" s="19" t="n"/>
      <c r="P8678" s="20" t="n"/>
      <c r="Q8678" s="19" t="n"/>
      <c r="R8678" s="19" t="n"/>
      <c r="Y8678" s="19" t="n"/>
    </row>
    <row r="8679">
      <c r="C8679" s="18" t="n"/>
      <c r="J8679" s="19" t="n"/>
      <c r="P8679" s="20" t="n"/>
      <c r="Q8679" s="19" t="n"/>
      <c r="R8679" s="19" t="n"/>
      <c r="Y8679" s="19" t="n"/>
    </row>
    <row r="8680">
      <c r="C8680" s="18" t="n"/>
      <c r="J8680" s="19" t="n"/>
      <c r="P8680" s="20" t="n"/>
      <c r="Q8680" s="19" t="n"/>
      <c r="R8680" s="19" t="n"/>
      <c r="Y8680" s="19" t="n"/>
    </row>
    <row r="8681">
      <c r="C8681" s="18" t="n"/>
      <c r="J8681" s="19" t="n"/>
      <c r="P8681" s="20" t="n"/>
      <c r="Q8681" s="19" t="n"/>
      <c r="R8681" s="19" t="n"/>
      <c r="Y8681" s="19" t="n"/>
    </row>
    <row r="8682">
      <c r="C8682" s="18" t="n"/>
      <c r="J8682" s="19" t="n"/>
      <c r="P8682" s="20" t="n"/>
      <c r="Q8682" s="19" t="n"/>
      <c r="R8682" s="19" t="n"/>
      <c r="Y8682" s="19" t="n"/>
    </row>
    <row r="8683">
      <c r="C8683" s="18" t="n"/>
      <c r="J8683" s="19" t="n"/>
      <c r="P8683" s="20" t="n"/>
      <c r="Q8683" s="19" t="n"/>
      <c r="R8683" s="19" t="n"/>
      <c r="Y8683" s="19" t="n"/>
    </row>
    <row r="8684">
      <c r="C8684" s="18" t="n"/>
      <c r="J8684" s="19" t="n"/>
      <c r="P8684" s="20" t="n"/>
      <c r="Q8684" s="19" t="n"/>
      <c r="R8684" s="19" t="n"/>
      <c r="Y8684" s="19" t="n"/>
    </row>
    <row r="8685">
      <c r="C8685" s="18" t="n"/>
      <c r="J8685" s="19" t="n"/>
      <c r="P8685" s="20" t="n"/>
      <c r="Q8685" s="19" t="n"/>
      <c r="R8685" s="19" t="n"/>
      <c r="Y8685" s="19" t="n"/>
    </row>
    <row r="8686">
      <c r="C8686" s="18" t="n"/>
      <c r="J8686" s="19" t="n"/>
      <c r="P8686" s="20" t="n"/>
      <c r="Q8686" s="19" t="n"/>
      <c r="R8686" s="19" t="n"/>
      <c r="Y8686" s="19" t="n"/>
    </row>
    <row r="8687">
      <c r="C8687" s="18" t="n"/>
      <c r="J8687" s="19" t="n"/>
      <c r="P8687" s="20" t="n"/>
      <c r="Q8687" s="19" t="n"/>
      <c r="R8687" s="19" t="n"/>
      <c r="Y8687" s="19" t="n"/>
    </row>
    <row r="8688">
      <c r="C8688" s="18" t="n"/>
      <c r="J8688" s="19" t="n"/>
      <c r="P8688" s="20" t="n"/>
      <c r="Q8688" s="19" t="n"/>
      <c r="R8688" s="19" t="n"/>
      <c r="Y8688" s="19" t="n"/>
    </row>
    <row r="8689">
      <c r="C8689" s="18" t="n"/>
      <c r="J8689" s="19" t="n"/>
      <c r="P8689" s="20" t="n"/>
      <c r="Q8689" s="19" t="n"/>
      <c r="R8689" s="19" t="n"/>
      <c r="Y8689" s="19" t="n"/>
    </row>
    <row r="8690">
      <c r="C8690" s="18" t="n"/>
      <c r="J8690" s="19" t="n"/>
      <c r="P8690" s="20" t="n"/>
      <c r="Q8690" s="19" t="n"/>
      <c r="R8690" s="19" t="n"/>
      <c r="Y8690" s="19" t="n"/>
    </row>
    <row r="8691">
      <c r="C8691" s="18" t="n"/>
      <c r="J8691" s="19" t="n"/>
      <c r="P8691" s="20" t="n"/>
      <c r="Q8691" s="19" t="n"/>
      <c r="R8691" s="19" t="n"/>
      <c r="Y8691" s="19" t="n"/>
    </row>
    <row r="8692">
      <c r="C8692" s="18" t="n"/>
      <c r="J8692" s="19" t="n"/>
      <c r="P8692" s="20" t="n"/>
      <c r="Q8692" s="19" t="n"/>
      <c r="R8692" s="19" t="n"/>
      <c r="Y8692" s="19" t="n"/>
    </row>
    <row r="8693">
      <c r="C8693" s="18" t="n"/>
      <c r="J8693" s="19" t="n"/>
      <c r="P8693" s="20" t="n"/>
      <c r="Q8693" s="19" t="n"/>
      <c r="R8693" s="19" t="n"/>
      <c r="Y8693" s="19" t="n"/>
    </row>
    <row r="8694">
      <c r="C8694" s="18" t="n"/>
      <c r="J8694" s="19" t="n"/>
      <c r="P8694" s="20" t="n"/>
      <c r="Q8694" s="19" t="n"/>
      <c r="R8694" s="19" t="n"/>
      <c r="Y8694" s="19" t="n"/>
    </row>
    <row r="8695">
      <c r="C8695" s="18" t="n"/>
      <c r="J8695" s="19" t="n"/>
      <c r="P8695" s="20" t="n"/>
      <c r="Q8695" s="19" t="n"/>
      <c r="R8695" s="19" t="n"/>
      <c r="Y8695" s="19" t="n"/>
    </row>
    <row r="8696">
      <c r="C8696" s="18" t="n"/>
      <c r="J8696" s="19" t="n"/>
      <c r="P8696" s="20" t="n"/>
      <c r="Q8696" s="19" t="n"/>
      <c r="R8696" s="19" t="n"/>
      <c r="Y8696" s="19" t="n"/>
    </row>
    <row r="8697">
      <c r="C8697" s="18" t="n"/>
      <c r="J8697" s="19" t="n"/>
      <c r="P8697" s="20" t="n"/>
      <c r="Q8697" s="19" t="n"/>
      <c r="R8697" s="19" t="n"/>
      <c r="Y8697" s="19" t="n"/>
    </row>
    <row r="8698">
      <c r="C8698" s="18" t="n"/>
      <c r="J8698" s="19" t="n"/>
      <c r="P8698" s="20" t="n"/>
      <c r="Q8698" s="19" t="n"/>
      <c r="R8698" s="19" t="n"/>
      <c r="Y8698" s="19" t="n"/>
    </row>
    <row r="8699">
      <c r="C8699" s="18" t="n"/>
      <c r="J8699" s="19" t="n"/>
      <c r="P8699" s="20" t="n"/>
      <c r="Q8699" s="19" t="n"/>
      <c r="R8699" s="19" t="n"/>
      <c r="Y8699" s="19" t="n"/>
    </row>
    <row r="8700">
      <c r="C8700" s="18" t="n"/>
      <c r="J8700" s="19" t="n"/>
      <c r="P8700" s="20" t="n"/>
      <c r="Q8700" s="19" t="n"/>
      <c r="R8700" s="19" t="n"/>
      <c r="Y8700" s="19" t="n"/>
    </row>
    <row r="8701">
      <c r="C8701" s="18" t="n"/>
      <c r="J8701" s="19" t="n"/>
      <c r="P8701" s="20" t="n"/>
      <c r="Q8701" s="19" t="n"/>
      <c r="R8701" s="19" t="n"/>
      <c r="Y8701" s="19" t="n"/>
    </row>
    <row r="8702">
      <c r="C8702" s="18" t="n"/>
      <c r="J8702" s="19" t="n"/>
      <c r="P8702" s="20" t="n"/>
      <c r="Q8702" s="19" t="n"/>
      <c r="R8702" s="19" t="n"/>
      <c r="Y8702" s="19" t="n"/>
    </row>
    <row r="8703">
      <c r="C8703" s="18" t="n"/>
      <c r="J8703" s="19" t="n"/>
      <c r="P8703" s="20" t="n"/>
      <c r="Q8703" s="19" t="n"/>
      <c r="R8703" s="19" t="n"/>
      <c r="Y8703" s="19" t="n"/>
    </row>
    <row r="8704">
      <c r="C8704" s="18" t="n"/>
      <c r="J8704" s="19" t="n"/>
      <c r="P8704" s="20" t="n"/>
      <c r="Q8704" s="19" t="n"/>
      <c r="R8704" s="19" t="n"/>
      <c r="Y8704" s="19" t="n"/>
    </row>
    <row r="8705">
      <c r="C8705" s="18" t="n"/>
      <c r="J8705" s="19" t="n"/>
      <c r="P8705" s="20" t="n"/>
      <c r="Q8705" s="19" t="n"/>
      <c r="R8705" s="19" t="n"/>
      <c r="Y8705" s="19" t="n"/>
    </row>
    <row r="8706">
      <c r="C8706" s="18" t="n"/>
      <c r="J8706" s="19" t="n"/>
      <c r="P8706" s="20" t="n"/>
      <c r="Q8706" s="19" t="n"/>
      <c r="R8706" s="19" t="n"/>
      <c r="Y8706" s="19" t="n"/>
    </row>
    <row r="8707">
      <c r="C8707" s="18" t="n"/>
      <c r="J8707" s="19" t="n"/>
      <c r="P8707" s="20" t="n"/>
      <c r="Q8707" s="19" t="n"/>
      <c r="R8707" s="19" t="n"/>
      <c r="Y8707" s="19" t="n"/>
    </row>
    <row r="8708">
      <c r="C8708" s="18" t="n"/>
      <c r="J8708" s="19" t="n"/>
      <c r="P8708" s="20" t="n"/>
      <c r="Q8708" s="19" t="n"/>
      <c r="R8708" s="19" t="n"/>
      <c r="Y8708" s="19" t="n"/>
    </row>
    <row r="8709">
      <c r="C8709" s="18" t="n"/>
      <c r="J8709" s="19" t="n"/>
      <c r="P8709" s="20" t="n"/>
      <c r="Q8709" s="19" t="n"/>
      <c r="R8709" s="19" t="n"/>
      <c r="Y8709" s="19" t="n"/>
    </row>
    <row r="8710">
      <c r="C8710" s="18" t="n"/>
      <c r="J8710" s="19" t="n"/>
      <c r="P8710" s="20" t="n"/>
      <c r="Q8710" s="19" t="n"/>
      <c r="R8710" s="19" t="n"/>
      <c r="Y8710" s="19" t="n"/>
    </row>
    <row r="8711">
      <c r="C8711" s="18" t="n"/>
      <c r="J8711" s="19" t="n"/>
      <c r="P8711" s="20" t="n"/>
      <c r="Q8711" s="19" t="n"/>
      <c r="R8711" s="19" t="n"/>
      <c r="Y8711" s="19" t="n"/>
    </row>
    <row r="8712">
      <c r="C8712" s="18" t="n"/>
      <c r="J8712" s="19" t="n"/>
      <c r="P8712" s="20" t="n"/>
      <c r="Q8712" s="19" t="n"/>
      <c r="R8712" s="19" t="n"/>
      <c r="Y8712" s="19" t="n"/>
    </row>
    <row r="8713">
      <c r="C8713" s="18" t="n"/>
      <c r="J8713" s="19" t="n"/>
      <c r="P8713" s="20" t="n"/>
      <c r="Q8713" s="19" t="n"/>
      <c r="R8713" s="19" t="n"/>
      <c r="Y8713" s="19" t="n"/>
    </row>
    <row r="8714">
      <c r="C8714" s="18" t="n"/>
      <c r="J8714" s="19" t="n"/>
      <c r="P8714" s="20" t="n"/>
      <c r="Q8714" s="19" t="n"/>
      <c r="R8714" s="19" t="n"/>
      <c r="Y8714" s="19" t="n"/>
    </row>
    <row r="8715">
      <c r="C8715" s="18" t="n"/>
      <c r="J8715" s="19" t="n"/>
      <c r="P8715" s="20" t="n"/>
      <c r="Q8715" s="19" t="n"/>
      <c r="R8715" s="19" t="n"/>
      <c r="Y8715" s="19" t="n"/>
    </row>
    <row r="8716">
      <c r="C8716" s="18" t="n"/>
      <c r="J8716" s="19" t="n"/>
      <c r="P8716" s="20" t="n"/>
      <c r="Q8716" s="19" t="n"/>
      <c r="R8716" s="19" t="n"/>
      <c r="Y8716" s="19" t="n"/>
    </row>
    <row r="8717">
      <c r="C8717" s="18" t="n"/>
      <c r="J8717" s="19" t="n"/>
      <c r="P8717" s="20" t="n"/>
      <c r="Q8717" s="19" t="n"/>
      <c r="R8717" s="19" t="n"/>
      <c r="Y8717" s="19" t="n"/>
    </row>
    <row r="8718">
      <c r="C8718" s="18" t="n"/>
      <c r="J8718" s="19" t="n"/>
      <c r="P8718" s="20" t="n"/>
      <c r="Q8718" s="19" t="n"/>
      <c r="R8718" s="19" t="n"/>
      <c r="Y8718" s="19" t="n"/>
    </row>
    <row r="8719">
      <c r="C8719" s="18" t="n"/>
      <c r="J8719" s="19" t="n"/>
      <c r="P8719" s="20" t="n"/>
      <c r="Q8719" s="19" t="n"/>
      <c r="R8719" s="19" t="n"/>
      <c r="Y8719" s="19" t="n"/>
    </row>
    <row r="8720">
      <c r="C8720" s="18" t="n"/>
      <c r="J8720" s="19" t="n"/>
      <c r="P8720" s="20" t="n"/>
      <c r="Q8720" s="19" t="n"/>
      <c r="R8720" s="19" t="n"/>
      <c r="Y8720" s="19" t="n"/>
    </row>
    <row r="8721">
      <c r="C8721" s="18" t="n"/>
      <c r="J8721" s="19" t="n"/>
      <c r="P8721" s="20" t="n"/>
      <c r="Q8721" s="19" t="n"/>
      <c r="R8721" s="19" t="n"/>
      <c r="Y8721" s="19" t="n"/>
    </row>
    <row r="8722">
      <c r="C8722" s="18" t="n"/>
      <c r="J8722" s="19" t="n"/>
      <c r="P8722" s="20" t="n"/>
      <c r="Q8722" s="19" t="n"/>
      <c r="R8722" s="19" t="n"/>
      <c r="Y8722" s="19" t="n"/>
    </row>
    <row r="8723">
      <c r="C8723" s="18" t="n"/>
      <c r="J8723" s="19" t="n"/>
      <c r="P8723" s="20" t="n"/>
      <c r="Q8723" s="19" t="n"/>
      <c r="R8723" s="19" t="n"/>
      <c r="Y8723" s="19" t="n"/>
    </row>
    <row r="8724">
      <c r="C8724" s="18" t="n"/>
      <c r="J8724" s="19" t="n"/>
      <c r="P8724" s="20" t="n"/>
      <c r="Q8724" s="19" t="n"/>
      <c r="R8724" s="19" t="n"/>
      <c r="Y8724" s="19" t="n"/>
    </row>
    <row r="8725">
      <c r="C8725" s="18" t="n"/>
      <c r="J8725" s="19" t="n"/>
      <c r="P8725" s="20" t="n"/>
      <c r="Q8725" s="19" t="n"/>
      <c r="R8725" s="19" t="n"/>
      <c r="Y8725" s="19" t="n"/>
    </row>
    <row r="8726">
      <c r="C8726" s="18" t="n"/>
      <c r="J8726" s="19" t="n"/>
      <c r="P8726" s="20" t="n"/>
      <c r="Q8726" s="19" t="n"/>
      <c r="R8726" s="19" t="n"/>
      <c r="Y8726" s="19" t="n"/>
    </row>
    <row r="8727">
      <c r="C8727" s="18" t="n"/>
      <c r="J8727" s="19" t="n"/>
      <c r="P8727" s="20" t="n"/>
      <c r="Q8727" s="19" t="n"/>
      <c r="R8727" s="19" t="n"/>
      <c r="Y8727" s="19" t="n"/>
    </row>
    <row r="8728">
      <c r="C8728" s="18" t="n"/>
      <c r="J8728" s="19" t="n"/>
      <c r="P8728" s="20" t="n"/>
      <c r="Q8728" s="19" t="n"/>
      <c r="R8728" s="19" t="n"/>
      <c r="Y8728" s="19" t="n"/>
    </row>
    <row r="8729">
      <c r="C8729" s="18" t="n"/>
      <c r="J8729" s="19" t="n"/>
      <c r="P8729" s="20" t="n"/>
      <c r="Q8729" s="19" t="n"/>
      <c r="R8729" s="19" t="n"/>
      <c r="Y8729" s="19" t="n"/>
    </row>
    <row r="8730">
      <c r="C8730" s="18" t="n"/>
      <c r="J8730" s="19" t="n"/>
      <c r="P8730" s="20" t="n"/>
      <c r="Q8730" s="19" t="n"/>
      <c r="R8730" s="19" t="n"/>
      <c r="Y8730" s="19" t="n"/>
    </row>
    <row r="8731">
      <c r="C8731" s="18" t="n"/>
      <c r="J8731" s="19" t="n"/>
      <c r="P8731" s="20" t="n"/>
      <c r="Q8731" s="19" t="n"/>
      <c r="R8731" s="19" t="n"/>
      <c r="Y8731" s="19" t="n"/>
    </row>
    <row r="8732">
      <c r="C8732" s="18" t="n"/>
      <c r="J8732" s="19" t="n"/>
      <c r="P8732" s="20" t="n"/>
      <c r="Q8732" s="19" t="n"/>
      <c r="R8732" s="19" t="n"/>
      <c r="Y8732" s="19" t="n"/>
    </row>
    <row r="8733">
      <c r="C8733" s="18" t="n"/>
      <c r="J8733" s="19" t="n"/>
      <c r="P8733" s="20" t="n"/>
      <c r="Q8733" s="19" t="n"/>
      <c r="R8733" s="19" t="n"/>
      <c r="Y8733" s="19" t="n"/>
    </row>
    <row r="8734">
      <c r="C8734" s="18" t="n"/>
      <c r="J8734" s="19" t="n"/>
      <c r="P8734" s="20" t="n"/>
      <c r="Q8734" s="19" t="n"/>
      <c r="R8734" s="19" t="n"/>
      <c r="Y8734" s="19" t="n"/>
    </row>
    <row r="8735">
      <c r="C8735" s="18" t="n"/>
      <c r="J8735" s="19" t="n"/>
      <c r="P8735" s="20" t="n"/>
      <c r="Q8735" s="19" t="n"/>
      <c r="R8735" s="19" t="n"/>
      <c r="Y8735" s="19" t="n"/>
    </row>
    <row r="8736">
      <c r="C8736" s="18" t="n"/>
      <c r="J8736" s="19" t="n"/>
      <c r="P8736" s="20" t="n"/>
      <c r="Q8736" s="19" t="n"/>
      <c r="R8736" s="19" t="n"/>
      <c r="Y8736" s="19" t="n"/>
    </row>
    <row r="8737">
      <c r="C8737" s="18" t="n"/>
      <c r="J8737" s="19" t="n"/>
      <c r="P8737" s="20" t="n"/>
      <c r="Q8737" s="19" t="n"/>
      <c r="R8737" s="19" t="n"/>
      <c r="Y8737" s="19" t="n"/>
    </row>
    <row r="8738">
      <c r="C8738" s="18" t="n"/>
      <c r="J8738" s="19" t="n"/>
      <c r="P8738" s="20" t="n"/>
      <c r="Q8738" s="19" t="n"/>
      <c r="R8738" s="19" t="n"/>
      <c r="Y8738" s="19" t="n"/>
    </row>
    <row r="8739">
      <c r="C8739" s="18" t="n"/>
      <c r="J8739" s="19" t="n"/>
      <c r="P8739" s="20" t="n"/>
      <c r="Q8739" s="19" t="n"/>
      <c r="R8739" s="19" t="n"/>
      <c r="Y8739" s="19" t="n"/>
    </row>
    <row r="8740">
      <c r="C8740" s="18" t="n"/>
      <c r="J8740" s="19" t="n"/>
      <c r="P8740" s="20" t="n"/>
      <c r="Q8740" s="19" t="n"/>
      <c r="R8740" s="19" t="n"/>
      <c r="Y8740" s="19" t="n"/>
    </row>
    <row r="8741">
      <c r="C8741" s="18" t="n"/>
      <c r="J8741" s="19" t="n"/>
      <c r="P8741" s="20" t="n"/>
      <c r="Q8741" s="19" t="n"/>
      <c r="R8741" s="19" t="n"/>
      <c r="Y8741" s="19" t="n"/>
    </row>
    <row r="8742">
      <c r="C8742" s="18" t="n"/>
      <c r="J8742" s="19" t="n"/>
      <c r="P8742" s="20" t="n"/>
      <c r="Q8742" s="19" t="n"/>
      <c r="R8742" s="19" t="n"/>
      <c r="Y8742" s="19" t="n"/>
    </row>
    <row r="8743">
      <c r="C8743" s="18" t="n"/>
      <c r="J8743" s="19" t="n"/>
      <c r="P8743" s="20" t="n"/>
      <c r="Q8743" s="19" t="n"/>
      <c r="R8743" s="19" t="n"/>
      <c r="Y8743" s="19" t="n"/>
    </row>
    <row r="8744">
      <c r="C8744" s="18" t="n"/>
      <c r="J8744" s="19" t="n"/>
      <c r="P8744" s="20" t="n"/>
      <c r="Q8744" s="19" t="n"/>
      <c r="R8744" s="19" t="n"/>
      <c r="Y8744" s="19" t="n"/>
    </row>
    <row r="8745">
      <c r="C8745" s="18" t="n"/>
      <c r="J8745" s="19" t="n"/>
      <c r="P8745" s="20" t="n"/>
      <c r="Q8745" s="19" t="n"/>
      <c r="R8745" s="19" t="n"/>
      <c r="Y8745" s="19" t="n"/>
    </row>
    <row r="8746">
      <c r="C8746" s="18" t="n"/>
      <c r="J8746" s="19" t="n"/>
      <c r="P8746" s="20" t="n"/>
      <c r="Q8746" s="19" t="n"/>
      <c r="R8746" s="19" t="n"/>
      <c r="Y8746" s="19" t="n"/>
    </row>
    <row r="8747">
      <c r="C8747" s="18" t="n"/>
      <c r="J8747" s="19" t="n"/>
      <c r="P8747" s="20" t="n"/>
      <c r="Q8747" s="19" t="n"/>
      <c r="R8747" s="19" t="n"/>
      <c r="Y8747" s="19" t="n"/>
    </row>
    <row r="8748">
      <c r="C8748" s="18" t="n"/>
      <c r="J8748" s="19" t="n"/>
      <c r="P8748" s="20" t="n"/>
      <c r="Q8748" s="19" t="n"/>
      <c r="R8748" s="19" t="n"/>
      <c r="Y8748" s="19" t="n"/>
    </row>
    <row r="8749">
      <c r="C8749" s="18" t="n"/>
      <c r="J8749" s="19" t="n"/>
      <c r="P8749" s="20" t="n"/>
      <c r="Q8749" s="19" t="n"/>
      <c r="R8749" s="19" t="n"/>
      <c r="Y8749" s="19" t="n"/>
    </row>
    <row r="8750">
      <c r="C8750" s="18" t="n"/>
      <c r="J8750" s="19" t="n"/>
      <c r="P8750" s="20" t="n"/>
      <c r="Q8750" s="19" t="n"/>
      <c r="R8750" s="19" t="n"/>
      <c r="Y8750" s="19" t="n"/>
    </row>
    <row r="8751">
      <c r="C8751" s="18" t="n"/>
      <c r="J8751" s="19" t="n"/>
      <c r="P8751" s="20" t="n"/>
      <c r="Q8751" s="19" t="n"/>
      <c r="R8751" s="19" t="n"/>
      <c r="Y8751" s="19" t="n"/>
    </row>
    <row r="8752">
      <c r="C8752" s="18" t="n"/>
      <c r="J8752" s="19" t="n"/>
      <c r="P8752" s="20" t="n"/>
      <c r="Q8752" s="19" t="n"/>
      <c r="R8752" s="19" t="n"/>
      <c r="Y8752" s="19" t="n"/>
    </row>
    <row r="8753">
      <c r="C8753" s="18" t="n"/>
      <c r="J8753" s="19" t="n"/>
      <c r="P8753" s="20" t="n"/>
      <c r="Q8753" s="19" t="n"/>
      <c r="R8753" s="19" t="n"/>
      <c r="Y8753" s="19" t="n"/>
    </row>
    <row r="8754">
      <c r="C8754" s="18" t="n"/>
      <c r="J8754" s="19" t="n"/>
      <c r="P8754" s="20" t="n"/>
      <c r="Q8754" s="19" t="n"/>
      <c r="R8754" s="19" t="n"/>
      <c r="Y8754" s="19" t="n"/>
    </row>
    <row r="8755">
      <c r="C8755" s="18" t="n"/>
      <c r="J8755" s="19" t="n"/>
      <c r="P8755" s="20" t="n"/>
      <c r="Q8755" s="19" t="n"/>
      <c r="R8755" s="19" t="n"/>
      <c r="Y8755" s="19" t="n"/>
    </row>
    <row r="8756">
      <c r="C8756" s="18" t="n"/>
      <c r="J8756" s="19" t="n"/>
      <c r="P8756" s="20" t="n"/>
      <c r="Q8756" s="19" t="n"/>
      <c r="R8756" s="19" t="n"/>
      <c r="Y8756" s="19" t="n"/>
    </row>
    <row r="8757">
      <c r="C8757" s="18" t="n"/>
      <c r="J8757" s="19" t="n"/>
      <c r="P8757" s="20" t="n"/>
      <c r="Q8757" s="19" t="n"/>
      <c r="R8757" s="19" t="n"/>
      <c r="Y8757" s="19" t="n"/>
    </row>
    <row r="8758">
      <c r="C8758" s="18" t="n"/>
      <c r="J8758" s="19" t="n"/>
      <c r="P8758" s="20" t="n"/>
      <c r="Q8758" s="19" t="n"/>
      <c r="R8758" s="19" t="n"/>
      <c r="Y8758" s="19" t="n"/>
    </row>
    <row r="8759">
      <c r="C8759" s="18" t="n"/>
      <c r="J8759" s="19" t="n"/>
      <c r="P8759" s="20" t="n"/>
      <c r="Q8759" s="19" t="n"/>
      <c r="R8759" s="19" t="n"/>
      <c r="Y8759" s="19" t="n"/>
    </row>
    <row r="8760">
      <c r="C8760" s="18" t="n"/>
      <c r="J8760" s="19" t="n"/>
      <c r="P8760" s="20" t="n"/>
      <c r="Q8760" s="19" t="n"/>
      <c r="R8760" s="19" t="n"/>
      <c r="Y8760" s="19" t="n"/>
    </row>
    <row r="8761">
      <c r="C8761" s="18" t="n"/>
      <c r="J8761" s="19" t="n"/>
      <c r="P8761" s="20" t="n"/>
      <c r="Q8761" s="19" t="n"/>
      <c r="R8761" s="19" t="n"/>
      <c r="Y8761" s="19" t="n"/>
    </row>
    <row r="8762">
      <c r="C8762" s="18" t="n"/>
      <c r="J8762" s="19" t="n"/>
      <c r="P8762" s="20" t="n"/>
      <c r="Q8762" s="19" t="n"/>
      <c r="R8762" s="19" t="n"/>
      <c r="Y8762" s="19" t="n"/>
    </row>
    <row r="8763">
      <c r="C8763" s="18" t="n"/>
      <c r="J8763" s="19" t="n"/>
      <c r="P8763" s="20" t="n"/>
      <c r="Q8763" s="19" t="n"/>
      <c r="R8763" s="19" t="n"/>
      <c r="Y8763" s="19" t="n"/>
    </row>
    <row r="8764">
      <c r="C8764" s="18" t="n"/>
      <c r="J8764" s="19" t="n"/>
      <c r="P8764" s="20" t="n"/>
      <c r="Q8764" s="19" t="n"/>
      <c r="R8764" s="19" t="n"/>
      <c r="Y8764" s="19" t="n"/>
    </row>
    <row r="8765">
      <c r="C8765" s="18" t="n"/>
      <c r="J8765" s="19" t="n"/>
      <c r="P8765" s="20" t="n"/>
      <c r="Q8765" s="19" t="n"/>
      <c r="R8765" s="19" t="n"/>
      <c r="Y8765" s="19" t="n"/>
    </row>
    <row r="8766">
      <c r="C8766" s="18" t="n"/>
      <c r="J8766" s="19" t="n"/>
      <c r="P8766" s="20" t="n"/>
      <c r="Q8766" s="19" t="n"/>
      <c r="R8766" s="19" t="n"/>
      <c r="Y8766" s="19" t="n"/>
    </row>
    <row r="8767">
      <c r="C8767" s="18" t="n"/>
      <c r="J8767" s="19" t="n"/>
      <c r="P8767" s="20" t="n"/>
      <c r="Q8767" s="19" t="n"/>
      <c r="R8767" s="19" t="n"/>
      <c r="Y8767" s="19" t="n"/>
    </row>
    <row r="8768">
      <c r="C8768" s="18" t="n"/>
      <c r="J8768" s="19" t="n"/>
      <c r="P8768" s="20" t="n"/>
      <c r="Q8768" s="19" t="n"/>
      <c r="R8768" s="19" t="n"/>
      <c r="Y8768" s="19" t="n"/>
    </row>
    <row r="8769">
      <c r="C8769" s="18" t="n"/>
      <c r="J8769" s="19" t="n"/>
      <c r="P8769" s="20" t="n"/>
      <c r="Q8769" s="19" t="n"/>
      <c r="R8769" s="19" t="n"/>
      <c r="Y8769" s="19" t="n"/>
    </row>
    <row r="8770">
      <c r="C8770" s="18" t="n"/>
      <c r="J8770" s="19" t="n"/>
      <c r="P8770" s="20" t="n"/>
      <c r="Q8770" s="19" t="n"/>
      <c r="R8770" s="19" t="n"/>
      <c r="Y8770" s="19" t="n"/>
    </row>
    <row r="8771">
      <c r="C8771" s="18" t="n"/>
      <c r="J8771" s="19" t="n"/>
      <c r="P8771" s="20" t="n"/>
      <c r="Q8771" s="19" t="n"/>
      <c r="R8771" s="19" t="n"/>
      <c r="Y8771" s="19" t="n"/>
    </row>
    <row r="8772">
      <c r="C8772" s="18" t="n"/>
      <c r="J8772" s="19" t="n"/>
      <c r="P8772" s="20" t="n"/>
      <c r="Q8772" s="19" t="n"/>
      <c r="R8772" s="19" t="n"/>
      <c r="Y8772" s="19" t="n"/>
    </row>
    <row r="8773">
      <c r="C8773" s="18" t="n"/>
      <c r="J8773" s="19" t="n"/>
      <c r="P8773" s="20" t="n"/>
      <c r="Q8773" s="19" t="n"/>
      <c r="R8773" s="19" t="n"/>
      <c r="Y8773" s="19" t="n"/>
    </row>
    <row r="8774">
      <c r="C8774" s="18" t="n"/>
      <c r="J8774" s="19" t="n"/>
      <c r="P8774" s="20" t="n"/>
      <c r="Q8774" s="19" t="n"/>
      <c r="R8774" s="19" t="n"/>
      <c r="Y8774" s="19" t="n"/>
    </row>
    <row r="8775">
      <c r="C8775" s="18" t="n"/>
      <c r="J8775" s="19" t="n"/>
      <c r="P8775" s="20" t="n"/>
      <c r="Q8775" s="19" t="n"/>
      <c r="R8775" s="19" t="n"/>
      <c r="Y8775" s="19" t="n"/>
    </row>
    <row r="8776">
      <c r="C8776" s="18" t="n"/>
      <c r="J8776" s="19" t="n"/>
      <c r="P8776" s="20" t="n"/>
      <c r="Q8776" s="19" t="n"/>
      <c r="R8776" s="19" t="n"/>
      <c r="Y8776" s="19" t="n"/>
    </row>
    <row r="8777">
      <c r="C8777" s="18" t="n"/>
      <c r="J8777" s="19" t="n"/>
      <c r="P8777" s="20" t="n"/>
      <c r="Q8777" s="19" t="n"/>
      <c r="R8777" s="19" t="n"/>
      <c r="Y8777" s="19" t="n"/>
    </row>
    <row r="8778">
      <c r="C8778" s="18" t="n"/>
      <c r="J8778" s="19" t="n"/>
      <c r="P8778" s="20" t="n"/>
      <c r="Q8778" s="19" t="n"/>
      <c r="R8778" s="19" t="n"/>
      <c r="Y8778" s="19" t="n"/>
    </row>
    <row r="8779">
      <c r="C8779" s="18" t="n"/>
      <c r="J8779" s="19" t="n"/>
      <c r="P8779" s="20" t="n"/>
      <c r="Q8779" s="19" t="n"/>
      <c r="R8779" s="19" t="n"/>
      <c r="Y8779" s="19" t="n"/>
    </row>
    <row r="8780">
      <c r="C8780" s="18" t="n"/>
      <c r="J8780" s="19" t="n"/>
      <c r="P8780" s="20" t="n"/>
      <c r="Q8780" s="19" t="n"/>
      <c r="R8780" s="19" t="n"/>
      <c r="Y8780" s="19" t="n"/>
    </row>
    <row r="8781">
      <c r="C8781" s="18" t="n"/>
      <c r="J8781" s="19" t="n"/>
      <c r="P8781" s="20" t="n"/>
      <c r="Q8781" s="19" t="n"/>
      <c r="R8781" s="19" t="n"/>
      <c r="Y8781" s="19" t="n"/>
    </row>
    <row r="8782">
      <c r="C8782" s="18" t="n"/>
      <c r="J8782" s="19" t="n"/>
      <c r="P8782" s="20" t="n"/>
      <c r="Q8782" s="19" t="n"/>
      <c r="R8782" s="19" t="n"/>
      <c r="Y8782" s="19" t="n"/>
    </row>
    <row r="8783">
      <c r="C8783" s="18" t="n"/>
      <c r="J8783" s="19" t="n"/>
      <c r="P8783" s="20" t="n"/>
      <c r="Q8783" s="19" t="n"/>
      <c r="R8783" s="19" t="n"/>
      <c r="Y8783" s="19" t="n"/>
    </row>
    <row r="8784">
      <c r="C8784" s="18" t="n"/>
      <c r="J8784" s="19" t="n"/>
      <c r="P8784" s="20" t="n"/>
      <c r="Q8784" s="19" t="n"/>
      <c r="R8784" s="19" t="n"/>
      <c r="Y8784" s="19" t="n"/>
    </row>
    <row r="8785">
      <c r="C8785" s="18" t="n"/>
      <c r="J8785" s="19" t="n"/>
      <c r="P8785" s="20" t="n"/>
      <c r="Q8785" s="19" t="n"/>
      <c r="R8785" s="19" t="n"/>
      <c r="Y8785" s="19" t="n"/>
    </row>
    <row r="8786">
      <c r="C8786" s="18" t="n"/>
      <c r="J8786" s="19" t="n"/>
      <c r="P8786" s="20" t="n"/>
      <c r="Q8786" s="19" t="n"/>
      <c r="R8786" s="19" t="n"/>
      <c r="Y8786" s="19" t="n"/>
    </row>
    <row r="8787">
      <c r="C8787" s="18" t="n"/>
      <c r="J8787" s="19" t="n"/>
      <c r="P8787" s="20" t="n"/>
      <c r="Q8787" s="19" t="n"/>
      <c r="R8787" s="19" t="n"/>
      <c r="Y8787" s="19" t="n"/>
    </row>
    <row r="8788">
      <c r="C8788" s="18" t="n"/>
      <c r="J8788" s="19" t="n"/>
      <c r="P8788" s="20" t="n"/>
      <c r="Q8788" s="19" t="n"/>
      <c r="R8788" s="19" t="n"/>
      <c r="Y8788" s="19" t="n"/>
    </row>
    <row r="8789">
      <c r="C8789" s="18" t="n"/>
      <c r="J8789" s="19" t="n"/>
      <c r="P8789" s="20" t="n"/>
      <c r="Q8789" s="19" t="n"/>
      <c r="R8789" s="19" t="n"/>
      <c r="Y8789" s="19" t="n"/>
    </row>
    <row r="8790">
      <c r="C8790" s="18" t="n"/>
      <c r="J8790" s="19" t="n"/>
      <c r="P8790" s="20" t="n"/>
      <c r="Q8790" s="19" t="n"/>
      <c r="R8790" s="19" t="n"/>
      <c r="Y8790" s="19" t="n"/>
    </row>
    <row r="8791">
      <c r="C8791" s="18" t="n"/>
      <c r="J8791" s="19" t="n"/>
      <c r="P8791" s="20" t="n"/>
      <c r="Q8791" s="19" t="n"/>
      <c r="R8791" s="19" t="n"/>
      <c r="Y8791" s="19" t="n"/>
    </row>
    <row r="8792">
      <c r="C8792" s="18" t="n"/>
      <c r="J8792" s="19" t="n"/>
      <c r="P8792" s="20" t="n"/>
      <c r="Q8792" s="19" t="n"/>
      <c r="R8792" s="19" t="n"/>
      <c r="Y8792" s="19" t="n"/>
    </row>
    <row r="8793">
      <c r="C8793" s="18" t="n"/>
      <c r="J8793" s="19" t="n"/>
      <c r="P8793" s="20" t="n"/>
      <c r="Q8793" s="19" t="n"/>
      <c r="R8793" s="19" t="n"/>
      <c r="Y8793" s="19" t="n"/>
    </row>
    <row r="8794">
      <c r="C8794" s="18" t="n"/>
      <c r="J8794" s="19" t="n"/>
      <c r="P8794" s="20" t="n"/>
      <c r="Q8794" s="19" t="n"/>
      <c r="R8794" s="19" t="n"/>
      <c r="Y8794" s="19" t="n"/>
    </row>
    <row r="8795">
      <c r="C8795" s="18" t="n"/>
      <c r="J8795" s="19" t="n"/>
      <c r="P8795" s="20" t="n"/>
      <c r="Q8795" s="19" t="n"/>
      <c r="R8795" s="19" t="n"/>
      <c r="Y8795" s="19" t="n"/>
    </row>
    <row r="8796">
      <c r="C8796" s="18" t="n"/>
      <c r="J8796" s="19" t="n"/>
      <c r="P8796" s="20" t="n"/>
      <c r="Q8796" s="19" t="n"/>
      <c r="R8796" s="19" t="n"/>
      <c r="Y8796" s="19" t="n"/>
    </row>
    <row r="8797">
      <c r="C8797" s="18" t="n"/>
      <c r="J8797" s="19" t="n"/>
      <c r="P8797" s="20" t="n"/>
      <c r="Q8797" s="19" t="n"/>
      <c r="R8797" s="19" t="n"/>
      <c r="Y8797" s="19" t="n"/>
    </row>
    <row r="8798">
      <c r="C8798" s="18" t="n"/>
      <c r="J8798" s="19" t="n"/>
      <c r="P8798" s="20" t="n"/>
      <c r="Q8798" s="19" t="n"/>
      <c r="R8798" s="19" t="n"/>
      <c r="Y8798" s="19" t="n"/>
    </row>
    <row r="8799">
      <c r="C8799" s="18" t="n"/>
      <c r="J8799" s="19" t="n"/>
      <c r="P8799" s="20" t="n"/>
      <c r="Q8799" s="19" t="n"/>
      <c r="R8799" s="19" t="n"/>
      <c r="Y8799" s="19" t="n"/>
    </row>
    <row r="8800">
      <c r="C8800" s="18" t="n"/>
      <c r="J8800" s="19" t="n"/>
      <c r="P8800" s="20" t="n"/>
      <c r="Q8800" s="19" t="n"/>
      <c r="R8800" s="19" t="n"/>
      <c r="Y8800" s="19" t="n"/>
    </row>
    <row r="8801">
      <c r="C8801" s="18" t="n"/>
      <c r="J8801" s="19" t="n"/>
      <c r="P8801" s="20" t="n"/>
      <c r="Q8801" s="19" t="n"/>
      <c r="R8801" s="19" t="n"/>
      <c r="Y8801" s="19" t="n"/>
    </row>
    <row r="8802">
      <c r="C8802" s="18" t="n"/>
      <c r="J8802" s="19" t="n"/>
      <c r="P8802" s="20" t="n"/>
      <c r="Q8802" s="19" t="n"/>
      <c r="R8802" s="19" t="n"/>
      <c r="Y8802" s="19" t="n"/>
    </row>
    <row r="8803">
      <c r="C8803" s="18" t="n"/>
      <c r="J8803" s="19" t="n"/>
      <c r="P8803" s="20" t="n"/>
      <c r="Q8803" s="19" t="n"/>
      <c r="R8803" s="19" t="n"/>
      <c r="Y8803" s="19" t="n"/>
    </row>
    <row r="8804">
      <c r="C8804" s="18" t="n"/>
      <c r="J8804" s="19" t="n"/>
      <c r="P8804" s="20" t="n"/>
      <c r="Q8804" s="19" t="n"/>
      <c r="R8804" s="19" t="n"/>
      <c r="Y8804" s="19" t="n"/>
    </row>
    <row r="8805">
      <c r="C8805" s="18" t="n"/>
      <c r="J8805" s="19" t="n"/>
      <c r="P8805" s="20" t="n"/>
      <c r="Q8805" s="19" t="n"/>
      <c r="R8805" s="19" t="n"/>
      <c r="Y8805" s="19" t="n"/>
    </row>
    <row r="8806">
      <c r="C8806" s="18" t="n"/>
      <c r="J8806" s="19" t="n"/>
      <c r="P8806" s="20" t="n"/>
      <c r="Q8806" s="19" t="n"/>
      <c r="R8806" s="19" t="n"/>
      <c r="Y8806" s="19" t="n"/>
    </row>
    <row r="8807">
      <c r="C8807" s="18" t="n"/>
      <c r="J8807" s="19" t="n"/>
      <c r="P8807" s="20" t="n"/>
      <c r="Q8807" s="19" t="n"/>
      <c r="R8807" s="19" t="n"/>
      <c r="Y8807" s="19" t="n"/>
    </row>
    <row r="8808">
      <c r="C8808" s="18" t="n"/>
      <c r="J8808" s="19" t="n"/>
      <c r="P8808" s="20" t="n"/>
      <c r="Q8808" s="19" t="n"/>
      <c r="R8808" s="19" t="n"/>
      <c r="Y8808" s="19" t="n"/>
    </row>
    <row r="8809">
      <c r="C8809" s="18" t="n"/>
      <c r="J8809" s="19" t="n"/>
      <c r="P8809" s="20" t="n"/>
      <c r="Q8809" s="19" t="n"/>
      <c r="R8809" s="19" t="n"/>
      <c r="Y8809" s="19" t="n"/>
    </row>
    <row r="8810">
      <c r="C8810" s="18" t="n"/>
      <c r="J8810" s="19" t="n"/>
      <c r="P8810" s="20" t="n"/>
      <c r="Q8810" s="19" t="n"/>
      <c r="R8810" s="19" t="n"/>
      <c r="Y8810" s="19" t="n"/>
    </row>
    <row r="8811">
      <c r="C8811" s="18" t="n"/>
      <c r="J8811" s="19" t="n"/>
      <c r="P8811" s="20" t="n"/>
      <c r="Q8811" s="19" t="n"/>
      <c r="R8811" s="19" t="n"/>
      <c r="Y8811" s="19" t="n"/>
    </row>
    <row r="8812">
      <c r="C8812" s="18" t="n"/>
      <c r="J8812" s="19" t="n"/>
      <c r="P8812" s="20" t="n"/>
      <c r="Q8812" s="19" t="n"/>
      <c r="R8812" s="19" t="n"/>
      <c r="Y8812" s="19" t="n"/>
    </row>
    <row r="8813">
      <c r="C8813" s="18" t="n"/>
      <c r="J8813" s="19" t="n"/>
      <c r="P8813" s="20" t="n"/>
      <c r="Q8813" s="19" t="n"/>
      <c r="R8813" s="19" t="n"/>
      <c r="Y8813" s="19" t="n"/>
    </row>
    <row r="8814">
      <c r="C8814" s="18" t="n"/>
      <c r="J8814" s="19" t="n"/>
      <c r="P8814" s="20" t="n"/>
      <c r="Q8814" s="19" t="n"/>
      <c r="R8814" s="19" t="n"/>
      <c r="Y8814" s="19" t="n"/>
    </row>
    <row r="8815">
      <c r="C8815" s="18" t="n"/>
      <c r="J8815" s="19" t="n"/>
      <c r="P8815" s="20" t="n"/>
      <c r="Q8815" s="19" t="n"/>
      <c r="R8815" s="19" t="n"/>
      <c r="Y8815" s="19" t="n"/>
    </row>
    <row r="8816">
      <c r="C8816" s="18" t="n"/>
      <c r="J8816" s="19" t="n"/>
      <c r="P8816" s="20" t="n"/>
      <c r="Q8816" s="19" t="n"/>
      <c r="R8816" s="19" t="n"/>
      <c r="Y8816" s="19" t="n"/>
    </row>
    <row r="8817">
      <c r="C8817" s="18" t="n"/>
      <c r="J8817" s="19" t="n"/>
      <c r="P8817" s="20" t="n"/>
      <c r="Q8817" s="19" t="n"/>
      <c r="R8817" s="19" t="n"/>
      <c r="Y8817" s="19" t="n"/>
    </row>
    <row r="8818">
      <c r="C8818" s="18" t="n"/>
      <c r="J8818" s="19" t="n"/>
      <c r="P8818" s="20" t="n"/>
      <c r="Q8818" s="19" t="n"/>
      <c r="R8818" s="19" t="n"/>
      <c r="Y8818" s="19" t="n"/>
    </row>
    <row r="8819">
      <c r="C8819" s="18" t="n"/>
      <c r="J8819" s="19" t="n"/>
      <c r="P8819" s="20" t="n"/>
      <c r="Q8819" s="19" t="n"/>
      <c r="R8819" s="19" t="n"/>
      <c r="Y8819" s="19" t="n"/>
    </row>
    <row r="8820">
      <c r="C8820" s="18" t="n"/>
      <c r="J8820" s="19" t="n"/>
      <c r="P8820" s="20" t="n"/>
      <c r="Q8820" s="19" t="n"/>
      <c r="R8820" s="19" t="n"/>
      <c r="Y8820" s="19" t="n"/>
    </row>
    <row r="8821">
      <c r="C8821" s="18" t="n"/>
      <c r="J8821" s="19" t="n"/>
      <c r="P8821" s="20" t="n"/>
      <c r="Q8821" s="19" t="n"/>
      <c r="R8821" s="19" t="n"/>
      <c r="Y8821" s="19" t="n"/>
    </row>
    <row r="8822">
      <c r="C8822" s="18" t="n"/>
      <c r="J8822" s="19" t="n"/>
      <c r="P8822" s="20" t="n"/>
      <c r="Q8822" s="19" t="n"/>
      <c r="R8822" s="19" t="n"/>
      <c r="Y8822" s="19" t="n"/>
    </row>
    <row r="8823">
      <c r="C8823" s="18" t="n"/>
      <c r="J8823" s="19" t="n"/>
      <c r="P8823" s="20" t="n"/>
      <c r="Q8823" s="19" t="n"/>
      <c r="R8823" s="19" t="n"/>
      <c r="Y8823" s="19" t="n"/>
    </row>
    <row r="8824">
      <c r="C8824" s="18" t="n"/>
      <c r="J8824" s="19" t="n"/>
      <c r="P8824" s="20" t="n"/>
      <c r="Q8824" s="19" t="n"/>
      <c r="R8824" s="19" t="n"/>
      <c r="Y8824" s="19" t="n"/>
    </row>
    <row r="8825">
      <c r="C8825" s="18" t="n"/>
      <c r="J8825" s="19" t="n"/>
      <c r="P8825" s="20" t="n"/>
      <c r="Q8825" s="19" t="n"/>
      <c r="R8825" s="19" t="n"/>
      <c r="Y8825" s="19" t="n"/>
    </row>
    <row r="8826">
      <c r="C8826" s="18" t="n"/>
      <c r="J8826" s="19" t="n"/>
      <c r="P8826" s="20" t="n"/>
      <c r="Q8826" s="19" t="n"/>
      <c r="R8826" s="19" t="n"/>
      <c r="Y8826" s="19" t="n"/>
    </row>
    <row r="8827">
      <c r="C8827" s="18" t="n"/>
      <c r="J8827" s="19" t="n"/>
      <c r="P8827" s="20" t="n"/>
      <c r="Q8827" s="19" t="n"/>
      <c r="R8827" s="19" t="n"/>
      <c r="Y8827" s="19" t="n"/>
    </row>
    <row r="8828">
      <c r="C8828" s="18" t="n"/>
      <c r="J8828" s="19" t="n"/>
      <c r="P8828" s="20" t="n"/>
      <c r="Q8828" s="19" t="n"/>
      <c r="R8828" s="19" t="n"/>
      <c r="Y8828" s="19" t="n"/>
    </row>
    <row r="8829">
      <c r="C8829" s="18" t="n"/>
      <c r="J8829" s="19" t="n"/>
      <c r="P8829" s="20" t="n"/>
      <c r="Q8829" s="19" t="n"/>
      <c r="R8829" s="19" t="n"/>
      <c r="Y8829" s="19" t="n"/>
    </row>
    <row r="8830">
      <c r="C8830" s="18" t="n"/>
      <c r="J8830" s="19" t="n"/>
      <c r="P8830" s="20" t="n"/>
      <c r="Q8830" s="19" t="n"/>
      <c r="R8830" s="19" t="n"/>
      <c r="Y8830" s="19" t="n"/>
    </row>
    <row r="8831">
      <c r="C8831" s="18" t="n"/>
      <c r="J8831" s="19" t="n"/>
      <c r="P8831" s="20" t="n"/>
      <c r="Q8831" s="19" t="n"/>
      <c r="R8831" s="19" t="n"/>
      <c r="Y8831" s="19" t="n"/>
    </row>
    <row r="8832">
      <c r="C8832" s="18" t="n"/>
      <c r="J8832" s="19" t="n"/>
      <c r="P8832" s="20" t="n"/>
      <c r="Q8832" s="19" t="n"/>
      <c r="R8832" s="19" t="n"/>
      <c r="Y8832" s="19" t="n"/>
    </row>
    <row r="8833">
      <c r="C8833" s="18" t="n"/>
      <c r="J8833" s="19" t="n"/>
      <c r="P8833" s="20" t="n"/>
      <c r="Q8833" s="19" t="n"/>
      <c r="R8833" s="19" t="n"/>
      <c r="Y8833" s="19" t="n"/>
    </row>
    <row r="8834">
      <c r="C8834" s="18" t="n"/>
      <c r="J8834" s="19" t="n"/>
      <c r="P8834" s="20" t="n"/>
      <c r="Q8834" s="19" t="n"/>
      <c r="R8834" s="19" t="n"/>
      <c r="Y8834" s="19" t="n"/>
    </row>
    <row r="8835">
      <c r="C8835" s="18" t="n"/>
      <c r="J8835" s="19" t="n"/>
      <c r="P8835" s="20" t="n"/>
      <c r="Q8835" s="19" t="n"/>
      <c r="R8835" s="19" t="n"/>
      <c r="Y8835" s="19" t="n"/>
    </row>
    <row r="8836">
      <c r="C8836" s="18" t="n"/>
      <c r="J8836" s="19" t="n"/>
      <c r="P8836" s="20" t="n"/>
      <c r="Q8836" s="19" t="n"/>
      <c r="R8836" s="19" t="n"/>
      <c r="Y8836" s="19" t="n"/>
    </row>
    <row r="8837">
      <c r="C8837" s="18" t="n"/>
      <c r="J8837" s="19" t="n"/>
      <c r="P8837" s="20" t="n"/>
      <c r="Q8837" s="19" t="n"/>
      <c r="R8837" s="19" t="n"/>
      <c r="Y8837" s="19" t="n"/>
    </row>
    <row r="8838">
      <c r="C8838" s="18" t="n"/>
      <c r="J8838" s="19" t="n"/>
      <c r="P8838" s="20" t="n"/>
      <c r="Q8838" s="19" t="n"/>
      <c r="R8838" s="19" t="n"/>
      <c r="Y8838" s="19" t="n"/>
    </row>
    <row r="8839">
      <c r="C8839" s="18" t="n"/>
      <c r="J8839" s="19" t="n"/>
      <c r="P8839" s="20" t="n"/>
      <c r="Q8839" s="19" t="n"/>
      <c r="R8839" s="19" t="n"/>
      <c r="Y8839" s="19" t="n"/>
    </row>
    <row r="8840">
      <c r="C8840" s="18" t="n"/>
      <c r="J8840" s="19" t="n"/>
      <c r="P8840" s="20" t="n"/>
      <c r="Q8840" s="19" t="n"/>
      <c r="R8840" s="19" t="n"/>
      <c r="Y8840" s="19" t="n"/>
    </row>
    <row r="8841">
      <c r="C8841" s="18" t="n"/>
      <c r="J8841" s="19" t="n"/>
      <c r="P8841" s="20" t="n"/>
      <c r="Q8841" s="19" t="n"/>
      <c r="R8841" s="19" t="n"/>
      <c r="Y8841" s="19" t="n"/>
    </row>
    <row r="8842">
      <c r="C8842" s="18" t="n"/>
      <c r="J8842" s="19" t="n"/>
      <c r="P8842" s="20" t="n"/>
      <c r="Q8842" s="19" t="n"/>
      <c r="R8842" s="19" t="n"/>
      <c r="Y8842" s="19" t="n"/>
    </row>
    <row r="8843">
      <c r="C8843" s="18" t="n"/>
      <c r="J8843" s="19" t="n"/>
      <c r="P8843" s="20" t="n"/>
      <c r="Q8843" s="19" t="n"/>
      <c r="R8843" s="19" t="n"/>
      <c r="Y8843" s="19" t="n"/>
    </row>
    <row r="8844">
      <c r="C8844" s="18" t="n"/>
      <c r="J8844" s="19" t="n"/>
      <c r="P8844" s="20" t="n"/>
      <c r="Q8844" s="19" t="n"/>
      <c r="R8844" s="19" t="n"/>
      <c r="Y8844" s="19" t="n"/>
    </row>
    <row r="8845">
      <c r="C8845" s="18" t="n"/>
      <c r="J8845" s="19" t="n"/>
      <c r="P8845" s="20" t="n"/>
      <c r="Q8845" s="19" t="n"/>
      <c r="R8845" s="19" t="n"/>
      <c r="Y8845" s="19" t="n"/>
    </row>
    <row r="8846">
      <c r="C8846" s="18" t="n"/>
      <c r="J8846" s="19" t="n"/>
      <c r="P8846" s="20" t="n"/>
      <c r="Q8846" s="19" t="n"/>
      <c r="R8846" s="19" t="n"/>
      <c r="Y8846" s="19" t="n"/>
    </row>
    <row r="8847">
      <c r="C8847" s="18" t="n"/>
      <c r="J8847" s="19" t="n"/>
      <c r="P8847" s="20" t="n"/>
      <c r="Q8847" s="19" t="n"/>
      <c r="R8847" s="19" t="n"/>
      <c r="Y8847" s="19" t="n"/>
    </row>
    <row r="8848">
      <c r="C8848" s="18" t="n"/>
      <c r="J8848" s="19" t="n"/>
      <c r="P8848" s="20" t="n"/>
      <c r="Q8848" s="19" t="n"/>
      <c r="R8848" s="19" t="n"/>
      <c r="Y8848" s="19" t="n"/>
    </row>
    <row r="8849">
      <c r="C8849" s="18" t="n"/>
      <c r="J8849" s="19" t="n"/>
      <c r="P8849" s="20" t="n"/>
      <c r="Q8849" s="19" t="n"/>
      <c r="R8849" s="19" t="n"/>
      <c r="Y8849" s="19" t="n"/>
    </row>
    <row r="8850">
      <c r="C8850" s="18" t="n"/>
      <c r="J8850" s="19" t="n"/>
      <c r="P8850" s="20" t="n"/>
      <c r="Q8850" s="19" t="n"/>
      <c r="R8850" s="19" t="n"/>
      <c r="Y8850" s="19" t="n"/>
    </row>
    <row r="8851">
      <c r="C8851" s="18" t="n"/>
      <c r="J8851" s="19" t="n"/>
      <c r="P8851" s="20" t="n"/>
      <c r="Q8851" s="19" t="n"/>
      <c r="R8851" s="19" t="n"/>
      <c r="Y8851" s="19" t="n"/>
    </row>
    <row r="8852">
      <c r="C8852" s="18" t="n"/>
      <c r="J8852" s="19" t="n"/>
      <c r="P8852" s="20" t="n"/>
      <c r="Q8852" s="19" t="n"/>
      <c r="R8852" s="19" t="n"/>
      <c r="Y8852" s="19" t="n"/>
    </row>
    <row r="8853">
      <c r="C8853" s="18" t="n"/>
      <c r="J8853" s="19" t="n"/>
      <c r="P8853" s="20" t="n"/>
      <c r="Q8853" s="19" t="n"/>
      <c r="R8853" s="19" t="n"/>
      <c r="Y8853" s="19" t="n"/>
    </row>
    <row r="8854">
      <c r="C8854" s="18" t="n"/>
      <c r="J8854" s="19" t="n"/>
      <c r="P8854" s="20" t="n"/>
      <c r="Q8854" s="19" t="n"/>
      <c r="R8854" s="19" t="n"/>
      <c r="Y8854" s="19" t="n"/>
    </row>
    <row r="8855">
      <c r="C8855" s="18" t="n"/>
      <c r="J8855" s="19" t="n"/>
      <c r="P8855" s="20" t="n"/>
      <c r="Q8855" s="19" t="n"/>
      <c r="R8855" s="19" t="n"/>
      <c r="Y8855" s="19" t="n"/>
    </row>
    <row r="8856">
      <c r="C8856" s="18" t="n"/>
      <c r="J8856" s="19" t="n"/>
      <c r="P8856" s="20" t="n"/>
      <c r="Q8856" s="19" t="n"/>
      <c r="R8856" s="19" t="n"/>
      <c r="Y8856" s="19" t="n"/>
    </row>
    <row r="8857">
      <c r="C8857" s="18" t="n"/>
      <c r="J8857" s="19" t="n"/>
      <c r="P8857" s="20" t="n"/>
      <c r="Q8857" s="19" t="n"/>
      <c r="R8857" s="19" t="n"/>
      <c r="Y8857" s="19" t="n"/>
    </row>
    <row r="8858">
      <c r="C8858" s="18" t="n"/>
      <c r="J8858" s="19" t="n"/>
      <c r="P8858" s="20" t="n"/>
      <c r="Q8858" s="19" t="n"/>
      <c r="R8858" s="19" t="n"/>
      <c r="Y8858" s="19" t="n"/>
    </row>
    <row r="8859">
      <c r="C8859" s="18" t="n"/>
      <c r="J8859" s="19" t="n"/>
      <c r="P8859" s="20" t="n"/>
      <c r="Q8859" s="19" t="n"/>
      <c r="R8859" s="19" t="n"/>
      <c r="Y8859" s="19" t="n"/>
    </row>
    <row r="8860">
      <c r="C8860" s="18" t="n"/>
      <c r="J8860" s="19" t="n"/>
      <c r="P8860" s="20" t="n"/>
      <c r="Q8860" s="19" t="n"/>
      <c r="R8860" s="19" t="n"/>
      <c r="Y8860" s="19" t="n"/>
    </row>
    <row r="8861">
      <c r="C8861" s="18" t="n"/>
      <c r="J8861" s="19" t="n"/>
      <c r="P8861" s="20" t="n"/>
      <c r="Q8861" s="19" t="n"/>
      <c r="R8861" s="19" t="n"/>
      <c r="Y8861" s="19" t="n"/>
    </row>
    <row r="8862">
      <c r="C8862" s="18" t="n"/>
      <c r="J8862" s="19" t="n"/>
      <c r="P8862" s="20" t="n"/>
      <c r="Q8862" s="19" t="n"/>
      <c r="R8862" s="19" t="n"/>
      <c r="Y8862" s="19" t="n"/>
    </row>
    <row r="8863">
      <c r="C8863" s="18" t="n"/>
      <c r="J8863" s="19" t="n"/>
      <c r="P8863" s="20" t="n"/>
      <c r="Q8863" s="19" t="n"/>
      <c r="R8863" s="19" t="n"/>
      <c r="Y8863" s="19" t="n"/>
    </row>
    <row r="8864">
      <c r="C8864" s="18" t="n"/>
      <c r="J8864" s="19" t="n"/>
      <c r="P8864" s="20" t="n"/>
      <c r="Q8864" s="19" t="n"/>
      <c r="R8864" s="19" t="n"/>
      <c r="Y8864" s="19" t="n"/>
    </row>
    <row r="8865">
      <c r="C8865" s="18" t="n"/>
      <c r="J8865" s="19" t="n"/>
      <c r="P8865" s="20" t="n"/>
      <c r="Q8865" s="19" t="n"/>
      <c r="R8865" s="19" t="n"/>
      <c r="Y8865" s="19" t="n"/>
    </row>
    <row r="8866">
      <c r="C8866" s="18" t="n"/>
      <c r="J8866" s="19" t="n"/>
      <c r="P8866" s="20" t="n"/>
      <c r="Q8866" s="19" t="n"/>
      <c r="R8866" s="19" t="n"/>
      <c r="Y8866" s="19" t="n"/>
    </row>
    <row r="8867">
      <c r="C8867" s="18" t="n"/>
      <c r="J8867" s="19" t="n"/>
      <c r="P8867" s="20" t="n"/>
      <c r="Q8867" s="19" t="n"/>
      <c r="R8867" s="19" t="n"/>
      <c r="Y8867" s="19" t="n"/>
    </row>
    <row r="8868">
      <c r="C8868" s="18" t="n"/>
      <c r="J8868" s="19" t="n"/>
      <c r="P8868" s="20" t="n"/>
      <c r="Q8868" s="19" t="n"/>
      <c r="R8868" s="19" t="n"/>
      <c r="Y8868" s="19" t="n"/>
    </row>
    <row r="8869">
      <c r="C8869" s="18" t="n"/>
      <c r="J8869" s="19" t="n"/>
      <c r="P8869" s="20" t="n"/>
      <c r="Q8869" s="19" t="n"/>
      <c r="R8869" s="19" t="n"/>
      <c r="Y8869" s="19" t="n"/>
    </row>
    <row r="8870">
      <c r="C8870" s="18" t="n"/>
      <c r="J8870" s="19" t="n"/>
      <c r="P8870" s="20" t="n"/>
      <c r="Q8870" s="19" t="n"/>
      <c r="R8870" s="19" t="n"/>
      <c r="Y8870" s="19" t="n"/>
    </row>
    <row r="8871">
      <c r="C8871" s="18" t="n"/>
      <c r="J8871" s="19" t="n"/>
      <c r="P8871" s="20" t="n"/>
      <c r="Q8871" s="19" t="n"/>
      <c r="R8871" s="19" t="n"/>
      <c r="Y8871" s="19" t="n"/>
    </row>
    <row r="8872">
      <c r="C8872" s="18" t="n"/>
      <c r="J8872" s="19" t="n"/>
      <c r="P8872" s="20" t="n"/>
      <c r="Q8872" s="19" t="n"/>
      <c r="R8872" s="19" t="n"/>
      <c r="Y8872" s="19" t="n"/>
    </row>
    <row r="8873">
      <c r="C8873" s="18" t="n"/>
      <c r="J8873" s="19" t="n"/>
      <c r="P8873" s="20" t="n"/>
      <c r="Q8873" s="19" t="n"/>
      <c r="R8873" s="19" t="n"/>
      <c r="Y8873" s="19" t="n"/>
    </row>
    <row r="8874">
      <c r="C8874" s="18" t="n"/>
      <c r="J8874" s="19" t="n"/>
      <c r="P8874" s="20" t="n"/>
      <c r="Q8874" s="19" t="n"/>
      <c r="R8874" s="19" t="n"/>
      <c r="Y8874" s="19" t="n"/>
    </row>
    <row r="8875">
      <c r="C8875" s="18" t="n"/>
      <c r="J8875" s="19" t="n"/>
      <c r="P8875" s="20" t="n"/>
      <c r="Q8875" s="19" t="n"/>
      <c r="R8875" s="19" t="n"/>
      <c r="Y8875" s="19" t="n"/>
    </row>
    <row r="8876">
      <c r="C8876" s="18" t="n"/>
      <c r="J8876" s="19" t="n"/>
      <c r="P8876" s="20" t="n"/>
      <c r="Q8876" s="19" t="n"/>
      <c r="R8876" s="19" t="n"/>
      <c r="Y8876" s="19" t="n"/>
    </row>
    <row r="8877">
      <c r="C8877" s="18" t="n"/>
      <c r="J8877" s="19" t="n"/>
      <c r="P8877" s="20" t="n"/>
      <c r="Q8877" s="19" t="n"/>
      <c r="R8877" s="19" t="n"/>
      <c r="Y8877" s="19" t="n"/>
    </row>
    <row r="8878">
      <c r="C8878" s="18" t="n"/>
      <c r="J8878" s="19" t="n"/>
      <c r="P8878" s="20" t="n"/>
      <c r="Q8878" s="19" t="n"/>
      <c r="R8878" s="19" t="n"/>
      <c r="Y8878" s="19" t="n"/>
    </row>
    <row r="8879">
      <c r="C8879" s="18" t="n"/>
      <c r="J8879" s="19" t="n"/>
      <c r="P8879" s="20" t="n"/>
      <c r="Q8879" s="19" t="n"/>
      <c r="R8879" s="19" t="n"/>
      <c r="Y8879" s="19" t="n"/>
    </row>
    <row r="8880">
      <c r="C8880" s="18" t="n"/>
      <c r="J8880" s="19" t="n"/>
      <c r="P8880" s="20" t="n"/>
      <c r="Q8880" s="19" t="n"/>
      <c r="R8880" s="19" t="n"/>
      <c r="Y8880" s="19" t="n"/>
    </row>
    <row r="8881">
      <c r="C8881" s="18" t="n"/>
      <c r="J8881" s="19" t="n"/>
      <c r="P8881" s="20" t="n"/>
      <c r="Q8881" s="19" t="n"/>
      <c r="R8881" s="19" t="n"/>
      <c r="Y8881" s="19" t="n"/>
    </row>
    <row r="8882">
      <c r="C8882" s="18" t="n"/>
      <c r="J8882" s="19" t="n"/>
      <c r="P8882" s="20" t="n"/>
      <c r="Q8882" s="19" t="n"/>
      <c r="R8882" s="19" t="n"/>
      <c r="Y8882" s="19" t="n"/>
    </row>
    <row r="8883">
      <c r="C8883" s="18" t="n"/>
      <c r="J8883" s="19" t="n"/>
      <c r="P8883" s="20" t="n"/>
      <c r="Q8883" s="19" t="n"/>
      <c r="R8883" s="19" t="n"/>
      <c r="Y8883" s="19" t="n"/>
    </row>
    <row r="8884">
      <c r="C8884" s="18" t="n"/>
      <c r="J8884" s="19" t="n"/>
      <c r="P8884" s="20" t="n"/>
      <c r="Q8884" s="19" t="n"/>
      <c r="R8884" s="19" t="n"/>
      <c r="Y8884" s="19" t="n"/>
    </row>
    <row r="8885">
      <c r="C8885" s="18" t="n"/>
      <c r="J8885" s="19" t="n"/>
      <c r="P8885" s="20" t="n"/>
      <c r="Q8885" s="19" t="n"/>
      <c r="R8885" s="19" t="n"/>
      <c r="Y8885" s="19" t="n"/>
    </row>
    <row r="8886">
      <c r="C8886" s="18" t="n"/>
      <c r="J8886" s="19" t="n"/>
      <c r="P8886" s="20" t="n"/>
      <c r="Q8886" s="19" t="n"/>
      <c r="R8886" s="19" t="n"/>
      <c r="Y8886" s="19" t="n"/>
    </row>
    <row r="8887">
      <c r="C8887" s="18" t="n"/>
      <c r="J8887" s="19" t="n"/>
      <c r="P8887" s="20" t="n"/>
      <c r="Q8887" s="19" t="n"/>
      <c r="R8887" s="19" t="n"/>
      <c r="Y8887" s="19" t="n"/>
    </row>
    <row r="8888">
      <c r="C8888" s="18" t="n"/>
      <c r="J8888" s="19" t="n"/>
      <c r="P8888" s="20" t="n"/>
      <c r="Q8888" s="19" t="n"/>
      <c r="R8888" s="19" t="n"/>
      <c r="Y8888" s="19" t="n"/>
    </row>
    <row r="8889">
      <c r="C8889" s="18" t="n"/>
      <c r="J8889" s="19" t="n"/>
      <c r="P8889" s="20" t="n"/>
      <c r="Q8889" s="19" t="n"/>
      <c r="R8889" s="19" t="n"/>
      <c r="Y8889" s="19" t="n"/>
    </row>
    <row r="8890">
      <c r="C8890" s="18" t="n"/>
      <c r="J8890" s="19" t="n"/>
      <c r="P8890" s="20" t="n"/>
      <c r="Q8890" s="19" t="n"/>
      <c r="R8890" s="19" t="n"/>
      <c r="Y8890" s="19" t="n"/>
    </row>
    <row r="8891">
      <c r="C8891" s="18" t="n"/>
      <c r="J8891" s="19" t="n"/>
      <c r="P8891" s="20" t="n"/>
      <c r="Q8891" s="19" t="n"/>
      <c r="R8891" s="19" t="n"/>
      <c r="Y8891" s="19" t="n"/>
    </row>
    <row r="8892">
      <c r="C8892" s="18" t="n"/>
      <c r="J8892" s="19" t="n"/>
      <c r="P8892" s="20" t="n"/>
      <c r="Q8892" s="19" t="n"/>
      <c r="R8892" s="19" t="n"/>
      <c r="Y8892" s="19" t="n"/>
    </row>
    <row r="8893">
      <c r="C8893" s="18" t="n"/>
      <c r="J8893" s="19" t="n"/>
      <c r="P8893" s="20" t="n"/>
      <c r="Q8893" s="19" t="n"/>
      <c r="R8893" s="19" t="n"/>
      <c r="Y8893" s="19" t="n"/>
    </row>
    <row r="8894">
      <c r="C8894" s="18" t="n"/>
      <c r="J8894" s="19" t="n"/>
      <c r="P8894" s="20" t="n"/>
      <c r="Q8894" s="19" t="n"/>
      <c r="R8894" s="19" t="n"/>
      <c r="Y8894" s="19" t="n"/>
    </row>
    <row r="8895">
      <c r="C8895" s="18" t="n"/>
      <c r="J8895" s="19" t="n"/>
      <c r="P8895" s="20" t="n"/>
      <c r="Q8895" s="19" t="n"/>
      <c r="R8895" s="19" t="n"/>
      <c r="Y8895" s="19" t="n"/>
    </row>
    <row r="8896">
      <c r="C8896" s="18" t="n"/>
      <c r="J8896" s="19" t="n"/>
      <c r="P8896" s="20" t="n"/>
      <c r="Q8896" s="19" t="n"/>
      <c r="R8896" s="19" t="n"/>
      <c r="Y8896" s="19" t="n"/>
    </row>
    <row r="8897">
      <c r="C8897" s="18" t="n"/>
      <c r="J8897" s="19" t="n"/>
      <c r="P8897" s="20" t="n"/>
      <c r="Q8897" s="19" t="n"/>
      <c r="R8897" s="19" t="n"/>
      <c r="Y8897" s="19" t="n"/>
    </row>
    <row r="8898">
      <c r="C8898" s="18" t="n"/>
      <c r="J8898" s="19" t="n"/>
      <c r="P8898" s="20" t="n"/>
      <c r="Q8898" s="19" t="n"/>
      <c r="R8898" s="19" t="n"/>
      <c r="Y8898" s="19" t="n"/>
    </row>
    <row r="8899">
      <c r="C8899" s="18" t="n"/>
      <c r="J8899" s="19" t="n"/>
      <c r="P8899" s="20" t="n"/>
      <c r="Q8899" s="19" t="n"/>
      <c r="R8899" s="19" t="n"/>
      <c r="Y8899" s="19" t="n"/>
    </row>
    <row r="8900">
      <c r="C8900" s="18" t="n"/>
      <c r="J8900" s="19" t="n"/>
      <c r="P8900" s="20" t="n"/>
      <c r="Q8900" s="19" t="n"/>
      <c r="R8900" s="19" t="n"/>
      <c r="Y8900" s="19" t="n"/>
    </row>
    <row r="8901">
      <c r="C8901" s="18" t="n"/>
      <c r="J8901" s="19" t="n"/>
      <c r="P8901" s="20" t="n"/>
      <c r="Q8901" s="19" t="n"/>
      <c r="R8901" s="19" t="n"/>
      <c r="Y8901" s="19" t="n"/>
    </row>
    <row r="8902">
      <c r="C8902" s="18" t="n"/>
      <c r="J8902" s="19" t="n"/>
      <c r="P8902" s="20" t="n"/>
      <c r="Q8902" s="19" t="n"/>
      <c r="R8902" s="19" t="n"/>
      <c r="Y8902" s="19" t="n"/>
    </row>
    <row r="8903">
      <c r="C8903" s="18" t="n"/>
      <c r="J8903" s="19" t="n"/>
      <c r="P8903" s="20" t="n"/>
      <c r="Q8903" s="19" t="n"/>
      <c r="R8903" s="19" t="n"/>
      <c r="Y8903" s="19" t="n"/>
    </row>
    <row r="8904">
      <c r="C8904" s="18" t="n"/>
      <c r="J8904" s="19" t="n"/>
      <c r="P8904" s="20" t="n"/>
      <c r="Q8904" s="19" t="n"/>
      <c r="R8904" s="19" t="n"/>
      <c r="Y8904" s="19" t="n"/>
    </row>
    <row r="8905">
      <c r="C8905" s="18" t="n"/>
      <c r="J8905" s="19" t="n"/>
      <c r="P8905" s="20" t="n"/>
      <c r="Q8905" s="19" t="n"/>
      <c r="R8905" s="19" t="n"/>
      <c r="Y8905" s="19" t="n"/>
    </row>
    <row r="8906">
      <c r="C8906" s="18" t="n"/>
      <c r="J8906" s="19" t="n"/>
      <c r="P8906" s="20" t="n"/>
      <c r="Q8906" s="19" t="n"/>
      <c r="R8906" s="19" t="n"/>
      <c r="Y8906" s="19" t="n"/>
    </row>
    <row r="8907">
      <c r="C8907" s="18" t="n"/>
      <c r="J8907" s="19" t="n"/>
      <c r="P8907" s="20" t="n"/>
      <c r="Q8907" s="19" t="n"/>
      <c r="R8907" s="19" t="n"/>
      <c r="Y8907" s="19" t="n"/>
    </row>
    <row r="8908">
      <c r="C8908" s="18" t="n"/>
      <c r="J8908" s="19" t="n"/>
      <c r="P8908" s="20" t="n"/>
      <c r="Q8908" s="19" t="n"/>
      <c r="R8908" s="19" t="n"/>
      <c r="Y8908" s="19" t="n"/>
    </row>
    <row r="8909">
      <c r="C8909" s="18" t="n"/>
      <c r="J8909" s="19" t="n"/>
      <c r="P8909" s="20" t="n"/>
      <c r="Q8909" s="19" t="n"/>
      <c r="R8909" s="19" t="n"/>
      <c r="Y8909" s="19" t="n"/>
    </row>
    <row r="8910">
      <c r="C8910" s="18" t="n"/>
      <c r="J8910" s="19" t="n"/>
      <c r="P8910" s="20" t="n"/>
      <c r="Q8910" s="19" t="n"/>
      <c r="R8910" s="19" t="n"/>
      <c r="Y8910" s="19" t="n"/>
    </row>
    <row r="8911">
      <c r="C8911" s="18" t="n"/>
      <c r="J8911" s="19" t="n"/>
      <c r="P8911" s="20" t="n"/>
      <c r="Q8911" s="19" t="n"/>
      <c r="R8911" s="19" t="n"/>
      <c r="Y8911" s="19" t="n"/>
    </row>
    <row r="8912">
      <c r="C8912" s="18" t="n"/>
      <c r="J8912" s="19" t="n"/>
      <c r="P8912" s="20" t="n"/>
      <c r="Q8912" s="19" t="n"/>
      <c r="R8912" s="19" t="n"/>
      <c r="Y8912" s="19" t="n"/>
    </row>
    <row r="8913">
      <c r="C8913" s="18" t="n"/>
      <c r="J8913" s="19" t="n"/>
      <c r="P8913" s="20" t="n"/>
      <c r="Q8913" s="19" t="n"/>
      <c r="R8913" s="19" t="n"/>
      <c r="Y8913" s="19" t="n"/>
    </row>
    <row r="8914">
      <c r="C8914" s="18" t="n"/>
      <c r="J8914" s="19" t="n"/>
      <c r="P8914" s="20" t="n"/>
      <c r="Q8914" s="19" t="n"/>
      <c r="R8914" s="19" t="n"/>
      <c r="Y8914" s="19" t="n"/>
    </row>
    <row r="8915">
      <c r="C8915" s="18" t="n"/>
      <c r="J8915" s="19" t="n"/>
      <c r="P8915" s="20" t="n"/>
      <c r="Q8915" s="19" t="n"/>
      <c r="R8915" s="19" t="n"/>
      <c r="Y8915" s="19" t="n"/>
    </row>
    <row r="8916">
      <c r="C8916" s="18" t="n"/>
      <c r="J8916" s="19" t="n"/>
      <c r="P8916" s="20" t="n"/>
      <c r="Q8916" s="19" t="n"/>
      <c r="R8916" s="19" t="n"/>
      <c r="Y8916" s="19" t="n"/>
    </row>
    <row r="8917">
      <c r="C8917" s="18" t="n"/>
      <c r="J8917" s="19" t="n"/>
      <c r="P8917" s="20" t="n"/>
      <c r="Q8917" s="19" t="n"/>
      <c r="R8917" s="19" t="n"/>
      <c r="Y8917" s="19" t="n"/>
    </row>
    <row r="8918">
      <c r="C8918" s="18" t="n"/>
      <c r="J8918" s="19" t="n"/>
      <c r="P8918" s="20" t="n"/>
      <c r="Q8918" s="19" t="n"/>
      <c r="R8918" s="19" t="n"/>
      <c r="Y8918" s="19" t="n"/>
    </row>
    <row r="8919">
      <c r="C8919" s="18" t="n"/>
      <c r="J8919" s="19" t="n"/>
      <c r="P8919" s="20" t="n"/>
      <c r="Q8919" s="19" t="n"/>
      <c r="R8919" s="19" t="n"/>
      <c r="Y8919" s="19" t="n"/>
    </row>
    <row r="8920">
      <c r="C8920" s="18" t="n"/>
      <c r="J8920" s="19" t="n"/>
      <c r="P8920" s="20" t="n"/>
      <c r="Q8920" s="19" t="n"/>
      <c r="R8920" s="19" t="n"/>
      <c r="Y8920" s="19" t="n"/>
    </row>
    <row r="8921">
      <c r="C8921" s="18" t="n"/>
      <c r="J8921" s="19" t="n"/>
      <c r="P8921" s="20" t="n"/>
      <c r="Q8921" s="19" t="n"/>
      <c r="R8921" s="19" t="n"/>
      <c r="Y8921" s="19" t="n"/>
    </row>
    <row r="8922">
      <c r="C8922" s="18" t="n"/>
      <c r="J8922" s="19" t="n"/>
      <c r="P8922" s="20" t="n"/>
      <c r="Q8922" s="19" t="n"/>
      <c r="R8922" s="19" t="n"/>
      <c r="Y8922" s="19" t="n"/>
    </row>
    <row r="8923">
      <c r="C8923" s="18" t="n"/>
      <c r="J8923" s="19" t="n"/>
      <c r="P8923" s="20" t="n"/>
      <c r="Q8923" s="19" t="n"/>
      <c r="R8923" s="19" t="n"/>
      <c r="Y8923" s="19" t="n"/>
    </row>
    <row r="8924">
      <c r="C8924" s="18" t="n"/>
      <c r="J8924" s="19" t="n"/>
      <c r="P8924" s="20" t="n"/>
      <c r="Q8924" s="19" t="n"/>
      <c r="R8924" s="19" t="n"/>
      <c r="Y8924" s="19" t="n"/>
    </row>
    <row r="8925">
      <c r="C8925" s="18" t="n"/>
      <c r="J8925" s="19" t="n"/>
      <c r="P8925" s="20" t="n"/>
      <c r="Q8925" s="19" t="n"/>
      <c r="R8925" s="19" t="n"/>
      <c r="Y8925" s="19" t="n"/>
    </row>
    <row r="8926">
      <c r="C8926" s="18" t="n"/>
      <c r="J8926" s="19" t="n"/>
      <c r="P8926" s="20" t="n"/>
      <c r="Q8926" s="19" t="n"/>
      <c r="R8926" s="19" t="n"/>
      <c r="Y8926" s="19" t="n"/>
    </row>
    <row r="8927">
      <c r="C8927" s="18" t="n"/>
      <c r="J8927" s="19" t="n"/>
      <c r="P8927" s="20" t="n"/>
      <c r="Q8927" s="19" t="n"/>
      <c r="R8927" s="19" t="n"/>
      <c r="Y8927" s="19" t="n"/>
    </row>
    <row r="8928">
      <c r="C8928" s="18" t="n"/>
      <c r="J8928" s="19" t="n"/>
      <c r="P8928" s="20" t="n"/>
      <c r="Q8928" s="19" t="n"/>
      <c r="R8928" s="19" t="n"/>
      <c r="Y8928" s="19" t="n"/>
    </row>
    <row r="8929">
      <c r="C8929" s="18" t="n"/>
      <c r="J8929" s="19" t="n"/>
      <c r="P8929" s="20" t="n"/>
      <c r="Q8929" s="19" t="n"/>
      <c r="R8929" s="19" t="n"/>
      <c r="Y8929" s="19" t="n"/>
    </row>
    <row r="8930">
      <c r="C8930" s="18" t="n"/>
      <c r="J8930" s="19" t="n"/>
      <c r="P8930" s="20" t="n"/>
      <c r="Q8930" s="19" t="n"/>
      <c r="R8930" s="19" t="n"/>
      <c r="Y8930" s="19" t="n"/>
    </row>
    <row r="8931">
      <c r="C8931" s="18" t="n"/>
      <c r="J8931" s="19" t="n"/>
      <c r="P8931" s="20" t="n"/>
      <c r="Q8931" s="19" t="n"/>
      <c r="R8931" s="19" t="n"/>
      <c r="Y8931" s="19" t="n"/>
    </row>
    <row r="8932">
      <c r="C8932" s="18" t="n"/>
      <c r="J8932" s="19" t="n"/>
      <c r="P8932" s="20" t="n"/>
      <c r="Q8932" s="19" t="n"/>
      <c r="R8932" s="19" t="n"/>
      <c r="Y8932" s="19" t="n"/>
    </row>
    <row r="8933">
      <c r="C8933" s="18" t="n"/>
      <c r="J8933" s="19" t="n"/>
      <c r="P8933" s="20" t="n"/>
      <c r="Q8933" s="19" t="n"/>
      <c r="R8933" s="19" t="n"/>
      <c r="Y8933" s="19" t="n"/>
    </row>
    <row r="8934">
      <c r="C8934" s="18" t="n"/>
      <c r="J8934" s="19" t="n"/>
      <c r="P8934" s="20" t="n"/>
      <c r="Q8934" s="19" t="n"/>
      <c r="R8934" s="19" t="n"/>
      <c r="Y8934" s="19" t="n"/>
    </row>
    <row r="8935">
      <c r="C8935" s="18" t="n"/>
      <c r="J8935" s="19" t="n"/>
      <c r="P8935" s="20" t="n"/>
      <c r="Q8935" s="19" t="n"/>
      <c r="R8935" s="19" t="n"/>
      <c r="Y8935" s="19" t="n"/>
    </row>
    <row r="8936">
      <c r="C8936" s="18" t="n"/>
      <c r="J8936" s="19" t="n"/>
      <c r="P8936" s="20" t="n"/>
      <c r="Q8936" s="19" t="n"/>
      <c r="R8936" s="19" t="n"/>
      <c r="Y8936" s="19" t="n"/>
    </row>
    <row r="8937">
      <c r="C8937" s="18" t="n"/>
      <c r="J8937" s="19" t="n"/>
      <c r="P8937" s="20" t="n"/>
      <c r="Q8937" s="19" t="n"/>
      <c r="R8937" s="19" t="n"/>
      <c r="Y8937" s="19" t="n"/>
    </row>
    <row r="8938">
      <c r="C8938" s="18" t="n"/>
      <c r="J8938" s="19" t="n"/>
      <c r="P8938" s="20" t="n"/>
      <c r="Q8938" s="19" t="n"/>
      <c r="R8938" s="19" t="n"/>
      <c r="Y8938" s="19" t="n"/>
    </row>
    <row r="8939">
      <c r="C8939" s="18" t="n"/>
      <c r="J8939" s="19" t="n"/>
      <c r="P8939" s="20" t="n"/>
      <c r="Q8939" s="19" t="n"/>
      <c r="R8939" s="19" t="n"/>
      <c r="Y8939" s="19" t="n"/>
    </row>
    <row r="8940">
      <c r="C8940" s="18" t="n"/>
      <c r="J8940" s="19" t="n"/>
      <c r="P8940" s="20" t="n"/>
      <c r="Q8940" s="19" t="n"/>
      <c r="R8940" s="19" t="n"/>
      <c r="Y8940" s="19" t="n"/>
    </row>
    <row r="8941">
      <c r="C8941" s="18" t="n"/>
      <c r="J8941" s="19" t="n"/>
      <c r="P8941" s="20" t="n"/>
      <c r="Q8941" s="19" t="n"/>
      <c r="R8941" s="19" t="n"/>
      <c r="Y8941" s="19" t="n"/>
    </row>
    <row r="8942">
      <c r="C8942" s="18" t="n"/>
      <c r="J8942" s="19" t="n"/>
      <c r="P8942" s="20" t="n"/>
      <c r="Q8942" s="19" t="n"/>
      <c r="R8942" s="19" t="n"/>
      <c r="Y8942" s="19" t="n"/>
    </row>
    <row r="8943">
      <c r="C8943" s="18" t="n"/>
      <c r="J8943" s="19" t="n"/>
      <c r="P8943" s="20" t="n"/>
      <c r="Q8943" s="19" t="n"/>
      <c r="R8943" s="19" t="n"/>
      <c r="Y8943" s="19" t="n"/>
    </row>
    <row r="8944">
      <c r="C8944" s="18" t="n"/>
      <c r="J8944" s="19" t="n"/>
      <c r="P8944" s="20" t="n"/>
      <c r="Q8944" s="19" t="n"/>
      <c r="R8944" s="19" t="n"/>
      <c r="Y8944" s="19" t="n"/>
    </row>
    <row r="8945">
      <c r="C8945" s="18" t="n"/>
      <c r="J8945" s="19" t="n"/>
      <c r="P8945" s="20" t="n"/>
      <c r="Q8945" s="19" t="n"/>
      <c r="R8945" s="19" t="n"/>
      <c r="Y8945" s="19" t="n"/>
    </row>
    <row r="8946">
      <c r="C8946" s="18" t="n"/>
      <c r="J8946" s="19" t="n"/>
      <c r="P8946" s="20" t="n"/>
      <c r="Q8946" s="19" t="n"/>
      <c r="R8946" s="19" t="n"/>
      <c r="Y8946" s="19" t="n"/>
    </row>
    <row r="8947">
      <c r="C8947" s="18" t="n"/>
      <c r="J8947" s="19" t="n"/>
      <c r="P8947" s="20" t="n"/>
      <c r="Q8947" s="19" t="n"/>
      <c r="R8947" s="19" t="n"/>
      <c r="Y8947" s="19" t="n"/>
    </row>
    <row r="8948">
      <c r="C8948" s="18" t="n"/>
      <c r="J8948" s="19" t="n"/>
      <c r="P8948" s="20" t="n"/>
      <c r="Q8948" s="19" t="n"/>
      <c r="R8948" s="19" t="n"/>
      <c r="Y8948" s="19" t="n"/>
    </row>
    <row r="8949">
      <c r="C8949" s="18" t="n"/>
      <c r="J8949" s="19" t="n"/>
      <c r="P8949" s="20" t="n"/>
      <c r="Q8949" s="19" t="n"/>
      <c r="R8949" s="19" t="n"/>
      <c r="Y8949" s="19" t="n"/>
    </row>
    <row r="8950">
      <c r="C8950" s="18" t="n"/>
      <c r="J8950" s="19" t="n"/>
      <c r="P8950" s="20" t="n"/>
      <c r="Q8950" s="19" t="n"/>
      <c r="R8950" s="19" t="n"/>
      <c r="Y8950" s="19" t="n"/>
    </row>
    <row r="8951">
      <c r="C8951" s="18" t="n"/>
      <c r="J8951" s="19" t="n"/>
      <c r="P8951" s="20" t="n"/>
      <c r="Q8951" s="19" t="n"/>
      <c r="R8951" s="19" t="n"/>
      <c r="Y8951" s="19" t="n"/>
    </row>
    <row r="8952">
      <c r="C8952" s="18" t="n"/>
      <c r="J8952" s="19" t="n"/>
      <c r="P8952" s="20" t="n"/>
      <c r="Q8952" s="19" t="n"/>
      <c r="R8952" s="19" t="n"/>
      <c r="Y8952" s="19" t="n"/>
    </row>
    <row r="8953">
      <c r="C8953" s="18" t="n"/>
      <c r="J8953" s="19" t="n"/>
      <c r="P8953" s="20" t="n"/>
      <c r="Q8953" s="19" t="n"/>
      <c r="R8953" s="19" t="n"/>
      <c r="Y8953" s="19" t="n"/>
    </row>
    <row r="8954">
      <c r="C8954" s="18" t="n"/>
      <c r="J8954" s="19" t="n"/>
      <c r="P8954" s="20" t="n"/>
      <c r="Q8954" s="19" t="n"/>
      <c r="R8954" s="19" t="n"/>
      <c r="Y8954" s="19" t="n"/>
    </row>
    <row r="8955">
      <c r="C8955" s="18" t="n"/>
      <c r="J8955" s="19" t="n"/>
      <c r="P8955" s="20" t="n"/>
      <c r="Q8955" s="19" t="n"/>
      <c r="R8955" s="19" t="n"/>
      <c r="Y8955" s="19" t="n"/>
    </row>
    <row r="8956">
      <c r="C8956" s="18" t="n"/>
      <c r="J8956" s="19" t="n"/>
      <c r="P8956" s="20" t="n"/>
      <c r="Q8956" s="19" t="n"/>
      <c r="R8956" s="19" t="n"/>
      <c r="Y8956" s="19" t="n"/>
    </row>
    <row r="8957">
      <c r="C8957" s="18" t="n"/>
      <c r="J8957" s="19" t="n"/>
      <c r="P8957" s="20" t="n"/>
      <c r="Q8957" s="19" t="n"/>
      <c r="R8957" s="19" t="n"/>
      <c r="Y8957" s="19" t="n"/>
    </row>
    <row r="8958">
      <c r="C8958" s="18" t="n"/>
      <c r="J8958" s="19" t="n"/>
      <c r="P8958" s="20" t="n"/>
      <c r="Q8958" s="19" t="n"/>
      <c r="R8958" s="19" t="n"/>
      <c r="Y8958" s="19" t="n"/>
    </row>
    <row r="8959">
      <c r="C8959" s="18" t="n"/>
      <c r="J8959" s="19" t="n"/>
      <c r="P8959" s="20" t="n"/>
      <c r="Q8959" s="19" t="n"/>
      <c r="R8959" s="19" t="n"/>
      <c r="Y8959" s="19" t="n"/>
    </row>
    <row r="8960">
      <c r="C8960" s="18" t="n"/>
      <c r="J8960" s="19" t="n"/>
      <c r="P8960" s="20" t="n"/>
      <c r="Q8960" s="19" t="n"/>
      <c r="R8960" s="19" t="n"/>
      <c r="Y8960" s="19" t="n"/>
    </row>
    <row r="8961">
      <c r="C8961" s="18" t="n"/>
      <c r="J8961" s="19" t="n"/>
      <c r="P8961" s="20" t="n"/>
      <c r="Q8961" s="19" t="n"/>
      <c r="R8961" s="19" t="n"/>
      <c r="Y8961" s="19" t="n"/>
    </row>
    <row r="8962">
      <c r="C8962" s="18" t="n"/>
      <c r="J8962" s="19" t="n"/>
      <c r="P8962" s="20" t="n"/>
      <c r="Q8962" s="19" t="n"/>
      <c r="R8962" s="19" t="n"/>
      <c r="Y8962" s="19" t="n"/>
    </row>
    <row r="8963">
      <c r="C8963" s="18" t="n"/>
      <c r="J8963" s="19" t="n"/>
      <c r="P8963" s="20" t="n"/>
      <c r="Q8963" s="19" t="n"/>
      <c r="R8963" s="19" t="n"/>
      <c r="Y8963" s="19" t="n"/>
    </row>
    <row r="8964">
      <c r="C8964" s="18" t="n"/>
      <c r="J8964" s="19" t="n"/>
      <c r="P8964" s="20" t="n"/>
      <c r="Q8964" s="19" t="n"/>
      <c r="R8964" s="19" t="n"/>
      <c r="Y8964" s="19" t="n"/>
    </row>
    <row r="8965">
      <c r="C8965" s="18" t="n"/>
      <c r="J8965" s="19" t="n"/>
      <c r="P8965" s="20" t="n"/>
      <c r="Q8965" s="19" t="n"/>
      <c r="R8965" s="19" t="n"/>
      <c r="Y8965" s="19" t="n"/>
    </row>
    <row r="8966">
      <c r="C8966" s="18" t="n"/>
      <c r="J8966" s="19" t="n"/>
      <c r="P8966" s="20" t="n"/>
      <c r="Q8966" s="19" t="n"/>
      <c r="R8966" s="19" t="n"/>
      <c r="Y8966" s="19" t="n"/>
    </row>
    <row r="8967">
      <c r="C8967" s="18" t="n"/>
      <c r="J8967" s="19" t="n"/>
      <c r="P8967" s="20" t="n"/>
      <c r="Q8967" s="19" t="n"/>
      <c r="R8967" s="19" t="n"/>
      <c r="Y8967" s="19" t="n"/>
    </row>
    <row r="8968">
      <c r="C8968" s="18" t="n"/>
      <c r="J8968" s="19" t="n"/>
      <c r="P8968" s="20" t="n"/>
      <c r="Q8968" s="19" t="n"/>
      <c r="R8968" s="19" t="n"/>
      <c r="Y8968" s="19" t="n"/>
    </row>
    <row r="8969">
      <c r="C8969" s="18" t="n"/>
      <c r="J8969" s="19" t="n"/>
      <c r="P8969" s="20" t="n"/>
      <c r="Q8969" s="19" t="n"/>
      <c r="R8969" s="19" t="n"/>
      <c r="Y8969" s="19" t="n"/>
    </row>
    <row r="8970">
      <c r="C8970" s="18" t="n"/>
      <c r="J8970" s="19" t="n"/>
      <c r="P8970" s="20" t="n"/>
      <c r="Q8970" s="19" t="n"/>
      <c r="R8970" s="19" t="n"/>
      <c r="Y8970" s="19" t="n"/>
    </row>
    <row r="8971">
      <c r="C8971" s="18" t="n"/>
      <c r="J8971" s="19" t="n"/>
      <c r="P8971" s="20" t="n"/>
      <c r="Q8971" s="19" t="n"/>
      <c r="R8971" s="19" t="n"/>
      <c r="Y8971" s="19" t="n"/>
    </row>
    <row r="8972">
      <c r="C8972" s="18" t="n"/>
      <c r="J8972" s="19" t="n"/>
      <c r="P8972" s="20" t="n"/>
      <c r="Q8972" s="19" t="n"/>
      <c r="R8972" s="19" t="n"/>
      <c r="Y8972" s="19" t="n"/>
    </row>
    <row r="8973">
      <c r="C8973" s="18" t="n"/>
      <c r="J8973" s="19" t="n"/>
      <c r="P8973" s="20" t="n"/>
      <c r="Q8973" s="19" t="n"/>
      <c r="R8973" s="19" t="n"/>
      <c r="Y8973" s="19" t="n"/>
    </row>
    <row r="8974">
      <c r="C8974" s="18" t="n"/>
      <c r="J8974" s="19" t="n"/>
      <c r="P8974" s="20" t="n"/>
      <c r="Q8974" s="19" t="n"/>
      <c r="R8974" s="19" t="n"/>
      <c r="Y8974" s="19" t="n"/>
    </row>
    <row r="8975">
      <c r="C8975" s="18" t="n"/>
      <c r="J8975" s="19" t="n"/>
      <c r="P8975" s="20" t="n"/>
      <c r="Q8975" s="19" t="n"/>
      <c r="R8975" s="19" t="n"/>
      <c r="Y8975" s="19" t="n"/>
    </row>
    <row r="8976">
      <c r="C8976" s="18" t="n"/>
      <c r="J8976" s="19" t="n"/>
      <c r="P8976" s="20" t="n"/>
      <c r="Q8976" s="19" t="n"/>
      <c r="R8976" s="19" t="n"/>
      <c r="Y8976" s="19" t="n"/>
    </row>
    <row r="8977">
      <c r="C8977" s="18" t="n"/>
      <c r="J8977" s="19" t="n"/>
      <c r="P8977" s="20" t="n"/>
      <c r="Q8977" s="19" t="n"/>
      <c r="R8977" s="19" t="n"/>
      <c r="Y8977" s="19" t="n"/>
    </row>
    <row r="8978">
      <c r="C8978" s="18" t="n"/>
      <c r="J8978" s="19" t="n"/>
      <c r="P8978" s="20" t="n"/>
      <c r="Q8978" s="19" t="n"/>
      <c r="R8978" s="19" t="n"/>
      <c r="Y8978" s="19" t="n"/>
    </row>
    <row r="8979">
      <c r="C8979" s="18" t="n"/>
      <c r="J8979" s="19" t="n"/>
      <c r="P8979" s="20" t="n"/>
      <c r="Q8979" s="19" t="n"/>
      <c r="R8979" s="19" t="n"/>
      <c r="Y8979" s="19" t="n"/>
    </row>
    <row r="8980">
      <c r="C8980" s="18" t="n"/>
      <c r="J8980" s="19" t="n"/>
      <c r="P8980" s="20" t="n"/>
      <c r="Q8980" s="19" t="n"/>
      <c r="R8980" s="19" t="n"/>
      <c r="Y8980" s="19" t="n"/>
    </row>
    <row r="8981">
      <c r="C8981" s="18" t="n"/>
      <c r="J8981" s="19" t="n"/>
      <c r="P8981" s="20" t="n"/>
      <c r="Q8981" s="19" t="n"/>
      <c r="R8981" s="19" t="n"/>
      <c r="Y8981" s="19" t="n"/>
    </row>
    <row r="8982">
      <c r="C8982" s="18" t="n"/>
      <c r="J8982" s="19" t="n"/>
      <c r="P8982" s="20" t="n"/>
      <c r="Q8982" s="19" t="n"/>
      <c r="R8982" s="19" t="n"/>
      <c r="Y8982" s="19" t="n"/>
    </row>
    <row r="8983">
      <c r="C8983" s="18" t="n"/>
      <c r="J8983" s="19" t="n"/>
      <c r="P8983" s="20" t="n"/>
      <c r="Q8983" s="19" t="n"/>
      <c r="R8983" s="19" t="n"/>
      <c r="Y8983" s="19" t="n"/>
    </row>
    <row r="8984">
      <c r="C8984" s="18" t="n"/>
      <c r="J8984" s="19" t="n"/>
      <c r="P8984" s="20" t="n"/>
      <c r="Q8984" s="19" t="n"/>
      <c r="R8984" s="19" t="n"/>
      <c r="Y8984" s="19" t="n"/>
    </row>
    <row r="8985">
      <c r="C8985" s="18" t="n"/>
      <c r="J8985" s="19" t="n"/>
      <c r="P8985" s="20" t="n"/>
      <c r="Q8985" s="19" t="n"/>
      <c r="R8985" s="19" t="n"/>
      <c r="Y8985" s="19" t="n"/>
    </row>
    <row r="8986">
      <c r="C8986" s="18" t="n"/>
      <c r="J8986" s="19" t="n"/>
      <c r="P8986" s="20" t="n"/>
      <c r="Q8986" s="19" t="n"/>
      <c r="R8986" s="19" t="n"/>
      <c r="Y8986" s="19" t="n"/>
    </row>
    <row r="8987">
      <c r="C8987" s="18" t="n"/>
      <c r="J8987" s="19" t="n"/>
      <c r="P8987" s="20" t="n"/>
      <c r="Q8987" s="19" t="n"/>
      <c r="R8987" s="19" t="n"/>
      <c r="Y8987" s="19" t="n"/>
    </row>
    <row r="8988">
      <c r="C8988" s="18" t="n"/>
      <c r="J8988" s="19" t="n"/>
      <c r="P8988" s="20" t="n"/>
      <c r="Q8988" s="19" t="n"/>
      <c r="R8988" s="19" t="n"/>
      <c r="Y8988" s="19" t="n"/>
    </row>
    <row r="8989">
      <c r="C8989" s="18" t="n"/>
      <c r="J8989" s="19" t="n"/>
      <c r="P8989" s="20" t="n"/>
      <c r="Q8989" s="19" t="n"/>
      <c r="R8989" s="19" t="n"/>
      <c r="Y8989" s="19" t="n"/>
    </row>
    <row r="8990">
      <c r="C8990" s="18" t="n"/>
      <c r="J8990" s="19" t="n"/>
      <c r="P8990" s="20" t="n"/>
      <c r="Q8990" s="19" t="n"/>
      <c r="R8990" s="19" t="n"/>
      <c r="Y8990" s="19" t="n"/>
    </row>
    <row r="8991">
      <c r="C8991" s="18" t="n"/>
      <c r="J8991" s="19" t="n"/>
      <c r="P8991" s="20" t="n"/>
      <c r="Q8991" s="19" t="n"/>
      <c r="R8991" s="19" t="n"/>
      <c r="Y8991" s="19" t="n"/>
    </row>
    <row r="8992">
      <c r="C8992" s="18" t="n"/>
      <c r="J8992" s="19" t="n"/>
      <c r="P8992" s="20" t="n"/>
      <c r="Q8992" s="19" t="n"/>
      <c r="R8992" s="19" t="n"/>
      <c r="Y8992" s="19" t="n"/>
    </row>
    <row r="8993">
      <c r="C8993" s="18" t="n"/>
      <c r="J8993" s="19" t="n"/>
      <c r="P8993" s="20" t="n"/>
      <c r="Q8993" s="19" t="n"/>
      <c r="R8993" s="19" t="n"/>
      <c r="Y8993" s="19" t="n"/>
    </row>
    <row r="8994">
      <c r="C8994" s="18" t="n"/>
      <c r="J8994" s="19" t="n"/>
      <c r="P8994" s="20" t="n"/>
      <c r="Q8994" s="19" t="n"/>
      <c r="R8994" s="19" t="n"/>
      <c r="Y8994" s="19" t="n"/>
    </row>
    <row r="8995">
      <c r="C8995" s="18" t="n"/>
      <c r="J8995" s="19" t="n"/>
      <c r="P8995" s="20" t="n"/>
      <c r="Q8995" s="19" t="n"/>
      <c r="R8995" s="19" t="n"/>
      <c r="Y8995" s="19" t="n"/>
    </row>
    <row r="8996">
      <c r="C8996" s="18" t="n"/>
      <c r="J8996" s="19" t="n"/>
      <c r="P8996" s="20" t="n"/>
      <c r="Q8996" s="19" t="n"/>
      <c r="R8996" s="19" t="n"/>
      <c r="Y8996" s="19" t="n"/>
    </row>
    <row r="8997">
      <c r="C8997" s="18" t="n"/>
      <c r="J8997" s="19" t="n"/>
      <c r="P8997" s="20" t="n"/>
      <c r="Q8997" s="19" t="n"/>
      <c r="R8997" s="19" t="n"/>
      <c r="Y8997" s="19" t="n"/>
    </row>
    <row r="8998">
      <c r="C8998" s="18" t="n"/>
      <c r="J8998" s="19" t="n"/>
      <c r="P8998" s="20" t="n"/>
      <c r="Q8998" s="19" t="n"/>
      <c r="R8998" s="19" t="n"/>
      <c r="Y8998" s="19" t="n"/>
    </row>
    <row r="8999">
      <c r="C8999" s="18" t="n"/>
      <c r="J8999" s="19" t="n"/>
      <c r="P8999" s="20" t="n"/>
      <c r="Q8999" s="19" t="n"/>
      <c r="R8999" s="19" t="n"/>
      <c r="Y8999" s="19" t="n"/>
    </row>
    <row r="9000">
      <c r="C9000" s="18" t="n"/>
      <c r="J9000" s="19" t="n"/>
      <c r="P9000" s="20" t="n"/>
      <c r="Q9000" s="19" t="n"/>
      <c r="R9000" s="19" t="n"/>
      <c r="Y9000" s="19" t="n"/>
    </row>
    <row r="9001">
      <c r="C9001" s="18" t="n"/>
      <c r="J9001" s="19" t="n"/>
      <c r="P9001" s="20" t="n"/>
      <c r="Q9001" s="19" t="n"/>
      <c r="R9001" s="19" t="n"/>
      <c r="Y9001" s="19" t="n"/>
    </row>
    <row r="9002">
      <c r="C9002" s="18" t="n"/>
      <c r="J9002" s="19" t="n"/>
      <c r="P9002" s="20" t="n"/>
      <c r="Q9002" s="19" t="n"/>
      <c r="R9002" s="19" t="n"/>
      <c r="Y9002" s="19" t="n"/>
    </row>
    <row r="9003">
      <c r="C9003" s="18" t="n"/>
      <c r="J9003" s="19" t="n"/>
      <c r="P9003" s="20" t="n"/>
      <c r="Q9003" s="19" t="n"/>
      <c r="R9003" s="19" t="n"/>
      <c r="Y9003" s="19" t="n"/>
    </row>
    <row r="9004">
      <c r="C9004" s="18" t="n"/>
      <c r="J9004" s="19" t="n"/>
      <c r="P9004" s="20" t="n"/>
      <c r="Q9004" s="19" t="n"/>
      <c r="R9004" s="19" t="n"/>
      <c r="Y9004" s="19" t="n"/>
    </row>
    <row r="9005">
      <c r="C9005" s="18" t="n"/>
      <c r="J9005" s="19" t="n"/>
      <c r="P9005" s="20" t="n"/>
      <c r="Q9005" s="19" t="n"/>
      <c r="R9005" s="19" t="n"/>
      <c r="Y9005" s="19" t="n"/>
    </row>
    <row r="9006">
      <c r="C9006" s="18" t="n"/>
      <c r="J9006" s="19" t="n"/>
      <c r="P9006" s="20" t="n"/>
      <c r="Q9006" s="19" t="n"/>
      <c r="R9006" s="19" t="n"/>
      <c r="Y9006" s="19" t="n"/>
    </row>
    <row r="9007">
      <c r="C9007" s="18" t="n"/>
      <c r="J9007" s="19" t="n"/>
      <c r="P9007" s="20" t="n"/>
      <c r="Q9007" s="19" t="n"/>
      <c r="R9007" s="19" t="n"/>
      <c r="Y9007" s="19" t="n"/>
    </row>
    <row r="9008">
      <c r="C9008" s="18" t="n"/>
      <c r="J9008" s="19" t="n"/>
      <c r="P9008" s="20" t="n"/>
      <c r="Q9008" s="19" t="n"/>
      <c r="R9008" s="19" t="n"/>
      <c r="Y9008" s="19" t="n"/>
    </row>
    <row r="9009">
      <c r="C9009" s="18" t="n"/>
      <c r="J9009" s="19" t="n"/>
      <c r="P9009" s="20" t="n"/>
      <c r="Q9009" s="19" t="n"/>
      <c r="R9009" s="19" t="n"/>
      <c r="Y9009" s="19" t="n"/>
    </row>
    <row r="9010">
      <c r="C9010" s="18" t="n"/>
      <c r="J9010" s="19" t="n"/>
      <c r="P9010" s="20" t="n"/>
      <c r="Q9010" s="19" t="n"/>
      <c r="R9010" s="19" t="n"/>
      <c r="Y9010" s="19" t="n"/>
    </row>
    <row r="9011">
      <c r="C9011" s="18" t="n"/>
      <c r="J9011" s="19" t="n"/>
      <c r="P9011" s="20" t="n"/>
      <c r="Q9011" s="19" t="n"/>
      <c r="R9011" s="19" t="n"/>
      <c r="Y9011" s="19" t="n"/>
    </row>
    <row r="9012">
      <c r="C9012" s="18" t="n"/>
      <c r="J9012" s="19" t="n"/>
      <c r="P9012" s="20" t="n"/>
      <c r="Q9012" s="19" t="n"/>
      <c r="R9012" s="19" t="n"/>
      <c r="Y9012" s="19" t="n"/>
    </row>
    <row r="9013">
      <c r="C9013" s="18" t="n"/>
      <c r="J9013" s="19" t="n"/>
      <c r="P9013" s="20" t="n"/>
      <c r="Q9013" s="19" t="n"/>
      <c r="R9013" s="19" t="n"/>
      <c r="Y9013" s="19" t="n"/>
    </row>
    <row r="9014">
      <c r="C9014" s="18" t="n"/>
      <c r="J9014" s="19" t="n"/>
      <c r="P9014" s="20" t="n"/>
      <c r="Q9014" s="19" t="n"/>
      <c r="R9014" s="19" t="n"/>
      <c r="Y9014" s="19" t="n"/>
    </row>
    <row r="9015">
      <c r="C9015" s="18" t="n"/>
      <c r="J9015" s="19" t="n"/>
      <c r="P9015" s="20" t="n"/>
      <c r="Q9015" s="19" t="n"/>
      <c r="R9015" s="19" t="n"/>
      <c r="Y9015" s="19" t="n"/>
    </row>
    <row r="9016">
      <c r="C9016" s="18" t="n"/>
      <c r="J9016" s="19" t="n"/>
      <c r="P9016" s="20" t="n"/>
      <c r="Q9016" s="19" t="n"/>
      <c r="R9016" s="19" t="n"/>
      <c r="Y9016" s="19" t="n"/>
    </row>
    <row r="9017">
      <c r="C9017" s="18" t="n"/>
      <c r="J9017" s="19" t="n"/>
      <c r="P9017" s="20" t="n"/>
      <c r="Q9017" s="19" t="n"/>
      <c r="R9017" s="19" t="n"/>
      <c r="Y9017" s="19" t="n"/>
    </row>
    <row r="9018">
      <c r="C9018" s="18" t="n"/>
      <c r="J9018" s="19" t="n"/>
      <c r="P9018" s="20" t="n"/>
      <c r="Q9018" s="19" t="n"/>
      <c r="R9018" s="19" t="n"/>
      <c r="Y9018" s="19" t="n"/>
    </row>
    <row r="9019">
      <c r="C9019" s="18" t="n"/>
      <c r="J9019" s="19" t="n"/>
      <c r="P9019" s="20" t="n"/>
      <c r="Q9019" s="19" t="n"/>
      <c r="R9019" s="19" t="n"/>
      <c r="Y9019" s="19" t="n"/>
    </row>
    <row r="9020">
      <c r="C9020" s="18" t="n"/>
      <c r="J9020" s="19" t="n"/>
      <c r="P9020" s="20" t="n"/>
      <c r="Q9020" s="19" t="n"/>
      <c r="R9020" s="19" t="n"/>
      <c r="Y9020" s="19" t="n"/>
    </row>
    <row r="9021">
      <c r="C9021" s="18" t="n"/>
      <c r="J9021" s="19" t="n"/>
      <c r="P9021" s="20" t="n"/>
      <c r="Q9021" s="19" t="n"/>
      <c r="R9021" s="19" t="n"/>
      <c r="Y9021" s="19" t="n"/>
    </row>
    <row r="9022">
      <c r="C9022" s="18" t="n"/>
      <c r="J9022" s="19" t="n"/>
      <c r="P9022" s="20" t="n"/>
      <c r="Q9022" s="19" t="n"/>
      <c r="R9022" s="19" t="n"/>
      <c r="Y9022" s="19" t="n"/>
    </row>
    <row r="9023">
      <c r="C9023" s="18" t="n"/>
      <c r="J9023" s="19" t="n"/>
      <c r="P9023" s="20" t="n"/>
      <c r="Q9023" s="19" t="n"/>
      <c r="R9023" s="19" t="n"/>
      <c r="Y9023" s="19" t="n"/>
    </row>
    <row r="9024">
      <c r="C9024" s="18" t="n"/>
      <c r="J9024" s="19" t="n"/>
      <c r="P9024" s="20" t="n"/>
      <c r="Q9024" s="19" t="n"/>
      <c r="R9024" s="19" t="n"/>
      <c r="Y9024" s="19" t="n"/>
    </row>
    <row r="9025">
      <c r="C9025" s="18" t="n"/>
      <c r="J9025" s="19" t="n"/>
      <c r="P9025" s="20" t="n"/>
      <c r="Q9025" s="19" t="n"/>
      <c r="R9025" s="19" t="n"/>
      <c r="Y9025" s="19" t="n"/>
    </row>
    <row r="9026">
      <c r="C9026" s="18" t="n"/>
      <c r="J9026" s="19" t="n"/>
      <c r="P9026" s="20" t="n"/>
      <c r="Q9026" s="19" t="n"/>
      <c r="R9026" s="19" t="n"/>
      <c r="Y9026" s="19" t="n"/>
    </row>
    <row r="9027">
      <c r="C9027" s="18" t="n"/>
      <c r="J9027" s="19" t="n"/>
      <c r="P9027" s="20" t="n"/>
      <c r="Q9027" s="19" t="n"/>
      <c r="R9027" s="19" t="n"/>
      <c r="Y9027" s="19" t="n"/>
    </row>
    <row r="9028">
      <c r="C9028" s="18" t="n"/>
      <c r="J9028" s="19" t="n"/>
      <c r="P9028" s="20" t="n"/>
      <c r="Q9028" s="19" t="n"/>
      <c r="R9028" s="19" t="n"/>
      <c r="Y9028" s="19" t="n"/>
    </row>
    <row r="9029">
      <c r="C9029" s="18" t="n"/>
      <c r="J9029" s="19" t="n"/>
      <c r="P9029" s="20" t="n"/>
      <c r="Q9029" s="19" t="n"/>
      <c r="R9029" s="19" t="n"/>
      <c r="Y9029" s="19" t="n"/>
    </row>
    <row r="9030">
      <c r="C9030" s="18" t="n"/>
      <c r="J9030" s="19" t="n"/>
      <c r="P9030" s="20" t="n"/>
      <c r="Q9030" s="19" t="n"/>
      <c r="R9030" s="19" t="n"/>
      <c r="Y9030" s="19" t="n"/>
    </row>
    <row r="9031">
      <c r="C9031" s="18" t="n"/>
      <c r="J9031" s="19" t="n"/>
      <c r="P9031" s="20" t="n"/>
      <c r="Q9031" s="19" t="n"/>
      <c r="R9031" s="19" t="n"/>
      <c r="Y9031" s="19" t="n"/>
    </row>
    <row r="9032">
      <c r="C9032" s="18" t="n"/>
      <c r="J9032" s="19" t="n"/>
      <c r="P9032" s="20" t="n"/>
      <c r="Q9032" s="19" t="n"/>
      <c r="R9032" s="19" t="n"/>
      <c r="Y9032" s="19" t="n"/>
    </row>
    <row r="9033">
      <c r="C9033" s="18" t="n"/>
      <c r="J9033" s="19" t="n"/>
      <c r="P9033" s="20" t="n"/>
      <c r="Q9033" s="19" t="n"/>
      <c r="R9033" s="19" t="n"/>
      <c r="Y9033" s="19" t="n"/>
    </row>
    <row r="9034">
      <c r="C9034" s="18" t="n"/>
      <c r="J9034" s="19" t="n"/>
      <c r="P9034" s="20" t="n"/>
      <c r="Q9034" s="19" t="n"/>
      <c r="R9034" s="19" t="n"/>
      <c r="Y9034" s="19" t="n"/>
    </row>
    <row r="9035">
      <c r="C9035" s="18" t="n"/>
      <c r="J9035" s="19" t="n"/>
      <c r="P9035" s="20" t="n"/>
      <c r="Q9035" s="19" t="n"/>
      <c r="R9035" s="19" t="n"/>
      <c r="Y9035" s="19" t="n"/>
    </row>
    <row r="9036">
      <c r="C9036" s="18" t="n"/>
      <c r="J9036" s="19" t="n"/>
      <c r="P9036" s="20" t="n"/>
      <c r="Q9036" s="19" t="n"/>
      <c r="R9036" s="19" t="n"/>
      <c r="Y9036" s="19" t="n"/>
    </row>
    <row r="9037">
      <c r="C9037" s="18" t="n"/>
      <c r="J9037" s="19" t="n"/>
      <c r="P9037" s="20" t="n"/>
      <c r="Q9037" s="19" t="n"/>
      <c r="R9037" s="19" t="n"/>
      <c r="Y9037" s="19" t="n"/>
    </row>
    <row r="9038">
      <c r="C9038" s="18" t="n"/>
      <c r="J9038" s="19" t="n"/>
      <c r="P9038" s="20" t="n"/>
      <c r="Q9038" s="19" t="n"/>
      <c r="R9038" s="19" t="n"/>
      <c r="Y9038" s="19" t="n"/>
    </row>
    <row r="9039">
      <c r="C9039" s="18" t="n"/>
      <c r="J9039" s="19" t="n"/>
      <c r="P9039" s="20" t="n"/>
      <c r="Q9039" s="19" t="n"/>
      <c r="R9039" s="19" t="n"/>
      <c r="Y9039" s="19" t="n"/>
    </row>
    <row r="9040">
      <c r="C9040" s="18" t="n"/>
      <c r="J9040" s="19" t="n"/>
      <c r="P9040" s="20" t="n"/>
      <c r="Q9040" s="19" t="n"/>
      <c r="R9040" s="19" t="n"/>
      <c r="Y9040" s="19" t="n"/>
    </row>
    <row r="9041">
      <c r="C9041" s="18" t="n"/>
      <c r="J9041" s="19" t="n"/>
      <c r="P9041" s="20" t="n"/>
      <c r="Q9041" s="19" t="n"/>
      <c r="R9041" s="19" t="n"/>
      <c r="Y9041" s="19" t="n"/>
    </row>
    <row r="9042">
      <c r="C9042" s="18" t="n"/>
      <c r="J9042" s="19" t="n"/>
      <c r="P9042" s="20" t="n"/>
      <c r="Q9042" s="19" t="n"/>
      <c r="R9042" s="19" t="n"/>
      <c r="Y9042" s="19" t="n"/>
    </row>
    <row r="9043">
      <c r="C9043" s="18" t="n"/>
      <c r="J9043" s="19" t="n"/>
      <c r="P9043" s="20" t="n"/>
      <c r="Q9043" s="19" t="n"/>
      <c r="R9043" s="19" t="n"/>
      <c r="Y9043" s="19" t="n"/>
    </row>
    <row r="9044">
      <c r="C9044" s="18" t="n"/>
      <c r="J9044" s="19" t="n"/>
      <c r="P9044" s="20" t="n"/>
      <c r="Q9044" s="19" t="n"/>
      <c r="R9044" s="19" t="n"/>
      <c r="Y9044" s="19" t="n"/>
    </row>
    <row r="9045">
      <c r="C9045" s="18" t="n"/>
      <c r="J9045" s="19" t="n"/>
      <c r="P9045" s="20" t="n"/>
      <c r="Q9045" s="19" t="n"/>
      <c r="R9045" s="19" t="n"/>
      <c r="Y9045" s="19" t="n"/>
    </row>
    <row r="9046">
      <c r="C9046" s="18" t="n"/>
      <c r="J9046" s="19" t="n"/>
      <c r="P9046" s="20" t="n"/>
      <c r="Q9046" s="19" t="n"/>
      <c r="R9046" s="19" t="n"/>
      <c r="Y9046" s="19" t="n"/>
    </row>
    <row r="9047">
      <c r="C9047" s="18" t="n"/>
      <c r="J9047" s="19" t="n"/>
      <c r="P9047" s="20" t="n"/>
      <c r="Q9047" s="19" t="n"/>
      <c r="R9047" s="19" t="n"/>
      <c r="Y9047" s="19" t="n"/>
    </row>
    <row r="9048">
      <c r="C9048" s="18" t="n"/>
      <c r="J9048" s="19" t="n"/>
      <c r="P9048" s="20" t="n"/>
      <c r="Q9048" s="19" t="n"/>
      <c r="R9048" s="19" t="n"/>
      <c r="Y9048" s="19" t="n"/>
    </row>
    <row r="9049">
      <c r="C9049" s="18" t="n"/>
      <c r="J9049" s="19" t="n"/>
      <c r="P9049" s="20" t="n"/>
      <c r="Q9049" s="19" t="n"/>
      <c r="R9049" s="19" t="n"/>
      <c r="Y9049" s="19" t="n"/>
    </row>
    <row r="9050">
      <c r="C9050" s="18" t="n"/>
      <c r="J9050" s="19" t="n"/>
      <c r="P9050" s="20" t="n"/>
      <c r="Q9050" s="19" t="n"/>
      <c r="R9050" s="19" t="n"/>
      <c r="Y9050" s="19" t="n"/>
    </row>
    <row r="9051">
      <c r="C9051" s="18" t="n"/>
      <c r="J9051" s="19" t="n"/>
      <c r="P9051" s="20" t="n"/>
      <c r="Q9051" s="19" t="n"/>
      <c r="R9051" s="19" t="n"/>
      <c r="Y9051" s="19" t="n"/>
    </row>
    <row r="9052">
      <c r="C9052" s="18" t="n"/>
      <c r="J9052" s="19" t="n"/>
      <c r="P9052" s="20" t="n"/>
      <c r="Q9052" s="19" t="n"/>
      <c r="R9052" s="19" t="n"/>
      <c r="Y9052" s="19" t="n"/>
    </row>
    <row r="9053">
      <c r="C9053" s="18" t="n"/>
      <c r="J9053" s="19" t="n"/>
      <c r="P9053" s="20" t="n"/>
      <c r="Q9053" s="19" t="n"/>
      <c r="R9053" s="19" t="n"/>
      <c r="Y9053" s="19" t="n"/>
    </row>
    <row r="9054">
      <c r="C9054" s="18" t="n"/>
      <c r="J9054" s="19" t="n"/>
      <c r="P9054" s="20" t="n"/>
      <c r="Q9054" s="19" t="n"/>
      <c r="R9054" s="19" t="n"/>
      <c r="Y9054" s="19" t="n"/>
    </row>
    <row r="9055">
      <c r="C9055" s="18" t="n"/>
      <c r="J9055" s="19" t="n"/>
      <c r="P9055" s="20" t="n"/>
      <c r="Q9055" s="19" t="n"/>
      <c r="R9055" s="19" t="n"/>
      <c r="Y9055" s="19" t="n"/>
    </row>
    <row r="9056">
      <c r="C9056" s="18" t="n"/>
      <c r="J9056" s="19" t="n"/>
      <c r="P9056" s="20" t="n"/>
      <c r="Q9056" s="19" t="n"/>
      <c r="R9056" s="19" t="n"/>
      <c r="Y9056" s="19" t="n"/>
    </row>
    <row r="9057">
      <c r="C9057" s="18" t="n"/>
      <c r="J9057" s="19" t="n"/>
      <c r="P9057" s="20" t="n"/>
      <c r="Q9057" s="19" t="n"/>
      <c r="R9057" s="19" t="n"/>
      <c r="Y9057" s="19" t="n"/>
    </row>
    <row r="9058">
      <c r="C9058" s="18" t="n"/>
      <c r="J9058" s="19" t="n"/>
      <c r="P9058" s="20" t="n"/>
      <c r="Q9058" s="19" t="n"/>
      <c r="R9058" s="19" t="n"/>
      <c r="Y9058" s="19" t="n"/>
    </row>
    <row r="9059">
      <c r="C9059" s="18" t="n"/>
      <c r="J9059" s="19" t="n"/>
      <c r="P9059" s="20" t="n"/>
      <c r="Q9059" s="19" t="n"/>
      <c r="R9059" s="19" t="n"/>
      <c r="Y9059" s="19" t="n"/>
    </row>
    <row r="9060">
      <c r="C9060" s="18" t="n"/>
      <c r="J9060" s="19" t="n"/>
      <c r="P9060" s="20" t="n"/>
      <c r="Q9060" s="19" t="n"/>
      <c r="R9060" s="19" t="n"/>
      <c r="Y9060" s="19" t="n"/>
    </row>
    <row r="9061">
      <c r="C9061" s="18" t="n"/>
      <c r="J9061" s="19" t="n"/>
      <c r="P9061" s="20" t="n"/>
      <c r="Q9061" s="19" t="n"/>
      <c r="R9061" s="19" t="n"/>
      <c r="Y9061" s="19" t="n"/>
    </row>
    <row r="9062">
      <c r="C9062" s="18" t="n"/>
      <c r="J9062" s="19" t="n"/>
      <c r="P9062" s="20" t="n"/>
      <c r="Q9062" s="19" t="n"/>
      <c r="R9062" s="19" t="n"/>
      <c r="Y9062" s="19" t="n"/>
    </row>
    <row r="9063">
      <c r="C9063" s="18" t="n"/>
      <c r="J9063" s="19" t="n"/>
      <c r="P9063" s="20" t="n"/>
      <c r="Q9063" s="19" t="n"/>
      <c r="R9063" s="19" t="n"/>
      <c r="Y9063" s="19" t="n"/>
    </row>
    <row r="9064">
      <c r="C9064" s="18" t="n"/>
      <c r="J9064" s="19" t="n"/>
      <c r="P9064" s="20" t="n"/>
      <c r="Q9064" s="19" t="n"/>
      <c r="R9064" s="19" t="n"/>
      <c r="Y9064" s="19" t="n"/>
    </row>
    <row r="9065">
      <c r="C9065" s="18" t="n"/>
      <c r="J9065" s="19" t="n"/>
      <c r="P9065" s="20" t="n"/>
      <c r="Q9065" s="19" t="n"/>
      <c r="R9065" s="19" t="n"/>
      <c r="Y9065" s="19" t="n"/>
    </row>
    <row r="9066">
      <c r="C9066" s="18" t="n"/>
      <c r="J9066" s="19" t="n"/>
      <c r="P9066" s="20" t="n"/>
      <c r="Q9066" s="19" t="n"/>
      <c r="R9066" s="19" t="n"/>
      <c r="Y9066" s="19" t="n"/>
    </row>
    <row r="9067">
      <c r="C9067" s="18" t="n"/>
      <c r="J9067" s="19" t="n"/>
      <c r="P9067" s="20" t="n"/>
      <c r="Q9067" s="19" t="n"/>
      <c r="R9067" s="19" t="n"/>
      <c r="Y9067" s="19" t="n"/>
    </row>
    <row r="9068">
      <c r="C9068" s="18" t="n"/>
      <c r="J9068" s="19" t="n"/>
      <c r="P9068" s="20" t="n"/>
      <c r="Q9068" s="19" t="n"/>
      <c r="R9068" s="19" t="n"/>
      <c r="Y9068" s="19" t="n"/>
    </row>
    <row r="9069">
      <c r="C9069" s="18" t="n"/>
      <c r="J9069" s="19" t="n"/>
      <c r="P9069" s="20" t="n"/>
      <c r="Q9069" s="19" t="n"/>
      <c r="R9069" s="19" t="n"/>
      <c r="Y9069" s="19" t="n"/>
    </row>
    <row r="9070">
      <c r="C9070" s="18" t="n"/>
      <c r="J9070" s="19" t="n"/>
      <c r="P9070" s="20" t="n"/>
      <c r="Q9070" s="19" t="n"/>
      <c r="R9070" s="19" t="n"/>
      <c r="Y9070" s="19" t="n"/>
    </row>
    <row r="9071">
      <c r="C9071" s="18" t="n"/>
      <c r="J9071" s="19" t="n"/>
      <c r="P9071" s="20" t="n"/>
      <c r="Q9071" s="19" t="n"/>
      <c r="R9071" s="19" t="n"/>
      <c r="Y9071" s="19" t="n"/>
    </row>
    <row r="9072">
      <c r="C9072" s="18" t="n"/>
      <c r="J9072" s="19" t="n"/>
      <c r="P9072" s="20" t="n"/>
      <c r="Q9072" s="19" t="n"/>
      <c r="R9072" s="19" t="n"/>
      <c r="Y9072" s="19" t="n"/>
    </row>
    <row r="9073">
      <c r="C9073" s="18" t="n"/>
      <c r="J9073" s="19" t="n"/>
      <c r="P9073" s="20" t="n"/>
      <c r="Q9073" s="19" t="n"/>
      <c r="R9073" s="19" t="n"/>
      <c r="Y9073" s="19" t="n"/>
    </row>
    <row r="9074">
      <c r="C9074" s="18" t="n"/>
      <c r="J9074" s="19" t="n"/>
      <c r="P9074" s="20" t="n"/>
      <c r="Q9074" s="19" t="n"/>
      <c r="R9074" s="19" t="n"/>
      <c r="Y9074" s="19" t="n"/>
    </row>
    <row r="9075">
      <c r="C9075" s="18" t="n"/>
      <c r="J9075" s="19" t="n"/>
      <c r="P9075" s="20" t="n"/>
      <c r="Q9075" s="19" t="n"/>
      <c r="R9075" s="19" t="n"/>
      <c r="Y9075" s="19" t="n"/>
    </row>
    <row r="9076">
      <c r="C9076" s="18" t="n"/>
      <c r="J9076" s="19" t="n"/>
      <c r="P9076" s="20" t="n"/>
      <c r="Q9076" s="19" t="n"/>
      <c r="R9076" s="19" t="n"/>
      <c r="Y9076" s="19" t="n"/>
    </row>
    <row r="9077">
      <c r="C9077" s="18" t="n"/>
      <c r="J9077" s="19" t="n"/>
      <c r="P9077" s="20" t="n"/>
      <c r="Q9077" s="19" t="n"/>
      <c r="R9077" s="19" t="n"/>
      <c r="Y9077" s="19" t="n"/>
    </row>
    <row r="9078">
      <c r="C9078" s="18" t="n"/>
      <c r="J9078" s="19" t="n"/>
      <c r="P9078" s="20" t="n"/>
      <c r="Q9078" s="19" t="n"/>
      <c r="R9078" s="19" t="n"/>
      <c r="Y9078" s="19" t="n"/>
    </row>
    <row r="9079">
      <c r="C9079" s="18" t="n"/>
      <c r="J9079" s="19" t="n"/>
      <c r="P9079" s="20" t="n"/>
      <c r="Q9079" s="19" t="n"/>
      <c r="R9079" s="19" t="n"/>
      <c r="Y9079" s="19" t="n"/>
    </row>
    <row r="9080">
      <c r="C9080" s="18" t="n"/>
      <c r="J9080" s="19" t="n"/>
      <c r="P9080" s="20" t="n"/>
      <c r="Q9080" s="19" t="n"/>
      <c r="R9080" s="19" t="n"/>
      <c r="Y9080" s="19" t="n"/>
    </row>
    <row r="9081">
      <c r="C9081" s="18" t="n"/>
      <c r="J9081" s="19" t="n"/>
      <c r="P9081" s="20" t="n"/>
      <c r="Q9081" s="19" t="n"/>
      <c r="R9081" s="19" t="n"/>
      <c r="Y9081" s="19" t="n"/>
    </row>
    <row r="9082">
      <c r="C9082" s="18" t="n"/>
      <c r="J9082" s="19" t="n"/>
      <c r="P9082" s="20" t="n"/>
      <c r="Q9082" s="19" t="n"/>
      <c r="R9082" s="19" t="n"/>
      <c r="Y9082" s="19" t="n"/>
    </row>
    <row r="9083">
      <c r="C9083" s="18" t="n"/>
      <c r="J9083" s="19" t="n"/>
      <c r="P9083" s="20" t="n"/>
      <c r="Q9083" s="19" t="n"/>
      <c r="R9083" s="19" t="n"/>
      <c r="Y9083" s="19" t="n"/>
    </row>
    <row r="9084">
      <c r="C9084" s="18" t="n"/>
      <c r="J9084" s="19" t="n"/>
      <c r="P9084" s="20" t="n"/>
      <c r="Q9084" s="19" t="n"/>
      <c r="R9084" s="19" t="n"/>
      <c r="Y9084" s="19" t="n"/>
    </row>
    <row r="9085">
      <c r="C9085" s="18" t="n"/>
      <c r="J9085" s="19" t="n"/>
      <c r="P9085" s="20" t="n"/>
      <c r="Q9085" s="19" t="n"/>
      <c r="R9085" s="19" t="n"/>
      <c r="Y9085" s="19" t="n"/>
    </row>
    <row r="9086">
      <c r="C9086" s="18" t="n"/>
      <c r="J9086" s="19" t="n"/>
      <c r="P9086" s="20" t="n"/>
      <c r="Q9086" s="19" t="n"/>
      <c r="R9086" s="19" t="n"/>
      <c r="Y9086" s="19" t="n"/>
    </row>
    <row r="9087">
      <c r="C9087" s="18" t="n"/>
      <c r="J9087" s="19" t="n"/>
      <c r="P9087" s="20" t="n"/>
      <c r="Q9087" s="19" t="n"/>
      <c r="R9087" s="19" t="n"/>
      <c r="Y9087" s="19" t="n"/>
    </row>
    <row r="9088">
      <c r="C9088" s="18" t="n"/>
      <c r="J9088" s="19" t="n"/>
      <c r="P9088" s="20" t="n"/>
      <c r="Q9088" s="19" t="n"/>
      <c r="R9088" s="19" t="n"/>
      <c r="Y9088" s="19" t="n"/>
    </row>
    <row r="9089">
      <c r="C9089" s="18" t="n"/>
      <c r="J9089" s="19" t="n"/>
      <c r="P9089" s="20" t="n"/>
      <c r="Q9089" s="19" t="n"/>
      <c r="R9089" s="19" t="n"/>
      <c r="Y9089" s="19" t="n"/>
    </row>
    <row r="9090">
      <c r="C9090" s="18" t="n"/>
      <c r="J9090" s="19" t="n"/>
      <c r="P9090" s="20" t="n"/>
      <c r="Q9090" s="19" t="n"/>
      <c r="R9090" s="19" t="n"/>
      <c r="Y9090" s="19" t="n"/>
    </row>
    <row r="9091">
      <c r="C9091" s="18" t="n"/>
      <c r="J9091" s="19" t="n"/>
      <c r="P9091" s="20" t="n"/>
      <c r="Q9091" s="19" t="n"/>
      <c r="R9091" s="19" t="n"/>
      <c r="Y9091" s="19" t="n"/>
    </row>
    <row r="9092">
      <c r="C9092" s="18" t="n"/>
      <c r="J9092" s="19" t="n"/>
      <c r="P9092" s="20" t="n"/>
      <c r="Q9092" s="19" t="n"/>
      <c r="R9092" s="19" t="n"/>
      <c r="Y9092" s="19" t="n"/>
    </row>
    <row r="9093">
      <c r="C9093" s="18" t="n"/>
      <c r="J9093" s="19" t="n"/>
      <c r="P9093" s="20" t="n"/>
      <c r="Q9093" s="19" t="n"/>
      <c r="R9093" s="19" t="n"/>
      <c r="Y9093" s="19" t="n"/>
    </row>
    <row r="9094">
      <c r="C9094" s="18" t="n"/>
      <c r="J9094" s="19" t="n"/>
      <c r="P9094" s="20" t="n"/>
      <c r="Q9094" s="19" t="n"/>
      <c r="R9094" s="19" t="n"/>
      <c r="Y9094" s="19" t="n"/>
    </row>
    <row r="9095">
      <c r="C9095" s="18" t="n"/>
      <c r="J9095" s="19" t="n"/>
      <c r="P9095" s="20" t="n"/>
      <c r="Q9095" s="19" t="n"/>
      <c r="R9095" s="19" t="n"/>
      <c r="Y9095" s="19" t="n"/>
    </row>
    <row r="9096">
      <c r="C9096" s="18" t="n"/>
      <c r="J9096" s="19" t="n"/>
      <c r="P9096" s="20" t="n"/>
      <c r="Q9096" s="19" t="n"/>
      <c r="R9096" s="19" t="n"/>
      <c r="Y9096" s="19" t="n"/>
    </row>
    <row r="9097">
      <c r="C9097" s="18" t="n"/>
      <c r="J9097" s="19" t="n"/>
      <c r="P9097" s="20" t="n"/>
      <c r="Q9097" s="19" t="n"/>
      <c r="R9097" s="19" t="n"/>
      <c r="Y9097" s="19" t="n"/>
    </row>
    <row r="9098">
      <c r="C9098" s="18" t="n"/>
      <c r="J9098" s="19" t="n"/>
      <c r="P9098" s="20" t="n"/>
      <c r="Q9098" s="19" t="n"/>
      <c r="R9098" s="19" t="n"/>
      <c r="Y9098" s="19" t="n"/>
    </row>
    <row r="9099">
      <c r="C9099" s="18" t="n"/>
      <c r="J9099" s="19" t="n"/>
      <c r="P9099" s="20" t="n"/>
      <c r="Q9099" s="19" t="n"/>
      <c r="R9099" s="19" t="n"/>
      <c r="Y9099" s="19" t="n"/>
    </row>
    <row r="9100">
      <c r="C9100" s="18" t="n"/>
      <c r="J9100" s="19" t="n"/>
      <c r="P9100" s="20" t="n"/>
      <c r="Q9100" s="19" t="n"/>
      <c r="R9100" s="19" t="n"/>
      <c r="Y9100" s="19" t="n"/>
    </row>
    <row r="9101">
      <c r="C9101" s="18" t="n"/>
      <c r="J9101" s="19" t="n"/>
      <c r="P9101" s="20" t="n"/>
      <c r="Q9101" s="19" t="n"/>
      <c r="R9101" s="19" t="n"/>
      <c r="Y9101" s="19" t="n"/>
    </row>
    <row r="9102">
      <c r="C9102" s="18" t="n"/>
      <c r="J9102" s="19" t="n"/>
      <c r="P9102" s="20" t="n"/>
      <c r="Q9102" s="19" t="n"/>
      <c r="R9102" s="19" t="n"/>
      <c r="Y9102" s="19" t="n"/>
    </row>
    <row r="9103">
      <c r="C9103" s="18" t="n"/>
      <c r="J9103" s="19" t="n"/>
      <c r="P9103" s="20" t="n"/>
      <c r="Q9103" s="19" t="n"/>
      <c r="R9103" s="19" t="n"/>
      <c r="Y9103" s="19" t="n"/>
    </row>
    <row r="9104">
      <c r="C9104" s="18" t="n"/>
      <c r="J9104" s="19" t="n"/>
      <c r="P9104" s="20" t="n"/>
      <c r="Q9104" s="19" t="n"/>
      <c r="R9104" s="19" t="n"/>
      <c r="Y9104" s="19" t="n"/>
    </row>
    <row r="9105">
      <c r="C9105" s="18" t="n"/>
      <c r="J9105" s="19" t="n"/>
      <c r="P9105" s="20" t="n"/>
      <c r="Q9105" s="19" t="n"/>
      <c r="R9105" s="19" t="n"/>
      <c r="Y9105" s="19" t="n"/>
    </row>
    <row r="9106">
      <c r="C9106" s="18" t="n"/>
      <c r="J9106" s="19" t="n"/>
      <c r="P9106" s="20" t="n"/>
      <c r="Q9106" s="19" t="n"/>
      <c r="R9106" s="19" t="n"/>
      <c r="Y9106" s="19" t="n"/>
    </row>
    <row r="9107">
      <c r="C9107" s="18" t="n"/>
      <c r="J9107" s="19" t="n"/>
      <c r="P9107" s="20" t="n"/>
      <c r="Q9107" s="19" t="n"/>
      <c r="R9107" s="19" t="n"/>
      <c r="Y9107" s="19" t="n"/>
    </row>
    <row r="9108">
      <c r="C9108" s="18" t="n"/>
      <c r="J9108" s="19" t="n"/>
      <c r="P9108" s="20" t="n"/>
      <c r="Q9108" s="19" t="n"/>
      <c r="R9108" s="19" t="n"/>
      <c r="Y9108" s="19" t="n"/>
    </row>
    <row r="9109">
      <c r="C9109" s="18" t="n"/>
      <c r="J9109" s="19" t="n"/>
      <c r="P9109" s="20" t="n"/>
      <c r="Q9109" s="19" t="n"/>
      <c r="R9109" s="19" t="n"/>
      <c r="Y9109" s="19" t="n"/>
    </row>
    <row r="9110">
      <c r="C9110" s="18" t="n"/>
      <c r="J9110" s="19" t="n"/>
      <c r="P9110" s="20" t="n"/>
      <c r="Q9110" s="19" t="n"/>
      <c r="R9110" s="19" t="n"/>
      <c r="Y9110" s="19" t="n"/>
    </row>
    <row r="9111">
      <c r="C9111" s="18" t="n"/>
      <c r="J9111" s="19" t="n"/>
      <c r="P9111" s="20" t="n"/>
      <c r="Q9111" s="19" t="n"/>
      <c r="R9111" s="19" t="n"/>
      <c r="Y9111" s="19" t="n"/>
    </row>
    <row r="9112">
      <c r="C9112" s="18" t="n"/>
      <c r="J9112" s="19" t="n"/>
      <c r="P9112" s="20" t="n"/>
      <c r="Q9112" s="19" t="n"/>
      <c r="R9112" s="19" t="n"/>
      <c r="Y9112" s="19" t="n"/>
    </row>
    <row r="9113">
      <c r="C9113" s="18" t="n"/>
      <c r="J9113" s="19" t="n"/>
      <c r="P9113" s="20" t="n"/>
      <c r="Q9113" s="19" t="n"/>
      <c r="R9113" s="19" t="n"/>
      <c r="Y9113" s="19" t="n"/>
    </row>
    <row r="9114">
      <c r="C9114" s="18" t="n"/>
      <c r="J9114" s="19" t="n"/>
      <c r="P9114" s="20" t="n"/>
      <c r="Q9114" s="19" t="n"/>
      <c r="R9114" s="19" t="n"/>
      <c r="Y9114" s="19" t="n"/>
    </row>
    <row r="9115">
      <c r="C9115" s="18" t="n"/>
      <c r="J9115" s="19" t="n"/>
      <c r="P9115" s="20" t="n"/>
      <c r="Q9115" s="19" t="n"/>
      <c r="R9115" s="19" t="n"/>
      <c r="Y9115" s="19" t="n"/>
    </row>
    <row r="9116">
      <c r="C9116" s="18" t="n"/>
      <c r="J9116" s="19" t="n"/>
      <c r="P9116" s="20" t="n"/>
      <c r="Q9116" s="19" t="n"/>
      <c r="R9116" s="19" t="n"/>
      <c r="Y9116" s="19" t="n"/>
    </row>
    <row r="9117">
      <c r="C9117" s="18" t="n"/>
      <c r="J9117" s="19" t="n"/>
      <c r="P9117" s="20" t="n"/>
      <c r="Q9117" s="19" t="n"/>
      <c r="R9117" s="19" t="n"/>
      <c r="Y9117" s="19" t="n"/>
    </row>
    <row r="9118">
      <c r="C9118" s="18" t="n"/>
      <c r="J9118" s="19" t="n"/>
      <c r="P9118" s="20" t="n"/>
      <c r="Q9118" s="19" t="n"/>
      <c r="R9118" s="19" t="n"/>
      <c r="Y9118" s="19" t="n"/>
    </row>
    <row r="9119">
      <c r="C9119" s="18" t="n"/>
      <c r="J9119" s="19" t="n"/>
      <c r="P9119" s="20" t="n"/>
      <c r="Q9119" s="19" t="n"/>
      <c r="R9119" s="19" t="n"/>
      <c r="Y9119" s="19" t="n"/>
    </row>
    <row r="9120">
      <c r="C9120" s="18" t="n"/>
      <c r="J9120" s="19" t="n"/>
      <c r="P9120" s="20" t="n"/>
      <c r="Q9120" s="19" t="n"/>
      <c r="R9120" s="19" t="n"/>
      <c r="Y9120" s="19" t="n"/>
    </row>
    <row r="9121">
      <c r="C9121" s="18" t="n"/>
      <c r="J9121" s="19" t="n"/>
      <c r="P9121" s="20" t="n"/>
      <c r="Q9121" s="19" t="n"/>
      <c r="R9121" s="19" t="n"/>
      <c r="Y9121" s="19" t="n"/>
    </row>
    <row r="9122">
      <c r="C9122" s="18" t="n"/>
      <c r="J9122" s="19" t="n"/>
      <c r="P9122" s="20" t="n"/>
      <c r="Q9122" s="19" t="n"/>
      <c r="R9122" s="19" t="n"/>
      <c r="Y9122" s="19" t="n"/>
    </row>
    <row r="9123">
      <c r="C9123" s="18" t="n"/>
      <c r="J9123" s="19" t="n"/>
      <c r="P9123" s="20" t="n"/>
      <c r="Q9123" s="19" t="n"/>
      <c r="R9123" s="19" t="n"/>
      <c r="Y9123" s="19" t="n"/>
    </row>
    <row r="9124">
      <c r="C9124" s="18" t="n"/>
      <c r="J9124" s="19" t="n"/>
      <c r="P9124" s="20" t="n"/>
      <c r="Q9124" s="19" t="n"/>
      <c r="R9124" s="19" t="n"/>
      <c r="Y9124" s="19" t="n"/>
    </row>
    <row r="9125">
      <c r="C9125" s="18" t="n"/>
      <c r="J9125" s="19" t="n"/>
      <c r="P9125" s="20" t="n"/>
      <c r="Q9125" s="19" t="n"/>
      <c r="R9125" s="19" t="n"/>
      <c r="Y9125" s="19" t="n"/>
    </row>
    <row r="9126">
      <c r="C9126" s="18" t="n"/>
      <c r="J9126" s="19" t="n"/>
      <c r="P9126" s="20" t="n"/>
      <c r="Q9126" s="19" t="n"/>
      <c r="R9126" s="19" t="n"/>
      <c r="Y9126" s="19" t="n"/>
    </row>
    <row r="9127">
      <c r="C9127" s="18" t="n"/>
      <c r="J9127" s="19" t="n"/>
      <c r="P9127" s="20" t="n"/>
      <c r="Q9127" s="19" t="n"/>
      <c r="R9127" s="19" t="n"/>
      <c r="Y9127" s="19" t="n"/>
    </row>
    <row r="9128">
      <c r="C9128" s="18" t="n"/>
      <c r="J9128" s="19" t="n"/>
      <c r="P9128" s="20" t="n"/>
      <c r="Q9128" s="19" t="n"/>
      <c r="R9128" s="19" t="n"/>
      <c r="Y9128" s="19" t="n"/>
    </row>
    <row r="9129">
      <c r="C9129" s="18" t="n"/>
      <c r="J9129" s="19" t="n"/>
      <c r="P9129" s="20" t="n"/>
      <c r="Q9129" s="19" t="n"/>
      <c r="R9129" s="19" t="n"/>
      <c r="Y9129" s="19" t="n"/>
    </row>
    <row r="9130">
      <c r="C9130" s="18" t="n"/>
      <c r="J9130" s="19" t="n"/>
      <c r="P9130" s="20" t="n"/>
      <c r="Q9130" s="19" t="n"/>
      <c r="R9130" s="19" t="n"/>
      <c r="Y9130" s="19" t="n"/>
    </row>
    <row r="9131">
      <c r="C9131" s="18" t="n"/>
      <c r="J9131" s="19" t="n"/>
      <c r="P9131" s="20" t="n"/>
      <c r="Q9131" s="19" t="n"/>
      <c r="R9131" s="19" t="n"/>
      <c r="Y9131" s="19" t="n"/>
    </row>
    <row r="9132">
      <c r="C9132" s="18" t="n"/>
      <c r="J9132" s="19" t="n"/>
      <c r="P9132" s="20" t="n"/>
      <c r="Q9132" s="19" t="n"/>
      <c r="R9132" s="19" t="n"/>
      <c r="Y9132" s="19" t="n"/>
    </row>
    <row r="9133">
      <c r="C9133" s="18" t="n"/>
      <c r="J9133" s="19" t="n"/>
      <c r="P9133" s="20" t="n"/>
      <c r="Q9133" s="19" t="n"/>
      <c r="R9133" s="19" t="n"/>
      <c r="Y9133" s="19" t="n"/>
    </row>
    <row r="9134">
      <c r="C9134" s="18" t="n"/>
      <c r="J9134" s="19" t="n"/>
      <c r="P9134" s="20" t="n"/>
      <c r="Q9134" s="19" t="n"/>
      <c r="R9134" s="19" t="n"/>
      <c r="Y9134" s="19" t="n"/>
    </row>
    <row r="9135">
      <c r="C9135" s="18" t="n"/>
      <c r="J9135" s="19" t="n"/>
      <c r="P9135" s="20" t="n"/>
      <c r="Q9135" s="19" t="n"/>
      <c r="R9135" s="19" t="n"/>
      <c r="Y9135" s="19" t="n"/>
    </row>
    <row r="9136">
      <c r="C9136" s="18" t="n"/>
      <c r="J9136" s="19" t="n"/>
      <c r="P9136" s="20" t="n"/>
      <c r="Q9136" s="19" t="n"/>
      <c r="R9136" s="19" t="n"/>
      <c r="Y9136" s="19" t="n"/>
    </row>
    <row r="9137">
      <c r="C9137" s="18" t="n"/>
      <c r="J9137" s="19" t="n"/>
      <c r="P9137" s="20" t="n"/>
      <c r="Q9137" s="19" t="n"/>
      <c r="R9137" s="19" t="n"/>
      <c r="Y9137" s="19" t="n"/>
    </row>
    <row r="9138">
      <c r="C9138" s="18" t="n"/>
      <c r="J9138" s="19" t="n"/>
      <c r="P9138" s="20" t="n"/>
      <c r="Q9138" s="19" t="n"/>
      <c r="R9138" s="19" t="n"/>
      <c r="Y9138" s="19" t="n"/>
    </row>
    <row r="9139">
      <c r="C9139" s="18" t="n"/>
      <c r="J9139" s="19" t="n"/>
      <c r="P9139" s="20" t="n"/>
      <c r="Q9139" s="19" t="n"/>
      <c r="R9139" s="19" t="n"/>
      <c r="Y9139" s="19" t="n"/>
    </row>
    <row r="9140">
      <c r="C9140" s="18" t="n"/>
      <c r="J9140" s="19" t="n"/>
      <c r="P9140" s="20" t="n"/>
      <c r="Q9140" s="19" t="n"/>
      <c r="R9140" s="19" t="n"/>
      <c r="Y9140" s="19" t="n"/>
    </row>
    <row r="9141">
      <c r="C9141" s="18" t="n"/>
      <c r="J9141" s="19" t="n"/>
      <c r="P9141" s="20" t="n"/>
      <c r="Q9141" s="19" t="n"/>
      <c r="R9141" s="19" t="n"/>
      <c r="Y9141" s="19" t="n"/>
    </row>
    <row r="9142">
      <c r="C9142" s="18" t="n"/>
      <c r="J9142" s="19" t="n"/>
      <c r="P9142" s="20" t="n"/>
      <c r="Q9142" s="19" t="n"/>
      <c r="R9142" s="19" t="n"/>
      <c r="Y9142" s="19" t="n"/>
    </row>
    <row r="9143">
      <c r="C9143" s="18" t="n"/>
      <c r="J9143" s="19" t="n"/>
      <c r="P9143" s="20" t="n"/>
      <c r="Q9143" s="19" t="n"/>
      <c r="R9143" s="19" t="n"/>
      <c r="Y9143" s="19" t="n"/>
    </row>
    <row r="9144">
      <c r="C9144" s="18" t="n"/>
      <c r="J9144" s="19" t="n"/>
      <c r="P9144" s="20" t="n"/>
      <c r="Q9144" s="19" t="n"/>
      <c r="R9144" s="19" t="n"/>
      <c r="Y9144" s="19" t="n"/>
    </row>
    <row r="9145">
      <c r="C9145" s="18" t="n"/>
      <c r="J9145" s="19" t="n"/>
      <c r="P9145" s="20" t="n"/>
      <c r="Q9145" s="19" t="n"/>
      <c r="R9145" s="19" t="n"/>
      <c r="Y9145" s="19" t="n"/>
    </row>
    <row r="9146">
      <c r="C9146" s="18" t="n"/>
      <c r="J9146" s="19" t="n"/>
      <c r="P9146" s="20" t="n"/>
      <c r="Q9146" s="19" t="n"/>
      <c r="R9146" s="19" t="n"/>
      <c r="Y9146" s="19" t="n"/>
    </row>
    <row r="9147">
      <c r="C9147" s="18" t="n"/>
      <c r="J9147" s="19" t="n"/>
      <c r="P9147" s="20" t="n"/>
      <c r="Q9147" s="19" t="n"/>
      <c r="R9147" s="19" t="n"/>
      <c r="Y9147" s="19" t="n"/>
    </row>
    <row r="9148">
      <c r="C9148" s="18" t="n"/>
      <c r="J9148" s="19" t="n"/>
      <c r="P9148" s="20" t="n"/>
      <c r="Q9148" s="19" t="n"/>
      <c r="R9148" s="19" t="n"/>
      <c r="Y9148" s="19" t="n"/>
    </row>
    <row r="9149">
      <c r="C9149" s="18" t="n"/>
      <c r="J9149" s="19" t="n"/>
      <c r="P9149" s="20" t="n"/>
      <c r="Q9149" s="19" t="n"/>
      <c r="R9149" s="19" t="n"/>
      <c r="Y9149" s="19" t="n"/>
    </row>
    <row r="9150">
      <c r="C9150" s="18" t="n"/>
      <c r="J9150" s="19" t="n"/>
      <c r="P9150" s="20" t="n"/>
      <c r="Q9150" s="19" t="n"/>
      <c r="R9150" s="19" t="n"/>
      <c r="Y9150" s="19" t="n"/>
    </row>
    <row r="9151">
      <c r="C9151" s="18" t="n"/>
      <c r="J9151" s="19" t="n"/>
      <c r="P9151" s="20" t="n"/>
      <c r="Q9151" s="19" t="n"/>
      <c r="R9151" s="19" t="n"/>
      <c r="Y9151" s="19" t="n"/>
    </row>
    <row r="9152">
      <c r="C9152" s="18" t="n"/>
      <c r="J9152" s="19" t="n"/>
      <c r="P9152" s="20" t="n"/>
      <c r="Q9152" s="19" t="n"/>
      <c r="R9152" s="19" t="n"/>
      <c r="Y9152" s="19" t="n"/>
    </row>
    <row r="9153">
      <c r="C9153" s="18" t="n"/>
      <c r="J9153" s="19" t="n"/>
      <c r="P9153" s="20" t="n"/>
      <c r="Q9153" s="19" t="n"/>
      <c r="R9153" s="19" t="n"/>
      <c r="Y9153" s="19" t="n"/>
    </row>
    <row r="9154">
      <c r="C9154" s="18" t="n"/>
      <c r="J9154" s="19" t="n"/>
      <c r="P9154" s="20" t="n"/>
      <c r="Q9154" s="19" t="n"/>
      <c r="R9154" s="19" t="n"/>
      <c r="Y9154" s="19" t="n"/>
    </row>
    <row r="9155">
      <c r="C9155" s="18" t="n"/>
      <c r="J9155" s="19" t="n"/>
      <c r="P9155" s="20" t="n"/>
      <c r="Q9155" s="19" t="n"/>
      <c r="R9155" s="19" t="n"/>
      <c r="Y9155" s="19" t="n"/>
    </row>
    <row r="9156">
      <c r="C9156" s="18" t="n"/>
      <c r="J9156" s="19" t="n"/>
      <c r="P9156" s="20" t="n"/>
      <c r="Q9156" s="19" t="n"/>
      <c r="R9156" s="19" t="n"/>
      <c r="Y9156" s="19" t="n"/>
    </row>
    <row r="9157">
      <c r="C9157" s="18" t="n"/>
      <c r="J9157" s="19" t="n"/>
      <c r="P9157" s="20" t="n"/>
      <c r="Q9157" s="19" t="n"/>
      <c r="R9157" s="19" t="n"/>
      <c r="Y9157" s="19" t="n"/>
    </row>
    <row r="9158">
      <c r="C9158" s="18" t="n"/>
      <c r="J9158" s="19" t="n"/>
      <c r="P9158" s="20" t="n"/>
      <c r="Q9158" s="19" t="n"/>
      <c r="R9158" s="19" t="n"/>
      <c r="Y9158" s="19" t="n"/>
    </row>
    <row r="9159">
      <c r="C9159" s="18" t="n"/>
      <c r="J9159" s="19" t="n"/>
      <c r="P9159" s="20" t="n"/>
      <c r="Q9159" s="19" t="n"/>
      <c r="R9159" s="19" t="n"/>
      <c r="Y9159" s="19" t="n"/>
    </row>
    <row r="9160">
      <c r="C9160" s="18" t="n"/>
      <c r="J9160" s="19" t="n"/>
      <c r="P9160" s="20" t="n"/>
      <c r="Q9160" s="19" t="n"/>
      <c r="R9160" s="19" t="n"/>
      <c r="Y9160" s="19" t="n"/>
    </row>
    <row r="9161">
      <c r="C9161" s="18" t="n"/>
      <c r="J9161" s="19" t="n"/>
      <c r="P9161" s="20" t="n"/>
      <c r="Q9161" s="19" t="n"/>
      <c r="R9161" s="19" t="n"/>
      <c r="Y9161" s="19" t="n"/>
    </row>
    <row r="9162">
      <c r="C9162" s="18" t="n"/>
      <c r="J9162" s="19" t="n"/>
      <c r="P9162" s="20" t="n"/>
      <c r="Q9162" s="19" t="n"/>
      <c r="R9162" s="19" t="n"/>
      <c r="Y9162" s="19" t="n"/>
    </row>
    <row r="9163">
      <c r="C9163" s="18" t="n"/>
      <c r="J9163" s="19" t="n"/>
      <c r="P9163" s="20" t="n"/>
      <c r="Q9163" s="19" t="n"/>
      <c r="R9163" s="19" t="n"/>
      <c r="Y9163" s="19" t="n"/>
    </row>
    <row r="9164">
      <c r="C9164" s="18" t="n"/>
      <c r="J9164" s="19" t="n"/>
      <c r="P9164" s="20" t="n"/>
      <c r="Q9164" s="19" t="n"/>
      <c r="R9164" s="19" t="n"/>
      <c r="Y9164" s="19" t="n"/>
    </row>
    <row r="9165">
      <c r="C9165" s="18" t="n"/>
      <c r="J9165" s="19" t="n"/>
      <c r="P9165" s="20" t="n"/>
      <c r="Q9165" s="19" t="n"/>
      <c r="R9165" s="19" t="n"/>
      <c r="Y9165" s="19" t="n"/>
    </row>
    <row r="9166">
      <c r="C9166" s="18" t="n"/>
      <c r="J9166" s="19" t="n"/>
      <c r="P9166" s="20" t="n"/>
      <c r="Q9166" s="19" t="n"/>
      <c r="R9166" s="19" t="n"/>
      <c r="Y9166" s="19" t="n"/>
    </row>
    <row r="9167">
      <c r="C9167" s="18" t="n"/>
      <c r="J9167" s="19" t="n"/>
      <c r="P9167" s="20" t="n"/>
      <c r="Q9167" s="19" t="n"/>
      <c r="R9167" s="19" t="n"/>
      <c r="Y9167" s="19" t="n"/>
    </row>
    <row r="9168">
      <c r="C9168" s="18" t="n"/>
      <c r="J9168" s="19" t="n"/>
      <c r="P9168" s="20" t="n"/>
      <c r="Q9168" s="19" t="n"/>
      <c r="R9168" s="19" t="n"/>
      <c r="Y9168" s="19" t="n"/>
    </row>
    <row r="9169">
      <c r="C9169" s="18" t="n"/>
      <c r="J9169" s="19" t="n"/>
      <c r="P9169" s="20" t="n"/>
      <c r="Q9169" s="19" t="n"/>
      <c r="R9169" s="19" t="n"/>
      <c r="Y9169" s="19" t="n"/>
    </row>
    <row r="9170">
      <c r="C9170" s="18" t="n"/>
      <c r="J9170" s="19" t="n"/>
      <c r="P9170" s="20" t="n"/>
      <c r="Q9170" s="19" t="n"/>
      <c r="R9170" s="19" t="n"/>
      <c r="Y9170" s="19" t="n"/>
    </row>
    <row r="9171">
      <c r="C9171" s="18" t="n"/>
      <c r="J9171" s="19" t="n"/>
      <c r="P9171" s="20" t="n"/>
      <c r="Q9171" s="19" t="n"/>
      <c r="R9171" s="19" t="n"/>
      <c r="Y9171" s="19" t="n"/>
    </row>
    <row r="9172">
      <c r="C9172" s="18" t="n"/>
      <c r="J9172" s="19" t="n"/>
      <c r="P9172" s="20" t="n"/>
      <c r="Q9172" s="19" t="n"/>
      <c r="R9172" s="19" t="n"/>
      <c r="Y9172" s="19" t="n"/>
    </row>
    <row r="9173">
      <c r="C9173" s="18" t="n"/>
      <c r="J9173" s="19" t="n"/>
      <c r="P9173" s="20" t="n"/>
      <c r="Q9173" s="19" t="n"/>
      <c r="R9173" s="19" t="n"/>
      <c r="Y9173" s="19" t="n"/>
    </row>
    <row r="9174">
      <c r="C9174" s="18" t="n"/>
      <c r="J9174" s="19" t="n"/>
      <c r="P9174" s="20" t="n"/>
      <c r="Q9174" s="19" t="n"/>
      <c r="R9174" s="19" t="n"/>
      <c r="Y9174" s="19" t="n"/>
    </row>
    <row r="9175">
      <c r="C9175" s="18" t="n"/>
      <c r="J9175" s="19" t="n"/>
      <c r="P9175" s="20" t="n"/>
      <c r="Q9175" s="19" t="n"/>
      <c r="R9175" s="19" t="n"/>
      <c r="Y9175" s="19" t="n"/>
    </row>
    <row r="9176">
      <c r="C9176" s="18" t="n"/>
      <c r="J9176" s="19" t="n"/>
      <c r="P9176" s="20" t="n"/>
      <c r="Q9176" s="19" t="n"/>
      <c r="R9176" s="19" t="n"/>
      <c r="Y9176" s="19" t="n"/>
    </row>
    <row r="9177">
      <c r="C9177" s="18" t="n"/>
      <c r="J9177" s="19" t="n"/>
      <c r="P9177" s="20" t="n"/>
      <c r="Q9177" s="19" t="n"/>
      <c r="R9177" s="19" t="n"/>
      <c r="Y9177" s="19" t="n"/>
    </row>
    <row r="9178">
      <c r="C9178" s="18" t="n"/>
      <c r="J9178" s="19" t="n"/>
      <c r="P9178" s="20" t="n"/>
      <c r="Q9178" s="19" t="n"/>
      <c r="R9178" s="19" t="n"/>
      <c r="Y9178" s="19" t="n"/>
    </row>
    <row r="9179">
      <c r="C9179" s="18" t="n"/>
      <c r="J9179" s="19" t="n"/>
      <c r="P9179" s="20" t="n"/>
      <c r="Q9179" s="19" t="n"/>
      <c r="R9179" s="19" t="n"/>
      <c r="Y9179" s="19" t="n"/>
    </row>
    <row r="9180">
      <c r="C9180" s="18" t="n"/>
      <c r="J9180" s="19" t="n"/>
      <c r="P9180" s="20" t="n"/>
      <c r="Q9180" s="19" t="n"/>
      <c r="R9180" s="19" t="n"/>
      <c r="Y9180" s="19" t="n"/>
    </row>
    <row r="9181">
      <c r="C9181" s="18" t="n"/>
      <c r="J9181" s="19" t="n"/>
      <c r="P9181" s="20" t="n"/>
      <c r="Q9181" s="19" t="n"/>
      <c r="R9181" s="19" t="n"/>
      <c r="Y9181" s="19" t="n"/>
    </row>
    <row r="9182">
      <c r="C9182" s="18" t="n"/>
      <c r="J9182" s="19" t="n"/>
      <c r="P9182" s="20" t="n"/>
      <c r="Q9182" s="19" t="n"/>
      <c r="R9182" s="19" t="n"/>
      <c r="Y9182" s="19" t="n"/>
    </row>
    <row r="9183">
      <c r="C9183" s="18" t="n"/>
      <c r="J9183" s="19" t="n"/>
      <c r="P9183" s="20" t="n"/>
      <c r="Q9183" s="19" t="n"/>
      <c r="R9183" s="19" t="n"/>
      <c r="Y9183" s="19" t="n"/>
    </row>
    <row r="9184">
      <c r="C9184" s="18" t="n"/>
      <c r="J9184" s="19" t="n"/>
      <c r="P9184" s="20" t="n"/>
      <c r="Q9184" s="19" t="n"/>
      <c r="R9184" s="19" t="n"/>
      <c r="Y9184" s="19" t="n"/>
    </row>
    <row r="9185">
      <c r="C9185" s="18" t="n"/>
      <c r="J9185" s="19" t="n"/>
      <c r="P9185" s="20" t="n"/>
      <c r="Q9185" s="19" t="n"/>
      <c r="R9185" s="19" t="n"/>
      <c r="Y9185" s="19" t="n"/>
    </row>
    <row r="9186">
      <c r="C9186" s="18" t="n"/>
      <c r="J9186" s="19" t="n"/>
      <c r="P9186" s="20" t="n"/>
      <c r="Q9186" s="19" t="n"/>
      <c r="R9186" s="19" t="n"/>
      <c r="Y9186" s="19" t="n"/>
    </row>
    <row r="9187">
      <c r="C9187" s="18" t="n"/>
      <c r="J9187" s="19" t="n"/>
      <c r="P9187" s="20" t="n"/>
      <c r="Q9187" s="19" t="n"/>
      <c r="R9187" s="19" t="n"/>
      <c r="Y9187" s="19" t="n"/>
    </row>
    <row r="9188">
      <c r="C9188" s="18" t="n"/>
      <c r="J9188" s="19" t="n"/>
      <c r="P9188" s="20" t="n"/>
      <c r="Q9188" s="19" t="n"/>
      <c r="R9188" s="19" t="n"/>
      <c r="Y9188" s="19" t="n"/>
    </row>
    <row r="9189">
      <c r="C9189" s="18" t="n"/>
      <c r="J9189" s="19" t="n"/>
      <c r="P9189" s="20" t="n"/>
      <c r="Q9189" s="19" t="n"/>
      <c r="R9189" s="19" t="n"/>
      <c r="Y9189" s="19" t="n"/>
    </row>
    <row r="9190">
      <c r="C9190" s="18" t="n"/>
      <c r="J9190" s="19" t="n"/>
      <c r="P9190" s="20" t="n"/>
      <c r="Q9190" s="19" t="n"/>
      <c r="R9190" s="19" t="n"/>
      <c r="Y9190" s="19" t="n"/>
    </row>
    <row r="9191">
      <c r="C9191" s="18" t="n"/>
      <c r="J9191" s="19" t="n"/>
      <c r="P9191" s="20" t="n"/>
      <c r="Q9191" s="19" t="n"/>
      <c r="R9191" s="19" t="n"/>
      <c r="Y9191" s="19" t="n"/>
    </row>
    <row r="9192">
      <c r="C9192" s="18" t="n"/>
      <c r="J9192" s="19" t="n"/>
      <c r="P9192" s="20" t="n"/>
      <c r="Q9192" s="19" t="n"/>
      <c r="R9192" s="19" t="n"/>
      <c r="Y9192" s="19" t="n"/>
    </row>
    <row r="9193">
      <c r="C9193" s="18" t="n"/>
      <c r="J9193" s="19" t="n"/>
      <c r="P9193" s="20" t="n"/>
      <c r="Q9193" s="19" t="n"/>
      <c r="R9193" s="19" t="n"/>
      <c r="Y9193" s="19" t="n"/>
    </row>
    <row r="9194">
      <c r="C9194" s="18" t="n"/>
      <c r="J9194" s="19" t="n"/>
      <c r="P9194" s="20" t="n"/>
      <c r="Q9194" s="19" t="n"/>
      <c r="R9194" s="19" t="n"/>
      <c r="Y9194" s="19" t="n"/>
    </row>
    <row r="9195">
      <c r="C9195" s="18" t="n"/>
      <c r="J9195" s="19" t="n"/>
      <c r="P9195" s="20" t="n"/>
      <c r="Q9195" s="19" t="n"/>
      <c r="R9195" s="19" t="n"/>
      <c r="Y9195" s="19" t="n"/>
    </row>
    <row r="9196">
      <c r="C9196" s="18" t="n"/>
      <c r="J9196" s="19" t="n"/>
      <c r="P9196" s="20" t="n"/>
      <c r="Q9196" s="19" t="n"/>
      <c r="R9196" s="19" t="n"/>
      <c r="Y9196" s="19" t="n"/>
    </row>
    <row r="9197">
      <c r="C9197" s="18" t="n"/>
      <c r="J9197" s="19" t="n"/>
      <c r="P9197" s="20" t="n"/>
      <c r="Q9197" s="19" t="n"/>
      <c r="R9197" s="19" t="n"/>
      <c r="Y9197" s="19" t="n"/>
    </row>
    <row r="9198">
      <c r="C9198" s="18" t="n"/>
      <c r="J9198" s="19" t="n"/>
      <c r="P9198" s="20" t="n"/>
      <c r="Q9198" s="19" t="n"/>
      <c r="R9198" s="19" t="n"/>
      <c r="Y9198" s="19" t="n"/>
    </row>
    <row r="9199">
      <c r="C9199" s="18" t="n"/>
      <c r="J9199" s="19" t="n"/>
      <c r="P9199" s="20" t="n"/>
      <c r="Q9199" s="19" t="n"/>
      <c r="R9199" s="19" t="n"/>
      <c r="Y9199" s="19" t="n"/>
    </row>
    <row r="9200">
      <c r="C9200" s="18" t="n"/>
      <c r="J9200" s="19" t="n"/>
      <c r="P9200" s="20" t="n"/>
      <c r="Q9200" s="19" t="n"/>
      <c r="R9200" s="19" t="n"/>
      <c r="Y9200" s="19" t="n"/>
    </row>
    <row r="9201">
      <c r="C9201" s="18" t="n"/>
      <c r="J9201" s="19" t="n"/>
      <c r="P9201" s="20" t="n"/>
      <c r="Q9201" s="19" t="n"/>
      <c r="R9201" s="19" t="n"/>
      <c r="Y9201" s="19" t="n"/>
    </row>
    <row r="9202">
      <c r="C9202" s="18" t="n"/>
      <c r="J9202" s="19" t="n"/>
      <c r="P9202" s="20" t="n"/>
      <c r="Q9202" s="19" t="n"/>
      <c r="R9202" s="19" t="n"/>
      <c r="Y9202" s="19" t="n"/>
    </row>
    <row r="9203">
      <c r="C9203" s="18" t="n"/>
      <c r="J9203" s="19" t="n"/>
      <c r="P9203" s="20" t="n"/>
      <c r="Q9203" s="19" t="n"/>
      <c r="R9203" s="19" t="n"/>
      <c r="Y9203" s="19" t="n"/>
    </row>
    <row r="9204">
      <c r="C9204" s="18" t="n"/>
      <c r="J9204" s="19" t="n"/>
      <c r="P9204" s="20" t="n"/>
      <c r="Q9204" s="19" t="n"/>
      <c r="R9204" s="19" t="n"/>
      <c r="Y9204" s="19" t="n"/>
    </row>
    <row r="9205">
      <c r="C9205" s="18" t="n"/>
      <c r="J9205" s="19" t="n"/>
      <c r="P9205" s="20" t="n"/>
      <c r="Q9205" s="19" t="n"/>
      <c r="R9205" s="19" t="n"/>
      <c r="Y9205" s="19" t="n"/>
    </row>
    <row r="9206">
      <c r="C9206" s="18" t="n"/>
      <c r="J9206" s="19" t="n"/>
      <c r="P9206" s="20" t="n"/>
      <c r="Q9206" s="19" t="n"/>
      <c r="R9206" s="19" t="n"/>
      <c r="Y9206" s="19" t="n"/>
    </row>
    <row r="9207">
      <c r="C9207" s="18" t="n"/>
      <c r="J9207" s="19" t="n"/>
      <c r="P9207" s="20" t="n"/>
      <c r="Q9207" s="19" t="n"/>
      <c r="R9207" s="19" t="n"/>
      <c r="Y9207" s="19" t="n"/>
    </row>
    <row r="9208">
      <c r="C9208" s="18" t="n"/>
      <c r="J9208" s="19" t="n"/>
      <c r="P9208" s="20" t="n"/>
      <c r="Q9208" s="19" t="n"/>
      <c r="R9208" s="19" t="n"/>
      <c r="Y9208" s="19" t="n"/>
    </row>
    <row r="9209">
      <c r="C9209" s="18" t="n"/>
      <c r="J9209" s="19" t="n"/>
      <c r="P9209" s="20" t="n"/>
      <c r="Q9209" s="19" t="n"/>
      <c r="R9209" s="19" t="n"/>
      <c r="Y9209" s="19" t="n"/>
    </row>
    <row r="9210">
      <c r="C9210" s="18" t="n"/>
      <c r="J9210" s="19" t="n"/>
      <c r="P9210" s="20" t="n"/>
      <c r="Q9210" s="19" t="n"/>
      <c r="R9210" s="19" t="n"/>
      <c r="Y9210" s="19" t="n"/>
    </row>
    <row r="9211">
      <c r="C9211" s="18" t="n"/>
      <c r="J9211" s="19" t="n"/>
      <c r="P9211" s="20" t="n"/>
      <c r="Q9211" s="19" t="n"/>
      <c r="R9211" s="19" t="n"/>
      <c r="Y9211" s="19" t="n"/>
    </row>
    <row r="9212">
      <c r="C9212" s="18" t="n"/>
      <c r="J9212" s="19" t="n"/>
      <c r="P9212" s="20" t="n"/>
      <c r="Q9212" s="19" t="n"/>
      <c r="R9212" s="19" t="n"/>
      <c r="Y9212" s="19" t="n"/>
    </row>
    <row r="9213">
      <c r="C9213" s="18" t="n"/>
      <c r="J9213" s="19" t="n"/>
      <c r="P9213" s="20" t="n"/>
      <c r="Q9213" s="19" t="n"/>
      <c r="R9213" s="19" t="n"/>
      <c r="Y9213" s="19" t="n"/>
    </row>
    <row r="9214">
      <c r="C9214" s="18" t="n"/>
      <c r="J9214" s="19" t="n"/>
      <c r="P9214" s="20" t="n"/>
      <c r="Q9214" s="19" t="n"/>
      <c r="R9214" s="19" t="n"/>
      <c r="Y9214" s="19" t="n"/>
    </row>
    <row r="9215">
      <c r="C9215" s="18" t="n"/>
      <c r="J9215" s="19" t="n"/>
      <c r="P9215" s="20" t="n"/>
      <c r="Q9215" s="19" t="n"/>
      <c r="R9215" s="19" t="n"/>
      <c r="Y9215" s="19" t="n"/>
    </row>
    <row r="9216">
      <c r="C9216" s="18" t="n"/>
      <c r="J9216" s="19" t="n"/>
      <c r="P9216" s="20" t="n"/>
      <c r="Q9216" s="19" t="n"/>
      <c r="R9216" s="19" t="n"/>
      <c r="Y9216" s="19" t="n"/>
    </row>
    <row r="9217">
      <c r="C9217" s="18" t="n"/>
      <c r="J9217" s="19" t="n"/>
      <c r="P9217" s="20" t="n"/>
      <c r="Q9217" s="19" t="n"/>
      <c r="R9217" s="19" t="n"/>
      <c r="Y9217" s="19" t="n"/>
    </row>
    <row r="9218">
      <c r="C9218" s="18" t="n"/>
      <c r="J9218" s="19" t="n"/>
      <c r="P9218" s="20" t="n"/>
      <c r="Q9218" s="19" t="n"/>
      <c r="R9218" s="19" t="n"/>
      <c r="Y9218" s="19" t="n"/>
    </row>
    <row r="9219">
      <c r="C9219" s="18" t="n"/>
      <c r="J9219" s="19" t="n"/>
      <c r="P9219" s="20" t="n"/>
      <c r="Q9219" s="19" t="n"/>
      <c r="R9219" s="19" t="n"/>
      <c r="Y9219" s="19" t="n"/>
    </row>
    <row r="9220">
      <c r="C9220" s="18" t="n"/>
      <c r="J9220" s="19" t="n"/>
      <c r="P9220" s="20" t="n"/>
      <c r="Q9220" s="19" t="n"/>
      <c r="R9220" s="19" t="n"/>
      <c r="Y9220" s="19" t="n"/>
    </row>
    <row r="9221">
      <c r="C9221" s="18" t="n"/>
      <c r="J9221" s="19" t="n"/>
      <c r="P9221" s="20" t="n"/>
      <c r="Q9221" s="19" t="n"/>
      <c r="R9221" s="19" t="n"/>
      <c r="Y9221" s="19" t="n"/>
    </row>
    <row r="9222">
      <c r="C9222" s="18" t="n"/>
      <c r="J9222" s="19" t="n"/>
      <c r="P9222" s="20" t="n"/>
      <c r="Q9222" s="19" t="n"/>
      <c r="R9222" s="19" t="n"/>
      <c r="Y9222" s="19" t="n"/>
    </row>
    <row r="9223">
      <c r="C9223" s="18" t="n"/>
      <c r="J9223" s="19" t="n"/>
      <c r="P9223" s="20" t="n"/>
      <c r="Q9223" s="19" t="n"/>
      <c r="R9223" s="19" t="n"/>
      <c r="Y9223" s="19" t="n"/>
    </row>
    <row r="9224">
      <c r="C9224" s="18" t="n"/>
      <c r="J9224" s="19" t="n"/>
      <c r="P9224" s="20" t="n"/>
      <c r="Q9224" s="19" t="n"/>
      <c r="R9224" s="19" t="n"/>
      <c r="Y9224" s="19" t="n"/>
    </row>
    <row r="9225">
      <c r="C9225" s="18" t="n"/>
      <c r="J9225" s="19" t="n"/>
      <c r="P9225" s="20" t="n"/>
      <c r="Q9225" s="19" t="n"/>
      <c r="R9225" s="19" t="n"/>
      <c r="Y9225" s="19" t="n"/>
    </row>
    <row r="9226">
      <c r="C9226" s="18" t="n"/>
      <c r="J9226" s="19" t="n"/>
      <c r="P9226" s="20" t="n"/>
      <c r="Q9226" s="19" t="n"/>
      <c r="R9226" s="19" t="n"/>
      <c r="Y9226" s="19" t="n"/>
    </row>
    <row r="9227">
      <c r="C9227" s="18" t="n"/>
      <c r="J9227" s="19" t="n"/>
      <c r="P9227" s="20" t="n"/>
      <c r="Q9227" s="19" t="n"/>
      <c r="R9227" s="19" t="n"/>
      <c r="Y9227" s="19" t="n"/>
    </row>
    <row r="9228">
      <c r="C9228" s="18" t="n"/>
      <c r="J9228" s="19" t="n"/>
      <c r="P9228" s="20" t="n"/>
      <c r="Q9228" s="19" t="n"/>
      <c r="R9228" s="19" t="n"/>
      <c r="Y9228" s="19" t="n"/>
    </row>
    <row r="9229">
      <c r="C9229" s="18" t="n"/>
      <c r="J9229" s="19" t="n"/>
      <c r="P9229" s="20" t="n"/>
      <c r="Q9229" s="19" t="n"/>
      <c r="R9229" s="19" t="n"/>
      <c r="Y9229" s="19" t="n"/>
    </row>
    <row r="9230">
      <c r="C9230" s="18" t="n"/>
      <c r="J9230" s="19" t="n"/>
      <c r="P9230" s="20" t="n"/>
      <c r="Q9230" s="19" t="n"/>
      <c r="R9230" s="19" t="n"/>
      <c r="Y9230" s="19" t="n"/>
    </row>
    <row r="9231">
      <c r="C9231" s="18" t="n"/>
      <c r="J9231" s="19" t="n"/>
      <c r="P9231" s="20" t="n"/>
      <c r="Q9231" s="19" t="n"/>
      <c r="R9231" s="19" t="n"/>
      <c r="Y9231" s="19" t="n"/>
    </row>
    <row r="9232">
      <c r="C9232" s="18" t="n"/>
      <c r="J9232" s="19" t="n"/>
      <c r="P9232" s="20" t="n"/>
      <c r="Q9232" s="19" t="n"/>
      <c r="R9232" s="19" t="n"/>
      <c r="Y9232" s="19" t="n"/>
    </row>
    <row r="9233">
      <c r="C9233" s="18" t="n"/>
      <c r="J9233" s="19" t="n"/>
      <c r="P9233" s="20" t="n"/>
      <c r="Q9233" s="19" t="n"/>
      <c r="R9233" s="19" t="n"/>
      <c r="Y9233" s="19" t="n"/>
    </row>
    <row r="9234">
      <c r="C9234" s="18" t="n"/>
      <c r="J9234" s="19" t="n"/>
      <c r="P9234" s="20" t="n"/>
      <c r="Q9234" s="19" t="n"/>
      <c r="R9234" s="19" t="n"/>
      <c r="Y9234" s="19" t="n"/>
    </row>
    <row r="9235">
      <c r="C9235" s="18" t="n"/>
      <c r="J9235" s="19" t="n"/>
      <c r="P9235" s="20" t="n"/>
      <c r="Q9235" s="19" t="n"/>
      <c r="R9235" s="19" t="n"/>
      <c r="Y9235" s="19" t="n"/>
    </row>
    <row r="9236">
      <c r="C9236" s="18" t="n"/>
      <c r="J9236" s="19" t="n"/>
      <c r="P9236" s="20" t="n"/>
      <c r="Q9236" s="19" t="n"/>
      <c r="R9236" s="19" t="n"/>
      <c r="Y9236" s="19" t="n"/>
    </row>
    <row r="9237">
      <c r="C9237" s="18" t="n"/>
      <c r="J9237" s="19" t="n"/>
      <c r="P9237" s="20" t="n"/>
      <c r="Q9237" s="19" t="n"/>
      <c r="R9237" s="19" t="n"/>
      <c r="Y9237" s="19" t="n"/>
    </row>
    <row r="9238">
      <c r="C9238" s="18" t="n"/>
      <c r="J9238" s="19" t="n"/>
      <c r="P9238" s="20" t="n"/>
      <c r="Q9238" s="19" t="n"/>
      <c r="R9238" s="19" t="n"/>
      <c r="Y9238" s="19" t="n"/>
    </row>
    <row r="9239">
      <c r="C9239" s="18" t="n"/>
      <c r="J9239" s="19" t="n"/>
      <c r="P9239" s="20" t="n"/>
      <c r="Q9239" s="19" t="n"/>
      <c r="R9239" s="19" t="n"/>
      <c r="Y9239" s="19" t="n"/>
    </row>
    <row r="9240">
      <c r="C9240" s="18" t="n"/>
      <c r="J9240" s="19" t="n"/>
      <c r="P9240" s="20" t="n"/>
      <c r="Q9240" s="19" t="n"/>
      <c r="R9240" s="19" t="n"/>
      <c r="Y9240" s="19" t="n"/>
    </row>
    <row r="9241">
      <c r="C9241" s="18" t="n"/>
      <c r="J9241" s="19" t="n"/>
      <c r="P9241" s="20" t="n"/>
      <c r="Q9241" s="19" t="n"/>
      <c r="R9241" s="19" t="n"/>
      <c r="Y9241" s="19" t="n"/>
    </row>
    <row r="9242">
      <c r="C9242" s="18" t="n"/>
      <c r="J9242" s="19" t="n"/>
      <c r="P9242" s="20" t="n"/>
      <c r="Q9242" s="19" t="n"/>
      <c r="R9242" s="19" t="n"/>
      <c r="Y9242" s="19" t="n"/>
    </row>
    <row r="9243">
      <c r="C9243" s="18" t="n"/>
      <c r="J9243" s="19" t="n"/>
      <c r="P9243" s="20" t="n"/>
      <c r="Q9243" s="19" t="n"/>
      <c r="R9243" s="19" t="n"/>
      <c r="Y9243" s="19" t="n"/>
    </row>
    <row r="9244">
      <c r="C9244" s="18" t="n"/>
      <c r="J9244" s="19" t="n"/>
      <c r="P9244" s="20" t="n"/>
      <c r="Q9244" s="19" t="n"/>
      <c r="R9244" s="19" t="n"/>
      <c r="Y9244" s="19" t="n"/>
    </row>
    <row r="9245">
      <c r="C9245" s="18" t="n"/>
      <c r="J9245" s="19" t="n"/>
      <c r="P9245" s="20" t="n"/>
      <c r="Q9245" s="19" t="n"/>
      <c r="R9245" s="19" t="n"/>
      <c r="Y9245" s="19" t="n"/>
    </row>
    <row r="9246">
      <c r="C9246" s="18" t="n"/>
      <c r="J9246" s="19" t="n"/>
      <c r="P9246" s="20" t="n"/>
      <c r="Q9246" s="19" t="n"/>
      <c r="R9246" s="19" t="n"/>
      <c r="Y9246" s="19" t="n"/>
    </row>
    <row r="9247">
      <c r="C9247" s="18" t="n"/>
      <c r="J9247" s="19" t="n"/>
      <c r="P9247" s="20" t="n"/>
      <c r="Q9247" s="19" t="n"/>
      <c r="R9247" s="19" t="n"/>
      <c r="Y9247" s="19" t="n"/>
    </row>
    <row r="9248">
      <c r="C9248" s="18" t="n"/>
      <c r="J9248" s="19" t="n"/>
      <c r="P9248" s="20" t="n"/>
      <c r="Q9248" s="19" t="n"/>
      <c r="R9248" s="19" t="n"/>
      <c r="Y9248" s="19" t="n"/>
    </row>
    <row r="9249">
      <c r="C9249" s="18" t="n"/>
      <c r="J9249" s="19" t="n"/>
      <c r="P9249" s="20" t="n"/>
      <c r="Q9249" s="19" t="n"/>
      <c r="R9249" s="19" t="n"/>
      <c r="Y9249" s="19" t="n"/>
    </row>
    <row r="9250">
      <c r="C9250" s="18" t="n"/>
      <c r="J9250" s="19" t="n"/>
      <c r="P9250" s="20" t="n"/>
      <c r="Q9250" s="19" t="n"/>
      <c r="R9250" s="19" t="n"/>
      <c r="Y9250" s="19" t="n"/>
    </row>
    <row r="9251">
      <c r="C9251" s="18" t="n"/>
      <c r="J9251" s="19" t="n"/>
      <c r="P9251" s="20" t="n"/>
      <c r="Q9251" s="19" t="n"/>
      <c r="R9251" s="19" t="n"/>
      <c r="Y9251" s="19" t="n"/>
    </row>
    <row r="9252">
      <c r="C9252" s="18" t="n"/>
      <c r="J9252" s="19" t="n"/>
      <c r="P9252" s="20" t="n"/>
      <c r="Q9252" s="19" t="n"/>
      <c r="R9252" s="19" t="n"/>
      <c r="Y9252" s="19" t="n"/>
    </row>
    <row r="9253">
      <c r="C9253" s="18" t="n"/>
      <c r="J9253" s="19" t="n"/>
      <c r="P9253" s="20" t="n"/>
      <c r="Q9253" s="19" t="n"/>
      <c r="R9253" s="19" t="n"/>
      <c r="Y9253" s="19" t="n"/>
    </row>
    <row r="9254">
      <c r="C9254" s="18" t="n"/>
      <c r="J9254" s="19" t="n"/>
      <c r="P9254" s="20" t="n"/>
      <c r="Q9254" s="19" t="n"/>
      <c r="R9254" s="19" t="n"/>
      <c r="Y9254" s="19" t="n"/>
    </row>
    <row r="9255">
      <c r="C9255" s="18" t="n"/>
      <c r="J9255" s="19" t="n"/>
      <c r="P9255" s="20" t="n"/>
      <c r="Q9255" s="19" t="n"/>
      <c r="R9255" s="19" t="n"/>
      <c r="Y9255" s="19" t="n"/>
    </row>
    <row r="9256">
      <c r="C9256" s="18" t="n"/>
      <c r="J9256" s="19" t="n"/>
      <c r="P9256" s="20" t="n"/>
      <c r="Q9256" s="19" t="n"/>
      <c r="R9256" s="19" t="n"/>
      <c r="Y9256" s="19" t="n"/>
    </row>
    <row r="9257">
      <c r="C9257" s="18" t="n"/>
      <c r="J9257" s="19" t="n"/>
      <c r="P9257" s="20" t="n"/>
      <c r="Q9257" s="19" t="n"/>
      <c r="R9257" s="19" t="n"/>
      <c r="Y9257" s="19" t="n"/>
    </row>
    <row r="9258">
      <c r="C9258" s="18" t="n"/>
      <c r="J9258" s="19" t="n"/>
      <c r="P9258" s="20" t="n"/>
      <c r="Q9258" s="19" t="n"/>
      <c r="R9258" s="19" t="n"/>
      <c r="Y9258" s="19" t="n"/>
    </row>
    <row r="9259">
      <c r="C9259" s="18" t="n"/>
      <c r="J9259" s="19" t="n"/>
      <c r="P9259" s="20" t="n"/>
      <c r="Q9259" s="19" t="n"/>
      <c r="R9259" s="19" t="n"/>
      <c r="Y9259" s="19" t="n"/>
    </row>
    <row r="9260">
      <c r="C9260" s="18" t="n"/>
      <c r="J9260" s="19" t="n"/>
      <c r="P9260" s="20" t="n"/>
      <c r="Q9260" s="19" t="n"/>
      <c r="R9260" s="19" t="n"/>
      <c r="Y9260" s="19" t="n"/>
    </row>
    <row r="9261">
      <c r="C9261" s="18" t="n"/>
      <c r="J9261" s="19" t="n"/>
      <c r="P9261" s="20" t="n"/>
      <c r="Q9261" s="19" t="n"/>
      <c r="R9261" s="19" t="n"/>
      <c r="Y9261" s="19" t="n"/>
    </row>
    <row r="9262">
      <c r="C9262" s="18" t="n"/>
      <c r="J9262" s="19" t="n"/>
      <c r="P9262" s="20" t="n"/>
      <c r="Q9262" s="19" t="n"/>
      <c r="R9262" s="19" t="n"/>
      <c r="Y9262" s="19" t="n"/>
    </row>
    <row r="9263">
      <c r="C9263" s="18" t="n"/>
      <c r="J9263" s="19" t="n"/>
      <c r="P9263" s="20" t="n"/>
      <c r="Q9263" s="19" t="n"/>
      <c r="R9263" s="19" t="n"/>
      <c r="Y9263" s="19" t="n"/>
    </row>
    <row r="9264">
      <c r="C9264" s="18" t="n"/>
      <c r="J9264" s="19" t="n"/>
      <c r="P9264" s="20" t="n"/>
      <c r="Q9264" s="19" t="n"/>
      <c r="R9264" s="19" t="n"/>
      <c r="Y9264" s="19" t="n"/>
    </row>
    <row r="9265">
      <c r="C9265" s="18" t="n"/>
      <c r="J9265" s="19" t="n"/>
      <c r="P9265" s="20" t="n"/>
      <c r="Q9265" s="19" t="n"/>
      <c r="R9265" s="19" t="n"/>
      <c r="Y9265" s="19" t="n"/>
    </row>
    <row r="9266">
      <c r="C9266" s="18" t="n"/>
      <c r="J9266" s="19" t="n"/>
      <c r="P9266" s="20" t="n"/>
      <c r="Q9266" s="19" t="n"/>
      <c r="R9266" s="19" t="n"/>
      <c r="Y9266" s="19" t="n"/>
    </row>
    <row r="9267">
      <c r="C9267" s="18" t="n"/>
      <c r="J9267" s="19" t="n"/>
      <c r="P9267" s="20" t="n"/>
      <c r="Q9267" s="19" t="n"/>
      <c r="R9267" s="19" t="n"/>
      <c r="Y9267" s="19" t="n"/>
    </row>
    <row r="9268">
      <c r="C9268" s="18" t="n"/>
      <c r="J9268" s="19" t="n"/>
      <c r="P9268" s="20" t="n"/>
      <c r="Q9268" s="19" t="n"/>
      <c r="R9268" s="19" t="n"/>
      <c r="Y9268" s="19" t="n"/>
    </row>
    <row r="9269">
      <c r="C9269" s="18" t="n"/>
      <c r="J9269" s="19" t="n"/>
      <c r="P9269" s="20" t="n"/>
      <c r="Q9269" s="19" t="n"/>
      <c r="R9269" s="19" t="n"/>
      <c r="Y9269" s="19" t="n"/>
    </row>
    <row r="9270">
      <c r="C9270" s="18" t="n"/>
      <c r="J9270" s="19" t="n"/>
      <c r="P9270" s="20" t="n"/>
      <c r="Q9270" s="19" t="n"/>
      <c r="R9270" s="19" t="n"/>
      <c r="Y9270" s="19" t="n"/>
    </row>
    <row r="9271">
      <c r="C9271" s="18" t="n"/>
      <c r="J9271" s="19" t="n"/>
      <c r="P9271" s="20" t="n"/>
      <c r="Q9271" s="19" t="n"/>
      <c r="R9271" s="19" t="n"/>
      <c r="Y9271" s="19" t="n"/>
    </row>
    <row r="9272">
      <c r="C9272" s="18" t="n"/>
      <c r="J9272" s="19" t="n"/>
      <c r="P9272" s="20" t="n"/>
      <c r="Q9272" s="19" t="n"/>
      <c r="R9272" s="19" t="n"/>
      <c r="Y9272" s="19" t="n"/>
    </row>
    <row r="9273">
      <c r="C9273" s="18" t="n"/>
      <c r="J9273" s="19" t="n"/>
      <c r="P9273" s="20" t="n"/>
      <c r="Q9273" s="19" t="n"/>
      <c r="R9273" s="19" t="n"/>
      <c r="Y9273" s="19" t="n"/>
    </row>
    <row r="9274">
      <c r="C9274" s="18" t="n"/>
      <c r="J9274" s="19" t="n"/>
      <c r="P9274" s="20" t="n"/>
      <c r="Q9274" s="19" t="n"/>
      <c r="R9274" s="19" t="n"/>
      <c r="Y9274" s="19" t="n"/>
    </row>
    <row r="9275">
      <c r="C9275" s="18" t="n"/>
      <c r="J9275" s="19" t="n"/>
      <c r="P9275" s="20" t="n"/>
      <c r="Q9275" s="19" t="n"/>
      <c r="R9275" s="19" t="n"/>
      <c r="Y9275" s="19" t="n"/>
    </row>
    <row r="9276">
      <c r="C9276" s="18" t="n"/>
      <c r="J9276" s="19" t="n"/>
      <c r="P9276" s="20" t="n"/>
      <c r="Q9276" s="19" t="n"/>
      <c r="R9276" s="19" t="n"/>
      <c r="Y9276" s="19" t="n"/>
    </row>
    <row r="9277">
      <c r="C9277" s="18" t="n"/>
      <c r="J9277" s="19" t="n"/>
      <c r="P9277" s="20" t="n"/>
      <c r="Q9277" s="19" t="n"/>
      <c r="R9277" s="19" t="n"/>
      <c r="Y9277" s="19" t="n"/>
    </row>
    <row r="9278">
      <c r="C9278" s="18" t="n"/>
      <c r="J9278" s="19" t="n"/>
      <c r="P9278" s="20" t="n"/>
      <c r="Q9278" s="19" t="n"/>
      <c r="R9278" s="19" t="n"/>
      <c r="Y9278" s="19" t="n"/>
    </row>
    <row r="9279">
      <c r="C9279" s="18" t="n"/>
      <c r="J9279" s="19" t="n"/>
      <c r="P9279" s="20" t="n"/>
      <c r="Q9279" s="19" t="n"/>
      <c r="R9279" s="19" t="n"/>
      <c r="Y9279" s="19" t="n"/>
    </row>
    <row r="9280">
      <c r="C9280" s="18" t="n"/>
      <c r="J9280" s="19" t="n"/>
      <c r="P9280" s="20" t="n"/>
      <c r="Q9280" s="19" t="n"/>
      <c r="R9280" s="19" t="n"/>
      <c r="Y9280" s="19" t="n"/>
    </row>
    <row r="9281">
      <c r="C9281" s="18" t="n"/>
      <c r="J9281" s="19" t="n"/>
      <c r="P9281" s="20" t="n"/>
      <c r="Q9281" s="19" t="n"/>
      <c r="R9281" s="19" t="n"/>
      <c r="Y9281" s="19" t="n"/>
    </row>
    <row r="9282">
      <c r="C9282" s="18" t="n"/>
      <c r="J9282" s="19" t="n"/>
      <c r="P9282" s="20" t="n"/>
      <c r="Q9282" s="19" t="n"/>
      <c r="R9282" s="19" t="n"/>
      <c r="Y9282" s="19" t="n"/>
    </row>
    <row r="9283">
      <c r="C9283" s="18" t="n"/>
      <c r="J9283" s="19" t="n"/>
      <c r="P9283" s="20" t="n"/>
      <c r="Q9283" s="19" t="n"/>
      <c r="R9283" s="19" t="n"/>
      <c r="Y9283" s="19" t="n"/>
    </row>
    <row r="9284">
      <c r="C9284" s="18" t="n"/>
      <c r="J9284" s="19" t="n"/>
      <c r="P9284" s="20" t="n"/>
      <c r="Q9284" s="19" t="n"/>
      <c r="R9284" s="19" t="n"/>
      <c r="Y9284" s="19" t="n"/>
    </row>
    <row r="9285">
      <c r="C9285" s="18" t="n"/>
      <c r="J9285" s="19" t="n"/>
      <c r="P9285" s="20" t="n"/>
      <c r="Q9285" s="19" t="n"/>
      <c r="R9285" s="19" t="n"/>
      <c r="Y9285" s="19" t="n"/>
    </row>
    <row r="9286">
      <c r="C9286" s="18" t="n"/>
      <c r="J9286" s="19" t="n"/>
      <c r="P9286" s="20" t="n"/>
      <c r="Q9286" s="19" t="n"/>
      <c r="R9286" s="19" t="n"/>
      <c r="Y9286" s="19" t="n"/>
    </row>
    <row r="9287">
      <c r="C9287" s="18" t="n"/>
      <c r="J9287" s="19" t="n"/>
      <c r="P9287" s="20" t="n"/>
      <c r="Q9287" s="19" t="n"/>
      <c r="R9287" s="19" t="n"/>
      <c r="Y9287" s="19" t="n"/>
    </row>
    <row r="9288">
      <c r="C9288" s="18" t="n"/>
      <c r="J9288" s="19" t="n"/>
      <c r="P9288" s="20" t="n"/>
      <c r="Q9288" s="19" t="n"/>
      <c r="R9288" s="19" t="n"/>
      <c r="Y9288" s="19" t="n"/>
    </row>
    <row r="9289">
      <c r="C9289" s="18" t="n"/>
      <c r="J9289" s="19" t="n"/>
      <c r="P9289" s="20" t="n"/>
      <c r="Q9289" s="19" t="n"/>
      <c r="R9289" s="19" t="n"/>
      <c r="Y9289" s="19" t="n"/>
    </row>
    <row r="9290">
      <c r="C9290" s="18" t="n"/>
      <c r="J9290" s="19" t="n"/>
      <c r="P9290" s="20" t="n"/>
      <c r="Q9290" s="19" t="n"/>
      <c r="R9290" s="19" t="n"/>
      <c r="Y9290" s="19" t="n"/>
    </row>
    <row r="9291">
      <c r="C9291" s="18" t="n"/>
      <c r="J9291" s="19" t="n"/>
      <c r="P9291" s="20" t="n"/>
      <c r="Q9291" s="19" t="n"/>
      <c r="R9291" s="19" t="n"/>
      <c r="Y9291" s="19" t="n"/>
    </row>
    <row r="9292">
      <c r="C9292" s="18" t="n"/>
      <c r="J9292" s="19" t="n"/>
      <c r="P9292" s="20" t="n"/>
      <c r="Q9292" s="19" t="n"/>
      <c r="R9292" s="19" t="n"/>
      <c r="Y9292" s="19" t="n"/>
    </row>
    <row r="9293">
      <c r="C9293" s="18" t="n"/>
      <c r="J9293" s="19" t="n"/>
      <c r="P9293" s="20" t="n"/>
      <c r="Q9293" s="19" t="n"/>
      <c r="R9293" s="19" t="n"/>
      <c r="Y9293" s="19" t="n"/>
    </row>
    <row r="9294">
      <c r="C9294" s="18" t="n"/>
      <c r="J9294" s="19" t="n"/>
      <c r="P9294" s="20" t="n"/>
      <c r="Q9294" s="19" t="n"/>
      <c r="R9294" s="19" t="n"/>
      <c r="Y9294" s="19" t="n"/>
    </row>
    <row r="9295">
      <c r="C9295" s="18" t="n"/>
      <c r="J9295" s="19" t="n"/>
      <c r="P9295" s="20" t="n"/>
      <c r="Q9295" s="19" t="n"/>
      <c r="R9295" s="19" t="n"/>
      <c r="Y9295" s="19" t="n"/>
    </row>
    <row r="9296">
      <c r="C9296" s="18" t="n"/>
      <c r="J9296" s="19" t="n"/>
      <c r="P9296" s="20" t="n"/>
      <c r="Q9296" s="19" t="n"/>
      <c r="R9296" s="19" t="n"/>
      <c r="Y9296" s="19" t="n"/>
    </row>
    <row r="9297">
      <c r="C9297" s="18" t="n"/>
      <c r="J9297" s="19" t="n"/>
      <c r="P9297" s="20" t="n"/>
      <c r="Q9297" s="19" t="n"/>
      <c r="R9297" s="19" t="n"/>
      <c r="Y9297" s="19" t="n"/>
    </row>
    <row r="9298">
      <c r="C9298" s="18" t="n"/>
      <c r="J9298" s="19" t="n"/>
      <c r="P9298" s="20" t="n"/>
      <c r="Q9298" s="19" t="n"/>
      <c r="R9298" s="19" t="n"/>
      <c r="Y9298" s="19" t="n"/>
    </row>
    <row r="9299">
      <c r="C9299" s="18" t="n"/>
      <c r="J9299" s="19" t="n"/>
      <c r="P9299" s="20" t="n"/>
      <c r="Q9299" s="19" t="n"/>
      <c r="R9299" s="19" t="n"/>
      <c r="Y9299" s="19" t="n"/>
    </row>
    <row r="9300">
      <c r="C9300" s="18" t="n"/>
      <c r="J9300" s="19" t="n"/>
      <c r="P9300" s="20" t="n"/>
      <c r="Q9300" s="19" t="n"/>
      <c r="R9300" s="19" t="n"/>
      <c r="Y9300" s="19" t="n"/>
    </row>
    <row r="9301">
      <c r="C9301" s="18" t="n"/>
      <c r="J9301" s="19" t="n"/>
      <c r="P9301" s="20" t="n"/>
      <c r="Q9301" s="19" t="n"/>
      <c r="R9301" s="19" t="n"/>
      <c r="Y9301" s="19" t="n"/>
    </row>
    <row r="9302">
      <c r="C9302" s="18" t="n"/>
      <c r="J9302" s="19" t="n"/>
      <c r="P9302" s="20" t="n"/>
      <c r="Q9302" s="19" t="n"/>
      <c r="R9302" s="19" t="n"/>
      <c r="Y9302" s="19" t="n"/>
    </row>
    <row r="9303">
      <c r="C9303" s="18" t="n"/>
      <c r="J9303" s="19" t="n"/>
      <c r="P9303" s="20" t="n"/>
      <c r="Q9303" s="19" t="n"/>
      <c r="R9303" s="19" t="n"/>
      <c r="Y9303" s="19" t="n"/>
    </row>
    <row r="9304">
      <c r="C9304" s="18" t="n"/>
      <c r="J9304" s="19" t="n"/>
      <c r="P9304" s="20" t="n"/>
      <c r="Q9304" s="19" t="n"/>
      <c r="R9304" s="19" t="n"/>
      <c r="Y9304" s="19" t="n"/>
    </row>
    <row r="9305">
      <c r="C9305" s="18" t="n"/>
      <c r="J9305" s="19" t="n"/>
      <c r="P9305" s="20" t="n"/>
      <c r="Q9305" s="19" t="n"/>
      <c r="R9305" s="19" t="n"/>
      <c r="Y9305" s="19" t="n"/>
    </row>
    <row r="9306">
      <c r="C9306" s="18" t="n"/>
      <c r="J9306" s="19" t="n"/>
      <c r="P9306" s="20" t="n"/>
      <c r="Q9306" s="19" t="n"/>
      <c r="R9306" s="19" t="n"/>
      <c r="Y9306" s="19" t="n"/>
    </row>
    <row r="9307">
      <c r="C9307" s="18" t="n"/>
      <c r="J9307" s="19" t="n"/>
      <c r="P9307" s="20" t="n"/>
      <c r="Q9307" s="19" t="n"/>
      <c r="R9307" s="19" t="n"/>
      <c r="Y9307" s="19" t="n"/>
    </row>
    <row r="9308">
      <c r="C9308" s="18" t="n"/>
      <c r="J9308" s="19" t="n"/>
      <c r="P9308" s="20" t="n"/>
      <c r="Q9308" s="19" t="n"/>
      <c r="R9308" s="19" t="n"/>
      <c r="Y9308" s="19" t="n"/>
    </row>
    <row r="9309">
      <c r="C9309" s="18" t="n"/>
      <c r="J9309" s="19" t="n"/>
      <c r="P9309" s="20" t="n"/>
      <c r="Q9309" s="19" t="n"/>
      <c r="R9309" s="19" t="n"/>
      <c r="Y9309" s="19" t="n"/>
    </row>
    <row r="9310">
      <c r="C9310" s="18" t="n"/>
      <c r="J9310" s="19" t="n"/>
      <c r="P9310" s="20" t="n"/>
      <c r="Q9310" s="19" t="n"/>
      <c r="R9310" s="19" t="n"/>
      <c r="Y9310" s="19" t="n"/>
    </row>
    <row r="9311">
      <c r="C9311" s="18" t="n"/>
      <c r="J9311" s="19" t="n"/>
      <c r="P9311" s="20" t="n"/>
      <c r="Q9311" s="19" t="n"/>
      <c r="R9311" s="19" t="n"/>
      <c r="Y9311" s="19" t="n"/>
    </row>
    <row r="9312">
      <c r="C9312" s="18" t="n"/>
      <c r="J9312" s="19" t="n"/>
      <c r="P9312" s="20" t="n"/>
      <c r="Q9312" s="19" t="n"/>
      <c r="R9312" s="19" t="n"/>
      <c r="Y9312" s="19" t="n"/>
    </row>
    <row r="9313">
      <c r="C9313" s="18" t="n"/>
      <c r="J9313" s="19" t="n"/>
      <c r="P9313" s="20" t="n"/>
      <c r="Q9313" s="19" t="n"/>
      <c r="R9313" s="19" t="n"/>
      <c r="Y9313" s="19" t="n"/>
    </row>
    <row r="9314">
      <c r="C9314" s="18" t="n"/>
      <c r="J9314" s="19" t="n"/>
      <c r="P9314" s="20" t="n"/>
      <c r="Q9314" s="19" t="n"/>
      <c r="R9314" s="19" t="n"/>
      <c r="Y9314" s="19" t="n"/>
    </row>
    <row r="9315">
      <c r="C9315" s="18" t="n"/>
      <c r="J9315" s="19" t="n"/>
      <c r="P9315" s="20" t="n"/>
      <c r="Q9315" s="19" t="n"/>
      <c r="R9315" s="19" t="n"/>
      <c r="Y9315" s="19" t="n"/>
    </row>
    <row r="9316">
      <c r="C9316" s="18" t="n"/>
      <c r="J9316" s="19" t="n"/>
      <c r="P9316" s="20" t="n"/>
      <c r="Q9316" s="19" t="n"/>
      <c r="R9316" s="19" t="n"/>
      <c r="Y9316" s="19" t="n"/>
    </row>
    <row r="9317">
      <c r="C9317" s="18" t="n"/>
      <c r="J9317" s="19" t="n"/>
      <c r="P9317" s="20" t="n"/>
      <c r="Q9317" s="19" t="n"/>
      <c r="R9317" s="19" t="n"/>
      <c r="Y9317" s="19" t="n"/>
    </row>
    <row r="9318">
      <c r="C9318" s="18" t="n"/>
      <c r="J9318" s="19" t="n"/>
      <c r="P9318" s="20" t="n"/>
      <c r="Q9318" s="19" t="n"/>
      <c r="R9318" s="19" t="n"/>
      <c r="Y9318" s="19" t="n"/>
    </row>
    <row r="9319">
      <c r="C9319" s="18" t="n"/>
      <c r="J9319" s="19" t="n"/>
      <c r="P9319" s="20" t="n"/>
      <c r="Q9319" s="19" t="n"/>
      <c r="R9319" s="19" t="n"/>
      <c r="Y9319" s="19" t="n"/>
    </row>
    <row r="9320">
      <c r="C9320" s="18" t="n"/>
      <c r="J9320" s="19" t="n"/>
      <c r="P9320" s="20" t="n"/>
      <c r="Q9320" s="19" t="n"/>
      <c r="R9320" s="19" t="n"/>
      <c r="Y9320" s="19" t="n"/>
    </row>
    <row r="9321">
      <c r="C9321" s="18" t="n"/>
      <c r="J9321" s="19" t="n"/>
      <c r="P9321" s="20" t="n"/>
      <c r="Q9321" s="19" t="n"/>
      <c r="R9321" s="19" t="n"/>
      <c r="Y9321" s="19" t="n"/>
    </row>
    <row r="9322">
      <c r="C9322" s="18" t="n"/>
      <c r="J9322" s="19" t="n"/>
      <c r="P9322" s="20" t="n"/>
      <c r="Q9322" s="19" t="n"/>
      <c r="R9322" s="19" t="n"/>
      <c r="Y9322" s="19" t="n"/>
    </row>
    <row r="9323">
      <c r="C9323" s="18" t="n"/>
      <c r="J9323" s="19" t="n"/>
      <c r="P9323" s="20" t="n"/>
      <c r="Q9323" s="19" t="n"/>
      <c r="R9323" s="19" t="n"/>
      <c r="Y9323" s="19" t="n"/>
    </row>
    <row r="9324">
      <c r="C9324" s="18" t="n"/>
      <c r="J9324" s="19" t="n"/>
      <c r="P9324" s="20" t="n"/>
      <c r="Q9324" s="19" t="n"/>
      <c r="R9324" s="19" t="n"/>
      <c r="Y9324" s="19" t="n"/>
    </row>
    <row r="9325">
      <c r="C9325" s="18" t="n"/>
      <c r="J9325" s="19" t="n"/>
      <c r="P9325" s="20" t="n"/>
      <c r="Q9325" s="19" t="n"/>
      <c r="R9325" s="19" t="n"/>
      <c r="Y9325" s="19" t="n"/>
    </row>
    <row r="9326">
      <c r="C9326" s="18" t="n"/>
      <c r="J9326" s="19" t="n"/>
      <c r="P9326" s="20" t="n"/>
      <c r="Q9326" s="19" t="n"/>
      <c r="R9326" s="19" t="n"/>
      <c r="Y9326" s="19" t="n"/>
    </row>
    <row r="9327">
      <c r="C9327" s="18" t="n"/>
      <c r="J9327" s="19" t="n"/>
      <c r="P9327" s="20" t="n"/>
      <c r="Q9327" s="19" t="n"/>
      <c r="R9327" s="19" t="n"/>
      <c r="Y9327" s="19" t="n"/>
    </row>
    <row r="9328">
      <c r="C9328" s="18" t="n"/>
      <c r="J9328" s="19" t="n"/>
      <c r="P9328" s="20" t="n"/>
      <c r="Q9328" s="19" t="n"/>
      <c r="R9328" s="19" t="n"/>
      <c r="Y9328" s="19" t="n"/>
    </row>
    <row r="9329">
      <c r="C9329" s="18" t="n"/>
      <c r="J9329" s="19" t="n"/>
      <c r="P9329" s="20" t="n"/>
      <c r="Q9329" s="19" t="n"/>
      <c r="R9329" s="19" t="n"/>
      <c r="Y9329" s="19" t="n"/>
    </row>
    <row r="9330">
      <c r="C9330" s="18" t="n"/>
      <c r="J9330" s="19" t="n"/>
      <c r="P9330" s="20" t="n"/>
      <c r="Q9330" s="19" t="n"/>
      <c r="R9330" s="19" t="n"/>
      <c r="Y9330" s="19" t="n"/>
    </row>
    <row r="9331">
      <c r="C9331" s="18" t="n"/>
      <c r="J9331" s="19" t="n"/>
      <c r="P9331" s="20" t="n"/>
      <c r="Q9331" s="19" t="n"/>
      <c r="R9331" s="19" t="n"/>
      <c r="Y9331" s="19" t="n"/>
    </row>
    <row r="9332">
      <c r="C9332" s="18" t="n"/>
      <c r="J9332" s="19" t="n"/>
      <c r="P9332" s="20" t="n"/>
      <c r="Q9332" s="19" t="n"/>
      <c r="R9332" s="19" t="n"/>
      <c r="Y9332" s="19" t="n"/>
    </row>
    <row r="9333">
      <c r="C9333" s="18" t="n"/>
      <c r="J9333" s="19" t="n"/>
      <c r="P9333" s="20" t="n"/>
      <c r="Q9333" s="19" t="n"/>
      <c r="R9333" s="19" t="n"/>
      <c r="Y9333" s="19" t="n"/>
    </row>
    <row r="9334">
      <c r="C9334" s="18" t="n"/>
      <c r="J9334" s="19" t="n"/>
      <c r="P9334" s="20" t="n"/>
      <c r="Q9334" s="19" t="n"/>
      <c r="R9334" s="19" t="n"/>
      <c r="Y9334" s="19" t="n"/>
    </row>
    <row r="9335">
      <c r="C9335" s="18" t="n"/>
      <c r="J9335" s="19" t="n"/>
      <c r="P9335" s="20" t="n"/>
      <c r="Q9335" s="19" t="n"/>
      <c r="R9335" s="19" t="n"/>
      <c r="Y9335" s="19" t="n"/>
    </row>
    <row r="9336">
      <c r="C9336" s="18" t="n"/>
      <c r="J9336" s="19" t="n"/>
      <c r="P9336" s="20" t="n"/>
      <c r="Q9336" s="19" t="n"/>
      <c r="R9336" s="19" t="n"/>
      <c r="Y9336" s="19" t="n"/>
    </row>
    <row r="9337">
      <c r="C9337" s="18" t="n"/>
      <c r="J9337" s="19" t="n"/>
      <c r="P9337" s="20" t="n"/>
      <c r="Q9337" s="19" t="n"/>
      <c r="R9337" s="19" t="n"/>
      <c r="Y9337" s="19" t="n"/>
    </row>
    <row r="9338">
      <c r="C9338" s="18" t="n"/>
      <c r="J9338" s="19" t="n"/>
      <c r="P9338" s="20" t="n"/>
      <c r="Q9338" s="19" t="n"/>
      <c r="R9338" s="19" t="n"/>
      <c r="Y9338" s="19" t="n"/>
    </row>
    <row r="9339">
      <c r="C9339" s="18" t="n"/>
      <c r="J9339" s="19" t="n"/>
      <c r="P9339" s="20" t="n"/>
      <c r="Q9339" s="19" t="n"/>
      <c r="R9339" s="19" t="n"/>
      <c r="Y9339" s="19" t="n"/>
    </row>
    <row r="9340">
      <c r="C9340" s="18" t="n"/>
      <c r="J9340" s="19" t="n"/>
      <c r="P9340" s="20" t="n"/>
      <c r="Q9340" s="19" t="n"/>
      <c r="R9340" s="19" t="n"/>
      <c r="Y9340" s="19" t="n"/>
    </row>
    <row r="9341">
      <c r="C9341" s="18" t="n"/>
      <c r="J9341" s="19" t="n"/>
      <c r="P9341" s="20" t="n"/>
      <c r="Q9341" s="19" t="n"/>
      <c r="R9341" s="19" t="n"/>
      <c r="Y9341" s="19" t="n"/>
    </row>
    <row r="9342">
      <c r="C9342" s="18" t="n"/>
      <c r="J9342" s="19" t="n"/>
      <c r="P9342" s="20" t="n"/>
      <c r="Q9342" s="19" t="n"/>
      <c r="R9342" s="19" t="n"/>
      <c r="Y9342" s="19" t="n"/>
    </row>
    <row r="9343">
      <c r="C9343" s="18" t="n"/>
      <c r="J9343" s="19" t="n"/>
      <c r="P9343" s="20" t="n"/>
      <c r="Q9343" s="19" t="n"/>
      <c r="R9343" s="19" t="n"/>
      <c r="Y9343" s="19" t="n"/>
    </row>
    <row r="9344">
      <c r="C9344" s="18" t="n"/>
      <c r="J9344" s="19" t="n"/>
      <c r="P9344" s="20" t="n"/>
      <c r="Q9344" s="19" t="n"/>
      <c r="R9344" s="19" t="n"/>
      <c r="Y9344" s="19" t="n"/>
    </row>
    <row r="9345">
      <c r="C9345" s="18" t="n"/>
      <c r="J9345" s="19" t="n"/>
      <c r="P9345" s="20" t="n"/>
      <c r="Q9345" s="19" t="n"/>
      <c r="R9345" s="19" t="n"/>
      <c r="Y9345" s="19" t="n"/>
    </row>
    <row r="9346">
      <c r="C9346" s="18" t="n"/>
      <c r="J9346" s="19" t="n"/>
      <c r="P9346" s="20" t="n"/>
      <c r="Q9346" s="19" t="n"/>
      <c r="R9346" s="19" t="n"/>
      <c r="Y9346" s="19" t="n"/>
    </row>
    <row r="9347">
      <c r="C9347" s="18" t="n"/>
      <c r="J9347" s="19" t="n"/>
      <c r="P9347" s="20" t="n"/>
      <c r="Q9347" s="19" t="n"/>
      <c r="R9347" s="19" t="n"/>
      <c r="Y9347" s="19" t="n"/>
    </row>
    <row r="9348">
      <c r="C9348" s="18" t="n"/>
      <c r="J9348" s="19" t="n"/>
      <c r="P9348" s="20" t="n"/>
      <c r="Q9348" s="19" t="n"/>
      <c r="R9348" s="19" t="n"/>
      <c r="Y9348" s="19" t="n"/>
    </row>
    <row r="9349">
      <c r="C9349" s="18" t="n"/>
      <c r="J9349" s="19" t="n"/>
      <c r="P9349" s="20" t="n"/>
      <c r="Q9349" s="19" t="n"/>
      <c r="R9349" s="19" t="n"/>
      <c r="Y9349" s="19" t="n"/>
    </row>
    <row r="9350">
      <c r="C9350" s="18" t="n"/>
      <c r="J9350" s="19" t="n"/>
      <c r="P9350" s="20" t="n"/>
      <c r="Q9350" s="19" t="n"/>
      <c r="R9350" s="19" t="n"/>
      <c r="Y9350" s="19" t="n"/>
    </row>
    <row r="9351">
      <c r="C9351" s="18" t="n"/>
      <c r="J9351" s="19" t="n"/>
      <c r="P9351" s="20" t="n"/>
      <c r="Q9351" s="19" t="n"/>
      <c r="R9351" s="19" t="n"/>
      <c r="Y9351" s="19" t="n"/>
    </row>
    <row r="9352">
      <c r="C9352" s="18" t="n"/>
      <c r="J9352" s="19" t="n"/>
      <c r="P9352" s="20" t="n"/>
      <c r="Q9352" s="19" t="n"/>
      <c r="R9352" s="19" t="n"/>
      <c r="Y9352" s="19" t="n"/>
    </row>
    <row r="9353">
      <c r="C9353" s="18" t="n"/>
      <c r="J9353" s="19" t="n"/>
      <c r="P9353" s="20" t="n"/>
      <c r="Q9353" s="19" t="n"/>
      <c r="R9353" s="19" t="n"/>
      <c r="Y9353" s="19" t="n"/>
    </row>
    <row r="9354">
      <c r="C9354" s="18" t="n"/>
      <c r="J9354" s="19" t="n"/>
      <c r="P9354" s="20" t="n"/>
      <c r="Q9354" s="19" t="n"/>
      <c r="R9354" s="19" t="n"/>
      <c r="Y9354" s="19" t="n"/>
    </row>
    <row r="9355">
      <c r="C9355" s="18" t="n"/>
      <c r="J9355" s="19" t="n"/>
      <c r="P9355" s="20" t="n"/>
      <c r="Q9355" s="19" t="n"/>
      <c r="R9355" s="19" t="n"/>
      <c r="Y9355" s="19" t="n"/>
    </row>
    <row r="9356">
      <c r="C9356" s="18" t="n"/>
      <c r="J9356" s="19" t="n"/>
      <c r="P9356" s="20" t="n"/>
      <c r="Q9356" s="19" t="n"/>
      <c r="R9356" s="19" t="n"/>
      <c r="Y9356" s="19" t="n"/>
    </row>
    <row r="9357">
      <c r="C9357" s="18" t="n"/>
      <c r="J9357" s="19" t="n"/>
      <c r="P9357" s="20" t="n"/>
      <c r="Q9357" s="19" t="n"/>
      <c r="R9357" s="19" t="n"/>
      <c r="Y9357" s="19" t="n"/>
    </row>
    <row r="9358">
      <c r="C9358" s="18" t="n"/>
      <c r="J9358" s="19" t="n"/>
      <c r="P9358" s="20" t="n"/>
      <c r="Q9358" s="19" t="n"/>
      <c r="R9358" s="19" t="n"/>
      <c r="Y9358" s="19" t="n"/>
    </row>
    <row r="9359">
      <c r="C9359" s="18" t="n"/>
      <c r="J9359" s="19" t="n"/>
      <c r="P9359" s="20" t="n"/>
      <c r="Q9359" s="19" t="n"/>
      <c r="R9359" s="19" t="n"/>
      <c r="Y9359" s="19" t="n"/>
    </row>
    <row r="9360">
      <c r="C9360" s="18" t="n"/>
      <c r="J9360" s="19" t="n"/>
      <c r="P9360" s="20" t="n"/>
      <c r="Q9360" s="19" t="n"/>
      <c r="R9360" s="19" t="n"/>
      <c r="Y9360" s="19" t="n"/>
    </row>
    <row r="9361">
      <c r="C9361" s="18" t="n"/>
      <c r="J9361" s="19" t="n"/>
      <c r="P9361" s="20" t="n"/>
      <c r="Q9361" s="19" t="n"/>
      <c r="R9361" s="19" t="n"/>
      <c r="Y9361" s="19" t="n"/>
    </row>
    <row r="9362">
      <c r="C9362" s="18" t="n"/>
      <c r="J9362" s="19" t="n"/>
      <c r="P9362" s="20" t="n"/>
      <c r="Q9362" s="19" t="n"/>
      <c r="R9362" s="19" t="n"/>
      <c r="Y9362" s="19" t="n"/>
    </row>
    <row r="9363">
      <c r="C9363" s="18" t="n"/>
      <c r="J9363" s="19" t="n"/>
      <c r="P9363" s="20" t="n"/>
      <c r="Q9363" s="19" t="n"/>
      <c r="R9363" s="19" t="n"/>
      <c r="Y9363" s="19" t="n"/>
    </row>
    <row r="9364">
      <c r="C9364" s="18" t="n"/>
      <c r="J9364" s="19" t="n"/>
      <c r="P9364" s="20" t="n"/>
      <c r="Q9364" s="19" t="n"/>
      <c r="R9364" s="19" t="n"/>
      <c r="Y9364" s="19" t="n"/>
    </row>
    <row r="9365">
      <c r="C9365" s="18" t="n"/>
      <c r="J9365" s="19" t="n"/>
      <c r="P9365" s="20" t="n"/>
      <c r="Q9365" s="19" t="n"/>
      <c r="R9365" s="19" t="n"/>
      <c r="Y9365" s="19" t="n"/>
    </row>
    <row r="9366">
      <c r="C9366" s="18" t="n"/>
      <c r="J9366" s="19" t="n"/>
      <c r="P9366" s="20" t="n"/>
      <c r="Q9366" s="19" t="n"/>
      <c r="R9366" s="19" t="n"/>
      <c r="Y9366" s="19" t="n"/>
    </row>
    <row r="9367">
      <c r="C9367" s="18" t="n"/>
      <c r="J9367" s="19" t="n"/>
      <c r="P9367" s="20" t="n"/>
      <c r="Q9367" s="19" t="n"/>
      <c r="R9367" s="19" t="n"/>
      <c r="Y9367" s="19" t="n"/>
    </row>
    <row r="9368">
      <c r="C9368" s="18" t="n"/>
      <c r="J9368" s="19" t="n"/>
      <c r="P9368" s="20" t="n"/>
      <c r="Q9368" s="19" t="n"/>
      <c r="R9368" s="19" t="n"/>
      <c r="Y9368" s="19" t="n"/>
    </row>
    <row r="9369">
      <c r="C9369" s="18" t="n"/>
      <c r="J9369" s="19" t="n"/>
      <c r="P9369" s="20" t="n"/>
      <c r="Q9369" s="19" t="n"/>
      <c r="R9369" s="19" t="n"/>
      <c r="Y9369" s="19" t="n"/>
    </row>
    <row r="9370">
      <c r="C9370" s="18" t="n"/>
      <c r="J9370" s="19" t="n"/>
      <c r="P9370" s="20" t="n"/>
      <c r="Q9370" s="19" t="n"/>
      <c r="R9370" s="19" t="n"/>
      <c r="Y9370" s="19" t="n"/>
    </row>
    <row r="9371">
      <c r="C9371" s="18" t="n"/>
      <c r="J9371" s="19" t="n"/>
      <c r="P9371" s="20" t="n"/>
      <c r="Q9371" s="19" t="n"/>
      <c r="R9371" s="19" t="n"/>
      <c r="Y9371" s="19" t="n"/>
    </row>
    <row r="9372">
      <c r="C9372" s="18" t="n"/>
      <c r="J9372" s="19" t="n"/>
      <c r="P9372" s="20" t="n"/>
      <c r="Q9372" s="19" t="n"/>
      <c r="R9372" s="19" t="n"/>
      <c r="Y9372" s="19" t="n"/>
    </row>
    <row r="9373">
      <c r="C9373" s="18" t="n"/>
      <c r="J9373" s="19" t="n"/>
      <c r="P9373" s="20" t="n"/>
      <c r="Q9373" s="19" t="n"/>
      <c r="R9373" s="19" t="n"/>
      <c r="Y9373" s="19" t="n"/>
    </row>
    <row r="9374">
      <c r="C9374" s="18" t="n"/>
      <c r="J9374" s="19" t="n"/>
      <c r="P9374" s="20" t="n"/>
      <c r="Q9374" s="19" t="n"/>
      <c r="R9374" s="19" t="n"/>
      <c r="Y9374" s="19" t="n"/>
    </row>
    <row r="9375">
      <c r="C9375" s="18" t="n"/>
      <c r="J9375" s="19" t="n"/>
      <c r="P9375" s="20" t="n"/>
      <c r="Q9375" s="19" t="n"/>
      <c r="R9375" s="19" t="n"/>
      <c r="Y9375" s="19" t="n"/>
    </row>
    <row r="9376">
      <c r="C9376" s="18" t="n"/>
      <c r="J9376" s="19" t="n"/>
      <c r="P9376" s="20" t="n"/>
      <c r="Q9376" s="19" t="n"/>
      <c r="R9376" s="19" t="n"/>
      <c r="Y9376" s="19" t="n"/>
    </row>
    <row r="9377">
      <c r="C9377" s="18" t="n"/>
      <c r="J9377" s="19" t="n"/>
      <c r="P9377" s="20" t="n"/>
      <c r="Q9377" s="19" t="n"/>
      <c r="R9377" s="19" t="n"/>
      <c r="Y9377" s="19" t="n"/>
    </row>
    <row r="9378">
      <c r="C9378" s="18" t="n"/>
      <c r="J9378" s="19" t="n"/>
      <c r="P9378" s="20" t="n"/>
      <c r="Q9378" s="19" t="n"/>
      <c r="R9378" s="19" t="n"/>
      <c r="Y9378" s="19" t="n"/>
    </row>
    <row r="9379">
      <c r="C9379" s="18" t="n"/>
      <c r="J9379" s="19" t="n"/>
      <c r="P9379" s="20" t="n"/>
      <c r="Q9379" s="19" t="n"/>
      <c r="R9379" s="19" t="n"/>
      <c r="Y9379" s="19" t="n"/>
    </row>
    <row r="9380">
      <c r="C9380" s="18" t="n"/>
      <c r="J9380" s="19" t="n"/>
      <c r="P9380" s="20" t="n"/>
      <c r="Q9380" s="19" t="n"/>
      <c r="R9380" s="19" t="n"/>
      <c r="Y9380" s="19" t="n"/>
    </row>
    <row r="9381">
      <c r="C9381" s="18" t="n"/>
      <c r="J9381" s="19" t="n"/>
      <c r="P9381" s="20" t="n"/>
      <c r="Q9381" s="19" t="n"/>
      <c r="R9381" s="19" t="n"/>
      <c r="Y9381" s="19" t="n"/>
    </row>
    <row r="9382">
      <c r="C9382" s="18" t="n"/>
      <c r="J9382" s="19" t="n"/>
      <c r="P9382" s="20" t="n"/>
      <c r="Q9382" s="19" t="n"/>
      <c r="R9382" s="19" t="n"/>
      <c r="Y9382" s="19" t="n"/>
    </row>
    <row r="9383">
      <c r="C9383" s="18" t="n"/>
      <c r="J9383" s="19" t="n"/>
      <c r="P9383" s="20" t="n"/>
      <c r="Q9383" s="19" t="n"/>
      <c r="R9383" s="19" t="n"/>
      <c r="Y9383" s="19" t="n"/>
    </row>
    <row r="9384">
      <c r="C9384" s="18" t="n"/>
      <c r="J9384" s="19" t="n"/>
      <c r="P9384" s="20" t="n"/>
      <c r="Q9384" s="19" t="n"/>
      <c r="R9384" s="19" t="n"/>
      <c r="Y9384" s="19" t="n"/>
    </row>
    <row r="9385">
      <c r="C9385" s="18" t="n"/>
      <c r="J9385" s="19" t="n"/>
      <c r="P9385" s="20" t="n"/>
      <c r="Q9385" s="19" t="n"/>
      <c r="R9385" s="19" t="n"/>
      <c r="Y9385" s="19" t="n"/>
    </row>
    <row r="9386">
      <c r="C9386" s="18" t="n"/>
      <c r="J9386" s="19" t="n"/>
      <c r="P9386" s="20" t="n"/>
      <c r="Q9386" s="19" t="n"/>
      <c r="R9386" s="19" t="n"/>
      <c r="Y9386" s="19" t="n"/>
    </row>
    <row r="9387">
      <c r="C9387" s="18" t="n"/>
      <c r="J9387" s="19" t="n"/>
      <c r="P9387" s="20" t="n"/>
      <c r="Q9387" s="19" t="n"/>
      <c r="R9387" s="19" t="n"/>
      <c r="Y9387" s="19" t="n"/>
    </row>
    <row r="9388">
      <c r="C9388" s="18" t="n"/>
      <c r="J9388" s="19" t="n"/>
      <c r="P9388" s="20" t="n"/>
      <c r="Q9388" s="19" t="n"/>
      <c r="R9388" s="19" t="n"/>
      <c r="Y9388" s="19" t="n"/>
    </row>
    <row r="9389">
      <c r="C9389" s="18" t="n"/>
      <c r="J9389" s="19" t="n"/>
      <c r="P9389" s="20" t="n"/>
      <c r="Q9389" s="19" t="n"/>
      <c r="R9389" s="19" t="n"/>
      <c r="Y9389" s="19" t="n"/>
    </row>
    <row r="9390">
      <c r="C9390" s="18" t="n"/>
      <c r="J9390" s="19" t="n"/>
      <c r="P9390" s="20" t="n"/>
      <c r="Q9390" s="19" t="n"/>
      <c r="R9390" s="19" t="n"/>
      <c r="Y9390" s="19" t="n"/>
    </row>
    <row r="9391">
      <c r="C9391" s="18" t="n"/>
      <c r="J9391" s="19" t="n"/>
      <c r="P9391" s="20" t="n"/>
      <c r="Q9391" s="19" t="n"/>
      <c r="R9391" s="19" t="n"/>
      <c r="Y9391" s="19" t="n"/>
    </row>
    <row r="9392">
      <c r="C9392" s="18" t="n"/>
      <c r="J9392" s="19" t="n"/>
      <c r="P9392" s="20" t="n"/>
      <c r="Q9392" s="19" t="n"/>
      <c r="R9392" s="19" t="n"/>
      <c r="Y9392" s="19" t="n"/>
    </row>
    <row r="9393">
      <c r="C9393" s="18" t="n"/>
      <c r="J9393" s="19" t="n"/>
      <c r="P9393" s="20" t="n"/>
      <c r="Q9393" s="19" t="n"/>
      <c r="R9393" s="19" t="n"/>
      <c r="Y9393" s="19" t="n"/>
    </row>
    <row r="9394">
      <c r="C9394" s="18" t="n"/>
      <c r="J9394" s="19" t="n"/>
      <c r="P9394" s="20" t="n"/>
      <c r="Q9394" s="19" t="n"/>
      <c r="R9394" s="19" t="n"/>
      <c r="Y9394" s="19" t="n"/>
    </row>
    <row r="9395">
      <c r="C9395" s="18" t="n"/>
      <c r="J9395" s="19" t="n"/>
      <c r="P9395" s="20" t="n"/>
      <c r="Q9395" s="19" t="n"/>
      <c r="R9395" s="19" t="n"/>
      <c r="Y9395" s="19" t="n"/>
    </row>
    <row r="9396">
      <c r="C9396" s="18" t="n"/>
      <c r="J9396" s="19" t="n"/>
      <c r="P9396" s="20" t="n"/>
      <c r="Q9396" s="19" t="n"/>
      <c r="R9396" s="19" t="n"/>
      <c r="Y9396" s="19" t="n"/>
    </row>
    <row r="9397">
      <c r="C9397" s="18" t="n"/>
      <c r="J9397" s="19" t="n"/>
      <c r="P9397" s="20" t="n"/>
      <c r="Q9397" s="19" t="n"/>
      <c r="R9397" s="19" t="n"/>
      <c r="Y9397" s="19" t="n"/>
    </row>
    <row r="9398">
      <c r="C9398" s="18" t="n"/>
      <c r="J9398" s="19" t="n"/>
      <c r="P9398" s="20" t="n"/>
      <c r="Q9398" s="19" t="n"/>
      <c r="R9398" s="19" t="n"/>
      <c r="Y9398" s="19" t="n"/>
    </row>
    <row r="9399">
      <c r="C9399" s="18" t="n"/>
      <c r="J9399" s="19" t="n"/>
      <c r="P9399" s="20" t="n"/>
      <c r="Q9399" s="19" t="n"/>
      <c r="R9399" s="19" t="n"/>
      <c r="Y9399" s="19" t="n"/>
    </row>
    <row r="9400">
      <c r="C9400" s="18" t="n"/>
      <c r="J9400" s="19" t="n"/>
      <c r="P9400" s="20" t="n"/>
      <c r="Q9400" s="19" t="n"/>
      <c r="R9400" s="19" t="n"/>
      <c r="Y9400" s="19" t="n"/>
    </row>
    <row r="9401">
      <c r="C9401" s="18" t="n"/>
      <c r="J9401" s="19" t="n"/>
      <c r="P9401" s="20" t="n"/>
      <c r="Q9401" s="19" t="n"/>
      <c r="R9401" s="19" t="n"/>
      <c r="Y9401" s="19" t="n"/>
    </row>
    <row r="9402">
      <c r="C9402" s="18" t="n"/>
      <c r="J9402" s="19" t="n"/>
      <c r="P9402" s="20" t="n"/>
      <c r="Q9402" s="19" t="n"/>
      <c r="R9402" s="19" t="n"/>
      <c r="Y9402" s="19" t="n"/>
    </row>
    <row r="9403">
      <c r="C9403" s="18" t="n"/>
      <c r="J9403" s="19" t="n"/>
      <c r="P9403" s="20" t="n"/>
      <c r="Q9403" s="19" t="n"/>
      <c r="R9403" s="19" t="n"/>
      <c r="Y9403" s="19" t="n"/>
    </row>
    <row r="9404">
      <c r="C9404" s="18" t="n"/>
      <c r="J9404" s="19" t="n"/>
      <c r="P9404" s="20" t="n"/>
      <c r="Q9404" s="19" t="n"/>
      <c r="R9404" s="19" t="n"/>
      <c r="Y9404" s="19" t="n"/>
    </row>
    <row r="9405">
      <c r="C9405" s="18" t="n"/>
      <c r="J9405" s="19" t="n"/>
      <c r="P9405" s="20" t="n"/>
      <c r="Q9405" s="19" t="n"/>
      <c r="R9405" s="19" t="n"/>
      <c r="Y9405" s="19" t="n"/>
    </row>
    <row r="9406">
      <c r="C9406" s="18" t="n"/>
      <c r="J9406" s="19" t="n"/>
      <c r="P9406" s="20" t="n"/>
      <c r="Q9406" s="19" t="n"/>
      <c r="R9406" s="19" t="n"/>
      <c r="Y9406" s="19" t="n"/>
    </row>
    <row r="9407">
      <c r="C9407" s="18" t="n"/>
      <c r="J9407" s="19" t="n"/>
      <c r="P9407" s="20" t="n"/>
      <c r="Q9407" s="19" t="n"/>
      <c r="R9407" s="19" t="n"/>
      <c r="Y9407" s="19" t="n"/>
    </row>
    <row r="9408">
      <c r="C9408" s="18" t="n"/>
      <c r="J9408" s="19" t="n"/>
      <c r="P9408" s="20" t="n"/>
      <c r="Q9408" s="19" t="n"/>
      <c r="R9408" s="19" t="n"/>
      <c r="Y9408" s="19" t="n"/>
    </row>
    <row r="9409">
      <c r="C9409" s="18" t="n"/>
      <c r="J9409" s="19" t="n"/>
      <c r="P9409" s="20" t="n"/>
      <c r="Q9409" s="19" t="n"/>
      <c r="R9409" s="19" t="n"/>
      <c r="Y9409" s="19" t="n"/>
    </row>
    <row r="9410">
      <c r="C9410" s="18" t="n"/>
      <c r="J9410" s="19" t="n"/>
      <c r="P9410" s="20" t="n"/>
      <c r="Q9410" s="19" t="n"/>
      <c r="R9410" s="19" t="n"/>
      <c r="Y9410" s="19" t="n"/>
    </row>
    <row r="9411">
      <c r="C9411" s="18" t="n"/>
      <c r="J9411" s="19" t="n"/>
      <c r="P9411" s="20" t="n"/>
      <c r="Q9411" s="19" t="n"/>
      <c r="R9411" s="19" t="n"/>
      <c r="Y9411" s="19" t="n"/>
    </row>
    <row r="9412">
      <c r="C9412" s="18" t="n"/>
      <c r="J9412" s="19" t="n"/>
      <c r="P9412" s="20" t="n"/>
      <c r="Q9412" s="19" t="n"/>
      <c r="R9412" s="19" t="n"/>
      <c r="Y9412" s="19" t="n"/>
    </row>
    <row r="9413">
      <c r="C9413" s="18" t="n"/>
      <c r="J9413" s="19" t="n"/>
      <c r="P9413" s="20" t="n"/>
      <c r="Q9413" s="19" t="n"/>
      <c r="R9413" s="19" t="n"/>
      <c r="Y9413" s="19" t="n"/>
    </row>
    <row r="9414">
      <c r="C9414" s="18" t="n"/>
      <c r="J9414" s="19" t="n"/>
      <c r="P9414" s="20" t="n"/>
      <c r="Q9414" s="19" t="n"/>
      <c r="R9414" s="19" t="n"/>
      <c r="Y9414" s="19" t="n"/>
    </row>
    <row r="9415">
      <c r="C9415" s="18" t="n"/>
      <c r="J9415" s="19" t="n"/>
      <c r="P9415" s="20" t="n"/>
      <c r="Q9415" s="19" t="n"/>
      <c r="R9415" s="19" t="n"/>
      <c r="Y9415" s="19" t="n"/>
    </row>
    <row r="9416">
      <c r="C9416" s="18" t="n"/>
      <c r="J9416" s="19" t="n"/>
      <c r="P9416" s="20" t="n"/>
      <c r="Q9416" s="19" t="n"/>
      <c r="R9416" s="19" t="n"/>
      <c r="Y9416" s="19" t="n"/>
    </row>
    <row r="9417">
      <c r="C9417" s="18" t="n"/>
      <c r="J9417" s="19" t="n"/>
      <c r="P9417" s="20" t="n"/>
      <c r="Q9417" s="19" t="n"/>
      <c r="R9417" s="19" t="n"/>
      <c r="Y9417" s="19" t="n"/>
    </row>
    <row r="9418">
      <c r="C9418" s="18" t="n"/>
      <c r="J9418" s="19" t="n"/>
      <c r="P9418" s="20" t="n"/>
      <c r="Q9418" s="19" t="n"/>
      <c r="R9418" s="19" t="n"/>
      <c r="Y9418" s="19" t="n"/>
    </row>
    <row r="9419">
      <c r="C9419" s="18" t="n"/>
      <c r="J9419" s="19" t="n"/>
      <c r="P9419" s="20" t="n"/>
      <c r="Q9419" s="19" t="n"/>
      <c r="R9419" s="19" t="n"/>
      <c r="Y9419" s="19" t="n"/>
    </row>
    <row r="9420">
      <c r="C9420" s="18" t="n"/>
      <c r="J9420" s="19" t="n"/>
      <c r="P9420" s="20" t="n"/>
      <c r="Q9420" s="19" t="n"/>
      <c r="R9420" s="19" t="n"/>
      <c r="Y9420" s="19" t="n"/>
    </row>
    <row r="9421">
      <c r="C9421" s="18" t="n"/>
      <c r="J9421" s="19" t="n"/>
      <c r="P9421" s="20" t="n"/>
      <c r="Q9421" s="19" t="n"/>
      <c r="R9421" s="19" t="n"/>
      <c r="Y9421" s="19" t="n"/>
    </row>
    <row r="9422">
      <c r="C9422" s="18" t="n"/>
      <c r="J9422" s="19" t="n"/>
      <c r="P9422" s="20" t="n"/>
      <c r="Q9422" s="19" t="n"/>
      <c r="R9422" s="19" t="n"/>
      <c r="Y9422" s="19" t="n"/>
    </row>
    <row r="9423">
      <c r="C9423" s="18" t="n"/>
      <c r="J9423" s="19" t="n"/>
      <c r="P9423" s="20" t="n"/>
      <c r="Q9423" s="19" t="n"/>
      <c r="R9423" s="19" t="n"/>
      <c r="Y9423" s="19" t="n"/>
    </row>
    <row r="9424">
      <c r="C9424" s="18" t="n"/>
      <c r="J9424" s="19" t="n"/>
      <c r="P9424" s="20" t="n"/>
      <c r="Q9424" s="19" t="n"/>
      <c r="R9424" s="19" t="n"/>
      <c r="Y9424" s="19" t="n"/>
    </row>
    <row r="9425">
      <c r="C9425" s="18" t="n"/>
      <c r="J9425" s="19" t="n"/>
      <c r="P9425" s="20" t="n"/>
      <c r="Q9425" s="19" t="n"/>
      <c r="R9425" s="19" t="n"/>
      <c r="Y9425" s="19" t="n"/>
    </row>
    <row r="9426">
      <c r="C9426" s="18" t="n"/>
      <c r="J9426" s="19" t="n"/>
      <c r="P9426" s="20" t="n"/>
      <c r="Q9426" s="19" t="n"/>
      <c r="R9426" s="19" t="n"/>
      <c r="Y9426" s="19" t="n"/>
    </row>
    <row r="9427">
      <c r="C9427" s="18" t="n"/>
      <c r="J9427" s="19" t="n"/>
      <c r="P9427" s="20" t="n"/>
      <c r="Q9427" s="19" t="n"/>
      <c r="R9427" s="19" t="n"/>
      <c r="Y9427" s="19" t="n"/>
    </row>
    <row r="9428">
      <c r="C9428" s="18" t="n"/>
      <c r="J9428" s="19" t="n"/>
      <c r="P9428" s="20" t="n"/>
      <c r="Q9428" s="19" t="n"/>
      <c r="R9428" s="19" t="n"/>
      <c r="Y9428" s="19" t="n"/>
    </row>
    <row r="9429">
      <c r="C9429" s="18" t="n"/>
      <c r="J9429" s="19" t="n"/>
      <c r="P9429" s="20" t="n"/>
      <c r="Q9429" s="19" t="n"/>
      <c r="R9429" s="19" t="n"/>
      <c r="Y9429" s="19" t="n"/>
    </row>
    <row r="9430">
      <c r="C9430" s="18" t="n"/>
      <c r="J9430" s="19" t="n"/>
      <c r="P9430" s="20" t="n"/>
      <c r="Q9430" s="19" t="n"/>
      <c r="R9430" s="19" t="n"/>
      <c r="Y9430" s="19" t="n"/>
    </row>
    <row r="9431">
      <c r="C9431" s="18" t="n"/>
      <c r="J9431" s="19" t="n"/>
      <c r="P9431" s="20" t="n"/>
      <c r="Q9431" s="19" t="n"/>
      <c r="R9431" s="19" t="n"/>
      <c r="Y9431" s="19" t="n"/>
    </row>
    <row r="9432">
      <c r="C9432" s="18" t="n"/>
      <c r="J9432" s="19" t="n"/>
      <c r="P9432" s="20" t="n"/>
      <c r="Q9432" s="19" t="n"/>
      <c r="R9432" s="19" t="n"/>
      <c r="Y9432" s="19" t="n"/>
    </row>
    <row r="9433">
      <c r="C9433" s="18" t="n"/>
      <c r="J9433" s="19" t="n"/>
      <c r="P9433" s="20" t="n"/>
      <c r="Q9433" s="19" t="n"/>
      <c r="R9433" s="19" t="n"/>
      <c r="Y9433" s="19" t="n"/>
    </row>
    <row r="9434">
      <c r="C9434" s="18" t="n"/>
      <c r="J9434" s="19" t="n"/>
      <c r="P9434" s="20" t="n"/>
      <c r="Q9434" s="19" t="n"/>
      <c r="R9434" s="19" t="n"/>
      <c r="Y9434" s="19" t="n"/>
    </row>
    <row r="9435">
      <c r="C9435" s="18" t="n"/>
      <c r="J9435" s="19" t="n"/>
      <c r="P9435" s="20" t="n"/>
      <c r="Q9435" s="19" t="n"/>
      <c r="R9435" s="19" t="n"/>
      <c r="Y9435" s="19" t="n"/>
    </row>
    <row r="9436">
      <c r="C9436" s="18" t="n"/>
      <c r="J9436" s="19" t="n"/>
      <c r="P9436" s="20" t="n"/>
      <c r="Q9436" s="19" t="n"/>
      <c r="R9436" s="19" t="n"/>
      <c r="Y9436" s="19" t="n"/>
    </row>
    <row r="9437">
      <c r="C9437" s="18" t="n"/>
      <c r="J9437" s="19" t="n"/>
      <c r="P9437" s="20" t="n"/>
      <c r="Q9437" s="19" t="n"/>
      <c r="R9437" s="19" t="n"/>
      <c r="Y9437" s="19" t="n"/>
    </row>
    <row r="9438">
      <c r="C9438" s="18" t="n"/>
      <c r="J9438" s="19" t="n"/>
      <c r="P9438" s="20" t="n"/>
      <c r="Q9438" s="19" t="n"/>
      <c r="R9438" s="19" t="n"/>
      <c r="Y9438" s="19" t="n"/>
    </row>
    <row r="9439">
      <c r="C9439" s="18" t="n"/>
      <c r="J9439" s="19" t="n"/>
      <c r="P9439" s="20" t="n"/>
      <c r="Q9439" s="19" t="n"/>
      <c r="R9439" s="19" t="n"/>
      <c r="Y9439" s="19" t="n"/>
    </row>
    <row r="9440">
      <c r="C9440" s="18" t="n"/>
      <c r="J9440" s="19" t="n"/>
      <c r="P9440" s="20" t="n"/>
      <c r="Q9440" s="19" t="n"/>
      <c r="R9440" s="19" t="n"/>
      <c r="Y9440" s="19" t="n"/>
    </row>
    <row r="9441">
      <c r="C9441" s="18" t="n"/>
      <c r="J9441" s="19" t="n"/>
      <c r="P9441" s="20" t="n"/>
      <c r="Q9441" s="19" t="n"/>
      <c r="R9441" s="19" t="n"/>
      <c r="Y9441" s="19" t="n"/>
    </row>
    <row r="9442">
      <c r="C9442" s="18" t="n"/>
      <c r="J9442" s="19" t="n"/>
      <c r="P9442" s="20" t="n"/>
      <c r="Q9442" s="19" t="n"/>
      <c r="R9442" s="19" t="n"/>
      <c r="Y9442" s="19" t="n"/>
    </row>
    <row r="9443">
      <c r="C9443" s="18" t="n"/>
      <c r="J9443" s="19" t="n"/>
      <c r="P9443" s="20" t="n"/>
      <c r="Q9443" s="19" t="n"/>
      <c r="R9443" s="19" t="n"/>
      <c r="Y9443" s="19" t="n"/>
    </row>
    <row r="9444">
      <c r="C9444" s="18" t="n"/>
      <c r="J9444" s="19" t="n"/>
      <c r="P9444" s="20" t="n"/>
      <c r="Q9444" s="19" t="n"/>
      <c r="R9444" s="19" t="n"/>
      <c r="Y9444" s="19" t="n"/>
    </row>
    <row r="9445">
      <c r="C9445" s="18" t="n"/>
      <c r="J9445" s="19" t="n"/>
      <c r="P9445" s="20" t="n"/>
      <c r="Q9445" s="19" t="n"/>
      <c r="R9445" s="19" t="n"/>
      <c r="Y9445" s="19" t="n"/>
    </row>
    <row r="9446">
      <c r="C9446" s="18" t="n"/>
      <c r="J9446" s="19" t="n"/>
      <c r="P9446" s="20" t="n"/>
      <c r="Q9446" s="19" t="n"/>
      <c r="R9446" s="19" t="n"/>
      <c r="Y9446" s="19" t="n"/>
    </row>
    <row r="9447">
      <c r="C9447" s="18" t="n"/>
      <c r="J9447" s="19" t="n"/>
      <c r="P9447" s="20" t="n"/>
      <c r="Q9447" s="19" t="n"/>
      <c r="R9447" s="19" t="n"/>
      <c r="Y9447" s="19" t="n"/>
    </row>
    <row r="9448">
      <c r="C9448" s="18" t="n"/>
      <c r="J9448" s="19" t="n"/>
      <c r="P9448" s="20" t="n"/>
      <c r="Q9448" s="19" t="n"/>
      <c r="R9448" s="19" t="n"/>
      <c r="Y9448" s="19" t="n"/>
    </row>
    <row r="9449">
      <c r="C9449" s="18" t="n"/>
      <c r="J9449" s="19" t="n"/>
      <c r="P9449" s="20" t="n"/>
      <c r="Q9449" s="19" t="n"/>
      <c r="R9449" s="19" t="n"/>
      <c r="Y9449" s="19" t="n"/>
    </row>
    <row r="9450">
      <c r="C9450" s="18" t="n"/>
      <c r="J9450" s="19" t="n"/>
      <c r="P9450" s="20" t="n"/>
      <c r="Q9450" s="19" t="n"/>
      <c r="R9450" s="19" t="n"/>
      <c r="Y9450" s="19" t="n"/>
    </row>
    <row r="9451">
      <c r="C9451" s="18" t="n"/>
      <c r="J9451" s="19" t="n"/>
      <c r="P9451" s="20" t="n"/>
      <c r="Q9451" s="19" t="n"/>
      <c r="R9451" s="19" t="n"/>
      <c r="Y9451" s="19" t="n"/>
    </row>
    <row r="9452">
      <c r="C9452" s="18" t="n"/>
      <c r="J9452" s="19" t="n"/>
      <c r="P9452" s="20" t="n"/>
      <c r="Q9452" s="19" t="n"/>
      <c r="R9452" s="19" t="n"/>
      <c r="Y9452" s="19" t="n"/>
    </row>
    <row r="9453">
      <c r="C9453" s="18" t="n"/>
      <c r="J9453" s="19" t="n"/>
      <c r="P9453" s="20" t="n"/>
      <c r="Q9453" s="19" t="n"/>
      <c r="R9453" s="19" t="n"/>
      <c r="Y9453" s="19" t="n"/>
    </row>
    <row r="9454">
      <c r="C9454" s="18" t="n"/>
      <c r="J9454" s="19" t="n"/>
      <c r="P9454" s="20" t="n"/>
      <c r="Q9454" s="19" t="n"/>
      <c r="R9454" s="19" t="n"/>
      <c r="Y9454" s="19" t="n"/>
    </row>
    <row r="9455">
      <c r="C9455" s="18" t="n"/>
      <c r="J9455" s="19" t="n"/>
      <c r="P9455" s="20" t="n"/>
      <c r="Q9455" s="19" t="n"/>
      <c r="R9455" s="19" t="n"/>
      <c r="Y9455" s="19" t="n"/>
    </row>
    <row r="9456">
      <c r="C9456" s="18" t="n"/>
      <c r="J9456" s="19" t="n"/>
      <c r="P9456" s="20" t="n"/>
      <c r="Q9456" s="19" t="n"/>
      <c r="R9456" s="19" t="n"/>
      <c r="Y9456" s="19" t="n"/>
    </row>
    <row r="9457">
      <c r="C9457" s="18" t="n"/>
      <c r="J9457" s="19" t="n"/>
      <c r="P9457" s="20" t="n"/>
      <c r="Q9457" s="19" t="n"/>
      <c r="R9457" s="19" t="n"/>
      <c r="Y9457" s="19" t="n"/>
    </row>
    <row r="9458">
      <c r="C9458" s="18" t="n"/>
      <c r="J9458" s="19" t="n"/>
      <c r="P9458" s="20" t="n"/>
      <c r="Q9458" s="19" t="n"/>
      <c r="R9458" s="19" t="n"/>
      <c r="Y9458" s="19" t="n"/>
    </row>
    <row r="9459">
      <c r="C9459" s="18" t="n"/>
      <c r="J9459" s="19" t="n"/>
      <c r="P9459" s="20" t="n"/>
      <c r="Q9459" s="19" t="n"/>
      <c r="R9459" s="19" t="n"/>
      <c r="Y9459" s="19" t="n"/>
    </row>
    <row r="9460">
      <c r="C9460" s="18" t="n"/>
      <c r="J9460" s="19" t="n"/>
      <c r="P9460" s="20" t="n"/>
      <c r="Q9460" s="19" t="n"/>
      <c r="R9460" s="19" t="n"/>
      <c r="Y9460" s="19" t="n"/>
    </row>
    <row r="9461">
      <c r="C9461" s="18" t="n"/>
      <c r="J9461" s="19" t="n"/>
      <c r="P9461" s="20" t="n"/>
      <c r="Q9461" s="19" t="n"/>
      <c r="R9461" s="19" t="n"/>
      <c r="Y9461" s="19" t="n"/>
    </row>
    <row r="9462">
      <c r="C9462" s="18" t="n"/>
      <c r="J9462" s="19" t="n"/>
      <c r="P9462" s="20" t="n"/>
      <c r="Q9462" s="19" t="n"/>
      <c r="R9462" s="19" t="n"/>
      <c r="Y9462" s="19" t="n"/>
    </row>
    <row r="9463">
      <c r="C9463" s="18" t="n"/>
      <c r="J9463" s="19" t="n"/>
      <c r="P9463" s="20" t="n"/>
      <c r="Q9463" s="19" t="n"/>
      <c r="R9463" s="19" t="n"/>
      <c r="Y9463" s="19" t="n"/>
    </row>
    <row r="9464">
      <c r="C9464" s="18" t="n"/>
      <c r="J9464" s="19" t="n"/>
      <c r="P9464" s="20" t="n"/>
      <c r="Q9464" s="19" t="n"/>
      <c r="R9464" s="19" t="n"/>
      <c r="Y9464" s="19" t="n"/>
    </row>
    <row r="9465">
      <c r="C9465" s="18" t="n"/>
      <c r="J9465" s="19" t="n"/>
      <c r="P9465" s="20" t="n"/>
      <c r="Q9465" s="19" t="n"/>
      <c r="R9465" s="19" t="n"/>
      <c r="Y9465" s="19" t="n"/>
    </row>
    <row r="9466">
      <c r="C9466" s="18" t="n"/>
      <c r="J9466" s="19" t="n"/>
      <c r="P9466" s="20" t="n"/>
      <c r="Q9466" s="19" t="n"/>
      <c r="R9466" s="19" t="n"/>
      <c r="Y9466" s="19" t="n"/>
    </row>
    <row r="9467">
      <c r="C9467" s="18" t="n"/>
      <c r="J9467" s="19" t="n"/>
      <c r="P9467" s="20" t="n"/>
      <c r="Q9467" s="19" t="n"/>
      <c r="R9467" s="19" t="n"/>
      <c r="Y9467" s="19" t="n"/>
    </row>
    <row r="9468">
      <c r="C9468" s="18" t="n"/>
      <c r="J9468" s="19" t="n"/>
      <c r="P9468" s="20" t="n"/>
      <c r="Q9468" s="19" t="n"/>
      <c r="R9468" s="19" t="n"/>
      <c r="Y9468" s="19" t="n"/>
    </row>
    <row r="9469">
      <c r="C9469" s="18" t="n"/>
      <c r="J9469" s="19" t="n"/>
      <c r="P9469" s="20" t="n"/>
      <c r="Q9469" s="19" t="n"/>
      <c r="R9469" s="19" t="n"/>
      <c r="Y9469" s="19" t="n"/>
    </row>
    <row r="9470">
      <c r="C9470" s="18" t="n"/>
      <c r="J9470" s="19" t="n"/>
      <c r="P9470" s="20" t="n"/>
      <c r="Q9470" s="19" t="n"/>
      <c r="R9470" s="19" t="n"/>
      <c r="Y9470" s="19" t="n"/>
    </row>
    <row r="9471">
      <c r="C9471" s="18" t="n"/>
      <c r="J9471" s="19" t="n"/>
      <c r="P9471" s="20" t="n"/>
      <c r="Q9471" s="19" t="n"/>
      <c r="R9471" s="19" t="n"/>
      <c r="Y9471" s="19" t="n"/>
    </row>
    <row r="9472">
      <c r="C9472" s="18" t="n"/>
      <c r="J9472" s="19" t="n"/>
      <c r="P9472" s="20" t="n"/>
      <c r="Q9472" s="19" t="n"/>
      <c r="R9472" s="19" t="n"/>
      <c r="Y9472" s="19" t="n"/>
    </row>
    <row r="9473">
      <c r="C9473" s="18" t="n"/>
      <c r="J9473" s="19" t="n"/>
      <c r="P9473" s="20" t="n"/>
      <c r="Q9473" s="19" t="n"/>
      <c r="R9473" s="19" t="n"/>
      <c r="Y9473" s="19" t="n"/>
    </row>
    <row r="9474">
      <c r="C9474" s="18" t="n"/>
      <c r="J9474" s="19" t="n"/>
      <c r="P9474" s="20" t="n"/>
      <c r="Q9474" s="19" t="n"/>
      <c r="R9474" s="19" t="n"/>
      <c r="Y9474" s="19" t="n"/>
    </row>
    <row r="9475">
      <c r="C9475" s="18" t="n"/>
      <c r="J9475" s="19" t="n"/>
      <c r="P9475" s="20" t="n"/>
      <c r="Q9475" s="19" t="n"/>
      <c r="R9475" s="19" t="n"/>
      <c r="Y9475" s="19" t="n"/>
    </row>
    <row r="9476">
      <c r="C9476" s="18" t="n"/>
      <c r="J9476" s="19" t="n"/>
      <c r="P9476" s="20" t="n"/>
      <c r="Q9476" s="19" t="n"/>
      <c r="R9476" s="19" t="n"/>
      <c r="Y9476" s="19" t="n"/>
    </row>
    <row r="9477">
      <c r="C9477" s="18" t="n"/>
      <c r="J9477" s="19" t="n"/>
      <c r="P9477" s="20" t="n"/>
      <c r="Q9477" s="19" t="n"/>
      <c r="R9477" s="19" t="n"/>
      <c r="Y9477" s="19" t="n"/>
    </row>
    <row r="9478">
      <c r="C9478" s="18" t="n"/>
      <c r="J9478" s="19" t="n"/>
      <c r="P9478" s="20" t="n"/>
      <c r="Q9478" s="19" t="n"/>
      <c r="R9478" s="19" t="n"/>
      <c r="Y9478" s="19" t="n"/>
    </row>
    <row r="9479">
      <c r="C9479" s="18" t="n"/>
      <c r="J9479" s="19" t="n"/>
      <c r="P9479" s="20" t="n"/>
      <c r="Q9479" s="19" t="n"/>
      <c r="R9479" s="19" t="n"/>
      <c r="Y9479" s="19" t="n"/>
    </row>
    <row r="9480">
      <c r="C9480" s="18" t="n"/>
      <c r="J9480" s="19" t="n"/>
      <c r="P9480" s="20" t="n"/>
      <c r="Q9480" s="19" t="n"/>
      <c r="R9480" s="19" t="n"/>
      <c r="Y9480" s="19" t="n"/>
    </row>
    <row r="9481">
      <c r="C9481" s="18" t="n"/>
      <c r="J9481" s="19" t="n"/>
      <c r="P9481" s="20" t="n"/>
      <c r="Q9481" s="19" t="n"/>
      <c r="R9481" s="19" t="n"/>
      <c r="Y9481" s="19" t="n"/>
    </row>
    <row r="9482">
      <c r="C9482" s="18" t="n"/>
      <c r="J9482" s="19" t="n"/>
      <c r="P9482" s="20" t="n"/>
      <c r="Q9482" s="19" t="n"/>
      <c r="R9482" s="19" t="n"/>
      <c r="Y9482" s="19" t="n"/>
    </row>
    <row r="9483">
      <c r="C9483" s="18" t="n"/>
      <c r="J9483" s="19" t="n"/>
      <c r="P9483" s="20" t="n"/>
      <c r="Q9483" s="19" t="n"/>
      <c r="R9483" s="19" t="n"/>
      <c r="Y9483" s="19" t="n"/>
    </row>
    <row r="9484">
      <c r="C9484" s="18" t="n"/>
      <c r="J9484" s="19" t="n"/>
      <c r="P9484" s="20" t="n"/>
      <c r="Q9484" s="19" t="n"/>
      <c r="R9484" s="19" t="n"/>
      <c r="Y9484" s="19" t="n"/>
    </row>
    <row r="9485">
      <c r="C9485" s="18" t="n"/>
      <c r="J9485" s="19" t="n"/>
      <c r="P9485" s="20" t="n"/>
      <c r="Q9485" s="19" t="n"/>
      <c r="R9485" s="19" t="n"/>
      <c r="Y9485" s="19" t="n"/>
    </row>
    <row r="9486">
      <c r="C9486" s="18" t="n"/>
      <c r="J9486" s="19" t="n"/>
      <c r="P9486" s="20" t="n"/>
      <c r="Q9486" s="19" t="n"/>
      <c r="R9486" s="19" t="n"/>
      <c r="Y9486" s="19" t="n"/>
    </row>
    <row r="9487">
      <c r="C9487" s="18" t="n"/>
      <c r="J9487" s="19" t="n"/>
      <c r="P9487" s="20" t="n"/>
      <c r="Q9487" s="19" t="n"/>
      <c r="R9487" s="19" t="n"/>
      <c r="Y9487" s="19" t="n"/>
    </row>
    <row r="9488">
      <c r="C9488" s="18" t="n"/>
      <c r="J9488" s="19" t="n"/>
      <c r="P9488" s="20" t="n"/>
      <c r="Q9488" s="19" t="n"/>
      <c r="R9488" s="19" t="n"/>
      <c r="Y9488" s="19" t="n"/>
    </row>
    <row r="9489">
      <c r="C9489" s="18" t="n"/>
      <c r="J9489" s="19" t="n"/>
      <c r="P9489" s="20" t="n"/>
      <c r="Q9489" s="19" t="n"/>
      <c r="R9489" s="19" t="n"/>
      <c r="Y9489" s="19" t="n"/>
    </row>
    <row r="9490">
      <c r="C9490" s="18" t="n"/>
      <c r="J9490" s="19" t="n"/>
      <c r="P9490" s="20" t="n"/>
      <c r="Q9490" s="19" t="n"/>
      <c r="R9490" s="19" t="n"/>
      <c r="Y9490" s="19" t="n"/>
    </row>
    <row r="9491">
      <c r="C9491" s="18" t="n"/>
      <c r="J9491" s="19" t="n"/>
      <c r="P9491" s="20" t="n"/>
      <c r="Q9491" s="19" t="n"/>
      <c r="R9491" s="19" t="n"/>
      <c r="Y9491" s="19" t="n"/>
    </row>
    <row r="9492">
      <c r="C9492" s="18" t="n"/>
      <c r="J9492" s="19" t="n"/>
      <c r="P9492" s="20" t="n"/>
      <c r="Q9492" s="19" t="n"/>
      <c r="R9492" s="19" t="n"/>
      <c r="Y9492" s="19" t="n"/>
    </row>
    <row r="9493">
      <c r="C9493" s="18" t="n"/>
      <c r="J9493" s="19" t="n"/>
      <c r="P9493" s="20" t="n"/>
      <c r="Q9493" s="19" t="n"/>
      <c r="R9493" s="19" t="n"/>
      <c r="Y9493" s="19" t="n"/>
    </row>
    <row r="9494">
      <c r="C9494" s="18" t="n"/>
      <c r="J9494" s="19" t="n"/>
      <c r="P9494" s="20" t="n"/>
      <c r="Q9494" s="19" t="n"/>
      <c r="R9494" s="19" t="n"/>
      <c r="Y9494" s="19" t="n"/>
    </row>
    <row r="9495">
      <c r="C9495" s="18" t="n"/>
      <c r="J9495" s="19" t="n"/>
      <c r="P9495" s="20" t="n"/>
      <c r="Q9495" s="19" t="n"/>
      <c r="R9495" s="19" t="n"/>
      <c r="Y9495" s="19" t="n"/>
    </row>
    <row r="9496">
      <c r="C9496" s="18" t="n"/>
      <c r="J9496" s="19" t="n"/>
      <c r="P9496" s="20" t="n"/>
      <c r="Q9496" s="19" t="n"/>
      <c r="R9496" s="19" t="n"/>
      <c r="Y9496" s="19" t="n"/>
    </row>
    <row r="9497">
      <c r="C9497" s="18" t="n"/>
      <c r="J9497" s="19" t="n"/>
      <c r="P9497" s="20" t="n"/>
      <c r="Q9497" s="19" t="n"/>
      <c r="R9497" s="19" t="n"/>
      <c r="Y9497" s="19" t="n"/>
    </row>
    <row r="9498">
      <c r="C9498" s="18" t="n"/>
      <c r="J9498" s="19" t="n"/>
      <c r="P9498" s="20" t="n"/>
      <c r="Q9498" s="19" t="n"/>
      <c r="R9498" s="19" t="n"/>
      <c r="Y9498" s="19" t="n"/>
    </row>
    <row r="9499">
      <c r="C9499" s="18" t="n"/>
      <c r="J9499" s="19" t="n"/>
      <c r="P9499" s="20" t="n"/>
      <c r="Q9499" s="19" t="n"/>
      <c r="R9499" s="19" t="n"/>
      <c r="Y9499" s="19" t="n"/>
    </row>
    <row r="9500">
      <c r="C9500" s="18" t="n"/>
      <c r="J9500" s="19" t="n"/>
      <c r="P9500" s="20" t="n"/>
      <c r="Q9500" s="19" t="n"/>
      <c r="R9500" s="19" t="n"/>
      <c r="Y9500" s="19" t="n"/>
    </row>
    <row r="9501">
      <c r="C9501" s="18" t="n"/>
      <c r="J9501" s="19" t="n"/>
      <c r="P9501" s="20" t="n"/>
      <c r="Q9501" s="19" t="n"/>
      <c r="R9501" s="19" t="n"/>
      <c r="Y9501" s="19" t="n"/>
    </row>
    <row r="9502">
      <c r="C9502" s="18" t="n"/>
      <c r="J9502" s="19" t="n"/>
      <c r="P9502" s="20" t="n"/>
      <c r="Q9502" s="19" t="n"/>
      <c r="R9502" s="19" t="n"/>
      <c r="Y9502" s="19" t="n"/>
    </row>
    <row r="9503">
      <c r="C9503" s="18" t="n"/>
      <c r="J9503" s="19" t="n"/>
      <c r="P9503" s="20" t="n"/>
      <c r="Q9503" s="19" t="n"/>
      <c r="R9503" s="19" t="n"/>
      <c r="Y9503" s="19" t="n"/>
    </row>
    <row r="9504">
      <c r="C9504" s="18" t="n"/>
      <c r="J9504" s="19" t="n"/>
      <c r="P9504" s="20" t="n"/>
      <c r="Q9504" s="19" t="n"/>
      <c r="R9504" s="19" t="n"/>
      <c r="Y9504" s="19" t="n"/>
    </row>
    <row r="9505">
      <c r="C9505" s="18" t="n"/>
      <c r="J9505" s="19" t="n"/>
      <c r="P9505" s="20" t="n"/>
      <c r="Q9505" s="19" t="n"/>
      <c r="R9505" s="19" t="n"/>
      <c r="Y9505" s="19" t="n"/>
    </row>
    <row r="9506">
      <c r="C9506" s="18" t="n"/>
      <c r="J9506" s="19" t="n"/>
      <c r="P9506" s="20" t="n"/>
      <c r="Q9506" s="19" t="n"/>
      <c r="R9506" s="19" t="n"/>
      <c r="Y9506" s="19" t="n"/>
    </row>
    <row r="9507">
      <c r="C9507" s="18" t="n"/>
      <c r="J9507" s="19" t="n"/>
      <c r="P9507" s="20" t="n"/>
      <c r="Q9507" s="19" t="n"/>
      <c r="R9507" s="19" t="n"/>
      <c r="Y9507" s="19" t="n"/>
    </row>
    <row r="9508">
      <c r="C9508" s="18" t="n"/>
      <c r="J9508" s="19" t="n"/>
      <c r="P9508" s="20" t="n"/>
      <c r="Q9508" s="19" t="n"/>
      <c r="R9508" s="19" t="n"/>
      <c r="Y9508" s="19" t="n"/>
    </row>
    <row r="9509">
      <c r="C9509" s="18" t="n"/>
      <c r="J9509" s="19" t="n"/>
      <c r="P9509" s="20" t="n"/>
      <c r="Q9509" s="19" t="n"/>
      <c r="R9509" s="19" t="n"/>
      <c r="Y9509" s="19" t="n"/>
    </row>
    <row r="9510">
      <c r="C9510" s="18" t="n"/>
      <c r="J9510" s="19" t="n"/>
      <c r="P9510" s="20" t="n"/>
      <c r="Q9510" s="19" t="n"/>
      <c r="R9510" s="19" t="n"/>
      <c r="Y9510" s="19" t="n"/>
    </row>
    <row r="9511">
      <c r="C9511" s="18" t="n"/>
      <c r="J9511" s="19" t="n"/>
      <c r="P9511" s="20" t="n"/>
      <c r="Q9511" s="19" t="n"/>
      <c r="R9511" s="19" t="n"/>
      <c r="Y9511" s="19" t="n"/>
    </row>
    <row r="9512">
      <c r="C9512" s="18" t="n"/>
      <c r="J9512" s="19" t="n"/>
      <c r="P9512" s="20" t="n"/>
      <c r="Q9512" s="19" t="n"/>
      <c r="R9512" s="19" t="n"/>
      <c r="Y9512" s="19" t="n"/>
    </row>
    <row r="9513">
      <c r="C9513" s="18" t="n"/>
      <c r="J9513" s="19" t="n"/>
      <c r="P9513" s="20" t="n"/>
      <c r="Q9513" s="19" t="n"/>
      <c r="R9513" s="19" t="n"/>
      <c r="Y9513" s="19" t="n"/>
    </row>
    <row r="9514">
      <c r="C9514" s="18" t="n"/>
      <c r="J9514" s="19" t="n"/>
      <c r="P9514" s="20" t="n"/>
      <c r="Q9514" s="19" t="n"/>
      <c r="R9514" s="19" t="n"/>
      <c r="Y9514" s="19" t="n"/>
    </row>
    <row r="9515">
      <c r="C9515" s="18" t="n"/>
      <c r="J9515" s="19" t="n"/>
      <c r="P9515" s="20" t="n"/>
      <c r="Q9515" s="19" t="n"/>
      <c r="R9515" s="19" t="n"/>
      <c r="Y9515" s="19" t="n"/>
    </row>
    <row r="9516">
      <c r="C9516" s="18" t="n"/>
      <c r="J9516" s="19" t="n"/>
      <c r="P9516" s="20" t="n"/>
      <c r="Q9516" s="19" t="n"/>
      <c r="R9516" s="19" t="n"/>
      <c r="Y9516" s="19" t="n"/>
    </row>
    <row r="9517">
      <c r="C9517" s="18" t="n"/>
      <c r="J9517" s="19" t="n"/>
      <c r="P9517" s="20" t="n"/>
      <c r="Q9517" s="19" t="n"/>
      <c r="R9517" s="19" t="n"/>
      <c r="Y9517" s="19" t="n"/>
    </row>
    <row r="9518">
      <c r="C9518" s="18" t="n"/>
      <c r="J9518" s="19" t="n"/>
      <c r="P9518" s="20" t="n"/>
      <c r="Q9518" s="19" t="n"/>
      <c r="R9518" s="19" t="n"/>
      <c r="Y9518" s="19" t="n"/>
    </row>
    <row r="9519">
      <c r="C9519" s="18" t="n"/>
      <c r="J9519" s="19" t="n"/>
      <c r="P9519" s="20" t="n"/>
      <c r="Q9519" s="19" t="n"/>
      <c r="R9519" s="19" t="n"/>
      <c r="Y9519" s="19" t="n"/>
    </row>
    <row r="9520">
      <c r="C9520" s="18" t="n"/>
      <c r="J9520" s="19" t="n"/>
      <c r="P9520" s="20" t="n"/>
      <c r="Q9520" s="19" t="n"/>
      <c r="R9520" s="19" t="n"/>
      <c r="Y9520" s="19" t="n"/>
    </row>
    <row r="9521">
      <c r="C9521" s="18" t="n"/>
      <c r="J9521" s="19" t="n"/>
      <c r="P9521" s="20" t="n"/>
      <c r="Q9521" s="19" t="n"/>
      <c r="R9521" s="19" t="n"/>
      <c r="Y9521" s="19" t="n"/>
    </row>
    <row r="9522">
      <c r="C9522" s="18" t="n"/>
      <c r="J9522" s="19" t="n"/>
      <c r="P9522" s="20" t="n"/>
      <c r="Q9522" s="19" t="n"/>
      <c r="R9522" s="19" t="n"/>
      <c r="Y9522" s="19" t="n"/>
    </row>
    <row r="9523">
      <c r="C9523" s="18" t="n"/>
      <c r="J9523" s="19" t="n"/>
      <c r="P9523" s="20" t="n"/>
      <c r="Q9523" s="19" t="n"/>
      <c r="R9523" s="19" t="n"/>
      <c r="Y9523" s="19" t="n"/>
    </row>
    <row r="9524">
      <c r="C9524" s="18" t="n"/>
      <c r="J9524" s="19" t="n"/>
      <c r="P9524" s="20" t="n"/>
      <c r="Q9524" s="19" t="n"/>
      <c r="R9524" s="19" t="n"/>
      <c r="Y9524" s="19" t="n"/>
    </row>
    <row r="9525">
      <c r="C9525" s="18" t="n"/>
      <c r="J9525" s="19" t="n"/>
      <c r="P9525" s="20" t="n"/>
      <c r="Q9525" s="19" t="n"/>
      <c r="R9525" s="19" t="n"/>
      <c r="Y9525" s="19" t="n"/>
    </row>
    <row r="9526">
      <c r="C9526" s="18" t="n"/>
      <c r="J9526" s="19" t="n"/>
      <c r="P9526" s="20" t="n"/>
      <c r="Q9526" s="19" t="n"/>
      <c r="R9526" s="19" t="n"/>
      <c r="Y9526" s="19" t="n"/>
    </row>
    <row r="9527">
      <c r="C9527" s="18" t="n"/>
      <c r="J9527" s="19" t="n"/>
      <c r="P9527" s="20" t="n"/>
      <c r="Q9527" s="19" t="n"/>
      <c r="R9527" s="19" t="n"/>
      <c r="Y9527" s="19" t="n"/>
    </row>
    <row r="9528">
      <c r="C9528" s="18" t="n"/>
      <c r="J9528" s="19" t="n"/>
      <c r="P9528" s="20" t="n"/>
      <c r="Q9528" s="19" t="n"/>
      <c r="R9528" s="19" t="n"/>
      <c r="Y9528" s="19" t="n"/>
    </row>
    <row r="9529">
      <c r="C9529" s="18" t="n"/>
      <c r="J9529" s="19" t="n"/>
      <c r="P9529" s="20" t="n"/>
      <c r="Q9529" s="19" t="n"/>
      <c r="R9529" s="19" t="n"/>
      <c r="Y9529" s="19" t="n"/>
    </row>
    <row r="9530">
      <c r="C9530" s="18" t="n"/>
      <c r="J9530" s="19" t="n"/>
      <c r="P9530" s="20" t="n"/>
      <c r="Q9530" s="19" t="n"/>
      <c r="R9530" s="19" t="n"/>
      <c r="Y9530" s="19" t="n"/>
    </row>
    <row r="9531">
      <c r="C9531" s="18" t="n"/>
      <c r="J9531" s="19" t="n"/>
      <c r="P9531" s="20" t="n"/>
      <c r="Q9531" s="19" t="n"/>
      <c r="R9531" s="19" t="n"/>
      <c r="Y9531" s="19" t="n"/>
    </row>
    <row r="9532">
      <c r="C9532" s="18" t="n"/>
      <c r="J9532" s="19" t="n"/>
      <c r="P9532" s="20" t="n"/>
      <c r="Q9532" s="19" t="n"/>
      <c r="R9532" s="19" t="n"/>
      <c r="Y9532" s="19" t="n"/>
    </row>
    <row r="9533">
      <c r="C9533" s="18" t="n"/>
      <c r="J9533" s="19" t="n"/>
      <c r="P9533" s="20" t="n"/>
      <c r="Q9533" s="19" t="n"/>
      <c r="R9533" s="19" t="n"/>
      <c r="Y9533" s="19" t="n"/>
    </row>
    <row r="9534">
      <c r="C9534" s="18" t="n"/>
      <c r="J9534" s="19" t="n"/>
      <c r="P9534" s="20" t="n"/>
      <c r="Q9534" s="19" t="n"/>
      <c r="R9534" s="19" t="n"/>
      <c r="Y9534" s="19" t="n"/>
    </row>
    <row r="9535">
      <c r="C9535" s="18" t="n"/>
      <c r="J9535" s="19" t="n"/>
      <c r="P9535" s="20" t="n"/>
      <c r="Q9535" s="19" t="n"/>
      <c r="R9535" s="19" t="n"/>
      <c r="Y9535" s="19" t="n"/>
    </row>
    <row r="9536">
      <c r="C9536" s="18" t="n"/>
      <c r="J9536" s="19" t="n"/>
      <c r="P9536" s="20" t="n"/>
      <c r="Q9536" s="19" t="n"/>
      <c r="R9536" s="19" t="n"/>
      <c r="Y9536" s="19" t="n"/>
    </row>
    <row r="9537">
      <c r="C9537" s="18" t="n"/>
      <c r="J9537" s="19" t="n"/>
      <c r="P9537" s="20" t="n"/>
      <c r="Q9537" s="19" t="n"/>
      <c r="R9537" s="19" t="n"/>
      <c r="Y9537" s="19" t="n"/>
    </row>
    <row r="9538">
      <c r="C9538" s="18" t="n"/>
      <c r="J9538" s="19" t="n"/>
      <c r="P9538" s="20" t="n"/>
      <c r="Q9538" s="19" t="n"/>
      <c r="R9538" s="19" t="n"/>
      <c r="Y9538" s="19" t="n"/>
    </row>
    <row r="9539">
      <c r="C9539" s="18" t="n"/>
      <c r="J9539" s="19" t="n"/>
      <c r="P9539" s="20" t="n"/>
      <c r="Q9539" s="19" t="n"/>
      <c r="R9539" s="19" t="n"/>
      <c r="Y9539" s="19" t="n"/>
    </row>
    <row r="9540">
      <c r="C9540" s="18" t="n"/>
      <c r="J9540" s="19" t="n"/>
      <c r="P9540" s="20" t="n"/>
      <c r="Q9540" s="19" t="n"/>
      <c r="R9540" s="19" t="n"/>
      <c r="Y9540" s="19" t="n"/>
    </row>
    <row r="9541">
      <c r="C9541" s="18" t="n"/>
      <c r="J9541" s="19" t="n"/>
      <c r="P9541" s="20" t="n"/>
      <c r="Q9541" s="19" t="n"/>
      <c r="R9541" s="19" t="n"/>
      <c r="Y9541" s="19" t="n"/>
    </row>
    <row r="9542">
      <c r="C9542" s="18" t="n"/>
      <c r="J9542" s="19" t="n"/>
      <c r="P9542" s="20" t="n"/>
      <c r="Q9542" s="19" t="n"/>
      <c r="R9542" s="19" t="n"/>
      <c r="Y9542" s="19" t="n"/>
    </row>
    <row r="9543">
      <c r="C9543" s="18" t="n"/>
      <c r="J9543" s="19" t="n"/>
      <c r="P9543" s="20" t="n"/>
      <c r="Q9543" s="19" t="n"/>
      <c r="R9543" s="19" t="n"/>
      <c r="Y9543" s="19" t="n"/>
    </row>
    <row r="9544">
      <c r="C9544" s="18" t="n"/>
      <c r="J9544" s="19" t="n"/>
      <c r="P9544" s="20" t="n"/>
      <c r="Q9544" s="19" t="n"/>
      <c r="R9544" s="19" t="n"/>
      <c r="Y9544" s="19" t="n"/>
    </row>
    <row r="9545">
      <c r="C9545" s="18" t="n"/>
      <c r="J9545" s="19" t="n"/>
      <c r="P9545" s="20" t="n"/>
      <c r="Q9545" s="19" t="n"/>
      <c r="R9545" s="19" t="n"/>
      <c r="Y9545" s="19" t="n"/>
    </row>
    <row r="9546">
      <c r="C9546" s="18" t="n"/>
      <c r="J9546" s="19" t="n"/>
      <c r="P9546" s="20" t="n"/>
      <c r="Q9546" s="19" t="n"/>
      <c r="R9546" s="19" t="n"/>
      <c r="Y9546" s="19" t="n"/>
    </row>
    <row r="9547">
      <c r="C9547" s="18" t="n"/>
      <c r="J9547" s="19" t="n"/>
      <c r="P9547" s="20" t="n"/>
      <c r="Q9547" s="19" t="n"/>
      <c r="R9547" s="19" t="n"/>
      <c r="Y9547" s="19" t="n"/>
    </row>
    <row r="9548">
      <c r="C9548" s="18" t="n"/>
      <c r="J9548" s="19" t="n"/>
      <c r="P9548" s="20" t="n"/>
      <c r="Q9548" s="19" t="n"/>
      <c r="R9548" s="19" t="n"/>
      <c r="Y9548" s="19" t="n"/>
    </row>
    <row r="9549">
      <c r="C9549" s="18" t="n"/>
      <c r="J9549" s="19" t="n"/>
      <c r="P9549" s="20" t="n"/>
      <c r="Q9549" s="19" t="n"/>
      <c r="R9549" s="19" t="n"/>
      <c r="Y9549" s="19" t="n"/>
    </row>
    <row r="9550">
      <c r="C9550" s="18" t="n"/>
      <c r="J9550" s="19" t="n"/>
      <c r="P9550" s="20" t="n"/>
      <c r="Q9550" s="19" t="n"/>
      <c r="R9550" s="19" t="n"/>
      <c r="Y9550" s="19" t="n"/>
    </row>
    <row r="9551">
      <c r="C9551" s="18" t="n"/>
      <c r="J9551" s="19" t="n"/>
      <c r="P9551" s="20" t="n"/>
      <c r="Q9551" s="19" t="n"/>
      <c r="R9551" s="19" t="n"/>
      <c r="Y9551" s="19" t="n"/>
    </row>
    <row r="9552">
      <c r="C9552" s="18" t="n"/>
      <c r="J9552" s="19" t="n"/>
      <c r="P9552" s="20" t="n"/>
      <c r="Q9552" s="19" t="n"/>
      <c r="R9552" s="19" t="n"/>
      <c r="Y9552" s="19" t="n"/>
    </row>
    <row r="9553">
      <c r="C9553" s="18" t="n"/>
      <c r="J9553" s="19" t="n"/>
      <c r="P9553" s="20" t="n"/>
      <c r="Q9553" s="19" t="n"/>
      <c r="R9553" s="19" t="n"/>
      <c r="Y9553" s="19" t="n"/>
    </row>
    <row r="9554">
      <c r="C9554" s="18" t="n"/>
      <c r="J9554" s="19" t="n"/>
      <c r="P9554" s="20" t="n"/>
      <c r="Q9554" s="19" t="n"/>
      <c r="R9554" s="19" t="n"/>
      <c r="Y9554" s="19" t="n"/>
    </row>
    <row r="9555">
      <c r="C9555" s="18" t="n"/>
      <c r="J9555" s="19" t="n"/>
      <c r="P9555" s="20" t="n"/>
      <c r="Q9555" s="19" t="n"/>
      <c r="R9555" s="19" t="n"/>
      <c r="Y9555" s="19" t="n"/>
    </row>
    <row r="9556">
      <c r="C9556" s="18" t="n"/>
      <c r="J9556" s="19" t="n"/>
      <c r="P9556" s="20" t="n"/>
      <c r="Q9556" s="19" t="n"/>
      <c r="R9556" s="19" t="n"/>
      <c r="Y9556" s="19" t="n"/>
    </row>
    <row r="9557">
      <c r="C9557" s="18" t="n"/>
      <c r="J9557" s="19" t="n"/>
      <c r="P9557" s="20" t="n"/>
      <c r="Q9557" s="19" t="n"/>
      <c r="R9557" s="19" t="n"/>
      <c r="Y9557" s="19" t="n"/>
    </row>
    <row r="9558">
      <c r="C9558" s="18" t="n"/>
      <c r="J9558" s="19" t="n"/>
      <c r="P9558" s="20" t="n"/>
      <c r="Q9558" s="19" t="n"/>
      <c r="R9558" s="19" t="n"/>
      <c r="Y9558" s="19" t="n"/>
    </row>
    <row r="9559">
      <c r="C9559" s="18" t="n"/>
      <c r="J9559" s="19" t="n"/>
      <c r="P9559" s="20" t="n"/>
      <c r="Q9559" s="19" t="n"/>
      <c r="R9559" s="19" t="n"/>
      <c r="Y9559" s="19" t="n"/>
    </row>
    <row r="9560">
      <c r="C9560" s="18" t="n"/>
      <c r="J9560" s="19" t="n"/>
      <c r="P9560" s="20" t="n"/>
      <c r="Q9560" s="19" t="n"/>
      <c r="R9560" s="19" t="n"/>
      <c r="Y9560" s="19" t="n"/>
    </row>
    <row r="9561">
      <c r="C9561" s="18" t="n"/>
      <c r="J9561" s="19" t="n"/>
      <c r="P9561" s="20" t="n"/>
      <c r="Q9561" s="19" t="n"/>
      <c r="R9561" s="19" t="n"/>
      <c r="Y9561" s="19" t="n"/>
    </row>
    <row r="9562">
      <c r="C9562" s="18" t="n"/>
      <c r="J9562" s="19" t="n"/>
      <c r="P9562" s="20" t="n"/>
      <c r="Q9562" s="19" t="n"/>
      <c r="R9562" s="19" t="n"/>
      <c r="Y9562" s="19" t="n"/>
    </row>
    <row r="9563">
      <c r="C9563" s="18" t="n"/>
      <c r="J9563" s="19" t="n"/>
      <c r="P9563" s="20" t="n"/>
      <c r="Q9563" s="19" t="n"/>
      <c r="R9563" s="19" t="n"/>
      <c r="Y9563" s="19" t="n"/>
    </row>
    <row r="9564">
      <c r="C9564" s="18" t="n"/>
      <c r="J9564" s="19" t="n"/>
      <c r="P9564" s="20" t="n"/>
      <c r="Q9564" s="19" t="n"/>
      <c r="R9564" s="19" t="n"/>
      <c r="Y9564" s="19" t="n"/>
    </row>
    <row r="9565">
      <c r="C9565" s="18" t="n"/>
      <c r="J9565" s="19" t="n"/>
      <c r="P9565" s="20" t="n"/>
      <c r="Q9565" s="19" t="n"/>
      <c r="R9565" s="19" t="n"/>
      <c r="Y9565" s="19" t="n"/>
    </row>
    <row r="9566">
      <c r="C9566" s="18" t="n"/>
      <c r="J9566" s="19" t="n"/>
      <c r="P9566" s="20" t="n"/>
      <c r="Q9566" s="19" t="n"/>
      <c r="R9566" s="19" t="n"/>
      <c r="Y9566" s="19" t="n"/>
    </row>
    <row r="9567">
      <c r="C9567" s="18" t="n"/>
      <c r="J9567" s="19" t="n"/>
      <c r="P9567" s="20" t="n"/>
      <c r="Q9567" s="19" t="n"/>
      <c r="R9567" s="19" t="n"/>
      <c r="Y9567" s="19" t="n"/>
    </row>
    <row r="9568">
      <c r="C9568" s="18" t="n"/>
      <c r="J9568" s="19" t="n"/>
      <c r="P9568" s="20" t="n"/>
      <c r="Q9568" s="19" t="n"/>
      <c r="R9568" s="19" t="n"/>
      <c r="Y9568" s="19" t="n"/>
    </row>
    <row r="9569">
      <c r="C9569" s="18" t="n"/>
      <c r="J9569" s="19" t="n"/>
      <c r="P9569" s="20" t="n"/>
      <c r="Q9569" s="19" t="n"/>
      <c r="R9569" s="19" t="n"/>
      <c r="Y9569" s="19" t="n"/>
    </row>
    <row r="9570">
      <c r="C9570" s="18" t="n"/>
      <c r="J9570" s="19" t="n"/>
      <c r="P9570" s="20" t="n"/>
      <c r="Q9570" s="19" t="n"/>
      <c r="R9570" s="19" t="n"/>
      <c r="Y9570" s="19" t="n"/>
    </row>
    <row r="9571">
      <c r="C9571" s="18" t="n"/>
      <c r="J9571" s="19" t="n"/>
      <c r="P9571" s="20" t="n"/>
      <c r="Q9571" s="19" t="n"/>
      <c r="R9571" s="19" t="n"/>
      <c r="Y9571" s="19" t="n"/>
    </row>
    <row r="9572">
      <c r="C9572" s="18" t="n"/>
      <c r="J9572" s="19" t="n"/>
      <c r="P9572" s="20" t="n"/>
      <c r="Q9572" s="19" t="n"/>
      <c r="R9572" s="19" t="n"/>
      <c r="Y9572" s="19" t="n"/>
    </row>
    <row r="9573">
      <c r="C9573" s="18" t="n"/>
      <c r="J9573" s="19" t="n"/>
      <c r="P9573" s="20" t="n"/>
      <c r="Q9573" s="19" t="n"/>
      <c r="R9573" s="19" t="n"/>
      <c r="Y9573" s="19" t="n"/>
    </row>
    <row r="9574">
      <c r="C9574" s="18" t="n"/>
      <c r="J9574" s="19" t="n"/>
      <c r="P9574" s="20" t="n"/>
      <c r="Q9574" s="19" t="n"/>
      <c r="R9574" s="19" t="n"/>
      <c r="Y9574" s="19" t="n"/>
    </row>
    <row r="9575">
      <c r="C9575" s="18" t="n"/>
      <c r="J9575" s="19" t="n"/>
      <c r="P9575" s="20" t="n"/>
      <c r="Q9575" s="19" t="n"/>
      <c r="R9575" s="19" t="n"/>
      <c r="Y9575" s="19" t="n"/>
    </row>
    <row r="9576">
      <c r="C9576" s="18" t="n"/>
      <c r="J9576" s="19" t="n"/>
      <c r="P9576" s="20" t="n"/>
      <c r="Q9576" s="19" t="n"/>
      <c r="R9576" s="19" t="n"/>
      <c r="Y9576" s="19" t="n"/>
    </row>
    <row r="9577">
      <c r="C9577" s="18" t="n"/>
      <c r="J9577" s="19" t="n"/>
      <c r="P9577" s="20" t="n"/>
      <c r="Q9577" s="19" t="n"/>
      <c r="R9577" s="19" t="n"/>
      <c r="Y9577" s="19" t="n"/>
    </row>
    <row r="9578">
      <c r="C9578" s="18" t="n"/>
      <c r="J9578" s="19" t="n"/>
      <c r="P9578" s="20" t="n"/>
      <c r="Q9578" s="19" t="n"/>
      <c r="R9578" s="19" t="n"/>
      <c r="Y9578" s="19" t="n"/>
    </row>
    <row r="9579">
      <c r="C9579" s="18" t="n"/>
      <c r="J9579" s="19" t="n"/>
      <c r="P9579" s="20" t="n"/>
      <c r="Q9579" s="19" t="n"/>
      <c r="R9579" s="19" t="n"/>
      <c r="Y9579" s="19" t="n"/>
    </row>
    <row r="9580">
      <c r="C9580" s="18" t="n"/>
      <c r="J9580" s="19" t="n"/>
      <c r="P9580" s="20" t="n"/>
      <c r="Q9580" s="19" t="n"/>
      <c r="R9580" s="19" t="n"/>
      <c r="Y9580" s="19" t="n"/>
    </row>
    <row r="9581">
      <c r="C9581" s="18" t="n"/>
      <c r="J9581" s="19" t="n"/>
      <c r="P9581" s="20" t="n"/>
      <c r="Q9581" s="19" t="n"/>
      <c r="R9581" s="19" t="n"/>
      <c r="Y9581" s="19" t="n"/>
    </row>
    <row r="9582">
      <c r="C9582" s="18" t="n"/>
      <c r="J9582" s="19" t="n"/>
      <c r="P9582" s="20" t="n"/>
      <c r="Q9582" s="19" t="n"/>
      <c r="R9582" s="19" t="n"/>
      <c r="Y9582" s="19" t="n"/>
    </row>
    <row r="9583">
      <c r="C9583" s="18" t="n"/>
      <c r="J9583" s="19" t="n"/>
      <c r="P9583" s="20" t="n"/>
      <c r="Q9583" s="19" t="n"/>
      <c r="R9583" s="19" t="n"/>
      <c r="Y9583" s="19" t="n"/>
    </row>
    <row r="9584">
      <c r="C9584" s="18" t="n"/>
      <c r="J9584" s="19" t="n"/>
      <c r="P9584" s="20" t="n"/>
      <c r="Q9584" s="19" t="n"/>
      <c r="R9584" s="19" t="n"/>
      <c r="Y9584" s="19" t="n"/>
    </row>
    <row r="9585">
      <c r="C9585" s="18" t="n"/>
      <c r="J9585" s="19" t="n"/>
      <c r="P9585" s="20" t="n"/>
      <c r="Q9585" s="19" t="n"/>
      <c r="R9585" s="19" t="n"/>
      <c r="Y9585" s="19" t="n"/>
    </row>
    <row r="9586">
      <c r="C9586" s="18" t="n"/>
      <c r="J9586" s="19" t="n"/>
      <c r="P9586" s="20" t="n"/>
      <c r="Q9586" s="19" t="n"/>
      <c r="R9586" s="19" t="n"/>
      <c r="Y9586" s="19" t="n"/>
    </row>
    <row r="9587">
      <c r="C9587" s="18" t="n"/>
      <c r="J9587" s="19" t="n"/>
      <c r="P9587" s="20" t="n"/>
      <c r="Q9587" s="19" t="n"/>
      <c r="R9587" s="19" t="n"/>
      <c r="Y9587" s="19" t="n"/>
    </row>
    <row r="9588">
      <c r="C9588" s="18" t="n"/>
      <c r="J9588" s="19" t="n"/>
      <c r="P9588" s="20" t="n"/>
      <c r="Q9588" s="19" t="n"/>
      <c r="R9588" s="19" t="n"/>
      <c r="Y9588" s="19" t="n"/>
    </row>
    <row r="9589">
      <c r="C9589" s="18" t="n"/>
      <c r="J9589" s="19" t="n"/>
      <c r="P9589" s="20" t="n"/>
      <c r="Q9589" s="19" t="n"/>
      <c r="R9589" s="19" t="n"/>
      <c r="Y9589" s="19" t="n"/>
    </row>
    <row r="9590">
      <c r="C9590" s="18" t="n"/>
      <c r="J9590" s="19" t="n"/>
      <c r="P9590" s="20" t="n"/>
      <c r="Q9590" s="19" t="n"/>
      <c r="R9590" s="19" t="n"/>
      <c r="Y9590" s="19" t="n"/>
    </row>
    <row r="9591">
      <c r="C9591" s="18" t="n"/>
      <c r="J9591" s="19" t="n"/>
      <c r="P9591" s="20" t="n"/>
      <c r="Q9591" s="19" t="n"/>
      <c r="R9591" s="19" t="n"/>
      <c r="Y9591" s="19" t="n"/>
    </row>
    <row r="9592">
      <c r="C9592" s="18" t="n"/>
      <c r="J9592" s="19" t="n"/>
      <c r="P9592" s="20" t="n"/>
      <c r="Q9592" s="19" t="n"/>
      <c r="R9592" s="19" t="n"/>
      <c r="Y9592" s="19" t="n"/>
    </row>
    <row r="9593">
      <c r="C9593" s="18" t="n"/>
      <c r="J9593" s="19" t="n"/>
      <c r="P9593" s="20" t="n"/>
      <c r="Q9593" s="19" t="n"/>
      <c r="R9593" s="19" t="n"/>
      <c r="Y9593" s="19" t="n"/>
    </row>
    <row r="9594">
      <c r="C9594" s="18" t="n"/>
      <c r="J9594" s="19" t="n"/>
      <c r="P9594" s="20" t="n"/>
      <c r="Q9594" s="19" t="n"/>
      <c r="R9594" s="19" t="n"/>
      <c r="Y9594" s="19" t="n"/>
    </row>
    <row r="9595">
      <c r="C9595" s="18" t="n"/>
      <c r="J9595" s="19" t="n"/>
      <c r="P9595" s="20" t="n"/>
      <c r="Q9595" s="19" t="n"/>
      <c r="R9595" s="19" t="n"/>
      <c r="Y9595" s="19" t="n"/>
    </row>
    <row r="9596">
      <c r="C9596" s="18" t="n"/>
      <c r="J9596" s="19" t="n"/>
      <c r="P9596" s="20" t="n"/>
      <c r="Q9596" s="19" t="n"/>
      <c r="R9596" s="19" t="n"/>
      <c r="Y9596" s="19" t="n"/>
    </row>
    <row r="9597">
      <c r="C9597" s="18" t="n"/>
      <c r="J9597" s="19" t="n"/>
      <c r="P9597" s="20" t="n"/>
      <c r="Q9597" s="19" t="n"/>
      <c r="R9597" s="19" t="n"/>
      <c r="Y9597" s="19" t="n"/>
    </row>
    <row r="9598">
      <c r="C9598" s="18" t="n"/>
      <c r="J9598" s="19" t="n"/>
      <c r="P9598" s="20" t="n"/>
      <c r="Q9598" s="19" t="n"/>
      <c r="R9598" s="19" t="n"/>
      <c r="Y9598" s="19" t="n"/>
    </row>
    <row r="9599">
      <c r="C9599" s="18" t="n"/>
      <c r="J9599" s="19" t="n"/>
      <c r="P9599" s="20" t="n"/>
      <c r="Q9599" s="19" t="n"/>
      <c r="R9599" s="19" t="n"/>
      <c r="Y9599" s="19" t="n"/>
    </row>
    <row r="9600">
      <c r="C9600" s="18" t="n"/>
      <c r="J9600" s="19" t="n"/>
      <c r="P9600" s="20" t="n"/>
      <c r="Q9600" s="19" t="n"/>
      <c r="R9600" s="19" t="n"/>
      <c r="Y9600" s="19" t="n"/>
    </row>
    <row r="9601">
      <c r="C9601" s="18" t="n"/>
      <c r="J9601" s="19" t="n"/>
      <c r="P9601" s="20" t="n"/>
      <c r="Q9601" s="19" t="n"/>
      <c r="R9601" s="19" t="n"/>
      <c r="Y9601" s="19" t="n"/>
    </row>
    <row r="9602">
      <c r="C9602" s="18" t="n"/>
      <c r="J9602" s="19" t="n"/>
      <c r="P9602" s="20" t="n"/>
      <c r="Q9602" s="19" t="n"/>
      <c r="R9602" s="19" t="n"/>
      <c r="Y9602" s="19" t="n"/>
    </row>
    <row r="9603">
      <c r="C9603" s="18" t="n"/>
      <c r="J9603" s="19" t="n"/>
      <c r="P9603" s="20" t="n"/>
      <c r="Q9603" s="19" t="n"/>
      <c r="R9603" s="19" t="n"/>
      <c r="Y9603" s="19" t="n"/>
    </row>
    <row r="9604">
      <c r="C9604" s="18" t="n"/>
      <c r="J9604" s="19" t="n"/>
      <c r="P9604" s="20" t="n"/>
      <c r="Q9604" s="19" t="n"/>
      <c r="R9604" s="19" t="n"/>
      <c r="Y9604" s="19" t="n"/>
    </row>
    <row r="9605">
      <c r="C9605" s="18" t="n"/>
      <c r="J9605" s="19" t="n"/>
      <c r="P9605" s="20" t="n"/>
      <c r="Q9605" s="19" t="n"/>
      <c r="R9605" s="19" t="n"/>
      <c r="Y9605" s="19" t="n"/>
    </row>
    <row r="9606">
      <c r="C9606" s="18" t="n"/>
      <c r="J9606" s="19" t="n"/>
      <c r="P9606" s="20" t="n"/>
      <c r="Q9606" s="19" t="n"/>
      <c r="R9606" s="19" t="n"/>
      <c r="Y9606" s="19" t="n"/>
    </row>
    <row r="9607">
      <c r="C9607" s="18" t="n"/>
      <c r="J9607" s="19" t="n"/>
      <c r="P9607" s="20" t="n"/>
      <c r="Q9607" s="19" t="n"/>
      <c r="R9607" s="19" t="n"/>
      <c r="Y9607" s="19" t="n"/>
    </row>
    <row r="9608">
      <c r="C9608" s="18" t="n"/>
      <c r="J9608" s="19" t="n"/>
      <c r="P9608" s="20" t="n"/>
      <c r="Q9608" s="19" t="n"/>
      <c r="R9608" s="19" t="n"/>
      <c r="Y9608" s="19" t="n"/>
    </row>
    <row r="9609">
      <c r="C9609" s="18" t="n"/>
      <c r="J9609" s="19" t="n"/>
      <c r="P9609" s="20" t="n"/>
      <c r="Q9609" s="19" t="n"/>
      <c r="R9609" s="19" t="n"/>
      <c r="Y9609" s="19" t="n"/>
    </row>
    <row r="9610">
      <c r="C9610" s="18" t="n"/>
      <c r="J9610" s="19" t="n"/>
      <c r="P9610" s="20" t="n"/>
      <c r="Q9610" s="19" t="n"/>
      <c r="R9610" s="19" t="n"/>
      <c r="Y9610" s="19" t="n"/>
    </row>
    <row r="9611">
      <c r="C9611" s="18" t="n"/>
      <c r="J9611" s="19" t="n"/>
      <c r="P9611" s="20" t="n"/>
      <c r="Q9611" s="19" t="n"/>
      <c r="R9611" s="19" t="n"/>
      <c r="Y9611" s="19" t="n"/>
    </row>
    <row r="9612">
      <c r="C9612" s="18" t="n"/>
      <c r="J9612" s="19" t="n"/>
      <c r="P9612" s="20" t="n"/>
      <c r="Q9612" s="19" t="n"/>
      <c r="R9612" s="19" t="n"/>
      <c r="Y9612" s="19" t="n"/>
    </row>
    <row r="9613">
      <c r="C9613" s="18" t="n"/>
      <c r="J9613" s="19" t="n"/>
      <c r="P9613" s="20" t="n"/>
      <c r="Q9613" s="19" t="n"/>
      <c r="R9613" s="19" t="n"/>
      <c r="Y9613" s="19" t="n"/>
    </row>
    <row r="9614">
      <c r="C9614" s="18" t="n"/>
      <c r="J9614" s="19" t="n"/>
      <c r="P9614" s="20" t="n"/>
      <c r="Q9614" s="19" t="n"/>
      <c r="R9614" s="19" t="n"/>
      <c r="Y9614" s="19" t="n"/>
    </row>
    <row r="9615">
      <c r="C9615" s="18" t="n"/>
      <c r="J9615" s="19" t="n"/>
      <c r="P9615" s="20" t="n"/>
      <c r="Q9615" s="19" t="n"/>
      <c r="R9615" s="19" t="n"/>
      <c r="Y9615" s="19" t="n"/>
    </row>
    <row r="9616">
      <c r="C9616" s="18" t="n"/>
      <c r="J9616" s="19" t="n"/>
      <c r="P9616" s="20" t="n"/>
      <c r="Q9616" s="19" t="n"/>
      <c r="R9616" s="19" t="n"/>
      <c r="Y9616" s="19" t="n"/>
    </row>
    <row r="9617">
      <c r="C9617" s="18" t="n"/>
      <c r="J9617" s="19" t="n"/>
      <c r="P9617" s="20" t="n"/>
      <c r="Q9617" s="19" t="n"/>
      <c r="R9617" s="19" t="n"/>
      <c r="Y9617" s="19" t="n"/>
    </row>
    <row r="9618">
      <c r="C9618" s="18" t="n"/>
      <c r="J9618" s="19" t="n"/>
      <c r="P9618" s="20" t="n"/>
      <c r="Q9618" s="19" t="n"/>
      <c r="R9618" s="19" t="n"/>
      <c r="Y9618" s="19" t="n"/>
    </row>
    <row r="9619">
      <c r="C9619" s="18" t="n"/>
      <c r="J9619" s="19" t="n"/>
      <c r="P9619" s="20" t="n"/>
      <c r="Q9619" s="19" t="n"/>
      <c r="R9619" s="19" t="n"/>
      <c r="Y9619" s="19" t="n"/>
    </row>
    <row r="9620">
      <c r="C9620" s="18" t="n"/>
      <c r="J9620" s="19" t="n"/>
      <c r="P9620" s="20" t="n"/>
      <c r="Q9620" s="19" t="n"/>
      <c r="R9620" s="19" t="n"/>
      <c r="Y9620" s="19" t="n"/>
    </row>
    <row r="9621">
      <c r="C9621" s="18" t="n"/>
      <c r="J9621" s="19" t="n"/>
      <c r="P9621" s="20" t="n"/>
      <c r="Q9621" s="19" t="n"/>
      <c r="R9621" s="19" t="n"/>
      <c r="Y9621" s="19" t="n"/>
    </row>
    <row r="9622">
      <c r="C9622" s="18" t="n"/>
      <c r="J9622" s="19" t="n"/>
      <c r="P9622" s="20" t="n"/>
      <c r="Q9622" s="19" t="n"/>
      <c r="R9622" s="19" t="n"/>
      <c r="Y9622" s="19" t="n"/>
    </row>
    <row r="9623">
      <c r="C9623" s="18" t="n"/>
      <c r="J9623" s="19" t="n"/>
      <c r="P9623" s="20" t="n"/>
      <c r="Q9623" s="19" t="n"/>
      <c r="R9623" s="19" t="n"/>
      <c r="Y9623" s="19" t="n"/>
    </row>
    <row r="9624">
      <c r="C9624" s="18" t="n"/>
      <c r="J9624" s="19" t="n"/>
      <c r="P9624" s="20" t="n"/>
      <c r="Q9624" s="19" t="n"/>
      <c r="R9624" s="19" t="n"/>
      <c r="Y9624" s="19" t="n"/>
    </row>
    <row r="9625">
      <c r="C9625" s="18" t="n"/>
      <c r="J9625" s="19" t="n"/>
      <c r="P9625" s="20" t="n"/>
      <c r="Q9625" s="19" t="n"/>
      <c r="R9625" s="19" t="n"/>
      <c r="Y9625" s="19" t="n"/>
    </row>
    <row r="9626">
      <c r="C9626" s="18" t="n"/>
      <c r="J9626" s="19" t="n"/>
      <c r="P9626" s="20" t="n"/>
      <c r="Q9626" s="19" t="n"/>
      <c r="R9626" s="19" t="n"/>
      <c r="Y9626" s="19" t="n"/>
    </row>
    <row r="9627">
      <c r="C9627" s="18" t="n"/>
      <c r="J9627" s="19" t="n"/>
      <c r="P9627" s="20" t="n"/>
      <c r="Q9627" s="19" t="n"/>
      <c r="R9627" s="19" t="n"/>
      <c r="Y9627" s="19" t="n"/>
    </row>
    <row r="9628">
      <c r="C9628" s="18" t="n"/>
      <c r="J9628" s="19" t="n"/>
      <c r="P9628" s="20" t="n"/>
      <c r="Q9628" s="19" t="n"/>
      <c r="R9628" s="19" t="n"/>
      <c r="Y9628" s="19" t="n"/>
    </row>
    <row r="9629">
      <c r="C9629" s="18" t="n"/>
      <c r="J9629" s="19" t="n"/>
      <c r="P9629" s="20" t="n"/>
      <c r="Q9629" s="19" t="n"/>
      <c r="R9629" s="19" t="n"/>
      <c r="Y9629" s="19" t="n"/>
    </row>
    <row r="9630">
      <c r="C9630" s="18" t="n"/>
      <c r="J9630" s="19" t="n"/>
      <c r="P9630" s="20" t="n"/>
      <c r="Q9630" s="19" t="n"/>
      <c r="R9630" s="19" t="n"/>
      <c r="Y9630" s="19" t="n"/>
    </row>
    <row r="9631">
      <c r="C9631" s="18" t="n"/>
      <c r="J9631" s="19" t="n"/>
      <c r="P9631" s="20" t="n"/>
      <c r="Q9631" s="19" t="n"/>
      <c r="R9631" s="19" t="n"/>
      <c r="Y9631" s="19" t="n"/>
    </row>
    <row r="9632">
      <c r="C9632" s="18" t="n"/>
      <c r="J9632" s="19" t="n"/>
      <c r="P9632" s="20" t="n"/>
      <c r="Q9632" s="19" t="n"/>
      <c r="R9632" s="19" t="n"/>
      <c r="Y9632" s="19" t="n"/>
    </row>
    <row r="9633">
      <c r="C9633" s="18" t="n"/>
      <c r="J9633" s="19" t="n"/>
      <c r="P9633" s="20" t="n"/>
      <c r="Q9633" s="19" t="n"/>
      <c r="R9633" s="19" t="n"/>
      <c r="Y9633" s="19" t="n"/>
    </row>
    <row r="9634">
      <c r="C9634" s="18" t="n"/>
      <c r="J9634" s="19" t="n"/>
      <c r="P9634" s="20" t="n"/>
      <c r="Q9634" s="19" t="n"/>
      <c r="R9634" s="19" t="n"/>
      <c r="Y9634" s="19" t="n"/>
    </row>
    <row r="9635">
      <c r="C9635" s="18" t="n"/>
      <c r="J9635" s="19" t="n"/>
      <c r="P9635" s="20" t="n"/>
      <c r="Q9635" s="19" t="n"/>
      <c r="R9635" s="19" t="n"/>
      <c r="Y9635" s="19" t="n"/>
    </row>
    <row r="9636">
      <c r="C9636" s="18" t="n"/>
      <c r="J9636" s="19" t="n"/>
      <c r="P9636" s="20" t="n"/>
      <c r="Q9636" s="19" t="n"/>
      <c r="R9636" s="19" t="n"/>
      <c r="Y9636" s="19" t="n"/>
    </row>
    <row r="9637">
      <c r="C9637" s="18" t="n"/>
      <c r="J9637" s="19" t="n"/>
      <c r="P9637" s="20" t="n"/>
      <c r="Q9637" s="19" t="n"/>
      <c r="R9637" s="19" t="n"/>
      <c r="Y9637" s="19" t="n"/>
    </row>
    <row r="9638">
      <c r="C9638" s="18" t="n"/>
      <c r="J9638" s="19" t="n"/>
      <c r="P9638" s="20" t="n"/>
      <c r="Q9638" s="19" t="n"/>
      <c r="R9638" s="19" t="n"/>
      <c r="Y9638" s="19" t="n"/>
    </row>
    <row r="9639">
      <c r="C9639" s="18" t="n"/>
      <c r="J9639" s="19" t="n"/>
      <c r="P9639" s="20" t="n"/>
      <c r="Q9639" s="19" t="n"/>
      <c r="R9639" s="19" t="n"/>
      <c r="Y9639" s="19" t="n"/>
    </row>
    <row r="9640">
      <c r="C9640" s="18" t="n"/>
      <c r="J9640" s="19" t="n"/>
      <c r="P9640" s="20" t="n"/>
      <c r="Q9640" s="19" t="n"/>
      <c r="R9640" s="19" t="n"/>
      <c r="Y9640" s="19" t="n"/>
    </row>
    <row r="9641">
      <c r="C9641" s="18" t="n"/>
      <c r="J9641" s="19" t="n"/>
      <c r="P9641" s="20" t="n"/>
      <c r="Q9641" s="19" t="n"/>
      <c r="R9641" s="19" t="n"/>
      <c r="Y9641" s="19" t="n"/>
    </row>
    <row r="9642">
      <c r="C9642" s="18" t="n"/>
      <c r="J9642" s="19" t="n"/>
      <c r="P9642" s="20" t="n"/>
      <c r="Q9642" s="19" t="n"/>
      <c r="R9642" s="19" t="n"/>
      <c r="Y9642" s="19" t="n"/>
    </row>
    <row r="9643">
      <c r="C9643" s="18" t="n"/>
      <c r="J9643" s="19" t="n"/>
      <c r="P9643" s="20" t="n"/>
      <c r="Q9643" s="19" t="n"/>
      <c r="R9643" s="19" t="n"/>
      <c r="Y9643" s="19" t="n"/>
    </row>
    <row r="9644">
      <c r="C9644" s="18" t="n"/>
      <c r="J9644" s="19" t="n"/>
      <c r="P9644" s="20" t="n"/>
      <c r="Q9644" s="19" t="n"/>
      <c r="R9644" s="19" t="n"/>
      <c r="Y9644" s="19" t="n"/>
    </row>
    <row r="9645">
      <c r="C9645" s="18" t="n"/>
      <c r="J9645" s="19" t="n"/>
      <c r="P9645" s="20" t="n"/>
      <c r="Q9645" s="19" t="n"/>
      <c r="R9645" s="19" t="n"/>
      <c r="Y9645" s="19" t="n"/>
    </row>
    <row r="9646">
      <c r="C9646" s="18" t="n"/>
      <c r="J9646" s="19" t="n"/>
      <c r="P9646" s="20" t="n"/>
      <c r="Q9646" s="19" t="n"/>
      <c r="R9646" s="19" t="n"/>
      <c r="Y9646" s="19" t="n"/>
    </row>
    <row r="9647">
      <c r="C9647" s="18" t="n"/>
      <c r="J9647" s="19" t="n"/>
      <c r="P9647" s="20" t="n"/>
      <c r="Q9647" s="19" t="n"/>
      <c r="R9647" s="19" t="n"/>
      <c r="Y9647" s="19" t="n"/>
    </row>
    <row r="9648">
      <c r="C9648" s="18" t="n"/>
      <c r="J9648" s="19" t="n"/>
      <c r="P9648" s="20" t="n"/>
      <c r="Q9648" s="19" t="n"/>
      <c r="R9648" s="19" t="n"/>
      <c r="Y9648" s="19" t="n"/>
    </row>
    <row r="9649">
      <c r="C9649" s="18" t="n"/>
      <c r="J9649" s="19" t="n"/>
      <c r="P9649" s="20" t="n"/>
      <c r="Q9649" s="19" t="n"/>
      <c r="R9649" s="19" t="n"/>
      <c r="Y9649" s="19" t="n"/>
    </row>
    <row r="9650">
      <c r="C9650" s="18" t="n"/>
      <c r="J9650" s="19" t="n"/>
      <c r="P9650" s="20" t="n"/>
      <c r="Q9650" s="19" t="n"/>
      <c r="R9650" s="19" t="n"/>
      <c r="Y9650" s="19" t="n"/>
    </row>
    <row r="9651">
      <c r="C9651" s="18" t="n"/>
      <c r="J9651" s="19" t="n"/>
      <c r="P9651" s="20" t="n"/>
      <c r="Q9651" s="19" t="n"/>
      <c r="R9651" s="19" t="n"/>
      <c r="Y9651" s="19" t="n"/>
    </row>
    <row r="9652">
      <c r="C9652" s="18" t="n"/>
      <c r="J9652" s="19" t="n"/>
      <c r="P9652" s="20" t="n"/>
      <c r="Q9652" s="19" t="n"/>
      <c r="R9652" s="19" t="n"/>
      <c r="Y9652" s="19" t="n"/>
    </row>
    <row r="9653">
      <c r="C9653" s="18" t="n"/>
      <c r="J9653" s="19" t="n"/>
      <c r="P9653" s="20" t="n"/>
      <c r="Q9653" s="19" t="n"/>
      <c r="R9653" s="19" t="n"/>
      <c r="Y9653" s="19" t="n"/>
    </row>
    <row r="9654">
      <c r="C9654" s="18" t="n"/>
      <c r="J9654" s="19" t="n"/>
      <c r="P9654" s="20" t="n"/>
      <c r="Q9654" s="19" t="n"/>
      <c r="R9654" s="19" t="n"/>
      <c r="Y9654" s="19" t="n"/>
    </row>
    <row r="9655">
      <c r="C9655" s="18" t="n"/>
      <c r="J9655" s="19" t="n"/>
      <c r="P9655" s="20" t="n"/>
      <c r="Q9655" s="19" t="n"/>
      <c r="R9655" s="19" t="n"/>
      <c r="Y9655" s="19" t="n"/>
    </row>
    <row r="9656">
      <c r="C9656" s="18" t="n"/>
      <c r="J9656" s="19" t="n"/>
      <c r="P9656" s="20" t="n"/>
      <c r="Q9656" s="19" t="n"/>
      <c r="R9656" s="19" t="n"/>
      <c r="Y9656" s="19" t="n"/>
    </row>
    <row r="9657">
      <c r="C9657" s="18" t="n"/>
      <c r="J9657" s="19" t="n"/>
      <c r="P9657" s="20" t="n"/>
      <c r="Q9657" s="19" t="n"/>
      <c r="R9657" s="19" t="n"/>
      <c r="Y9657" s="19" t="n"/>
    </row>
    <row r="9658">
      <c r="C9658" s="18" t="n"/>
      <c r="J9658" s="19" t="n"/>
      <c r="P9658" s="20" t="n"/>
      <c r="Q9658" s="19" t="n"/>
      <c r="R9658" s="19" t="n"/>
      <c r="Y9658" s="19" t="n"/>
    </row>
    <row r="9659">
      <c r="C9659" s="18" t="n"/>
      <c r="J9659" s="19" t="n"/>
      <c r="P9659" s="20" t="n"/>
      <c r="Q9659" s="19" t="n"/>
      <c r="R9659" s="19" t="n"/>
      <c r="Y9659" s="19" t="n"/>
    </row>
    <row r="9660">
      <c r="C9660" s="18" t="n"/>
      <c r="J9660" s="19" t="n"/>
      <c r="P9660" s="20" t="n"/>
      <c r="Q9660" s="19" t="n"/>
      <c r="R9660" s="19" t="n"/>
      <c r="Y9660" s="19" t="n"/>
    </row>
    <row r="9661">
      <c r="C9661" s="18" t="n"/>
      <c r="J9661" s="19" t="n"/>
      <c r="P9661" s="20" t="n"/>
      <c r="Q9661" s="19" t="n"/>
      <c r="R9661" s="19" t="n"/>
      <c r="Y9661" s="19" t="n"/>
    </row>
    <row r="9662">
      <c r="C9662" s="18" t="n"/>
      <c r="J9662" s="19" t="n"/>
      <c r="P9662" s="20" t="n"/>
      <c r="Q9662" s="19" t="n"/>
      <c r="R9662" s="19" t="n"/>
      <c r="Y9662" s="19" t="n"/>
    </row>
    <row r="9663">
      <c r="C9663" s="18" t="n"/>
      <c r="J9663" s="19" t="n"/>
      <c r="P9663" s="20" t="n"/>
      <c r="Q9663" s="19" t="n"/>
      <c r="R9663" s="19" t="n"/>
      <c r="Y9663" s="19" t="n"/>
    </row>
    <row r="9664">
      <c r="C9664" s="18" t="n"/>
      <c r="J9664" s="19" t="n"/>
      <c r="P9664" s="20" t="n"/>
      <c r="Q9664" s="19" t="n"/>
      <c r="R9664" s="19" t="n"/>
      <c r="Y9664" s="19" t="n"/>
    </row>
    <row r="9665">
      <c r="C9665" s="18" t="n"/>
      <c r="J9665" s="19" t="n"/>
      <c r="P9665" s="20" t="n"/>
      <c r="Q9665" s="19" t="n"/>
      <c r="R9665" s="19" t="n"/>
      <c r="Y9665" s="19" t="n"/>
    </row>
    <row r="9666">
      <c r="C9666" s="18" t="n"/>
      <c r="J9666" s="19" t="n"/>
      <c r="P9666" s="20" t="n"/>
      <c r="Q9666" s="19" t="n"/>
      <c r="R9666" s="19" t="n"/>
      <c r="Y9666" s="19" t="n"/>
    </row>
    <row r="9667">
      <c r="C9667" s="18" t="n"/>
      <c r="J9667" s="19" t="n"/>
      <c r="P9667" s="20" t="n"/>
      <c r="Q9667" s="19" t="n"/>
      <c r="R9667" s="19" t="n"/>
      <c r="Y9667" s="19" t="n"/>
    </row>
    <row r="9668">
      <c r="C9668" s="18" t="n"/>
      <c r="J9668" s="19" t="n"/>
      <c r="P9668" s="20" t="n"/>
      <c r="Q9668" s="19" t="n"/>
      <c r="R9668" s="19" t="n"/>
      <c r="Y9668" s="19" t="n"/>
    </row>
    <row r="9669">
      <c r="C9669" s="18" t="n"/>
      <c r="J9669" s="19" t="n"/>
      <c r="P9669" s="20" t="n"/>
      <c r="Q9669" s="19" t="n"/>
      <c r="R9669" s="19" t="n"/>
      <c r="Y9669" s="19" t="n"/>
    </row>
    <row r="9670">
      <c r="C9670" s="18" t="n"/>
      <c r="J9670" s="19" t="n"/>
      <c r="P9670" s="20" t="n"/>
      <c r="Q9670" s="19" t="n"/>
      <c r="R9670" s="19" t="n"/>
      <c r="Y9670" s="19" t="n"/>
    </row>
    <row r="9671">
      <c r="C9671" s="18" t="n"/>
      <c r="J9671" s="19" t="n"/>
      <c r="P9671" s="20" t="n"/>
      <c r="Q9671" s="19" t="n"/>
      <c r="R9671" s="19" t="n"/>
      <c r="Y9671" s="19" t="n"/>
    </row>
    <row r="9672">
      <c r="C9672" s="18" t="n"/>
      <c r="J9672" s="19" t="n"/>
      <c r="P9672" s="20" t="n"/>
      <c r="Q9672" s="19" t="n"/>
      <c r="R9672" s="19" t="n"/>
      <c r="Y9672" s="19" t="n"/>
    </row>
    <row r="9673">
      <c r="C9673" s="18" t="n"/>
      <c r="J9673" s="19" t="n"/>
      <c r="P9673" s="20" t="n"/>
      <c r="Q9673" s="19" t="n"/>
      <c r="R9673" s="19" t="n"/>
      <c r="Y9673" s="19" t="n"/>
    </row>
    <row r="9674">
      <c r="C9674" s="18" t="n"/>
      <c r="J9674" s="19" t="n"/>
      <c r="P9674" s="20" t="n"/>
      <c r="Q9674" s="19" t="n"/>
      <c r="R9674" s="19" t="n"/>
      <c r="Y9674" s="19" t="n"/>
    </row>
    <row r="9675">
      <c r="C9675" s="18" t="n"/>
      <c r="J9675" s="19" t="n"/>
      <c r="P9675" s="20" t="n"/>
      <c r="Q9675" s="19" t="n"/>
      <c r="R9675" s="19" t="n"/>
      <c r="Y9675" s="19" t="n"/>
    </row>
    <row r="9676">
      <c r="C9676" s="18" t="n"/>
      <c r="J9676" s="19" t="n"/>
      <c r="P9676" s="20" t="n"/>
      <c r="Q9676" s="19" t="n"/>
      <c r="R9676" s="19" t="n"/>
      <c r="Y9676" s="19" t="n"/>
    </row>
    <row r="9677">
      <c r="C9677" s="18" t="n"/>
      <c r="J9677" s="19" t="n"/>
      <c r="P9677" s="20" t="n"/>
      <c r="Q9677" s="19" t="n"/>
      <c r="R9677" s="19" t="n"/>
      <c r="Y9677" s="19" t="n"/>
    </row>
    <row r="9678">
      <c r="C9678" s="18" t="n"/>
      <c r="J9678" s="19" t="n"/>
      <c r="P9678" s="20" t="n"/>
      <c r="Q9678" s="19" t="n"/>
      <c r="R9678" s="19" t="n"/>
      <c r="Y9678" s="19" t="n"/>
    </row>
    <row r="9679">
      <c r="C9679" s="18" t="n"/>
      <c r="J9679" s="19" t="n"/>
      <c r="P9679" s="20" t="n"/>
      <c r="Q9679" s="19" t="n"/>
      <c r="R9679" s="19" t="n"/>
      <c r="Y9679" s="19" t="n"/>
    </row>
    <row r="9680">
      <c r="C9680" s="18" t="n"/>
      <c r="J9680" s="19" t="n"/>
      <c r="P9680" s="20" t="n"/>
      <c r="Q9680" s="19" t="n"/>
      <c r="R9680" s="19" t="n"/>
      <c r="Y9680" s="19" t="n"/>
    </row>
    <row r="9681">
      <c r="C9681" s="18" t="n"/>
      <c r="J9681" s="19" t="n"/>
      <c r="P9681" s="20" t="n"/>
      <c r="Q9681" s="19" t="n"/>
      <c r="R9681" s="19" t="n"/>
      <c r="Y9681" s="19" t="n"/>
    </row>
    <row r="9682">
      <c r="C9682" s="18" t="n"/>
      <c r="J9682" s="19" t="n"/>
      <c r="P9682" s="20" t="n"/>
      <c r="Q9682" s="19" t="n"/>
      <c r="R9682" s="19" t="n"/>
      <c r="Y9682" s="19" t="n"/>
    </row>
    <row r="9683">
      <c r="C9683" s="18" t="n"/>
      <c r="J9683" s="19" t="n"/>
      <c r="P9683" s="20" t="n"/>
      <c r="Q9683" s="19" t="n"/>
      <c r="R9683" s="19" t="n"/>
      <c r="Y9683" s="19" t="n"/>
    </row>
    <row r="9684">
      <c r="C9684" s="18" t="n"/>
      <c r="J9684" s="19" t="n"/>
      <c r="P9684" s="20" t="n"/>
      <c r="Q9684" s="19" t="n"/>
      <c r="R9684" s="19" t="n"/>
      <c r="Y9684" s="19" t="n"/>
    </row>
    <row r="9685">
      <c r="C9685" s="18" t="n"/>
      <c r="J9685" s="19" t="n"/>
      <c r="P9685" s="20" t="n"/>
      <c r="Q9685" s="19" t="n"/>
      <c r="R9685" s="19" t="n"/>
      <c r="Y9685" s="19" t="n"/>
    </row>
    <row r="9686">
      <c r="C9686" s="18" t="n"/>
      <c r="J9686" s="19" t="n"/>
      <c r="P9686" s="20" t="n"/>
      <c r="Q9686" s="19" t="n"/>
      <c r="R9686" s="19" t="n"/>
      <c r="Y9686" s="19" t="n"/>
    </row>
    <row r="9687">
      <c r="C9687" s="18" t="n"/>
      <c r="J9687" s="19" t="n"/>
      <c r="P9687" s="20" t="n"/>
      <c r="Q9687" s="19" t="n"/>
      <c r="R9687" s="19" t="n"/>
      <c r="Y9687" s="19" t="n"/>
    </row>
    <row r="9688">
      <c r="C9688" s="18" t="n"/>
      <c r="J9688" s="19" t="n"/>
      <c r="P9688" s="20" t="n"/>
      <c r="Q9688" s="19" t="n"/>
      <c r="R9688" s="19" t="n"/>
      <c r="Y9688" s="19" t="n"/>
    </row>
    <row r="9689">
      <c r="C9689" s="18" t="n"/>
      <c r="J9689" s="19" t="n"/>
      <c r="P9689" s="20" t="n"/>
      <c r="Q9689" s="19" t="n"/>
      <c r="R9689" s="19" t="n"/>
      <c r="Y9689" s="19" t="n"/>
    </row>
    <row r="9690">
      <c r="C9690" s="18" t="n"/>
      <c r="J9690" s="19" t="n"/>
      <c r="P9690" s="20" t="n"/>
      <c r="Q9690" s="19" t="n"/>
      <c r="R9690" s="19" t="n"/>
      <c r="Y9690" s="19" t="n"/>
    </row>
    <row r="9691">
      <c r="C9691" s="18" t="n"/>
      <c r="J9691" s="19" t="n"/>
      <c r="P9691" s="20" t="n"/>
      <c r="Q9691" s="19" t="n"/>
      <c r="R9691" s="19" t="n"/>
      <c r="Y9691" s="19" t="n"/>
    </row>
    <row r="9692">
      <c r="C9692" s="18" t="n"/>
      <c r="J9692" s="19" t="n"/>
      <c r="P9692" s="20" t="n"/>
      <c r="Q9692" s="19" t="n"/>
      <c r="R9692" s="19" t="n"/>
      <c r="Y9692" s="19" t="n"/>
    </row>
    <row r="9693">
      <c r="C9693" s="18" t="n"/>
      <c r="J9693" s="19" t="n"/>
      <c r="P9693" s="20" t="n"/>
      <c r="Q9693" s="19" t="n"/>
      <c r="R9693" s="19" t="n"/>
      <c r="Y9693" s="19" t="n"/>
    </row>
    <row r="9694">
      <c r="C9694" s="18" t="n"/>
      <c r="J9694" s="19" t="n"/>
      <c r="P9694" s="20" t="n"/>
      <c r="Q9694" s="19" t="n"/>
      <c r="R9694" s="19" t="n"/>
      <c r="Y9694" s="19" t="n"/>
    </row>
    <row r="9695">
      <c r="C9695" s="18" t="n"/>
      <c r="J9695" s="19" t="n"/>
      <c r="P9695" s="20" t="n"/>
      <c r="Q9695" s="19" t="n"/>
      <c r="R9695" s="19" t="n"/>
      <c r="Y9695" s="19" t="n"/>
    </row>
    <row r="9696">
      <c r="C9696" s="18" t="n"/>
      <c r="J9696" s="19" t="n"/>
      <c r="P9696" s="20" t="n"/>
      <c r="Q9696" s="19" t="n"/>
      <c r="R9696" s="19" t="n"/>
      <c r="Y9696" s="19" t="n"/>
    </row>
    <row r="9697">
      <c r="C9697" s="18" t="n"/>
      <c r="J9697" s="19" t="n"/>
      <c r="P9697" s="20" t="n"/>
      <c r="Q9697" s="19" t="n"/>
      <c r="R9697" s="19" t="n"/>
      <c r="Y9697" s="19" t="n"/>
    </row>
    <row r="9698">
      <c r="C9698" s="18" t="n"/>
      <c r="J9698" s="19" t="n"/>
      <c r="P9698" s="20" t="n"/>
      <c r="Q9698" s="19" t="n"/>
      <c r="R9698" s="19" t="n"/>
      <c r="Y9698" s="19" t="n"/>
    </row>
    <row r="9699">
      <c r="C9699" s="18" t="n"/>
      <c r="J9699" s="19" t="n"/>
      <c r="P9699" s="20" t="n"/>
      <c r="Q9699" s="19" t="n"/>
      <c r="R9699" s="19" t="n"/>
      <c r="Y9699" s="19" t="n"/>
    </row>
    <row r="9700">
      <c r="C9700" s="18" t="n"/>
      <c r="J9700" s="19" t="n"/>
      <c r="P9700" s="20" t="n"/>
      <c r="Q9700" s="19" t="n"/>
      <c r="R9700" s="19" t="n"/>
      <c r="Y9700" s="19" t="n"/>
    </row>
    <row r="9701">
      <c r="C9701" s="18" t="n"/>
      <c r="J9701" s="19" t="n"/>
      <c r="P9701" s="20" t="n"/>
      <c r="Q9701" s="19" t="n"/>
      <c r="R9701" s="19" t="n"/>
      <c r="Y9701" s="19" t="n"/>
    </row>
    <row r="9702">
      <c r="C9702" s="18" t="n"/>
      <c r="J9702" s="19" t="n"/>
      <c r="P9702" s="20" t="n"/>
      <c r="Q9702" s="19" t="n"/>
      <c r="R9702" s="19" t="n"/>
      <c r="Y9702" s="19" t="n"/>
    </row>
    <row r="9703">
      <c r="C9703" s="18" t="n"/>
      <c r="J9703" s="19" t="n"/>
      <c r="P9703" s="20" t="n"/>
      <c r="Q9703" s="19" t="n"/>
      <c r="R9703" s="19" t="n"/>
      <c r="Y9703" s="19" t="n"/>
    </row>
    <row r="9704">
      <c r="C9704" s="18" t="n"/>
      <c r="J9704" s="19" t="n"/>
      <c r="P9704" s="20" t="n"/>
      <c r="Q9704" s="19" t="n"/>
      <c r="R9704" s="19" t="n"/>
      <c r="Y9704" s="19" t="n"/>
    </row>
    <row r="9705">
      <c r="C9705" s="18" t="n"/>
      <c r="J9705" s="19" t="n"/>
      <c r="P9705" s="20" t="n"/>
      <c r="Q9705" s="19" t="n"/>
      <c r="R9705" s="19" t="n"/>
      <c r="Y9705" s="19" t="n"/>
    </row>
    <row r="9706">
      <c r="C9706" s="18" t="n"/>
      <c r="J9706" s="19" t="n"/>
      <c r="P9706" s="20" t="n"/>
      <c r="Q9706" s="19" t="n"/>
      <c r="R9706" s="19" t="n"/>
      <c r="Y9706" s="19" t="n"/>
    </row>
    <row r="9707">
      <c r="C9707" s="18" t="n"/>
      <c r="J9707" s="19" t="n"/>
      <c r="P9707" s="20" t="n"/>
      <c r="Q9707" s="19" t="n"/>
      <c r="R9707" s="19" t="n"/>
      <c r="Y9707" s="19" t="n"/>
    </row>
    <row r="9708">
      <c r="C9708" s="18" t="n"/>
      <c r="J9708" s="19" t="n"/>
      <c r="P9708" s="20" t="n"/>
      <c r="Q9708" s="19" t="n"/>
      <c r="R9708" s="19" t="n"/>
      <c r="Y9708" s="19" t="n"/>
    </row>
    <row r="9709">
      <c r="C9709" s="18" t="n"/>
      <c r="J9709" s="19" t="n"/>
      <c r="P9709" s="20" t="n"/>
      <c r="Q9709" s="19" t="n"/>
      <c r="R9709" s="19" t="n"/>
      <c r="Y9709" s="19" t="n"/>
    </row>
    <row r="9710">
      <c r="C9710" s="18" t="n"/>
      <c r="J9710" s="19" t="n"/>
      <c r="P9710" s="20" t="n"/>
      <c r="Q9710" s="19" t="n"/>
      <c r="R9710" s="19" t="n"/>
      <c r="Y9710" s="19" t="n"/>
    </row>
    <row r="9711">
      <c r="C9711" s="18" t="n"/>
      <c r="J9711" s="19" t="n"/>
      <c r="P9711" s="20" t="n"/>
      <c r="Q9711" s="19" t="n"/>
      <c r="R9711" s="19" t="n"/>
      <c r="Y9711" s="19" t="n"/>
    </row>
    <row r="9712">
      <c r="C9712" s="18" t="n"/>
      <c r="J9712" s="19" t="n"/>
      <c r="P9712" s="20" t="n"/>
      <c r="Q9712" s="19" t="n"/>
      <c r="R9712" s="19" t="n"/>
      <c r="Y9712" s="19" t="n"/>
    </row>
    <row r="9713">
      <c r="C9713" s="18" t="n"/>
      <c r="J9713" s="19" t="n"/>
      <c r="P9713" s="20" t="n"/>
      <c r="Q9713" s="19" t="n"/>
      <c r="R9713" s="19" t="n"/>
      <c r="Y9713" s="19" t="n"/>
    </row>
    <row r="9714">
      <c r="C9714" s="18" t="n"/>
      <c r="J9714" s="19" t="n"/>
      <c r="P9714" s="20" t="n"/>
      <c r="Q9714" s="19" t="n"/>
      <c r="R9714" s="19" t="n"/>
      <c r="Y9714" s="19" t="n"/>
    </row>
    <row r="9715">
      <c r="C9715" s="18" t="n"/>
      <c r="J9715" s="19" t="n"/>
      <c r="P9715" s="20" t="n"/>
      <c r="Q9715" s="19" t="n"/>
      <c r="R9715" s="19" t="n"/>
      <c r="Y9715" s="19" t="n"/>
    </row>
    <row r="9716">
      <c r="C9716" s="18" t="n"/>
      <c r="J9716" s="19" t="n"/>
      <c r="P9716" s="20" t="n"/>
      <c r="Q9716" s="19" t="n"/>
      <c r="R9716" s="19" t="n"/>
      <c r="Y9716" s="19" t="n"/>
    </row>
    <row r="9717">
      <c r="C9717" s="18" t="n"/>
      <c r="J9717" s="19" t="n"/>
      <c r="P9717" s="20" t="n"/>
      <c r="Q9717" s="19" t="n"/>
      <c r="R9717" s="19" t="n"/>
      <c r="Y9717" s="19" t="n"/>
    </row>
    <row r="9718">
      <c r="C9718" s="18" t="n"/>
      <c r="J9718" s="19" t="n"/>
      <c r="P9718" s="20" t="n"/>
      <c r="Q9718" s="19" t="n"/>
      <c r="R9718" s="19" t="n"/>
      <c r="Y9718" s="19" t="n"/>
    </row>
    <row r="9719">
      <c r="C9719" s="18" t="n"/>
      <c r="J9719" s="19" t="n"/>
      <c r="P9719" s="20" t="n"/>
      <c r="Q9719" s="19" t="n"/>
      <c r="R9719" s="19" t="n"/>
      <c r="Y9719" s="19" t="n"/>
    </row>
    <row r="9720">
      <c r="C9720" s="18" t="n"/>
      <c r="J9720" s="19" t="n"/>
      <c r="P9720" s="20" t="n"/>
      <c r="Q9720" s="19" t="n"/>
      <c r="R9720" s="19" t="n"/>
      <c r="Y9720" s="19" t="n"/>
    </row>
    <row r="9721">
      <c r="C9721" s="18" t="n"/>
      <c r="J9721" s="19" t="n"/>
      <c r="P9721" s="20" t="n"/>
      <c r="Q9721" s="19" t="n"/>
      <c r="R9721" s="19" t="n"/>
      <c r="Y9721" s="19" t="n"/>
    </row>
    <row r="9722">
      <c r="C9722" s="18" t="n"/>
      <c r="J9722" s="19" t="n"/>
      <c r="P9722" s="20" t="n"/>
      <c r="Q9722" s="19" t="n"/>
      <c r="R9722" s="19" t="n"/>
      <c r="Y9722" s="19" t="n"/>
    </row>
    <row r="9723">
      <c r="C9723" s="18" t="n"/>
      <c r="J9723" s="19" t="n"/>
      <c r="P9723" s="20" t="n"/>
      <c r="Q9723" s="19" t="n"/>
      <c r="R9723" s="19" t="n"/>
      <c r="Y9723" s="19" t="n"/>
    </row>
    <row r="9724">
      <c r="C9724" s="18" t="n"/>
      <c r="J9724" s="19" t="n"/>
      <c r="P9724" s="20" t="n"/>
      <c r="Q9724" s="19" t="n"/>
      <c r="R9724" s="19" t="n"/>
      <c r="Y9724" s="19" t="n"/>
    </row>
    <row r="9725">
      <c r="C9725" s="18" t="n"/>
      <c r="J9725" s="19" t="n"/>
      <c r="P9725" s="20" t="n"/>
      <c r="Q9725" s="19" t="n"/>
      <c r="R9725" s="19" t="n"/>
      <c r="Y9725" s="19" t="n"/>
    </row>
    <row r="9726">
      <c r="C9726" s="18" t="n"/>
      <c r="J9726" s="19" t="n"/>
      <c r="P9726" s="20" t="n"/>
      <c r="Q9726" s="19" t="n"/>
      <c r="R9726" s="19" t="n"/>
      <c r="Y9726" s="19" t="n"/>
    </row>
    <row r="9727">
      <c r="C9727" s="18" t="n"/>
      <c r="J9727" s="19" t="n"/>
      <c r="P9727" s="20" t="n"/>
      <c r="Q9727" s="19" t="n"/>
      <c r="R9727" s="19" t="n"/>
      <c r="Y9727" s="19" t="n"/>
    </row>
    <row r="9728">
      <c r="C9728" s="18" t="n"/>
      <c r="J9728" s="19" t="n"/>
      <c r="P9728" s="20" t="n"/>
      <c r="Q9728" s="19" t="n"/>
      <c r="R9728" s="19" t="n"/>
      <c r="Y9728" s="19" t="n"/>
    </row>
    <row r="9729">
      <c r="C9729" s="18" t="n"/>
      <c r="J9729" s="19" t="n"/>
      <c r="P9729" s="20" t="n"/>
      <c r="Q9729" s="19" t="n"/>
      <c r="R9729" s="19" t="n"/>
      <c r="Y9729" s="19" t="n"/>
    </row>
    <row r="9730">
      <c r="C9730" s="18" t="n"/>
      <c r="J9730" s="19" t="n"/>
      <c r="P9730" s="20" t="n"/>
      <c r="Q9730" s="19" t="n"/>
      <c r="R9730" s="19" t="n"/>
      <c r="Y9730" s="19" t="n"/>
    </row>
    <row r="9731">
      <c r="C9731" s="18" t="n"/>
      <c r="J9731" s="19" t="n"/>
      <c r="P9731" s="20" t="n"/>
      <c r="Q9731" s="19" t="n"/>
      <c r="R9731" s="19" t="n"/>
      <c r="Y9731" s="19" t="n"/>
    </row>
    <row r="9732">
      <c r="C9732" s="18" t="n"/>
      <c r="J9732" s="19" t="n"/>
      <c r="P9732" s="20" t="n"/>
      <c r="Q9732" s="19" t="n"/>
      <c r="R9732" s="19" t="n"/>
      <c r="Y9732" s="19" t="n"/>
    </row>
    <row r="9733">
      <c r="C9733" s="18" t="n"/>
      <c r="J9733" s="19" t="n"/>
      <c r="P9733" s="20" t="n"/>
      <c r="Q9733" s="19" t="n"/>
      <c r="R9733" s="19" t="n"/>
      <c r="Y9733" s="19" t="n"/>
    </row>
    <row r="9734">
      <c r="C9734" s="18" t="n"/>
      <c r="J9734" s="19" t="n"/>
      <c r="P9734" s="20" t="n"/>
      <c r="Q9734" s="19" t="n"/>
      <c r="R9734" s="19" t="n"/>
      <c r="Y9734" s="19" t="n"/>
    </row>
    <row r="9735">
      <c r="C9735" s="18" t="n"/>
      <c r="J9735" s="19" t="n"/>
      <c r="P9735" s="20" t="n"/>
      <c r="Q9735" s="19" t="n"/>
      <c r="R9735" s="19" t="n"/>
      <c r="Y9735" s="19" t="n"/>
    </row>
    <row r="9736">
      <c r="C9736" s="18" t="n"/>
      <c r="J9736" s="19" t="n"/>
      <c r="P9736" s="20" t="n"/>
      <c r="Q9736" s="19" t="n"/>
      <c r="R9736" s="19" t="n"/>
      <c r="Y9736" s="19" t="n"/>
    </row>
    <row r="9737">
      <c r="C9737" s="18" t="n"/>
      <c r="J9737" s="19" t="n"/>
      <c r="P9737" s="20" t="n"/>
      <c r="Q9737" s="19" t="n"/>
      <c r="R9737" s="19" t="n"/>
      <c r="Y9737" s="19" t="n"/>
    </row>
    <row r="9738">
      <c r="C9738" s="18" t="n"/>
      <c r="J9738" s="19" t="n"/>
      <c r="P9738" s="20" t="n"/>
      <c r="Q9738" s="19" t="n"/>
      <c r="R9738" s="19" t="n"/>
      <c r="Y9738" s="19" t="n"/>
    </row>
    <row r="9739">
      <c r="C9739" s="18" t="n"/>
      <c r="J9739" s="19" t="n"/>
      <c r="P9739" s="20" t="n"/>
      <c r="Q9739" s="19" t="n"/>
      <c r="R9739" s="19" t="n"/>
      <c r="Y9739" s="19" t="n"/>
    </row>
    <row r="9740">
      <c r="C9740" s="18" t="n"/>
      <c r="J9740" s="19" t="n"/>
      <c r="P9740" s="20" t="n"/>
      <c r="Q9740" s="19" t="n"/>
      <c r="R9740" s="19" t="n"/>
      <c r="Y9740" s="19" t="n"/>
    </row>
    <row r="9741">
      <c r="C9741" s="18" t="n"/>
      <c r="J9741" s="19" t="n"/>
      <c r="P9741" s="20" t="n"/>
      <c r="Q9741" s="19" t="n"/>
      <c r="R9741" s="19" t="n"/>
      <c r="Y9741" s="19" t="n"/>
    </row>
    <row r="9742">
      <c r="C9742" s="18" t="n"/>
      <c r="J9742" s="19" t="n"/>
      <c r="P9742" s="20" t="n"/>
      <c r="Q9742" s="19" t="n"/>
      <c r="R9742" s="19" t="n"/>
      <c r="Y9742" s="19" t="n"/>
    </row>
    <row r="9743">
      <c r="C9743" s="18" t="n"/>
      <c r="J9743" s="19" t="n"/>
      <c r="P9743" s="20" t="n"/>
      <c r="Q9743" s="19" t="n"/>
      <c r="R9743" s="19" t="n"/>
      <c r="Y9743" s="19" t="n"/>
    </row>
    <row r="9744">
      <c r="C9744" s="18" t="n"/>
      <c r="J9744" s="19" t="n"/>
      <c r="P9744" s="20" t="n"/>
      <c r="Q9744" s="19" t="n"/>
      <c r="R9744" s="19" t="n"/>
      <c r="Y9744" s="19" t="n"/>
    </row>
    <row r="9745">
      <c r="C9745" s="18" t="n"/>
      <c r="J9745" s="19" t="n"/>
      <c r="P9745" s="20" t="n"/>
      <c r="Q9745" s="19" t="n"/>
      <c r="R9745" s="19" t="n"/>
      <c r="Y9745" s="19" t="n"/>
    </row>
    <row r="9746">
      <c r="C9746" s="18" t="n"/>
      <c r="J9746" s="19" t="n"/>
      <c r="P9746" s="20" t="n"/>
      <c r="Q9746" s="19" t="n"/>
      <c r="R9746" s="19" t="n"/>
      <c r="Y9746" s="19" t="n"/>
    </row>
    <row r="9747">
      <c r="C9747" s="18" t="n"/>
      <c r="J9747" s="19" t="n"/>
      <c r="P9747" s="20" t="n"/>
      <c r="Q9747" s="19" t="n"/>
      <c r="R9747" s="19" t="n"/>
      <c r="Y9747" s="19" t="n"/>
    </row>
    <row r="9748">
      <c r="C9748" s="18" t="n"/>
      <c r="J9748" s="19" t="n"/>
      <c r="P9748" s="20" t="n"/>
      <c r="Q9748" s="19" t="n"/>
      <c r="R9748" s="19" t="n"/>
      <c r="Y9748" s="19" t="n"/>
    </row>
    <row r="9749">
      <c r="C9749" s="18" t="n"/>
      <c r="J9749" s="19" t="n"/>
      <c r="P9749" s="20" t="n"/>
      <c r="Q9749" s="19" t="n"/>
      <c r="R9749" s="19" t="n"/>
      <c r="Y9749" s="19" t="n"/>
    </row>
    <row r="9750">
      <c r="C9750" s="18" t="n"/>
      <c r="J9750" s="19" t="n"/>
      <c r="P9750" s="20" t="n"/>
      <c r="Q9750" s="19" t="n"/>
      <c r="R9750" s="19" t="n"/>
      <c r="Y9750" s="19" t="n"/>
    </row>
    <row r="9751">
      <c r="C9751" s="18" t="n"/>
      <c r="J9751" s="19" t="n"/>
      <c r="P9751" s="20" t="n"/>
      <c r="Q9751" s="19" t="n"/>
      <c r="R9751" s="19" t="n"/>
      <c r="Y9751" s="19" t="n"/>
    </row>
    <row r="9752">
      <c r="C9752" s="18" t="n"/>
      <c r="J9752" s="19" t="n"/>
      <c r="P9752" s="20" t="n"/>
      <c r="Q9752" s="19" t="n"/>
      <c r="R9752" s="19" t="n"/>
      <c r="Y9752" s="19" t="n"/>
    </row>
    <row r="9753">
      <c r="C9753" s="18" t="n"/>
      <c r="J9753" s="19" t="n"/>
      <c r="P9753" s="20" t="n"/>
      <c r="Q9753" s="19" t="n"/>
      <c r="R9753" s="19" t="n"/>
      <c r="Y9753" s="19" t="n"/>
    </row>
    <row r="9754">
      <c r="C9754" s="18" t="n"/>
      <c r="J9754" s="19" t="n"/>
      <c r="P9754" s="20" t="n"/>
      <c r="Q9754" s="19" t="n"/>
      <c r="R9754" s="19" t="n"/>
      <c r="Y9754" s="19" t="n"/>
    </row>
    <row r="9755">
      <c r="C9755" s="18" t="n"/>
      <c r="J9755" s="19" t="n"/>
      <c r="P9755" s="20" t="n"/>
      <c r="Q9755" s="19" t="n"/>
      <c r="R9755" s="19" t="n"/>
      <c r="Y9755" s="19" t="n"/>
    </row>
    <row r="9756">
      <c r="C9756" s="18" t="n"/>
      <c r="J9756" s="19" t="n"/>
      <c r="P9756" s="20" t="n"/>
      <c r="Q9756" s="19" t="n"/>
      <c r="R9756" s="19" t="n"/>
      <c r="Y9756" s="19" t="n"/>
    </row>
    <row r="9757">
      <c r="C9757" s="18" t="n"/>
      <c r="J9757" s="19" t="n"/>
      <c r="P9757" s="20" t="n"/>
      <c r="Q9757" s="19" t="n"/>
      <c r="R9757" s="19" t="n"/>
      <c r="Y9757" s="19" t="n"/>
    </row>
    <row r="9758">
      <c r="C9758" s="18" t="n"/>
      <c r="J9758" s="19" t="n"/>
      <c r="P9758" s="20" t="n"/>
      <c r="Q9758" s="19" t="n"/>
      <c r="R9758" s="19" t="n"/>
      <c r="Y9758" s="19" t="n"/>
    </row>
    <row r="9759">
      <c r="C9759" s="18" t="n"/>
      <c r="J9759" s="19" t="n"/>
      <c r="P9759" s="20" t="n"/>
      <c r="Q9759" s="19" t="n"/>
      <c r="R9759" s="19" t="n"/>
      <c r="Y9759" s="19" t="n"/>
    </row>
    <row r="9760">
      <c r="C9760" s="18" t="n"/>
      <c r="J9760" s="19" t="n"/>
      <c r="P9760" s="20" t="n"/>
      <c r="Q9760" s="19" t="n"/>
      <c r="R9760" s="19" t="n"/>
      <c r="Y9760" s="19" t="n"/>
    </row>
    <row r="9761">
      <c r="C9761" s="18" t="n"/>
      <c r="J9761" s="19" t="n"/>
      <c r="P9761" s="20" t="n"/>
      <c r="Q9761" s="19" t="n"/>
      <c r="R9761" s="19" t="n"/>
      <c r="Y9761" s="19" t="n"/>
    </row>
    <row r="9762">
      <c r="C9762" s="18" t="n"/>
      <c r="J9762" s="19" t="n"/>
      <c r="P9762" s="20" t="n"/>
      <c r="Q9762" s="19" t="n"/>
      <c r="R9762" s="19" t="n"/>
      <c r="Y9762" s="19" t="n"/>
    </row>
    <row r="9763">
      <c r="C9763" s="18" t="n"/>
      <c r="J9763" s="19" t="n"/>
      <c r="P9763" s="20" t="n"/>
      <c r="Q9763" s="19" t="n"/>
      <c r="R9763" s="19" t="n"/>
      <c r="Y9763" s="19" t="n"/>
    </row>
    <row r="9764">
      <c r="C9764" s="18" t="n"/>
      <c r="J9764" s="19" t="n"/>
      <c r="P9764" s="20" t="n"/>
      <c r="Q9764" s="19" t="n"/>
      <c r="R9764" s="19" t="n"/>
      <c r="Y9764" s="19" t="n"/>
    </row>
    <row r="9765">
      <c r="C9765" s="18" t="n"/>
      <c r="J9765" s="19" t="n"/>
      <c r="P9765" s="20" t="n"/>
      <c r="Q9765" s="19" t="n"/>
      <c r="R9765" s="19" t="n"/>
      <c r="Y9765" s="19" t="n"/>
    </row>
    <row r="9766">
      <c r="C9766" s="18" t="n"/>
      <c r="J9766" s="19" t="n"/>
      <c r="P9766" s="20" t="n"/>
      <c r="Q9766" s="19" t="n"/>
      <c r="R9766" s="19" t="n"/>
      <c r="Y9766" s="19" t="n"/>
    </row>
    <row r="9767">
      <c r="C9767" s="18" t="n"/>
      <c r="J9767" s="19" t="n"/>
      <c r="P9767" s="20" t="n"/>
      <c r="Q9767" s="19" t="n"/>
      <c r="R9767" s="19" t="n"/>
      <c r="Y9767" s="19" t="n"/>
    </row>
    <row r="9768">
      <c r="C9768" s="18" t="n"/>
      <c r="J9768" s="19" t="n"/>
      <c r="P9768" s="20" t="n"/>
      <c r="Q9768" s="19" t="n"/>
      <c r="R9768" s="19" t="n"/>
      <c r="Y9768" s="19" t="n"/>
    </row>
    <row r="9769">
      <c r="C9769" s="18" t="n"/>
      <c r="J9769" s="19" t="n"/>
      <c r="P9769" s="20" t="n"/>
      <c r="Q9769" s="19" t="n"/>
      <c r="R9769" s="19" t="n"/>
      <c r="Y9769" s="19" t="n"/>
    </row>
    <row r="9770">
      <c r="C9770" s="18" t="n"/>
      <c r="J9770" s="19" t="n"/>
      <c r="P9770" s="20" t="n"/>
      <c r="Q9770" s="19" t="n"/>
      <c r="R9770" s="19" t="n"/>
      <c r="Y9770" s="19" t="n"/>
    </row>
    <row r="9771">
      <c r="C9771" s="18" t="n"/>
      <c r="J9771" s="19" t="n"/>
      <c r="P9771" s="20" t="n"/>
      <c r="Q9771" s="19" t="n"/>
      <c r="R9771" s="19" t="n"/>
      <c r="Y9771" s="19" t="n"/>
    </row>
    <row r="9772">
      <c r="C9772" s="18" t="n"/>
      <c r="J9772" s="19" t="n"/>
      <c r="P9772" s="20" t="n"/>
      <c r="Q9772" s="19" t="n"/>
      <c r="R9772" s="19" t="n"/>
      <c r="Y9772" s="19" t="n"/>
    </row>
    <row r="9773">
      <c r="C9773" s="18" t="n"/>
      <c r="J9773" s="19" t="n"/>
      <c r="P9773" s="20" t="n"/>
      <c r="Q9773" s="19" t="n"/>
      <c r="R9773" s="19" t="n"/>
      <c r="Y9773" s="19" t="n"/>
    </row>
    <row r="9774">
      <c r="C9774" s="18" t="n"/>
      <c r="J9774" s="19" t="n"/>
      <c r="P9774" s="20" t="n"/>
      <c r="Q9774" s="19" t="n"/>
      <c r="R9774" s="19" t="n"/>
      <c r="Y9774" s="19" t="n"/>
    </row>
    <row r="9775">
      <c r="C9775" s="18" t="n"/>
      <c r="J9775" s="19" t="n"/>
      <c r="P9775" s="20" t="n"/>
      <c r="Q9775" s="19" t="n"/>
      <c r="R9775" s="19" t="n"/>
      <c r="Y9775" s="19" t="n"/>
    </row>
    <row r="9776">
      <c r="C9776" s="18" t="n"/>
      <c r="J9776" s="19" t="n"/>
      <c r="P9776" s="20" t="n"/>
      <c r="Q9776" s="19" t="n"/>
      <c r="R9776" s="19" t="n"/>
      <c r="Y9776" s="19" t="n"/>
    </row>
    <row r="9777">
      <c r="C9777" s="18" t="n"/>
      <c r="J9777" s="19" t="n"/>
      <c r="P9777" s="20" t="n"/>
      <c r="Q9777" s="19" t="n"/>
      <c r="R9777" s="19" t="n"/>
      <c r="Y9777" s="19" t="n"/>
    </row>
    <row r="9778">
      <c r="C9778" s="18" t="n"/>
      <c r="J9778" s="19" t="n"/>
      <c r="P9778" s="20" t="n"/>
      <c r="Q9778" s="19" t="n"/>
      <c r="R9778" s="19" t="n"/>
      <c r="Y9778" s="19" t="n"/>
    </row>
    <row r="9779">
      <c r="C9779" s="18" t="n"/>
      <c r="J9779" s="19" t="n"/>
      <c r="P9779" s="20" t="n"/>
      <c r="Q9779" s="19" t="n"/>
      <c r="R9779" s="19" t="n"/>
      <c r="Y9779" s="19" t="n"/>
    </row>
    <row r="9780">
      <c r="C9780" s="18" t="n"/>
      <c r="J9780" s="19" t="n"/>
      <c r="P9780" s="20" t="n"/>
      <c r="Q9780" s="19" t="n"/>
      <c r="R9780" s="19" t="n"/>
      <c r="Y9780" s="19" t="n"/>
    </row>
    <row r="9781">
      <c r="C9781" s="18" t="n"/>
      <c r="J9781" s="19" t="n"/>
      <c r="P9781" s="20" t="n"/>
      <c r="Q9781" s="19" t="n"/>
      <c r="R9781" s="19" t="n"/>
      <c r="Y9781" s="19" t="n"/>
    </row>
    <row r="9782">
      <c r="C9782" s="18" t="n"/>
      <c r="J9782" s="19" t="n"/>
      <c r="P9782" s="20" t="n"/>
      <c r="Q9782" s="19" t="n"/>
      <c r="R9782" s="19" t="n"/>
      <c r="Y9782" s="19" t="n"/>
    </row>
    <row r="9783">
      <c r="C9783" s="18" t="n"/>
      <c r="J9783" s="19" t="n"/>
      <c r="P9783" s="20" t="n"/>
      <c r="Q9783" s="19" t="n"/>
      <c r="R9783" s="19" t="n"/>
      <c r="Y9783" s="19" t="n"/>
    </row>
    <row r="9784">
      <c r="C9784" s="18" t="n"/>
      <c r="J9784" s="19" t="n"/>
      <c r="P9784" s="20" t="n"/>
      <c r="Q9784" s="19" t="n"/>
      <c r="R9784" s="19" t="n"/>
      <c r="Y9784" s="19" t="n"/>
    </row>
    <row r="9785">
      <c r="C9785" s="18" t="n"/>
      <c r="J9785" s="19" t="n"/>
      <c r="P9785" s="20" t="n"/>
      <c r="Q9785" s="19" t="n"/>
      <c r="R9785" s="19" t="n"/>
      <c r="Y9785" s="19" t="n"/>
    </row>
    <row r="9786">
      <c r="C9786" s="18" t="n"/>
      <c r="J9786" s="19" t="n"/>
      <c r="P9786" s="20" t="n"/>
      <c r="Q9786" s="19" t="n"/>
      <c r="R9786" s="19" t="n"/>
      <c r="Y9786" s="19" t="n"/>
    </row>
    <row r="9787">
      <c r="C9787" s="18" t="n"/>
      <c r="J9787" s="19" t="n"/>
      <c r="P9787" s="20" t="n"/>
      <c r="Q9787" s="19" t="n"/>
      <c r="R9787" s="19" t="n"/>
      <c r="Y9787" s="19" t="n"/>
    </row>
    <row r="9788">
      <c r="C9788" s="18" t="n"/>
      <c r="J9788" s="19" t="n"/>
      <c r="P9788" s="20" t="n"/>
      <c r="Q9788" s="19" t="n"/>
      <c r="R9788" s="19" t="n"/>
      <c r="Y9788" s="19" t="n"/>
    </row>
    <row r="9789">
      <c r="C9789" s="18" t="n"/>
      <c r="J9789" s="19" t="n"/>
      <c r="P9789" s="20" t="n"/>
      <c r="Q9789" s="19" t="n"/>
      <c r="R9789" s="19" t="n"/>
      <c r="Y9789" s="19" t="n"/>
    </row>
    <row r="9790">
      <c r="C9790" s="18" t="n"/>
      <c r="J9790" s="19" t="n"/>
      <c r="P9790" s="20" t="n"/>
      <c r="Q9790" s="19" t="n"/>
      <c r="R9790" s="19" t="n"/>
      <c r="Y9790" s="19" t="n"/>
    </row>
    <row r="9791">
      <c r="C9791" s="18" t="n"/>
      <c r="J9791" s="19" t="n"/>
      <c r="P9791" s="20" t="n"/>
      <c r="Q9791" s="19" t="n"/>
      <c r="R9791" s="19" t="n"/>
      <c r="Y9791" s="19" t="n"/>
    </row>
    <row r="9792">
      <c r="C9792" s="18" t="n"/>
      <c r="J9792" s="19" t="n"/>
      <c r="P9792" s="20" t="n"/>
      <c r="Q9792" s="19" t="n"/>
      <c r="R9792" s="19" t="n"/>
      <c r="Y9792" s="19" t="n"/>
    </row>
    <row r="9793">
      <c r="C9793" s="18" t="n"/>
      <c r="J9793" s="19" t="n"/>
      <c r="P9793" s="20" t="n"/>
      <c r="Q9793" s="19" t="n"/>
      <c r="R9793" s="19" t="n"/>
      <c r="Y9793" s="19" t="n"/>
    </row>
    <row r="9794">
      <c r="C9794" s="18" t="n"/>
      <c r="J9794" s="19" t="n"/>
      <c r="P9794" s="20" t="n"/>
      <c r="Q9794" s="19" t="n"/>
      <c r="R9794" s="19" t="n"/>
      <c r="Y9794" s="19" t="n"/>
    </row>
    <row r="9795">
      <c r="C9795" s="18" t="n"/>
      <c r="J9795" s="19" t="n"/>
      <c r="P9795" s="20" t="n"/>
      <c r="Q9795" s="19" t="n"/>
      <c r="R9795" s="19" t="n"/>
      <c r="Y9795" s="19" t="n"/>
    </row>
    <row r="9796">
      <c r="C9796" s="18" t="n"/>
      <c r="J9796" s="19" t="n"/>
      <c r="P9796" s="20" t="n"/>
      <c r="Q9796" s="19" t="n"/>
      <c r="R9796" s="19" t="n"/>
      <c r="Y9796" s="19" t="n"/>
    </row>
    <row r="9797">
      <c r="C9797" s="18" t="n"/>
      <c r="J9797" s="19" t="n"/>
      <c r="P9797" s="20" t="n"/>
      <c r="Q9797" s="19" t="n"/>
      <c r="R9797" s="19" t="n"/>
      <c r="Y9797" s="19" t="n"/>
    </row>
    <row r="9798">
      <c r="C9798" s="18" t="n"/>
      <c r="J9798" s="19" t="n"/>
      <c r="P9798" s="20" t="n"/>
      <c r="Q9798" s="19" t="n"/>
      <c r="R9798" s="19" t="n"/>
      <c r="Y9798" s="19" t="n"/>
    </row>
    <row r="9799">
      <c r="C9799" s="18" t="n"/>
      <c r="J9799" s="19" t="n"/>
      <c r="P9799" s="20" t="n"/>
      <c r="Q9799" s="19" t="n"/>
      <c r="R9799" s="19" t="n"/>
      <c r="Y9799" s="19" t="n"/>
    </row>
    <row r="9800">
      <c r="C9800" s="18" t="n"/>
      <c r="J9800" s="19" t="n"/>
      <c r="P9800" s="20" t="n"/>
      <c r="Q9800" s="19" t="n"/>
      <c r="R9800" s="19" t="n"/>
      <c r="Y9800" s="19" t="n"/>
    </row>
    <row r="9801">
      <c r="C9801" s="18" t="n"/>
      <c r="J9801" s="19" t="n"/>
      <c r="P9801" s="20" t="n"/>
      <c r="Q9801" s="19" t="n"/>
      <c r="R9801" s="19" t="n"/>
      <c r="Y9801" s="19" t="n"/>
    </row>
    <row r="9802">
      <c r="C9802" s="18" t="n"/>
      <c r="J9802" s="19" t="n"/>
      <c r="P9802" s="20" t="n"/>
      <c r="Q9802" s="19" t="n"/>
      <c r="R9802" s="19" t="n"/>
      <c r="Y9802" s="19" t="n"/>
    </row>
    <row r="9803">
      <c r="C9803" s="18" t="n"/>
      <c r="J9803" s="19" t="n"/>
      <c r="P9803" s="20" t="n"/>
      <c r="Q9803" s="19" t="n"/>
      <c r="R9803" s="19" t="n"/>
      <c r="Y9803" s="19" t="n"/>
    </row>
    <row r="9804">
      <c r="C9804" s="18" t="n"/>
      <c r="J9804" s="19" t="n"/>
      <c r="P9804" s="20" t="n"/>
      <c r="Q9804" s="19" t="n"/>
      <c r="R9804" s="19" t="n"/>
      <c r="Y9804" s="19" t="n"/>
    </row>
    <row r="9805">
      <c r="C9805" s="18" t="n"/>
      <c r="J9805" s="19" t="n"/>
      <c r="P9805" s="20" t="n"/>
      <c r="Q9805" s="19" t="n"/>
      <c r="R9805" s="19" t="n"/>
      <c r="Y9805" s="19" t="n"/>
    </row>
    <row r="9806">
      <c r="C9806" s="18" t="n"/>
      <c r="J9806" s="19" t="n"/>
      <c r="P9806" s="20" t="n"/>
      <c r="Q9806" s="19" t="n"/>
      <c r="R9806" s="19" t="n"/>
      <c r="Y9806" s="19" t="n"/>
    </row>
    <row r="9807">
      <c r="C9807" s="18" t="n"/>
      <c r="J9807" s="19" t="n"/>
      <c r="P9807" s="20" t="n"/>
      <c r="Q9807" s="19" t="n"/>
      <c r="R9807" s="19" t="n"/>
      <c r="Y9807" s="19" t="n"/>
    </row>
    <row r="9808">
      <c r="C9808" s="18" t="n"/>
      <c r="J9808" s="19" t="n"/>
      <c r="P9808" s="20" t="n"/>
      <c r="Q9808" s="19" t="n"/>
      <c r="R9808" s="19" t="n"/>
      <c r="Y9808" s="19" t="n"/>
    </row>
    <row r="9809">
      <c r="C9809" s="18" t="n"/>
      <c r="J9809" s="19" t="n"/>
      <c r="P9809" s="20" t="n"/>
      <c r="Q9809" s="19" t="n"/>
      <c r="R9809" s="19" t="n"/>
      <c r="Y9809" s="19" t="n"/>
    </row>
    <row r="9810">
      <c r="C9810" s="18" t="n"/>
      <c r="J9810" s="19" t="n"/>
      <c r="P9810" s="20" t="n"/>
      <c r="Q9810" s="19" t="n"/>
      <c r="R9810" s="19" t="n"/>
      <c r="Y9810" s="19" t="n"/>
    </row>
    <row r="9811">
      <c r="C9811" s="18" t="n"/>
      <c r="J9811" s="19" t="n"/>
      <c r="P9811" s="20" t="n"/>
      <c r="Q9811" s="19" t="n"/>
      <c r="R9811" s="19" t="n"/>
      <c r="Y9811" s="19" t="n"/>
    </row>
    <row r="9812">
      <c r="C9812" s="18" t="n"/>
      <c r="J9812" s="19" t="n"/>
      <c r="P9812" s="20" t="n"/>
      <c r="Q9812" s="19" t="n"/>
      <c r="R9812" s="19" t="n"/>
      <c r="Y9812" s="19" t="n"/>
    </row>
    <row r="9813">
      <c r="C9813" s="18" t="n"/>
      <c r="J9813" s="19" t="n"/>
      <c r="P9813" s="20" t="n"/>
      <c r="Q9813" s="19" t="n"/>
      <c r="R9813" s="19" t="n"/>
      <c r="Y9813" s="19" t="n"/>
    </row>
    <row r="9814">
      <c r="C9814" s="18" t="n"/>
      <c r="J9814" s="19" t="n"/>
      <c r="P9814" s="20" t="n"/>
      <c r="Q9814" s="19" t="n"/>
      <c r="R9814" s="19" t="n"/>
      <c r="Y9814" s="19" t="n"/>
    </row>
    <row r="9815">
      <c r="C9815" s="18" t="n"/>
      <c r="J9815" s="19" t="n"/>
      <c r="P9815" s="20" t="n"/>
      <c r="Q9815" s="19" t="n"/>
      <c r="R9815" s="19" t="n"/>
      <c r="Y9815" s="19" t="n"/>
    </row>
    <row r="9816">
      <c r="C9816" s="18" t="n"/>
      <c r="J9816" s="19" t="n"/>
      <c r="P9816" s="20" t="n"/>
      <c r="Q9816" s="19" t="n"/>
      <c r="R9816" s="19" t="n"/>
      <c r="Y9816" s="19" t="n"/>
    </row>
    <row r="9817">
      <c r="C9817" s="18" t="n"/>
      <c r="J9817" s="19" t="n"/>
      <c r="P9817" s="20" t="n"/>
      <c r="Q9817" s="19" t="n"/>
      <c r="R9817" s="19" t="n"/>
      <c r="Y9817" s="19" t="n"/>
    </row>
    <row r="9818">
      <c r="C9818" s="18" t="n"/>
      <c r="J9818" s="19" t="n"/>
      <c r="P9818" s="20" t="n"/>
      <c r="Q9818" s="19" t="n"/>
      <c r="R9818" s="19" t="n"/>
      <c r="Y9818" s="19" t="n"/>
    </row>
    <row r="9819">
      <c r="C9819" s="18" t="n"/>
      <c r="J9819" s="19" t="n"/>
      <c r="P9819" s="20" t="n"/>
      <c r="Q9819" s="19" t="n"/>
      <c r="R9819" s="19" t="n"/>
      <c r="Y9819" s="19" t="n"/>
    </row>
    <row r="9820">
      <c r="C9820" s="18" t="n"/>
      <c r="J9820" s="19" t="n"/>
      <c r="P9820" s="20" t="n"/>
      <c r="Q9820" s="19" t="n"/>
      <c r="R9820" s="19" t="n"/>
      <c r="Y9820" s="19" t="n"/>
    </row>
    <row r="9821">
      <c r="C9821" s="18" t="n"/>
      <c r="J9821" s="19" t="n"/>
      <c r="P9821" s="20" t="n"/>
      <c r="Q9821" s="19" t="n"/>
      <c r="R9821" s="19" t="n"/>
      <c r="Y9821" s="19" t="n"/>
    </row>
    <row r="9822">
      <c r="C9822" s="18" t="n"/>
      <c r="J9822" s="19" t="n"/>
      <c r="P9822" s="20" t="n"/>
      <c r="Q9822" s="19" t="n"/>
      <c r="R9822" s="19" t="n"/>
      <c r="Y9822" s="19" t="n"/>
    </row>
    <row r="9823">
      <c r="C9823" s="18" t="n"/>
      <c r="J9823" s="19" t="n"/>
      <c r="P9823" s="20" t="n"/>
      <c r="Q9823" s="19" t="n"/>
      <c r="R9823" s="19" t="n"/>
      <c r="Y9823" s="19" t="n"/>
    </row>
    <row r="9824">
      <c r="C9824" s="18" t="n"/>
      <c r="J9824" s="19" t="n"/>
      <c r="P9824" s="20" t="n"/>
      <c r="Q9824" s="19" t="n"/>
      <c r="R9824" s="19" t="n"/>
      <c r="Y9824" s="19" t="n"/>
    </row>
    <row r="9825">
      <c r="C9825" s="18" t="n"/>
      <c r="J9825" s="19" t="n"/>
      <c r="P9825" s="20" t="n"/>
      <c r="Q9825" s="19" t="n"/>
      <c r="R9825" s="19" t="n"/>
      <c r="Y9825" s="19" t="n"/>
    </row>
    <row r="9826">
      <c r="C9826" s="18" t="n"/>
      <c r="J9826" s="19" t="n"/>
      <c r="P9826" s="20" t="n"/>
      <c r="Q9826" s="19" t="n"/>
      <c r="R9826" s="19" t="n"/>
      <c r="Y9826" s="19" t="n"/>
    </row>
    <row r="9827">
      <c r="C9827" s="18" t="n"/>
      <c r="J9827" s="19" t="n"/>
      <c r="P9827" s="20" t="n"/>
      <c r="Q9827" s="19" t="n"/>
      <c r="R9827" s="19" t="n"/>
      <c r="Y9827" s="19" t="n"/>
    </row>
    <row r="9828">
      <c r="C9828" s="18" t="n"/>
      <c r="J9828" s="19" t="n"/>
      <c r="P9828" s="20" t="n"/>
      <c r="Q9828" s="19" t="n"/>
      <c r="R9828" s="19" t="n"/>
      <c r="Y9828" s="19" t="n"/>
    </row>
    <row r="9829">
      <c r="C9829" s="18" t="n"/>
      <c r="J9829" s="19" t="n"/>
      <c r="P9829" s="20" t="n"/>
      <c r="Q9829" s="19" t="n"/>
      <c r="R9829" s="19" t="n"/>
      <c r="Y9829" s="19" t="n"/>
    </row>
    <row r="9830">
      <c r="C9830" s="18" t="n"/>
      <c r="J9830" s="19" t="n"/>
      <c r="P9830" s="20" t="n"/>
      <c r="Q9830" s="19" t="n"/>
      <c r="R9830" s="19" t="n"/>
      <c r="Y9830" s="19" t="n"/>
    </row>
    <row r="9831">
      <c r="C9831" s="18" t="n"/>
      <c r="J9831" s="19" t="n"/>
      <c r="P9831" s="20" t="n"/>
      <c r="Q9831" s="19" t="n"/>
      <c r="R9831" s="19" t="n"/>
      <c r="Y9831" s="19" t="n"/>
    </row>
    <row r="9832">
      <c r="C9832" s="18" t="n"/>
      <c r="J9832" s="19" t="n"/>
      <c r="P9832" s="20" t="n"/>
      <c r="Q9832" s="19" t="n"/>
      <c r="R9832" s="19" t="n"/>
      <c r="Y9832" s="19" t="n"/>
    </row>
    <row r="9833">
      <c r="C9833" s="18" t="n"/>
      <c r="J9833" s="19" t="n"/>
      <c r="P9833" s="20" t="n"/>
      <c r="Q9833" s="19" t="n"/>
      <c r="R9833" s="19" t="n"/>
      <c r="Y9833" s="19" t="n"/>
    </row>
    <row r="9834">
      <c r="C9834" s="18" t="n"/>
      <c r="J9834" s="19" t="n"/>
      <c r="P9834" s="20" t="n"/>
      <c r="Q9834" s="19" t="n"/>
      <c r="R9834" s="19" t="n"/>
      <c r="Y9834" s="19" t="n"/>
    </row>
    <row r="9835">
      <c r="C9835" s="18" t="n"/>
      <c r="J9835" s="19" t="n"/>
      <c r="P9835" s="20" t="n"/>
      <c r="Q9835" s="19" t="n"/>
      <c r="R9835" s="19" t="n"/>
      <c r="Y9835" s="19" t="n"/>
    </row>
    <row r="9836">
      <c r="C9836" s="18" t="n"/>
      <c r="J9836" s="19" t="n"/>
      <c r="P9836" s="20" t="n"/>
      <c r="Q9836" s="19" t="n"/>
      <c r="R9836" s="19" t="n"/>
      <c r="Y9836" s="19" t="n"/>
    </row>
    <row r="9837">
      <c r="C9837" s="18" t="n"/>
      <c r="J9837" s="19" t="n"/>
      <c r="P9837" s="20" t="n"/>
      <c r="Q9837" s="19" t="n"/>
      <c r="R9837" s="19" t="n"/>
      <c r="Y9837" s="19" t="n"/>
    </row>
    <row r="9838">
      <c r="C9838" s="18" t="n"/>
      <c r="J9838" s="19" t="n"/>
      <c r="P9838" s="20" t="n"/>
      <c r="Q9838" s="19" t="n"/>
      <c r="R9838" s="19" t="n"/>
      <c r="Y9838" s="19" t="n"/>
    </row>
    <row r="9839">
      <c r="C9839" s="18" t="n"/>
      <c r="J9839" s="19" t="n"/>
      <c r="P9839" s="20" t="n"/>
      <c r="Q9839" s="19" t="n"/>
      <c r="R9839" s="19" t="n"/>
      <c r="Y9839" s="19" t="n"/>
    </row>
    <row r="9840">
      <c r="C9840" s="18" t="n"/>
      <c r="J9840" s="19" t="n"/>
      <c r="P9840" s="20" t="n"/>
      <c r="Q9840" s="19" t="n"/>
      <c r="R9840" s="19" t="n"/>
      <c r="Y9840" s="19" t="n"/>
    </row>
    <row r="9841">
      <c r="C9841" s="18" t="n"/>
      <c r="J9841" s="19" t="n"/>
      <c r="P9841" s="20" t="n"/>
      <c r="Q9841" s="19" t="n"/>
      <c r="R9841" s="19" t="n"/>
      <c r="Y9841" s="19" t="n"/>
    </row>
    <row r="9842">
      <c r="C9842" s="18" t="n"/>
      <c r="J9842" s="19" t="n"/>
      <c r="P9842" s="20" t="n"/>
      <c r="Q9842" s="19" t="n"/>
      <c r="R9842" s="19" t="n"/>
      <c r="Y9842" s="19" t="n"/>
    </row>
    <row r="9843">
      <c r="C9843" s="18" t="n"/>
      <c r="J9843" s="19" t="n"/>
      <c r="P9843" s="20" t="n"/>
      <c r="Q9843" s="19" t="n"/>
      <c r="R9843" s="19" t="n"/>
      <c r="Y9843" s="19" t="n"/>
    </row>
    <row r="9844">
      <c r="C9844" s="18" t="n"/>
      <c r="J9844" s="19" t="n"/>
      <c r="P9844" s="20" t="n"/>
      <c r="Q9844" s="19" t="n"/>
      <c r="R9844" s="19" t="n"/>
      <c r="Y9844" s="19" t="n"/>
    </row>
    <row r="9845">
      <c r="C9845" s="18" t="n"/>
      <c r="J9845" s="19" t="n"/>
      <c r="P9845" s="20" t="n"/>
      <c r="Q9845" s="19" t="n"/>
      <c r="R9845" s="19" t="n"/>
      <c r="Y9845" s="19" t="n"/>
    </row>
    <row r="9846">
      <c r="C9846" s="18" t="n"/>
      <c r="J9846" s="19" t="n"/>
      <c r="P9846" s="20" t="n"/>
      <c r="Q9846" s="19" t="n"/>
      <c r="R9846" s="19" t="n"/>
      <c r="Y9846" s="19" t="n"/>
    </row>
    <row r="9847">
      <c r="C9847" s="18" t="n"/>
      <c r="J9847" s="19" t="n"/>
      <c r="P9847" s="20" t="n"/>
      <c r="Q9847" s="19" t="n"/>
      <c r="R9847" s="19" t="n"/>
      <c r="Y9847" s="19" t="n"/>
    </row>
    <row r="9848">
      <c r="C9848" s="18" t="n"/>
      <c r="J9848" s="19" t="n"/>
      <c r="P9848" s="20" t="n"/>
      <c r="Q9848" s="19" t="n"/>
      <c r="R9848" s="19" t="n"/>
      <c r="Y9848" s="19" t="n"/>
    </row>
    <row r="9849">
      <c r="C9849" s="18" t="n"/>
      <c r="J9849" s="19" t="n"/>
      <c r="P9849" s="20" t="n"/>
      <c r="Q9849" s="19" t="n"/>
      <c r="R9849" s="19" t="n"/>
      <c r="Y9849" s="19" t="n"/>
    </row>
    <row r="9850">
      <c r="C9850" s="18" t="n"/>
      <c r="J9850" s="19" t="n"/>
      <c r="P9850" s="20" t="n"/>
      <c r="Q9850" s="19" t="n"/>
      <c r="R9850" s="19" t="n"/>
      <c r="Y9850" s="19" t="n"/>
    </row>
    <row r="9851">
      <c r="C9851" s="18" t="n"/>
      <c r="J9851" s="19" t="n"/>
      <c r="P9851" s="20" t="n"/>
      <c r="Q9851" s="19" t="n"/>
      <c r="R9851" s="19" t="n"/>
      <c r="Y9851" s="19" t="n"/>
    </row>
    <row r="9852">
      <c r="C9852" s="18" t="n"/>
      <c r="J9852" s="19" t="n"/>
      <c r="P9852" s="20" t="n"/>
      <c r="Q9852" s="19" t="n"/>
      <c r="R9852" s="19" t="n"/>
      <c r="Y9852" s="19" t="n"/>
    </row>
    <row r="9853">
      <c r="C9853" s="18" t="n"/>
      <c r="J9853" s="19" t="n"/>
      <c r="P9853" s="20" t="n"/>
      <c r="Q9853" s="19" t="n"/>
      <c r="R9853" s="19" t="n"/>
      <c r="Y9853" s="19" t="n"/>
    </row>
    <row r="9854">
      <c r="C9854" s="18" t="n"/>
      <c r="J9854" s="19" t="n"/>
      <c r="P9854" s="20" t="n"/>
      <c r="Q9854" s="19" t="n"/>
      <c r="R9854" s="19" t="n"/>
      <c r="Y9854" s="19" t="n"/>
    </row>
    <row r="9855">
      <c r="C9855" s="18" t="n"/>
      <c r="J9855" s="19" t="n"/>
      <c r="P9855" s="20" t="n"/>
      <c r="Q9855" s="19" t="n"/>
      <c r="R9855" s="19" t="n"/>
      <c r="Y9855" s="19" t="n"/>
    </row>
    <row r="9856">
      <c r="C9856" s="18" t="n"/>
      <c r="J9856" s="19" t="n"/>
      <c r="P9856" s="20" t="n"/>
      <c r="Q9856" s="19" t="n"/>
      <c r="R9856" s="19" t="n"/>
      <c r="Y9856" s="19" t="n"/>
    </row>
    <row r="9857">
      <c r="C9857" s="18" t="n"/>
      <c r="J9857" s="19" t="n"/>
      <c r="P9857" s="20" t="n"/>
      <c r="Q9857" s="19" t="n"/>
      <c r="R9857" s="19" t="n"/>
      <c r="Y9857" s="19" t="n"/>
    </row>
    <row r="9858">
      <c r="C9858" s="18" t="n"/>
      <c r="J9858" s="19" t="n"/>
      <c r="P9858" s="20" t="n"/>
      <c r="Q9858" s="19" t="n"/>
      <c r="R9858" s="19" t="n"/>
      <c r="Y9858" s="19" t="n"/>
    </row>
    <row r="9859">
      <c r="C9859" s="18" t="n"/>
      <c r="J9859" s="19" t="n"/>
      <c r="P9859" s="20" t="n"/>
      <c r="Q9859" s="19" t="n"/>
      <c r="R9859" s="19" t="n"/>
      <c r="Y9859" s="19" t="n"/>
    </row>
    <row r="9860">
      <c r="C9860" s="18" t="n"/>
      <c r="J9860" s="19" t="n"/>
      <c r="P9860" s="20" t="n"/>
      <c r="Q9860" s="19" t="n"/>
      <c r="R9860" s="19" t="n"/>
      <c r="Y9860" s="19" t="n"/>
    </row>
    <row r="9861">
      <c r="C9861" s="18" t="n"/>
      <c r="J9861" s="19" t="n"/>
      <c r="P9861" s="20" t="n"/>
      <c r="Q9861" s="19" t="n"/>
      <c r="R9861" s="19" t="n"/>
      <c r="Y9861" s="19" t="n"/>
    </row>
    <row r="9862">
      <c r="C9862" s="18" t="n"/>
      <c r="J9862" s="19" t="n"/>
      <c r="P9862" s="20" t="n"/>
      <c r="Q9862" s="19" t="n"/>
      <c r="R9862" s="19" t="n"/>
      <c r="Y9862" s="19" t="n"/>
    </row>
    <row r="9863">
      <c r="C9863" s="18" t="n"/>
      <c r="J9863" s="19" t="n"/>
      <c r="P9863" s="20" t="n"/>
      <c r="Q9863" s="19" t="n"/>
      <c r="R9863" s="19" t="n"/>
      <c r="Y9863" s="19" t="n"/>
    </row>
    <row r="9864">
      <c r="C9864" s="18" t="n"/>
      <c r="J9864" s="19" t="n"/>
      <c r="P9864" s="20" t="n"/>
      <c r="Q9864" s="19" t="n"/>
      <c r="R9864" s="19" t="n"/>
      <c r="Y9864" s="19" t="n"/>
    </row>
    <row r="9865">
      <c r="C9865" s="18" t="n"/>
      <c r="J9865" s="19" t="n"/>
      <c r="P9865" s="20" t="n"/>
      <c r="Q9865" s="19" t="n"/>
      <c r="R9865" s="19" t="n"/>
      <c r="Y9865" s="19" t="n"/>
    </row>
    <row r="9866">
      <c r="C9866" s="18" t="n"/>
      <c r="J9866" s="19" t="n"/>
      <c r="P9866" s="20" t="n"/>
      <c r="Q9866" s="19" t="n"/>
      <c r="R9866" s="19" t="n"/>
      <c r="Y9866" s="19" t="n"/>
    </row>
    <row r="9867">
      <c r="C9867" s="18" t="n"/>
      <c r="J9867" s="19" t="n"/>
      <c r="P9867" s="20" t="n"/>
      <c r="Q9867" s="19" t="n"/>
      <c r="R9867" s="19" t="n"/>
      <c r="Y9867" s="19" t="n"/>
    </row>
    <row r="9868">
      <c r="C9868" s="18" t="n"/>
      <c r="J9868" s="19" t="n"/>
      <c r="P9868" s="20" t="n"/>
      <c r="Q9868" s="19" t="n"/>
      <c r="R9868" s="19" t="n"/>
      <c r="Y9868" s="19" t="n"/>
    </row>
    <row r="9869">
      <c r="C9869" s="18" t="n"/>
      <c r="J9869" s="19" t="n"/>
      <c r="P9869" s="20" t="n"/>
      <c r="Q9869" s="19" t="n"/>
      <c r="R9869" s="19" t="n"/>
      <c r="Y9869" s="19" t="n"/>
    </row>
    <row r="9870">
      <c r="C9870" s="18" t="n"/>
      <c r="J9870" s="19" t="n"/>
      <c r="P9870" s="20" t="n"/>
      <c r="Q9870" s="19" t="n"/>
      <c r="R9870" s="19" t="n"/>
      <c r="Y9870" s="19" t="n"/>
    </row>
    <row r="9871">
      <c r="C9871" s="18" t="n"/>
      <c r="J9871" s="19" t="n"/>
      <c r="P9871" s="20" t="n"/>
      <c r="Q9871" s="19" t="n"/>
      <c r="R9871" s="19" t="n"/>
      <c r="Y9871" s="19" t="n"/>
    </row>
    <row r="9872">
      <c r="C9872" s="18" t="n"/>
      <c r="J9872" s="19" t="n"/>
      <c r="P9872" s="20" t="n"/>
      <c r="Q9872" s="19" t="n"/>
      <c r="R9872" s="19" t="n"/>
      <c r="Y9872" s="19" t="n"/>
    </row>
    <row r="9873">
      <c r="C9873" s="18" t="n"/>
      <c r="J9873" s="19" t="n"/>
      <c r="P9873" s="20" t="n"/>
      <c r="Q9873" s="19" t="n"/>
      <c r="R9873" s="19" t="n"/>
      <c r="Y9873" s="19" t="n"/>
    </row>
    <row r="9874">
      <c r="C9874" s="18" t="n"/>
      <c r="J9874" s="19" t="n"/>
      <c r="P9874" s="20" t="n"/>
      <c r="Q9874" s="19" t="n"/>
      <c r="R9874" s="19" t="n"/>
      <c r="Y9874" s="19" t="n"/>
    </row>
    <row r="9875">
      <c r="C9875" s="18" t="n"/>
      <c r="J9875" s="19" t="n"/>
      <c r="P9875" s="20" t="n"/>
      <c r="Q9875" s="19" t="n"/>
      <c r="R9875" s="19" t="n"/>
      <c r="Y9875" s="19" t="n"/>
    </row>
    <row r="9876">
      <c r="C9876" s="18" t="n"/>
      <c r="J9876" s="19" t="n"/>
      <c r="P9876" s="20" t="n"/>
      <c r="Q9876" s="19" t="n"/>
      <c r="R9876" s="19" t="n"/>
      <c r="Y9876" s="19" t="n"/>
    </row>
    <row r="9877">
      <c r="C9877" s="18" t="n"/>
      <c r="J9877" s="19" t="n"/>
      <c r="P9877" s="20" t="n"/>
      <c r="Q9877" s="19" t="n"/>
      <c r="R9877" s="19" t="n"/>
      <c r="Y9877" s="19" t="n"/>
    </row>
    <row r="9878">
      <c r="C9878" s="18" t="n"/>
      <c r="J9878" s="19" t="n"/>
      <c r="P9878" s="20" t="n"/>
      <c r="Q9878" s="19" t="n"/>
      <c r="R9878" s="19" t="n"/>
      <c r="Y9878" s="19" t="n"/>
    </row>
    <row r="9879">
      <c r="C9879" s="18" t="n"/>
      <c r="J9879" s="19" t="n"/>
      <c r="P9879" s="20" t="n"/>
      <c r="Q9879" s="19" t="n"/>
      <c r="R9879" s="19" t="n"/>
      <c r="Y9879" s="19" t="n"/>
    </row>
    <row r="9880">
      <c r="C9880" s="18" t="n"/>
      <c r="J9880" s="19" t="n"/>
      <c r="P9880" s="20" t="n"/>
      <c r="Q9880" s="19" t="n"/>
      <c r="R9880" s="19" t="n"/>
      <c r="Y9880" s="19" t="n"/>
    </row>
    <row r="9881">
      <c r="C9881" s="18" t="n"/>
      <c r="J9881" s="19" t="n"/>
      <c r="P9881" s="20" t="n"/>
      <c r="Q9881" s="19" t="n"/>
      <c r="R9881" s="19" t="n"/>
      <c r="Y9881" s="19" t="n"/>
    </row>
    <row r="9882">
      <c r="C9882" s="18" t="n"/>
      <c r="J9882" s="19" t="n"/>
      <c r="P9882" s="20" t="n"/>
      <c r="Q9882" s="19" t="n"/>
      <c r="R9882" s="19" t="n"/>
      <c r="Y9882" s="19" t="n"/>
    </row>
    <row r="9883">
      <c r="C9883" s="18" t="n"/>
      <c r="J9883" s="19" t="n"/>
      <c r="P9883" s="20" t="n"/>
      <c r="Q9883" s="19" t="n"/>
      <c r="R9883" s="19" t="n"/>
      <c r="Y9883" s="19" t="n"/>
    </row>
    <row r="9884">
      <c r="C9884" s="18" t="n"/>
      <c r="J9884" s="19" t="n"/>
      <c r="P9884" s="20" t="n"/>
      <c r="Q9884" s="19" t="n"/>
      <c r="R9884" s="19" t="n"/>
      <c r="Y9884" s="19" t="n"/>
    </row>
    <row r="9885">
      <c r="C9885" s="18" t="n"/>
      <c r="J9885" s="19" t="n"/>
      <c r="P9885" s="20" t="n"/>
      <c r="Q9885" s="19" t="n"/>
      <c r="R9885" s="19" t="n"/>
      <c r="Y9885" s="19" t="n"/>
    </row>
    <row r="9886">
      <c r="C9886" s="18" t="n"/>
      <c r="J9886" s="19" t="n"/>
      <c r="P9886" s="20" t="n"/>
      <c r="Q9886" s="19" t="n"/>
      <c r="R9886" s="19" t="n"/>
      <c r="Y9886" s="19" t="n"/>
    </row>
    <row r="9887">
      <c r="C9887" s="18" t="n"/>
      <c r="J9887" s="19" t="n"/>
      <c r="P9887" s="20" t="n"/>
      <c r="Q9887" s="19" t="n"/>
      <c r="R9887" s="19" t="n"/>
      <c r="Y9887" s="19" t="n"/>
    </row>
    <row r="9888">
      <c r="C9888" s="18" t="n"/>
      <c r="J9888" s="19" t="n"/>
      <c r="P9888" s="20" t="n"/>
      <c r="Q9888" s="19" t="n"/>
      <c r="R9888" s="19" t="n"/>
      <c r="Y9888" s="19" t="n"/>
    </row>
    <row r="9889">
      <c r="C9889" s="18" t="n"/>
      <c r="J9889" s="19" t="n"/>
      <c r="P9889" s="20" t="n"/>
      <c r="Q9889" s="19" t="n"/>
      <c r="R9889" s="19" t="n"/>
      <c r="Y9889" s="19" t="n"/>
    </row>
    <row r="9890">
      <c r="C9890" s="18" t="n"/>
      <c r="J9890" s="19" t="n"/>
      <c r="P9890" s="20" t="n"/>
      <c r="Q9890" s="19" t="n"/>
      <c r="R9890" s="19" t="n"/>
      <c r="Y9890" s="19" t="n"/>
    </row>
    <row r="9891">
      <c r="C9891" s="18" t="n"/>
      <c r="J9891" s="19" t="n"/>
      <c r="P9891" s="20" t="n"/>
      <c r="Q9891" s="19" t="n"/>
      <c r="R9891" s="19" t="n"/>
      <c r="Y9891" s="19" t="n"/>
    </row>
    <row r="9892">
      <c r="C9892" s="18" t="n"/>
      <c r="J9892" s="19" t="n"/>
      <c r="P9892" s="20" t="n"/>
      <c r="Q9892" s="19" t="n"/>
      <c r="R9892" s="19" t="n"/>
      <c r="Y9892" s="19" t="n"/>
    </row>
    <row r="9893">
      <c r="C9893" s="18" t="n"/>
      <c r="J9893" s="19" t="n"/>
      <c r="P9893" s="20" t="n"/>
      <c r="Q9893" s="19" t="n"/>
      <c r="R9893" s="19" t="n"/>
      <c r="Y9893" s="19" t="n"/>
    </row>
    <row r="9894">
      <c r="C9894" s="18" t="n"/>
      <c r="J9894" s="19" t="n"/>
      <c r="P9894" s="20" t="n"/>
      <c r="Q9894" s="19" t="n"/>
      <c r="R9894" s="19" t="n"/>
      <c r="Y9894" s="19" t="n"/>
    </row>
    <row r="9895">
      <c r="C9895" s="18" t="n"/>
      <c r="J9895" s="19" t="n"/>
      <c r="P9895" s="20" t="n"/>
      <c r="Q9895" s="19" t="n"/>
      <c r="R9895" s="19" t="n"/>
      <c r="Y9895" s="19" t="n"/>
    </row>
    <row r="9896">
      <c r="C9896" s="18" t="n"/>
      <c r="J9896" s="19" t="n"/>
      <c r="P9896" s="20" t="n"/>
      <c r="Q9896" s="19" t="n"/>
      <c r="R9896" s="19" t="n"/>
      <c r="Y9896" s="19" t="n"/>
    </row>
    <row r="9897">
      <c r="C9897" s="18" t="n"/>
      <c r="J9897" s="19" t="n"/>
      <c r="P9897" s="20" t="n"/>
      <c r="Q9897" s="19" t="n"/>
      <c r="R9897" s="19" t="n"/>
      <c r="Y9897" s="19" t="n"/>
    </row>
    <row r="9898">
      <c r="C9898" s="18" t="n"/>
      <c r="J9898" s="19" t="n"/>
      <c r="P9898" s="20" t="n"/>
      <c r="Q9898" s="19" t="n"/>
      <c r="R9898" s="19" t="n"/>
      <c r="Y9898" s="19" t="n"/>
    </row>
    <row r="9899">
      <c r="C9899" s="18" t="n"/>
      <c r="J9899" s="19" t="n"/>
      <c r="P9899" s="20" t="n"/>
      <c r="Q9899" s="19" t="n"/>
      <c r="R9899" s="19" t="n"/>
      <c r="Y9899" s="19" t="n"/>
    </row>
    <row r="9900">
      <c r="C9900" s="18" t="n"/>
      <c r="J9900" s="19" t="n"/>
      <c r="P9900" s="20" t="n"/>
      <c r="Q9900" s="19" t="n"/>
      <c r="R9900" s="19" t="n"/>
      <c r="Y9900" s="19" t="n"/>
    </row>
    <row r="9901">
      <c r="C9901" s="18" t="n"/>
      <c r="J9901" s="19" t="n"/>
      <c r="P9901" s="20" t="n"/>
      <c r="Q9901" s="19" t="n"/>
      <c r="R9901" s="19" t="n"/>
      <c r="Y9901" s="19" t="n"/>
    </row>
    <row r="9902">
      <c r="C9902" s="18" t="n"/>
      <c r="J9902" s="19" t="n"/>
      <c r="P9902" s="20" t="n"/>
      <c r="Q9902" s="19" t="n"/>
      <c r="R9902" s="19" t="n"/>
      <c r="Y9902" s="19" t="n"/>
    </row>
    <row r="9903">
      <c r="C9903" s="18" t="n"/>
      <c r="J9903" s="19" t="n"/>
      <c r="P9903" s="20" t="n"/>
      <c r="Q9903" s="19" t="n"/>
      <c r="R9903" s="19" t="n"/>
      <c r="Y9903" s="19" t="n"/>
    </row>
    <row r="9904">
      <c r="C9904" s="18" t="n"/>
      <c r="J9904" s="19" t="n"/>
      <c r="P9904" s="20" t="n"/>
      <c r="Q9904" s="19" t="n"/>
      <c r="R9904" s="19" t="n"/>
      <c r="Y9904" s="19" t="n"/>
    </row>
    <row r="9905">
      <c r="C9905" s="18" t="n"/>
      <c r="J9905" s="19" t="n"/>
      <c r="P9905" s="20" t="n"/>
      <c r="Q9905" s="19" t="n"/>
      <c r="R9905" s="19" t="n"/>
      <c r="Y9905" s="19" t="n"/>
    </row>
    <row r="9906">
      <c r="C9906" s="18" t="n"/>
      <c r="J9906" s="19" t="n"/>
      <c r="P9906" s="20" t="n"/>
      <c r="Q9906" s="19" t="n"/>
      <c r="R9906" s="19" t="n"/>
      <c r="Y9906" s="19" t="n"/>
    </row>
    <row r="9907">
      <c r="C9907" s="18" t="n"/>
      <c r="J9907" s="19" t="n"/>
      <c r="P9907" s="20" t="n"/>
      <c r="Q9907" s="19" t="n"/>
      <c r="R9907" s="19" t="n"/>
      <c r="Y9907" s="19" t="n"/>
    </row>
    <row r="9908">
      <c r="C9908" s="18" t="n"/>
      <c r="J9908" s="19" t="n"/>
      <c r="P9908" s="20" t="n"/>
      <c r="Q9908" s="19" t="n"/>
      <c r="R9908" s="19" t="n"/>
      <c r="Y9908" s="19" t="n"/>
    </row>
    <row r="9909">
      <c r="C9909" s="18" t="n"/>
      <c r="J9909" s="19" t="n"/>
      <c r="P9909" s="20" t="n"/>
      <c r="Q9909" s="19" t="n"/>
      <c r="R9909" s="19" t="n"/>
      <c r="Y9909" s="19" t="n"/>
    </row>
    <row r="9910">
      <c r="C9910" s="18" t="n"/>
      <c r="J9910" s="19" t="n"/>
      <c r="P9910" s="20" t="n"/>
      <c r="Q9910" s="19" t="n"/>
      <c r="R9910" s="19" t="n"/>
      <c r="Y9910" s="19" t="n"/>
    </row>
    <row r="9911">
      <c r="C9911" s="18" t="n"/>
      <c r="J9911" s="19" t="n"/>
      <c r="P9911" s="20" t="n"/>
      <c r="Q9911" s="19" t="n"/>
      <c r="R9911" s="19" t="n"/>
      <c r="Y9911" s="19" t="n"/>
    </row>
    <row r="9912">
      <c r="C9912" s="18" t="n"/>
      <c r="J9912" s="19" t="n"/>
      <c r="P9912" s="20" t="n"/>
      <c r="Q9912" s="19" t="n"/>
      <c r="R9912" s="19" t="n"/>
      <c r="Y9912" s="19" t="n"/>
    </row>
    <row r="9913">
      <c r="C9913" s="18" t="n"/>
      <c r="J9913" s="19" t="n"/>
      <c r="P9913" s="20" t="n"/>
      <c r="Q9913" s="19" t="n"/>
      <c r="R9913" s="19" t="n"/>
      <c r="Y9913" s="19" t="n"/>
    </row>
    <row r="9914">
      <c r="C9914" s="18" t="n"/>
      <c r="J9914" s="19" t="n"/>
      <c r="P9914" s="20" t="n"/>
      <c r="Q9914" s="19" t="n"/>
      <c r="R9914" s="19" t="n"/>
      <c r="Y9914" s="19" t="n"/>
    </row>
    <row r="9915">
      <c r="C9915" s="18" t="n"/>
      <c r="J9915" s="19" t="n"/>
      <c r="P9915" s="20" t="n"/>
      <c r="Q9915" s="19" t="n"/>
      <c r="R9915" s="19" t="n"/>
      <c r="Y9915" s="19" t="n"/>
    </row>
    <row r="9916">
      <c r="C9916" s="18" t="n"/>
      <c r="J9916" s="19" t="n"/>
      <c r="P9916" s="20" t="n"/>
      <c r="Q9916" s="19" t="n"/>
      <c r="R9916" s="19" t="n"/>
      <c r="Y9916" s="19" t="n"/>
    </row>
    <row r="9917">
      <c r="C9917" s="18" t="n"/>
      <c r="J9917" s="19" t="n"/>
      <c r="P9917" s="20" t="n"/>
      <c r="Q9917" s="19" t="n"/>
      <c r="R9917" s="19" t="n"/>
      <c r="Y9917" s="19" t="n"/>
    </row>
    <row r="9918">
      <c r="C9918" s="18" t="n"/>
      <c r="J9918" s="19" t="n"/>
      <c r="P9918" s="20" t="n"/>
      <c r="Q9918" s="19" t="n"/>
      <c r="R9918" s="19" t="n"/>
      <c r="Y9918" s="19" t="n"/>
    </row>
    <row r="9919">
      <c r="C9919" s="18" t="n"/>
      <c r="J9919" s="19" t="n"/>
      <c r="P9919" s="20" t="n"/>
      <c r="Q9919" s="19" t="n"/>
      <c r="R9919" s="19" t="n"/>
      <c r="Y9919" s="19" t="n"/>
    </row>
    <row r="9920">
      <c r="C9920" s="18" t="n"/>
      <c r="J9920" s="19" t="n"/>
      <c r="P9920" s="20" t="n"/>
      <c r="Q9920" s="19" t="n"/>
      <c r="R9920" s="19" t="n"/>
      <c r="Y9920" s="19" t="n"/>
    </row>
    <row r="9921">
      <c r="C9921" s="18" t="n"/>
      <c r="J9921" s="19" t="n"/>
      <c r="P9921" s="20" t="n"/>
      <c r="Q9921" s="19" t="n"/>
      <c r="R9921" s="19" t="n"/>
      <c r="Y9921" s="19" t="n"/>
    </row>
    <row r="9922">
      <c r="C9922" s="18" t="n"/>
      <c r="J9922" s="19" t="n"/>
      <c r="P9922" s="20" t="n"/>
      <c r="Q9922" s="19" t="n"/>
      <c r="R9922" s="19" t="n"/>
      <c r="Y9922" s="19" t="n"/>
    </row>
    <row r="9923">
      <c r="C9923" s="18" t="n"/>
      <c r="J9923" s="19" t="n"/>
      <c r="P9923" s="20" t="n"/>
      <c r="Q9923" s="19" t="n"/>
      <c r="R9923" s="19" t="n"/>
      <c r="Y9923" s="19" t="n"/>
    </row>
    <row r="9924">
      <c r="C9924" s="18" t="n"/>
      <c r="J9924" s="19" t="n"/>
      <c r="P9924" s="20" t="n"/>
      <c r="Q9924" s="19" t="n"/>
      <c r="R9924" s="19" t="n"/>
      <c r="Y9924" s="19" t="n"/>
    </row>
    <row r="9925">
      <c r="C9925" s="18" t="n"/>
      <c r="J9925" s="19" t="n"/>
      <c r="P9925" s="20" t="n"/>
      <c r="Q9925" s="19" t="n"/>
      <c r="R9925" s="19" t="n"/>
      <c r="Y9925" s="19" t="n"/>
    </row>
    <row r="9926">
      <c r="C9926" s="18" t="n"/>
      <c r="J9926" s="19" t="n"/>
      <c r="P9926" s="20" t="n"/>
      <c r="Q9926" s="19" t="n"/>
      <c r="R9926" s="19" t="n"/>
      <c r="Y9926" s="19" t="n"/>
    </row>
    <row r="9927">
      <c r="C9927" s="18" t="n"/>
      <c r="J9927" s="19" t="n"/>
      <c r="P9927" s="20" t="n"/>
      <c r="Q9927" s="19" t="n"/>
      <c r="R9927" s="19" t="n"/>
      <c r="Y9927" s="19" t="n"/>
    </row>
    <row r="9928">
      <c r="C9928" s="18" t="n"/>
      <c r="J9928" s="19" t="n"/>
      <c r="P9928" s="20" t="n"/>
      <c r="Q9928" s="19" t="n"/>
      <c r="R9928" s="19" t="n"/>
      <c r="Y9928" s="19" t="n"/>
    </row>
    <row r="9929">
      <c r="C9929" s="18" t="n"/>
      <c r="J9929" s="19" t="n"/>
      <c r="P9929" s="20" t="n"/>
      <c r="Q9929" s="19" t="n"/>
      <c r="R9929" s="19" t="n"/>
      <c r="Y9929" s="19" t="n"/>
    </row>
    <row r="9930">
      <c r="C9930" s="18" t="n"/>
      <c r="J9930" s="19" t="n"/>
      <c r="P9930" s="20" t="n"/>
      <c r="Q9930" s="19" t="n"/>
      <c r="R9930" s="19" t="n"/>
      <c r="Y9930" s="19" t="n"/>
    </row>
    <row r="9931">
      <c r="C9931" s="18" t="n"/>
      <c r="J9931" s="19" t="n"/>
      <c r="P9931" s="20" t="n"/>
      <c r="Q9931" s="19" t="n"/>
      <c r="R9931" s="19" t="n"/>
      <c r="Y9931" s="19" t="n"/>
    </row>
    <row r="9932">
      <c r="C9932" s="18" t="n"/>
      <c r="J9932" s="19" t="n"/>
      <c r="P9932" s="20" t="n"/>
      <c r="Q9932" s="19" t="n"/>
      <c r="R9932" s="19" t="n"/>
      <c r="Y9932" s="19" t="n"/>
    </row>
    <row r="9933">
      <c r="C9933" s="18" t="n"/>
      <c r="J9933" s="19" t="n"/>
      <c r="P9933" s="20" t="n"/>
      <c r="Q9933" s="19" t="n"/>
      <c r="R9933" s="19" t="n"/>
      <c r="Y9933" s="19" t="n"/>
    </row>
    <row r="9934">
      <c r="C9934" s="18" t="n"/>
      <c r="J9934" s="19" t="n"/>
      <c r="P9934" s="20" t="n"/>
      <c r="Q9934" s="19" t="n"/>
      <c r="R9934" s="19" t="n"/>
      <c r="Y9934" s="19" t="n"/>
    </row>
    <row r="9935">
      <c r="C9935" s="18" t="n"/>
      <c r="J9935" s="19" t="n"/>
      <c r="P9935" s="20" t="n"/>
      <c r="Q9935" s="19" t="n"/>
      <c r="R9935" s="19" t="n"/>
      <c r="Y9935" s="19" t="n"/>
    </row>
    <row r="9936">
      <c r="C9936" s="18" t="n"/>
      <c r="J9936" s="19" t="n"/>
      <c r="P9936" s="20" t="n"/>
      <c r="Q9936" s="19" t="n"/>
      <c r="R9936" s="19" t="n"/>
      <c r="Y9936" s="19" t="n"/>
    </row>
    <row r="9937">
      <c r="C9937" s="18" t="n"/>
      <c r="J9937" s="19" t="n"/>
      <c r="P9937" s="20" t="n"/>
      <c r="Q9937" s="19" t="n"/>
      <c r="R9937" s="19" t="n"/>
      <c r="Y9937" s="19" t="n"/>
    </row>
    <row r="9938">
      <c r="C9938" s="18" t="n"/>
      <c r="J9938" s="19" t="n"/>
      <c r="P9938" s="20" t="n"/>
      <c r="Q9938" s="19" t="n"/>
      <c r="R9938" s="19" t="n"/>
      <c r="Y9938" s="19" t="n"/>
    </row>
    <row r="9939">
      <c r="C9939" s="18" t="n"/>
      <c r="J9939" s="19" t="n"/>
      <c r="P9939" s="20" t="n"/>
      <c r="Q9939" s="19" t="n"/>
      <c r="R9939" s="19" t="n"/>
      <c r="Y9939" s="19" t="n"/>
    </row>
    <row r="9940">
      <c r="C9940" s="18" t="n"/>
      <c r="J9940" s="19" t="n"/>
      <c r="P9940" s="20" t="n"/>
      <c r="Q9940" s="19" t="n"/>
      <c r="R9940" s="19" t="n"/>
      <c r="Y9940" s="19" t="n"/>
    </row>
    <row r="9941">
      <c r="C9941" s="18" t="n"/>
      <c r="J9941" s="19" t="n"/>
      <c r="P9941" s="20" t="n"/>
      <c r="Q9941" s="19" t="n"/>
      <c r="R9941" s="19" t="n"/>
      <c r="Y9941" s="19" t="n"/>
    </row>
    <row r="9942">
      <c r="C9942" s="18" t="n"/>
      <c r="J9942" s="19" t="n"/>
      <c r="P9942" s="20" t="n"/>
      <c r="Q9942" s="19" t="n"/>
      <c r="R9942" s="19" t="n"/>
      <c r="Y9942" s="19" t="n"/>
    </row>
    <row r="9943">
      <c r="C9943" s="18" t="n"/>
      <c r="J9943" s="19" t="n"/>
      <c r="P9943" s="20" t="n"/>
      <c r="Q9943" s="19" t="n"/>
      <c r="R9943" s="19" t="n"/>
      <c r="Y9943" s="19" t="n"/>
    </row>
    <row r="9944">
      <c r="C9944" s="18" t="n"/>
      <c r="J9944" s="19" t="n"/>
      <c r="P9944" s="20" t="n"/>
      <c r="Q9944" s="19" t="n"/>
      <c r="R9944" s="19" t="n"/>
      <c r="Y9944" s="19" t="n"/>
    </row>
    <row r="9945">
      <c r="C9945" s="18" t="n"/>
      <c r="J9945" s="19" t="n"/>
      <c r="P9945" s="20" t="n"/>
      <c r="Q9945" s="19" t="n"/>
      <c r="R9945" s="19" t="n"/>
      <c r="Y9945" s="19" t="n"/>
    </row>
    <row r="9946">
      <c r="C9946" s="18" t="n"/>
      <c r="J9946" s="19" t="n"/>
      <c r="P9946" s="20" t="n"/>
      <c r="Q9946" s="19" t="n"/>
      <c r="R9946" s="19" t="n"/>
      <c r="Y9946" s="19" t="n"/>
    </row>
    <row r="9947">
      <c r="C9947" s="18" t="n"/>
      <c r="J9947" s="19" t="n"/>
      <c r="P9947" s="20" t="n"/>
      <c r="Q9947" s="19" t="n"/>
      <c r="R9947" s="19" t="n"/>
      <c r="Y9947" s="19" t="n"/>
    </row>
    <row r="9948">
      <c r="C9948" s="18" t="n"/>
      <c r="J9948" s="19" t="n"/>
      <c r="P9948" s="20" t="n"/>
      <c r="Q9948" s="19" t="n"/>
      <c r="R9948" s="19" t="n"/>
      <c r="Y9948" s="19" t="n"/>
    </row>
    <row r="9949">
      <c r="C9949" s="18" t="n"/>
      <c r="J9949" s="19" t="n"/>
      <c r="P9949" s="20" t="n"/>
      <c r="Q9949" s="19" t="n"/>
      <c r="R9949" s="19" t="n"/>
      <c r="Y9949" s="19" t="n"/>
    </row>
    <row r="9950">
      <c r="C9950" s="18" t="n"/>
      <c r="J9950" s="19" t="n"/>
      <c r="P9950" s="20" t="n"/>
      <c r="Q9950" s="19" t="n"/>
      <c r="R9950" s="19" t="n"/>
      <c r="Y9950" s="19" t="n"/>
    </row>
    <row r="9951">
      <c r="C9951" s="18" t="n"/>
      <c r="J9951" s="19" t="n"/>
      <c r="P9951" s="20" t="n"/>
      <c r="Q9951" s="19" t="n"/>
      <c r="R9951" s="19" t="n"/>
      <c r="Y9951" s="19" t="n"/>
    </row>
    <row r="9952">
      <c r="C9952" s="18" t="n"/>
      <c r="J9952" s="19" t="n"/>
      <c r="P9952" s="20" t="n"/>
      <c r="Q9952" s="19" t="n"/>
      <c r="R9952" s="19" t="n"/>
      <c r="Y9952" s="19" t="n"/>
    </row>
    <row r="9953">
      <c r="C9953" s="18" t="n"/>
      <c r="J9953" s="19" t="n"/>
      <c r="P9953" s="20" t="n"/>
      <c r="Q9953" s="19" t="n"/>
      <c r="R9953" s="19" t="n"/>
      <c r="Y9953" s="19" t="n"/>
    </row>
    <row r="9954">
      <c r="C9954" s="18" t="n"/>
      <c r="J9954" s="19" t="n"/>
      <c r="P9954" s="20" t="n"/>
      <c r="Q9954" s="19" t="n"/>
      <c r="R9954" s="19" t="n"/>
      <c r="Y9954" s="19" t="n"/>
    </row>
    <row r="9955">
      <c r="C9955" s="18" t="n"/>
      <c r="J9955" s="19" t="n"/>
      <c r="P9955" s="20" t="n"/>
      <c r="Q9955" s="19" t="n"/>
      <c r="R9955" s="19" t="n"/>
      <c r="Y9955" s="19" t="n"/>
    </row>
    <row r="9956">
      <c r="C9956" s="18" t="n"/>
      <c r="J9956" s="19" t="n"/>
      <c r="P9956" s="20" t="n"/>
      <c r="Q9956" s="19" t="n"/>
      <c r="R9956" s="19" t="n"/>
      <c r="Y9956" s="19" t="n"/>
    </row>
    <row r="9957">
      <c r="C9957" s="18" t="n"/>
      <c r="J9957" s="19" t="n"/>
      <c r="P9957" s="20" t="n"/>
      <c r="Q9957" s="19" t="n"/>
      <c r="R9957" s="19" t="n"/>
      <c r="Y9957" s="19" t="n"/>
    </row>
    <row r="9958">
      <c r="C9958" s="18" t="n"/>
      <c r="J9958" s="19" t="n"/>
      <c r="P9958" s="20" t="n"/>
      <c r="Q9958" s="19" t="n"/>
      <c r="R9958" s="19" t="n"/>
      <c r="Y9958" s="19" t="n"/>
    </row>
    <row r="9959">
      <c r="C9959" s="18" t="n"/>
      <c r="J9959" s="19" t="n"/>
      <c r="P9959" s="20" t="n"/>
      <c r="Q9959" s="19" t="n"/>
      <c r="R9959" s="19" t="n"/>
      <c r="Y9959" s="19" t="n"/>
    </row>
    <row r="9960">
      <c r="C9960" s="18" t="n"/>
      <c r="J9960" s="19" t="n"/>
      <c r="P9960" s="20" t="n"/>
      <c r="Q9960" s="19" t="n"/>
      <c r="R9960" s="19" t="n"/>
      <c r="Y9960" s="19" t="n"/>
    </row>
    <row r="9961">
      <c r="C9961" s="18" t="n"/>
      <c r="J9961" s="19" t="n"/>
      <c r="P9961" s="20" t="n"/>
      <c r="Q9961" s="19" t="n"/>
      <c r="R9961" s="19" t="n"/>
      <c r="Y9961" s="19" t="n"/>
    </row>
    <row r="9962">
      <c r="C9962" s="18" t="n"/>
      <c r="J9962" s="19" t="n"/>
      <c r="P9962" s="20" t="n"/>
      <c r="Q9962" s="19" t="n"/>
      <c r="R9962" s="19" t="n"/>
      <c r="Y9962" s="19" t="n"/>
    </row>
    <row r="9963">
      <c r="C9963" s="18" t="n"/>
      <c r="J9963" s="19" t="n"/>
      <c r="P9963" s="20" t="n"/>
      <c r="Q9963" s="19" t="n"/>
      <c r="R9963" s="19" t="n"/>
      <c r="Y9963" s="19" t="n"/>
    </row>
    <row r="9964">
      <c r="C9964" s="18" t="n"/>
      <c r="J9964" s="19" t="n"/>
      <c r="P9964" s="20" t="n"/>
      <c r="Q9964" s="19" t="n"/>
      <c r="R9964" s="19" t="n"/>
      <c r="Y9964" s="19" t="n"/>
    </row>
    <row r="9965">
      <c r="C9965" s="18" t="n"/>
      <c r="J9965" s="19" t="n"/>
      <c r="P9965" s="20" t="n"/>
      <c r="Q9965" s="19" t="n"/>
      <c r="R9965" s="19" t="n"/>
      <c r="Y9965" s="19" t="n"/>
    </row>
    <row r="9966">
      <c r="C9966" s="18" t="n"/>
      <c r="J9966" s="19" t="n"/>
      <c r="P9966" s="20" t="n"/>
      <c r="Q9966" s="19" t="n"/>
      <c r="R9966" s="19" t="n"/>
      <c r="Y9966" s="19" t="n"/>
    </row>
    <row r="9967">
      <c r="C9967" s="18" t="n"/>
      <c r="J9967" s="19" t="n"/>
      <c r="P9967" s="20" t="n"/>
      <c r="Q9967" s="19" t="n"/>
      <c r="R9967" s="19" t="n"/>
      <c r="Y9967" s="19" t="n"/>
    </row>
    <row r="9968">
      <c r="C9968" s="18" t="n"/>
      <c r="J9968" s="19" t="n"/>
      <c r="P9968" s="20" t="n"/>
      <c r="Q9968" s="19" t="n"/>
      <c r="R9968" s="19" t="n"/>
      <c r="Y9968" s="19" t="n"/>
    </row>
    <row r="9969">
      <c r="C9969" s="18" t="n"/>
      <c r="J9969" s="19" t="n"/>
      <c r="P9969" s="20" t="n"/>
      <c r="Q9969" s="19" t="n"/>
      <c r="R9969" s="19" t="n"/>
      <c r="Y9969" s="19" t="n"/>
    </row>
    <row r="9970">
      <c r="C9970" s="18" t="n"/>
      <c r="J9970" s="19" t="n"/>
      <c r="P9970" s="20" t="n"/>
      <c r="Q9970" s="19" t="n"/>
      <c r="R9970" s="19" t="n"/>
      <c r="Y9970" s="19" t="n"/>
    </row>
    <row r="9971">
      <c r="C9971" s="18" t="n"/>
      <c r="J9971" s="19" t="n"/>
      <c r="P9971" s="20" t="n"/>
      <c r="Q9971" s="19" t="n"/>
      <c r="R9971" s="19" t="n"/>
      <c r="Y9971" s="19" t="n"/>
    </row>
    <row r="9972">
      <c r="C9972" s="18" t="n"/>
      <c r="J9972" s="19" t="n"/>
      <c r="P9972" s="20" t="n"/>
      <c r="Q9972" s="19" t="n"/>
      <c r="R9972" s="19" t="n"/>
      <c r="Y9972" s="19" t="n"/>
    </row>
    <row r="9973">
      <c r="C9973" s="18" t="n"/>
      <c r="J9973" s="19" t="n"/>
      <c r="P9973" s="20" t="n"/>
      <c r="Q9973" s="19" t="n"/>
      <c r="R9973" s="19" t="n"/>
      <c r="Y9973" s="19" t="n"/>
    </row>
    <row r="9974">
      <c r="C9974" s="18" t="n"/>
      <c r="J9974" s="19" t="n"/>
      <c r="P9974" s="20" t="n"/>
      <c r="Q9974" s="19" t="n"/>
      <c r="R9974" s="19" t="n"/>
      <c r="Y9974" s="19" t="n"/>
    </row>
    <row r="9975">
      <c r="C9975" s="18" t="n"/>
      <c r="J9975" s="19" t="n"/>
      <c r="P9975" s="20" t="n"/>
      <c r="Q9975" s="19" t="n"/>
      <c r="R9975" s="19" t="n"/>
      <c r="Y9975" s="19" t="n"/>
    </row>
    <row r="9976">
      <c r="C9976" s="18" t="n"/>
      <c r="J9976" s="19" t="n"/>
      <c r="P9976" s="20" t="n"/>
      <c r="Q9976" s="19" t="n"/>
      <c r="R9976" s="19" t="n"/>
      <c r="Y9976" s="19" t="n"/>
    </row>
    <row r="9977">
      <c r="C9977" s="18" t="n"/>
      <c r="J9977" s="19" t="n"/>
      <c r="P9977" s="20" t="n"/>
      <c r="Q9977" s="19" t="n"/>
      <c r="R9977" s="19" t="n"/>
      <c r="Y9977" s="19" t="n"/>
    </row>
    <row r="9978">
      <c r="C9978" s="18" t="n"/>
      <c r="J9978" s="19" t="n"/>
      <c r="P9978" s="20" t="n"/>
      <c r="Q9978" s="19" t="n"/>
      <c r="R9978" s="19" t="n"/>
      <c r="Y9978" s="19" t="n"/>
    </row>
    <row r="9979">
      <c r="C9979" s="18" t="n"/>
      <c r="J9979" s="19" t="n"/>
      <c r="P9979" s="20" t="n"/>
      <c r="Q9979" s="19" t="n"/>
      <c r="R9979" s="19" t="n"/>
      <c r="Y9979" s="19" t="n"/>
    </row>
    <row r="9980">
      <c r="C9980" s="18" t="n"/>
      <c r="J9980" s="19" t="n"/>
      <c r="P9980" s="20" t="n"/>
      <c r="Q9980" s="19" t="n"/>
      <c r="R9980" s="19" t="n"/>
      <c r="Y9980" s="19" t="n"/>
    </row>
    <row r="9981">
      <c r="C9981" s="18" t="n"/>
      <c r="J9981" s="19" t="n"/>
      <c r="P9981" s="20" t="n"/>
      <c r="Q9981" s="19" t="n"/>
      <c r="R9981" s="19" t="n"/>
      <c r="Y9981" s="19" t="n"/>
    </row>
    <row r="9982">
      <c r="C9982" s="18" t="n"/>
      <c r="J9982" s="19" t="n"/>
      <c r="P9982" s="20" t="n"/>
      <c r="Q9982" s="19" t="n"/>
      <c r="R9982" s="19" t="n"/>
      <c r="Y9982" s="19" t="n"/>
    </row>
    <row r="9983">
      <c r="C9983" s="18" t="n"/>
      <c r="J9983" s="19" t="n"/>
      <c r="P9983" s="20" t="n"/>
      <c r="Q9983" s="19" t="n"/>
      <c r="R9983" s="19" t="n"/>
      <c r="Y9983" s="19" t="n"/>
    </row>
    <row r="9984">
      <c r="C9984" s="18" t="n"/>
      <c r="J9984" s="19" t="n"/>
      <c r="P9984" s="20" t="n"/>
      <c r="Q9984" s="19" t="n"/>
      <c r="R9984" s="19" t="n"/>
      <c r="Y9984" s="19" t="n"/>
    </row>
    <row r="9985">
      <c r="C9985" s="18" t="n"/>
      <c r="J9985" s="19" t="n"/>
      <c r="P9985" s="20" t="n"/>
      <c r="Q9985" s="19" t="n"/>
      <c r="R9985" s="19" t="n"/>
      <c r="Y9985" s="19" t="n"/>
    </row>
    <row r="9986">
      <c r="C9986" s="18" t="n"/>
      <c r="J9986" s="19" t="n"/>
      <c r="P9986" s="20" t="n"/>
      <c r="Q9986" s="19" t="n"/>
      <c r="R9986" s="19" t="n"/>
      <c r="Y9986" s="19" t="n"/>
    </row>
    <row r="9987">
      <c r="C9987" s="18" t="n"/>
      <c r="J9987" s="19" t="n"/>
      <c r="P9987" s="20" t="n"/>
      <c r="Q9987" s="19" t="n"/>
      <c r="R9987" s="19" t="n"/>
      <c r="Y9987" s="19" t="n"/>
    </row>
    <row r="9988">
      <c r="C9988" s="18" t="n"/>
      <c r="J9988" s="19" t="n"/>
      <c r="P9988" s="20" t="n"/>
      <c r="Q9988" s="19" t="n"/>
      <c r="R9988" s="19" t="n"/>
      <c r="Y9988" s="19" t="n"/>
    </row>
    <row r="9989">
      <c r="C9989" s="18" t="n"/>
      <c r="J9989" s="19" t="n"/>
      <c r="P9989" s="20" t="n"/>
      <c r="Q9989" s="19" t="n"/>
      <c r="R9989" s="19" t="n"/>
      <c r="Y9989" s="19" t="n"/>
    </row>
    <row r="9990">
      <c r="C9990" s="18" t="n"/>
      <c r="J9990" s="19" t="n"/>
      <c r="P9990" s="20" t="n"/>
      <c r="Q9990" s="19" t="n"/>
      <c r="R9990" s="19" t="n"/>
      <c r="Y9990" s="19" t="n"/>
    </row>
    <row r="9991">
      <c r="C9991" s="18" t="n"/>
      <c r="J9991" s="19" t="n"/>
      <c r="P9991" s="20" t="n"/>
      <c r="Q9991" s="19" t="n"/>
      <c r="R9991" s="19" t="n"/>
      <c r="Y9991" s="19" t="n"/>
    </row>
    <row r="9992">
      <c r="C9992" s="18" t="n"/>
      <c r="J9992" s="19" t="n"/>
      <c r="P9992" s="20" t="n"/>
      <c r="Q9992" s="19" t="n"/>
      <c r="R9992" s="19" t="n"/>
      <c r="Y9992" s="19" t="n"/>
    </row>
    <row r="9993">
      <c r="C9993" s="18" t="n"/>
      <c r="J9993" s="19" t="n"/>
      <c r="P9993" s="20" t="n"/>
      <c r="Q9993" s="19" t="n"/>
      <c r="R9993" s="19" t="n"/>
      <c r="Y9993" s="19" t="n"/>
    </row>
    <row r="9994">
      <c r="C9994" s="18" t="n"/>
      <c r="J9994" s="19" t="n"/>
      <c r="P9994" s="20" t="n"/>
      <c r="Q9994" s="19" t="n"/>
      <c r="R9994" s="19" t="n"/>
      <c r="Y9994" s="19" t="n"/>
    </row>
    <row r="9995">
      <c r="C9995" s="18" t="n"/>
      <c r="J9995" s="19" t="n"/>
      <c r="P9995" s="20" t="n"/>
      <c r="Q9995" s="19" t="n"/>
      <c r="R9995" s="19" t="n"/>
      <c r="Y9995" s="19" t="n"/>
    </row>
    <row r="9996">
      <c r="C9996" s="18" t="n"/>
      <c r="J9996" s="19" t="n"/>
      <c r="P9996" s="20" t="n"/>
      <c r="Q9996" s="19" t="n"/>
      <c r="R9996" s="19" t="n"/>
      <c r="Y9996" s="19" t="n"/>
    </row>
    <row r="9997">
      <c r="C9997" s="18" t="n"/>
      <c r="J9997" s="19" t="n"/>
      <c r="P9997" s="20" t="n"/>
      <c r="Q9997" s="19" t="n"/>
      <c r="R9997" s="19" t="n"/>
      <c r="Y9997" s="19" t="n"/>
    </row>
    <row r="9998">
      <c r="C9998" s="18" t="n"/>
      <c r="J9998" s="19" t="n"/>
      <c r="P9998" s="20" t="n"/>
      <c r="Q9998" s="19" t="n"/>
      <c r="R9998" s="19" t="n"/>
      <c r="Y9998" s="19" t="n"/>
    </row>
    <row r="9999">
      <c r="C9999" s="18" t="n"/>
      <c r="J9999" s="19" t="n"/>
      <c r="P9999" s="20" t="n"/>
      <c r="Q9999" s="19" t="n"/>
      <c r="R9999" s="19" t="n"/>
      <c r="Y9999" s="19" t="n"/>
    </row>
    <row r="10000">
      <c r="C10000" s="18" t="n"/>
      <c r="J10000" s="19" t="n"/>
      <c r="P10000" s="20" t="n"/>
      <c r="Q10000" s="19" t="n"/>
      <c r="R10000" s="19" t="n"/>
      <c r="Y10000" s="19" t="n"/>
    </row>
    <row r="10001">
      <c r="C10001" s="18" t="n"/>
      <c r="J10001" s="19" t="n"/>
      <c r="P10001" s="20" t="n"/>
      <c r="Q10001" s="19" t="n"/>
      <c r="R10001" s="19" t="n"/>
      <c r="Y10001" s="19" t="n"/>
    </row>
    <row r="10002">
      <c r="C10002" s="18" t="n"/>
      <c r="J10002" s="19" t="n"/>
      <c r="P10002" s="20" t="n"/>
      <c r="Q10002" s="19" t="n"/>
      <c r="R10002" s="19" t="n"/>
      <c r="Y10002" s="19" t="n"/>
    </row>
    <row r="10003">
      <c r="C10003" s="18" t="n"/>
      <c r="J10003" s="19" t="n"/>
      <c r="P10003" s="20" t="n"/>
      <c r="Q10003" s="19" t="n"/>
      <c r="R10003" s="19" t="n"/>
      <c r="Y10003" s="19" t="n"/>
    </row>
    <row r="10004">
      <c r="C10004" s="18" t="n"/>
      <c r="J10004" s="19" t="n"/>
      <c r="P10004" s="20" t="n"/>
      <c r="Q10004" s="19" t="n"/>
      <c r="R10004" s="19" t="n"/>
      <c r="Y10004" s="19" t="n"/>
    </row>
    <row r="10005">
      <c r="C10005" s="18" t="n"/>
      <c r="J10005" s="19" t="n"/>
      <c r="P10005" s="20" t="n"/>
      <c r="Q10005" s="19" t="n"/>
      <c r="R10005" s="19" t="n"/>
      <c r="Y10005" s="19" t="n"/>
    </row>
    <row r="10006">
      <c r="C10006" s="18" t="n"/>
      <c r="J10006" s="19" t="n"/>
      <c r="P10006" s="20" t="n"/>
      <c r="Q10006" s="19" t="n"/>
      <c r="R10006" s="19" t="n"/>
      <c r="Y10006" s="19" t="n"/>
    </row>
    <row r="10007">
      <c r="C10007" s="18" t="n"/>
      <c r="J10007" s="19" t="n"/>
      <c r="P10007" s="20" t="n"/>
      <c r="Q10007" s="19" t="n"/>
      <c r="R10007" s="19" t="n"/>
      <c r="Y10007" s="19" t="n"/>
    </row>
    <row r="10008">
      <c r="C10008" s="18" t="n"/>
      <c r="J10008" s="19" t="n"/>
      <c r="P10008" s="20" t="n"/>
      <c r="Q10008" s="19" t="n"/>
      <c r="R10008" s="19" t="n"/>
      <c r="Y10008" s="19" t="n"/>
    </row>
    <row r="10009">
      <c r="C10009" s="18" t="n"/>
      <c r="J10009" s="19" t="n"/>
      <c r="P10009" s="20" t="n"/>
      <c r="Q10009" s="19" t="n"/>
      <c r="R10009" s="19" t="n"/>
      <c r="Y10009" s="19" t="n"/>
    </row>
    <row r="10010">
      <c r="C10010" s="18" t="n"/>
      <c r="J10010" s="19" t="n"/>
      <c r="P10010" s="20" t="n"/>
      <c r="Q10010" s="19" t="n"/>
      <c r="R10010" s="19" t="n"/>
      <c r="Y10010" s="19" t="n"/>
    </row>
    <row r="10011">
      <c r="C10011" s="18" t="n"/>
      <c r="J10011" s="19" t="n"/>
      <c r="P10011" s="20" t="n"/>
      <c r="Q10011" s="19" t="n"/>
      <c r="R10011" s="19" t="n"/>
      <c r="Y10011" s="19" t="n"/>
    </row>
    <row r="10012">
      <c r="C10012" s="18" t="n"/>
      <c r="J10012" s="19" t="n"/>
      <c r="P10012" s="20" t="n"/>
      <c r="Q10012" s="19" t="n"/>
      <c r="R10012" s="19" t="n"/>
      <c r="Y10012" s="19" t="n"/>
    </row>
    <row r="10013">
      <c r="C10013" s="18" t="n"/>
      <c r="J10013" s="19" t="n"/>
      <c r="P10013" s="20" t="n"/>
      <c r="Q10013" s="19" t="n"/>
      <c r="R10013" s="19" t="n"/>
      <c r="Y10013" s="19" t="n"/>
    </row>
    <row r="10014">
      <c r="C10014" s="18" t="n"/>
      <c r="J10014" s="19" t="n"/>
      <c r="P10014" s="20" t="n"/>
      <c r="Q10014" s="19" t="n"/>
      <c r="R10014" s="19" t="n"/>
      <c r="Y10014" s="19" t="n"/>
    </row>
    <row r="10015">
      <c r="C10015" s="18" t="n"/>
      <c r="J10015" s="19" t="n"/>
      <c r="P10015" s="20" t="n"/>
      <c r="Q10015" s="19" t="n"/>
      <c r="R10015" s="19" t="n"/>
      <c r="Y10015" s="19" t="n"/>
    </row>
    <row r="10016">
      <c r="C10016" s="18" t="n"/>
      <c r="J10016" s="19" t="n"/>
      <c r="P10016" s="20" t="n"/>
      <c r="Q10016" s="19" t="n"/>
      <c r="R10016" s="19" t="n"/>
      <c r="Y10016" s="19" t="n"/>
    </row>
    <row r="10017">
      <c r="C10017" s="18" t="n"/>
      <c r="J10017" s="19" t="n"/>
      <c r="P10017" s="20" t="n"/>
      <c r="Q10017" s="19" t="n"/>
      <c r="R10017" s="19" t="n"/>
      <c r="Y10017" s="19" t="n"/>
    </row>
    <row r="10018">
      <c r="C10018" s="18" t="n"/>
      <c r="J10018" s="19" t="n"/>
      <c r="P10018" s="20" t="n"/>
      <c r="Q10018" s="19" t="n"/>
      <c r="R10018" s="19" t="n"/>
      <c r="Y10018" s="19" t="n"/>
    </row>
    <row r="10019">
      <c r="C10019" s="18" t="n"/>
      <c r="J10019" s="19" t="n"/>
      <c r="P10019" s="20" t="n"/>
      <c r="Q10019" s="19" t="n"/>
      <c r="R10019" s="19" t="n"/>
      <c r="Y10019" s="19" t="n"/>
    </row>
    <row r="10020">
      <c r="C10020" s="18" t="n"/>
      <c r="J10020" s="19" t="n"/>
      <c r="P10020" s="20" t="n"/>
      <c r="Q10020" s="19" t="n"/>
      <c r="R10020" s="19" t="n"/>
      <c r="Y10020" s="19" t="n"/>
    </row>
    <row r="10021">
      <c r="C10021" s="18" t="n"/>
      <c r="J10021" s="19" t="n"/>
      <c r="P10021" s="20" t="n"/>
      <c r="Q10021" s="19" t="n"/>
      <c r="R10021" s="19" t="n"/>
      <c r="Y10021" s="19" t="n"/>
    </row>
    <row r="10022">
      <c r="C10022" s="18" t="n"/>
      <c r="J10022" s="19" t="n"/>
      <c r="P10022" s="20" t="n"/>
      <c r="Q10022" s="19" t="n"/>
      <c r="R10022" s="19" t="n"/>
      <c r="Y10022" s="19" t="n"/>
    </row>
    <row r="10023">
      <c r="C10023" s="18" t="n"/>
      <c r="J10023" s="19" t="n"/>
      <c r="P10023" s="20" t="n"/>
      <c r="Q10023" s="19" t="n"/>
      <c r="R10023" s="19" t="n"/>
      <c r="Y10023" s="19" t="n"/>
    </row>
    <row r="10024">
      <c r="C10024" s="18" t="n"/>
      <c r="J10024" s="19" t="n"/>
      <c r="P10024" s="20" t="n"/>
      <c r="Q10024" s="19" t="n"/>
      <c r="R10024" s="19" t="n"/>
      <c r="Y10024" s="19" t="n"/>
    </row>
    <row r="10025">
      <c r="C10025" s="18" t="n"/>
      <c r="J10025" s="19" t="n"/>
      <c r="P10025" s="20" t="n"/>
      <c r="Q10025" s="19" t="n"/>
      <c r="R10025" s="19" t="n"/>
      <c r="Y10025" s="19" t="n"/>
    </row>
    <row r="10026">
      <c r="C10026" s="18" t="n"/>
      <c r="J10026" s="19" t="n"/>
      <c r="P10026" s="20" t="n"/>
      <c r="Q10026" s="19" t="n"/>
      <c r="R10026" s="19" t="n"/>
      <c r="Y10026" s="19" t="n"/>
    </row>
    <row r="10027">
      <c r="C10027" s="18" t="n"/>
      <c r="J10027" s="19" t="n"/>
      <c r="P10027" s="20" t="n"/>
      <c r="Q10027" s="19" t="n"/>
      <c r="R10027" s="19" t="n"/>
      <c r="Y10027" s="19" t="n"/>
    </row>
    <row r="10028">
      <c r="C10028" s="18" t="n"/>
      <c r="J10028" s="19" t="n"/>
      <c r="P10028" s="20" t="n"/>
      <c r="Q10028" s="19" t="n"/>
      <c r="R10028" s="19" t="n"/>
      <c r="Y10028" s="19" t="n"/>
    </row>
    <row r="10029">
      <c r="C10029" s="18" t="n"/>
      <c r="J10029" s="19" t="n"/>
      <c r="P10029" s="20" t="n"/>
      <c r="Q10029" s="19" t="n"/>
      <c r="R10029" s="19" t="n"/>
      <c r="Y10029" s="19" t="n"/>
    </row>
    <row r="10030">
      <c r="C10030" s="18" t="n"/>
      <c r="J10030" s="19" t="n"/>
      <c r="P10030" s="20" t="n"/>
      <c r="Q10030" s="19" t="n"/>
      <c r="R10030" s="19" t="n"/>
      <c r="Y10030" s="19" t="n"/>
    </row>
    <row r="10031">
      <c r="C10031" s="18" t="n"/>
      <c r="J10031" s="19" t="n"/>
      <c r="P10031" s="20" t="n"/>
      <c r="Q10031" s="19" t="n"/>
      <c r="R10031" s="19" t="n"/>
      <c r="Y10031" s="19" t="n"/>
    </row>
    <row r="10032">
      <c r="C10032" s="18" t="n"/>
      <c r="J10032" s="19" t="n"/>
      <c r="P10032" s="20" t="n"/>
      <c r="Q10032" s="19" t="n"/>
      <c r="R10032" s="19" t="n"/>
      <c r="Y10032" s="19" t="n"/>
    </row>
    <row r="10033">
      <c r="C10033" s="18" t="n"/>
      <c r="J10033" s="19" t="n"/>
      <c r="P10033" s="20" t="n"/>
      <c r="Q10033" s="19" t="n"/>
      <c r="R10033" s="19" t="n"/>
      <c r="Y10033" s="19" t="n"/>
    </row>
    <row r="10034">
      <c r="C10034" s="18" t="n"/>
      <c r="J10034" s="19" t="n"/>
      <c r="P10034" s="20" t="n"/>
      <c r="Q10034" s="19" t="n"/>
      <c r="R10034" s="19" t="n"/>
      <c r="Y10034" s="19" t="n"/>
    </row>
    <row r="10035">
      <c r="C10035" s="18" t="n"/>
      <c r="J10035" s="19" t="n"/>
      <c r="P10035" s="20" t="n"/>
      <c r="Q10035" s="19" t="n"/>
      <c r="R10035" s="19" t="n"/>
      <c r="Y10035" s="19" t="n"/>
    </row>
    <row r="10036">
      <c r="C10036" s="18" t="n"/>
      <c r="J10036" s="19" t="n"/>
      <c r="P10036" s="20" t="n"/>
      <c r="Q10036" s="19" t="n"/>
      <c r="R10036" s="19" t="n"/>
      <c r="Y10036" s="19" t="n"/>
    </row>
    <row r="10037">
      <c r="C10037" s="18" t="n"/>
      <c r="J10037" s="19" t="n"/>
      <c r="P10037" s="20" t="n"/>
      <c r="Q10037" s="19" t="n"/>
      <c r="R10037" s="19" t="n"/>
      <c r="Y10037" s="19" t="n"/>
    </row>
    <row r="10038">
      <c r="C10038" s="18" t="n"/>
      <c r="J10038" s="19" t="n"/>
      <c r="P10038" s="20" t="n"/>
      <c r="Q10038" s="19" t="n"/>
      <c r="R10038" s="19" t="n"/>
      <c r="Y10038" s="19" t="n"/>
    </row>
    <row r="10039">
      <c r="C10039" s="18" t="n"/>
      <c r="J10039" s="19" t="n"/>
      <c r="P10039" s="20" t="n"/>
      <c r="Q10039" s="19" t="n"/>
      <c r="R10039" s="19" t="n"/>
      <c r="Y10039" s="19" t="n"/>
    </row>
    <row r="10040">
      <c r="C10040" s="18" t="n"/>
      <c r="J10040" s="19" t="n"/>
      <c r="P10040" s="20" t="n"/>
      <c r="Q10040" s="19" t="n"/>
      <c r="R10040" s="19" t="n"/>
      <c r="Y10040" s="19" t="n"/>
    </row>
    <row r="10041">
      <c r="C10041" s="18" t="n"/>
      <c r="J10041" s="19" t="n"/>
      <c r="P10041" s="20" t="n"/>
      <c r="Q10041" s="19" t="n"/>
      <c r="R10041" s="19" t="n"/>
      <c r="Y10041" s="19" t="n"/>
    </row>
    <row r="10042">
      <c r="C10042" s="18" t="n"/>
      <c r="J10042" s="19" t="n"/>
      <c r="P10042" s="20" t="n"/>
      <c r="Q10042" s="19" t="n"/>
      <c r="R10042" s="19" t="n"/>
      <c r="Y10042" s="19" t="n"/>
    </row>
    <row r="10043">
      <c r="C10043" s="18" t="n"/>
      <c r="J10043" s="19" t="n"/>
      <c r="P10043" s="20" t="n"/>
      <c r="Q10043" s="19" t="n"/>
      <c r="R10043" s="19" t="n"/>
      <c r="Y10043" s="19" t="n"/>
    </row>
    <row r="10044">
      <c r="C10044" s="18" t="n"/>
      <c r="J10044" s="19" t="n"/>
      <c r="P10044" s="20" t="n"/>
      <c r="Q10044" s="19" t="n"/>
      <c r="R10044" s="19" t="n"/>
      <c r="Y10044" s="19" t="n"/>
    </row>
    <row r="10045">
      <c r="C10045" s="18" t="n"/>
      <c r="J10045" s="19" t="n"/>
      <c r="P10045" s="20" t="n"/>
      <c r="Q10045" s="19" t="n"/>
      <c r="R10045" s="19" t="n"/>
      <c r="Y10045" s="19" t="n"/>
    </row>
    <row r="10046">
      <c r="C10046" s="18" t="n"/>
      <c r="J10046" s="19" t="n"/>
      <c r="P10046" s="20" t="n"/>
      <c r="Q10046" s="19" t="n"/>
      <c r="R10046" s="19" t="n"/>
      <c r="Y10046" s="19" t="n"/>
    </row>
    <row r="10047">
      <c r="C10047" s="18" t="n"/>
      <c r="J10047" s="19" t="n"/>
      <c r="P10047" s="20" t="n"/>
      <c r="Q10047" s="19" t="n"/>
      <c r="R10047" s="19" t="n"/>
      <c r="Y10047" s="19" t="n"/>
    </row>
    <row r="10048">
      <c r="C10048" s="18" t="n"/>
      <c r="J10048" s="19" t="n"/>
      <c r="P10048" s="20" t="n"/>
      <c r="Q10048" s="19" t="n"/>
      <c r="R10048" s="19" t="n"/>
      <c r="Y10048" s="19" t="n"/>
    </row>
    <row r="10049">
      <c r="C10049" s="18" t="n"/>
      <c r="J10049" s="19" t="n"/>
      <c r="P10049" s="20" t="n"/>
      <c r="Q10049" s="19" t="n"/>
      <c r="R10049" s="19" t="n"/>
      <c r="Y10049" s="19" t="n"/>
    </row>
    <row r="10050">
      <c r="C10050" s="18" t="n"/>
      <c r="J10050" s="19" t="n"/>
      <c r="P10050" s="20" t="n"/>
      <c r="Q10050" s="19" t="n"/>
      <c r="R10050" s="19" t="n"/>
      <c r="Y10050" s="19" t="n"/>
    </row>
    <row r="10051">
      <c r="C10051" s="18" t="n"/>
      <c r="J10051" s="19" t="n"/>
      <c r="P10051" s="20" t="n"/>
      <c r="Q10051" s="19" t="n"/>
      <c r="R10051" s="19" t="n"/>
      <c r="Y10051" s="19" t="n"/>
    </row>
    <row r="10052">
      <c r="C10052" s="18" t="n"/>
      <c r="J10052" s="19" t="n"/>
      <c r="P10052" s="20" t="n"/>
      <c r="Q10052" s="19" t="n"/>
      <c r="R10052" s="19" t="n"/>
      <c r="Y10052" s="19" t="n"/>
    </row>
    <row r="10053">
      <c r="C10053" s="18" t="n"/>
      <c r="J10053" s="19" t="n"/>
      <c r="P10053" s="20" t="n"/>
      <c r="Q10053" s="19" t="n"/>
      <c r="R10053" s="19" t="n"/>
      <c r="Y10053" s="19" t="n"/>
    </row>
    <row r="10054">
      <c r="C10054" s="18" t="n"/>
      <c r="J10054" s="19" t="n"/>
      <c r="P10054" s="20" t="n"/>
      <c r="Q10054" s="19" t="n"/>
      <c r="R10054" s="19" t="n"/>
      <c r="Y10054" s="19" t="n"/>
    </row>
    <row r="10055">
      <c r="C10055" s="18" t="n"/>
      <c r="J10055" s="19" t="n"/>
      <c r="P10055" s="20" t="n"/>
      <c r="Q10055" s="19" t="n"/>
      <c r="R10055" s="19" t="n"/>
      <c r="Y10055" s="19" t="n"/>
    </row>
    <row r="10056">
      <c r="C10056" s="18" t="n"/>
      <c r="J10056" s="19" t="n"/>
      <c r="P10056" s="20" t="n"/>
      <c r="Q10056" s="19" t="n"/>
      <c r="R10056" s="19" t="n"/>
      <c r="Y10056" s="19" t="n"/>
    </row>
    <row r="10057">
      <c r="C10057" s="18" t="n"/>
      <c r="J10057" s="19" t="n"/>
      <c r="P10057" s="20" t="n"/>
      <c r="Q10057" s="19" t="n"/>
      <c r="R10057" s="19" t="n"/>
      <c r="Y10057" s="19" t="n"/>
    </row>
    <row r="10058">
      <c r="C10058" s="18" t="n"/>
      <c r="J10058" s="19" t="n"/>
      <c r="P10058" s="20" t="n"/>
      <c r="Q10058" s="19" t="n"/>
      <c r="R10058" s="19" t="n"/>
      <c r="Y10058" s="19" t="n"/>
    </row>
    <row r="10059">
      <c r="C10059" s="18" t="n"/>
      <c r="J10059" s="19" t="n"/>
      <c r="P10059" s="20" t="n"/>
      <c r="Q10059" s="19" t="n"/>
      <c r="R10059" s="19" t="n"/>
      <c r="Y10059" s="19" t="n"/>
    </row>
    <row r="10060">
      <c r="C10060" s="18" t="n"/>
      <c r="J10060" s="19" t="n"/>
      <c r="P10060" s="20" t="n"/>
      <c r="Q10060" s="19" t="n"/>
      <c r="R10060" s="19" t="n"/>
      <c r="Y10060" s="19" t="n"/>
    </row>
    <row r="10061">
      <c r="C10061" s="18" t="n"/>
      <c r="J10061" s="19" t="n"/>
      <c r="P10061" s="20" t="n"/>
      <c r="Q10061" s="19" t="n"/>
      <c r="R10061" s="19" t="n"/>
      <c r="Y10061" s="19" t="n"/>
    </row>
    <row r="10062">
      <c r="C10062" s="18" t="n"/>
      <c r="J10062" s="19" t="n"/>
      <c r="P10062" s="20" t="n"/>
      <c r="Q10062" s="19" t="n"/>
      <c r="R10062" s="19" t="n"/>
      <c r="Y10062" s="19" t="n"/>
    </row>
    <row r="10063">
      <c r="C10063" s="18" t="n"/>
      <c r="J10063" s="19" t="n"/>
      <c r="P10063" s="20" t="n"/>
      <c r="Q10063" s="19" t="n"/>
      <c r="R10063" s="19" t="n"/>
      <c r="Y10063" s="19" t="n"/>
    </row>
    <row r="10064">
      <c r="C10064" s="18" t="n"/>
      <c r="J10064" s="19" t="n"/>
      <c r="P10064" s="20" t="n"/>
      <c r="Q10064" s="19" t="n"/>
      <c r="R10064" s="19" t="n"/>
      <c r="Y10064" s="19" t="n"/>
    </row>
    <row r="10065">
      <c r="C10065" s="18" t="n"/>
      <c r="J10065" s="19" t="n"/>
      <c r="P10065" s="20" t="n"/>
      <c r="Q10065" s="19" t="n"/>
      <c r="R10065" s="19" t="n"/>
      <c r="Y10065" s="19" t="n"/>
    </row>
    <row r="10066">
      <c r="C10066" s="18" t="n"/>
      <c r="J10066" s="19" t="n"/>
      <c r="P10066" s="20" t="n"/>
      <c r="Q10066" s="19" t="n"/>
      <c r="R10066" s="19" t="n"/>
      <c r="Y10066" s="19" t="n"/>
    </row>
    <row r="10067">
      <c r="C10067" s="18" t="n"/>
      <c r="J10067" s="19" t="n"/>
      <c r="P10067" s="20" t="n"/>
      <c r="Q10067" s="19" t="n"/>
      <c r="R10067" s="19" t="n"/>
      <c r="Y10067" s="19" t="n"/>
    </row>
    <row r="10068">
      <c r="C10068" s="18" t="n"/>
      <c r="J10068" s="19" t="n"/>
      <c r="P10068" s="20" t="n"/>
      <c r="Q10068" s="19" t="n"/>
      <c r="R10068" s="19" t="n"/>
      <c r="Y10068" s="19" t="n"/>
    </row>
    <row r="10069">
      <c r="C10069" s="18" t="n"/>
      <c r="J10069" s="19" t="n"/>
      <c r="P10069" s="20" t="n"/>
      <c r="Q10069" s="19" t="n"/>
      <c r="R10069" s="19" t="n"/>
      <c r="Y10069" s="19" t="n"/>
    </row>
    <row r="10070">
      <c r="C10070" s="18" t="n"/>
      <c r="J10070" s="19" t="n"/>
      <c r="P10070" s="20" t="n"/>
      <c r="Q10070" s="19" t="n"/>
      <c r="R10070" s="19" t="n"/>
      <c r="Y10070" s="19" t="n"/>
    </row>
    <row r="10071">
      <c r="C10071" s="18" t="n"/>
      <c r="J10071" s="19" t="n"/>
      <c r="P10071" s="20" t="n"/>
      <c r="Q10071" s="19" t="n"/>
      <c r="R10071" s="19" t="n"/>
      <c r="Y10071" s="19" t="n"/>
    </row>
    <row r="10072">
      <c r="C10072" s="18" t="n"/>
      <c r="J10072" s="19" t="n"/>
      <c r="P10072" s="20" t="n"/>
      <c r="Q10072" s="19" t="n"/>
      <c r="R10072" s="19" t="n"/>
      <c r="Y10072" s="19" t="n"/>
    </row>
    <row r="10073">
      <c r="C10073" s="18" t="n"/>
      <c r="J10073" s="19" t="n"/>
      <c r="P10073" s="20" t="n"/>
      <c r="Q10073" s="19" t="n"/>
      <c r="R10073" s="19" t="n"/>
      <c r="Y10073" s="19" t="n"/>
    </row>
    <row r="10074">
      <c r="C10074" s="18" t="n"/>
      <c r="J10074" s="19" t="n"/>
      <c r="P10074" s="20" t="n"/>
      <c r="Q10074" s="19" t="n"/>
      <c r="R10074" s="19" t="n"/>
      <c r="Y10074" s="19" t="n"/>
    </row>
    <row r="10075">
      <c r="C10075" s="18" t="n"/>
      <c r="J10075" s="19" t="n"/>
      <c r="P10075" s="20" t="n"/>
      <c r="Q10075" s="19" t="n"/>
      <c r="R10075" s="19" t="n"/>
      <c r="Y10075" s="19" t="n"/>
    </row>
    <row r="10076">
      <c r="C10076" s="18" t="n"/>
      <c r="J10076" s="19" t="n"/>
      <c r="P10076" s="20" t="n"/>
      <c r="Q10076" s="19" t="n"/>
      <c r="R10076" s="19" t="n"/>
      <c r="Y10076" s="19" t="n"/>
    </row>
    <row r="10077">
      <c r="C10077" s="18" t="n"/>
      <c r="J10077" s="19" t="n"/>
      <c r="P10077" s="20" t="n"/>
      <c r="Q10077" s="19" t="n"/>
      <c r="R10077" s="19" t="n"/>
      <c r="Y10077" s="19" t="n"/>
    </row>
    <row r="10078">
      <c r="C10078" s="18" t="n"/>
      <c r="J10078" s="19" t="n"/>
      <c r="P10078" s="20" t="n"/>
      <c r="Q10078" s="19" t="n"/>
      <c r="R10078" s="19" t="n"/>
      <c r="Y10078" s="19" t="n"/>
    </row>
    <row r="10079">
      <c r="C10079" s="18" t="n"/>
      <c r="J10079" s="19" t="n"/>
      <c r="P10079" s="20" t="n"/>
      <c r="Q10079" s="19" t="n"/>
      <c r="R10079" s="19" t="n"/>
      <c r="Y10079" s="19" t="n"/>
    </row>
    <row r="10080">
      <c r="C10080" s="18" t="n"/>
      <c r="J10080" s="19" t="n"/>
      <c r="P10080" s="20" t="n"/>
      <c r="Q10080" s="19" t="n"/>
      <c r="R10080" s="19" t="n"/>
      <c r="Y10080" s="19" t="n"/>
    </row>
    <row r="10081">
      <c r="C10081" s="18" t="n"/>
      <c r="J10081" s="19" t="n"/>
      <c r="P10081" s="20" t="n"/>
      <c r="Q10081" s="19" t="n"/>
      <c r="R10081" s="19" t="n"/>
      <c r="Y10081" s="19" t="n"/>
    </row>
    <row r="10082">
      <c r="C10082" s="18" t="n"/>
      <c r="J10082" s="19" t="n"/>
      <c r="P10082" s="20" t="n"/>
      <c r="Q10082" s="19" t="n"/>
      <c r="R10082" s="19" t="n"/>
      <c r="Y10082" s="19" t="n"/>
    </row>
    <row r="10083">
      <c r="C10083" s="18" t="n"/>
      <c r="J10083" s="19" t="n"/>
      <c r="P10083" s="20" t="n"/>
      <c r="Q10083" s="19" t="n"/>
      <c r="R10083" s="19" t="n"/>
      <c r="Y10083" s="19" t="n"/>
    </row>
    <row r="10084">
      <c r="C10084" s="18" t="n"/>
      <c r="J10084" s="19" t="n"/>
      <c r="P10084" s="20" t="n"/>
      <c r="Q10084" s="19" t="n"/>
      <c r="R10084" s="19" t="n"/>
      <c r="Y10084" s="19" t="n"/>
    </row>
    <row r="10085">
      <c r="C10085" s="18" t="n"/>
      <c r="J10085" s="19" t="n"/>
      <c r="P10085" s="20" t="n"/>
      <c r="Q10085" s="19" t="n"/>
      <c r="R10085" s="19" t="n"/>
      <c r="Y10085" s="19" t="n"/>
    </row>
    <row r="10086">
      <c r="C10086" s="18" t="n"/>
      <c r="J10086" s="19" t="n"/>
      <c r="P10086" s="20" t="n"/>
      <c r="Q10086" s="19" t="n"/>
      <c r="R10086" s="19" t="n"/>
      <c r="Y10086" s="19" t="n"/>
    </row>
    <row r="10087">
      <c r="C10087" s="18" t="n"/>
      <c r="J10087" s="19" t="n"/>
      <c r="P10087" s="20" t="n"/>
      <c r="Q10087" s="19" t="n"/>
      <c r="R10087" s="19" t="n"/>
      <c r="Y10087" s="19" t="n"/>
    </row>
    <row r="10088">
      <c r="C10088" s="18" t="n"/>
      <c r="J10088" s="19" t="n"/>
      <c r="P10088" s="20" t="n"/>
      <c r="Q10088" s="19" t="n"/>
      <c r="R10088" s="19" t="n"/>
      <c r="Y10088" s="19" t="n"/>
    </row>
    <row r="10089">
      <c r="C10089" s="18" t="n"/>
      <c r="J10089" s="19" t="n"/>
      <c r="P10089" s="20" t="n"/>
      <c r="Q10089" s="19" t="n"/>
      <c r="R10089" s="19" t="n"/>
      <c r="Y10089" s="19" t="n"/>
    </row>
    <row r="10090">
      <c r="C10090" s="18" t="n"/>
      <c r="J10090" s="19" t="n"/>
      <c r="P10090" s="20" t="n"/>
      <c r="Q10090" s="19" t="n"/>
      <c r="R10090" s="19" t="n"/>
      <c r="Y10090" s="19" t="n"/>
    </row>
    <row r="10091">
      <c r="C10091" s="18" t="n"/>
      <c r="J10091" s="19" t="n"/>
      <c r="P10091" s="20" t="n"/>
      <c r="Q10091" s="19" t="n"/>
      <c r="R10091" s="19" t="n"/>
      <c r="Y10091" s="19" t="n"/>
    </row>
    <row r="10092">
      <c r="C10092" s="18" t="n"/>
      <c r="J10092" s="19" t="n"/>
      <c r="P10092" s="20" t="n"/>
      <c r="Q10092" s="19" t="n"/>
      <c r="R10092" s="19" t="n"/>
      <c r="Y10092" s="19" t="n"/>
    </row>
    <row r="10093">
      <c r="C10093" s="18" t="n"/>
      <c r="J10093" s="19" t="n"/>
      <c r="P10093" s="20" t="n"/>
      <c r="Q10093" s="19" t="n"/>
      <c r="R10093" s="19" t="n"/>
      <c r="Y10093" s="19" t="n"/>
    </row>
    <row r="10094">
      <c r="C10094" s="18" t="n"/>
      <c r="J10094" s="19" t="n"/>
      <c r="P10094" s="20" t="n"/>
      <c r="Q10094" s="19" t="n"/>
      <c r="R10094" s="19" t="n"/>
      <c r="Y10094" s="19" t="n"/>
    </row>
    <row r="10095">
      <c r="C10095" s="18" t="n"/>
      <c r="J10095" s="19" t="n"/>
      <c r="P10095" s="20" t="n"/>
      <c r="Q10095" s="19" t="n"/>
      <c r="R10095" s="19" t="n"/>
      <c r="Y10095" s="19" t="n"/>
    </row>
    <row r="10096">
      <c r="C10096" s="18" t="n"/>
      <c r="J10096" s="19" t="n"/>
      <c r="P10096" s="20" t="n"/>
      <c r="Q10096" s="19" t="n"/>
      <c r="R10096" s="19" t="n"/>
      <c r="Y10096" s="19" t="n"/>
    </row>
    <row r="10097">
      <c r="C10097" s="18" t="n"/>
      <c r="J10097" s="19" t="n"/>
      <c r="P10097" s="20" t="n"/>
      <c r="Q10097" s="19" t="n"/>
      <c r="R10097" s="19" t="n"/>
      <c r="Y10097" s="19" t="n"/>
    </row>
    <row r="10098">
      <c r="C10098" s="18" t="n"/>
      <c r="J10098" s="19" t="n"/>
      <c r="P10098" s="20" t="n"/>
      <c r="Q10098" s="19" t="n"/>
      <c r="R10098" s="19" t="n"/>
      <c r="Y10098" s="19" t="n"/>
    </row>
    <row r="10099">
      <c r="C10099" s="18" t="n"/>
      <c r="J10099" s="19" t="n"/>
      <c r="P10099" s="20" t="n"/>
      <c r="Q10099" s="19" t="n"/>
      <c r="R10099" s="19" t="n"/>
      <c r="Y10099" s="19" t="n"/>
    </row>
    <row r="10100">
      <c r="C10100" s="18" t="n"/>
      <c r="J10100" s="19" t="n"/>
      <c r="P10100" s="20" t="n"/>
      <c r="Q10100" s="19" t="n"/>
      <c r="R10100" s="19" t="n"/>
      <c r="Y10100" s="19" t="n"/>
    </row>
    <row r="10101">
      <c r="C10101" s="18" t="n"/>
      <c r="J10101" s="19" t="n"/>
      <c r="P10101" s="20" t="n"/>
      <c r="Q10101" s="19" t="n"/>
      <c r="R10101" s="19" t="n"/>
      <c r="Y10101" s="19" t="n"/>
    </row>
    <row r="10102">
      <c r="C10102" s="18" t="n"/>
      <c r="J10102" s="19" t="n"/>
      <c r="P10102" s="20" t="n"/>
      <c r="Q10102" s="19" t="n"/>
      <c r="R10102" s="19" t="n"/>
      <c r="Y10102" s="19" t="n"/>
    </row>
    <row r="10103">
      <c r="C10103" s="18" t="n"/>
      <c r="J10103" s="19" t="n"/>
      <c r="P10103" s="20" t="n"/>
      <c r="Q10103" s="19" t="n"/>
      <c r="R10103" s="19" t="n"/>
      <c r="Y10103" s="19" t="n"/>
    </row>
    <row r="10104">
      <c r="C10104" s="18" t="n"/>
      <c r="J10104" s="19" t="n"/>
      <c r="P10104" s="20" t="n"/>
      <c r="Q10104" s="19" t="n"/>
      <c r="R10104" s="19" t="n"/>
      <c r="Y10104" s="19" t="n"/>
    </row>
    <row r="10105">
      <c r="C10105" s="18" t="n"/>
      <c r="J10105" s="19" t="n"/>
      <c r="P10105" s="20" t="n"/>
      <c r="Q10105" s="19" t="n"/>
      <c r="R10105" s="19" t="n"/>
      <c r="Y10105" s="19" t="n"/>
    </row>
    <row r="10106">
      <c r="C10106" s="18" t="n"/>
      <c r="J10106" s="19" t="n"/>
      <c r="P10106" s="20" t="n"/>
      <c r="Q10106" s="19" t="n"/>
      <c r="R10106" s="19" t="n"/>
      <c r="Y10106" s="19" t="n"/>
    </row>
    <row r="10107">
      <c r="C10107" s="18" t="n"/>
      <c r="J10107" s="19" t="n"/>
      <c r="P10107" s="20" t="n"/>
      <c r="Q10107" s="19" t="n"/>
      <c r="R10107" s="19" t="n"/>
      <c r="Y10107" s="19" t="n"/>
    </row>
    <row r="10108">
      <c r="C10108" s="18" t="n"/>
      <c r="J10108" s="19" t="n"/>
      <c r="P10108" s="20" t="n"/>
      <c r="Q10108" s="19" t="n"/>
      <c r="R10108" s="19" t="n"/>
      <c r="Y10108" s="19" t="n"/>
    </row>
    <row r="10109">
      <c r="C10109" s="18" t="n"/>
      <c r="J10109" s="19" t="n"/>
      <c r="P10109" s="20" t="n"/>
      <c r="Q10109" s="19" t="n"/>
      <c r="R10109" s="19" t="n"/>
      <c r="Y10109" s="19" t="n"/>
    </row>
    <row r="10110">
      <c r="C10110" s="18" t="n"/>
      <c r="J10110" s="19" t="n"/>
      <c r="P10110" s="20" t="n"/>
      <c r="Q10110" s="19" t="n"/>
      <c r="R10110" s="19" t="n"/>
      <c r="Y10110" s="19" t="n"/>
    </row>
    <row r="10111">
      <c r="C10111" s="18" t="n"/>
      <c r="J10111" s="19" t="n"/>
      <c r="P10111" s="20" t="n"/>
      <c r="Q10111" s="19" t="n"/>
      <c r="R10111" s="19" t="n"/>
      <c r="Y10111" s="19" t="n"/>
    </row>
    <row r="10112">
      <c r="C10112" s="18" t="n"/>
      <c r="J10112" s="19" t="n"/>
      <c r="P10112" s="20" t="n"/>
      <c r="Q10112" s="19" t="n"/>
      <c r="R10112" s="19" t="n"/>
      <c r="Y10112" s="19" t="n"/>
    </row>
    <row r="10113">
      <c r="C10113" s="18" t="n"/>
      <c r="J10113" s="19" t="n"/>
      <c r="P10113" s="20" t="n"/>
      <c r="Q10113" s="19" t="n"/>
      <c r="R10113" s="19" t="n"/>
      <c r="Y10113" s="19" t="n"/>
    </row>
    <row r="10114">
      <c r="C10114" s="18" t="n"/>
      <c r="J10114" s="19" t="n"/>
      <c r="P10114" s="20" t="n"/>
      <c r="Q10114" s="19" t="n"/>
      <c r="R10114" s="19" t="n"/>
      <c r="Y10114" s="19" t="n"/>
    </row>
    <row r="10115">
      <c r="C10115" s="18" t="n"/>
      <c r="J10115" s="19" t="n"/>
      <c r="P10115" s="20" t="n"/>
      <c r="Q10115" s="19" t="n"/>
      <c r="R10115" s="19" t="n"/>
      <c r="Y10115" s="19" t="n"/>
    </row>
    <row r="10116">
      <c r="C10116" s="18" t="n"/>
      <c r="J10116" s="19" t="n"/>
      <c r="P10116" s="20" t="n"/>
      <c r="Q10116" s="19" t="n"/>
      <c r="R10116" s="19" t="n"/>
      <c r="Y10116" s="19" t="n"/>
    </row>
    <row r="10117">
      <c r="C10117" s="18" t="n"/>
      <c r="J10117" s="19" t="n"/>
      <c r="P10117" s="20" t="n"/>
      <c r="Q10117" s="19" t="n"/>
      <c r="R10117" s="19" t="n"/>
      <c r="Y10117" s="19" t="n"/>
    </row>
    <row r="10118">
      <c r="C10118" s="18" t="n"/>
      <c r="J10118" s="19" t="n"/>
      <c r="P10118" s="20" t="n"/>
      <c r="Q10118" s="19" t="n"/>
      <c r="R10118" s="19" t="n"/>
      <c r="Y10118" s="19" t="n"/>
    </row>
    <row r="10119">
      <c r="C10119" s="18" t="n"/>
      <c r="J10119" s="19" t="n"/>
      <c r="P10119" s="20" t="n"/>
      <c r="Q10119" s="19" t="n"/>
      <c r="R10119" s="19" t="n"/>
      <c r="Y10119" s="19" t="n"/>
    </row>
    <row r="10120">
      <c r="C10120" s="18" t="n"/>
      <c r="J10120" s="19" t="n"/>
      <c r="P10120" s="20" t="n"/>
      <c r="Q10120" s="19" t="n"/>
      <c r="R10120" s="19" t="n"/>
      <c r="Y10120" s="19" t="n"/>
    </row>
    <row r="10121">
      <c r="C10121" s="18" t="n"/>
      <c r="J10121" s="19" t="n"/>
      <c r="P10121" s="20" t="n"/>
      <c r="Q10121" s="19" t="n"/>
      <c r="R10121" s="19" t="n"/>
      <c r="Y10121" s="19" t="n"/>
    </row>
    <row r="10122">
      <c r="C10122" s="18" t="n"/>
      <c r="J10122" s="19" t="n"/>
      <c r="P10122" s="20" t="n"/>
      <c r="Q10122" s="19" t="n"/>
      <c r="R10122" s="19" t="n"/>
      <c r="Y10122" s="19" t="n"/>
    </row>
    <row r="10123">
      <c r="C10123" s="18" t="n"/>
      <c r="J10123" s="19" t="n"/>
      <c r="P10123" s="20" t="n"/>
      <c r="Q10123" s="19" t="n"/>
      <c r="R10123" s="19" t="n"/>
      <c r="Y10123" s="19" t="n"/>
    </row>
    <row r="10124">
      <c r="C10124" s="18" t="n"/>
      <c r="J10124" s="19" t="n"/>
      <c r="P10124" s="20" t="n"/>
      <c r="Q10124" s="19" t="n"/>
      <c r="R10124" s="19" t="n"/>
      <c r="Y10124" s="19" t="n"/>
    </row>
    <row r="10125">
      <c r="C10125" s="18" t="n"/>
      <c r="J10125" s="19" t="n"/>
      <c r="P10125" s="20" t="n"/>
      <c r="Q10125" s="19" t="n"/>
      <c r="R10125" s="19" t="n"/>
      <c r="Y10125" s="19" t="n"/>
    </row>
    <row r="10126">
      <c r="C10126" s="18" t="n"/>
      <c r="J10126" s="19" t="n"/>
      <c r="P10126" s="20" t="n"/>
      <c r="Q10126" s="19" t="n"/>
      <c r="R10126" s="19" t="n"/>
      <c r="Y10126" s="19" t="n"/>
    </row>
    <row r="10127">
      <c r="C10127" s="18" t="n"/>
      <c r="J10127" s="19" t="n"/>
      <c r="P10127" s="20" t="n"/>
      <c r="Q10127" s="19" t="n"/>
      <c r="R10127" s="19" t="n"/>
      <c r="Y10127" s="19" t="n"/>
    </row>
    <row r="10128">
      <c r="C10128" s="18" t="n"/>
      <c r="J10128" s="19" t="n"/>
      <c r="P10128" s="20" t="n"/>
      <c r="Q10128" s="19" t="n"/>
      <c r="R10128" s="19" t="n"/>
      <c r="Y10128" s="19" t="n"/>
    </row>
    <row r="10129">
      <c r="C10129" s="18" t="n"/>
      <c r="J10129" s="19" t="n"/>
      <c r="P10129" s="20" t="n"/>
      <c r="Q10129" s="19" t="n"/>
      <c r="R10129" s="19" t="n"/>
      <c r="Y10129" s="19" t="n"/>
    </row>
    <row r="10130">
      <c r="C10130" s="18" t="n"/>
      <c r="J10130" s="19" t="n"/>
      <c r="P10130" s="20" t="n"/>
      <c r="Q10130" s="19" t="n"/>
      <c r="R10130" s="19" t="n"/>
      <c r="Y10130" s="19" t="n"/>
    </row>
    <row r="10131">
      <c r="C10131" s="18" t="n"/>
      <c r="J10131" s="19" t="n"/>
      <c r="P10131" s="20" t="n"/>
      <c r="Q10131" s="19" t="n"/>
      <c r="R10131" s="19" t="n"/>
      <c r="Y10131" s="19" t="n"/>
    </row>
    <row r="10132">
      <c r="C10132" s="18" t="n"/>
      <c r="J10132" s="19" t="n"/>
      <c r="P10132" s="20" t="n"/>
      <c r="Q10132" s="19" t="n"/>
      <c r="R10132" s="19" t="n"/>
      <c r="Y10132" s="19" t="n"/>
    </row>
    <row r="10133">
      <c r="C10133" s="18" t="n"/>
      <c r="J10133" s="19" t="n"/>
      <c r="P10133" s="20" t="n"/>
      <c r="Q10133" s="19" t="n"/>
      <c r="R10133" s="19" t="n"/>
      <c r="Y10133" s="19" t="n"/>
    </row>
    <row r="10134">
      <c r="C10134" s="18" t="n"/>
      <c r="J10134" s="19" t="n"/>
      <c r="P10134" s="20" t="n"/>
      <c r="Q10134" s="19" t="n"/>
      <c r="R10134" s="19" t="n"/>
      <c r="Y10134" s="19" t="n"/>
    </row>
    <row r="10135">
      <c r="C10135" s="18" t="n"/>
      <c r="J10135" s="19" t="n"/>
      <c r="P10135" s="20" t="n"/>
      <c r="Q10135" s="19" t="n"/>
      <c r="R10135" s="19" t="n"/>
      <c r="Y10135" s="19" t="n"/>
    </row>
    <row r="10136">
      <c r="C10136" s="18" t="n"/>
      <c r="J10136" s="19" t="n"/>
      <c r="P10136" s="20" t="n"/>
      <c r="Q10136" s="19" t="n"/>
      <c r="R10136" s="19" t="n"/>
      <c r="Y10136" s="19" t="n"/>
    </row>
    <row r="10137">
      <c r="C10137" s="18" t="n"/>
      <c r="J10137" s="19" t="n"/>
      <c r="P10137" s="20" t="n"/>
      <c r="Q10137" s="19" t="n"/>
      <c r="R10137" s="19" t="n"/>
      <c r="Y10137" s="19" t="n"/>
    </row>
    <row r="10138">
      <c r="C10138" s="18" t="n"/>
      <c r="J10138" s="19" t="n"/>
      <c r="P10138" s="20" t="n"/>
      <c r="Q10138" s="19" t="n"/>
      <c r="R10138" s="19" t="n"/>
      <c r="Y10138" s="19" t="n"/>
    </row>
    <row r="10139">
      <c r="C10139" s="18" t="n"/>
      <c r="J10139" s="19" t="n"/>
      <c r="P10139" s="20" t="n"/>
      <c r="Q10139" s="19" t="n"/>
      <c r="R10139" s="19" t="n"/>
      <c r="Y10139" s="19" t="n"/>
    </row>
    <row r="10140">
      <c r="C10140" s="18" t="n"/>
      <c r="J10140" s="19" t="n"/>
      <c r="P10140" s="20" t="n"/>
      <c r="Q10140" s="19" t="n"/>
      <c r="R10140" s="19" t="n"/>
      <c r="Y10140" s="19" t="n"/>
    </row>
    <row r="10141">
      <c r="C10141" s="18" t="n"/>
      <c r="J10141" s="19" t="n"/>
      <c r="P10141" s="20" t="n"/>
      <c r="Q10141" s="19" t="n"/>
      <c r="R10141" s="19" t="n"/>
      <c r="Y10141" s="19" t="n"/>
    </row>
    <row r="10142">
      <c r="C10142" s="18" t="n"/>
      <c r="J10142" s="19" t="n"/>
      <c r="P10142" s="20" t="n"/>
      <c r="Q10142" s="19" t="n"/>
      <c r="R10142" s="19" t="n"/>
      <c r="Y10142" s="19" t="n"/>
    </row>
    <row r="10143">
      <c r="C10143" s="18" t="n"/>
      <c r="J10143" s="19" t="n"/>
      <c r="P10143" s="20" t="n"/>
      <c r="Q10143" s="19" t="n"/>
      <c r="R10143" s="19" t="n"/>
      <c r="Y10143" s="19" t="n"/>
    </row>
    <row r="10144">
      <c r="C10144" s="18" t="n"/>
      <c r="J10144" s="19" t="n"/>
      <c r="P10144" s="20" t="n"/>
      <c r="Q10144" s="19" t="n"/>
      <c r="R10144" s="19" t="n"/>
      <c r="Y10144" s="19" t="n"/>
    </row>
    <row r="10145">
      <c r="C10145" s="18" t="n"/>
      <c r="J10145" s="19" t="n"/>
      <c r="P10145" s="20" t="n"/>
      <c r="Q10145" s="19" t="n"/>
      <c r="R10145" s="19" t="n"/>
      <c r="Y10145" s="19" t="n"/>
    </row>
    <row r="10146">
      <c r="C10146" s="18" t="n"/>
      <c r="J10146" s="19" t="n"/>
      <c r="P10146" s="20" t="n"/>
      <c r="Q10146" s="19" t="n"/>
      <c r="R10146" s="19" t="n"/>
      <c r="Y10146" s="19" t="n"/>
    </row>
    <row r="10147">
      <c r="C10147" s="18" t="n"/>
      <c r="J10147" s="19" t="n"/>
      <c r="P10147" s="20" t="n"/>
      <c r="Q10147" s="19" t="n"/>
      <c r="R10147" s="19" t="n"/>
      <c r="Y10147" s="19" t="n"/>
    </row>
    <row r="10148">
      <c r="C10148" s="18" t="n"/>
      <c r="J10148" s="19" t="n"/>
      <c r="P10148" s="20" t="n"/>
      <c r="Q10148" s="19" t="n"/>
      <c r="R10148" s="19" t="n"/>
      <c r="Y10148" s="19" t="n"/>
    </row>
    <row r="10149">
      <c r="C10149" s="18" t="n"/>
      <c r="J10149" s="19" t="n"/>
      <c r="P10149" s="20" t="n"/>
      <c r="Q10149" s="19" t="n"/>
      <c r="R10149" s="19" t="n"/>
      <c r="Y10149" s="19" t="n"/>
    </row>
    <row r="10150">
      <c r="C10150" s="18" t="n"/>
      <c r="J10150" s="19" t="n"/>
      <c r="P10150" s="20" t="n"/>
      <c r="Q10150" s="19" t="n"/>
      <c r="R10150" s="19" t="n"/>
      <c r="Y10150" s="19" t="n"/>
    </row>
    <row r="10151">
      <c r="C10151" s="18" t="n"/>
      <c r="J10151" s="19" t="n"/>
      <c r="P10151" s="20" t="n"/>
      <c r="Q10151" s="19" t="n"/>
      <c r="R10151" s="19" t="n"/>
      <c r="Y10151" s="19" t="n"/>
    </row>
    <row r="10152">
      <c r="C10152" s="18" t="n"/>
      <c r="J10152" s="19" t="n"/>
      <c r="P10152" s="20" t="n"/>
      <c r="Q10152" s="19" t="n"/>
      <c r="R10152" s="19" t="n"/>
      <c r="Y10152" s="19" t="n"/>
    </row>
    <row r="10153">
      <c r="C10153" s="18" t="n"/>
      <c r="J10153" s="19" t="n"/>
      <c r="P10153" s="20" t="n"/>
      <c r="Q10153" s="19" t="n"/>
      <c r="R10153" s="19" t="n"/>
      <c r="Y10153" s="19" t="n"/>
    </row>
    <row r="10154">
      <c r="C10154" s="18" t="n"/>
      <c r="J10154" s="19" t="n"/>
      <c r="P10154" s="20" t="n"/>
      <c r="Q10154" s="19" t="n"/>
      <c r="R10154" s="19" t="n"/>
      <c r="Y10154" s="19" t="n"/>
    </row>
    <row r="10155">
      <c r="C10155" s="18" t="n"/>
      <c r="J10155" s="19" t="n"/>
      <c r="P10155" s="20" t="n"/>
      <c r="Q10155" s="19" t="n"/>
      <c r="R10155" s="19" t="n"/>
      <c r="Y10155" s="19" t="n"/>
    </row>
    <row r="10156">
      <c r="C10156" s="18" t="n"/>
      <c r="J10156" s="19" t="n"/>
      <c r="P10156" s="20" t="n"/>
      <c r="Q10156" s="19" t="n"/>
      <c r="R10156" s="19" t="n"/>
      <c r="Y10156" s="19" t="n"/>
    </row>
    <row r="10157">
      <c r="C10157" s="18" t="n"/>
      <c r="J10157" s="19" t="n"/>
      <c r="P10157" s="20" t="n"/>
      <c r="Q10157" s="19" t="n"/>
      <c r="R10157" s="19" t="n"/>
      <c r="Y10157" s="19" t="n"/>
    </row>
    <row r="10158">
      <c r="C10158" s="18" t="n"/>
      <c r="J10158" s="19" t="n"/>
      <c r="P10158" s="20" t="n"/>
      <c r="Q10158" s="19" t="n"/>
      <c r="R10158" s="19" t="n"/>
      <c r="Y10158" s="19" t="n"/>
    </row>
    <row r="10159">
      <c r="C10159" s="18" t="n"/>
      <c r="J10159" s="19" t="n"/>
      <c r="P10159" s="20" t="n"/>
      <c r="Q10159" s="19" t="n"/>
      <c r="R10159" s="19" t="n"/>
      <c r="Y10159" s="19" t="n"/>
    </row>
    <row r="10160">
      <c r="C10160" s="18" t="n"/>
      <c r="J10160" s="19" t="n"/>
      <c r="P10160" s="20" t="n"/>
      <c r="Q10160" s="19" t="n"/>
      <c r="R10160" s="19" t="n"/>
      <c r="Y10160" s="19" t="n"/>
    </row>
    <row r="10161">
      <c r="C10161" s="18" t="n"/>
      <c r="J10161" s="19" t="n"/>
      <c r="P10161" s="20" t="n"/>
      <c r="Q10161" s="19" t="n"/>
      <c r="R10161" s="19" t="n"/>
      <c r="Y10161" s="19" t="n"/>
    </row>
    <row r="10162">
      <c r="C10162" s="18" t="n"/>
      <c r="J10162" s="19" t="n"/>
      <c r="P10162" s="20" t="n"/>
      <c r="Q10162" s="19" t="n"/>
      <c r="R10162" s="19" t="n"/>
      <c r="Y10162" s="19" t="n"/>
    </row>
    <row r="10163">
      <c r="C10163" s="18" t="n"/>
      <c r="J10163" s="19" t="n"/>
      <c r="P10163" s="20" t="n"/>
      <c r="Q10163" s="19" t="n"/>
      <c r="R10163" s="19" t="n"/>
      <c r="Y10163" s="19" t="n"/>
    </row>
    <row r="10164">
      <c r="C10164" s="18" t="n"/>
      <c r="J10164" s="19" t="n"/>
      <c r="P10164" s="20" t="n"/>
      <c r="Q10164" s="19" t="n"/>
      <c r="R10164" s="19" t="n"/>
      <c r="Y10164" s="19" t="n"/>
    </row>
    <row r="10165">
      <c r="C10165" s="18" t="n"/>
      <c r="J10165" s="19" t="n"/>
      <c r="P10165" s="20" t="n"/>
      <c r="Q10165" s="19" t="n"/>
      <c r="R10165" s="19" t="n"/>
      <c r="Y10165" s="19" t="n"/>
    </row>
    <row r="10166">
      <c r="C10166" s="18" t="n"/>
      <c r="J10166" s="19" t="n"/>
      <c r="P10166" s="20" t="n"/>
      <c r="Q10166" s="19" t="n"/>
      <c r="R10166" s="19" t="n"/>
      <c r="Y10166" s="19" t="n"/>
    </row>
    <row r="10167">
      <c r="C10167" s="18" t="n"/>
      <c r="J10167" s="19" t="n"/>
      <c r="P10167" s="20" t="n"/>
      <c r="Q10167" s="19" t="n"/>
      <c r="R10167" s="19" t="n"/>
      <c r="Y10167" s="19" t="n"/>
    </row>
    <row r="10168">
      <c r="C10168" s="18" t="n"/>
      <c r="J10168" s="19" t="n"/>
      <c r="P10168" s="20" t="n"/>
      <c r="Q10168" s="19" t="n"/>
      <c r="R10168" s="19" t="n"/>
      <c r="Y10168" s="19" t="n"/>
    </row>
    <row r="10169">
      <c r="C10169" s="18" t="n"/>
      <c r="J10169" s="19" t="n"/>
      <c r="P10169" s="20" t="n"/>
      <c r="Q10169" s="19" t="n"/>
      <c r="R10169" s="19" t="n"/>
      <c r="Y10169" s="19" t="n"/>
    </row>
    <row r="10170">
      <c r="C10170" s="18" t="n"/>
      <c r="J10170" s="19" t="n"/>
      <c r="P10170" s="20" t="n"/>
      <c r="Q10170" s="19" t="n"/>
      <c r="R10170" s="19" t="n"/>
      <c r="Y10170" s="19" t="n"/>
    </row>
    <row r="10171">
      <c r="C10171" s="18" t="n"/>
      <c r="J10171" s="19" t="n"/>
      <c r="P10171" s="20" t="n"/>
      <c r="Q10171" s="19" t="n"/>
      <c r="R10171" s="19" t="n"/>
      <c r="Y10171" s="19" t="n"/>
    </row>
    <row r="10172">
      <c r="C10172" s="18" t="n"/>
      <c r="J10172" s="19" t="n"/>
      <c r="P10172" s="20" t="n"/>
      <c r="Q10172" s="19" t="n"/>
      <c r="R10172" s="19" t="n"/>
      <c r="Y10172" s="19" t="n"/>
    </row>
    <row r="10173">
      <c r="C10173" s="18" t="n"/>
      <c r="J10173" s="19" t="n"/>
      <c r="P10173" s="20" t="n"/>
      <c r="Q10173" s="19" t="n"/>
      <c r="R10173" s="19" t="n"/>
      <c r="Y10173" s="19" t="n"/>
    </row>
    <row r="10174">
      <c r="C10174" s="18" t="n"/>
      <c r="J10174" s="19" t="n"/>
      <c r="P10174" s="20" t="n"/>
      <c r="Q10174" s="19" t="n"/>
      <c r="R10174" s="19" t="n"/>
      <c r="Y10174" s="19" t="n"/>
    </row>
    <row r="10175">
      <c r="C10175" s="18" t="n"/>
      <c r="J10175" s="19" t="n"/>
      <c r="P10175" s="20" t="n"/>
      <c r="Q10175" s="19" t="n"/>
      <c r="R10175" s="19" t="n"/>
      <c r="Y10175" s="19" t="n"/>
    </row>
    <row r="10176">
      <c r="C10176" s="18" t="n"/>
      <c r="J10176" s="19" t="n"/>
      <c r="P10176" s="20" t="n"/>
      <c r="Q10176" s="19" t="n"/>
      <c r="R10176" s="19" t="n"/>
      <c r="Y10176" s="19" t="n"/>
    </row>
    <row r="10177">
      <c r="C10177" s="18" t="n"/>
      <c r="J10177" s="19" t="n"/>
      <c r="P10177" s="20" t="n"/>
      <c r="Q10177" s="19" t="n"/>
      <c r="R10177" s="19" t="n"/>
      <c r="Y10177" s="19" t="n"/>
    </row>
    <row r="10178">
      <c r="C10178" s="18" t="n"/>
      <c r="J10178" s="19" t="n"/>
      <c r="P10178" s="20" t="n"/>
      <c r="Q10178" s="19" t="n"/>
      <c r="R10178" s="19" t="n"/>
      <c r="Y10178" s="19" t="n"/>
    </row>
    <row r="10179">
      <c r="C10179" s="18" t="n"/>
      <c r="J10179" s="19" t="n"/>
      <c r="P10179" s="20" t="n"/>
      <c r="Q10179" s="19" t="n"/>
      <c r="R10179" s="19" t="n"/>
      <c r="Y10179" s="19" t="n"/>
    </row>
    <row r="10180">
      <c r="C10180" s="18" t="n"/>
      <c r="J10180" s="19" t="n"/>
      <c r="P10180" s="20" t="n"/>
      <c r="Q10180" s="19" t="n"/>
      <c r="R10180" s="19" t="n"/>
      <c r="Y10180" s="19" t="n"/>
    </row>
    <row r="10181">
      <c r="C10181" s="18" t="n"/>
      <c r="J10181" s="19" t="n"/>
      <c r="P10181" s="20" t="n"/>
      <c r="Q10181" s="19" t="n"/>
      <c r="R10181" s="19" t="n"/>
      <c r="Y10181" s="19" t="n"/>
    </row>
    <row r="10182">
      <c r="C10182" s="18" t="n"/>
      <c r="J10182" s="19" t="n"/>
      <c r="P10182" s="20" t="n"/>
      <c r="Q10182" s="19" t="n"/>
      <c r="R10182" s="19" t="n"/>
      <c r="Y10182" s="19" t="n"/>
    </row>
    <row r="10183">
      <c r="C10183" s="18" t="n"/>
      <c r="J10183" s="19" t="n"/>
      <c r="P10183" s="20" t="n"/>
      <c r="Q10183" s="19" t="n"/>
      <c r="R10183" s="19" t="n"/>
      <c r="Y10183" s="19" t="n"/>
    </row>
    <row r="10184">
      <c r="C10184" s="18" t="n"/>
      <c r="J10184" s="19" t="n"/>
      <c r="P10184" s="20" t="n"/>
      <c r="Q10184" s="19" t="n"/>
      <c r="R10184" s="19" t="n"/>
      <c r="Y10184" s="19" t="n"/>
    </row>
    <row r="10185">
      <c r="C10185" s="18" t="n"/>
      <c r="J10185" s="19" t="n"/>
      <c r="P10185" s="20" t="n"/>
      <c r="Q10185" s="19" t="n"/>
      <c r="R10185" s="19" t="n"/>
      <c r="Y10185" s="19" t="n"/>
    </row>
    <row r="10186">
      <c r="C10186" s="18" t="n"/>
      <c r="J10186" s="19" t="n"/>
      <c r="P10186" s="20" t="n"/>
      <c r="Q10186" s="19" t="n"/>
      <c r="R10186" s="19" t="n"/>
      <c r="Y10186" s="19" t="n"/>
    </row>
    <row r="10187">
      <c r="C10187" s="18" t="n"/>
      <c r="J10187" s="19" t="n"/>
      <c r="P10187" s="20" t="n"/>
      <c r="Q10187" s="19" t="n"/>
      <c r="R10187" s="19" t="n"/>
      <c r="Y10187" s="19" t="n"/>
    </row>
    <row r="10188">
      <c r="C10188" s="18" t="n"/>
      <c r="J10188" s="19" t="n"/>
      <c r="P10188" s="20" t="n"/>
      <c r="Q10188" s="19" t="n"/>
      <c r="R10188" s="19" t="n"/>
      <c r="Y10188" s="19" t="n"/>
    </row>
    <row r="10189">
      <c r="C10189" s="18" t="n"/>
      <c r="J10189" s="19" t="n"/>
      <c r="P10189" s="20" t="n"/>
      <c r="Q10189" s="19" t="n"/>
      <c r="R10189" s="19" t="n"/>
      <c r="Y10189" s="19" t="n"/>
    </row>
    <row r="10190">
      <c r="C10190" s="18" t="n"/>
      <c r="J10190" s="19" t="n"/>
      <c r="P10190" s="20" t="n"/>
      <c r="Q10190" s="19" t="n"/>
      <c r="R10190" s="19" t="n"/>
      <c r="Y10190" s="19" t="n"/>
    </row>
    <row r="10191">
      <c r="C10191" s="18" t="n"/>
      <c r="J10191" s="19" t="n"/>
      <c r="P10191" s="20" t="n"/>
      <c r="Q10191" s="19" t="n"/>
      <c r="R10191" s="19" t="n"/>
      <c r="Y10191" s="19" t="n"/>
    </row>
    <row r="10192">
      <c r="C10192" s="18" t="n"/>
      <c r="J10192" s="19" t="n"/>
      <c r="P10192" s="20" t="n"/>
      <c r="Q10192" s="19" t="n"/>
      <c r="R10192" s="19" t="n"/>
      <c r="Y10192" s="19" t="n"/>
    </row>
    <row r="10193">
      <c r="C10193" s="18" t="n"/>
      <c r="J10193" s="19" t="n"/>
      <c r="P10193" s="20" t="n"/>
      <c r="Q10193" s="19" t="n"/>
      <c r="R10193" s="19" t="n"/>
      <c r="Y10193" s="19" t="n"/>
    </row>
    <row r="10194">
      <c r="C10194" s="18" t="n"/>
      <c r="J10194" s="19" t="n"/>
      <c r="P10194" s="20" t="n"/>
      <c r="Q10194" s="19" t="n"/>
      <c r="R10194" s="19" t="n"/>
      <c r="Y10194" s="19" t="n"/>
    </row>
    <row r="10195">
      <c r="C10195" s="18" t="n"/>
      <c r="J10195" s="19" t="n"/>
      <c r="P10195" s="20" t="n"/>
      <c r="Q10195" s="19" t="n"/>
      <c r="R10195" s="19" t="n"/>
      <c r="Y10195" s="19" t="n"/>
    </row>
    <row r="10196">
      <c r="C10196" s="18" t="n"/>
      <c r="J10196" s="19" t="n"/>
      <c r="P10196" s="20" t="n"/>
      <c r="Q10196" s="19" t="n"/>
      <c r="R10196" s="19" t="n"/>
      <c r="Y10196" s="19" t="n"/>
    </row>
    <row r="10197">
      <c r="C10197" s="18" t="n"/>
      <c r="J10197" s="19" t="n"/>
      <c r="P10197" s="20" t="n"/>
      <c r="Q10197" s="19" t="n"/>
      <c r="R10197" s="19" t="n"/>
      <c r="Y10197" s="19" t="n"/>
    </row>
    <row r="10198">
      <c r="C10198" s="18" t="n"/>
      <c r="J10198" s="19" t="n"/>
      <c r="P10198" s="20" t="n"/>
      <c r="Q10198" s="19" t="n"/>
      <c r="R10198" s="19" t="n"/>
      <c r="Y10198" s="19" t="n"/>
    </row>
    <row r="10199">
      <c r="C10199" s="18" t="n"/>
      <c r="J10199" s="19" t="n"/>
      <c r="P10199" s="20" t="n"/>
      <c r="Q10199" s="19" t="n"/>
      <c r="R10199" s="19" t="n"/>
      <c r="Y10199" s="19" t="n"/>
    </row>
    <row r="10200">
      <c r="C10200" s="18" t="n"/>
      <c r="J10200" s="19" t="n"/>
      <c r="P10200" s="20" t="n"/>
      <c r="Q10200" s="19" t="n"/>
      <c r="R10200" s="19" t="n"/>
      <c r="Y10200" s="19" t="n"/>
    </row>
    <row r="10201">
      <c r="C10201" s="18" t="n"/>
      <c r="J10201" s="19" t="n"/>
      <c r="P10201" s="20" t="n"/>
      <c r="Q10201" s="19" t="n"/>
      <c r="R10201" s="19" t="n"/>
      <c r="Y10201" s="19" t="n"/>
    </row>
    <row r="10202">
      <c r="C10202" s="18" t="n"/>
      <c r="J10202" s="19" t="n"/>
      <c r="P10202" s="20" t="n"/>
      <c r="Q10202" s="19" t="n"/>
      <c r="R10202" s="19" t="n"/>
      <c r="Y10202" s="19" t="n"/>
    </row>
    <row r="10203">
      <c r="C10203" s="18" t="n"/>
      <c r="J10203" s="19" t="n"/>
      <c r="P10203" s="20" t="n"/>
      <c r="Q10203" s="19" t="n"/>
      <c r="R10203" s="19" t="n"/>
      <c r="Y10203" s="19" t="n"/>
    </row>
    <row r="10204">
      <c r="C10204" s="18" t="n"/>
      <c r="J10204" s="19" t="n"/>
      <c r="P10204" s="20" t="n"/>
      <c r="Q10204" s="19" t="n"/>
      <c r="R10204" s="19" t="n"/>
      <c r="Y10204" s="19" t="n"/>
    </row>
    <row r="10205">
      <c r="C10205" s="18" t="n"/>
      <c r="J10205" s="19" t="n"/>
      <c r="P10205" s="20" t="n"/>
      <c r="Q10205" s="19" t="n"/>
      <c r="R10205" s="19" t="n"/>
      <c r="Y10205" s="19" t="n"/>
    </row>
    <row r="10206">
      <c r="C10206" s="18" t="n"/>
      <c r="J10206" s="19" t="n"/>
      <c r="P10206" s="20" t="n"/>
      <c r="Q10206" s="19" t="n"/>
      <c r="R10206" s="19" t="n"/>
      <c r="Y10206" s="19" t="n"/>
    </row>
    <row r="10207">
      <c r="C10207" s="18" t="n"/>
      <c r="J10207" s="19" t="n"/>
      <c r="P10207" s="20" t="n"/>
      <c r="Q10207" s="19" t="n"/>
      <c r="R10207" s="19" t="n"/>
      <c r="Y10207" s="19" t="n"/>
    </row>
    <row r="10208">
      <c r="C10208" s="18" t="n"/>
      <c r="J10208" s="19" t="n"/>
      <c r="P10208" s="20" t="n"/>
      <c r="Q10208" s="19" t="n"/>
      <c r="R10208" s="19" t="n"/>
      <c r="Y10208" s="19" t="n"/>
    </row>
    <row r="10209">
      <c r="C10209" s="18" t="n"/>
      <c r="J10209" s="19" t="n"/>
      <c r="P10209" s="20" t="n"/>
      <c r="Q10209" s="19" t="n"/>
      <c r="R10209" s="19" t="n"/>
      <c r="Y10209" s="19" t="n"/>
    </row>
    <row r="10210">
      <c r="C10210" s="18" t="n"/>
      <c r="J10210" s="19" t="n"/>
      <c r="P10210" s="20" t="n"/>
      <c r="Q10210" s="19" t="n"/>
      <c r="R10210" s="19" t="n"/>
      <c r="Y10210" s="19" t="n"/>
    </row>
    <row r="10211">
      <c r="C10211" s="18" t="n"/>
      <c r="J10211" s="19" t="n"/>
      <c r="P10211" s="20" t="n"/>
      <c r="Q10211" s="19" t="n"/>
      <c r="R10211" s="19" t="n"/>
      <c r="Y10211" s="19" t="n"/>
    </row>
    <row r="10212">
      <c r="C10212" s="18" t="n"/>
      <c r="J10212" s="19" t="n"/>
      <c r="P10212" s="20" t="n"/>
      <c r="Q10212" s="19" t="n"/>
      <c r="R10212" s="19" t="n"/>
      <c r="Y10212" s="19" t="n"/>
    </row>
    <row r="10213">
      <c r="C10213" s="18" t="n"/>
      <c r="J10213" s="19" t="n"/>
      <c r="P10213" s="20" t="n"/>
      <c r="Q10213" s="19" t="n"/>
      <c r="R10213" s="19" t="n"/>
      <c r="Y10213" s="19" t="n"/>
    </row>
    <row r="10214">
      <c r="C10214" s="18" t="n"/>
      <c r="J10214" s="19" t="n"/>
      <c r="P10214" s="20" t="n"/>
      <c r="Q10214" s="19" t="n"/>
      <c r="R10214" s="19" t="n"/>
      <c r="Y10214" s="19" t="n"/>
    </row>
    <row r="10215">
      <c r="C10215" s="18" t="n"/>
      <c r="J10215" s="19" t="n"/>
      <c r="P10215" s="20" t="n"/>
      <c r="Q10215" s="19" t="n"/>
      <c r="R10215" s="19" t="n"/>
      <c r="Y10215" s="19" t="n"/>
    </row>
    <row r="10216">
      <c r="C10216" s="18" t="n"/>
      <c r="J10216" s="19" t="n"/>
      <c r="P10216" s="20" t="n"/>
      <c r="Q10216" s="19" t="n"/>
      <c r="R10216" s="19" t="n"/>
      <c r="Y10216" s="19" t="n"/>
    </row>
    <row r="10217">
      <c r="C10217" s="18" t="n"/>
      <c r="J10217" s="19" t="n"/>
      <c r="P10217" s="20" t="n"/>
      <c r="Q10217" s="19" t="n"/>
      <c r="R10217" s="19" t="n"/>
      <c r="Y10217" s="19" t="n"/>
    </row>
    <row r="10218">
      <c r="C10218" s="18" t="n"/>
      <c r="J10218" s="19" t="n"/>
      <c r="P10218" s="20" t="n"/>
      <c r="Q10218" s="19" t="n"/>
      <c r="R10218" s="19" t="n"/>
      <c r="Y10218" s="19" t="n"/>
    </row>
    <row r="10219">
      <c r="C10219" s="18" t="n"/>
      <c r="J10219" s="19" t="n"/>
      <c r="P10219" s="20" t="n"/>
      <c r="Q10219" s="19" t="n"/>
      <c r="R10219" s="19" t="n"/>
      <c r="Y10219" s="19" t="n"/>
    </row>
    <row r="10220">
      <c r="C10220" s="18" t="n"/>
      <c r="J10220" s="19" t="n"/>
      <c r="P10220" s="20" t="n"/>
      <c r="Q10220" s="19" t="n"/>
      <c r="R10220" s="19" t="n"/>
      <c r="Y10220" s="19" t="n"/>
    </row>
    <row r="10221">
      <c r="C10221" s="18" t="n"/>
      <c r="J10221" s="19" t="n"/>
      <c r="P10221" s="20" t="n"/>
      <c r="Q10221" s="19" t="n"/>
      <c r="R10221" s="19" t="n"/>
      <c r="Y10221" s="19" t="n"/>
    </row>
    <row r="10222">
      <c r="C10222" s="18" t="n"/>
      <c r="J10222" s="19" t="n"/>
      <c r="P10222" s="20" t="n"/>
      <c r="Q10222" s="19" t="n"/>
      <c r="R10222" s="19" t="n"/>
      <c r="Y10222" s="19" t="n"/>
    </row>
    <row r="10223">
      <c r="C10223" s="18" t="n"/>
      <c r="J10223" s="19" t="n"/>
      <c r="P10223" s="20" t="n"/>
      <c r="Q10223" s="19" t="n"/>
      <c r="R10223" s="19" t="n"/>
      <c r="Y10223" s="19" t="n"/>
    </row>
    <row r="10224">
      <c r="C10224" s="18" t="n"/>
      <c r="J10224" s="19" t="n"/>
      <c r="P10224" s="20" t="n"/>
      <c r="Q10224" s="19" t="n"/>
      <c r="R10224" s="19" t="n"/>
      <c r="Y10224" s="19" t="n"/>
    </row>
    <row r="10225">
      <c r="C10225" s="18" t="n"/>
      <c r="J10225" s="19" t="n"/>
      <c r="P10225" s="20" t="n"/>
      <c r="Q10225" s="19" t="n"/>
      <c r="R10225" s="19" t="n"/>
      <c r="Y10225" s="19" t="n"/>
    </row>
    <row r="10226">
      <c r="C10226" s="18" t="n"/>
      <c r="J10226" s="19" t="n"/>
      <c r="P10226" s="20" t="n"/>
      <c r="Q10226" s="19" t="n"/>
      <c r="R10226" s="19" t="n"/>
      <c r="Y10226" s="19" t="n"/>
    </row>
    <row r="10227">
      <c r="C10227" s="18" t="n"/>
      <c r="J10227" s="19" t="n"/>
      <c r="P10227" s="20" t="n"/>
      <c r="Q10227" s="19" t="n"/>
      <c r="R10227" s="19" t="n"/>
      <c r="Y10227" s="19" t="n"/>
    </row>
    <row r="10228">
      <c r="C10228" s="18" t="n"/>
      <c r="J10228" s="19" t="n"/>
      <c r="P10228" s="20" t="n"/>
      <c r="Q10228" s="19" t="n"/>
      <c r="R10228" s="19" t="n"/>
      <c r="Y10228" s="19" t="n"/>
    </row>
    <row r="10229">
      <c r="C10229" s="18" t="n"/>
      <c r="J10229" s="19" t="n"/>
      <c r="P10229" s="20" t="n"/>
      <c r="Q10229" s="19" t="n"/>
      <c r="R10229" s="19" t="n"/>
      <c r="Y10229" s="19" t="n"/>
    </row>
    <row r="10230">
      <c r="C10230" s="18" t="n"/>
      <c r="J10230" s="19" t="n"/>
      <c r="P10230" s="20" t="n"/>
      <c r="Q10230" s="19" t="n"/>
      <c r="R10230" s="19" t="n"/>
      <c r="Y10230" s="19" t="n"/>
    </row>
    <row r="10231">
      <c r="C10231" s="18" t="n"/>
      <c r="J10231" s="19" t="n"/>
      <c r="P10231" s="20" t="n"/>
      <c r="Q10231" s="19" t="n"/>
      <c r="R10231" s="19" t="n"/>
      <c r="Y10231" s="19" t="n"/>
    </row>
    <row r="10232">
      <c r="C10232" s="18" t="n"/>
      <c r="J10232" s="19" t="n"/>
      <c r="P10232" s="20" t="n"/>
      <c r="Q10232" s="19" t="n"/>
      <c r="R10232" s="19" t="n"/>
      <c r="Y10232" s="19" t="n"/>
    </row>
    <row r="10233">
      <c r="C10233" s="18" t="n"/>
      <c r="J10233" s="19" t="n"/>
      <c r="P10233" s="20" t="n"/>
      <c r="Q10233" s="19" t="n"/>
      <c r="R10233" s="19" t="n"/>
      <c r="Y10233" s="19" t="n"/>
    </row>
    <row r="10234">
      <c r="C10234" s="18" t="n"/>
      <c r="J10234" s="19" t="n"/>
      <c r="P10234" s="20" t="n"/>
      <c r="Q10234" s="19" t="n"/>
      <c r="R10234" s="19" t="n"/>
      <c r="Y10234" s="19" t="n"/>
    </row>
    <row r="10235">
      <c r="C10235" s="18" t="n"/>
      <c r="J10235" s="19" t="n"/>
      <c r="P10235" s="20" t="n"/>
      <c r="Q10235" s="19" t="n"/>
      <c r="R10235" s="19" t="n"/>
      <c r="Y10235" s="19" t="n"/>
    </row>
    <row r="10236">
      <c r="C10236" s="18" t="n"/>
      <c r="J10236" s="19" t="n"/>
      <c r="P10236" s="20" t="n"/>
      <c r="Q10236" s="19" t="n"/>
      <c r="R10236" s="19" t="n"/>
      <c r="Y10236" s="19" t="n"/>
    </row>
    <row r="10237">
      <c r="C10237" s="18" t="n"/>
      <c r="J10237" s="19" t="n"/>
      <c r="P10237" s="20" t="n"/>
      <c r="Q10237" s="19" t="n"/>
      <c r="R10237" s="19" t="n"/>
      <c r="Y10237" s="19" t="n"/>
    </row>
    <row r="10238">
      <c r="C10238" s="18" t="n"/>
      <c r="J10238" s="19" t="n"/>
      <c r="P10238" s="20" t="n"/>
      <c r="Q10238" s="19" t="n"/>
      <c r="R10238" s="19" t="n"/>
      <c r="Y10238" s="19" t="n"/>
    </row>
    <row r="10239">
      <c r="C10239" s="18" t="n"/>
      <c r="J10239" s="19" t="n"/>
      <c r="P10239" s="20" t="n"/>
      <c r="Q10239" s="19" t="n"/>
      <c r="R10239" s="19" t="n"/>
      <c r="Y10239" s="19" t="n"/>
    </row>
    <row r="10240">
      <c r="C10240" s="18" t="n"/>
      <c r="J10240" s="19" t="n"/>
      <c r="P10240" s="20" t="n"/>
      <c r="Q10240" s="19" t="n"/>
      <c r="R10240" s="19" t="n"/>
      <c r="Y10240" s="19" t="n"/>
    </row>
    <row r="10241">
      <c r="C10241" s="18" t="n"/>
      <c r="J10241" s="19" t="n"/>
      <c r="P10241" s="20" t="n"/>
      <c r="Q10241" s="19" t="n"/>
      <c r="R10241" s="19" t="n"/>
      <c r="Y10241" s="19" t="n"/>
    </row>
    <row r="10242">
      <c r="C10242" s="18" t="n"/>
      <c r="J10242" s="19" t="n"/>
      <c r="P10242" s="20" t="n"/>
      <c r="Q10242" s="19" t="n"/>
      <c r="R10242" s="19" t="n"/>
      <c r="Y10242" s="19" t="n"/>
    </row>
    <row r="10243">
      <c r="C10243" s="18" t="n"/>
      <c r="J10243" s="19" t="n"/>
      <c r="P10243" s="20" t="n"/>
      <c r="Q10243" s="19" t="n"/>
      <c r="R10243" s="19" t="n"/>
      <c r="Y10243" s="19" t="n"/>
    </row>
    <row r="10244">
      <c r="C10244" s="18" t="n"/>
      <c r="J10244" s="19" t="n"/>
      <c r="P10244" s="20" t="n"/>
      <c r="Q10244" s="19" t="n"/>
      <c r="R10244" s="19" t="n"/>
      <c r="Y10244" s="19" t="n"/>
    </row>
    <row r="10245">
      <c r="C10245" s="18" t="n"/>
      <c r="J10245" s="19" t="n"/>
      <c r="P10245" s="20" t="n"/>
      <c r="Q10245" s="19" t="n"/>
      <c r="R10245" s="19" t="n"/>
      <c r="Y10245" s="19" t="n"/>
    </row>
    <row r="10246">
      <c r="C10246" s="18" t="n"/>
      <c r="J10246" s="19" t="n"/>
      <c r="P10246" s="20" t="n"/>
      <c r="Q10246" s="19" t="n"/>
      <c r="R10246" s="19" t="n"/>
      <c r="Y10246" s="19" t="n"/>
    </row>
    <row r="10247">
      <c r="C10247" s="18" t="n"/>
      <c r="J10247" s="19" t="n"/>
      <c r="P10247" s="20" t="n"/>
      <c r="Q10247" s="19" t="n"/>
      <c r="R10247" s="19" t="n"/>
      <c r="Y10247" s="19" t="n"/>
    </row>
    <row r="10248">
      <c r="C10248" s="18" t="n"/>
      <c r="J10248" s="19" t="n"/>
      <c r="P10248" s="20" t="n"/>
      <c r="Q10248" s="19" t="n"/>
      <c r="R10248" s="19" t="n"/>
      <c r="Y10248" s="19" t="n"/>
    </row>
    <row r="10249">
      <c r="C10249" s="18" t="n"/>
      <c r="J10249" s="19" t="n"/>
      <c r="P10249" s="20" t="n"/>
      <c r="Q10249" s="19" t="n"/>
      <c r="R10249" s="19" t="n"/>
      <c r="Y10249" s="19" t="n"/>
    </row>
    <row r="10250">
      <c r="C10250" s="18" t="n"/>
      <c r="J10250" s="19" t="n"/>
      <c r="P10250" s="20" t="n"/>
      <c r="Q10250" s="19" t="n"/>
      <c r="R10250" s="19" t="n"/>
      <c r="Y10250" s="19" t="n"/>
    </row>
    <row r="10251">
      <c r="C10251" s="18" t="n"/>
      <c r="J10251" s="19" t="n"/>
      <c r="P10251" s="20" t="n"/>
      <c r="Q10251" s="19" t="n"/>
      <c r="R10251" s="19" t="n"/>
      <c r="Y10251" s="19" t="n"/>
    </row>
    <row r="10252">
      <c r="C10252" s="18" t="n"/>
      <c r="J10252" s="19" t="n"/>
      <c r="P10252" s="20" t="n"/>
      <c r="Q10252" s="19" t="n"/>
      <c r="R10252" s="19" t="n"/>
      <c r="Y10252" s="19" t="n"/>
    </row>
    <row r="10253">
      <c r="C10253" s="18" t="n"/>
      <c r="J10253" s="19" t="n"/>
      <c r="P10253" s="20" t="n"/>
      <c r="Q10253" s="19" t="n"/>
      <c r="R10253" s="19" t="n"/>
      <c r="Y10253" s="19" t="n"/>
    </row>
    <row r="10254">
      <c r="C10254" s="18" t="n"/>
      <c r="J10254" s="19" t="n"/>
      <c r="P10254" s="20" t="n"/>
      <c r="Q10254" s="19" t="n"/>
      <c r="R10254" s="19" t="n"/>
      <c r="Y10254" s="19" t="n"/>
    </row>
    <row r="10255">
      <c r="C10255" s="18" t="n"/>
      <c r="J10255" s="19" t="n"/>
      <c r="P10255" s="20" t="n"/>
      <c r="Q10255" s="19" t="n"/>
      <c r="R10255" s="19" t="n"/>
      <c r="Y10255" s="19" t="n"/>
    </row>
    <row r="10256">
      <c r="C10256" s="18" t="n"/>
      <c r="J10256" s="19" t="n"/>
      <c r="P10256" s="20" t="n"/>
      <c r="Q10256" s="19" t="n"/>
      <c r="R10256" s="19" t="n"/>
      <c r="Y10256" s="19" t="n"/>
    </row>
    <row r="10257">
      <c r="C10257" s="18" t="n"/>
      <c r="J10257" s="19" t="n"/>
      <c r="P10257" s="20" t="n"/>
      <c r="Q10257" s="19" t="n"/>
      <c r="R10257" s="19" t="n"/>
      <c r="Y10257" s="19" t="n"/>
    </row>
    <row r="10258">
      <c r="C10258" s="18" t="n"/>
      <c r="J10258" s="19" t="n"/>
      <c r="P10258" s="20" t="n"/>
      <c r="Q10258" s="19" t="n"/>
      <c r="R10258" s="19" t="n"/>
      <c r="Y10258" s="19" t="n"/>
    </row>
    <row r="10259">
      <c r="C10259" s="18" t="n"/>
      <c r="J10259" s="19" t="n"/>
      <c r="P10259" s="20" t="n"/>
      <c r="Q10259" s="19" t="n"/>
      <c r="R10259" s="19" t="n"/>
      <c r="Y10259" s="19" t="n"/>
    </row>
    <row r="10260">
      <c r="C10260" s="18" t="n"/>
      <c r="J10260" s="19" t="n"/>
      <c r="P10260" s="20" t="n"/>
      <c r="Q10260" s="19" t="n"/>
      <c r="R10260" s="19" t="n"/>
      <c r="Y10260" s="19" t="n"/>
    </row>
    <row r="10261">
      <c r="C10261" s="18" t="n"/>
      <c r="J10261" s="19" t="n"/>
      <c r="P10261" s="20" t="n"/>
      <c r="Q10261" s="19" t="n"/>
      <c r="R10261" s="19" t="n"/>
      <c r="Y10261" s="19" t="n"/>
    </row>
    <row r="10262">
      <c r="C10262" s="18" t="n"/>
      <c r="J10262" s="19" t="n"/>
      <c r="P10262" s="20" t="n"/>
      <c r="Q10262" s="19" t="n"/>
      <c r="R10262" s="19" t="n"/>
      <c r="Y10262" s="19" t="n"/>
    </row>
    <row r="10263">
      <c r="C10263" s="18" t="n"/>
      <c r="J10263" s="19" t="n"/>
      <c r="P10263" s="20" t="n"/>
      <c r="Q10263" s="19" t="n"/>
      <c r="R10263" s="19" t="n"/>
      <c r="Y10263" s="19" t="n"/>
    </row>
    <row r="10264">
      <c r="C10264" s="18" t="n"/>
      <c r="J10264" s="19" t="n"/>
      <c r="P10264" s="20" t="n"/>
      <c r="Q10264" s="19" t="n"/>
      <c r="R10264" s="19" t="n"/>
      <c r="Y10264" s="19" t="n"/>
    </row>
    <row r="10265">
      <c r="C10265" s="18" t="n"/>
      <c r="J10265" s="19" t="n"/>
      <c r="P10265" s="20" t="n"/>
      <c r="Q10265" s="19" t="n"/>
      <c r="R10265" s="19" t="n"/>
      <c r="Y10265" s="19" t="n"/>
    </row>
    <row r="10266">
      <c r="C10266" s="18" t="n"/>
      <c r="J10266" s="19" t="n"/>
      <c r="P10266" s="20" t="n"/>
      <c r="Q10266" s="19" t="n"/>
      <c r="R10266" s="19" t="n"/>
      <c r="Y10266" s="19" t="n"/>
    </row>
    <row r="10267">
      <c r="C10267" s="18" t="n"/>
      <c r="J10267" s="19" t="n"/>
      <c r="P10267" s="20" t="n"/>
      <c r="Q10267" s="19" t="n"/>
      <c r="R10267" s="19" t="n"/>
      <c r="Y10267" s="19" t="n"/>
    </row>
    <row r="10268">
      <c r="C10268" s="18" t="n"/>
      <c r="J10268" s="19" t="n"/>
      <c r="P10268" s="20" t="n"/>
      <c r="Q10268" s="19" t="n"/>
      <c r="R10268" s="19" t="n"/>
      <c r="Y10268" s="19" t="n"/>
    </row>
    <row r="10269">
      <c r="C10269" s="18" t="n"/>
      <c r="J10269" s="19" t="n"/>
      <c r="P10269" s="20" t="n"/>
      <c r="Q10269" s="19" t="n"/>
      <c r="R10269" s="19" t="n"/>
      <c r="Y10269" s="19" t="n"/>
    </row>
    <row r="10270">
      <c r="C10270" s="18" t="n"/>
      <c r="J10270" s="19" t="n"/>
      <c r="P10270" s="20" t="n"/>
      <c r="Q10270" s="19" t="n"/>
      <c r="R10270" s="19" t="n"/>
      <c r="Y10270" s="19" t="n"/>
    </row>
    <row r="10271">
      <c r="C10271" s="18" t="n"/>
      <c r="J10271" s="19" t="n"/>
      <c r="P10271" s="20" t="n"/>
      <c r="Q10271" s="19" t="n"/>
      <c r="R10271" s="19" t="n"/>
      <c r="Y10271" s="19" t="n"/>
    </row>
    <row r="10272">
      <c r="C10272" s="18" t="n"/>
      <c r="J10272" s="19" t="n"/>
      <c r="P10272" s="20" t="n"/>
      <c r="Q10272" s="19" t="n"/>
      <c r="R10272" s="19" t="n"/>
      <c r="Y10272" s="19" t="n"/>
    </row>
    <row r="10273">
      <c r="C10273" s="18" t="n"/>
      <c r="J10273" s="19" t="n"/>
      <c r="P10273" s="20" t="n"/>
      <c r="Q10273" s="19" t="n"/>
      <c r="R10273" s="19" t="n"/>
      <c r="Y10273" s="19" t="n"/>
    </row>
    <row r="10274">
      <c r="C10274" s="18" t="n"/>
      <c r="J10274" s="19" t="n"/>
      <c r="P10274" s="20" t="n"/>
      <c r="Q10274" s="19" t="n"/>
      <c r="R10274" s="19" t="n"/>
      <c r="Y10274" s="19" t="n"/>
    </row>
    <row r="10275">
      <c r="C10275" s="18" t="n"/>
      <c r="J10275" s="19" t="n"/>
      <c r="P10275" s="20" t="n"/>
      <c r="Q10275" s="19" t="n"/>
      <c r="R10275" s="19" t="n"/>
      <c r="Y10275" s="19" t="n"/>
    </row>
    <row r="10276">
      <c r="C10276" s="18" t="n"/>
      <c r="J10276" s="19" t="n"/>
      <c r="P10276" s="20" t="n"/>
      <c r="Q10276" s="19" t="n"/>
      <c r="R10276" s="19" t="n"/>
      <c r="Y10276" s="19" t="n"/>
    </row>
    <row r="10277">
      <c r="C10277" s="18" t="n"/>
      <c r="J10277" s="19" t="n"/>
      <c r="P10277" s="20" t="n"/>
      <c r="Q10277" s="19" t="n"/>
      <c r="R10277" s="19" t="n"/>
      <c r="Y10277" s="19" t="n"/>
    </row>
    <row r="10278">
      <c r="C10278" s="18" t="n"/>
      <c r="J10278" s="19" t="n"/>
      <c r="P10278" s="20" t="n"/>
      <c r="Q10278" s="19" t="n"/>
      <c r="R10278" s="19" t="n"/>
      <c r="Y10278" s="19" t="n"/>
    </row>
    <row r="10279">
      <c r="C10279" s="18" t="n"/>
      <c r="J10279" s="19" t="n"/>
      <c r="P10279" s="20" t="n"/>
      <c r="Q10279" s="19" t="n"/>
      <c r="R10279" s="19" t="n"/>
      <c r="Y10279" s="19" t="n"/>
    </row>
    <row r="10280">
      <c r="C10280" s="18" t="n"/>
      <c r="J10280" s="19" t="n"/>
      <c r="P10280" s="20" t="n"/>
      <c r="Q10280" s="19" t="n"/>
      <c r="R10280" s="19" t="n"/>
      <c r="Y10280" s="19" t="n"/>
    </row>
    <row r="10281">
      <c r="C10281" s="18" t="n"/>
      <c r="J10281" s="19" t="n"/>
      <c r="P10281" s="20" t="n"/>
      <c r="Q10281" s="19" t="n"/>
      <c r="R10281" s="19" t="n"/>
      <c r="Y10281" s="19" t="n"/>
    </row>
    <row r="10282">
      <c r="C10282" s="18" t="n"/>
      <c r="J10282" s="19" t="n"/>
      <c r="P10282" s="20" t="n"/>
      <c r="Q10282" s="19" t="n"/>
      <c r="R10282" s="19" t="n"/>
      <c r="Y10282" s="19" t="n"/>
    </row>
    <row r="10283">
      <c r="C10283" s="18" t="n"/>
      <c r="J10283" s="19" t="n"/>
      <c r="P10283" s="20" t="n"/>
      <c r="Q10283" s="19" t="n"/>
      <c r="R10283" s="19" t="n"/>
      <c r="Y10283" s="19" t="n"/>
    </row>
    <row r="10284">
      <c r="C10284" s="18" t="n"/>
      <c r="J10284" s="19" t="n"/>
      <c r="P10284" s="20" t="n"/>
      <c r="Q10284" s="19" t="n"/>
      <c r="R10284" s="19" t="n"/>
      <c r="Y10284" s="19" t="n"/>
    </row>
    <row r="10285">
      <c r="C10285" s="18" t="n"/>
      <c r="J10285" s="19" t="n"/>
      <c r="P10285" s="20" t="n"/>
      <c r="Q10285" s="19" t="n"/>
      <c r="R10285" s="19" t="n"/>
      <c r="Y10285" s="19" t="n"/>
    </row>
    <row r="10286">
      <c r="C10286" s="18" t="n"/>
      <c r="J10286" s="19" t="n"/>
      <c r="P10286" s="20" t="n"/>
      <c r="Q10286" s="19" t="n"/>
      <c r="R10286" s="19" t="n"/>
      <c r="Y10286" s="19" t="n"/>
    </row>
    <row r="10287">
      <c r="C10287" s="18" t="n"/>
      <c r="J10287" s="19" t="n"/>
      <c r="P10287" s="20" t="n"/>
      <c r="Q10287" s="19" t="n"/>
      <c r="R10287" s="19" t="n"/>
      <c r="Y10287" s="19" t="n"/>
    </row>
    <row r="10288">
      <c r="C10288" s="18" t="n"/>
      <c r="J10288" s="19" t="n"/>
      <c r="P10288" s="20" t="n"/>
      <c r="Q10288" s="19" t="n"/>
      <c r="R10288" s="19" t="n"/>
      <c r="Y10288" s="19" t="n"/>
    </row>
    <row r="10289">
      <c r="C10289" s="18" t="n"/>
      <c r="J10289" s="19" t="n"/>
      <c r="P10289" s="20" t="n"/>
      <c r="Q10289" s="19" t="n"/>
      <c r="R10289" s="19" t="n"/>
      <c r="Y10289" s="19" t="n"/>
    </row>
    <row r="10290">
      <c r="C10290" s="18" t="n"/>
      <c r="J10290" s="19" t="n"/>
      <c r="P10290" s="20" t="n"/>
      <c r="Q10290" s="19" t="n"/>
      <c r="R10290" s="19" t="n"/>
      <c r="Y10290" s="19" t="n"/>
    </row>
    <row r="10291">
      <c r="C10291" s="18" t="n"/>
      <c r="J10291" s="19" t="n"/>
      <c r="P10291" s="20" t="n"/>
      <c r="Q10291" s="19" t="n"/>
      <c r="R10291" s="19" t="n"/>
      <c r="Y10291" s="19" t="n"/>
    </row>
    <row r="10292">
      <c r="C10292" s="18" t="n"/>
      <c r="J10292" s="19" t="n"/>
      <c r="P10292" s="20" t="n"/>
      <c r="Q10292" s="19" t="n"/>
      <c r="R10292" s="19" t="n"/>
      <c r="Y10292" s="19" t="n"/>
    </row>
    <row r="10293">
      <c r="C10293" s="18" t="n"/>
      <c r="J10293" s="19" t="n"/>
      <c r="P10293" s="20" t="n"/>
      <c r="Q10293" s="19" t="n"/>
      <c r="R10293" s="19" t="n"/>
      <c r="Y10293" s="19" t="n"/>
    </row>
    <row r="10294">
      <c r="C10294" s="18" t="n"/>
      <c r="J10294" s="19" t="n"/>
      <c r="P10294" s="20" t="n"/>
      <c r="Q10294" s="19" t="n"/>
      <c r="R10294" s="19" t="n"/>
      <c r="Y10294" s="19" t="n"/>
    </row>
    <row r="10295">
      <c r="C10295" s="18" t="n"/>
      <c r="J10295" s="19" t="n"/>
      <c r="P10295" s="20" t="n"/>
      <c r="Q10295" s="19" t="n"/>
      <c r="R10295" s="19" t="n"/>
      <c r="Y10295" s="19" t="n"/>
    </row>
    <row r="10296">
      <c r="C10296" s="18" t="n"/>
      <c r="J10296" s="19" t="n"/>
      <c r="P10296" s="20" t="n"/>
      <c r="Q10296" s="19" t="n"/>
      <c r="R10296" s="19" t="n"/>
      <c r="Y10296" s="19" t="n"/>
    </row>
    <row r="10297">
      <c r="C10297" s="18" t="n"/>
      <c r="J10297" s="19" t="n"/>
      <c r="P10297" s="20" t="n"/>
      <c r="Q10297" s="19" t="n"/>
      <c r="R10297" s="19" t="n"/>
      <c r="Y10297" s="19" t="n"/>
    </row>
    <row r="10298">
      <c r="C10298" s="18" t="n"/>
      <c r="J10298" s="19" t="n"/>
      <c r="P10298" s="20" t="n"/>
      <c r="Q10298" s="19" t="n"/>
      <c r="R10298" s="19" t="n"/>
      <c r="Y10298" s="19" t="n"/>
    </row>
    <row r="10299">
      <c r="C10299" s="18" t="n"/>
      <c r="J10299" s="19" t="n"/>
      <c r="P10299" s="20" t="n"/>
      <c r="Q10299" s="19" t="n"/>
      <c r="R10299" s="19" t="n"/>
      <c r="Y10299" s="19" t="n"/>
    </row>
    <row r="10300">
      <c r="C10300" s="18" t="n"/>
      <c r="J10300" s="19" t="n"/>
      <c r="P10300" s="20" t="n"/>
      <c r="Q10300" s="19" t="n"/>
      <c r="R10300" s="19" t="n"/>
      <c r="Y10300" s="19" t="n"/>
    </row>
    <row r="10301">
      <c r="C10301" s="18" t="n"/>
      <c r="J10301" s="19" t="n"/>
      <c r="P10301" s="20" t="n"/>
      <c r="Q10301" s="19" t="n"/>
      <c r="R10301" s="19" t="n"/>
      <c r="Y10301" s="19" t="n"/>
    </row>
    <row r="10302">
      <c r="C10302" s="18" t="n"/>
      <c r="J10302" s="19" t="n"/>
      <c r="P10302" s="20" t="n"/>
      <c r="Q10302" s="19" t="n"/>
      <c r="R10302" s="19" t="n"/>
      <c r="Y10302" s="19" t="n"/>
    </row>
    <row r="10303">
      <c r="C10303" s="18" t="n"/>
      <c r="J10303" s="19" t="n"/>
      <c r="P10303" s="20" t="n"/>
      <c r="Q10303" s="19" t="n"/>
      <c r="R10303" s="19" t="n"/>
      <c r="Y10303" s="19" t="n"/>
    </row>
    <row r="10304">
      <c r="C10304" s="18" t="n"/>
      <c r="J10304" s="19" t="n"/>
      <c r="P10304" s="20" t="n"/>
      <c r="Q10304" s="19" t="n"/>
      <c r="R10304" s="19" t="n"/>
      <c r="Y10304" s="19" t="n"/>
    </row>
    <row r="10305">
      <c r="C10305" s="18" t="n"/>
      <c r="J10305" s="19" t="n"/>
      <c r="P10305" s="20" t="n"/>
      <c r="Q10305" s="19" t="n"/>
      <c r="R10305" s="19" t="n"/>
      <c r="Y10305" s="19" t="n"/>
    </row>
    <row r="10306">
      <c r="C10306" s="18" t="n"/>
      <c r="J10306" s="19" t="n"/>
      <c r="P10306" s="20" t="n"/>
      <c r="Q10306" s="19" t="n"/>
      <c r="R10306" s="19" t="n"/>
      <c r="Y10306" s="19" t="n"/>
    </row>
    <row r="10307">
      <c r="C10307" s="18" t="n"/>
      <c r="J10307" s="19" t="n"/>
      <c r="P10307" s="20" t="n"/>
      <c r="Q10307" s="19" t="n"/>
      <c r="R10307" s="19" t="n"/>
      <c r="Y10307" s="19" t="n"/>
    </row>
    <row r="10308">
      <c r="C10308" s="18" t="n"/>
      <c r="J10308" s="19" t="n"/>
      <c r="P10308" s="20" t="n"/>
      <c r="Q10308" s="19" t="n"/>
      <c r="R10308" s="19" t="n"/>
      <c r="Y10308" s="19" t="n"/>
    </row>
    <row r="10309">
      <c r="C10309" s="18" t="n"/>
      <c r="J10309" s="19" t="n"/>
      <c r="P10309" s="20" t="n"/>
      <c r="Q10309" s="19" t="n"/>
      <c r="R10309" s="19" t="n"/>
      <c r="Y10309" s="19" t="n"/>
    </row>
    <row r="10310">
      <c r="C10310" s="18" t="n"/>
      <c r="J10310" s="19" t="n"/>
      <c r="P10310" s="20" t="n"/>
      <c r="Q10310" s="19" t="n"/>
      <c r="R10310" s="19" t="n"/>
      <c r="Y10310" s="19" t="n"/>
    </row>
    <row r="10311">
      <c r="C10311" s="18" t="n"/>
      <c r="J10311" s="19" t="n"/>
      <c r="P10311" s="20" t="n"/>
      <c r="Q10311" s="19" t="n"/>
      <c r="R10311" s="19" t="n"/>
      <c r="Y10311" s="19" t="n"/>
    </row>
    <row r="10312">
      <c r="C10312" s="18" t="n"/>
      <c r="J10312" s="19" t="n"/>
      <c r="P10312" s="20" t="n"/>
      <c r="Q10312" s="19" t="n"/>
      <c r="R10312" s="19" t="n"/>
      <c r="Y10312" s="19" t="n"/>
    </row>
    <row r="10313">
      <c r="C10313" s="18" t="n"/>
      <c r="J10313" s="19" t="n"/>
      <c r="P10313" s="20" t="n"/>
      <c r="Q10313" s="19" t="n"/>
      <c r="R10313" s="19" t="n"/>
      <c r="Y10313" s="19" t="n"/>
    </row>
    <row r="10314">
      <c r="C10314" s="18" t="n"/>
      <c r="J10314" s="19" t="n"/>
      <c r="P10314" s="20" t="n"/>
      <c r="Q10314" s="19" t="n"/>
      <c r="R10314" s="19" t="n"/>
      <c r="Y10314" s="19" t="n"/>
    </row>
    <row r="10315">
      <c r="C10315" s="18" t="n"/>
      <c r="J10315" s="19" t="n"/>
      <c r="P10315" s="20" t="n"/>
      <c r="Q10315" s="19" t="n"/>
      <c r="R10315" s="19" t="n"/>
      <c r="Y10315" s="19" t="n"/>
    </row>
    <row r="10316">
      <c r="C10316" s="18" t="n"/>
      <c r="J10316" s="19" t="n"/>
      <c r="P10316" s="20" t="n"/>
      <c r="Q10316" s="19" t="n"/>
      <c r="R10316" s="19" t="n"/>
      <c r="Y10316" s="19" t="n"/>
    </row>
    <row r="10317">
      <c r="C10317" s="18" t="n"/>
      <c r="J10317" s="19" t="n"/>
      <c r="P10317" s="20" t="n"/>
      <c r="Q10317" s="19" t="n"/>
      <c r="R10317" s="19" t="n"/>
      <c r="Y10317" s="19" t="n"/>
    </row>
    <row r="10318">
      <c r="C10318" s="18" t="n"/>
      <c r="J10318" s="19" t="n"/>
      <c r="P10318" s="20" t="n"/>
      <c r="Q10318" s="19" t="n"/>
      <c r="R10318" s="19" t="n"/>
      <c r="Y10318" s="19" t="n"/>
    </row>
    <row r="10319">
      <c r="C10319" s="18" t="n"/>
      <c r="J10319" s="19" t="n"/>
      <c r="P10319" s="20" t="n"/>
      <c r="Q10319" s="19" t="n"/>
      <c r="R10319" s="19" t="n"/>
      <c r="Y10319" s="19" t="n"/>
    </row>
    <row r="10320">
      <c r="C10320" s="18" t="n"/>
      <c r="J10320" s="19" t="n"/>
      <c r="P10320" s="20" t="n"/>
      <c r="Q10320" s="19" t="n"/>
      <c r="R10320" s="19" t="n"/>
      <c r="Y10320" s="19" t="n"/>
    </row>
    <row r="10321">
      <c r="C10321" s="18" t="n"/>
      <c r="J10321" s="19" t="n"/>
      <c r="P10321" s="20" t="n"/>
      <c r="Q10321" s="19" t="n"/>
      <c r="R10321" s="19" t="n"/>
      <c r="Y10321" s="19" t="n"/>
    </row>
    <row r="10322">
      <c r="C10322" s="18" t="n"/>
      <c r="J10322" s="19" t="n"/>
      <c r="P10322" s="20" t="n"/>
      <c r="Q10322" s="19" t="n"/>
      <c r="R10322" s="19" t="n"/>
      <c r="Y10322" s="19" t="n"/>
    </row>
    <row r="10323">
      <c r="C10323" s="18" t="n"/>
      <c r="J10323" s="19" t="n"/>
      <c r="P10323" s="20" t="n"/>
      <c r="Q10323" s="19" t="n"/>
      <c r="R10323" s="19" t="n"/>
      <c r="Y10323" s="19" t="n"/>
    </row>
    <row r="10324">
      <c r="C10324" s="18" t="n"/>
      <c r="J10324" s="19" t="n"/>
      <c r="P10324" s="20" t="n"/>
      <c r="Q10324" s="19" t="n"/>
      <c r="R10324" s="19" t="n"/>
      <c r="Y10324" s="19" t="n"/>
    </row>
    <row r="10325">
      <c r="C10325" s="18" t="n"/>
      <c r="J10325" s="19" t="n"/>
      <c r="P10325" s="20" t="n"/>
      <c r="Q10325" s="19" t="n"/>
      <c r="R10325" s="19" t="n"/>
      <c r="Y10325" s="19" t="n"/>
    </row>
    <row r="10326">
      <c r="C10326" s="18" t="n"/>
      <c r="J10326" s="19" t="n"/>
      <c r="P10326" s="20" t="n"/>
      <c r="Q10326" s="19" t="n"/>
      <c r="R10326" s="19" t="n"/>
      <c r="Y10326" s="19" t="n"/>
    </row>
    <row r="10327">
      <c r="C10327" s="18" t="n"/>
      <c r="J10327" s="19" t="n"/>
      <c r="P10327" s="20" t="n"/>
      <c r="Q10327" s="19" t="n"/>
      <c r="R10327" s="19" t="n"/>
      <c r="Y10327" s="19" t="n"/>
    </row>
    <row r="10328">
      <c r="C10328" s="18" t="n"/>
      <c r="J10328" s="19" t="n"/>
      <c r="P10328" s="20" t="n"/>
      <c r="Q10328" s="19" t="n"/>
      <c r="R10328" s="19" t="n"/>
      <c r="Y10328" s="19" t="n"/>
    </row>
    <row r="10329">
      <c r="C10329" s="18" t="n"/>
      <c r="J10329" s="19" t="n"/>
      <c r="P10329" s="20" t="n"/>
      <c r="Q10329" s="19" t="n"/>
      <c r="R10329" s="19" t="n"/>
      <c r="Y10329" s="19" t="n"/>
    </row>
    <row r="10330">
      <c r="C10330" s="18" t="n"/>
      <c r="J10330" s="19" t="n"/>
      <c r="P10330" s="20" t="n"/>
      <c r="Q10330" s="19" t="n"/>
      <c r="R10330" s="19" t="n"/>
      <c r="Y10330" s="19" t="n"/>
    </row>
    <row r="10331">
      <c r="C10331" s="18" t="n"/>
      <c r="J10331" s="19" t="n"/>
      <c r="P10331" s="20" t="n"/>
      <c r="Q10331" s="19" t="n"/>
      <c r="R10331" s="19" t="n"/>
      <c r="Y10331" s="19" t="n"/>
    </row>
    <row r="10332">
      <c r="C10332" s="18" t="n"/>
      <c r="J10332" s="19" t="n"/>
      <c r="P10332" s="20" t="n"/>
      <c r="Q10332" s="19" t="n"/>
      <c r="R10332" s="19" t="n"/>
      <c r="Y10332" s="19" t="n"/>
    </row>
    <row r="10333">
      <c r="C10333" s="18" t="n"/>
      <c r="J10333" s="19" t="n"/>
      <c r="P10333" s="20" t="n"/>
      <c r="Q10333" s="19" t="n"/>
      <c r="R10333" s="19" t="n"/>
      <c r="Y10333" s="19" t="n"/>
    </row>
    <row r="10334">
      <c r="C10334" s="18" t="n"/>
      <c r="J10334" s="19" t="n"/>
      <c r="P10334" s="20" t="n"/>
      <c r="Q10334" s="19" t="n"/>
      <c r="R10334" s="19" t="n"/>
      <c r="Y10334" s="19" t="n"/>
    </row>
    <row r="10335">
      <c r="C10335" s="18" t="n"/>
      <c r="J10335" s="19" t="n"/>
      <c r="P10335" s="20" t="n"/>
      <c r="Q10335" s="19" t="n"/>
      <c r="R10335" s="19" t="n"/>
      <c r="Y10335" s="19" t="n"/>
    </row>
    <row r="10336">
      <c r="C10336" s="18" t="n"/>
      <c r="J10336" s="19" t="n"/>
      <c r="P10336" s="20" t="n"/>
      <c r="Q10336" s="19" t="n"/>
      <c r="R10336" s="19" t="n"/>
      <c r="Y10336" s="19" t="n"/>
    </row>
    <row r="10337">
      <c r="C10337" s="18" t="n"/>
      <c r="J10337" s="19" t="n"/>
      <c r="P10337" s="20" t="n"/>
      <c r="Q10337" s="19" t="n"/>
      <c r="R10337" s="19" t="n"/>
      <c r="Y10337" s="19" t="n"/>
    </row>
    <row r="10338">
      <c r="C10338" s="18" t="n"/>
      <c r="J10338" s="19" t="n"/>
      <c r="P10338" s="20" t="n"/>
      <c r="Q10338" s="19" t="n"/>
      <c r="R10338" s="19" t="n"/>
      <c r="Y10338" s="19" t="n"/>
    </row>
    <row r="10339">
      <c r="C10339" s="18" t="n"/>
      <c r="J10339" s="19" t="n"/>
      <c r="P10339" s="20" t="n"/>
      <c r="Q10339" s="19" t="n"/>
      <c r="R10339" s="19" t="n"/>
      <c r="Y10339" s="19" t="n"/>
    </row>
    <row r="10340">
      <c r="C10340" s="18" t="n"/>
      <c r="J10340" s="19" t="n"/>
      <c r="P10340" s="20" t="n"/>
      <c r="Q10340" s="19" t="n"/>
      <c r="R10340" s="19" t="n"/>
      <c r="Y10340" s="19" t="n"/>
    </row>
    <row r="10341">
      <c r="C10341" s="18" t="n"/>
      <c r="J10341" s="19" t="n"/>
      <c r="P10341" s="20" t="n"/>
      <c r="Q10341" s="19" t="n"/>
      <c r="R10341" s="19" t="n"/>
      <c r="Y10341" s="19" t="n"/>
    </row>
    <row r="10342">
      <c r="C10342" s="18" t="n"/>
      <c r="J10342" s="19" t="n"/>
      <c r="P10342" s="20" t="n"/>
      <c r="Q10342" s="19" t="n"/>
      <c r="R10342" s="19" t="n"/>
      <c r="Y10342" s="19" t="n"/>
    </row>
    <row r="10343">
      <c r="C10343" s="18" t="n"/>
      <c r="J10343" s="19" t="n"/>
      <c r="P10343" s="20" t="n"/>
      <c r="Q10343" s="19" t="n"/>
      <c r="R10343" s="19" t="n"/>
      <c r="Y10343" s="19" t="n"/>
    </row>
    <row r="10344">
      <c r="C10344" s="18" t="n"/>
      <c r="J10344" s="19" t="n"/>
      <c r="P10344" s="20" t="n"/>
      <c r="Q10344" s="19" t="n"/>
      <c r="R10344" s="19" t="n"/>
      <c r="Y10344" s="19" t="n"/>
    </row>
    <row r="10345">
      <c r="C10345" s="18" t="n"/>
      <c r="J10345" s="19" t="n"/>
      <c r="P10345" s="20" t="n"/>
      <c r="Q10345" s="19" t="n"/>
      <c r="R10345" s="19" t="n"/>
      <c r="Y10345" s="19" t="n"/>
    </row>
    <row r="10346">
      <c r="C10346" s="18" t="n"/>
      <c r="J10346" s="19" t="n"/>
      <c r="P10346" s="20" t="n"/>
      <c r="Q10346" s="19" t="n"/>
      <c r="R10346" s="19" t="n"/>
      <c r="Y10346" s="19" t="n"/>
    </row>
    <row r="10347">
      <c r="C10347" s="18" t="n"/>
      <c r="J10347" s="19" t="n"/>
      <c r="P10347" s="20" t="n"/>
      <c r="Q10347" s="19" t="n"/>
      <c r="R10347" s="19" t="n"/>
      <c r="Y10347" s="19" t="n"/>
    </row>
    <row r="10348">
      <c r="C10348" s="18" t="n"/>
      <c r="J10348" s="19" t="n"/>
      <c r="P10348" s="20" t="n"/>
      <c r="Q10348" s="19" t="n"/>
      <c r="R10348" s="19" t="n"/>
      <c r="Y10348" s="19" t="n"/>
    </row>
    <row r="10349">
      <c r="C10349" s="18" t="n"/>
      <c r="J10349" s="19" t="n"/>
      <c r="P10349" s="20" t="n"/>
      <c r="Q10349" s="19" t="n"/>
      <c r="R10349" s="19" t="n"/>
      <c r="Y10349" s="19" t="n"/>
    </row>
    <row r="10350">
      <c r="C10350" s="18" t="n"/>
      <c r="J10350" s="19" t="n"/>
      <c r="P10350" s="20" t="n"/>
      <c r="Q10350" s="19" t="n"/>
      <c r="R10350" s="19" t="n"/>
      <c r="Y10350" s="19" t="n"/>
    </row>
    <row r="10351">
      <c r="C10351" s="18" t="n"/>
      <c r="J10351" s="19" t="n"/>
      <c r="P10351" s="20" t="n"/>
      <c r="Q10351" s="19" t="n"/>
      <c r="R10351" s="19" t="n"/>
      <c r="Y10351" s="19" t="n"/>
    </row>
    <row r="10352">
      <c r="C10352" s="18" t="n"/>
      <c r="J10352" s="19" t="n"/>
      <c r="P10352" s="20" t="n"/>
      <c r="Q10352" s="19" t="n"/>
      <c r="R10352" s="19" t="n"/>
      <c r="Y10352" s="19" t="n"/>
    </row>
    <row r="10353">
      <c r="C10353" s="18" t="n"/>
      <c r="J10353" s="19" t="n"/>
      <c r="P10353" s="20" t="n"/>
      <c r="Q10353" s="19" t="n"/>
      <c r="R10353" s="19" t="n"/>
      <c r="Y10353" s="19" t="n"/>
    </row>
    <row r="10354">
      <c r="C10354" s="18" t="n"/>
      <c r="J10354" s="19" t="n"/>
      <c r="P10354" s="20" t="n"/>
      <c r="Q10354" s="19" t="n"/>
      <c r="R10354" s="19" t="n"/>
      <c r="Y10354" s="19" t="n"/>
    </row>
    <row r="10355">
      <c r="C10355" s="18" t="n"/>
      <c r="J10355" s="19" t="n"/>
      <c r="P10355" s="20" t="n"/>
      <c r="Q10355" s="19" t="n"/>
      <c r="R10355" s="19" t="n"/>
      <c r="Y10355" s="19" t="n"/>
    </row>
    <row r="10356">
      <c r="C10356" s="18" t="n"/>
      <c r="J10356" s="19" t="n"/>
      <c r="P10356" s="20" t="n"/>
      <c r="Q10356" s="19" t="n"/>
      <c r="R10356" s="19" t="n"/>
      <c r="Y10356" s="19" t="n"/>
    </row>
    <row r="10357">
      <c r="C10357" s="18" t="n"/>
      <c r="J10357" s="19" t="n"/>
      <c r="P10357" s="20" t="n"/>
      <c r="Q10357" s="19" t="n"/>
      <c r="R10357" s="19" t="n"/>
      <c r="Y10357" s="19" t="n"/>
    </row>
    <row r="10358">
      <c r="C10358" s="18" t="n"/>
      <c r="J10358" s="19" t="n"/>
      <c r="P10358" s="20" t="n"/>
      <c r="Q10358" s="19" t="n"/>
      <c r="R10358" s="19" t="n"/>
      <c r="Y10358" s="19" t="n"/>
    </row>
    <row r="10359">
      <c r="C10359" s="18" t="n"/>
      <c r="J10359" s="19" t="n"/>
      <c r="P10359" s="20" t="n"/>
      <c r="Q10359" s="19" t="n"/>
      <c r="R10359" s="19" t="n"/>
      <c r="Y10359" s="19" t="n"/>
    </row>
    <row r="10360">
      <c r="C10360" s="18" t="n"/>
      <c r="J10360" s="19" t="n"/>
      <c r="P10360" s="20" t="n"/>
      <c r="Q10360" s="19" t="n"/>
      <c r="R10360" s="19" t="n"/>
      <c r="Y10360" s="19" t="n"/>
    </row>
    <row r="10361">
      <c r="C10361" s="18" t="n"/>
      <c r="J10361" s="19" t="n"/>
      <c r="P10361" s="20" t="n"/>
      <c r="Q10361" s="19" t="n"/>
      <c r="R10361" s="19" t="n"/>
      <c r="Y10361" s="19" t="n"/>
    </row>
    <row r="10362">
      <c r="C10362" s="18" t="n"/>
      <c r="J10362" s="19" t="n"/>
      <c r="P10362" s="20" t="n"/>
      <c r="Q10362" s="19" t="n"/>
      <c r="R10362" s="19" t="n"/>
      <c r="Y10362" s="19" t="n"/>
    </row>
    <row r="10363">
      <c r="C10363" s="18" t="n"/>
      <c r="J10363" s="19" t="n"/>
      <c r="P10363" s="20" t="n"/>
      <c r="Q10363" s="19" t="n"/>
      <c r="R10363" s="19" t="n"/>
      <c r="Y10363" s="19" t="n"/>
    </row>
    <row r="10364">
      <c r="C10364" s="18" t="n"/>
      <c r="J10364" s="19" t="n"/>
      <c r="P10364" s="20" t="n"/>
      <c r="Q10364" s="19" t="n"/>
      <c r="R10364" s="19" t="n"/>
      <c r="Y10364" s="19" t="n"/>
    </row>
    <row r="10365">
      <c r="C10365" s="18" t="n"/>
      <c r="J10365" s="19" t="n"/>
      <c r="P10365" s="20" t="n"/>
      <c r="Q10365" s="19" t="n"/>
      <c r="R10365" s="19" t="n"/>
      <c r="Y10365" s="19" t="n"/>
    </row>
    <row r="10366">
      <c r="C10366" s="18" t="n"/>
      <c r="J10366" s="19" t="n"/>
      <c r="P10366" s="20" t="n"/>
      <c r="Q10366" s="19" t="n"/>
      <c r="R10366" s="19" t="n"/>
      <c r="Y10366" s="19" t="n"/>
    </row>
    <row r="10367">
      <c r="C10367" s="18" t="n"/>
      <c r="J10367" s="19" t="n"/>
      <c r="P10367" s="20" t="n"/>
      <c r="Q10367" s="19" t="n"/>
      <c r="R10367" s="19" t="n"/>
      <c r="Y10367" s="19" t="n"/>
    </row>
    <row r="10368">
      <c r="C10368" s="18" t="n"/>
      <c r="J10368" s="19" t="n"/>
      <c r="P10368" s="20" t="n"/>
      <c r="Q10368" s="19" t="n"/>
      <c r="R10368" s="19" t="n"/>
      <c r="Y10368" s="19" t="n"/>
    </row>
    <row r="10369">
      <c r="C10369" s="18" t="n"/>
      <c r="J10369" s="19" t="n"/>
      <c r="P10369" s="20" t="n"/>
      <c r="Q10369" s="19" t="n"/>
      <c r="R10369" s="19" t="n"/>
      <c r="Y10369" s="19" t="n"/>
    </row>
    <row r="10370">
      <c r="C10370" s="18" t="n"/>
      <c r="J10370" s="19" t="n"/>
      <c r="P10370" s="20" t="n"/>
      <c r="Q10370" s="19" t="n"/>
      <c r="R10370" s="19" t="n"/>
      <c r="Y10370" s="19" t="n"/>
    </row>
    <row r="10371">
      <c r="C10371" s="18" t="n"/>
      <c r="J10371" s="19" t="n"/>
      <c r="P10371" s="20" t="n"/>
      <c r="Q10371" s="19" t="n"/>
      <c r="R10371" s="19" t="n"/>
      <c r="Y10371" s="19" t="n"/>
    </row>
    <row r="10372">
      <c r="C10372" s="18" t="n"/>
      <c r="J10372" s="19" t="n"/>
      <c r="P10372" s="20" t="n"/>
      <c r="Q10372" s="19" t="n"/>
      <c r="R10372" s="19" t="n"/>
      <c r="Y10372" s="19" t="n"/>
    </row>
    <row r="10373">
      <c r="C10373" s="18" t="n"/>
      <c r="J10373" s="19" t="n"/>
      <c r="P10373" s="20" t="n"/>
      <c r="Q10373" s="19" t="n"/>
      <c r="R10373" s="19" t="n"/>
      <c r="Y10373" s="19" t="n"/>
    </row>
    <row r="10374">
      <c r="C10374" s="18" t="n"/>
      <c r="J10374" s="19" t="n"/>
      <c r="P10374" s="20" t="n"/>
      <c r="Q10374" s="19" t="n"/>
      <c r="R10374" s="19" t="n"/>
      <c r="Y10374" s="19" t="n"/>
    </row>
    <row r="10375">
      <c r="C10375" s="18" t="n"/>
      <c r="J10375" s="19" t="n"/>
      <c r="P10375" s="20" t="n"/>
      <c r="Q10375" s="19" t="n"/>
      <c r="R10375" s="19" t="n"/>
      <c r="Y10375" s="19" t="n"/>
    </row>
    <row r="10376">
      <c r="C10376" s="18" t="n"/>
      <c r="J10376" s="19" t="n"/>
      <c r="P10376" s="20" t="n"/>
      <c r="Q10376" s="19" t="n"/>
      <c r="R10376" s="19" t="n"/>
      <c r="Y10376" s="19" t="n"/>
    </row>
    <row r="10377">
      <c r="C10377" s="18" t="n"/>
      <c r="J10377" s="19" t="n"/>
      <c r="P10377" s="20" t="n"/>
      <c r="Q10377" s="19" t="n"/>
      <c r="R10377" s="19" t="n"/>
      <c r="Y10377" s="19" t="n"/>
    </row>
    <row r="10378">
      <c r="C10378" s="18" t="n"/>
      <c r="J10378" s="19" t="n"/>
      <c r="P10378" s="20" t="n"/>
      <c r="Q10378" s="19" t="n"/>
      <c r="R10378" s="19" t="n"/>
      <c r="Y10378" s="19" t="n"/>
    </row>
    <row r="10379">
      <c r="C10379" s="18" t="n"/>
      <c r="J10379" s="19" t="n"/>
      <c r="P10379" s="20" t="n"/>
      <c r="Q10379" s="19" t="n"/>
      <c r="R10379" s="19" t="n"/>
      <c r="Y10379" s="19" t="n"/>
    </row>
    <row r="10380">
      <c r="C10380" s="18" t="n"/>
      <c r="J10380" s="19" t="n"/>
      <c r="P10380" s="20" t="n"/>
      <c r="Q10380" s="19" t="n"/>
      <c r="R10380" s="19" t="n"/>
      <c r="Y10380" s="19" t="n"/>
    </row>
    <row r="10381">
      <c r="C10381" s="18" t="n"/>
      <c r="J10381" s="19" t="n"/>
      <c r="P10381" s="20" t="n"/>
      <c r="Q10381" s="19" t="n"/>
      <c r="R10381" s="19" t="n"/>
      <c r="Y10381" s="19" t="n"/>
    </row>
    <row r="10382">
      <c r="C10382" s="18" t="n"/>
      <c r="J10382" s="19" t="n"/>
      <c r="P10382" s="20" t="n"/>
      <c r="Q10382" s="19" t="n"/>
      <c r="R10382" s="19" t="n"/>
      <c r="Y10382" s="19" t="n"/>
    </row>
    <row r="10383">
      <c r="C10383" s="18" t="n"/>
      <c r="J10383" s="19" t="n"/>
      <c r="P10383" s="20" t="n"/>
      <c r="Q10383" s="19" t="n"/>
      <c r="R10383" s="19" t="n"/>
      <c r="Y10383" s="19" t="n"/>
    </row>
    <row r="10384">
      <c r="C10384" s="18" t="n"/>
      <c r="J10384" s="19" t="n"/>
      <c r="P10384" s="20" t="n"/>
      <c r="Q10384" s="19" t="n"/>
      <c r="R10384" s="19" t="n"/>
      <c r="Y10384" s="19" t="n"/>
    </row>
    <row r="10385">
      <c r="C10385" s="18" t="n"/>
      <c r="J10385" s="19" t="n"/>
      <c r="P10385" s="20" t="n"/>
      <c r="Q10385" s="19" t="n"/>
      <c r="R10385" s="19" t="n"/>
      <c r="Y10385" s="19" t="n"/>
    </row>
    <row r="10386">
      <c r="C10386" s="18" t="n"/>
      <c r="J10386" s="19" t="n"/>
      <c r="P10386" s="20" t="n"/>
      <c r="Q10386" s="19" t="n"/>
      <c r="R10386" s="19" t="n"/>
      <c r="Y10386" s="19" t="n"/>
    </row>
    <row r="10387">
      <c r="C10387" s="18" t="n"/>
      <c r="J10387" s="19" t="n"/>
      <c r="P10387" s="20" t="n"/>
      <c r="Q10387" s="19" t="n"/>
      <c r="R10387" s="19" t="n"/>
      <c r="Y10387" s="19" t="n"/>
    </row>
    <row r="10388">
      <c r="C10388" s="18" t="n"/>
      <c r="J10388" s="19" t="n"/>
      <c r="P10388" s="20" t="n"/>
      <c r="Q10388" s="19" t="n"/>
      <c r="R10388" s="19" t="n"/>
      <c r="Y10388" s="19" t="n"/>
    </row>
    <row r="10389">
      <c r="C10389" s="18" t="n"/>
      <c r="J10389" s="19" t="n"/>
      <c r="P10389" s="20" t="n"/>
      <c r="Q10389" s="19" t="n"/>
      <c r="R10389" s="19" t="n"/>
      <c r="Y10389" s="19" t="n"/>
    </row>
    <row r="10390">
      <c r="C10390" s="18" t="n"/>
      <c r="J10390" s="19" t="n"/>
      <c r="P10390" s="20" t="n"/>
      <c r="Q10390" s="19" t="n"/>
      <c r="R10390" s="19" t="n"/>
      <c r="Y10390" s="19" t="n"/>
    </row>
    <row r="10391">
      <c r="C10391" s="18" t="n"/>
      <c r="J10391" s="19" t="n"/>
      <c r="P10391" s="20" t="n"/>
      <c r="Q10391" s="19" t="n"/>
      <c r="R10391" s="19" t="n"/>
      <c r="Y10391" s="19" t="n"/>
    </row>
    <row r="10392">
      <c r="C10392" s="18" t="n"/>
      <c r="J10392" s="19" t="n"/>
      <c r="P10392" s="20" t="n"/>
      <c r="Q10392" s="19" t="n"/>
      <c r="R10392" s="19" t="n"/>
      <c r="Y10392" s="19" t="n"/>
    </row>
    <row r="10393">
      <c r="C10393" s="18" t="n"/>
      <c r="J10393" s="19" t="n"/>
      <c r="P10393" s="20" t="n"/>
      <c r="Q10393" s="19" t="n"/>
      <c r="R10393" s="19" t="n"/>
      <c r="Y10393" s="19" t="n"/>
    </row>
    <row r="10394">
      <c r="C10394" s="18" t="n"/>
      <c r="J10394" s="19" t="n"/>
      <c r="P10394" s="20" t="n"/>
      <c r="Q10394" s="19" t="n"/>
      <c r="R10394" s="19" t="n"/>
      <c r="Y10394" s="19" t="n"/>
    </row>
    <row r="10395">
      <c r="C10395" s="18" t="n"/>
      <c r="J10395" s="19" t="n"/>
      <c r="P10395" s="20" t="n"/>
      <c r="Q10395" s="19" t="n"/>
      <c r="R10395" s="19" t="n"/>
      <c r="Y10395" s="19" t="n"/>
    </row>
    <row r="10396">
      <c r="C10396" s="18" t="n"/>
      <c r="J10396" s="19" t="n"/>
      <c r="P10396" s="20" t="n"/>
      <c r="Q10396" s="19" t="n"/>
      <c r="R10396" s="19" t="n"/>
      <c r="Y10396" s="19" t="n"/>
    </row>
    <row r="10397">
      <c r="C10397" s="18" t="n"/>
      <c r="J10397" s="19" t="n"/>
      <c r="P10397" s="20" t="n"/>
      <c r="Q10397" s="19" t="n"/>
      <c r="R10397" s="19" t="n"/>
      <c r="Y10397" s="19" t="n"/>
    </row>
    <row r="10398">
      <c r="C10398" s="18" t="n"/>
      <c r="J10398" s="19" t="n"/>
      <c r="P10398" s="20" t="n"/>
      <c r="Q10398" s="19" t="n"/>
      <c r="R10398" s="19" t="n"/>
      <c r="Y10398" s="19" t="n"/>
    </row>
    <row r="10399">
      <c r="C10399" s="18" t="n"/>
      <c r="J10399" s="19" t="n"/>
      <c r="P10399" s="20" t="n"/>
      <c r="Q10399" s="19" t="n"/>
      <c r="R10399" s="19" t="n"/>
      <c r="Y10399" s="19" t="n"/>
    </row>
    <row r="10400">
      <c r="C10400" s="18" t="n"/>
      <c r="J10400" s="19" t="n"/>
      <c r="P10400" s="20" t="n"/>
      <c r="Q10400" s="19" t="n"/>
      <c r="R10400" s="19" t="n"/>
      <c r="Y10400" s="19" t="n"/>
    </row>
    <row r="10401">
      <c r="C10401" s="18" t="n"/>
      <c r="J10401" s="19" t="n"/>
      <c r="P10401" s="20" t="n"/>
      <c r="Q10401" s="19" t="n"/>
      <c r="R10401" s="19" t="n"/>
      <c r="Y10401" s="19" t="n"/>
    </row>
    <row r="10402">
      <c r="C10402" s="18" t="n"/>
      <c r="J10402" s="19" t="n"/>
      <c r="P10402" s="20" t="n"/>
      <c r="Q10402" s="19" t="n"/>
      <c r="R10402" s="19" t="n"/>
      <c r="Y10402" s="19" t="n"/>
    </row>
    <row r="10403">
      <c r="C10403" s="18" t="n"/>
      <c r="J10403" s="19" t="n"/>
      <c r="P10403" s="20" t="n"/>
      <c r="Q10403" s="19" t="n"/>
      <c r="R10403" s="19" t="n"/>
      <c r="Y10403" s="19" t="n"/>
    </row>
    <row r="10404">
      <c r="C10404" s="18" t="n"/>
      <c r="J10404" s="19" t="n"/>
      <c r="P10404" s="20" t="n"/>
      <c r="Q10404" s="19" t="n"/>
      <c r="R10404" s="19" t="n"/>
      <c r="Y10404" s="19" t="n"/>
    </row>
    <row r="10405">
      <c r="C10405" s="18" t="n"/>
      <c r="J10405" s="19" t="n"/>
      <c r="P10405" s="20" t="n"/>
      <c r="Q10405" s="19" t="n"/>
      <c r="R10405" s="19" t="n"/>
      <c r="Y10405" s="19" t="n"/>
    </row>
    <row r="10406">
      <c r="C10406" s="18" t="n"/>
      <c r="J10406" s="19" t="n"/>
      <c r="P10406" s="20" t="n"/>
      <c r="Q10406" s="19" t="n"/>
      <c r="R10406" s="19" t="n"/>
      <c r="Y10406" s="19" t="n"/>
    </row>
    <row r="10407">
      <c r="C10407" s="18" t="n"/>
      <c r="J10407" s="19" t="n"/>
      <c r="P10407" s="20" t="n"/>
      <c r="Q10407" s="19" t="n"/>
      <c r="R10407" s="19" t="n"/>
      <c r="Y10407" s="19" t="n"/>
    </row>
    <row r="10408">
      <c r="C10408" s="18" t="n"/>
      <c r="J10408" s="19" t="n"/>
      <c r="P10408" s="20" t="n"/>
      <c r="Q10408" s="19" t="n"/>
      <c r="R10408" s="19" t="n"/>
      <c r="Y10408" s="19" t="n"/>
    </row>
    <row r="10409">
      <c r="C10409" s="18" t="n"/>
      <c r="J10409" s="19" t="n"/>
      <c r="P10409" s="20" t="n"/>
      <c r="Q10409" s="19" t="n"/>
      <c r="R10409" s="19" t="n"/>
      <c r="Y10409" s="19" t="n"/>
    </row>
    <row r="10410">
      <c r="C10410" s="18" t="n"/>
      <c r="J10410" s="19" t="n"/>
      <c r="P10410" s="20" t="n"/>
      <c r="Q10410" s="19" t="n"/>
      <c r="R10410" s="19" t="n"/>
      <c r="Y10410" s="19" t="n"/>
    </row>
    <row r="10411">
      <c r="C10411" s="18" t="n"/>
      <c r="J10411" s="19" t="n"/>
      <c r="P10411" s="20" t="n"/>
      <c r="Q10411" s="19" t="n"/>
      <c r="R10411" s="19" t="n"/>
      <c r="Y10411" s="19" t="n"/>
    </row>
    <row r="10412">
      <c r="C10412" s="18" t="n"/>
      <c r="J10412" s="19" t="n"/>
      <c r="P10412" s="20" t="n"/>
      <c r="Q10412" s="19" t="n"/>
      <c r="R10412" s="19" t="n"/>
      <c r="Y10412" s="19" t="n"/>
    </row>
    <row r="10413">
      <c r="C10413" s="18" t="n"/>
      <c r="J10413" s="19" t="n"/>
      <c r="P10413" s="20" t="n"/>
      <c r="Q10413" s="19" t="n"/>
      <c r="R10413" s="19" t="n"/>
      <c r="Y10413" s="19" t="n"/>
    </row>
    <row r="10414">
      <c r="C10414" s="18" t="n"/>
      <c r="J10414" s="19" t="n"/>
      <c r="P10414" s="20" t="n"/>
      <c r="Q10414" s="19" t="n"/>
      <c r="R10414" s="19" t="n"/>
      <c r="Y10414" s="19" t="n"/>
    </row>
    <row r="10415">
      <c r="C10415" s="18" t="n"/>
      <c r="J10415" s="19" t="n"/>
      <c r="P10415" s="20" t="n"/>
      <c r="Q10415" s="19" t="n"/>
      <c r="R10415" s="19" t="n"/>
      <c r="Y10415" s="19" t="n"/>
    </row>
    <row r="10416">
      <c r="C10416" s="18" t="n"/>
      <c r="J10416" s="19" t="n"/>
      <c r="P10416" s="20" t="n"/>
      <c r="Q10416" s="19" t="n"/>
      <c r="R10416" s="19" t="n"/>
      <c r="Y10416" s="19" t="n"/>
    </row>
    <row r="10417">
      <c r="C10417" s="18" t="n"/>
      <c r="J10417" s="19" t="n"/>
      <c r="P10417" s="20" t="n"/>
      <c r="Q10417" s="19" t="n"/>
      <c r="R10417" s="19" t="n"/>
      <c r="Y10417" s="19" t="n"/>
    </row>
    <row r="10418">
      <c r="C10418" s="18" t="n"/>
      <c r="J10418" s="19" t="n"/>
      <c r="P10418" s="20" t="n"/>
      <c r="Q10418" s="19" t="n"/>
      <c r="R10418" s="19" t="n"/>
      <c r="Y10418" s="19" t="n"/>
    </row>
    <row r="10419">
      <c r="C10419" s="18" t="n"/>
      <c r="J10419" s="19" t="n"/>
      <c r="P10419" s="20" t="n"/>
      <c r="Q10419" s="19" t="n"/>
      <c r="R10419" s="19" t="n"/>
      <c r="Y10419" s="19" t="n"/>
    </row>
    <row r="10420">
      <c r="C10420" s="18" t="n"/>
      <c r="J10420" s="19" t="n"/>
      <c r="P10420" s="20" t="n"/>
      <c r="Q10420" s="19" t="n"/>
      <c r="R10420" s="19" t="n"/>
      <c r="Y10420" s="19" t="n"/>
    </row>
    <row r="10421">
      <c r="C10421" s="18" t="n"/>
      <c r="J10421" s="19" t="n"/>
      <c r="P10421" s="20" t="n"/>
      <c r="Q10421" s="19" t="n"/>
      <c r="R10421" s="19" t="n"/>
      <c r="Y10421" s="19" t="n"/>
    </row>
    <row r="10422">
      <c r="C10422" s="18" t="n"/>
      <c r="J10422" s="19" t="n"/>
      <c r="P10422" s="20" t="n"/>
      <c r="Q10422" s="19" t="n"/>
      <c r="R10422" s="19" t="n"/>
      <c r="Y10422" s="19" t="n"/>
    </row>
    <row r="10423">
      <c r="C10423" s="18" t="n"/>
      <c r="J10423" s="19" t="n"/>
      <c r="P10423" s="20" t="n"/>
      <c r="Q10423" s="19" t="n"/>
      <c r="R10423" s="19" t="n"/>
      <c r="Y10423" s="19" t="n"/>
    </row>
    <row r="10424">
      <c r="C10424" s="18" t="n"/>
      <c r="J10424" s="19" t="n"/>
      <c r="P10424" s="20" t="n"/>
      <c r="Q10424" s="19" t="n"/>
      <c r="R10424" s="19" t="n"/>
      <c r="Y10424" s="19" t="n"/>
    </row>
    <row r="10425">
      <c r="C10425" s="18" t="n"/>
      <c r="J10425" s="19" t="n"/>
      <c r="P10425" s="20" t="n"/>
      <c r="Q10425" s="19" t="n"/>
      <c r="R10425" s="19" t="n"/>
      <c r="Y10425" s="19" t="n"/>
    </row>
    <row r="10426">
      <c r="C10426" s="18" t="n"/>
      <c r="J10426" s="19" t="n"/>
      <c r="P10426" s="20" t="n"/>
      <c r="Q10426" s="19" t="n"/>
      <c r="R10426" s="19" t="n"/>
      <c r="Y10426" s="19" t="n"/>
    </row>
    <row r="10427">
      <c r="C10427" s="18" t="n"/>
      <c r="J10427" s="19" t="n"/>
      <c r="P10427" s="20" t="n"/>
      <c r="Q10427" s="19" t="n"/>
      <c r="R10427" s="19" t="n"/>
      <c r="Y10427" s="19" t="n"/>
    </row>
    <row r="10428">
      <c r="C10428" s="18" t="n"/>
      <c r="J10428" s="19" t="n"/>
      <c r="P10428" s="20" t="n"/>
      <c r="Q10428" s="19" t="n"/>
      <c r="R10428" s="19" t="n"/>
      <c r="Y10428" s="19" t="n"/>
    </row>
    <row r="10429">
      <c r="C10429" s="18" t="n"/>
      <c r="J10429" s="19" t="n"/>
      <c r="P10429" s="20" t="n"/>
      <c r="Q10429" s="19" t="n"/>
      <c r="R10429" s="19" t="n"/>
      <c r="Y10429" s="19" t="n"/>
    </row>
    <row r="10430">
      <c r="C10430" s="18" t="n"/>
      <c r="J10430" s="19" t="n"/>
      <c r="P10430" s="20" t="n"/>
      <c r="Q10430" s="19" t="n"/>
      <c r="R10430" s="19" t="n"/>
      <c r="Y10430" s="19" t="n"/>
    </row>
    <row r="10431">
      <c r="C10431" s="18" t="n"/>
      <c r="J10431" s="19" t="n"/>
      <c r="P10431" s="20" t="n"/>
      <c r="Q10431" s="19" t="n"/>
      <c r="R10431" s="19" t="n"/>
      <c r="Y10431" s="19" t="n"/>
    </row>
    <row r="10432">
      <c r="C10432" s="18" t="n"/>
      <c r="J10432" s="19" t="n"/>
      <c r="P10432" s="20" t="n"/>
      <c r="Q10432" s="19" t="n"/>
      <c r="R10432" s="19" t="n"/>
      <c r="Y10432" s="19" t="n"/>
    </row>
    <row r="10433">
      <c r="C10433" s="18" t="n"/>
      <c r="J10433" s="19" t="n"/>
      <c r="P10433" s="20" t="n"/>
      <c r="Q10433" s="19" t="n"/>
      <c r="R10433" s="19" t="n"/>
      <c r="Y10433" s="19" t="n"/>
    </row>
    <row r="10434">
      <c r="C10434" s="18" t="n"/>
      <c r="J10434" s="19" t="n"/>
      <c r="P10434" s="20" t="n"/>
      <c r="Q10434" s="19" t="n"/>
      <c r="R10434" s="19" t="n"/>
      <c r="Y10434" s="19" t="n"/>
    </row>
    <row r="10435">
      <c r="C10435" s="18" t="n"/>
      <c r="J10435" s="19" t="n"/>
      <c r="P10435" s="20" t="n"/>
      <c r="Q10435" s="19" t="n"/>
      <c r="R10435" s="19" t="n"/>
      <c r="Y10435" s="19" t="n"/>
    </row>
    <row r="10436">
      <c r="C10436" s="18" t="n"/>
      <c r="J10436" s="19" t="n"/>
      <c r="P10436" s="20" t="n"/>
      <c r="Q10436" s="19" t="n"/>
      <c r="R10436" s="19" t="n"/>
      <c r="Y10436" s="19" t="n"/>
    </row>
    <row r="10437">
      <c r="C10437" s="18" t="n"/>
      <c r="J10437" s="19" t="n"/>
      <c r="P10437" s="20" t="n"/>
      <c r="Q10437" s="19" t="n"/>
      <c r="R10437" s="19" t="n"/>
      <c r="Y10437" s="19" t="n"/>
    </row>
    <row r="10438">
      <c r="C10438" s="18" t="n"/>
      <c r="J10438" s="19" t="n"/>
      <c r="P10438" s="20" t="n"/>
      <c r="Q10438" s="19" t="n"/>
      <c r="R10438" s="19" t="n"/>
      <c r="Y10438" s="19" t="n"/>
    </row>
    <row r="10439">
      <c r="C10439" s="18" t="n"/>
      <c r="J10439" s="19" t="n"/>
      <c r="P10439" s="20" t="n"/>
      <c r="Q10439" s="19" t="n"/>
      <c r="R10439" s="19" t="n"/>
      <c r="Y10439" s="19" t="n"/>
    </row>
    <row r="10440">
      <c r="C10440" s="18" t="n"/>
      <c r="J10440" s="19" t="n"/>
      <c r="P10440" s="20" t="n"/>
      <c r="Q10440" s="19" t="n"/>
      <c r="R10440" s="19" t="n"/>
      <c r="Y10440" s="19" t="n"/>
    </row>
    <row r="10441">
      <c r="C10441" s="18" t="n"/>
      <c r="J10441" s="19" t="n"/>
      <c r="P10441" s="20" t="n"/>
      <c r="Q10441" s="19" t="n"/>
      <c r="R10441" s="19" t="n"/>
      <c r="Y10441" s="19" t="n"/>
    </row>
    <row r="10442">
      <c r="C10442" s="18" t="n"/>
      <c r="J10442" s="19" t="n"/>
      <c r="P10442" s="20" t="n"/>
      <c r="Q10442" s="19" t="n"/>
      <c r="R10442" s="19" t="n"/>
      <c r="Y10442" s="19" t="n"/>
    </row>
    <row r="10443">
      <c r="C10443" s="18" t="n"/>
      <c r="J10443" s="19" t="n"/>
      <c r="P10443" s="20" t="n"/>
      <c r="Q10443" s="19" t="n"/>
      <c r="R10443" s="19" t="n"/>
      <c r="Y10443" s="19" t="n"/>
    </row>
    <row r="10444">
      <c r="C10444" s="18" t="n"/>
      <c r="J10444" s="19" t="n"/>
      <c r="P10444" s="20" t="n"/>
      <c r="Q10444" s="19" t="n"/>
      <c r="R10444" s="19" t="n"/>
      <c r="Y10444" s="19" t="n"/>
    </row>
    <row r="10445">
      <c r="C10445" s="18" t="n"/>
      <c r="J10445" s="19" t="n"/>
      <c r="P10445" s="20" t="n"/>
      <c r="Q10445" s="19" t="n"/>
      <c r="R10445" s="19" t="n"/>
      <c r="Y10445" s="19" t="n"/>
    </row>
    <row r="10446">
      <c r="C10446" s="18" t="n"/>
      <c r="J10446" s="19" t="n"/>
      <c r="P10446" s="20" t="n"/>
      <c r="Q10446" s="19" t="n"/>
      <c r="R10446" s="19" t="n"/>
      <c r="Y10446" s="19" t="n"/>
    </row>
    <row r="10447">
      <c r="C10447" s="18" t="n"/>
      <c r="J10447" s="19" t="n"/>
      <c r="P10447" s="20" t="n"/>
      <c r="Q10447" s="19" t="n"/>
      <c r="R10447" s="19" t="n"/>
      <c r="Y10447" s="19" t="n"/>
    </row>
    <row r="10448">
      <c r="C10448" s="18" t="n"/>
      <c r="J10448" s="19" t="n"/>
      <c r="P10448" s="20" t="n"/>
      <c r="Q10448" s="19" t="n"/>
      <c r="R10448" s="19" t="n"/>
      <c r="Y10448" s="19" t="n"/>
    </row>
    <row r="10449">
      <c r="C10449" s="18" t="n"/>
      <c r="J10449" s="19" t="n"/>
      <c r="P10449" s="20" t="n"/>
      <c r="Q10449" s="19" t="n"/>
      <c r="R10449" s="19" t="n"/>
      <c r="Y10449" s="19" t="n"/>
    </row>
    <row r="10450">
      <c r="C10450" s="18" t="n"/>
      <c r="J10450" s="19" t="n"/>
      <c r="P10450" s="20" t="n"/>
      <c r="Q10450" s="19" t="n"/>
      <c r="R10450" s="19" t="n"/>
      <c r="Y10450" s="19" t="n"/>
    </row>
    <row r="10451">
      <c r="C10451" s="18" t="n"/>
      <c r="J10451" s="19" t="n"/>
      <c r="P10451" s="20" t="n"/>
      <c r="Q10451" s="19" t="n"/>
      <c r="R10451" s="19" t="n"/>
      <c r="Y10451" s="19" t="n"/>
    </row>
    <row r="10452">
      <c r="C10452" s="18" t="n"/>
      <c r="J10452" s="19" t="n"/>
      <c r="P10452" s="20" t="n"/>
      <c r="Q10452" s="19" t="n"/>
      <c r="R10452" s="19" t="n"/>
      <c r="Y10452" s="19" t="n"/>
    </row>
    <row r="10453">
      <c r="C10453" s="18" t="n"/>
      <c r="J10453" s="19" t="n"/>
      <c r="P10453" s="20" t="n"/>
      <c r="Q10453" s="19" t="n"/>
      <c r="R10453" s="19" t="n"/>
      <c r="Y10453" s="19" t="n"/>
    </row>
    <row r="10454">
      <c r="C10454" s="18" t="n"/>
      <c r="J10454" s="19" t="n"/>
      <c r="P10454" s="20" t="n"/>
      <c r="Q10454" s="19" t="n"/>
      <c r="R10454" s="19" t="n"/>
      <c r="Y10454" s="19" t="n"/>
    </row>
    <row r="10455">
      <c r="C10455" s="18" t="n"/>
      <c r="J10455" s="19" t="n"/>
      <c r="P10455" s="20" t="n"/>
      <c r="Q10455" s="19" t="n"/>
      <c r="R10455" s="19" t="n"/>
      <c r="Y10455" s="19" t="n"/>
    </row>
    <row r="10456">
      <c r="C10456" s="18" t="n"/>
      <c r="J10456" s="19" t="n"/>
      <c r="P10456" s="20" t="n"/>
      <c r="Q10456" s="19" t="n"/>
      <c r="R10456" s="19" t="n"/>
      <c r="Y10456" s="19" t="n"/>
    </row>
    <row r="10457">
      <c r="C10457" s="18" t="n"/>
      <c r="J10457" s="19" t="n"/>
      <c r="P10457" s="20" t="n"/>
      <c r="Q10457" s="19" t="n"/>
      <c r="R10457" s="19" t="n"/>
      <c r="Y10457" s="19" t="n"/>
    </row>
    <row r="10458">
      <c r="C10458" s="18" t="n"/>
      <c r="J10458" s="19" t="n"/>
      <c r="P10458" s="20" t="n"/>
      <c r="Q10458" s="19" t="n"/>
      <c r="R10458" s="19" t="n"/>
      <c r="Y10458" s="19" t="n"/>
    </row>
    <row r="10459">
      <c r="C10459" s="18" t="n"/>
      <c r="J10459" s="19" t="n"/>
      <c r="P10459" s="20" t="n"/>
      <c r="Q10459" s="19" t="n"/>
      <c r="R10459" s="19" t="n"/>
      <c r="Y10459" s="19" t="n"/>
    </row>
    <row r="10460">
      <c r="C10460" s="18" t="n"/>
      <c r="J10460" s="19" t="n"/>
      <c r="P10460" s="20" t="n"/>
      <c r="Q10460" s="19" t="n"/>
      <c r="R10460" s="19" t="n"/>
      <c r="Y10460" s="19" t="n"/>
    </row>
    <row r="10461">
      <c r="C10461" s="18" t="n"/>
      <c r="J10461" s="19" t="n"/>
      <c r="P10461" s="20" t="n"/>
      <c r="Q10461" s="19" t="n"/>
      <c r="R10461" s="19" t="n"/>
      <c r="Y10461" s="19" t="n"/>
    </row>
    <row r="10462">
      <c r="C10462" s="18" t="n"/>
      <c r="J10462" s="19" t="n"/>
      <c r="P10462" s="20" t="n"/>
      <c r="Q10462" s="19" t="n"/>
      <c r="R10462" s="19" t="n"/>
      <c r="Y10462" s="19" t="n"/>
    </row>
    <row r="10463">
      <c r="C10463" s="18" t="n"/>
      <c r="J10463" s="19" t="n"/>
      <c r="P10463" s="20" t="n"/>
      <c r="Q10463" s="19" t="n"/>
      <c r="R10463" s="19" t="n"/>
      <c r="Y10463" s="19" t="n"/>
    </row>
    <row r="10464">
      <c r="C10464" s="18" t="n"/>
      <c r="J10464" s="19" t="n"/>
      <c r="P10464" s="20" t="n"/>
      <c r="Q10464" s="19" t="n"/>
      <c r="R10464" s="19" t="n"/>
      <c r="Y10464" s="19" t="n"/>
    </row>
    <row r="10465">
      <c r="C10465" s="18" t="n"/>
      <c r="J10465" s="19" t="n"/>
      <c r="P10465" s="20" t="n"/>
      <c r="Q10465" s="19" t="n"/>
      <c r="R10465" s="19" t="n"/>
      <c r="Y10465" s="19" t="n"/>
    </row>
    <row r="10466">
      <c r="C10466" s="18" t="n"/>
      <c r="J10466" s="19" t="n"/>
      <c r="P10466" s="20" t="n"/>
      <c r="Q10466" s="19" t="n"/>
      <c r="R10466" s="19" t="n"/>
      <c r="Y10466" s="19" t="n"/>
    </row>
    <row r="10467">
      <c r="C10467" s="18" t="n"/>
      <c r="J10467" s="19" t="n"/>
      <c r="P10467" s="20" t="n"/>
      <c r="Q10467" s="19" t="n"/>
      <c r="R10467" s="19" t="n"/>
      <c r="Y10467" s="19" t="n"/>
    </row>
    <row r="10468">
      <c r="C10468" s="18" t="n"/>
      <c r="J10468" s="19" t="n"/>
      <c r="P10468" s="20" t="n"/>
      <c r="Q10468" s="19" t="n"/>
      <c r="R10468" s="19" t="n"/>
      <c r="Y10468" s="19" t="n"/>
    </row>
    <row r="10469">
      <c r="C10469" s="18" t="n"/>
      <c r="J10469" s="19" t="n"/>
      <c r="P10469" s="20" t="n"/>
      <c r="Q10469" s="19" t="n"/>
      <c r="R10469" s="19" t="n"/>
      <c r="Y10469" s="19" t="n"/>
    </row>
    <row r="10470">
      <c r="C10470" s="18" t="n"/>
      <c r="J10470" s="19" t="n"/>
      <c r="P10470" s="20" t="n"/>
      <c r="Q10470" s="19" t="n"/>
      <c r="R10470" s="19" t="n"/>
      <c r="Y10470" s="19" t="n"/>
    </row>
    <row r="10471">
      <c r="C10471" s="18" t="n"/>
      <c r="J10471" s="19" t="n"/>
      <c r="P10471" s="20" t="n"/>
      <c r="Q10471" s="19" t="n"/>
      <c r="R10471" s="19" t="n"/>
      <c r="Y10471" s="19" t="n"/>
    </row>
    <row r="10472">
      <c r="C10472" s="18" t="n"/>
      <c r="J10472" s="19" t="n"/>
      <c r="P10472" s="20" t="n"/>
      <c r="Q10472" s="19" t="n"/>
      <c r="R10472" s="19" t="n"/>
      <c r="Y10472" s="19" t="n"/>
    </row>
    <row r="10473">
      <c r="C10473" s="18" t="n"/>
      <c r="J10473" s="19" t="n"/>
      <c r="P10473" s="20" t="n"/>
      <c r="Q10473" s="19" t="n"/>
      <c r="R10473" s="19" t="n"/>
      <c r="Y10473" s="19" t="n"/>
    </row>
    <row r="10474">
      <c r="C10474" s="18" t="n"/>
      <c r="J10474" s="19" t="n"/>
      <c r="P10474" s="20" t="n"/>
      <c r="Q10474" s="19" t="n"/>
      <c r="R10474" s="19" t="n"/>
      <c r="Y10474" s="19" t="n"/>
    </row>
    <row r="10475">
      <c r="C10475" s="18" t="n"/>
      <c r="J10475" s="19" t="n"/>
      <c r="P10475" s="20" t="n"/>
      <c r="Q10475" s="19" t="n"/>
      <c r="R10475" s="19" t="n"/>
      <c r="Y10475" s="19" t="n"/>
    </row>
    <row r="10476">
      <c r="C10476" s="18" t="n"/>
      <c r="J10476" s="19" t="n"/>
      <c r="P10476" s="20" t="n"/>
      <c r="Q10476" s="19" t="n"/>
      <c r="R10476" s="19" t="n"/>
      <c r="Y10476" s="19" t="n"/>
    </row>
    <row r="10477">
      <c r="C10477" s="18" t="n"/>
      <c r="J10477" s="19" t="n"/>
      <c r="P10477" s="20" t="n"/>
      <c r="Q10477" s="19" t="n"/>
      <c r="R10477" s="19" t="n"/>
      <c r="Y10477" s="19" t="n"/>
    </row>
    <row r="10478">
      <c r="C10478" s="18" t="n"/>
      <c r="J10478" s="19" t="n"/>
      <c r="P10478" s="20" t="n"/>
      <c r="Q10478" s="19" t="n"/>
      <c r="R10478" s="19" t="n"/>
      <c r="Y10478" s="19" t="n"/>
    </row>
    <row r="10479">
      <c r="C10479" s="18" t="n"/>
      <c r="J10479" s="19" t="n"/>
      <c r="P10479" s="20" t="n"/>
      <c r="Q10479" s="19" t="n"/>
      <c r="R10479" s="19" t="n"/>
      <c r="Y10479" s="19" t="n"/>
    </row>
    <row r="10480">
      <c r="C10480" s="18" t="n"/>
      <c r="J10480" s="19" t="n"/>
      <c r="P10480" s="20" t="n"/>
      <c r="Q10480" s="19" t="n"/>
      <c r="R10480" s="19" t="n"/>
      <c r="Y10480" s="19" t="n"/>
    </row>
    <row r="10481">
      <c r="C10481" s="18" t="n"/>
      <c r="J10481" s="19" t="n"/>
      <c r="P10481" s="20" t="n"/>
      <c r="Q10481" s="19" t="n"/>
      <c r="R10481" s="19" t="n"/>
      <c r="Y10481" s="19" t="n"/>
    </row>
    <row r="10482">
      <c r="C10482" s="18" t="n"/>
      <c r="J10482" s="19" t="n"/>
      <c r="P10482" s="20" t="n"/>
      <c r="Q10482" s="19" t="n"/>
      <c r="R10482" s="19" t="n"/>
      <c r="Y10482" s="19" t="n"/>
    </row>
    <row r="10483">
      <c r="C10483" s="18" t="n"/>
      <c r="J10483" s="19" t="n"/>
      <c r="P10483" s="20" t="n"/>
      <c r="Q10483" s="19" t="n"/>
      <c r="R10483" s="19" t="n"/>
      <c r="Y10483" s="19" t="n"/>
    </row>
    <row r="10484">
      <c r="C10484" s="18" t="n"/>
      <c r="J10484" s="19" t="n"/>
      <c r="P10484" s="20" t="n"/>
      <c r="Q10484" s="19" t="n"/>
      <c r="R10484" s="19" t="n"/>
      <c r="Y10484" s="19" t="n"/>
    </row>
    <row r="10485">
      <c r="C10485" s="18" t="n"/>
      <c r="J10485" s="19" t="n"/>
      <c r="P10485" s="20" t="n"/>
      <c r="Q10485" s="19" t="n"/>
      <c r="R10485" s="19" t="n"/>
      <c r="Y10485" s="19" t="n"/>
    </row>
    <row r="10486">
      <c r="C10486" s="18" t="n"/>
      <c r="J10486" s="19" t="n"/>
      <c r="P10486" s="20" t="n"/>
      <c r="Q10486" s="19" t="n"/>
      <c r="R10486" s="19" t="n"/>
      <c r="Y10486" s="19" t="n"/>
    </row>
    <row r="10487">
      <c r="C10487" s="18" t="n"/>
      <c r="J10487" s="19" t="n"/>
      <c r="P10487" s="20" t="n"/>
      <c r="Q10487" s="19" t="n"/>
      <c r="R10487" s="19" t="n"/>
      <c r="Y10487" s="19" t="n"/>
    </row>
    <row r="10488">
      <c r="C10488" s="18" t="n"/>
      <c r="J10488" s="19" t="n"/>
      <c r="P10488" s="20" t="n"/>
      <c r="Q10488" s="19" t="n"/>
      <c r="R10488" s="19" t="n"/>
      <c r="Y10488" s="19" t="n"/>
    </row>
    <row r="10489">
      <c r="C10489" s="18" t="n"/>
      <c r="J10489" s="19" t="n"/>
      <c r="P10489" s="20" t="n"/>
      <c r="Q10489" s="19" t="n"/>
      <c r="R10489" s="19" t="n"/>
      <c r="Y10489" s="19" t="n"/>
    </row>
    <row r="10490">
      <c r="C10490" s="18" t="n"/>
      <c r="J10490" s="19" t="n"/>
      <c r="P10490" s="20" t="n"/>
      <c r="Q10490" s="19" t="n"/>
      <c r="R10490" s="19" t="n"/>
      <c r="Y10490" s="19" t="n"/>
    </row>
    <row r="10491">
      <c r="C10491" s="18" t="n"/>
      <c r="J10491" s="19" t="n"/>
      <c r="P10491" s="20" t="n"/>
      <c r="Q10491" s="19" t="n"/>
      <c r="R10491" s="19" t="n"/>
      <c r="Y10491" s="19" t="n"/>
    </row>
    <row r="10492">
      <c r="C10492" s="18" t="n"/>
      <c r="J10492" s="19" t="n"/>
      <c r="P10492" s="20" t="n"/>
      <c r="Q10492" s="19" t="n"/>
      <c r="R10492" s="19" t="n"/>
      <c r="Y10492" s="19" t="n"/>
    </row>
    <row r="10493">
      <c r="C10493" s="18" t="n"/>
      <c r="J10493" s="19" t="n"/>
      <c r="P10493" s="20" t="n"/>
      <c r="Q10493" s="19" t="n"/>
      <c r="R10493" s="19" t="n"/>
      <c r="Y10493" s="19" t="n"/>
    </row>
    <row r="10494">
      <c r="C10494" s="18" t="n"/>
      <c r="J10494" s="19" t="n"/>
      <c r="P10494" s="20" t="n"/>
      <c r="Q10494" s="19" t="n"/>
      <c r="R10494" s="19" t="n"/>
      <c r="Y10494" s="19" t="n"/>
    </row>
    <row r="10495">
      <c r="C10495" s="18" t="n"/>
      <c r="J10495" s="19" t="n"/>
      <c r="P10495" s="20" t="n"/>
      <c r="Q10495" s="19" t="n"/>
      <c r="R10495" s="19" t="n"/>
      <c r="Y10495" s="19" t="n"/>
    </row>
    <row r="10496">
      <c r="C10496" s="18" t="n"/>
      <c r="J10496" s="19" t="n"/>
      <c r="P10496" s="20" t="n"/>
      <c r="Q10496" s="19" t="n"/>
      <c r="R10496" s="19" t="n"/>
      <c r="Y10496" s="19" t="n"/>
    </row>
    <row r="10497">
      <c r="C10497" s="18" t="n"/>
      <c r="J10497" s="19" t="n"/>
      <c r="P10497" s="20" t="n"/>
      <c r="Q10497" s="19" t="n"/>
      <c r="R10497" s="19" t="n"/>
      <c r="Y10497" s="19" t="n"/>
    </row>
    <row r="10498">
      <c r="C10498" s="18" t="n"/>
      <c r="J10498" s="19" t="n"/>
      <c r="P10498" s="20" t="n"/>
      <c r="Q10498" s="19" t="n"/>
      <c r="R10498" s="19" t="n"/>
      <c r="Y10498" s="19" t="n"/>
    </row>
    <row r="10499">
      <c r="C10499" s="18" t="n"/>
      <c r="J10499" s="19" t="n"/>
      <c r="P10499" s="20" t="n"/>
      <c r="Q10499" s="19" t="n"/>
      <c r="R10499" s="19" t="n"/>
      <c r="Y10499" s="19" t="n"/>
    </row>
    <row r="10500">
      <c r="C10500" s="18" t="n"/>
      <c r="J10500" s="19" t="n"/>
      <c r="P10500" s="20" t="n"/>
      <c r="Q10500" s="19" t="n"/>
      <c r="R10500" s="19" t="n"/>
      <c r="Y10500" s="19" t="n"/>
    </row>
    <row r="10501">
      <c r="C10501" s="18" t="n"/>
      <c r="J10501" s="19" t="n"/>
      <c r="P10501" s="20" t="n"/>
      <c r="Q10501" s="19" t="n"/>
      <c r="R10501" s="19" t="n"/>
      <c r="Y10501" s="19" t="n"/>
    </row>
    <row r="10502">
      <c r="C10502" s="18" t="n"/>
      <c r="J10502" s="19" t="n"/>
      <c r="P10502" s="20" t="n"/>
      <c r="Q10502" s="19" t="n"/>
      <c r="R10502" s="19" t="n"/>
      <c r="Y10502" s="19" t="n"/>
    </row>
    <row r="10503">
      <c r="C10503" s="18" t="n"/>
      <c r="J10503" s="19" t="n"/>
      <c r="P10503" s="20" t="n"/>
      <c r="Q10503" s="19" t="n"/>
      <c r="R10503" s="19" t="n"/>
      <c r="Y10503" s="19" t="n"/>
    </row>
    <row r="10504">
      <c r="C10504" s="18" t="n"/>
      <c r="J10504" s="19" t="n"/>
      <c r="P10504" s="20" t="n"/>
      <c r="Q10504" s="19" t="n"/>
      <c r="R10504" s="19" t="n"/>
      <c r="Y10504" s="19" t="n"/>
    </row>
    <row r="10505">
      <c r="C10505" s="18" t="n"/>
      <c r="J10505" s="19" t="n"/>
      <c r="P10505" s="20" t="n"/>
      <c r="Q10505" s="19" t="n"/>
      <c r="R10505" s="19" t="n"/>
      <c r="Y10505" s="19" t="n"/>
    </row>
    <row r="10506">
      <c r="C10506" s="18" t="n"/>
      <c r="J10506" s="19" t="n"/>
      <c r="P10506" s="20" t="n"/>
      <c r="Q10506" s="19" t="n"/>
      <c r="R10506" s="19" t="n"/>
      <c r="Y10506" s="19" t="n"/>
    </row>
    <row r="10507">
      <c r="C10507" s="18" t="n"/>
      <c r="J10507" s="19" t="n"/>
      <c r="P10507" s="20" t="n"/>
      <c r="Q10507" s="19" t="n"/>
      <c r="R10507" s="19" t="n"/>
      <c r="Y10507" s="19" t="n"/>
    </row>
    <row r="10508">
      <c r="C10508" s="18" t="n"/>
      <c r="J10508" s="19" t="n"/>
      <c r="P10508" s="20" t="n"/>
      <c r="Q10508" s="19" t="n"/>
      <c r="R10508" s="19" t="n"/>
      <c r="Y10508" s="19" t="n"/>
    </row>
    <row r="10509">
      <c r="C10509" s="18" t="n"/>
      <c r="J10509" s="19" t="n"/>
      <c r="P10509" s="20" t="n"/>
      <c r="Q10509" s="19" t="n"/>
      <c r="R10509" s="19" t="n"/>
      <c r="Y10509" s="19" t="n"/>
    </row>
    <row r="10510">
      <c r="C10510" s="18" t="n"/>
      <c r="J10510" s="19" t="n"/>
      <c r="P10510" s="20" t="n"/>
      <c r="Q10510" s="19" t="n"/>
      <c r="R10510" s="19" t="n"/>
      <c r="Y10510" s="19" t="n"/>
    </row>
    <row r="10511">
      <c r="C10511" s="18" t="n"/>
      <c r="J10511" s="19" t="n"/>
      <c r="P10511" s="20" t="n"/>
      <c r="Q10511" s="19" t="n"/>
      <c r="R10511" s="19" t="n"/>
      <c r="Y10511" s="19" t="n"/>
    </row>
    <row r="10512">
      <c r="C10512" s="18" t="n"/>
      <c r="J10512" s="19" t="n"/>
      <c r="P10512" s="20" t="n"/>
      <c r="Q10512" s="19" t="n"/>
      <c r="R10512" s="19" t="n"/>
      <c r="Y10512" s="19" t="n"/>
    </row>
    <row r="10513">
      <c r="C10513" s="18" t="n"/>
      <c r="J10513" s="19" t="n"/>
      <c r="P10513" s="20" t="n"/>
      <c r="Q10513" s="19" t="n"/>
      <c r="R10513" s="19" t="n"/>
      <c r="Y10513" s="19" t="n"/>
    </row>
    <row r="10514">
      <c r="C10514" s="18" t="n"/>
      <c r="J10514" s="19" t="n"/>
      <c r="P10514" s="20" t="n"/>
      <c r="Q10514" s="19" t="n"/>
      <c r="R10514" s="19" t="n"/>
      <c r="Y10514" s="19" t="n"/>
    </row>
    <row r="10515">
      <c r="C10515" s="18" t="n"/>
      <c r="J10515" s="19" t="n"/>
      <c r="P10515" s="20" t="n"/>
      <c r="Q10515" s="19" t="n"/>
      <c r="R10515" s="19" t="n"/>
      <c r="Y10515" s="19" t="n"/>
    </row>
    <row r="10516">
      <c r="C10516" s="18" t="n"/>
      <c r="J10516" s="19" t="n"/>
      <c r="P10516" s="20" t="n"/>
      <c r="Q10516" s="19" t="n"/>
      <c r="R10516" s="19" t="n"/>
      <c r="Y10516" s="19" t="n"/>
    </row>
    <row r="10517">
      <c r="C10517" s="18" t="n"/>
      <c r="J10517" s="19" t="n"/>
      <c r="P10517" s="20" t="n"/>
      <c r="Q10517" s="19" t="n"/>
      <c r="R10517" s="19" t="n"/>
      <c r="Y10517" s="19" t="n"/>
    </row>
    <row r="10518">
      <c r="C10518" s="18" t="n"/>
      <c r="J10518" s="19" t="n"/>
      <c r="P10518" s="20" t="n"/>
      <c r="Q10518" s="19" t="n"/>
      <c r="R10518" s="19" t="n"/>
      <c r="Y10518" s="19" t="n"/>
    </row>
    <row r="10519">
      <c r="C10519" s="18" t="n"/>
      <c r="J10519" s="19" t="n"/>
      <c r="P10519" s="20" t="n"/>
      <c r="Q10519" s="19" t="n"/>
      <c r="R10519" s="19" t="n"/>
      <c r="Y10519" s="19" t="n"/>
    </row>
    <row r="10520">
      <c r="C10520" s="18" t="n"/>
      <c r="J10520" s="19" t="n"/>
      <c r="P10520" s="20" t="n"/>
      <c r="Q10520" s="19" t="n"/>
      <c r="R10520" s="19" t="n"/>
      <c r="Y10520" s="19" t="n"/>
    </row>
    <row r="10521">
      <c r="C10521" s="18" t="n"/>
      <c r="J10521" s="19" t="n"/>
      <c r="P10521" s="20" t="n"/>
      <c r="Q10521" s="19" t="n"/>
      <c r="R10521" s="19" t="n"/>
      <c r="Y10521" s="19" t="n"/>
    </row>
    <row r="10522">
      <c r="C10522" s="18" t="n"/>
      <c r="J10522" s="19" t="n"/>
      <c r="P10522" s="20" t="n"/>
      <c r="Q10522" s="19" t="n"/>
      <c r="R10522" s="19" t="n"/>
      <c r="Y10522" s="19" t="n"/>
    </row>
    <row r="10523">
      <c r="C10523" s="18" t="n"/>
      <c r="J10523" s="19" t="n"/>
      <c r="P10523" s="20" t="n"/>
      <c r="Q10523" s="19" t="n"/>
      <c r="R10523" s="19" t="n"/>
      <c r="Y10523" s="19" t="n"/>
    </row>
    <row r="10524">
      <c r="C10524" s="18" t="n"/>
      <c r="J10524" s="19" t="n"/>
      <c r="P10524" s="20" t="n"/>
      <c r="Q10524" s="19" t="n"/>
      <c r="R10524" s="19" t="n"/>
      <c r="Y10524" s="19" t="n"/>
    </row>
    <row r="10525">
      <c r="C10525" s="18" t="n"/>
      <c r="J10525" s="19" t="n"/>
      <c r="P10525" s="20" t="n"/>
      <c r="Q10525" s="19" t="n"/>
      <c r="R10525" s="19" t="n"/>
      <c r="Y10525" s="19" t="n"/>
    </row>
    <row r="10526">
      <c r="C10526" s="18" t="n"/>
      <c r="J10526" s="19" t="n"/>
      <c r="P10526" s="20" t="n"/>
      <c r="Q10526" s="19" t="n"/>
      <c r="R10526" s="19" t="n"/>
      <c r="Y10526" s="19" t="n"/>
    </row>
    <row r="10527">
      <c r="C10527" s="18" t="n"/>
      <c r="J10527" s="19" t="n"/>
      <c r="P10527" s="20" t="n"/>
      <c r="Q10527" s="19" t="n"/>
      <c r="R10527" s="19" t="n"/>
      <c r="Y10527" s="19" t="n"/>
    </row>
    <row r="10528">
      <c r="C10528" s="18" t="n"/>
      <c r="J10528" s="19" t="n"/>
      <c r="P10528" s="20" t="n"/>
      <c r="Q10528" s="19" t="n"/>
      <c r="R10528" s="19" t="n"/>
      <c r="Y10528" s="19" t="n"/>
    </row>
    <row r="10529">
      <c r="C10529" s="18" t="n"/>
      <c r="J10529" s="19" t="n"/>
      <c r="P10529" s="20" t="n"/>
      <c r="Q10529" s="19" t="n"/>
      <c r="R10529" s="19" t="n"/>
      <c r="Y10529" s="19" t="n"/>
    </row>
    <row r="10530">
      <c r="C10530" s="18" t="n"/>
      <c r="J10530" s="19" t="n"/>
      <c r="P10530" s="20" t="n"/>
      <c r="Q10530" s="19" t="n"/>
      <c r="R10530" s="19" t="n"/>
      <c r="Y10530" s="19" t="n"/>
    </row>
    <row r="10531">
      <c r="C10531" s="18" t="n"/>
      <c r="J10531" s="19" t="n"/>
      <c r="P10531" s="20" t="n"/>
      <c r="Q10531" s="19" t="n"/>
      <c r="R10531" s="19" t="n"/>
      <c r="Y10531" s="19" t="n"/>
    </row>
    <row r="10532">
      <c r="C10532" s="18" t="n"/>
      <c r="J10532" s="19" t="n"/>
      <c r="P10532" s="20" t="n"/>
      <c r="Q10532" s="19" t="n"/>
      <c r="R10532" s="19" t="n"/>
      <c r="Y10532" s="19" t="n"/>
    </row>
    <row r="10533">
      <c r="C10533" s="18" t="n"/>
      <c r="J10533" s="19" t="n"/>
      <c r="P10533" s="20" t="n"/>
      <c r="Q10533" s="19" t="n"/>
      <c r="R10533" s="19" t="n"/>
      <c r="Y10533" s="19" t="n"/>
    </row>
    <row r="10534">
      <c r="C10534" s="18" t="n"/>
      <c r="J10534" s="19" t="n"/>
      <c r="P10534" s="20" t="n"/>
      <c r="Q10534" s="19" t="n"/>
      <c r="R10534" s="19" t="n"/>
      <c r="Y10534" s="19" t="n"/>
    </row>
    <row r="10535">
      <c r="C10535" s="18" t="n"/>
      <c r="J10535" s="19" t="n"/>
      <c r="P10535" s="20" t="n"/>
      <c r="Q10535" s="19" t="n"/>
      <c r="R10535" s="19" t="n"/>
      <c r="Y10535" s="19" t="n"/>
    </row>
    <row r="10536">
      <c r="C10536" s="18" t="n"/>
      <c r="J10536" s="19" t="n"/>
      <c r="P10536" s="20" t="n"/>
      <c r="Q10536" s="19" t="n"/>
      <c r="R10536" s="19" t="n"/>
      <c r="Y10536" s="19" t="n"/>
    </row>
    <row r="10537">
      <c r="C10537" s="18" t="n"/>
      <c r="J10537" s="19" t="n"/>
      <c r="P10537" s="20" t="n"/>
      <c r="Q10537" s="19" t="n"/>
      <c r="R10537" s="19" t="n"/>
      <c r="Y10537" s="19" t="n"/>
    </row>
    <row r="10538">
      <c r="C10538" s="18" t="n"/>
      <c r="J10538" s="19" t="n"/>
      <c r="P10538" s="20" t="n"/>
      <c r="Q10538" s="19" t="n"/>
      <c r="R10538" s="19" t="n"/>
      <c r="Y10538" s="19" t="n"/>
    </row>
    <row r="10539">
      <c r="C10539" s="18" t="n"/>
      <c r="J10539" s="19" t="n"/>
      <c r="P10539" s="20" t="n"/>
      <c r="Q10539" s="19" t="n"/>
      <c r="R10539" s="19" t="n"/>
      <c r="Y10539" s="19" t="n"/>
    </row>
    <row r="10540">
      <c r="C10540" s="18" t="n"/>
      <c r="J10540" s="19" t="n"/>
      <c r="P10540" s="20" t="n"/>
      <c r="Q10540" s="19" t="n"/>
      <c r="R10540" s="19" t="n"/>
      <c r="Y10540" s="19" t="n"/>
    </row>
    <row r="10541">
      <c r="C10541" s="18" t="n"/>
      <c r="J10541" s="19" t="n"/>
      <c r="P10541" s="20" t="n"/>
      <c r="Q10541" s="19" t="n"/>
      <c r="R10541" s="19" t="n"/>
      <c r="Y10541" s="19" t="n"/>
    </row>
    <row r="10542">
      <c r="C10542" s="18" t="n"/>
      <c r="J10542" s="19" t="n"/>
      <c r="P10542" s="20" t="n"/>
      <c r="Q10542" s="19" t="n"/>
      <c r="R10542" s="19" t="n"/>
      <c r="Y10542" s="19" t="n"/>
    </row>
    <row r="10543">
      <c r="C10543" s="18" t="n"/>
      <c r="J10543" s="19" t="n"/>
      <c r="P10543" s="20" t="n"/>
      <c r="Q10543" s="19" t="n"/>
      <c r="R10543" s="19" t="n"/>
      <c r="Y10543" s="19" t="n"/>
    </row>
    <row r="10544">
      <c r="C10544" s="18" t="n"/>
      <c r="J10544" s="19" t="n"/>
      <c r="P10544" s="20" t="n"/>
      <c r="Q10544" s="19" t="n"/>
      <c r="R10544" s="19" t="n"/>
      <c r="Y10544" s="19" t="n"/>
    </row>
    <row r="10545">
      <c r="C10545" s="18" t="n"/>
      <c r="J10545" s="19" t="n"/>
      <c r="P10545" s="20" t="n"/>
      <c r="Q10545" s="19" t="n"/>
      <c r="R10545" s="19" t="n"/>
      <c r="Y10545" s="19" t="n"/>
    </row>
    <row r="10546">
      <c r="C10546" s="18" t="n"/>
      <c r="J10546" s="19" t="n"/>
      <c r="P10546" s="20" t="n"/>
      <c r="Q10546" s="19" t="n"/>
      <c r="R10546" s="19" t="n"/>
      <c r="Y10546" s="19" t="n"/>
    </row>
    <row r="10547">
      <c r="C10547" s="18" t="n"/>
      <c r="J10547" s="19" t="n"/>
      <c r="P10547" s="20" t="n"/>
      <c r="Q10547" s="19" t="n"/>
      <c r="R10547" s="19" t="n"/>
      <c r="Y10547" s="19" t="n"/>
    </row>
    <row r="10548">
      <c r="C10548" s="18" t="n"/>
      <c r="J10548" s="19" t="n"/>
      <c r="P10548" s="20" t="n"/>
      <c r="Q10548" s="19" t="n"/>
      <c r="R10548" s="19" t="n"/>
      <c r="Y10548" s="19" t="n"/>
    </row>
    <row r="10549">
      <c r="C10549" s="18" t="n"/>
      <c r="J10549" s="19" t="n"/>
      <c r="P10549" s="20" t="n"/>
      <c r="Q10549" s="19" t="n"/>
      <c r="R10549" s="19" t="n"/>
      <c r="Y10549" s="19" t="n"/>
    </row>
    <row r="10550">
      <c r="C10550" s="18" t="n"/>
      <c r="J10550" s="19" t="n"/>
      <c r="P10550" s="20" t="n"/>
      <c r="Q10550" s="19" t="n"/>
      <c r="R10550" s="19" t="n"/>
      <c r="Y10550" s="19" t="n"/>
    </row>
    <row r="10551">
      <c r="C10551" s="18" t="n"/>
      <c r="J10551" s="19" t="n"/>
      <c r="P10551" s="20" t="n"/>
      <c r="Q10551" s="19" t="n"/>
      <c r="R10551" s="19" t="n"/>
      <c r="Y10551" s="19" t="n"/>
    </row>
    <row r="10552">
      <c r="C10552" s="18" t="n"/>
      <c r="J10552" s="19" t="n"/>
      <c r="P10552" s="20" t="n"/>
      <c r="Q10552" s="19" t="n"/>
      <c r="R10552" s="19" t="n"/>
      <c r="Y10552" s="19" t="n"/>
    </row>
    <row r="10553">
      <c r="C10553" s="18" t="n"/>
      <c r="J10553" s="19" t="n"/>
      <c r="P10553" s="20" t="n"/>
      <c r="Q10553" s="19" t="n"/>
      <c r="R10553" s="19" t="n"/>
      <c r="Y10553" s="19" t="n"/>
    </row>
    <row r="10554">
      <c r="C10554" s="18" t="n"/>
      <c r="J10554" s="19" t="n"/>
      <c r="P10554" s="20" t="n"/>
      <c r="Q10554" s="19" t="n"/>
      <c r="R10554" s="19" t="n"/>
      <c r="Y10554" s="19" t="n"/>
    </row>
    <row r="10555">
      <c r="C10555" s="18" t="n"/>
      <c r="J10555" s="19" t="n"/>
      <c r="P10555" s="20" t="n"/>
      <c r="Q10555" s="19" t="n"/>
      <c r="R10555" s="19" t="n"/>
      <c r="Y10555" s="19" t="n"/>
    </row>
    <row r="10556">
      <c r="C10556" s="18" t="n"/>
      <c r="J10556" s="19" t="n"/>
      <c r="P10556" s="20" t="n"/>
      <c r="Q10556" s="19" t="n"/>
      <c r="R10556" s="19" t="n"/>
      <c r="Y10556" s="19" t="n"/>
    </row>
    <row r="10557">
      <c r="C10557" s="18" t="n"/>
      <c r="J10557" s="19" t="n"/>
      <c r="P10557" s="20" t="n"/>
      <c r="Q10557" s="19" t="n"/>
      <c r="R10557" s="19" t="n"/>
      <c r="Y10557" s="19" t="n"/>
    </row>
    <row r="10558">
      <c r="C10558" s="18" t="n"/>
      <c r="J10558" s="19" t="n"/>
      <c r="P10558" s="20" t="n"/>
      <c r="Q10558" s="19" t="n"/>
      <c r="R10558" s="19" t="n"/>
      <c r="Y10558" s="19" t="n"/>
    </row>
    <row r="10559">
      <c r="C10559" s="18" t="n"/>
      <c r="J10559" s="19" t="n"/>
      <c r="P10559" s="20" t="n"/>
      <c r="Q10559" s="19" t="n"/>
      <c r="R10559" s="19" t="n"/>
      <c r="Y10559" s="19" t="n"/>
    </row>
    <row r="10560">
      <c r="C10560" s="18" t="n"/>
      <c r="J10560" s="19" t="n"/>
      <c r="P10560" s="20" t="n"/>
      <c r="Q10560" s="19" t="n"/>
      <c r="R10560" s="19" t="n"/>
      <c r="Y10560" s="19" t="n"/>
    </row>
    <row r="10561">
      <c r="C10561" s="18" t="n"/>
      <c r="J10561" s="19" t="n"/>
      <c r="P10561" s="20" t="n"/>
      <c r="Q10561" s="19" t="n"/>
      <c r="R10561" s="19" t="n"/>
      <c r="Y10561" s="19" t="n"/>
    </row>
    <row r="10562">
      <c r="C10562" s="18" t="n"/>
      <c r="J10562" s="19" t="n"/>
      <c r="P10562" s="20" t="n"/>
      <c r="Q10562" s="19" t="n"/>
      <c r="R10562" s="19" t="n"/>
      <c r="Y10562" s="19" t="n"/>
    </row>
    <row r="10563">
      <c r="C10563" s="18" t="n"/>
      <c r="J10563" s="19" t="n"/>
      <c r="P10563" s="20" t="n"/>
      <c r="Q10563" s="19" t="n"/>
      <c r="R10563" s="19" t="n"/>
      <c r="Y10563" s="19" t="n"/>
    </row>
    <row r="10564">
      <c r="C10564" s="18" t="n"/>
      <c r="J10564" s="19" t="n"/>
      <c r="P10564" s="20" t="n"/>
      <c r="Q10564" s="19" t="n"/>
      <c r="R10564" s="19" t="n"/>
      <c r="Y10564" s="19" t="n"/>
    </row>
    <row r="10565">
      <c r="C10565" s="18" t="n"/>
      <c r="J10565" s="19" t="n"/>
      <c r="P10565" s="20" t="n"/>
      <c r="Q10565" s="19" t="n"/>
      <c r="R10565" s="19" t="n"/>
      <c r="Y10565" s="19" t="n"/>
    </row>
    <row r="10566">
      <c r="C10566" s="18" t="n"/>
      <c r="J10566" s="19" t="n"/>
      <c r="P10566" s="20" t="n"/>
      <c r="Q10566" s="19" t="n"/>
      <c r="R10566" s="19" t="n"/>
      <c r="Y10566" s="19" t="n"/>
    </row>
    <row r="10567">
      <c r="C10567" s="18" t="n"/>
      <c r="J10567" s="19" t="n"/>
      <c r="P10567" s="20" t="n"/>
      <c r="Q10567" s="19" t="n"/>
      <c r="R10567" s="19" t="n"/>
      <c r="Y10567" s="19" t="n"/>
    </row>
    <row r="10568">
      <c r="C10568" s="18" t="n"/>
      <c r="J10568" s="19" t="n"/>
      <c r="P10568" s="20" t="n"/>
      <c r="Q10568" s="19" t="n"/>
      <c r="R10568" s="19" t="n"/>
      <c r="Y10568" s="19" t="n"/>
    </row>
    <row r="10569">
      <c r="C10569" s="18" t="n"/>
      <c r="J10569" s="19" t="n"/>
      <c r="P10569" s="20" t="n"/>
      <c r="Q10569" s="19" t="n"/>
      <c r="R10569" s="19" t="n"/>
      <c r="Y10569" s="19" t="n"/>
    </row>
    <row r="10570">
      <c r="C10570" s="18" t="n"/>
      <c r="J10570" s="19" t="n"/>
      <c r="P10570" s="20" t="n"/>
      <c r="Q10570" s="19" t="n"/>
      <c r="R10570" s="19" t="n"/>
      <c r="Y10570" s="19" t="n"/>
    </row>
    <row r="10571">
      <c r="C10571" s="18" t="n"/>
      <c r="J10571" s="19" t="n"/>
      <c r="P10571" s="20" t="n"/>
      <c r="Q10571" s="19" t="n"/>
      <c r="R10571" s="19" t="n"/>
      <c r="Y10571" s="19" t="n"/>
    </row>
    <row r="10572">
      <c r="C10572" s="18" t="n"/>
      <c r="J10572" s="19" t="n"/>
      <c r="P10572" s="20" t="n"/>
      <c r="Q10572" s="19" t="n"/>
      <c r="R10572" s="19" t="n"/>
      <c r="Y10572" s="19" t="n"/>
    </row>
    <row r="10573">
      <c r="C10573" s="18" t="n"/>
      <c r="J10573" s="19" t="n"/>
      <c r="P10573" s="20" t="n"/>
      <c r="Q10573" s="19" t="n"/>
      <c r="R10573" s="19" t="n"/>
      <c r="Y10573" s="19" t="n"/>
    </row>
    <row r="10574">
      <c r="C10574" s="18" t="n"/>
      <c r="J10574" s="19" t="n"/>
      <c r="P10574" s="20" t="n"/>
      <c r="Q10574" s="19" t="n"/>
      <c r="R10574" s="19" t="n"/>
      <c r="Y10574" s="19" t="n"/>
    </row>
    <row r="10575">
      <c r="C10575" s="18" t="n"/>
      <c r="J10575" s="19" t="n"/>
      <c r="P10575" s="20" t="n"/>
      <c r="Q10575" s="19" t="n"/>
      <c r="R10575" s="19" t="n"/>
      <c r="Y10575" s="19" t="n"/>
    </row>
    <row r="10576">
      <c r="C10576" s="18" t="n"/>
      <c r="J10576" s="19" t="n"/>
      <c r="P10576" s="20" t="n"/>
      <c r="Q10576" s="19" t="n"/>
      <c r="R10576" s="19" t="n"/>
      <c r="Y10576" s="19" t="n"/>
    </row>
    <row r="10577">
      <c r="C10577" s="18" t="n"/>
      <c r="J10577" s="19" t="n"/>
      <c r="P10577" s="20" t="n"/>
      <c r="Q10577" s="19" t="n"/>
      <c r="R10577" s="19" t="n"/>
      <c r="Y10577" s="19" t="n"/>
    </row>
    <row r="10578">
      <c r="C10578" s="18" t="n"/>
      <c r="J10578" s="19" t="n"/>
      <c r="P10578" s="20" t="n"/>
      <c r="Q10578" s="19" t="n"/>
      <c r="R10578" s="19" t="n"/>
      <c r="Y10578" s="19" t="n"/>
    </row>
    <row r="10579">
      <c r="C10579" s="18" t="n"/>
      <c r="J10579" s="19" t="n"/>
      <c r="P10579" s="20" t="n"/>
      <c r="Q10579" s="19" t="n"/>
      <c r="R10579" s="19" t="n"/>
      <c r="Y10579" s="19" t="n"/>
    </row>
    <row r="10580">
      <c r="C10580" s="18" t="n"/>
      <c r="J10580" s="19" t="n"/>
      <c r="P10580" s="20" t="n"/>
      <c r="Q10580" s="19" t="n"/>
      <c r="R10580" s="19" t="n"/>
      <c r="Y10580" s="19" t="n"/>
    </row>
    <row r="10581">
      <c r="C10581" s="18" t="n"/>
      <c r="J10581" s="19" t="n"/>
      <c r="P10581" s="20" t="n"/>
      <c r="Q10581" s="19" t="n"/>
      <c r="R10581" s="19" t="n"/>
      <c r="Y10581" s="19" t="n"/>
    </row>
    <row r="10582">
      <c r="C10582" s="18" t="n"/>
      <c r="J10582" s="19" t="n"/>
      <c r="P10582" s="20" t="n"/>
      <c r="Q10582" s="19" t="n"/>
      <c r="R10582" s="19" t="n"/>
      <c r="Y10582" s="19" t="n"/>
    </row>
    <row r="10583">
      <c r="C10583" s="18" t="n"/>
      <c r="J10583" s="19" t="n"/>
      <c r="P10583" s="20" t="n"/>
      <c r="Q10583" s="19" t="n"/>
      <c r="R10583" s="19" t="n"/>
      <c r="Y10583" s="19" t="n"/>
    </row>
    <row r="10584">
      <c r="C10584" s="18" t="n"/>
      <c r="J10584" s="19" t="n"/>
      <c r="P10584" s="20" t="n"/>
      <c r="Q10584" s="19" t="n"/>
      <c r="R10584" s="19" t="n"/>
      <c r="Y10584" s="19" t="n"/>
    </row>
    <row r="10585">
      <c r="C10585" s="18" t="n"/>
      <c r="J10585" s="19" t="n"/>
      <c r="P10585" s="20" t="n"/>
      <c r="Q10585" s="19" t="n"/>
      <c r="R10585" s="19" t="n"/>
      <c r="Y10585" s="19" t="n"/>
    </row>
    <row r="10586">
      <c r="C10586" s="18" t="n"/>
      <c r="J10586" s="19" t="n"/>
      <c r="P10586" s="20" t="n"/>
      <c r="Q10586" s="19" t="n"/>
      <c r="R10586" s="19" t="n"/>
      <c r="Y10586" s="19" t="n"/>
    </row>
    <row r="10587">
      <c r="C10587" s="18" t="n"/>
      <c r="J10587" s="19" t="n"/>
      <c r="P10587" s="20" t="n"/>
      <c r="Q10587" s="19" t="n"/>
      <c r="R10587" s="19" t="n"/>
      <c r="Y10587" s="19" t="n"/>
    </row>
    <row r="10588">
      <c r="C10588" s="18" t="n"/>
      <c r="J10588" s="19" t="n"/>
      <c r="P10588" s="20" t="n"/>
      <c r="Q10588" s="19" t="n"/>
      <c r="R10588" s="19" t="n"/>
      <c r="Y10588" s="19" t="n"/>
    </row>
    <row r="10589">
      <c r="C10589" s="18" t="n"/>
      <c r="J10589" s="19" t="n"/>
      <c r="P10589" s="20" t="n"/>
      <c r="Q10589" s="19" t="n"/>
      <c r="R10589" s="19" t="n"/>
      <c r="Y10589" s="19" t="n"/>
    </row>
    <row r="10590">
      <c r="C10590" s="18" t="n"/>
      <c r="J10590" s="19" t="n"/>
      <c r="P10590" s="20" t="n"/>
      <c r="Q10590" s="19" t="n"/>
      <c r="R10590" s="19" t="n"/>
      <c r="Y10590" s="19" t="n"/>
    </row>
    <row r="10591">
      <c r="C10591" s="18" t="n"/>
      <c r="J10591" s="19" t="n"/>
      <c r="P10591" s="20" t="n"/>
      <c r="Q10591" s="19" t="n"/>
      <c r="R10591" s="19" t="n"/>
      <c r="Y10591" s="19" t="n"/>
    </row>
    <row r="10592">
      <c r="C10592" s="18" t="n"/>
      <c r="J10592" s="19" t="n"/>
      <c r="P10592" s="20" t="n"/>
      <c r="Q10592" s="19" t="n"/>
      <c r="R10592" s="19" t="n"/>
      <c r="Y10592" s="19" t="n"/>
    </row>
    <row r="10593">
      <c r="C10593" s="18" t="n"/>
      <c r="J10593" s="19" t="n"/>
      <c r="P10593" s="20" t="n"/>
      <c r="Q10593" s="19" t="n"/>
      <c r="R10593" s="19" t="n"/>
      <c r="Y10593" s="19" t="n"/>
    </row>
    <row r="10594">
      <c r="C10594" s="18" t="n"/>
      <c r="J10594" s="19" t="n"/>
      <c r="P10594" s="20" t="n"/>
      <c r="Q10594" s="19" t="n"/>
      <c r="R10594" s="19" t="n"/>
      <c r="Y10594" s="19" t="n"/>
    </row>
    <row r="10595">
      <c r="C10595" s="18" t="n"/>
      <c r="J10595" s="19" t="n"/>
      <c r="P10595" s="20" t="n"/>
      <c r="Q10595" s="19" t="n"/>
      <c r="R10595" s="19" t="n"/>
      <c r="Y10595" s="19" t="n"/>
    </row>
    <row r="10596">
      <c r="C10596" s="18" t="n"/>
      <c r="J10596" s="19" t="n"/>
      <c r="P10596" s="20" t="n"/>
      <c r="Q10596" s="19" t="n"/>
      <c r="R10596" s="19" t="n"/>
      <c r="Y10596" s="19" t="n"/>
    </row>
    <row r="10597">
      <c r="C10597" s="18" t="n"/>
      <c r="J10597" s="19" t="n"/>
      <c r="P10597" s="20" t="n"/>
      <c r="Q10597" s="19" t="n"/>
      <c r="R10597" s="19" t="n"/>
      <c r="Y10597" s="19" t="n"/>
    </row>
    <row r="10598">
      <c r="C10598" s="18" t="n"/>
      <c r="J10598" s="19" t="n"/>
      <c r="P10598" s="20" t="n"/>
      <c r="Q10598" s="19" t="n"/>
      <c r="R10598" s="19" t="n"/>
      <c r="Y10598" s="19" t="n"/>
    </row>
    <row r="10599">
      <c r="C10599" s="18" t="n"/>
      <c r="J10599" s="19" t="n"/>
      <c r="P10599" s="20" t="n"/>
      <c r="Q10599" s="19" t="n"/>
      <c r="R10599" s="19" t="n"/>
      <c r="Y10599" s="19" t="n"/>
    </row>
    <row r="10600">
      <c r="C10600" s="18" t="n"/>
      <c r="J10600" s="19" t="n"/>
      <c r="P10600" s="20" t="n"/>
      <c r="Q10600" s="19" t="n"/>
      <c r="R10600" s="19" t="n"/>
      <c r="Y10600" s="19" t="n"/>
    </row>
    <row r="10601">
      <c r="C10601" s="18" t="n"/>
      <c r="J10601" s="19" t="n"/>
      <c r="P10601" s="20" t="n"/>
      <c r="Q10601" s="19" t="n"/>
      <c r="R10601" s="19" t="n"/>
      <c r="Y10601" s="19" t="n"/>
    </row>
    <row r="10602">
      <c r="C10602" s="18" t="n"/>
      <c r="J10602" s="19" t="n"/>
      <c r="P10602" s="20" t="n"/>
      <c r="Q10602" s="19" t="n"/>
      <c r="R10602" s="19" t="n"/>
      <c r="Y10602" s="19" t="n"/>
    </row>
    <row r="10603">
      <c r="C10603" s="18" t="n"/>
      <c r="J10603" s="19" t="n"/>
      <c r="P10603" s="20" t="n"/>
      <c r="Q10603" s="19" t="n"/>
      <c r="R10603" s="19" t="n"/>
      <c r="Y10603" s="19" t="n"/>
    </row>
    <row r="10604">
      <c r="C10604" s="18" t="n"/>
      <c r="J10604" s="19" t="n"/>
      <c r="P10604" s="20" t="n"/>
      <c r="Q10604" s="19" t="n"/>
      <c r="R10604" s="19" t="n"/>
      <c r="Y10604" s="19" t="n"/>
    </row>
    <row r="10605">
      <c r="C10605" s="18" t="n"/>
      <c r="J10605" s="19" t="n"/>
      <c r="P10605" s="20" t="n"/>
      <c r="Q10605" s="19" t="n"/>
      <c r="R10605" s="19" t="n"/>
      <c r="Y10605" s="19" t="n"/>
    </row>
    <row r="10606">
      <c r="C10606" s="18" t="n"/>
      <c r="J10606" s="19" t="n"/>
      <c r="P10606" s="20" t="n"/>
      <c r="Q10606" s="19" t="n"/>
      <c r="R10606" s="19" t="n"/>
      <c r="Y10606" s="19" t="n"/>
    </row>
    <row r="10607">
      <c r="C10607" s="18" t="n"/>
      <c r="J10607" s="19" t="n"/>
      <c r="P10607" s="20" t="n"/>
      <c r="Q10607" s="19" t="n"/>
      <c r="R10607" s="19" t="n"/>
      <c r="Y10607" s="19" t="n"/>
    </row>
    <row r="10608">
      <c r="C10608" s="18" t="n"/>
      <c r="J10608" s="19" t="n"/>
      <c r="P10608" s="20" t="n"/>
      <c r="Q10608" s="19" t="n"/>
      <c r="R10608" s="19" t="n"/>
      <c r="Y10608" s="19" t="n"/>
    </row>
    <row r="10609">
      <c r="C10609" s="18" t="n"/>
      <c r="J10609" s="19" t="n"/>
      <c r="P10609" s="20" t="n"/>
      <c r="Q10609" s="19" t="n"/>
      <c r="R10609" s="19" t="n"/>
      <c r="Y10609" s="19" t="n"/>
    </row>
    <row r="10610">
      <c r="C10610" s="18" t="n"/>
      <c r="J10610" s="19" t="n"/>
      <c r="P10610" s="20" t="n"/>
      <c r="Q10610" s="19" t="n"/>
      <c r="R10610" s="19" t="n"/>
      <c r="Y10610" s="19" t="n"/>
    </row>
    <row r="10611">
      <c r="C10611" s="18" t="n"/>
      <c r="J10611" s="19" t="n"/>
      <c r="P10611" s="20" t="n"/>
      <c r="Q10611" s="19" t="n"/>
      <c r="R10611" s="19" t="n"/>
      <c r="Y10611" s="19" t="n"/>
    </row>
    <row r="10612">
      <c r="C10612" s="18" t="n"/>
      <c r="J10612" s="19" t="n"/>
      <c r="P10612" s="20" t="n"/>
      <c r="Q10612" s="19" t="n"/>
      <c r="R10612" s="19" t="n"/>
      <c r="Y10612" s="19" t="n"/>
    </row>
    <row r="10613">
      <c r="C10613" s="18" t="n"/>
      <c r="J10613" s="19" t="n"/>
      <c r="P10613" s="20" t="n"/>
      <c r="Q10613" s="19" t="n"/>
      <c r="R10613" s="19" t="n"/>
      <c r="Y10613" s="19" t="n"/>
    </row>
    <row r="10614">
      <c r="C10614" s="18" t="n"/>
      <c r="J10614" s="19" t="n"/>
      <c r="P10614" s="20" t="n"/>
      <c r="Q10614" s="19" t="n"/>
      <c r="R10614" s="19" t="n"/>
      <c r="Y10614" s="19" t="n"/>
    </row>
    <row r="10615">
      <c r="C10615" s="18" t="n"/>
      <c r="J10615" s="19" t="n"/>
      <c r="P10615" s="20" t="n"/>
      <c r="Q10615" s="19" t="n"/>
      <c r="R10615" s="19" t="n"/>
      <c r="Y10615" s="19" t="n"/>
    </row>
    <row r="10616">
      <c r="C10616" s="18" t="n"/>
      <c r="J10616" s="19" t="n"/>
      <c r="P10616" s="20" t="n"/>
      <c r="Q10616" s="19" t="n"/>
      <c r="R10616" s="19" t="n"/>
      <c r="Y10616" s="19" t="n"/>
    </row>
    <row r="10617">
      <c r="C10617" s="18" t="n"/>
      <c r="J10617" s="19" t="n"/>
      <c r="P10617" s="20" t="n"/>
      <c r="Q10617" s="19" t="n"/>
      <c r="R10617" s="19" t="n"/>
      <c r="Y10617" s="19" t="n"/>
    </row>
    <row r="10618">
      <c r="C10618" s="18" t="n"/>
      <c r="J10618" s="19" t="n"/>
      <c r="P10618" s="20" t="n"/>
      <c r="Q10618" s="19" t="n"/>
      <c r="R10618" s="19" t="n"/>
      <c r="Y10618" s="19" t="n"/>
    </row>
    <row r="10619">
      <c r="C10619" s="18" t="n"/>
      <c r="J10619" s="19" t="n"/>
      <c r="P10619" s="20" t="n"/>
      <c r="Q10619" s="19" t="n"/>
      <c r="R10619" s="19" t="n"/>
      <c r="Y10619" s="19" t="n"/>
    </row>
    <row r="10620">
      <c r="C10620" s="18" t="n"/>
      <c r="J10620" s="19" t="n"/>
      <c r="P10620" s="20" t="n"/>
      <c r="Q10620" s="19" t="n"/>
      <c r="R10620" s="19" t="n"/>
      <c r="Y10620" s="19" t="n"/>
    </row>
    <row r="10621">
      <c r="C10621" s="18" t="n"/>
      <c r="J10621" s="19" t="n"/>
      <c r="P10621" s="20" t="n"/>
      <c r="Q10621" s="19" t="n"/>
      <c r="R10621" s="19" t="n"/>
      <c r="Y10621" s="19" t="n"/>
    </row>
    <row r="10622">
      <c r="C10622" s="18" t="n"/>
      <c r="J10622" s="19" t="n"/>
      <c r="P10622" s="20" t="n"/>
      <c r="Q10622" s="19" t="n"/>
      <c r="R10622" s="19" t="n"/>
      <c r="Y10622" s="19" t="n"/>
    </row>
    <row r="10623">
      <c r="C10623" s="18" t="n"/>
      <c r="J10623" s="19" t="n"/>
      <c r="P10623" s="20" t="n"/>
      <c r="Q10623" s="19" t="n"/>
      <c r="R10623" s="19" t="n"/>
      <c r="Y10623" s="19" t="n"/>
    </row>
    <row r="10624">
      <c r="C10624" s="18" t="n"/>
      <c r="J10624" s="19" t="n"/>
      <c r="P10624" s="20" t="n"/>
      <c r="Q10624" s="19" t="n"/>
      <c r="R10624" s="19" t="n"/>
      <c r="Y10624" s="19" t="n"/>
    </row>
    <row r="10625">
      <c r="C10625" s="18" t="n"/>
      <c r="J10625" s="19" t="n"/>
      <c r="P10625" s="20" t="n"/>
      <c r="Q10625" s="19" t="n"/>
      <c r="R10625" s="19" t="n"/>
      <c r="Y10625" s="19" t="n"/>
    </row>
    <row r="10626">
      <c r="C10626" s="18" t="n"/>
      <c r="J10626" s="19" t="n"/>
      <c r="P10626" s="20" t="n"/>
      <c r="Q10626" s="19" t="n"/>
      <c r="R10626" s="19" t="n"/>
      <c r="Y10626" s="19" t="n"/>
    </row>
    <row r="10627">
      <c r="C10627" s="18" t="n"/>
      <c r="J10627" s="19" t="n"/>
      <c r="P10627" s="20" t="n"/>
      <c r="Q10627" s="19" t="n"/>
      <c r="R10627" s="19" t="n"/>
      <c r="Y10627" s="19" t="n"/>
    </row>
    <row r="10628">
      <c r="C10628" s="18" t="n"/>
      <c r="J10628" s="19" t="n"/>
      <c r="P10628" s="20" t="n"/>
      <c r="Q10628" s="19" t="n"/>
      <c r="R10628" s="19" t="n"/>
      <c r="Y10628" s="19" t="n"/>
    </row>
    <row r="10629">
      <c r="C10629" s="18" t="n"/>
      <c r="J10629" s="19" t="n"/>
      <c r="P10629" s="20" t="n"/>
      <c r="Q10629" s="19" t="n"/>
      <c r="R10629" s="19" t="n"/>
      <c r="Y10629" s="19" t="n"/>
    </row>
    <row r="10630">
      <c r="C10630" s="18" t="n"/>
      <c r="J10630" s="19" t="n"/>
      <c r="P10630" s="20" t="n"/>
      <c r="Q10630" s="19" t="n"/>
      <c r="R10630" s="19" t="n"/>
      <c r="Y10630" s="19" t="n"/>
    </row>
    <row r="10631">
      <c r="C10631" s="18" t="n"/>
      <c r="J10631" s="19" t="n"/>
      <c r="P10631" s="20" t="n"/>
      <c r="Q10631" s="19" t="n"/>
      <c r="R10631" s="19" t="n"/>
      <c r="Y10631" s="19" t="n"/>
    </row>
    <row r="10632">
      <c r="C10632" s="18" t="n"/>
      <c r="J10632" s="19" t="n"/>
      <c r="P10632" s="20" t="n"/>
      <c r="Q10632" s="19" t="n"/>
      <c r="R10632" s="19" t="n"/>
      <c r="Y10632" s="19" t="n"/>
    </row>
    <row r="10633">
      <c r="C10633" s="18" t="n"/>
      <c r="J10633" s="19" t="n"/>
      <c r="P10633" s="20" t="n"/>
      <c r="Q10633" s="19" t="n"/>
      <c r="R10633" s="19" t="n"/>
      <c r="Y10633" s="19" t="n"/>
    </row>
    <row r="10634">
      <c r="C10634" s="18" t="n"/>
      <c r="J10634" s="19" t="n"/>
      <c r="P10634" s="20" t="n"/>
      <c r="Q10634" s="19" t="n"/>
      <c r="R10634" s="19" t="n"/>
      <c r="Y10634" s="19" t="n"/>
    </row>
    <row r="10635">
      <c r="C10635" s="18" t="n"/>
      <c r="J10635" s="19" t="n"/>
      <c r="P10635" s="20" t="n"/>
      <c r="Q10635" s="19" t="n"/>
      <c r="R10635" s="19" t="n"/>
      <c r="Y10635" s="19" t="n"/>
    </row>
    <row r="10636">
      <c r="C10636" s="18" t="n"/>
      <c r="J10636" s="19" t="n"/>
      <c r="P10636" s="20" t="n"/>
      <c r="Q10636" s="19" t="n"/>
      <c r="R10636" s="19" t="n"/>
      <c r="Y10636" s="19" t="n"/>
    </row>
    <row r="10637">
      <c r="C10637" s="18" t="n"/>
      <c r="J10637" s="19" t="n"/>
      <c r="P10637" s="20" t="n"/>
      <c r="Q10637" s="19" t="n"/>
      <c r="R10637" s="19" t="n"/>
      <c r="Y10637" s="19" t="n"/>
    </row>
    <row r="10638">
      <c r="C10638" s="18" t="n"/>
      <c r="J10638" s="19" t="n"/>
      <c r="P10638" s="20" t="n"/>
      <c r="Q10638" s="19" t="n"/>
      <c r="R10638" s="19" t="n"/>
      <c r="Y10638" s="19" t="n"/>
    </row>
    <row r="10639">
      <c r="C10639" s="18" t="n"/>
      <c r="J10639" s="19" t="n"/>
      <c r="P10639" s="20" t="n"/>
      <c r="Q10639" s="19" t="n"/>
      <c r="R10639" s="19" t="n"/>
      <c r="Y10639" s="19" t="n"/>
    </row>
    <row r="10640">
      <c r="C10640" s="18" t="n"/>
      <c r="J10640" s="19" t="n"/>
      <c r="P10640" s="20" t="n"/>
      <c r="Q10640" s="19" t="n"/>
      <c r="R10640" s="19" t="n"/>
      <c r="Y10640" s="19" t="n"/>
    </row>
    <row r="10641">
      <c r="C10641" s="18" t="n"/>
      <c r="J10641" s="19" t="n"/>
      <c r="P10641" s="20" t="n"/>
      <c r="Q10641" s="19" t="n"/>
      <c r="R10641" s="19" t="n"/>
      <c r="Y10641" s="19" t="n"/>
    </row>
    <row r="10642">
      <c r="C10642" s="18" t="n"/>
      <c r="J10642" s="19" t="n"/>
      <c r="P10642" s="20" t="n"/>
      <c r="Q10642" s="19" t="n"/>
      <c r="R10642" s="19" t="n"/>
      <c r="Y10642" s="19" t="n"/>
    </row>
    <row r="10643">
      <c r="C10643" s="18" t="n"/>
      <c r="J10643" s="19" t="n"/>
      <c r="P10643" s="20" t="n"/>
      <c r="Q10643" s="19" t="n"/>
      <c r="R10643" s="19" t="n"/>
      <c r="Y10643" s="19" t="n"/>
    </row>
    <row r="10644">
      <c r="C10644" s="18" t="n"/>
      <c r="J10644" s="19" t="n"/>
      <c r="P10644" s="20" t="n"/>
      <c r="Q10644" s="19" t="n"/>
      <c r="R10644" s="19" t="n"/>
      <c r="Y10644" s="19" t="n"/>
    </row>
    <row r="10645">
      <c r="C10645" s="18" t="n"/>
      <c r="J10645" s="19" t="n"/>
      <c r="P10645" s="20" t="n"/>
      <c r="Q10645" s="19" t="n"/>
      <c r="R10645" s="19" t="n"/>
      <c r="Y10645" s="19" t="n"/>
    </row>
    <row r="10646">
      <c r="C10646" s="18" t="n"/>
      <c r="J10646" s="19" t="n"/>
      <c r="P10646" s="20" t="n"/>
      <c r="Q10646" s="19" t="n"/>
      <c r="R10646" s="19" t="n"/>
      <c r="Y10646" s="19" t="n"/>
    </row>
    <row r="10647">
      <c r="C10647" s="18" t="n"/>
      <c r="J10647" s="19" t="n"/>
      <c r="P10647" s="20" t="n"/>
      <c r="Q10647" s="19" t="n"/>
      <c r="R10647" s="19" t="n"/>
      <c r="Y10647" s="19" t="n"/>
    </row>
    <row r="10648">
      <c r="C10648" s="18" t="n"/>
      <c r="J10648" s="19" t="n"/>
      <c r="P10648" s="20" t="n"/>
      <c r="Q10648" s="19" t="n"/>
      <c r="R10648" s="19" t="n"/>
      <c r="Y10648" s="19" t="n"/>
    </row>
    <row r="10649">
      <c r="C10649" s="18" t="n"/>
      <c r="J10649" s="19" t="n"/>
      <c r="P10649" s="20" t="n"/>
      <c r="Q10649" s="19" t="n"/>
      <c r="R10649" s="19" t="n"/>
      <c r="Y10649" s="19" t="n"/>
    </row>
    <row r="10650">
      <c r="C10650" s="18" t="n"/>
      <c r="J10650" s="19" t="n"/>
      <c r="P10650" s="20" t="n"/>
      <c r="Q10650" s="19" t="n"/>
      <c r="R10650" s="19" t="n"/>
      <c r="Y10650" s="19" t="n"/>
    </row>
    <row r="10651">
      <c r="C10651" s="18" t="n"/>
      <c r="J10651" s="19" t="n"/>
      <c r="P10651" s="20" t="n"/>
      <c r="Q10651" s="19" t="n"/>
      <c r="R10651" s="19" t="n"/>
      <c r="Y10651" s="19" t="n"/>
    </row>
    <row r="10652">
      <c r="C10652" s="18" t="n"/>
      <c r="J10652" s="19" t="n"/>
      <c r="P10652" s="20" t="n"/>
      <c r="Q10652" s="19" t="n"/>
      <c r="R10652" s="19" t="n"/>
      <c r="Y10652" s="19" t="n"/>
    </row>
    <row r="10653">
      <c r="C10653" s="18" t="n"/>
      <c r="J10653" s="19" t="n"/>
      <c r="P10653" s="20" t="n"/>
      <c r="Q10653" s="19" t="n"/>
      <c r="R10653" s="19" t="n"/>
      <c r="Y10653" s="19" t="n"/>
    </row>
    <row r="10654">
      <c r="C10654" s="18" t="n"/>
      <c r="J10654" s="19" t="n"/>
      <c r="P10654" s="20" t="n"/>
      <c r="Q10654" s="19" t="n"/>
      <c r="R10654" s="19" t="n"/>
      <c r="Y10654" s="19" t="n"/>
    </row>
    <row r="10655">
      <c r="C10655" s="18" t="n"/>
      <c r="J10655" s="19" t="n"/>
      <c r="P10655" s="20" t="n"/>
      <c r="Q10655" s="19" t="n"/>
      <c r="R10655" s="19" t="n"/>
      <c r="Y10655" s="19" t="n"/>
    </row>
    <row r="10656">
      <c r="C10656" s="18" t="n"/>
      <c r="J10656" s="19" t="n"/>
      <c r="P10656" s="20" t="n"/>
      <c r="Q10656" s="19" t="n"/>
      <c r="R10656" s="19" t="n"/>
      <c r="Y10656" s="19" t="n"/>
    </row>
    <row r="10657">
      <c r="C10657" s="18" t="n"/>
      <c r="J10657" s="19" t="n"/>
      <c r="P10657" s="20" t="n"/>
      <c r="Q10657" s="19" t="n"/>
      <c r="R10657" s="19" t="n"/>
      <c r="Y10657" s="19" t="n"/>
    </row>
    <row r="10658">
      <c r="C10658" s="18" t="n"/>
      <c r="J10658" s="19" t="n"/>
      <c r="P10658" s="20" t="n"/>
      <c r="Q10658" s="19" t="n"/>
      <c r="R10658" s="19" t="n"/>
      <c r="Y10658" s="19" t="n"/>
    </row>
    <row r="10659">
      <c r="C10659" s="18" t="n"/>
      <c r="J10659" s="19" t="n"/>
      <c r="P10659" s="20" t="n"/>
      <c r="Q10659" s="19" t="n"/>
      <c r="R10659" s="19" t="n"/>
      <c r="Y10659" s="19" t="n"/>
    </row>
    <row r="10660">
      <c r="C10660" s="18" t="n"/>
      <c r="J10660" s="19" t="n"/>
      <c r="P10660" s="20" t="n"/>
      <c r="Q10660" s="19" t="n"/>
      <c r="R10660" s="19" t="n"/>
      <c r="Y10660" s="19" t="n"/>
    </row>
    <row r="10661">
      <c r="C10661" s="18" t="n"/>
      <c r="J10661" s="19" t="n"/>
      <c r="P10661" s="20" t="n"/>
      <c r="Q10661" s="19" t="n"/>
      <c r="R10661" s="19" t="n"/>
      <c r="Y10661" s="19" t="n"/>
    </row>
    <row r="10662">
      <c r="C10662" s="18" t="n"/>
      <c r="J10662" s="19" t="n"/>
      <c r="P10662" s="20" t="n"/>
      <c r="Q10662" s="19" t="n"/>
      <c r="R10662" s="19" t="n"/>
      <c r="Y10662" s="19" t="n"/>
    </row>
    <row r="10663">
      <c r="C10663" s="18" t="n"/>
      <c r="J10663" s="19" t="n"/>
      <c r="P10663" s="20" t="n"/>
      <c r="Q10663" s="19" t="n"/>
      <c r="R10663" s="19" t="n"/>
      <c r="Y10663" s="19" t="n"/>
    </row>
    <row r="10664">
      <c r="C10664" s="18" t="n"/>
      <c r="J10664" s="19" t="n"/>
      <c r="P10664" s="20" t="n"/>
      <c r="Q10664" s="19" t="n"/>
      <c r="R10664" s="19" t="n"/>
      <c r="Y10664" s="19" t="n"/>
    </row>
    <row r="10665">
      <c r="C10665" s="18" t="n"/>
      <c r="J10665" s="19" t="n"/>
      <c r="P10665" s="20" t="n"/>
      <c r="Q10665" s="19" t="n"/>
      <c r="R10665" s="19" t="n"/>
      <c r="Y10665" s="19" t="n"/>
    </row>
    <row r="10666">
      <c r="C10666" s="18" t="n"/>
      <c r="J10666" s="19" t="n"/>
      <c r="P10666" s="20" t="n"/>
      <c r="Q10666" s="19" t="n"/>
      <c r="R10666" s="19" t="n"/>
      <c r="Y10666" s="19" t="n"/>
    </row>
    <row r="10667">
      <c r="C10667" s="18" t="n"/>
      <c r="J10667" s="19" t="n"/>
      <c r="P10667" s="20" t="n"/>
      <c r="Q10667" s="19" t="n"/>
      <c r="R10667" s="19" t="n"/>
      <c r="Y10667" s="19" t="n"/>
    </row>
    <row r="10668">
      <c r="C10668" s="18" t="n"/>
      <c r="J10668" s="19" t="n"/>
      <c r="P10668" s="20" t="n"/>
      <c r="Q10668" s="19" t="n"/>
      <c r="R10668" s="19" t="n"/>
      <c r="Y10668" s="19" t="n"/>
    </row>
    <row r="10669">
      <c r="C10669" s="18" t="n"/>
      <c r="J10669" s="19" t="n"/>
      <c r="P10669" s="20" t="n"/>
      <c r="Q10669" s="19" t="n"/>
      <c r="R10669" s="19" t="n"/>
      <c r="Y10669" s="19" t="n"/>
    </row>
    <row r="10670">
      <c r="C10670" s="18" t="n"/>
      <c r="J10670" s="19" t="n"/>
      <c r="P10670" s="20" t="n"/>
      <c r="Q10670" s="19" t="n"/>
      <c r="R10670" s="19" t="n"/>
      <c r="Y10670" s="19" t="n"/>
    </row>
    <row r="10671">
      <c r="C10671" s="18" t="n"/>
      <c r="J10671" s="19" t="n"/>
      <c r="P10671" s="20" t="n"/>
      <c r="Q10671" s="19" t="n"/>
      <c r="R10671" s="19" t="n"/>
      <c r="Y10671" s="19" t="n"/>
    </row>
    <row r="10672">
      <c r="C10672" s="18" t="n"/>
      <c r="J10672" s="19" t="n"/>
      <c r="P10672" s="20" t="n"/>
      <c r="Q10672" s="19" t="n"/>
      <c r="R10672" s="19" t="n"/>
      <c r="Y10672" s="19" t="n"/>
    </row>
    <row r="10673">
      <c r="C10673" s="18" t="n"/>
      <c r="J10673" s="19" t="n"/>
      <c r="P10673" s="20" t="n"/>
      <c r="Q10673" s="19" t="n"/>
      <c r="R10673" s="19" t="n"/>
      <c r="Y10673" s="19" t="n"/>
    </row>
    <row r="10674">
      <c r="C10674" s="18" t="n"/>
      <c r="J10674" s="19" t="n"/>
      <c r="P10674" s="20" t="n"/>
      <c r="Q10674" s="19" t="n"/>
      <c r="R10674" s="19" t="n"/>
      <c r="Y10674" s="19" t="n"/>
    </row>
    <row r="10675">
      <c r="C10675" s="18" t="n"/>
      <c r="J10675" s="19" t="n"/>
      <c r="P10675" s="20" t="n"/>
      <c r="Q10675" s="19" t="n"/>
      <c r="R10675" s="19" t="n"/>
      <c r="Y10675" s="19" t="n"/>
    </row>
    <row r="10676">
      <c r="C10676" s="18" t="n"/>
      <c r="J10676" s="19" t="n"/>
      <c r="P10676" s="20" t="n"/>
      <c r="Q10676" s="19" t="n"/>
      <c r="R10676" s="19" t="n"/>
      <c r="Y10676" s="19" t="n"/>
    </row>
    <row r="10677">
      <c r="C10677" s="18" t="n"/>
      <c r="J10677" s="19" t="n"/>
      <c r="P10677" s="20" t="n"/>
      <c r="Q10677" s="19" t="n"/>
      <c r="R10677" s="19" t="n"/>
      <c r="Y10677" s="19" t="n"/>
    </row>
    <row r="10678">
      <c r="C10678" s="18" t="n"/>
      <c r="J10678" s="19" t="n"/>
      <c r="P10678" s="20" t="n"/>
      <c r="Q10678" s="19" t="n"/>
      <c r="R10678" s="19" t="n"/>
      <c r="Y10678" s="19" t="n"/>
    </row>
    <row r="10679">
      <c r="C10679" s="18" t="n"/>
      <c r="J10679" s="19" t="n"/>
      <c r="P10679" s="20" t="n"/>
      <c r="Q10679" s="19" t="n"/>
      <c r="R10679" s="19" t="n"/>
      <c r="Y10679" s="19" t="n"/>
    </row>
    <row r="10680">
      <c r="C10680" s="18" t="n"/>
      <c r="J10680" s="19" t="n"/>
      <c r="P10680" s="20" t="n"/>
      <c r="Q10680" s="19" t="n"/>
      <c r="R10680" s="19" t="n"/>
      <c r="Y10680" s="19" t="n"/>
    </row>
    <row r="10681">
      <c r="C10681" s="18" t="n"/>
      <c r="J10681" s="19" t="n"/>
      <c r="P10681" s="20" t="n"/>
      <c r="Q10681" s="19" t="n"/>
      <c r="R10681" s="19" t="n"/>
      <c r="Y10681" s="19" t="n"/>
    </row>
    <row r="10682">
      <c r="C10682" s="18" t="n"/>
      <c r="J10682" s="19" t="n"/>
      <c r="P10682" s="20" t="n"/>
      <c r="Q10682" s="19" t="n"/>
      <c r="R10682" s="19" t="n"/>
      <c r="Y10682" s="19" t="n"/>
    </row>
    <row r="10683">
      <c r="C10683" s="18" t="n"/>
      <c r="J10683" s="19" t="n"/>
      <c r="P10683" s="20" t="n"/>
      <c r="Q10683" s="19" t="n"/>
      <c r="R10683" s="19" t="n"/>
      <c r="Y10683" s="19" t="n"/>
    </row>
    <row r="10684">
      <c r="C10684" s="18" t="n"/>
      <c r="J10684" s="19" t="n"/>
      <c r="P10684" s="20" t="n"/>
      <c r="Q10684" s="19" t="n"/>
      <c r="R10684" s="19" t="n"/>
      <c r="Y10684" s="19" t="n"/>
    </row>
    <row r="10685">
      <c r="C10685" s="18" t="n"/>
      <c r="J10685" s="19" t="n"/>
      <c r="P10685" s="20" t="n"/>
      <c r="Q10685" s="19" t="n"/>
      <c r="R10685" s="19" t="n"/>
      <c r="Y10685" s="19" t="n"/>
    </row>
    <row r="10686">
      <c r="C10686" s="18" t="n"/>
      <c r="J10686" s="19" t="n"/>
      <c r="P10686" s="20" t="n"/>
      <c r="Q10686" s="19" t="n"/>
      <c r="R10686" s="19" t="n"/>
      <c r="Y10686" s="19" t="n"/>
    </row>
    <row r="10687">
      <c r="C10687" s="18" t="n"/>
      <c r="J10687" s="19" t="n"/>
      <c r="P10687" s="20" t="n"/>
      <c r="Q10687" s="19" t="n"/>
      <c r="R10687" s="19" t="n"/>
      <c r="Y10687" s="19" t="n"/>
    </row>
    <row r="10688">
      <c r="C10688" s="18" t="n"/>
      <c r="J10688" s="19" t="n"/>
      <c r="P10688" s="20" t="n"/>
      <c r="Q10688" s="19" t="n"/>
      <c r="R10688" s="19" t="n"/>
      <c r="Y10688" s="19" t="n"/>
    </row>
    <row r="10689">
      <c r="C10689" s="18" t="n"/>
      <c r="J10689" s="19" t="n"/>
      <c r="P10689" s="20" t="n"/>
      <c r="Q10689" s="19" t="n"/>
      <c r="R10689" s="19" t="n"/>
      <c r="Y10689" s="19" t="n"/>
    </row>
    <row r="10690">
      <c r="C10690" s="18" t="n"/>
      <c r="J10690" s="19" t="n"/>
      <c r="P10690" s="20" t="n"/>
      <c r="Q10690" s="19" t="n"/>
      <c r="R10690" s="19" t="n"/>
      <c r="Y10690" s="19" t="n"/>
    </row>
    <row r="10691">
      <c r="C10691" s="18" t="n"/>
      <c r="J10691" s="19" t="n"/>
      <c r="P10691" s="20" t="n"/>
      <c r="Q10691" s="19" t="n"/>
      <c r="R10691" s="19" t="n"/>
      <c r="Y10691" s="19" t="n"/>
    </row>
    <row r="10692">
      <c r="C10692" s="18" t="n"/>
      <c r="J10692" s="19" t="n"/>
      <c r="P10692" s="20" t="n"/>
      <c r="Q10692" s="19" t="n"/>
      <c r="R10692" s="19" t="n"/>
      <c r="Y10692" s="19" t="n"/>
    </row>
    <row r="10693">
      <c r="C10693" s="18" t="n"/>
      <c r="J10693" s="19" t="n"/>
      <c r="P10693" s="20" t="n"/>
      <c r="Q10693" s="19" t="n"/>
      <c r="R10693" s="19" t="n"/>
      <c r="Y10693" s="19" t="n"/>
    </row>
    <row r="10694">
      <c r="C10694" s="18" t="n"/>
      <c r="J10694" s="19" t="n"/>
      <c r="P10694" s="20" t="n"/>
      <c r="Q10694" s="19" t="n"/>
      <c r="R10694" s="19" t="n"/>
      <c r="Y10694" s="19" t="n"/>
    </row>
    <row r="10695">
      <c r="C10695" s="18" t="n"/>
      <c r="J10695" s="19" t="n"/>
      <c r="P10695" s="20" t="n"/>
      <c r="Q10695" s="19" t="n"/>
      <c r="R10695" s="19" t="n"/>
      <c r="Y10695" s="19" t="n"/>
    </row>
    <row r="10696">
      <c r="C10696" s="18" t="n"/>
      <c r="J10696" s="19" t="n"/>
      <c r="P10696" s="20" t="n"/>
      <c r="Q10696" s="19" t="n"/>
      <c r="R10696" s="19" t="n"/>
      <c r="Y10696" s="19" t="n"/>
    </row>
    <row r="10697">
      <c r="C10697" s="18" t="n"/>
      <c r="J10697" s="19" t="n"/>
      <c r="P10697" s="20" t="n"/>
      <c r="Q10697" s="19" t="n"/>
      <c r="R10697" s="19" t="n"/>
      <c r="Y10697" s="19" t="n"/>
    </row>
    <row r="10698">
      <c r="C10698" s="18" t="n"/>
      <c r="J10698" s="19" t="n"/>
      <c r="P10698" s="20" t="n"/>
      <c r="Q10698" s="19" t="n"/>
      <c r="R10698" s="19" t="n"/>
      <c r="Y10698" s="19" t="n"/>
    </row>
    <row r="10699">
      <c r="C10699" s="18" t="n"/>
      <c r="J10699" s="19" t="n"/>
      <c r="P10699" s="20" t="n"/>
      <c r="Q10699" s="19" t="n"/>
      <c r="R10699" s="19" t="n"/>
      <c r="Y10699" s="19" t="n"/>
    </row>
    <row r="10700">
      <c r="C10700" s="18" t="n"/>
      <c r="J10700" s="19" t="n"/>
      <c r="P10700" s="20" t="n"/>
      <c r="Q10700" s="19" t="n"/>
      <c r="R10700" s="19" t="n"/>
      <c r="Y10700" s="19" t="n"/>
    </row>
    <row r="10701">
      <c r="C10701" s="18" t="n"/>
      <c r="J10701" s="19" t="n"/>
      <c r="P10701" s="20" t="n"/>
      <c r="Q10701" s="19" t="n"/>
      <c r="R10701" s="19" t="n"/>
      <c r="Y10701" s="19" t="n"/>
    </row>
    <row r="10702">
      <c r="C10702" s="18" t="n"/>
      <c r="J10702" s="19" t="n"/>
      <c r="P10702" s="20" t="n"/>
      <c r="Q10702" s="19" t="n"/>
      <c r="R10702" s="19" t="n"/>
      <c r="Y10702" s="19" t="n"/>
    </row>
    <row r="10703">
      <c r="C10703" s="18" t="n"/>
      <c r="J10703" s="19" t="n"/>
      <c r="P10703" s="20" t="n"/>
      <c r="Q10703" s="19" t="n"/>
      <c r="R10703" s="19" t="n"/>
      <c r="Y10703" s="19" t="n"/>
    </row>
    <row r="10704">
      <c r="C10704" s="18" t="n"/>
      <c r="J10704" s="19" t="n"/>
      <c r="P10704" s="20" t="n"/>
      <c r="Q10704" s="19" t="n"/>
      <c r="R10704" s="19" t="n"/>
      <c r="Y10704" s="19" t="n"/>
    </row>
    <row r="10705">
      <c r="C10705" s="18" t="n"/>
      <c r="J10705" s="19" t="n"/>
      <c r="P10705" s="20" t="n"/>
      <c r="Q10705" s="19" t="n"/>
      <c r="R10705" s="19" t="n"/>
      <c r="Y10705" s="19" t="n"/>
    </row>
    <row r="10706">
      <c r="C10706" s="18" t="n"/>
      <c r="J10706" s="19" t="n"/>
      <c r="P10706" s="20" t="n"/>
      <c r="Q10706" s="19" t="n"/>
      <c r="R10706" s="19" t="n"/>
      <c r="Y10706" s="19" t="n"/>
    </row>
    <row r="10707">
      <c r="C10707" s="18" t="n"/>
      <c r="J10707" s="19" t="n"/>
      <c r="P10707" s="20" t="n"/>
      <c r="Q10707" s="19" t="n"/>
      <c r="R10707" s="19" t="n"/>
      <c r="Y10707" s="19" t="n"/>
    </row>
    <row r="10708">
      <c r="C10708" s="18" t="n"/>
      <c r="J10708" s="19" t="n"/>
      <c r="P10708" s="20" t="n"/>
      <c r="Q10708" s="19" t="n"/>
      <c r="R10708" s="19" t="n"/>
      <c r="Y10708" s="19" t="n"/>
    </row>
    <row r="10709">
      <c r="C10709" s="18" t="n"/>
      <c r="J10709" s="19" t="n"/>
      <c r="P10709" s="20" t="n"/>
      <c r="Q10709" s="19" t="n"/>
      <c r="R10709" s="19" t="n"/>
      <c r="Y10709" s="19" t="n"/>
    </row>
    <row r="10710">
      <c r="C10710" s="18" t="n"/>
      <c r="J10710" s="19" t="n"/>
      <c r="P10710" s="20" t="n"/>
      <c r="Q10710" s="19" t="n"/>
      <c r="R10710" s="19" t="n"/>
      <c r="Y10710" s="19" t="n"/>
    </row>
    <row r="10711">
      <c r="C10711" s="18" t="n"/>
      <c r="J10711" s="19" t="n"/>
      <c r="P10711" s="20" t="n"/>
      <c r="Q10711" s="19" t="n"/>
      <c r="R10711" s="19" t="n"/>
      <c r="Y10711" s="19" t="n"/>
    </row>
    <row r="10712">
      <c r="C10712" s="18" t="n"/>
      <c r="J10712" s="19" t="n"/>
      <c r="P10712" s="20" t="n"/>
      <c r="Q10712" s="19" t="n"/>
      <c r="R10712" s="19" t="n"/>
      <c r="Y10712" s="19" t="n"/>
    </row>
    <row r="10713">
      <c r="C10713" s="18" t="n"/>
      <c r="J10713" s="19" t="n"/>
      <c r="P10713" s="20" t="n"/>
      <c r="Q10713" s="19" t="n"/>
      <c r="R10713" s="19" t="n"/>
      <c r="Y10713" s="19" t="n"/>
    </row>
    <row r="10714">
      <c r="C10714" s="18" t="n"/>
      <c r="J10714" s="19" t="n"/>
      <c r="P10714" s="20" t="n"/>
      <c r="Q10714" s="19" t="n"/>
      <c r="R10714" s="19" t="n"/>
      <c r="Y10714" s="19" t="n"/>
    </row>
    <row r="10715">
      <c r="C10715" s="18" t="n"/>
      <c r="J10715" s="19" t="n"/>
      <c r="P10715" s="20" t="n"/>
      <c r="Q10715" s="19" t="n"/>
      <c r="R10715" s="19" t="n"/>
      <c r="Y10715" s="19" t="n"/>
    </row>
    <row r="10716">
      <c r="C10716" s="18" t="n"/>
      <c r="J10716" s="19" t="n"/>
      <c r="P10716" s="20" t="n"/>
      <c r="Q10716" s="19" t="n"/>
      <c r="R10716" s="19" t="n"/>
      <c r="Y10716" s="19" t="n"/>
    </row>
    <row r="10717">
      <c r="C10717" s="18" t="n"/>
      <c r="J10717" s="19" t="n"/>
      <c r="P10717" s="20" t="n"/>
      <c r="Q10717" s="19" t="n"/>
      <c r="R10717" s="19" t="n"/>
      <c r="Y10717" s="19" t="n"/>
    </row>
    <row r="10718">
      <c r="C10718" s="18" t="n"/>
      <c r="J10718" s="19" t="n"/>
      <c r="P10718" s="20" t="n"/>
      <c r="Q10718" s="19" t="n"/>
      <c r="R10718" s="19" t="n"/>
      <c r="Y10718" s="19" t="n"/>
    </row>
    <row r="10719">
      <c r="C10719" s="18" t="n"/>
      <c r="J10719" s="19" t="n"/>
      <c r="P10719" s="20" t="n"/>
      <c r="Q10719" s="19" t="n"/>
      <c r="R10719" s="19" t="n"/>
      <c r="Y10719" s="19" t="n"/>
    </row>
    <row r="10720">
      <c r="C10720" s="18" t="n"/>
      <c r="J10720" s="19" t="n"/>
      <c r="P10720" s="20" t="n"/>
      <c r="Q10720" s="19" t="n"/>
      <c r="R10720" s="19" t="n"/>
      <c r="Y10720" s="19" t="n"/>
    </row>
    <row r="10721">
      <c r="C10721" s="18" t="n"/>
      <c r="J10721" s="19" t="n"/>
      <c r="P10721" s="20" t="n"/>
      <c r="Q10721" s="19" t="n"/>
      <c r="R10721" s="19" t="n"/>
      <c r="Y10721" s="19" t="n"/>
    </row>
    <row r="10722">
      <c r="C10722" s="18" t="n"/>
      <c r="J10722" s="19" t="n"/>
      <c r="P10722" s="20" t="n"/>
      <c r="Q10722" s="19" t="n"/>
      <c r="R10722" s="19" t="n"/>
      <c r="Y10722" s="19" t="n"/>
    </row>
    <row r="10723">
      <c r="C10723" s="18" t="n"/>
      <c r="J10723" s="19" t="n"/>
      <c r="P10723" s="20" t="n"/>
      <c r="Q10723" s="19" t="n"/>
      <c r="R10723" s="19" t="n"/>
      <c r="Y10723" s="19" t="n"/>
    </row>
    <row r="10724">
      <c r="C10724" s="18" t="n"/>
      <c r="J10724" s="19" t="n"/>
      <c r="P10724" s="20" t="n"/>
      <c r="Q10724" s="19" t="n"/>
      <c r="R10724" s="19" t="n"/>
      <c r="Y10724" s="19" t="n"/>
    </row>
    <row r="10725">
      <c r="C10725" s="18" t="n"/>
      <c r="J10725" s="19" t="n"/>
      <c r="P10725" s="20" t="n"/>
      <c r="Q10725" s="19" t="n"/>
      <c r="R10725" s="19" t="n"/>
      <c r="Y10725" s="19" t="n"/>
    </row>
    <row r="10726">
      <c r="C10726" s="18" t="n"/>
      <c r="J10726" s="19" t="n"/>
      <c r="P10726" s="20" t="n"/>
      <c r="Q10726" s="19" t="n"/>
      <c r="R10726" s="19" t="n"/>
      <c r="Y10726" s="19" t="n"/>
    </row>
    <row r="10727">
      <c r="C10727" s="18" t="n"/>
      <c r="J10727" s="19" t="n"/>
      <c r="P10727" s="20" t="n"/>
      <c r="Q10727" s="19" t="n"/>
      <c r="R10727" s="19" t="n"/>
      <c r="Y10727" s="19" t="n"/>
    </row>
    <row r="10728">
      <c r="C10728" s="18" t="n"/>
      <c r="J10728" s="19" t="n"/>
      <c r="P10728" s="20" t="n"/>
      <c r="Q10728" s="19" t="n"/>
      <c r="R10728" s="19" t="n"/>
      <c r="Y10728" s="19" t="n"/>
    </row>
    <row r="10729">
      <c r="C10729" s="18" t="n"/>
      <c r="J10729" s="19" t="n"/>
      <c r="P10729" s="20" t="n"/>
      <c r="Q10729" s="19" t="n"/>
      <c r="R10729" s="19" t="n"/>
      <c r="Y10729" s="19" t="n"/>
    </row>
    <row r="10730">
      <c r="C10730" s="18" t="n"/>
      <c r="J10730" s="19" t="n"/>
      <c r="P10730" s="20" t="n"/>
      <c r="Q10730" s="19" t="n"/>
      <c r="R10730" s="19" t="n"/>
      <c r="Y10730" s="19" t="n"/>
    </row>
    <row r="10731">
      <c r="C10731" s="18" t="n"/>
      <c r="J10731" s="19" t="n"/>
      <c r="P10731" s="20" t="n"/>
      <c r="Q10731" s="19" t="n"/>
      <c r="R10731" s="19" t="n"/>
      <c r="Y10731" s="19" t="n"/>
    </row>
    <row r="10732">
      <c r="C10732" s="18" t="n"/>
      <c r="J10732" s="19" t="n"/>
      <c r="P10732" s="20" t="n"/>
      <c r="Q10732" s="19" t="n"/>
      <c r="R10732" s="19" t="n"/>
      <c r="Y10732" s="19" t="n"/>
    </row>
    <row r="10733">
      <c r="C10733" s="18" t="n"/>
      <c r="J10733" s="19" t="n"/>
      <c r="P10733" s="20" t="n"/>
      <c r="Q10733" s="19" t="n"/>
      <c r="R10733" s="19" t="n"/>
      <c r="Y10733" s="19" t="n"/>
    </row>
    <row r="10734">
      <c r="C10734" s="18" t="n"/>
      <c r="J10734" s="19" t="n"/>
      <c r="P10734" s="20" t="n"/>
      <c r="Q10734" s="19" t="n"/>
      <c r="R10734" s="19" t="n"/>
      <c r="Y10734" s="19" t="n"/>
    </row>
    <row r="10735">
      <c r="C10735" s="18" t="n"/>
      <c r="J10735" s="19" t="n"/>
      <c r="P10735" s="20" t="n"/>
      <c r="Q10735" s="19" t="n"/>
      <c r="R10735" s="19" t="n"/>
      <c r="Y10735" s="19" t="n"/>
    </row>
    <row r="10736">
      <c r="C10736" s="18" t="n"/>
      <c r="J10736" s="19" t="n"/>
      <c r="P10736" s="20" t="n"/>
      <c r="Q10736" s="19" t="n"/>
      <c r="R10736" s="19" t="n"/>
      <c r="Y10736" s="19" t="n"/>
    </row>
    <row r="10737">
      <c r="C10737" s="18" t="n"/>
      <c r="J10737" s="19" t="n"/>
      <c r="P10737" s="20" t="n"/>
      <c r="Q10737" s="19" t="n"/>
      <c r="R10737" s="19" t="n"/>
      <c r="Y10737" s="19" t="n"/>
    </row>
    <row r="10738">
      <c r="C10738" s="18" t="n"/>
      <c r="J10738" s="19" t="n"/>
      <c r="P10738" s="20" t="n"/>
      <c r="Q10738" s="19" t="n"/>
      <c r="R10738" s="19" t="n"/>
      <c r="Y10738" s="19" t="n"/>
    </row>
    <row r="10739">
      <c r="C10739" s="18" t="n"/>
      <c r="J10739" s="19" t="n"/>
      <c r="P10739" s="20" t="n"/>
      <c r="Q10739" s="19" t="n"/>
      <c r="R10739" s="19" t="n"/>
      <c r="Y10739" s="19" t="n"/>
    </row>
    <row r="10740">
      <c r="C10740" s="18" t="n"/>
      <c r="J10740" s="19" t="n"/>
      <c r="P10740" s="20" t="n"/>
      <c r="Q10740" s="19" t="n"/>
      <c r="R10740" s="19" t="n"/>
      <c r="Y10740" s="19" t="n"/>
    </row>
    <row r="10741">
      <c r="C10741" s="18" t="n"/>
      <c r="J10741" s="19" t="n"/>
      <c r="P10741" s="20" t="n"/>
      <c r="Q10741" s="19" t="n"/>
      <c r="R10741" s="19" t="n"/>
      <c r="Y10741" s="19" t="n"/>
    </row>
    <row r="10742">
      <c r="C10742" s="18" t="n"/>
      <c r="J10742" s="19" t="n"/>
      <c r="P10742" s="20" t="n"/>
      <c r="Q10742" s="19" t="n"/>
      <c r="R10742" s="19" t="n"/>
      <c r="Y10742" s="19" t="n"/>
    </row>
    <row r="10743">
      <c r="C10743" s="18" t="n"/>
      <c r="J10743" s="19" t="n"/>
      <c r="P10743" s="20" t="n"/>
      <c r="Q10743" s="19" t="n"/>
      <c r="R10743" s="19" t="n"/>
      <c r="Y10743" s="19" t="n"/>
    </row>
    <row r="10744">
      <c r="C10744" s="18" t="n"/>
      <c r="J10744" s="19" t="n"/>
      <c r="P10744" s="20" t="n"/>
      <c r="Q10744" s="19" t="n"/>
      <c r="R10744" s="19" t="n"/>
      <c r="Y10744" s="19" t="n"/>
    </row>
    <row r="10745">
      <c r="C10745" s="18" t="n"/>
      <c r="J10745" s="19" t="n"/>
      <c r="P10745" s="20" t="n"/>
      <c r="Q10745" s="19" t="n"/>
      <c r="R10745" s="19" t="n"/>
      <c r="Y10745" s="19" t="n"/>
    </row>
    <row r="10746">
      <c r="C10746" s="18" t="n"/>
      <c r="J10746" s="19" t="n"/>
      <c r="P10746" s="20" t="n"/>
      <c r="Q10746" s="19" t="n"/>
      <c r="R10746" s="19" t="n"/>
      <c r="Y10746" s="19" t="n"/>
    </row>
    <row r="10747">
      <c r="C10747" s="18" t="n"/>
      <c r="J10747" s="19" t="n"/>
      <c r="P10747" s="20" t="n"/>
      <c r="Q10747" s="19" t="n"/>
      <c r="R10747" s="19" t="n"/>
      <c r="Y10747" s="19" t="n"/>
    </row>
    <row r="10748">
      <c r="C10748" s="18" t="n"/>
      <c r="J10748" s="19" t="n"/>
      <c r="P10748" s="20" t="n"/>
      <c r="Q10748" s="19" t="n"/>
      <c r="R10748" s="19" t="n"/>
      <c r="Y10748" s="19" t="n"/>
    </row>
    <row r="10749">
      <c r="C10749" s="18" t="n"/>
      <c r="J10749" s="19" t="n"/>
      <c r="P10749" s="20" t="n"/>
      <c r="Q10749" s="19" t="n"/>
      <c r="R10749" s="19" t="n"/>
      <c r="Y10749" s="19" t="n"/>
    </row>
    <row r="10750">
      <c r="C10750" s="18" t="n"/>
      <c r="J10750" s="19" t="n"/>
      <c r="P10750" s="20" t="n"/>
      <c r="Q10750" s="19" t="n"/>
      <c r="R10750" s="19" t="n"/>
      <c r="Y10750" s="19" t="n"/>
    </row>
    <row r="10751">
      <c r="C10751" s="18" t="n"/>
      <c r="J10751" s="19" t="n"/>
      <c r="P10751" s="20" t="n"/>
      <c r="Q10751" s="19" t="n"/>
      <c r="R10751" s="19" t="n"/>
      <c r="Y10751" s="19" t="n"/>
    </row>
    <row r="10752">
      <c r="C10752" s="18" t="n"/>
      <c r="J10752" s="19" t="n"/>
      <c r="P10752" s="20" t="n"/>
      <c r="Q10752" s="19" t="n"/>
      <c r="R10752" s="19" t="n"/>
      <c r="Y10752" s="19" t="n"/>
    </row>
    <row r="10753">
      <c r="C10753" s="18" t="n"/>
      <c r="J10753" s="19" t="n"/>
      <c r="P10753" s="20" t="n"/>
      <c r="Q10753" s="19" t="n"/>
      <c r="R10753" s="19" t="n"/>
      <c r="Y10753" s="19" t="n"/>
    </row>
    <row r="10754">
      <c r="C10754" s="18" t="n"/>
      <c r="J10754" s="19" t="n"/>
      <c r="P10754" s="20" t="n"/>
      <c r="Q10754" s="19" t="n"/>
      <c r="R10754" s="19" t="n"/>
      <c r="Y10754" s="19" t="n"/>
    </row>
    <row r="10755">
      <c r="C10755" s="18" t="n"/>
      <c r="J10755" s="19" t="n"/>
      <c r="P10755" s="20" t="n"/>
      <c r="Q10755" s="19" t="n"/>
      <c r="R10755" s="19" t="n"/>
      <c r="Y10755" s="19" t="n"/>
    </row>
    <row r="10756">
      <c r="C10756" s="18" t="n"/>
      <c r="J10756" s="19" t="n"/>
      <c r="P10756" s="20" t="n"/>
      <c r="Q10756" s="19" t="n"/>
      <c r="R10756" s="19" t="n"/>
      <c r="Y10756" s="19" t="n"/>
    </row>
    <row r="10757">
      <c r="C10757" s="18" t="n"/>
      <c r="J10757" s="19" t="n"/>
      <c r="P10757" s="20" t="n"/>
      <c r="Q10757" s="19" t="n"/>
      <c r="R10757" s="19" t="n"/>
      <c r="Y10757" s="19" t="n"/>
    </row>
    <row r="10758">
      <c r="C10758" s="18" t="n"/>
      <c r="J10758" s="19" t="n"/>
      <c r="P10758" s="20" t="n"/>
      <c r="Q10758" s="19" t="n"/>
      <c r="R10758" s="19" t="n"/>
      <c r="Y10758" s="19" t="n"/>
    </row>
    <row r="10759">
      <c r="C10759" s="18" t="n"/>
      <c r="J10759" s="19" t="n"/>
      <c r="P10759" s="20" t="n"/>
      <c r="Q10759" s="19" t="n"/>
      <c r="R10759" s="19" t="n"/>
      <c r="Y10759" s="19" t="n"/>
    </row>
    <row r="10760">
      <c r="C10760" s="18" t="n"/>
      <c r="J10760" s="19" t="n"/>
      <c r="P10760" s="20" t="n"/>
      <c r="Q10760" s="19" t="n"/>
      <c r="R10760" s="19" t="n"/>
      <c r="Y10760" s="19" t="n"/>
    </row>
    <row r="10761">
      <c r="C10761" s="18" t="n"/>
      <c r="J10761" s="19" t="n"/>
      <c r="P10761" s="20" t="n"/>
      <c r="Q10761" s="19" t="n"/>
      <c r="R10761" s="19" t="n"/>
      <c r="Y10761" s="19" t="n"/>
    </row>
    <row r="10762">
      <c r="C10762" s="18" t="n"/>
      <c r="J10762" s="19" t="n"/>
      <c r="P10762" s="20" t="n"/>
      <c r="Q10762" s="19" t="n"/>
      <c r="R10762" s="19" t="n"/>
      <c r="Y10762" s="19" t="n"/>
    </row>
    <row r="10763">
      <c r="C10763" s="18" t="n"/>
      <c r="J10763" s="19" t="n"/>
      <c r="P10763" s="20" t="n"/>
      <c r="Q10763" s="19" t="n"/>
      <c r="R10763" s="19" t="n"/>
      <c r="Y10763" s="19" t="n"/>
    </row>
    <row r="10764">
      <c r="C10764" s="18" t="n"/>
      <c r="J10764" s="19" t="n"/>
      <c r="P10764" s="20" t="n"/>
      <c r="Q10764" s="19" t="n"/>
      <c r="R10764" s="19" t="n"/>
      <c r="Y10764" s="19" t="n"/>
    </row>
    <row r="10765">
      <c r="C10765" s="18" t="n"/>
      <c r="J10765" s="19" t="n"/>
      <c r="P10765" s="20" t="n"/>
      <c r="Q10765" s="19" t="n"/>
      <c r="R10765" s="19" t="n"/>
      <c r="Y10765" s="19" t="n"/>
    </row>
    <row r="10766">
      <c r="C10766" s="18" t="n"/>
      <c r="J10766" s="19" t="n"/>
      <c r="P10766" s="20" t="n"/>
      <c r="Q10766" s="19" t="n"/>
      <c r="R10766" s="19" t="n"/>
      <c r="Y10766" s="19" t="n"/>
    </row>
    <row r="10767">
      <c r="C10767" s="18" t="n"/>
      <c r="J10767" s="19" t="n"/>
      <c r="P10767" s="20" t="n"/>
      <c r="Q10767" s="19" t="n"/>
      <c r="R10767" s="19" t="n"/>
      <c r="Y10767" s="19" t="n"/>
    </row>
    <row r="10768">
      <c r="C10768" s="18" t="n"/>
      <c r="J10768" s="19" t="n"/>
      <c r="P10768" s="20" t="n"/>
      <c r="Q10768" s="19" t="n"/>
      <c r="R10768" s="19" t="n"/>
      <c r="Y10768" s="19" t="n"/>
    </row>
    <row r="10769">
      <c r="C10769" s="18" t="n"/>
      <c r="J10769" s="19" t="n"/>
      <c r="P10769" s="20" t="n"/>
      <c r="Q10769" s="19" t="n"/>
      <c r="R10769" s="19" t="n"/>
      <c r="Y10769" s="19" t="n"/>
    </row>
    <row r="10770">
      <c r="C10770" s="18" t="n"/>
      <c r="J10770" s="19" t="n"/>
      <c r="P10770" s="20" t="n"/>
      <c r="Q10770" s="19" t="n"/>
      <c r="R10770" s="19" t="n"/>
      <c r="Y10770" s="19" t="n"/>
    </row>
    <row r="10771">
      <c r="C10771" s="18" t="n"/>
      <c r="J10771" s="19" t="n"/>
      <c r="P10771" s="20" t="n"/>
      <c r="Q10771" s="19" t="n"/>
      <c r="R10771" s="19" t="n"/>
      <c r="Y10771" s="19" t="n"/>
    </row>
    <row r="10772">
      <c r="C10772" s="18" t="n"/>
      <c r="J10772" s="19" t="n"/>
      <c r="P10772" s="20" t="n"/>
      <c r="Q10772" s="19" t="n"/>
      <c r="R10772" s="19" t="n"/>
      <c r="Y10772" s="19" t="n"/>
    </row>
    <row r="10773">
      <c r="C10773" s="18" t="n"/>
      <c r="J10773" s="19" t="n"/>
      <c r="P10773" s="20" t="n"/>
      <c r="Q10773" s="19" t="n"/>
      <c r="R10773" s="19" t="n"/>
      <c r="Y10773" s="19" t="n"/>
    </row>
    <row r="10774">
      <c r="C10774" s="18" t="n"/>
      <c r="J10774" s="19" t="n"/>
      <c r="P10774" s="20" t="n"/>
      <c r="Q10774" s="19" t="n"/>
      <c r="R10774" s="19" t="n"/>
      <c r="Y10774" s="19" t="n"/>
    </row>
    <row r="10775">
      <c r="C10775" s="18" t="n"/>
      <c r="J10775" s="19" t="n"/>
      <c r="P10775" s="20" t="n"/>
      <c r="Q10775" s="19" t="n"/>
      <c r="R10775" s="19" t="n"/>
      <c r="Y10775" s="19" t="n"/>
    </row>
    <row r="10776">
      <c r="C10776" s="18" t="n"/>
      <c r="J10776" s="19" t="n"/>
      <c r="P10776" s="20" t="n"/>
      <c r="Q10776" s="19" t="n"/>
      <c r="R10776" s="19" t="n"/>
      <c r="Y10776" s="19" t="n"/>
    </row>
    <row r="10777">
      <c r="C10777" s="18" t="n"/>
      <c r="J10777" s="19" t="n"/>
      <c r="P10777" s="20" t="n"/>
      <c r="Q10777" s="19" t="n"/>
      <c r="R10777" s="19" t="n"/>
      <c r="Y10777" s="19" t="n"/>
    </row>
    <row r="10778">
      <c r="C10778" s="18" t="n"/>
      <c r="J10778" s="19" t="n"/>
      <c r="P10778" s="20" t="n"/>
      <c r="Q10778" s="19" t="n"/>
      <c r="R10778" s="19" t="n"/>
      <c r="Y10778" s="19" t="n"/>
    </row>
    <row r="10779">
      <c r="C10779" s="18" t="n"/>
      <c r="J10779" s="19" t="n"/>
      <c r="P10779" s="20" t="n"/>
      <c r="Q10779" s="19" t="n"/>
      <c r="R10779" s="19" t="n"/>
      <c r="Y10779" s="19" t="n"/>
    </row>
    <row r="10780">
      <c r="C10780" s="18" t="n"/>
      <c r="J10780" s="19" t="n"/>
      <c r="P10780" s="20" t="n"/>
      <c r="Q10780" s="19" t="n"/>
      <c r="R10780" s="19" t="n"/>
      <c r="Y10780" s="19" t="n"/>
    </row>
    <row r="10781">
      <c r="C10781" s="18" t="n"/>
      <c r="J10781" s="19" t="n"/>
      <c r="P10781" s="20" t="n"/>
      <c r="Q10781" s="19" t="n"/>
      <c r="R10781" s="19" t="n"/>
      <c r="Y10781" s="19" t="n"/>
    </row>
    <row r="10782">
      <c r="C10782" s="18" t="n"/>
      <c r="J10782" s="19" t="n"/>
      <c r="P10782" s="20" t="n"/>
      <c r="Q10782" s="19" t="n"/>
      <c r="R10782" s="19" t="n"/>
      <c r="Y10782" s="19" t="n"/>
    </row>
    <row r="10783">
      <c r="C10783" s="18" t="n"/>
      <c r="J10783" s="19" t="n"/>
      <c r="P10783" s="20" t="n"/>
      <c r="Q10783" s="19" t="n"/>
      <c r="R10783" s="19" t="n"/>
      <c r="Y10783" s="19" t="n"/>
    </row>
    <row r="10784">
      <c r="C10784" s="18" t="n"/>
      <c r="J10784" s="19" t="n"/>
      <c r="P10784" s="20" t="n"/>
      <c r="Q10784" s="19" t="n"/>
      <c r="R10784" s="19" t="n"/>
      <c r="Y10784" s="19" t="n"/>
    </row>
    <row r="10785">
      <c r="C10785" s="18" t="n"/>
      <c r="J10785" s="19" t="n"/>
      <c r="P10785" s="20" t="n"/>
      <c r="Q10785" s="19" t="n"/>
      <c r="R10785" s="19" t="n"/>
      <c r="Y10785" s="19" t="n"/>
    </row>
    <row r="10786">
      <c r="C10786" s="18" t="n"/>
      <c r="J10786" s="19" t="n"/>
      <c r="P10786" s="20" t="n"/>
      <c r="Q10786" s="19" t="n"/>
      <c r="R10786" s="19" t="n"/>
      <c r="Y10786" s="19" t="n"/>
    </row>
    <row r="10787">
      <c r="C10787" s="18" t="n"/>
      <c r="J10787" s="19" t="n"/>
      <c r="P10787" s="20" t="n"/>
      <c r="Q10787" s="19" t="n"/>
      <c r="R10787" s="19" t="n"/>
      <c r="Y10787" s="19" t="n"/>
    </row>
    <row r="10788">
      <c r="C10788" s="18" t="n"/>
      <c r="J10788" s="19" t="n"/>
      <c r="P10788" s="20" t="n"/>
      <c r="Q10788" s="19" t="n"/>
      <c r="R10788" s="19" t="n"/>
      <c r="Y10788" s="19" t="n"/>
    </row>
    <row r="10789">
      <c r="C10789" s="18" t="n"/>
      <c r="J10789" s="19" t="n"/>
      <c r="P10789" s="20" t="n"/>
      <c r="Q10789" s="19" t="n"/>
      <c r="R10789" s="19" t="n"/>
      <c r="Y10789" s="19" t="n"/>
    </row>
    <row r="10790">
      <c r="C10790" s="18" t="n"/>
      <c r="J10790" s="19" t="n"/>
      <c r="P10790" s="20" t="n"/>
      <c r="Q10790" s="19" t="n"/>
      <c r="R10790" s="19" t="n"/>
      <c r="Y10790" s="19" t="n"/>
    </row>
    <row r="10791">
      <c r="C10791" s="18" t="n"/>
      <c r="J10791" s="19" t="n"/>
      <c r="P10791" s="20" t="n"/>
      <c r="Q10791" s="19" t="n"/>
      <c r="R10791" s="19" t="n"/>
      <c r="Y10791" s="19" t="n"/>
    </row>
    <row r="10792">
      <c r="C10792" s="18" t="n"/>
      <c r="J10792" s="19" t="n"/>
      <c r="P10792" s="20" t="n"/>
      <c r="Q10792" s="19" t="n"/>
      <c r="R10792" s="19" t="n"/>
      <c r="Y10792" s="19" t="n"/>
    </row>
    <row r="10793">
      <c r="C10793" s="18" t="n"/>
      <c r="J10793" s="19" t="n"/>
      <c r="P10793" s="20" t="n"/>
      <c r="Q10793" s="19" t="n"/>
      <c r="R10793" s="19" t="n"/>
      <c r="Y10793" s="19" t="n"/>
    </row>
    <row r="10794">
      <c r="C10794" s="18" t="n"/>
      <c r="J10794" s="19" t="n"/>
      <c r="P10794" s="20" t="n"/>
      <c r="Q10794" s="19" t="n"/>
      <c r="R10794" s="19" t="n"/>
      <c r="Y10794" s="19" t="n"/>
    </row>
    <row r="10795">
      <c r="C10795" s="18" t="n"/>
      <c r="J10795" s="19" t="n"/>
      <c r="P10795" s="20" t="n"/>
      <c r="Q10795" s="19" t="n"/>
      <c r="R10795" s="19" t="n"/>
      <c r="Y10795" s="19" t="n"/>
    </row>
    <row r="10796">
      <c r="C10796" s="18" t="n"/>
      <c r="J10796" s="19" t="n"/>
      <c r="P10796" s="20" t="n"/>
      <c r="Q10796" s="19" t="n"/>
      <c r="R10796" s="19" t="n"/>
      <c r="Y10796" s="19" t="n"/>
    </row>
    <row r="10797">
      <c r="C10797" s="18" t="n"/>
      <c r="J10797" s="19" t="n"/>
      <c r="P10797" s="20" t="n"/>
      <c r="Q10797" s="19" t="n"/>
      <c r="R10797" s="19" t="n"/>
      <c r="Y10797" s="19" t="n"/>
    </row>
    <row r="10798">
      <c r="C10798" s="18" t="n"/>
      <c r="J10798" s="19" t="n"/>
      <c r="P10798" s="20" t="n"/>
      <c r="Q10798" s="19" t="n"/>
      <c r="R10798" s="19" t="n"/>
      <c r="Y10798" s="19" t="n"/>
    </row>
    <row r="10799">
      <c r="C10799" s="18" t="n"/>
      <c r="J10799" s="19" t="n"/>
      <c r="P10799" s="20" t="n"/>
      <c r="Q10799" s="19" t="n"/>
      <c r="R10799" s="19" t="n"/>
      <c r="Y10799" s="19" t="n"/>
    </row>
    <row r="10800">
      <c r="C10800" s="18" t="n"/>
      <c r="J10800" s="19" t="n"/>
      <c r="P10800" s="20" t="n"/>
      <c r="Q10800" s="19" t="n"/>
      <c r="R10800" s="19" t="n"/>
      <c r="Y10800" s="19" t="n"/>
    </row>
    <row r="10801">
      <c r="C10801" s="18" t="n"/>
      <c r="J10801" s="19" t="n"/>
      <c r="P10801" s="20" t="n"/>
      <c r="Q10801" s="19" t="n"/>
      <c r="R10801" s="19" t="n"/>
      <c r="Y10801" s="19" t="n"/>
    </row>
    <row r="10802">
      <c r="C10802" s="18" t="n"/>
      <c r="J10802" s="19" t="n"/>
      <c r="P10802" s="20" t="n"/>
      <c r="Q10802" s="19" t="n"/>
      <c r="R10802" s="19" t="n"/>
      <c r="Y10802" s="19" t="n"/>
    </row>
    <row r="10803">
      <c r="C10803" s="18" t="n"/>
      <c r="J10803" s="19" t="n"/>
      <c r="P10803" s="20" t="n"/>
      <c r="Q10803" s="19" t="n"/>
      <c r="R10803" s="19" t="n"/>
      <c r="Y10803" s="19" t="n"/>
    </row>
    <row r="10804">
      <c r="C10804" s="18" t="n"/>
      <c r="J10804" s="19" t="n"/>
      <c r="P10804" s="20" t="n"/>
      <c r="Q10804" s="19" t="n"/>
      <c r="R10804" s="19" t="n"/>
      <c r="Y10804" s="19" t="n"/>
    </row>
    <row r="10805">
      <c r="C10805" s="18" t="n"/>
      <c r="J10805" s="19" t="n"/>
      <c r="P10805" s="20" t="n"/>
      <c r="Q10805" s="19" t="n"/>
      <c r="R10805" s="19" t="n"/>
      <c r="Y10805" s="19" t="n"/>
    </row>
    <row r="10806">
      <c r="C10806" s="18" t="n"/>
      <c r="J10806" s="19" t="n"/>
      <c r="P10806" s="20" t="n"/>
      <c r="Q10806" s="19" t="n"/>
      <c r="R10806" s="19" t="n"/>
      <c r="Y10806" s="19" t="n"/>
    </row>
    <row r="10807">
      <c r="C10807" s="18" t="n"/>
      <c r="J10807" s="19" t="n"/>
      <c r="P10807" s="20" t="n"/>
      <c r="Q10807" s="19" t="n"/>
      <c r="R10807" s="19" t="n"/>
      <c r="Y10807" s="19" t="n"/>
    </row>
    <row r="10808">
      <c r="C10808" s="18" t="n"/>
      <c r="J10808" s="19" t="n"/>
      <c r="P10808" s="20" t="n"/>
      <c r="Q10808" s="19" t="n"/>
      <c r="R10808" s="19" t="n"/>
      <c r="Y10808" s="19" t="n"/>
    </row>
    <row r="10809">
      <c r="C10809" s="18" t="n"/>
      <c r="J10809" s="19" t="n"/>
      <c r="P10809" s="20" t="n"/>
      <c r="Q10809" s="19" t="n"/>
      <c r="R10809" s="19" t="n"/>
      <c r="Y10809" s="19" t="n"/>
    </row>
    <row r="10810">
      <c r="C10810" s="18" t="n"/>
      <c r="J10810" s="19" t="n"/>
      <c r="P10810" s="20" t="n"/>
      <c r="Q10810" s="19" t="n"/>
      <c r="R10810" s="19" t="n"/>
      <c r="Y10810" s="19" t="n"/>
    </row>
    <row r="10811">
      <c r="C10811" s="18" t="n"/>
      <c r="J10811" s="19" t="n"/>
      <c r="P10811" s="20" t="n"/>
      <c r="Q10811" s="19" t="n"/>
      <c r="R10811" s="19" t="n"/>
      <c r="Y10811" s="19" t="n"/>
    </row>
    <row r="10812">
      <c r="C10812" s="18" t="n"/>
      <c r="J10812" s="19" t="n"/>
      <c r="P10812" s="20" t="n"/>
      <c r="Q10812" s="19" t="n"/>
      <c r="R10812" s="19" t="n"/>
      <c r="Y10812" s="19" t="n"/>
    </row>
    <row r="10813">
      <c r="C10813" s="18" t="n"/>
      <c r="J10813" s="19" t="n"/>
      <c r="P10813" s="20" t="n"/>
      <c r="Q10813" s="19" t="n"/>
      <c r="R10813" s="19" t="n"/>
      <c r="Y10813" s="19" t="n"/>
    </row>
    <row r="10814">
      <c r="C10814" s="18" t="n"/>
      <c r="J10814" s="19" t="n"/>
      <c r="P10814" s="20" t="n"/>
      <c r="Q10814" s="19" t="n"/>
      <c r="R10814" s="19" t="n"/>
      <c r="Y10814" s="19" t="n"/>
    </row>
    <row r="10815">
      <c r="C10815" s="18" t="n"/>
      <c r="J10815" s="19" t="n"/>
      <c r="P10815" s="20" t="n"/>
      <c r="Q10815" s="19" t="n"/>
      <c r="R10815" s="19" t="n"/>
      <c r="Y10815" s="19" t="n"/>
    </row>
    <row r="10816">
      <c r="C10816" s="18" t="n"/>
      <c r="J10816" s="19" t="n"/>
      <c r="P10816" s="20" t="n"/>
      <c r="Q10816" s="19" t="n"/>
      <c r="R10816" s="19" t="n"/>
      <c r="Y10816" s="19" t="n"/>
    </row>
    <row r="10817">
      <c r="C10817" s="18" t="n"/>
      <c r="J10817" s="19" t="n"/>
      <c r="P10817" s="20" t="n"/>
      <c r="Q10817" s="19" t="n"/>
      <c r="R10817" s="19" t="n"/>
      <c r="Y10817" s="19" t="n"/>
    </row>
    <row r="10818">
      <c r="C10818" s="18" t="n"/>
      <c r="J10818" s="19" t="n"/>
      <c r="P10818" s="20" t="n"/>
      <c r="Q10818" s="19" t="n"/>
      <c r="R10818" s="19" t="n"/>
      <c r="Y10818" s="19" t="n"/>
    </row>
    <row r="10819">
      <c r="C10819" s="18" t="n"/>
      <c r="J10819" s="19" t="n"/>
      <c r="P10819" s="20" t="n"/>
      <c r="Q10819" s="19" t="n"/>
      <c r="R10819" s="19" t="n"/>
      <c r="Y10819" s="19" t="n"/>
    </row>
    <row r="10820">
      <c r="C10820" s="18" t="n"/>
      <c r="J10820" s="19" t="n"/>
      <c r="P10820" s="20" t="n"/>
      <c r="Q10820" s="19" t="n"/>
      <c r="R10820" s="19" t="n"/>
      <c r="Y10820" s="19" t="n"/>
    </row>
    <row r="10821">
      <c r="C10821" s="18" t="n"/>
      <c r="J10821" s="19" t="n"/>
      <c r="P10821" s="20" t="n"/>
      <c r="Q10821" s="19" t="n"/>
      <c r="R10821" s="19" t="n"/>
      <c r="Y10821" s="19" t="n"/>
    </row>
    <row r="10822">
      <c r="C10822" s="18" t="n"/>
      <c r="J10822" s="19" t="n"/>
      <c r="P10822" s="20" t="n"/>
      <c r="Q10822" s="19" t="n"/>
      <c r="R10822" s="19" t="n"/>
      <c r="Y10822" s="19" t="n"/>
    </row>
    <row r="10823">
      <c r="C10823" s="18" t="n"/>
      <c r="J10823" s="19" t="n"/>
      <c r="P10823" s="20" t="n"/>
      <c r="Q10823" s="19" t="n"/>
      <c r="R10823" s="19" t="n"/>
      <c r="Y10823" s="19" t="n"/>
    </row>
    <row r="10824">
      <c r="C10824" s="18" t="n"/>
      <c r="J10824" s="19" t="n"/>
      <c r="P10824" s="20" t="n"/>
      <c r="Q10824" s="19" t="n"/>
      <c r="R10824" s="19" t="n"/>
      <c r="Y10824" s="19" t="n"/>
    </row>
    <row r="10825">
      <c r="C10825" s="18" t="n"/>
      <c r="J10825" s="19" t="n"/>
      <c r="P10825" s="20" t="n"/>
      <c r="Q10825" s="19" t="n"/>
      <c r="R10825" s="19" t="n"/>
      <c r="Y10825" s="19" t="n"/>
    </row>
    <row r="10826">
      <c r="C10826" s="18" t="n"/>
      <c r="J10826" s="19" t="n"/>
      <c r="P10826" s="20" t="n"/>
      <c r="Q10826" s="19" t="n"/>
      <c r="R10826" s="19" t="n"/>
      <c r="Y10826" s="19" t="n"/>
    </row>
    <row r="10827">
      <c r="C10827" s="18" t="n"/>
      <c r="J10827" s="19" t="n"/>
      <c r="P10827" s="20" t="n"/>
      <c r="Q10827" s="19" t="n"/>
      <c r="R10827" s="19" t="n"/>
      <c r="Y10827" s="19" t="n"/>
    </row>
    <row r="10828">
      <c r="C10828" s="18" t="n"/>
      <c r="J10828" s="19" t="n"/>
      <c r="P10828" s="20" t="n"/>
      <c r="Q10828" s="19" t="n"/>
      <c r="R10828" s="19" t="n"/>
      <c r="Y10828" s="19" t="n"/>
    </row>
    <row r="10829">
      <c r="C10829" s="18" t="n"/>
      <c r="J10829" s="19" t="n"/>
      <c r="P10829" s="20" t="n"/>
      <c r="Q10829" s="19" t="n"/>
      <c r="R10829" s="19" t="n"/>
      <c r="Y10829" s="19" t="n"/>
    </row>
    <row r="10830">
      <c r="C10830" s="18" t="n"/>
      <c r="J10830" s="19" t="n"/>
      <c r="P10830" s="20" t="n"/>
      <c r="Q10830" s="19" t="n"/>
      <c r="R10830" s="19" t="n"/>
      <c r="Y10830" s="19" t="n"/>
    </row>
    <row r="10831">
      <c r="C10831" s="18" t="n"/>
      <c r="J10831" s="19" t="n"/>
      <c r="P10831" s="20" t="n"/>
      <c r="Q10831" s="19" t="n"/>
      <c r="R10831" s="19" t="n"/>
      <c r="Y10831" s="19" t="n"/>
    </row>
    <row r="10832">
      <c r="C10832" s="18" t="n"/>
      <c r="J10832" s="19" t="n"/>
      <c r="P10832" s="20" t="n"/>
      <c r="Q10832" s="19" t="n"/>
      <c r="R10832" s="19" t="n"/>
      <c r="Y10832" s="19" t="n"/>
    </row>
    <row r="10833">
      <c r="C10833" s="18" t="n"/>
      <c r="J10833" s="19" t="n"/>
      <c r="P10833" s="20" t="n"/>
      <c r="Q10833" s="19" t="n"/>
      <c r="R10833" s="19" t="n"/>
      <c r="Y10833" s="19" t="n"/>
    </row>
    <row r="10834">
      <c r="C10834" s="18" t="n"/>
      <c r="J10834" s="19" t="n"/>
      <c r="P10834" s="20" t="n"/>
      <c r="Q10834" s="19" t="n"/>
      <c r="R10834" s="19" t="n"/>
      <c r="Y10834" s="19" t="n"/>
    </row>
    <row r="10835">
      <c r="C10835" s="18" t="n"/>
      <c r="J10835" s="19" t="n"/>
      <c r="P10835" s="20" t="n"/>
      <c r="Q10835" s="19" t="n"/>
      <c r="R10835" s="19" t="n"/>
      <c r="Y10835" s="19" t="n"/>
    </row>
    <row r="10836">
      <c r="C10836" s="18" t="n"/>
      <c r="J10836" s="19" t="n"/>
      <c r="P10836" s="20" t="n"/>
      <c r="Q10836" s="19" t="n"/>
      <c r="R10836" s="19" t="n"/>
      <c r="Y10836" s="19" t="n"/>
    </row>
    <row r="10837">
      <c r="C10837" s="18" t="n"/>
      <c r="J10837" s="19" t="n"/>
      <c r="P10837" s="20" t="n"/>
      <c r="Q10837" s="19" t="n"/>
      <c r="R10837" s="19" t="n"/>
      <c r="Y10837" s="19" t="n"/>
    </row>
    <row r="10838">
      <c r="C10838" s="18" t="n"/>
      <c r="J10838" s="19" t="n"/>
      <c r="P10838" s="20" t="n"/>
      <c r="Q10838" s="19" t="n"/>
      <c r="R10838" s="19" t="n"/>
      <c r="Y10838" s="19" t="n"/>
    </row>
    <row r="10839">
      <c r="C10839" s="18" t="n"/>
      <c r="J10839" s="19" t="n"/>
      <c r="P10839" s="20" t="n"/>
      <c r="Q10839" s="19" t="n"/>
      <c r="R10839" s="19" t="n"/>
      <c r="Y10839" s="19" t="n"/>
    </row>
    <row r="10840">
      <c r="C10840" s="18" t="n"/>
      <c r="J10840" s="19" t="n"/>
      <c r="P10840" s="20" t="n"/>
      <c r="Q10840" s="19" t="n"/>
      <c r="R10840" s="19" t="n"/>
      <c r="Y10840" s="19" t="n"/>
    </row>
    <row r="10841">
      <c r="C10841" s="18" t="n"/>
      <c r="J10841" s="19" t="n"/>
      <c r="P10841" s="20" t="n"/>
      <c r="Q10841" s="19" t="n"/>
      <c r="R10841" s="19" t="n"/>
      <c r="Y10841" s="19" t="n"/>
    </row>
    <row r="10842">
      <c r="C10842" s="18" t="n"/>
      <c r="J10842" s="19" t="n"/>
      <c r="P10842" s="20" t="n"/>
      <c r="Q10842" s="19" t="n"/>
      <c r="R10842" s="19" t="n"/>
      <c r="Y10842" s="19" t="n"/>
    </row>
    <row r="10843">
      <c r="C10843" s="18" t="n"/>
      <c r="J10843" s="19" t="n"/>
      <c r="P10843" s="20" t="n"/>
      <c r="Q10843" s="19" t="n"/>
      <c r="R10843" s="19" t="n"/>
      <c r="Y10843" s="19" t="n"/>
    </row>
    <row r="10844">
      <c r="C10844" s="18" t="n"/>
      <c r="J10844" s="19" t="n"/>
      <c r="P10844" s="20" t="n"/>
      <c r="Q10844" s="19" t="n"/>
      <c r="R10844" s="19" t="n"/>
      <c r="Y10844" s="19" t="n"/>
    </row>
    <row r="10845">
      <c r="C10845" s="18" t="n"/>
      <c r="J10845" s="19" t="n"/>
      <c r="P10845" s="20" t="n"/>
      <c r="Q10845" s="19" t="n"/>
      <c r="R10845" s="19" t="n"/>
      <c r="Y10845" s="19" t="n"/>
    </row>
    <row r="10846">
      <c r="C10846" s="18" t="n"/>
      <c r="J10846" s="19" t="n"/>
      <c r="P10846" s="20" t="n"/>
      <c r="Q10846" s="19" t="n"/>
      <c r="R10846" s="19" t="n"/>
      <c r="Y10846" s="19" t="n"/>
    </row>
    <row r="10847">
      <c r="C10847" s="18" t="n"/>
      <c r="J10847" s="19" t="n"/>
      <c r="P10847" s="20" t="n"/>
      <c r="Q10847" s="19" t="n"/>
      <c r="R10847" s="19" t="n"/>
      <c r="Y10847" s="19" t="n"/>
    </row>
    <row r="10848">
      <c r="C10848" s="18" t="n"/>
      <c r="J10848" s="19" t="n"/>
      <c r="P10848" s="20" t="n"/>
      <c r="Q10848" s="19" t="n"/>
      <c r="R10848" s="19" t="n"/>
      <c r="Y10848" s="19" t="n"/>
    </row>
    <row r="10849">
      <c r="C10849" s="18" t="n"/>
      <c r="J10849" s="19" t="n"/>
      <c r="P10849" s="20" t="n"/>
      <c r="Q10849" s="19" t="n"/>
      <c r="R10849" s="19" t="n"/>
      <c r="Y10849" s="19" t="n"/>
    </row>
    <row r="10850">
      <c r="C10850" s="18" t="n"/>
      <c r="J10850" s="19" t="n"/>
      <c r="P10850" s="20" t="n"/>
      <c r="Q10850" s="19" t="n"/>
      <c r="R10850" s="19" t="n"/>
      <c r="Y10850" s="19" t="n"/>
    </row>
    <row r="10851">
      <c r="C10851" s="18" t="n"/>
      <c r="J10851" s="19" t="n"/>
      <c r="P10851" s="20" t="n"/>
      <c r="Q10851" s="19" t="n"/>
      <c r="R10851" s="19" t="n"/>
      <c r="Y10851" s="19" t="n"/>
    </row>
    <row r="10852">
      <c r="C10852" s="18" t="n"/>
      <c r="J10852" s="19" t="n"/>
      <c r="P10852" s="20" t="n"/>
      <c r="Q10852" s="19" t="n"/>
      <c r="R10852" s="19" t="n"/>
      <c r="Y10852" s="19" t="n"/>
    </row>
    <row r="10853">
      <c r="C10853" s="18" t="n"/>
      <c r="J10853" s="19" t="n"/>
      <c r="P10853" s="20" t="n"/>
      <c r="Q10853" s="19" t="n"/>
      <c r="R10853" s="19" t="n"/>
      <c r="Y10853" s="19" t="n"/>
    </row>
    <row r="10854">
      <c r="C10854" s="18" t="n"/>
      <c r="J10854" s="19" t="n"/>
      <c r="P10854" s="20" t="n"/>
      <c r="Q10854" s="19" t="n"/>
      <c r="R10854" s="19" t="n"/>
      <c r="Y10854" s="19" t="n"/>
    </row>
    <row r="10855">
      <c r="C10855" s="18" t="n"/>
      <c r="J10855" s="19" t="n"/>
      <c r="P10855" s="20" t="n"/>
      <c r="Q10855" s="19" t="n"/>
      <c r="R10855" s="19" t="n"/>
      <c r="Y10855" s="19" t="n"/>
    </row>
    <row r="10856">
      <c r="C10856" s="18" t="n"/>
      <c r="J10856" s="19" t="n"/>
      <c r="P10856" s="20" t="n"/>
      <c r="Q10856" s="19" t="n"/>
      <c r="R10856" s="19" t="n"/>
      <c r="Y10856" s="19" t="n"/>
    </row>
    <row r="10857">
      <c r="C10857" s="18" t="n"/>
      <c r="J10857" s="19" t="n"/>
      <c r="P10857" s="20" t="n"/>
      <c r="Q10857" s="19" t="n"/>
      <c r="R10857" s="19" t="n"/>
      <c r="Y10857" s="19" t="n"/>
    </row>
    <row r="10858">
      <c r="C10858" s="18" t="n"/>
      <c r="J10858" s="19" t="n"/>
      <c r="P10858" s="20" t="n"/>
      <c r="Q10858" s="19" t="n"/>
      <c r="R10858" s="19" t="n"/>
      <c r="Y10858" s="19" t="n"/>
    </row>
    <row r="10859">
      <c r="C10859" s="18" t="n"/>
      <c r="J10859" s="19" t="n"/>
      <c r="P10859" s="20" t="n"/>
      <c r="Q10859" s="19" t="n"/>
      <c r="R10859" s="19" t="n"/>
      <c r="Y10859" s="19" t="n"/>
    </row>
    <row r="10860">
      <c r="C10860" s="18" t="n"/>
      <c r="J10860" s="19" t="n"/>
      <c r="P10860" s="20" t="n"/>
      <c r="Q10860" s="19" t="n"/>
      <c r="R10860" s="19" t="n"/>
      <c r="Y10860" s="19" t="n"/>
    </row>
    <row r="10861">
      <c r="C10861" s="18" t="n"/>
      <c r="J10861" s="19" t="n"/>
      <c r="P10861" s="20" t="n"/>
      <c r="Q10861" s="19" t="n"/>
      <c r="R10861" s="19" t="n"/>
      <c r="Y10861" s="19" t="n"/>
    </row>
    <row r="10862">
      <c r="C10862" s="18" t="n"/>
      <c r="J10862" s="19" t="n"/>
      <c r="P10862" s="20" t="n"/>
      <c r="Q10862" s="19" t="n"/>
      <c r="R10862" s="19" t="n"/>
      <c r="Y10862" s="19" t="n"/>
    </row>
    <row r="10863">
      <c r="C10863" s="18" t="n"/>
      <c r="J10863" s="19" t="n"/>
      <c r="P10863" s="20" t="n"/>
      <c r="Q10863" s="19" t="n"/>
      <c r="R10863" s="19" t="n"/>
      <c r="Y10863" s="19" t="n"/>
    </row>
    <row r="10864">
      <c r="C10864" s="18" t="n"/>
      <c r="J10864" s="19" t="n"/>
      <c r="P10864" s="20" t="n"/>
      <c r="Q10864" s="19" t="n"/>
      <c r="R10864" s="19" t="n"/>
      <c r="Y10864" s="19" t="n"/>
    </row>
    <row r="10865">
      <c r="C10865" s="18" t="n"/>
      <c r="J10865" s="19" t="n"/>
      <c r="P10865" s="20" t="n"/>
      <c r="Q10865" s="19" t="n"/>
      <c r="R10865" s="19" t="n"/>
      <c r="Y10865" s="19" t="n"/>
    </row>
    <row r="10866">
      <c r="C10866" s="18" t="n"/>
      <c r="J10866" s="19" t="n"/>
      <c r="P10866" s="20" t="n"/>
      <c r="Q10866" s="19" t="n"/>
      <c r="R10866" s="19" t="n"/>
      <c r="Y10866" s="19" t="n"/>
    </row>
    <row r="10867">
      <c r="C10867" s="18" t="n"/>
      <c r="J10867" s="19" t="n"/>
      <c r="P10867" s="20" t="n"/>
      <c r="Q10867" s="19" t="n"/>
      <c r="R10867" s="19" t="n"/>
      <c r="Y10867" s="19" t="n"/>
    </row>
    <row r="10868">
      <c r="C10868" s="18" t="n"/>
      <c r="J10868" s="19" t="n"/>
      <c r="P10868" s="20" t="n"/>
      <c r="Q10868" s="19" t="n"/>
      <c r="R10868" s="19" t="n"/>
      <c r="Y10868" s="19" t="n"/>
    </row>
    <row r="10869">
      <c r="C10869" s="18" t="n"/>
      <c r="J10869" s="19" t="n"/>
      <c r="P10869" s="20" t="n"/>
      <c r="Q10869" s="19" t="n"/>
      <c r="R10869" s="19" t="n"/>
      <c r="Y10869" s="19" t="n"/>
    </row>
    <row r="10870">
      <c r="C10870" s="18" t="n"/>
      <c r="J10870" s="19" t="n"/>
      <c r="P10870" s="20" t="n"/>
      <c r="Q10870" s="19" t="n"/>
      <c r="R10870" s="19" t="n"/>
      <c r="Y10870" s="19" t="n"/>
    </row>
    <row r="10871">
      <c r="C10871" s="18" t="n"/>
      <c r="J10871" s="19" t="n"/>
      <c r="P10871" s="20" t="n"/>
      <c r="Q10871" s="19" t="n"/>
      <c r="R10871" s="19" t="n"/>
      <c r="Y10871" s="19" t="n"/>
    </row>
    <row r="10872">
      <c r="C10872" s="18" t="n"/>
      <c r="J10872" s="19" t="n"/>
      <c r="P10872" s="20" t="n"/>
      <c r="Q10872" s="19" t="n"/>
      <c r="R10872" s="19" t="n"/>
      <c r="Y10872" s="19" t="n"/>
    </row>
    <row r="10873">
      <c r="C10873" s="18" t="n"/>
      <c r="J10873" s="19" t="n"/>
      <c r="P10873" s="20" t="n"/>
      <c r="Q10873" s="19" t="n"/>
      <c r="R10873" s="19" t="n"/>
      <c r="Y10873" s="19" t="n"/>
    </row>
    <row r="10874">
      <c r="C10874" s="18" t="n"/>
      <c r="J10874" s="19" t="n"/>
      <c r="P10874" s="20" t="n"/>
      <c r="Q10874" s="19" t="n"/>
      <c r="R10874" s="19" t="n"/>
      <c r="Y10874" s="19" t="n"/>
    </row>
    <row r="10875">
      <c r="C10875" s="18" t="n"/>
      <c r="J10875" s="19" t="n"/>
      <c r="P10875" s="20" t="n"/>
      <c r="Q10875" s="19" t="n"/>
      <c r="R10875" s="19" t="n"/>
      <c r="Y10875" s="19" t="n"/>
    </row>
    <row r="10876">
      <c r="C10876" s="18" t="n"/>
      <c r="J10876" s="19" t="n"/>
      <c r="P10876" s="20" t="n"/>
      <c r="Q10876" s="19" t="n"/>
      <c r="R10876" s="19" t="n"/>
      <c r="Y10876" s="19" t="n"/>
    </row>
    <row r="10877">
      <c r="C10877" s="18" t="n"/>
      <c r="J10877" s="19" t="n"/>
      <c r="P10877" s="20" t="n"/>
      <c r="Q10877" s="19" t="n"/>
      <c r="R10877" s="19" t="n"/>
      <c r="Y10877" s="19" t="n"/>
    </row>
    <row r="10878">
      <c r="C10878" s="18" t="n"/>
      <c r="J10878" s="19" t="n"/>
      <c r="P10878" s="20" t="n"/>
      <c r="Q10878" s="19" t="n"/>
      <c r="R10878" s="19" t="n"/>
      <c r="Y10878" s="19" t="n"/>
    </row>
    <row r="10879">
      <c r="C10879" s="18" t="n"/>
      <c r="J10879" s="19" t="n"/>
      <c r="P10879" s="20" t="n"/>
      <c r="Q10879" s="19" t="n"/>
      <c r="R10879" s="19" t="n"/>
      <c r="Y10879" s="19" t="n"/>
    </row>
    <row r="10880">
      <c r="C10880" s="18" t="n"/>
      <c r="J10880" s="19" t="n"/>
      <c r="P10880" s="20" t="n"/>
      <c r="Q10880" s="19" t="n"/>
      <c r="R10880" s="19" t="n"/>
      <c r="Y10880" s="19" t="n"/>
    </row>
    <row r="10881">
      <c r="C10881" s="18" t="n"/>
      <c r="J10881" s="19" t="n"/>
      <c r="P10881" s="20" t="n"/>
      <c r="Q10881" s="19" t="n"/>
      <c r="R10881" s="19" t="n"/>
      <c r="Y10881" s="19" t="n"/>
    </row>
    <row r="10882">
      <c r="C10882" s="18" t="n"/>
      <c r="J10882" s="19" t="n"/>
      <c r="P10882" s="20" t="n"/>
      <c r="Q10882" s="19" t="n"/>
      <c r="R10882" s="19" t="n"/>
      <c r="Y10882" s="19" t="n"/>
    </row>
    <row r="10883">
      <c r="C10883" s="18" t="n"/>
      <c r="J10883" s="19" t="n"/>
      <c r="P10883" s="20" t="n"/>
      <c r="Q10883" s="19" t="n"/>
      <c r="R10883" s="19" t="n"/>
      <c r="Y10883" s="19" t="n"/>
    </row>
    <row r="10884">
      <c r="C10884" s="18" t="n"/>
      <c r="J10884" s="19" t="n"/>
      <c r="P10884" s="20" t="n"/>
      <c r="Q10884" s="19" t="n"/>
      <c r="R10884" s="19" t="n"/>
      <c r="Y10884" s="19" t="n"/>
    </row>
    <row r="10885">
      <c r="C10885" s="18" t="n"/>
      <c r="J10885" s="19" t="n"/>
      <c r="P10885" s="20" t="n"/>
      <c r="Q10885" s="19" t="n"/>
      <c r="R10885" s="19" t="n"/>
      <c r="Y10885" s="19" t="n"/>
    </row>
    <row r="10886">
      <c r="C10886" s="18" t="n"/>
      <c r="J10886" s="19" t="n"/>
      <c r="P10886" s="20" t="n"/>
      <c r="Q10886" s="19" t="n"/>
      <c r="R10886" s="19" t="n"/>
      <c r="Y10886" s="19" t="n"/>
    </row>
    <row r="10887">
      <c r="C10887" s="18" t="n"/>
      <c r="J10887" s="19" t="n"/>
      <c r="P10887" s="20" t="n"/>
      <c r="Q10887" s="19" t="n"/>
      <c r="R10887" s="19" t="n"/>
      <c r="Y10887" s="19" t="n"/>
    </row>
    <row r="10888">
      <c r="C10888" s="18" t="n"/>
      <c r="J10888" s="19" t="n"/>
      <c r="P10888" s="20" t="n"/>
      <c r="Q10888" s="19" t="n"/>
      <c r="R10888" s="19" t="n"/>
      <c r="Y10888" s="19" t="n"/>
    </row>
    <row r="10889">
      <c r="C10889" s="18" t="n"/>
      <c r="J10889" s="19" t="n"/>
      <c r="P10889" s="20" t="n"/>
      <c r="Q10889" s="19" t="n"/>
      <c r="R10889" s="19" t="n"/>
      <c r="Y10889" s="19" t="n"/>
    </row>
    <row r="10890">
      <c r="C10890" s="18" t="n"/>
      <c r="J10890" s="19" t="n"/>
      <c r="P10890" s="20" t="n"/>
      <c r="Q10890" s="19" t="n"/>
      <c r="R10890" s="19" t="n"/>
      <c r="Y10890" s="19" t="n"/>
    </row>
    <row r="10891">
      <c r="C10891" s="18" t="n"/>
      <c r="J10891" s="19" t="n"/>
      <c r="P10891" s="20" t="n"/>
      <c r="Q10891" s="19" t="n"/>
      <c r="R10891" s="19" t="n"/>
      <c r="Y10891" s="19" t="n"/>
    </row>
    <row r="10892">
      <c r="C10892" s="18" t="n"/>
      <c r="J10892" s="19" t="n"/>
      <c r="P10892" s="20" t="n"/>
      <c r="Q10892" s="19" t="n"/>
      <c r="R10892" s="19" t="n"/>
      <c r="Y10892" s="19" t="n"/>
    </row>
    <row r="10893">
      <c r="C10893" s="18" t="n"/>
      <c r="J10893" s="19" t="n"/>
      <c r="P10893" s="20" t="n"/>
      <c r="Q10893" s="19" t="n"/>
      <c r="R10893" s="19" t="n"/>
      <c r="Y10893" s="19" t="n"/>
    </row>
    <row r="10894">
      <c r="C10894" s="18" t="n"/>
      <c r="J10894" s="19" t="n"/>
      <c r="P10894" s="20" t="n"/>
      <c r="Q10894" s="19" t="n"/>
      <c r="R10894" s="19" t="n"/>
      <c r="Y10894" s="19" t="n"/>
    </row>
    <row r="10895">
      <c r="C10895" s="18" t="n"/>
      <c r="J10895" s="19" t="n"/>
      <c r="P10895" s="20" t="n"/>
      <c r="Q10895" s="19" t="n"/>
      <c r="R10895" s="19" t="n"/>
      <c r="Y10895" s="19" t="n"/>
    </row>
    <row r="10896">
      <c r="C10896" s="18" t="n"/>
      <c r="J10896" s="19" t="n"/>
      <c r="P10896" s="20" t="n"/>
      <c r="Q10896" s="19" t="n"/>
      <c r="R10896" s="19" t="n"/>
      <c r="Y10896" s="19" t="n"/>
    </row>
    <row r="10897">
      <c r="C10897" s="18" t="n"/>
      <c r="J10897" s="19" t="n"/>
      <c r="P10897" s="20" t="n"/>
      <c r="Q10897" s="19" t="n"/>
      <c r="R10897" s="19" t="n"/>
      <c r="Y10897" s="19" t="n"/>
    </row>
    <row r="10898">
      <c r="C10898" s="18" t="n"/>
      <c r="J10898" s="19" t="n"/>
      <c r="P10898" s="20" t="n"/>
      <c r="Q10898" s="19" t="n"/>
      <c r="R10898" s="19" t="n"/>
      <c r="Y10898" s="19" t="n"/>
    </row>
    <row r="10899">
      <c r="C10899" s="18" t="n"/>
      <c r="J10899" s="19" t="n"/>
      <c r="P10899" s="20" t="n"/>
      <c r="Q10899" s="19" t="n"/>
      <c r="R10899" s="19" t="n"/>
      <c r="Y10899" s="19" t="n"/>
    </row>
    <row r="10900">
      <c r="C10900" s="18" t="n"/>
      <c r="J10900" s="19" t="n"/>
      <c r="P10900" s="20" t="n"/>
      <c r="Q10900" s="19" t="n"/>
      <c r="R10900" s="19" t="n"/>
      <c r="Y10900" s="19" t="n"/>
    </row>
    <row r="10901">
      <c r="C10901" s="18" t="n"/>
      <c r="J10901" s="19" t="n"/>
      <c r="P10901" s="20" t="n"/>
      <c r="Q10901" s="19" t="n"/>
      <c r="R10901" s="19" t="n"/>
      <c r="Y10901" s="19" t="n"/>
    </row>
    <row r="10902">
      <c r="C10902" s="18" t="n"/>
      <c r="J10902" s="19" t="n"/>
      <c r="P10902" s="20" t="n"/>
      <c r="Q10902" s="19" t="n"/>
      <c r="R10902" s="19" t="n"/>
      <c r="Y10902" s="19" t="n"/>
    </row>
    <row r="10903">
      <c r="C10903" s="18" t="n"/>
      <c r="J10903" s="19" t="n"/>
      <c r="P10903" s="20" t="n"/>
      <c r="Q10903" s="19" t="n"/>
      <c r="R10903" s="19" t="n"/>
      <c r="Y10903" s="19" t="n"/>
    </row>
    <row r="10904">
      <c r="C10904" s="18" t="n"/>
      <c r="J10904" s="19" t="n"/>
      <c r="P10904" s="20" t="n"/>
      <c r="Q10904" s="19" t="n"/>
      <c r="R10904" s="19" t="n"/>
      <c r="Y10904" s="19" t="n"/>
    </row>
    <row r="10905">
      <c r="C10905" s="18" t="n"/>
      <c r="J10905" s="19" t="n"/>
      <c r="P10905" s="20" t="n"/>
      <c r="Q10905" s="19" t="n"/>
      <c r="R10905" s="19" t="n"/>
      <c r="Y10905" s="19" t="n"/>
    </row>
    <row r="10906">
      <c r="C10906" s="18" t="n"/>
      <c r="J10906" s="19" t="n"/>
      <c r="P10906" s="20" t="n"/>
      <c r="Q10906" s="19" t="n"/>
      <c r="R10906" s="19" t="n"/>
      <c r="Y10906" s="19" t="n"/>
    </row>
    <row r="10907">
      <c r="C10907" s="18" t="n"/>
      <c r="J10907" s="19" t="n"/>
      <c r="P10907" s="20" t="n"/>
      <c r="Q10907" s="19" t="n"/>
      <c r="R10907" s="19" t="n"/>
      <c r="Y10907" s="19" t="n"/>
    </row>
    <row r="10908">
      <c r="C10908" s="18" t="n"/>
      <c r="J10908" s="19" t="n"/>
      <c r="P10908" s="20" t="n"/>
      <c r="Q10908" s="19" t="n"/>
      <c r="R10908" s="19" t="n"/>
      <c r="Y10908" s="19" t="n"/>
    </row>
    <row r="10909">
      <c r="C10909" s="18" t="n"/>
      <c r="J10909" s="19" t="n"/>
      <c r="P10909" s="20" t="n"/>
      <c r="Q10909" s="19" t="n"/>
      <c r="R10909" s="19" t="n"/>
      <c r="Y10909" s="19" t="n"/>
    </row>
    <row r="10910">
      <c r="C10910" s="18" t="n"/>
      <c r="J10910" s="19" t="n"/>
      <c r="P10910" s="20" t="n"/>
      <c r="Q10910" s="19" t="n"/>
      <c r="R10910" s="19" t="n"/>
      <c r="Y10910" s="19" t="n"/>
    </row>
    <row r="10911">
      <c r="C10911" s="18" t="n"/>
      <c r="J10911" s="19" t="n"/>
      <c r="P10911" s="20" t="n"/>
      <c r="Q10911" s="19" t="n"/>
      <c r="R10911" s="19" t="n"/>
      <c r="Y10911" s="19" t="n"/>
    </row>
    <row r="10912">
      <c r="C10912" s="18" t="n"/>
      <c r="J10912" s="19" t="n"/>
      <c r="P10912" s="20" t="n"/>
      <c r="Q10912" s="19" t="n"/>
      <c r="R10912" s="19" t="n"/>
      <c r="Y10912" s="19" t="n"/>
    </row>
    <row r="10913">
      <c r="C10913" s="18" t="n"/>
      <c r="J10913" s="19" t="n"/>
      <c r="P10913" s="20" t="n"/>
      <c r="Q10913" s="19" t="n"/>
      <c r="R10913" s="19" t="n"/>
      <c r="Y10913" s="19" t="n"/>
    </row>
    <row r="10914">
      <c r="C10914" s="18" t="n"/>
      <c r="J10914" s="19" t="n"/>
      <c r="P10914" s="20" t="n"/>
      <c r="Q10914" s="19" t="n"/>
      <c r="R10914" s="19" t="n"/>
      <c r="Y10914" s="19" t="n"/>
    </row>
    <row r="10915">
      <c r="C10915" s="18" t="n"/>
      <c r="J10915" s="19" t="n"/>
      <c r="P10915" s="20" t="n"/>
      <c r="Q10915" s="19" t="n"/>
      <c r="R10915" s="19" t="n"/>
      <c r="Y10915" s="19" t="n"/>
    </row>
    <row r="10916">
      <c r="C10916" s="18" t="n"/>
      <c r="J10916" s="19" t="n"/>
      <c r="P10916" s="20" t="n"/>
      <c r="Q10916" s="19" t="n"/>
      <c r="R10916" s="19" t="n"/>
      <c r="Y10916" s="19" t="n"/>
    </row>
    <row r="10917">
      <c r="C10917" s="18" t="n"/>
      <c r="J10917" s="19" t="n"/>
      <c r="P10917" s="20" t="n"/>
      <c r="Q10917" s="19" t="n"/>
      <c r="R10917" s="19" t="n"/>
      <c r="Y10917" s="19" t="n"/>
    </row>
    <row r="10918">
      <c r="C10918" s="18" t="n"/>
      <c r="J10918" s="19" t="n"/>
      <c r="P10918" s="20" t="n"/>
      <c r="Q10918" s="19" t="n"/>
      <c r="R10918" s="19" t="n"/>
      <c r="Y10918" s="19" t="n"/>
    </row>
    <row r="10919">
      <c r="C10919" s="18" t="n"/>
      <c r="J10919" s="19" t="n"/>
      <c r="P10919" s="20" t="n"/>
      <c r="Q10919" s="19" t="n"/>
      <c r="R10919" s="19" t="n"/>
      <c r="Y10919" s="19" t="n"/>
    </row>
    <row r="10920">
      <c r="C10920" s="18" t="n"/>
      <c r="J10920" s="19" t="n"/>
      <c r="P10920" s="20" t="n"/>
      <c r="Q10920" s="19" t="n"/>
      <c r="R10920" s="19" t="n"/>
      <c r="Y10920" s="19" t="n"/>
    </row>
    <row r="10921">
      <c r="C10921" s="18" t="n"/>
      <c r="J10921" s="19" t="n"/>
      <c r="P10921" s="20" t="n"/>
      <c r="Q10921" s="19" t="n"/>
      <c r="R10921" s="19" t="n"/>
      <c r="Y10921" s="19" t="n"/>
    </row>
    <row r="10922">
      <c r="C10922" s="18" t="n"/>
      <c r="J10922" s="19" t="n"/>
      <c r="P10922" s="20" t="n"/>
      <c r="Q10922" s="19" t="n"/>
      <c r="R10922" s="19" t="n"/>
      <c r="Y10922" s="19" t="n"/>
    </row>
    <row r="10923">
      <c r="C10923" s="18" t="n"/>
      <c r="J10923" s="19" t="n"/>
      <c r="P10923" s="20" t="n"/>
      <c r="Q10923" s="19" t="n"/>
      <c r="R10923" s="19" t="n"/>
      <c r="Y10923" s="19" t="n"/>
    </row>
    <row r="10924">
      <c r="C10924" s="18" t="n"/>
      <c r="J10924" s="19" t="n"/>
      <c r="P10924" s="20" t="n"/>
      <c r="Q10924" s="19" t="n"/>
      <c r="R10924" s="19" t="n"/>
      <c r="Y10924" s="19" t="n"/>
    </row>
    <row r="10925">
      <c r="C10925" s="18" t="n"/>
      <c r="J10925" s="19" t="n"/>
      <c r="P10925" s="20" t="n"/>
      <c r="Q10925" s="19" t="n"/>
      <c r="R10925" s="19" t="n"/>
      <c r="Y10925" s="19" t="n"/>
    </row>
    <row r="10926">
      <c r="C10926" s="18" t="n"/>
      <c r="J10926" s="19" t="n"/>
      <c r="P10926" s="20" t="n"/>
      <c r="Q10926" s="19" t="n"/>
      <c r="R10926" s="19" t="n"/>
      <c r="Y10926" s="19" t="n"/>
    </row>
    <row r="10927">
      <c r="C10927" s="18" t="n"/>
      <c r="J10927" s="19" t="n"/>
      <c r="P10927" s="20" t="n"/>
      <c r="Q10927" s="19" t="n"/>
      <c r="R10927" s="19" t="n"/>
      <c r="Y10927" s="19" t="n"/>
    </row>
    <row r="10928">
      <c r="C10928" s="18" t="n"/>
      <c r="J10928" s="19" t="n"/>
      <c r="P10928" s="20" t="n"/>
      <c r="Q10928" s="19" t="n"/>
      <c r="R10928" s="19" t="n"/>
      <c r="Y10928" s="19" t="n"/>
    </row>
    <row r="10929">
      <c r="C10929" s="18" t="n"/>
      <c r="J10929" s="19" t="n"/>
      <c r="P10929" s="20" t="n"/>
      <c r="Q10929" s="19" t="n"/>
      <c r="R10929" s="19" t="n"/>
      <c r="Y10929" s="19" t="n"/>
    </row>
    <row r="10930">
      <c r="C10930" s="18" t="n"/>
      <c r="J10930" s="19" t="n"/>
      <c r="P10930" s="20" t="n"/>
      <c r="Q10930" s="19" t="n"/>
      <c r="R10930" s="19" t="n"/>
      <c r="Y10930" s="19" t="n"/>
    </row>
    <row r="10931">
      <c r="C10931" s="18" t="n"/>
      <c r="J10931" s="19" t="n"/>
      <c r="P10931" s="20" t="n"/>
      <c r="Q10931" s="19" t="n"/>
      <c r="R10931" s="19" t="n"/>
      <c r="Y10931" s="19" t="n"/>
    </row>
    <row r="10932">
      <c r="C10932" s="18" t="n"/>
      <c r="J10932" s="19" t="n"/>
      <c r="P10932" s="20" t="n"/>
      <c r="Q10932" s="19" t="n"/>
      <c r="R10932" s="19" t="n"/>
      <c r="Y10932" s="19" t="n"/>
    </row>
    <row r="10933">
      <c r="C10933" s="18" t="n"/>
      <c r="J10933" s="19" t="n"/>
      <c r="P10933" s="20" t="n"/>
      <c r="Q10933" s="19" t="n"/>
      <c r="R10933" s="19" t="n"/>
      <c r="Y10933" s="19" t="n"/>
    </row>
    <row r="10934">
      <c r="C10934" s="18" t="n"/>
      <c r="J10934" s="19" t="n"/>
      <c r="P10934" s="20" t="n"/>
      <c r="Q10934" s="19" t="n"/>
      <c r="R10934" s="19" t="n"/>
      <c r="Y10934" s="19" t="n"/>
    </row>
    <row r="10935">
      <c r="C10935" s="18" t="n"/>
      <c r="J10935" s="19" t="n"/>
      <c r="P10935" s="20" t="n"/>
      <c r="Q10935" s="19" t="n"/>
      <c r="R10935" s="19" t="n"/>
      <c r="Y10935" s="19" t="n"/>
    </row>
    <row r="10936">
      <c r="C10936" s="18" t="n"/>
      <c r="J10936" s="19" t="n"/>
      <c r="P10936" s="20" t="n"/>
      <c r="Q10936" s="19" t="n"/>
      <c r="R10936" s="19" t="n"/>
      <c r="Y10936" s="19" t="n"/>
    </row>
    <row r="10937">
      <c r="C10937" s="18" t="n"/>
      <c r="J10937" s="19" t="n"/>
      <c r="P10937" s="20" t="n"/>
      <c r="Q10937" s="19" t="n"/>
      <c r="R10937" s="19" t="n"/>
      <c r="Y10937" s="19" t="n"/>
    </row>
    <row r="10938">
      <c r="C10938" s="18" t="n"/>
      <c r="J10938" s="19" t="n"/>
      <c r="P10938" s="20" t="n"/>
      <c r="Q10938" s="19" t="n"/>
      <c r="R10938" s="19" t="n"/>
      <c r="Y10938" s="19" t="n"/>
    </row>
    <row r="10939">
      <c r="C10939" s="18" t="n"/>
      <c r="J10939" s="19" t="n"/>
      <c r="P10939" s="20" t="n"/>
      <c r="Q10939" s="19" t="n"/>
      <c r="R10939" s="19" t="n"/>
      <c r="Y10939" s="19" t="n"/>
    </row>
    <row r="10940">
      <c r="C10940" s="18" t="n"/>
      <c r="J10940" s="19" t="n"/>
      <c r="P10940" s="20" t="n"/>
      <c r="Q10940" s="19" t="n"/>
      <c r="R10940" s="19" t="n"/>
      <c r="Y10940" s="19" t="n"/>
    </row>
    <row r="10941">
      <c r="C10941" s="18" t="n"/>
      <c r="J10941" s="19" t="n"/>
      <c r="P10941" s="20" t="n"/>
      <c r="Q10941" s="19" t="n"/>
      <c r="R10941" s="19" t="n"/>
      <c r="Y10941" s="19" t="n"/>
    </row>
    <row r="10942">
      <c r="C10942" s="18" t="n"/>
      <c r="J10942" s="19" t="n"/>
      <c r="P10942" s="20" t="n"/>
      <c r="Q10942" s="19" t="n"/>
      <c r="R10942" s="19" t="n"/>
      <c r="Y10942" s="19" t="n"/>
    </row>
    <row r="10943">
      <c r="C10943" s="18" t="n"/>
      <c r="J10943" s="19" t="n"/>
      <c r="P10943" s="20" t="n"/>
      <c r="Q10943" s="19" t="n"/>
      <c r="R10943" s="19" t="n"/>
      <c r="Y10943" s="19" t="n"/>
    </row>
    <row r="10944">
      <c r="C10944" s="18" t="n"/>
      <c r="J10944" s="19" t="n"/>
      <c r="P10944" s="20" t="n"/>
      <c r="Q10944" s="19" t="n"/>
      <c r="R10944" s="19" t="n"/>
      <c r="Y10944" s="19" t="n"/>
    </row>
    <row r="10945">
      <c r="C10945" s="18" t="n"/>
      <c r="J10945" s="19" t="n"/>
      <c r="P10945" s="20" t="n"/>
      <c r="Q10945" s="19" t="n"/>
      <c r="R10945" s="19" t="n"/>
      <c r="Y10945" s="19" t="n"/>
    </row>
    <row r="10946">
      <c r="C10946" s="18" t="n"/>
      <c r="J10946" s="19" t="n"/>
      <c r="P10946" s="20" t="n"/>
      <c r="Q10946" s="19" t="n"/>
      <c r="R10946" s="19" t="n"/>
      <c r="Y10946" s="19" t="n"/>
    </row>
    <row r="10947">
      <c r="C10947" s="18" t="n"/>
      <c r="J10947" s="19" t="n"/>
      <c r="P10947" s="20" t="n"/>
      <c r="Q10947" s="19" t="n"/>
      <c r="R10947" s="19" t="n"/>
      <c r="Y10947" s="19" t="n"/>
    </row>
    <row r="10948">
      <c r="C10948" s="18" t="n"/>
      <c r="J10948" s="19" t="n"/>
      <c r="P10948" s="20" t="n"/>
      <c r="Q10948" s="19" t="n"/>
      <c r="R10948" s="19" t="n"/>
      <c r="Y10948" s="19" t="n"/>
    </row>
    <row r="10949">
      <c r="C10949" s="18" t="n"/>
      <c r="J10949" s="19" t="n"/>
      <c r="P10949" s="20" t="n"/>
      <c r="Q10949" s="19" t="n"/>
      <c r="R10949" s="19" t="n"/>
      <c r="Y10949" s="19" t="n"/>
    </row>
    <row r="10950">
      <c r="C10950" s="18" t="n"/>
      <c r="J10950" s="19" t="n"/>
      <c r="P10950" s="20" t="n"/>
      <c r="Q10950" s="19" t="n"/>
      <c r="R10950" s="19" t="n"/>
      <c r="Y10950" s="19" t="n"/>
    </row>
    <row r="10951">
      <c r="C10951" s="18" t="n"/>
      <c r="J10951" s="19" t="n"/>
      <c r="P10951" s="20" t="n"/>
      <c r="Q10951" s="19" t="n"/>
      <c r="R10951" s="19" t="n"/>
      <c r="Y10951" s="19" t="n"/>
    </row>
    <row r="10952">
      <c r="C10952" s="18" t="n"/>
      <c r="J10952" s="19" t="n"/>
      <c r="P10952" s="20" t="n"/>
      <c r="Q10952" s="19" t="n"/>
      <c r="R10952" s="19" t="n"/>
      <c r="Y10952" s="19" t="n"/>
    </row>
    <row r="10953">
      <c r="C10953" s="18" t="n"/>
      <c r="J10953" s="19" t="n"/>
      <c r="P10953" s="20" t="n"/>
      <c r="Q10953" s="19" t="n"/>
      <c r="R10953" s="19" t="n"/>
      <c r="Y10953" s="19" t="n"/>
    </row>
    <row r="10954">
      <c r="C10954" s="18" t="n"/>
      <c r="J10954" s="19" t="n"/>
      <c r="P10954" s="20" t="n"/>
      <c r="Q10954" s="19" t="n"/>
      <c r="R10954" s="19" t="n"/>
      <c r="Y10954" s="19" t="n"/>
    </row>
    <row r="10955">
      <c r="C10955" s="18" t="n"/>
      <c r="J10955" s="19" t="n"/>
      <c r="P10955" s="20" t="n"/>
      <c r="Q10955" s="19" t="n"/>
      <c r="R10955" s="19" t="n"/>
      <c r="Y10955" s="19" t="n"/>
    </row>
    <row r="10956">
      <c r="C10956" s="18" t="n"/>
      <c r="J10956" s="19" t="n"/>
      <c r="P10956" s="20" t="n"/>
      <c r="Q10956" s="19" t="n"/>
      <c r="R10956" s="19" t="n"/>
      <c r="Y10956" s="19" t="n"/>
    </row>
    <row r="10957">
      <c r="C10957" s="18" t="n"/>
      <c r="J10957" s="19" t="n"/>
      <c r="P10957" s="20" t="n"/>
      <c r="Q10957" s="19" t="n"/>
      <c r="R10957" s="19" t="n"/>
      <c r="Y10957" s="19" t="n"/>
    </row>
    <row r="10958">
      <c r="C10958" s="18" t="n"/>
      <c r="J10958" s="19" t="n"/>
      <c r="P10958" s="20" t="n"/>
      <c r="Q10958" s="19" t="n"/>
      <c r="R10958" s="19" t="n"/>
      <c r="Y10958" s="19" t="n"/>
    </row>
    <row r="10959">
      <c r="C10959" s="18" t="n"/>
      <c r="J10959" s="19" t="n"/>
      <c r="P10959" s="20" t="n"/>
      <c r="Q10959" s="19" t="n"/>
      <c r="R10959" s="19" t="n"/>
      <c r="Y10959" s="19" t="n"/>
    </row>
    <row r="10960">
      <c r="C10960" s="18" t="n"/>
      <c r="J10960" s="19" t="n"/>
      <c r="P10960" s="20" t="n"/>
      <c r="Q10960" s="19" t="n"/>
      <c r="R10960" s="19" t="n"/>
      <c r="Y10960" s="19" t="n"/>
    </row>
    <row r="10961">
      <c r="C10961" s="18" t="n"/>
      <c r="J10961" s="19" t="n"/>
      <c r="P10961" s="20" t="n"/>
      <c r="Q10961" s="19" t="n"/>
      <c r="R10961" s="19" t="n"/>
      <c r="Y10961" s="19" t="n"/>
    </row>
    <row r="10962">
      <c r="C10962" s="18" t="n"/>
      <c r="J10962" s="19" t="n"/>
      <c r="P10962" s="20" t="n"/>
      <c r="Q10962" s="19" t="n"/>
      <c r="R10962" s="19" t="n"/>
      <c r="Y10962" s="19" t="n"/>
    </row>
    <row r="10963">
      <c r="C10963" s="18" t="n"/>
      <c r="J10963" s="19" t="n"/>
      <c r="P10963" s="20" t="n"/>
      <c r="Q10963" s="19" t="n"/>
      <c r="R10963" s="19" t="n"/>
      <c r="Y10963" s="19" t="n"/>
    </row>
    <row r="10964">
      <c r="C10964" s="18" t="n"/>
      <c r="J10964" s="19" t="n"/>
      <c r="P10964" s="20" t="n"/>
      <c r="Q10964" s="19" t="n"/>
      <c r="R10964" s="19" t="n"/>
      <c r="Y10964" s="19" t="n"/>
    </row>
    <row r="10965">
      <c r="C10965" s="18" t="n"/>
      <c r="J10965" s="19" t="n"/>
      <c r="P10965" s="20" t="n"/>
      <c r="Q10965" s="19" t="n"/>
      <c r="R10965" s="19" t="n"/>
      <c r="Y10965" s="19" t="n"/>
    </row>
    <row r="10966">
      <c r="C10966" s="18" t="n"/>
      <c r="J10966" s="19" t="n"/>
      <c r="P10966" s="20" t="n"/>
      <c r="Q10966" s="19" t="n"/>
      <c r="R10966" s="19" t="n"/>
      <c r="Y10966" s="19" t="n"/>
    </row>
    <row r="10967">
      <c r="C10967" s="18" t="n"/>
      <c r="J10967" s="19" t="n"/>
      <c r="P10967" s="20" t="n"/>
      <c r="Q10967" s="19" t="n"/>
      <c r="R10967" s="19" t="n"/>
      <c r="Y10967" s="19" t="n"/>
    </row>
    <row r="10968">
      <c r="C10968" s="18" t="n"/>
      <c r="J10968" s="19" t="n"/>
      <c r="P10968" s="20" t="n"/>
      <c r="Q10968" s="19" t="n"/>
      <c r="R10968" s="19" t="n"/>
      <c r="Y10968" s="19" t="n"/>
    </row>
    <row r="10969">
      <c r="C10969" s="18" t="n"/>
      <c r="J10969" s="19" t="n"/>
      <c r="P10969" s="20" t="n"/>
      <c r="Q10969" s="19" t="n"/>
      <c r="R10969" s="19" t="n"/>
      <c r="Y10969" s="19" t="n"/>
    </row>
    <row r="10970">
      <c r="C10970" s="18" t="n"/>
      <c r="J10970" s="19" t="n"/>
      <c r="P10970" s="20" t="n"/>
      <c r="Q10970" s="19" t="n"/>
      <c r="R10970" s="19" t="n"/>
      <c r="Y10970" s="19" t="n"/>
    </row>
    <row r="10971">
      <c r="C10971" s="18" t="n"/>
      <c r="J10971" s="19" t="n"/>
      <c r="P10971" s="20" t="n"/>
      <c r="Q10971" s="19" t="n"/>
      <c r="R10971" s="19" t="n"/>
      <c r="Y10971" s="19" t="n"/>
    </row>
    <row r="10972">
      <c r="C10972" s="18" t="n"/>
      <c r="J10972" s="19" t="n"/>
      <c r="P10972" s="20" t="n"/>
      <c r="Q10972" s="19" t="n"/>
      <c r="R10972" s="19" t="n"/>
      <c r="Y10972" s="19" t="n"/>
    </row>
    <row r="10973">
      <c r="C10973" s="18" t="n"/>
      <c r="J10973" s="19" t="n"/>
      <c r="P10973" s="20" t="n"/>
      <c r="Q10973" s="19" t="n"/>
      <c r="R10973" s="19" t="n"/>
      <c r="Y10973" s="19" t="n"/>
    </row>
    <row r="10974">
      <c r="C10974" s="18" t="n"/>
      <c r="J10974" s="19" t="n"/>
      <c r="P10974" s="20" t="n"/>
      <c r="Q10974" s="19" t="n"/>
      <c r="R10974" s="19" t="n"/>
      <c r="Y10974" s="19" t="n"/>
    </row>
    <row r="10975">
      <c r="C10975" s="18" t="n"/>
      <c r="J10975" s="19" t="n"/>
      <c r="P10975" s="20" t="n"/>
      <c r="Q10975" s="19" t="n"/>
      <c r="R10975" s="19" t="n"/>
      <c r="Y10975" s="19" t="n"/>
    </row>
    <row r="10976">
      <c r="C10976" s="18" t="n"/>
      <c r="J10976" s="19" t="n"/>
      <c r="P10976" s="20" t="n"/>
      <c r="Q10976" s="19" t="n"/>
      <c r="R10976" s="19" t="n"/>
      <c r="Y10976" s="19" t="n"/>
    </row>
    <row r="10977">
      <c r="C10977" s="18" t="n"/>
      <c r="J10977" s="19" t="n"/>
      <c r="P10977" s="20" t="n"/>
      <c r="Q10977" s="19" t="n"/>
      <c r="R10977" s="19" t="n"/>
      <c r="Y10977" s="19" t="n"/>
    </row>
    <row r="10978">
      <c r="C10978" s="18" t="n"/>
      <c r="J10978" s="19" t="n"/>
      <c r="P10978" s="20" t="n"/>
      <c r="Q10978" s="19" t="n"/>
      <c r="R10978" s="19" t="n"/>
      <c r="Y10978" s="19" t="n"/>
    </row>
    <row r="10979">
      <c r="C10979" s="18" t="n"/>
      <c r="J10979" s="19" t="n"/>
      <c r="P10979" s="20" t="n"/>
      <c r="Q10979" s="19" t="n"/>
      <c r="R10979" s="19" t="n"/>
      <c r="Y10979" s="19" t="n"/>
    </row>
    <row r="10980">
      <c r="C10980" s="18" t="n"/>
      <c r="J10980" s="19" t="n"/>
      <c r="P10980" s="20" t="n"/>
      <c r="Q10980" s="19" t="n"/>
      <c r="R10980" s="19" t="n"/>
      <c r="Y10980" s="19" t="n"/>
    </row>
    <row r="10981">
      <c r="C10981" s="18" t="n"/>
      <c r="J10981" s="19" t="n"/>
      <c r="P10981" s="20" t="n"/>
      <c r="Q10981" s="19" t="n"/>
      <c r="R10981" s="19" t="n"/>
      <c r="Y10981" s="19" t="n"/>
    </row>
    <row r="10982">
      <c r="C10982" s="18" t="n"/>
      <c r="J10982" s="19" t="n"/>
      <c r="P10982" s="20" t="n"/>
      <c r="Q10982" s="19" t="n"/>
      <c r="R10982" s="19" t="n"/>
      <c r="Y10982" s="19" t="n"/>
    </row>
    <row r="10983">
      <c r="C10983" s="18" t="n"/>
      <c r="J10983" s="19" t="n"/>
      <c r="P10983" s="20" t="n"/>
      <c r="Q10983" s="19" t="n"/>
      <c r="R10983" s="19" t="n"/>
      <c r="Y10983" s="19" t="n"/>
    </row>
    <row r="10984">
      <c r="C10984" s="18" t="n"/>
      <c r="J10984" s="19" t="n"/>
      <c r="P10984" s="20" t="n"/>
      <c r="Q10984" s="19" t="n"/>
      <c r="R10984" s="19" t="n"/>
      <c r="Y10984" s="19" t="n"/>
    </row>
    <row r="10985">
      <c r="C10985" s="18" t="n"/>
      <c r="J10985" s="19" t="n"/>
      <c r="P10985" s="20" t="n"/>
      <c r="Q10985" s="19" t="n"/>
      <c r="R10985" s="19" t="n"/>
      <c r="Y10985" s="19" t="n"/>
    </row>
    <row r="10986">
      <c r="C10986" s="18" t="n"/>
      <c r="J10986" s="19" t="n"/>
      <c r="P10986" s="20" t="n"/>
      <c r="Q10986" s="19" t="n"/>
      <c r="R10986" s="19" t="n"/>
      <c r="Y10986" s="19" t="n"/>
    </row>
    <row r="10987">
      <c r="C10987" s="18" t="n"/>
      <c r="J10987" s="19" t="n"/>
      <c r="P10987" s="20" t="n"/>
      <c r="Q10987" s="19" t="n"/>
      <c r="R10987" s="19" t="n"/>
      <c r="Y10987" s="19" t="n"/>
    </row>
    <row r="10988">
      <c r="C10988" s="18" t="n"/>
      <c r="J10988" s="19" t="n"/>
      <c r="P10988" s="20" t="n"/>
      <c r="Q10988" s="19" t="n"/>
      <c r="R10988" s="19" t="n"/>
      <c r="Y10988" s="19" t="n"/>
    </row>
    <row r="10989">
      <c r="C10989" s="18" t="n"/>
      <c r="J10989" s="19" t="n"/>
      <c r="P10989" s="20" t="n"/>
      <c r="Q10989" s="19" t="n"/>
      <c r="R10989" s="19" t="n"/>
      <c r="Y10989" s="19" t="n"/>
    </row>
    <row r="10990">
      <c r="C10990" s="18" t="n"/>
      <c r="J10990" s="19" t="n"/>
      <c r="P10990" s="20" t="n"/>
      <c r="Q10990" s="19" t="n"/>
      <c r="R10990" s="19" t="n"/>
      <c r="Y10990" s="19" t="n"/>
    </row>
    <row r="10991">
      <c r="C10991" s="18" t="n"/>
      <c r="J10991" s="19" t="n"/>
      <c r="P10991" s="20" t="n"/>
      <c r="Q10991" s="19" t="n"/>
      <c r="R10991" s="19" t="n"/>
      <c r="Y10991" s="19" t="n"/>
    </row>
    <row r="10992">
      <c r="C10992" s="18" t="n"/>
      <c r="J10992" s="19" t="n"/>
      <c r="P10992" s="20" t="n"/>
      <c r="Q10992" s="19" t="n"/>
      <c r="R10992" s="19" t="n"/>
      <c r="Y10992" s="19" t="n"/>
    </row>
    <row r="10993">
      <c r="C10993" s="18" t="n"/>
      <c r="J10993" s="19" t="n"/>
      <c r="P10993" s="20" t="n"/>
      <c r="Q10993" s="19" t="n"/>
      <c r="R10993" s="19" t="n"/>
      <c r="Y10993" s="19" t="n"/>
    </row>
    <row r="10994">
      <c r="C10994" s="18" t="n"/>
      <c r="J10994" s="19" t="n"/>
      <c r="P10994" s="20" t="n"/>
      <c r="Q10994" s="19" t="n"/>
      <c r="R10994" s="19" t="n"/>
      <c r="Y10994" s="19" t="n"/>
    </row>
    <row r="10995">
      <c r="C10995" s="18" t="n"/>
      <c r="J10995" s="19" t="n"/>
      <c r="P10995" s="20" t="n"/>
      <c r="Q10995" s="19" t="n"/>
      <c r="R10995" s="19" t="n"/>
      <c r="Y10995" s="19" t="n"/>
    </row>
    <row r="10996">
      <c r="C10996" s="18" t="n"/>
      <c r="J10996" s="19" t="n"/>
      <c r="P10996" s="20" t="n"/>
      <c r="Q10996" s="19" t="n"/>
      <c r="R10996" s="19" t="n"/>
      <c r="Y10996" s="19" t="n"/>
    </row>
    <row r="10997">
      <c r="C10997" s="18" t="n"/>
      <c r="J10997" s="19" t="n"/>
      <c r="P10997" s="20" t="n"/>
      <c r="Q10997" s="19" t="n"/>
      <c r="R10997" s="19" t="n"/>
      <c r="Y10997" s="19" t="n"/>
    </row>
    <row r="10998">
      <c r="C10998" s="18" t="n"/>
      <c r="J10998" s="19" t="n"/>
      <c r="P10998" s="20" t="n"/>
      <c r="Q10998" s="19" t="n"/>
      <c r="R10998" s="19" t="n"/>
      <c r="Y10998" s="19" t="n"/>
    </row>
    <row r="10999">
      <c r="C10999" s="18" t="n"/>
      <c r="J10999" s="19" t="n"/>
      <c r="P10999" s="20" t="n"/>
      <c r="Q10999" s="19" t="n"/>
      <c r="R10999" s="19" t="n"/>
      <c r="Y10999" s="19" t="n"/>
    </row>
    <row r="11000">
      <c r="C11000" s="18" t="n"/>
      <c r="J11000" s="19" t="n"/>
      <c r="P11000" s="20" t="n"/>
      <c r="Q11000" s="19" t="n"/>
      <c r="R11000" s="19" t="n"/>
      <c r="Y11000" s="19" t="n"/>
    </row>
    <row r="11001">
      <c r="C11001" s="18" t="n"/>
      <c r="J11001" s="19" t="n"/>
      <c r="P11001" s="20" t="n"/>
      <c r="Q11001" s="19" t="n"/>
      <c r="R11001" s="19" t="n"/>
      <c r="Y11001" s="19" t="n"/>
    </row>
    <row r="11002">
      <c r="C11002" s="18" t="n"/>
      <c r="J11002" s="19" t="n"/>
      <c r="P11002" s="20" t="n"/>
      <c r="Q11002" s="19" t="n"/>
      <c r="R11002" s="19" t="n"/>
      <c r="Y11002" s="19" t="n"/>
    </row>
    <row r="11003">
      <c r="C11003" s="18" t="n"/>
      <c r="J11003" s="19" t="n"/>
      <c r="P11003" s="20" t="n"/>
      <c r="Q11003" s="19" t="n"/>
      <c r="R11003" s="19" t="n"/>
      <c r="Y11003" s="19" t="n"/>
    </row>
    <row r="11004">
      <c r="C11004" s="18" t="n"/>
      <c r="J11004" s="19" t="n"/>
      <c r="P11004" s="20" t="n"/>
      <c r="Q11004" s="19" t="n"/>
      <c r="R11004" s="19" t="n"/>
      <c r="Y11004" s="19" t="n"/>
    </row>
    <row r="11005">
      <c r="C11005" s="18" t="n"/>
      <c r="J11005" s="19" t="n"/>
      <c r="P11005" s="20" t="n"/>
      <c r="Q11005" s="19" t="n"/>
      <c r="R11005" s="19" t="n"/>
      <c r="Y11005" s="19" t="n"/>
    </row>
    <row r="11006">
      <c r="C11006" s="18" t="n"/>
      <c r="J11006" s="19" t="n"/>
      <c r="P11006" s="20" t="n"/>
      <c r="Q11006" s="19" t="n"/>
      <c r="R11006" s="19" t="n"/>
      <c r="Y11006" s="19" t="n"/>
    </row>
    <row r="11007">
      <c r="C11007" s="18" t="n"/>
      <c r="J11007" s="19" t="n"/>
      <c r="P11007" s="20" t="n"/>
      <c r="Q11007" s="19" t="n"/>
      <c r="R11007" s="19" t="n"/>
      <c r="Y11007" s="19" t="n"/>
    </row>
    <row r="11008">
      <c r="C11008" s="18" t="n"/>
      <c r="J11008" s="19" t="n"/>
      <c r="P11008" s="20" t="n"/>
      <c r="Q11008" s="19" t="n"/>
      <c r="R11008" s="19" t="n"/>
      <c r="Y11008" s="19" t="n"/>
    </row>
    <row r="11009">
      <c r="C11009" s="18" t="n"/>
      <c r="J11009" s="19" t="n"/>
      <c r="P11009" s="20" t="n"/>
      <c r="Q11009" s="19" t="n"/>
      <c r="R11009" s="19" t="n"/>
      <c r="Y11009" s="19" t="n"/>
    </row>
    <row r="11010">
      <c r="C11010" s="18" t="n"/>
      <c r="J11010" s="19" t="n"/>
      <c r="P11010" s="20" t="n"/>
      <c r="Q11010" s="19" t="n"/>
      <c r="R11010" s="19" t="n"/>
      <c r="Y11010" s="19" t="n"/>
    </row>
    <row r="11011">
      <c r="C11011" s="18" t="n"/>
      <c r="J11011" s="19" t="n"/>
      <c r="P11011" s="20" t="n"/>
      <c r="Q11011" s="19" t="n"/>
      <c r="R11011" s="19" t="n"/>
      <c r="Y11011" s="19" t="n"/>
    </row>
    <row r="11012">
      <c r="C11012" s="18" t="n"/>
      <c r="J11012" s="19" t="n"/>
      <c r="P11012" s="20" t="n"/>
      <c r="Q11012" s="19" t="n"/>
      <c r="R11012" s="19" t="n"/>
      <c r="Y11012" s="19" t="n"/>
    </row>
    <row r="11013">
      <c r="C11013" s="18" t="n"/>
      <c r="J11013" s="19" t="n"/>
      <c r="P11013" s="20" t="n"/>
      <c r="Q11013" s="19" t="n"/>
      <c r="R11013" s="19" t="n"/>
      <c r="Y11013" s="19" t="n"/>
    </row>
    <row r="11014">
      <c r="C11014" s="18" t="n"/>
      <c r="J11014" s="19" t="n"/>
      <c r="P11014" s="20" t="n"/>
      <c r="Q11014" s="19" t="n"/>
      <c r="R11014" s="19" t="n"/>
      <c r="Y11014" s="19" t="n"/>
    </row>
    <row r="11015">
      <c r="C11015" s="18" t="n"/>
      <c r="J11015" s="19" t="n"/>
      <c r="P11015" s="20" t="n"/>
      <c r="Q11015" s="19" t="n"/>
      <c r="R11015" s="19" t="n"/>
      <c r="Y11015" s="19" t="n"/>
    </row>
    <row r="11016">
      <c r="C11016" s="18" t="n"/>
      <c r="J11016" s="19" t="n"/>
      <c r="P11016" s="20" t="n"/>
      <c r="Q11016" s="19" t="n"/>
      <c r="R11016" s="19" t="n"/>
      <c r="Y11016" s="19" t="n"/>
    </row>
    <row r="11017">
      <c r="C11017" s="18" t="n"/>
      <c r="J11017" s="19" t="n"/>
      <c r="P11017" s="20" t="n"/>
      <c r="Q11017" s="19" t="n"/>
      <c r="R11017" s="19" t="n"/>
      <c r="Y11017" s="19" t="n"/>
    </row>
    <row r="11018">
      <c r="C11018" s="18" t="n"/>
      <c r="J11018" s="19" t="n"/>
      <c r="P11018" s="20" t="n"/>
      <c r="Q11018" s="19" t="n"/>
      <c r="R11018" s="19" t="n"/>
      <c r="Y11018" s="19" t="n"/>
    </row>
    <row r="11019">
      <c r="C11019" s="18" t="n"/>
      <c r="J11019" s="19" t="n"/>
      <c r="P11019" s="20" t="n"/>
      <c r="Q11019" s="19" t="n"/>
      <c r="R11019" s="19" t="n"/>
      <c r="Y11019" s="19" t="n"/>
    </row>
    <row r="11020">
      <c r="C11020" s="18" t="n"/>
      <c r="J11020" s="19" t="n"/>
      <c r="P11020" s="20" t="n"/>
      <c r="Q11020" s="19" t="n"/>
      <c r="R11020" s="19" t="n"/>
      <c r="Y11020" s="19" t="n"/>
    </row>
    <row r="11021">
      <c r="C11021" s="18" t="n"/>
      <c r="J11021" s="19" t="n"/>
      <c r="P11021" s="20" t="n"/>
      <c r="Q11021" s="19" t="n"/>
      <c r="R11021" s="19" t="n"/>
      <c r="Y11021" s="19" t="n"/>
    </row>
    <row r="11022">
      <c r="C11022" s="18" t="n"/>
      <c r="J11022" s="19" t="n"/>
      <c r="P11022" s="20" t="n"/>
      <c r="Q11022" s="19" t="n"/>
      <c r="R11022" s="19" t="n"/>
      <c r="Y11022" s="19" t="n"/>
    </row>
    <row r="11023">
      <c r="C11023" s="18" t="n"/>
      <c r="J11023" s="19" t="n"/>
      <c r="P11023" s="20" t="n"/>
      <c r="Q11023" s="19" t="n"/>
      <c r="R11023" s="19" t="n"/>
      <c r="Y11023" s="19" t="n"/>
    </row>
    <row r="11024">
      <c r="C11024" s="18" t="n"/>
      <c r="J11024" s="19" t="n"/>
      <c r="P11024" s="20" t="n"/>
      <c r="Q11024" s="19" t="n"/>
      <c r="R11024" s="19" t="n"/>
      <c r="Y11024" s="19" t="n"/>
    </row>
    <row r="11025">
      <c r="C11025" s="18" t="n"/>
      <c r="J11025" s="19" t="n"/>
      <c r="P11025" s="20" t="n"/>
      <c r="Q11025" s="19" t="n"/>
      <c r="R11025" s="19" t="n"/>
      <c r="Y11025" s="19" t="n"/>
    </row>
    <row r="11026">
      <c r="C11026" s="18" t="n"/>
      <c r="J11026" s="19" t="n"/>
      <c r="P11026" s="20" t="n"/>
      <c r="Q11026" s="19" t="n"/>
      <c r="R11026" s="19" t="n"/>
      <c r="Y11026" s="19" t="n"/>
    </row>
    <row r="11027">
      <c r="C11027" s="18" t="n"/>
      <c r="J11027" s="19" t="n"/>
      <c r="P11027" s="20" t="n"/>
      <c r="Q11027" s="19" t="n"/>
      <c r="R11027" s="19" t="n"/>
      <c r="Y11027" s="19" t="n"/>
    </row>
    <row r="11028">
      <c r="C11028" s="18" t="n"/>
      <c r="J11028" s="19" t="n"/>
      <c r="P11028" s="20" t="n"/>
      <c r="Q11028" s="19" t="n"/>
      <c r="R11028" s="19" t="n"/>
      <c r="Y11028" s="19" t="n"/>
    </row>
    <row r="11029">
      <c r="C11029" s="18" t="n"/>
      <c r="J11029" s="19" t="n"/>
      <c r="P11029" s="20" t="n"/>
      <c r="Q11029" s="19" t="n"/>
      <c r="R11029" s="19" t="n"/>
      <c r="Y11029" s="19" t="n"/>
    </row>
    <row r="11030">
      <c r="C11030" s="18" t="n"/>
      <c r="J11030" s="19" t="n"/>
      <c r="P11030" s="20" t="n"/>
      <c r="Q11030" s="19" t="n"/>
      <c r="R11030" s="19" t="n"/>
      <c r="Y11030" s="19" t="n"/>
    </row>
    <row r="11031">
      <c r="C11031" s="18" t="n"/>
      <c r="J11031" s="19" t="n"/>
      <c r="P11031" s="20" t="n"/>
      <c r="Q11031" s="19" t="n"/>
      <c r="R11031" s="19" t="n"/>
      <c r="Y11031" s="19" t="n"/>
    </row>
    <row r="11032">
      <c r="C11032" s="18" t="n"/>
      <c r="J11032" s="19" t="n"/>
      <c r="P11032" s="20" t="n"/>
      <c r="Q11032" s="19" t="n"/>
      <c r="R11032" s="19" t="n"/>
      <c r="Y11032" s="19" t="n"/>
    </row>
    <row r="11033">
      <c r="C11033" s="18" t="n"/>
      <c r="J11033" s="19" t="n"/>
      <c r="P11033" s="20" t="n"/>
      <c r="Q11033" s="19" t="n"/>
      <c r="R11033" s="19" t="n"/>
      <c r="Y11033" s="19" t="n"/>
    </row>
    <row r="11034">
      <c r="C11034" s="18" t="n"/>
      <c r="J11034" s="19" t="n"/>
      <c r="P11034" s="20" t="n"/>
      <c r="Q11034" s="19" t="n"/>
      <c r="R11034" s="19" t="n"/>
      <c r="Y11034" s="19" t="n"/>
    </row>
    <row r="11035">
      <c r="C11035" s="18" t="n"/>
      <c r="J11035" s="19" t="n"/>
      <c r="P11035" s="20" t="n"/>
      <c r="Q11035" s="19" t="n"/>
      <c r="R11035" s="19" t="n"/>
      <c r="Y11035" s="19" t="n"/>
    </row>
    <row r="11036">
      <c r="C11036" s="18" t="n"/>
      <c r="J11036" s="19" t="n"/>
      <c r="P11036" s="20" t="n"/>
      <c r="Q11036" s="19" t="n"/>
      <c r="R11036" s="19" t="n"/>
      <c r="Y11036" s="19" t="n"/>
    </row>
    <row r="11037">
      <c r="C11037" s="18" t="n"/>
      <c r="J11037" s="19" t="n"/>
      <c r="P11037" s="20" t="n"/>
      <c r="Q11037" s="19" t="n"/>
      <c r="R11037" s="19" t="n"/>
      <c r="Y11037" s="19" t="n"/>
    </row>
    <row r="11038">
      <c r="C11038" s="18" t="n"/>
      <c r="J11038" s="19" t="n"/>
      <c r="P11038" s="20" t="n"/>
      <c r="Q11038" s="19" t="n"/>
      <c r="R11038" s="19" t="n"/>
      <c r="Y11038" s="19" t="n"/>
    </row>
    <row r="11039">
      <c r="C11039" s="18" t="n"/>
      <c r="J11039" s="19" t="n"/>
      <c r="P11039" s="20" t="n"/>
      <c r="Q11039" s="19" t="n"/>
      <c r="R11039" s="19" t="n"/>
      <c r="Y11039" s="19" t="n"/>
    </row>
    <row r="11040">
      <c r="C11040" s="18" t="n"/>
      <c r="J11040" s="19" t="n"/>
      <c r="P11040" s="20" t="n"/>
      <c r="Q11040" s="19" t="n"/>
      <c r="R11040" s="19" t="n"/>
      <c r="Y11040" s="19" t="n"/>
    </row>
    <row r="11041">
      <c r="C11041" s="18" t="n"/>
      <c r="J11041" s="19" t="n"/>
      <c r="P11041" s="20" t="n"/>
      <c r="Q11041" s="19" t="n"/>
      <c r="R11041" s="19" t="n"/>
      <c r="Y11041" s="19" t="n"/>
    </row>
    <row r="11042">
      <c r="C11042" s="18" t="n"/>
      <c r="J11042" s="19" t="n"/>
      <c r="P11042" s="20" t="n"/>
      <c r="Q11042" s="19" t="n"/>
      <c r="R11042" s="19" t="n"/>
      <c r="Y11042" s="19" t="n"/>
    </row>
    <row r="11043">
      <c r="C11043" s="18" t="n"/>
      <c r="J11043" s="19" t="n"/>
      <c r="P11043" s="20" t="n"/>
      <c r="Q11043" s="19" t="n"/>
      <c r="R11043" s="19" t="n"/>
      <c r="Y11043" s="19" t="n"/>
    </row>
    <row r="11044">
      <c r="C11044" s="18" t="n"/>
      <c r="J11044" s="19" t="n"/>
      <c r="P11044" s="20" t="n"/>
      <c r="Q11044" s="19" t="n"/>
      <c r="R11044" s="19" t="n"/>
      <c r="Y11044" s="19" t="n"/>
    </row>
    <row r="11045">
      <c r="C11045" s="18" t="n"/>
      <c r="J11045" s="19" t="n"/>
      <c r="P11045" s="20" t="n"/>
      <c r="Q11045" s="19" t="n"/>
      <c r="R11045" s="19" t="n"/>
      <c r="Y11045" s="19" t="n"/>
    </row>
    <row r="11046">
      <c r="C11046" s="18" t="n"/>
      <c r="J11046" s="19" t="n"/>
      <c r="P11046" s="20" t="n"/>
      <c r="Q11046" s="19" t="n"/>
      <c r="R11046" s="19" t="n"/>
      <c r="Y11046" s="19" t="n"/>
    </row>
    <row r="11047">
      <c r="C11047" s="18" t="n"/>
      <c r="J11047" s="19" t="n"/>
      <c r="P11047" s="20" t="n"/>
      <c r="Q11047" s="19" t="n"/>
      <c r="R11047" s="19" t="n"/>
      <c r="Y11047" s="19" t="n"/>
    </row>
    <row r="11048">
      <c r="C11048" s="18" t="n"/>
      <c r="J11048" s="19" t="n"/>
      <c r="P11048" s="20" t="n"/>
      <c r="Q11048" s="19" t="n"/>
      <c r="R11048" s="19" t="n"/>
      <c r="Y11048" s="19" t="n"/>
    </row>
    <row r="11049">
      <c r="C11049" s="18" t="n"/>
      <c r="J11049" s="19" t="n"/>
      <c r="P11049" s="20" t="n"/>
      <c r="Q11049" s="19" t="n"/>
      <c r="R11049" s="19" t="n"/>
      <c r="Y11049" s="19" t="n"/>
    </row>
    <row r="11050">
      <c r="C11050" s="18" t="n"/>
      <c r="J11050" s="19" t="n"/>
      <c r="P11050" s="20" t="n"/>
      <c r="Q11050" s="19" t="n"/>
      <c r="R11050" s="19" t="n"/>
      <c r="Y11050" s="19" t="n"/>
    </row>
    <row r="11051">
      <c r="C11051" s="18" t="n"/>
      <c r="J11051" s="19" t="n"/>
      <c r="P11051" s="20" t="n"/>
      <c r="Q11051" s="19" t="n"/>
      <c r="R11051" s="19" t="n"/>
      <c r="Y11051" s="19" t="n"/>
    </row>
    <row r="11052">
      <c r="C11052" s="18" t="n"/>
      <c r="J11052" s="19" t="n"/>
      <c r="P11052" s="20" t="n"/>
      <c r="Q11052" s="19" t="n"/>
      <c r="R11052" s="19" t="n"/>
      <c r="Y11052" s="19" t="n"/>
    </row>
    <row r="11053">
      <c r="C11053" s="18" t="n"/>
      <c r="J11053" s="19" t="n"/>
      <c r="P11053" s="20" t="n"/>
      <c r="Q11053" s="19" t="n"/>
      <c r="R11053" s="19" t="n"/>
      <c r="Y11053" s="19" t="n"/>
    </row>
    <row r="11054">
      <c r="C11054" s="18" t="n"/>
      <c r="J11054" s="19" t="n"/>
      <c r="P11054" s="20" t="n"/>
      <c r="Q11054" s="19" t="n"/>
      <c r="R11054" s="19" t="n"/>
      <c r="Y11054" s="19" t="n"/>
    </row>
    <row r="11055">
      <c r="C11055" s="18" t="n"/>
      <c r="J11055" s="19" t="n"/>
      <c r="P11055" s="20" t="n"/>
      <c r="Q11055" s="19" t="n"/>
      <c r="R11055" s="19" t="n"/>
      <c r="Y11055" s="19" t="n"/>
    </row>
    <row r="11056">
      <c r="C11056" s="18" t="n"/>
      <c r="J11056" s="19" t="n"/>
      <c r="P11056" s="20" t="n"/>
      <c r="Q11056" s="19" t="n"/>
      <c r="R11056" s="19" t="n"/>
      <c r="Y11056" s="19" t="n"/>
    </row>
    <row r="11057">
      <c r="C11057" s="18" t="n"/>
      <c r="J11057" s="19" t="n"/>
      <c r="P11057" s="20" t="n"/>
      <c r="Q11057" s="19" t="n"/>
      <c r="R11057" s="19" t="n"/>
      <c r="Y11057" s="19" t="n"/>
    </row>
    <row r="11058">
      <c r="C11058" s="18" t="n"/>
      <c r="J11058" s="19" t="n"/>
      <c r="P11058" s="20" t="n"/>
      <c r="Q11058" s="19" t="n"/>
      <c r="R11058" s="19" t="n"/>
      <c r="Y11058" s="19" t="n"/>
    </row>
    <row r="11059">
      <c r="C11059" s="18" t="n"/>
      <c r="J11059" s="19" t="n"/>
      <c r="P11059" s="20" t="n"/>
      <c r="Q11059" s="19" t="n"/>
      <c r="R11059" s="19" t="n"/>
      <c r="Y11059" s="19" t="n"/>
    </row>
    <row r="11060">
      <c r="C11060" s="18" t="n"/>
      <c r="J11060" s="19" t="n"/>
      <c r="P11060" s="20" t="n"/>
      <c r="Q11060" s="19" t="n"/>
      <c r="R11060" s="19" t="n"/>
      <c r="Y11060" s="19" t="n"/>
    </row>
    <row r="11061">
      <c r="C11061" s="18" t="n"/>
      <c r="J11061" s="19" t="n"/>
      <c r="P11061" s="20" t="n"/>
      <c r="Q11061" s="19" t="n"/>
      <c r="R11061" s="19" t="n"/>
      <c r="Y11061" s="19" t="n"/>
    </row>
    <row r="11062">
      <c r="C11062" s="18" t="n"/>
      <c r="J11062" s="19" t="n"/>
      <c r="P11062" s="20" t="n"/>
      <c r="Q11062" s="19" t="n"/>
      <c r="R11062" s="19" t="n"/>
      <c r="Y11062" s="19" t="n"/>
    </row>
    <row r="11063">
      <c r="C11063" s="18" t="n"/>
      <c r="J11063" s="19" t="n"/>
      <c r="P11063" s="20" t="n"/>
      <c r="Q11063" s="19" t="n"/>
      <c r="R11063" s="19" t="n"/>
      <c r="Y11063" s="19" t="n"/>
    </row>
    <row r="11064">
      <c r="C11064" s="18" t="n"/>
      <c r="J11064" s="19" t="n"/>
      <c r="P11064" s="20" t="n"/>
      <c r="Q11064" s="19" t="n"/>
      <c r="R11064" s="19" t="n"/>
      <c r="Y11064" s="19" t="n"/>
    </row>
    <row r="11065">
      <c r="C11065" s="18" t="n"/>
      <c r="J11065" s="19" t="n"/>
      <c r="P11065" s="20" t="n"/>
      <c r="Q11065" s="19" t="n"/>
      <c r="R11065" s="19" t="n"/>
      <c r="Y11065" s="19" t="n"/>
    </row>
    <row r="11066">
      <c r="C11066" s="18" t="n"/>
      <c r="J11066" s="19" t="n"/>
      <c r="P11066" s="20" t="n"/>
      <c r="Q11066" s="19" t="n"/>
      <c r="R11066" s="19" t="n"/>
      <c r="Y11066" s="19" t="n"/>
    </row>
    <row r="11067">
      <c r="C11067" s="18" t="n"/>
      <c r="J11067" s="19" t="n"/>
      <c r="P11067" s="20" t="n"/>
      <c r="Q11067" s="19" t="n"/>
      <c r="R11067" s="19" t="n"/>
      <c r="Y11067" s="19" t="n"/>
    </row>
    <row r="11068">
      <c r="C11068" s="18" t="n"/>
      <c r="J11068" s="19" t="n"/>
      <c r="P11068" s="20" t="n"/>
      <c r="Q11068" s="19" t="n"/>
      <c r="R11068" s="19" t="n"/>
      <c r="Y11068" s="19" t="n"/>
    </row>
    <row r="11069">
      <c r="C11069" s="18" t="n"/>
      <c r="J11069" s="19" t="n"/>
      <c r="P11069" s="20" t="n"/>
      <c r="Q11069" s="19" t="n"/>
      <c r="R11069" s="19" t="n"/>
      <c r="Y11069" s="19" t="n"/>
    </row>
    <row r="11070">
      <c r="C11070" s="18" t="n"/>
      <c r="J11070" s="19" t="n"/>
      <c r="P11070" s="20" t="n"/>
      <c r="Q11070" s="19" t="n"/>
      <c r="R11070" s="19" t="n"/>
      <c r="Y11070" s="19" t="n"/>
    </row>
    <row r="11071">
      <c r="C11071" s="18" t="n"/>
      <c r="J11071" s="19" t="n"/>
      <c r="P11071" s="20" t="n"/>
      <c r="Q11071" s="19" t="n"/>
      <c r="R11071" s="19" t="n"/>
      <c r="Y11071" s="19" t="n"/>
    </row>
    <row r="11072">
      <c r="C11072" s="18" t="n"/>
      <c r="J11072" s="19" t="n"/>
      <c r="P11072" s="20" t="n"/>
      <c r="Q11072" s="19" t="n"/>
      <c r="R11072" s="19" t="n"/>
      <c r="Y11072" s="19" t="n"/>
    </row>
    <row r="11073">
      <c r="C11073" s="18" t="n"/>
      <c r="J11073" s="19" t="n"/>
      <c r="P11073" s="20" t="n"/>
      <c r="Q11073" s="19" t="n"/>
      <c r="R11073" s="19" t="n"/>
      <c r="Y11073" s="19" t="n"/>
    </row>
    <row r="11074">
      <c r="C11074" s="18" t="n"/>
      <c r="J11074" s="19" t="n"/>
      <c r="P11074" s="20" t="n"/>
      <c r="Q11074" s="19" t="n"/>
      <c r="R11074" s="19" t="n"/>
      <c r="Y11074" s="19" t="n"/>
    </row>
    <row r="11075">
      <c r="C11075" s="18" t="n"/>
      <c r="J11075" s="19" t="n"/>
      <c r="P11075" s="20" t="n"/>
      <c r="Q11075" s="19" t="n"/>
      <c r="R11075" s="19" t="n"/>
      <c r="Y11075" s="19" t="n"/>
    </row>
    <row r="11076">
      <c r="C11076" s="18" t="n"/>
      <c r="J11076" s="19" t="n"/>
      <c r="P11076" s="20" t="n"/>
      <c r="Q11076" s="19" t="n"/>
      <c r="R11076" s="19" t="n"/>
      <c r="Y11076" s="19" t="n"/>
    </row>
    <row r="11077">
      <c r="C11077" s="18" t="n"/>
      <c r="J11077" s="19" t="n"/>
      <c r="P11077" s="20" t="n"/>
      <c r="Q11077" s="19" t="n"/>
      <c r="R11077" s="19" t="n"/>
      <c r="Y11077" s="19" t="n"/>
    </row>
    <row r="11078">
      <c r="C11078" s="18" t="n"/>
      <c r="J11078" s="19" t="n"/>
      <c r="P11078" s="20" t="n"/>
      <c r="Q11078" s="19" t="n"/>
      <c r="R11078" s="19" t="n"/>
      <c r="Y11078" s="19" t="n"/>
    </row>
    <row r="11079">
      <c r="C11079" s="18" t="n"/>
      <c r="J11079" s="19" t="n"/>
      <c r="P11079" s="20" t="n"/>
      <c r="Q11079" s="19" t="n"/>
      <c r="R11079" s="19" t="n"/>
      <c r="Y11079" s="19" t="n"/>
    </row>
    <row r="11080">
      <c r="C11080" s="18" t="n"/>
      <c r="J11080" s="19" t="n"/>
      <c r="P11080" s="20" t="n"/>
      <c r="Q11080" s="19" t="n"/>
      <c r="R11080" s="19" t="n"/>
      <c r="Y11080" s="19" t="n"/>
    </row>
    <row r="11081">
      <c r="C11081" s="18" t="n"/>
      <c r="J11081" s="19" t="n"/>
      <c r="P11081" s="20" t="n"/>
      <c r="Q11081" s="19" t="n"/>
      <c r="R11081" s="19" t="n"/>
      <c r="Y11081" s="19" t="n"/>
    </row>
    <row r="11082">
      <c r="C11082" s="18" t="n"/>
      <c r="J11082" s="19" t="n"/>
      <c r="P11082" s="20" t="n"/>
      <c r="Q11082" s="19" t="n"/>
      <c r="R11082" s="19" t="n"/>
      <c r="Y11082" s="19" t="n"/>
    </row>
    <row r="11083">
      <c r="C11083" s="18" t="n"/>
      <c r="J11083" s="19" t="n"/>
      <c r="P11083" s="20" t="n"/>
      <c r="Q11083" s="19" t="n"/>
      <c r="R11083" s="19" t="n"/>
      <c r="Y11083" s="19" t="n"/>
    </row>
    <row r="11084">
      <c r="C11084" s="18" t="n"/>
      <c r="J11084" s="19" t="n"/>
      <c r="P11084" s="20" t="n"/>
      <c r="Q11084" s="19" t="n"/>
      <c r="R11084" s="19" t="n"/>
      <c r="Y11084" s="19" t="n"/>
    </row>
    <row r="11085">
      <c r="C11085" s="18" t="n"/>
      <c r="J11085" s="19" t="n"/>
      <c r="P11085" s="20" t="n"/>
      <c r="Q11085" s="19" t="n"/>
      <c r="R11085" s="19" t="n"/>
      <c r="Y11085" s="19" t="n"/>
    </row>
    <row r="11086">
      <c r="C11086" s="18" t="n"/>
      <c r="J11086" s="19" t="n"/>
      <c r="P11086" s="20" t="n"/>
      <c r="Q11086" s="19" t="n"/>
      <c r="R11086" s="19" t="n"/>
      <c r="Y11086" s="19" t="n"/>
    </row>
    <row r="11087">
      <c r="C11087" s="18" t="n"/>
      <c r="J11087" s="19" t="n"/>
      <c r="P11087" s="20" t="n"/>
      <c r="Q11087" s="19" t="n"/>
      <c r="R11087" s="19" t="n"/>
      <c r="Y11087" s="19" t="n"/>
    </row>
    <row r="11088">
      <c r="C11088" s="18" t="n"/>
      <c r="J11088" s="19" t="n"/>
      <c r="P11088" s="20" t="n"/>
      <c r="Q11088" s="19" t="n"/>
      <c r="R11088" s="19" t="n"/>
      <c r="Y11088" s="19" t="n"/>
    </row>
    <row r="11089">
      <c r="C11089" s="18" t="n"/>
      <c r="J11089" s="19" t="n"/>
      <c r="P11089" s="20" t="n"/>
      <c r="Q11089" s="19" t="n"/>
      <c r="R11089" s="19" t="n"/>
      <c r="Y11089" s="19" t="n"/>
    </row>
    <row r="11090">
      <c r="C11090" s="18" t="n"/>
      <c r="J11090" s="19" t="n"/>
      <c r="P11090" s="20" t="n"/>
      <c r="Q11090" s="19" t="n"/>
      <c r="R11090" s="19" t="n"/>
      <c r="Y11090" s="19" t="n"/>
    </row>
    <row r="11091">
      <c r="C11091" s="18" t="n"/>
      <c r="J11091" s="19" t="n"/>
      <c r="P11091" s="20" t="n"/>
      <c r="Q11091" s="19" t="n"/>
      <c r="R11091" s="19" t="n"/>
      <c r="Y11091" s="19" t="n"/>
    </row>
    <row r="11092">
      <c r="C11092" s="18" t="n"/>
      <c r="J11092" s="19" t="n"/>
      <c r="P11092" s="20" t="n"/>
      <c r="Q11092" s="19" t="n"/>
      <c r="R11092" s="19" t="n"/>
      <c r="Y11092" s="19" t="n"/>
    </row>
    <row r="11093">
      <c r="C11093" s="18" t="n"/>
      <c r="J11093" s="19" t="n"/>
      <c r="P11093" s="20" t="n"/>
      <c r="Q11093" s="19" t="n"/>
      <c r="R11093" s="19" t="n"/>
      <c r="Y11093" s="19" t="n"/>
    </row>
    <row r="11094">
      <c r="C11094" s="18" t="n"/>
      <c r="J11094" s="19" t="n"/>
      <c r="P11094" s="20" t="n"/>
      <c r="Q11094" s="19" t="n"/>
      <c r="R11094" s="19" t="n"/>
      <c r="Y11094" s="19" t="n"/>
    </row>
    <row r="11095">
      <c r="C11095" s="18" t="n"/>
      <c r="J11095" s="19" t="n"/>
      <c r="P11095" s="20" t="n"/>
      <c r="Q11095" s="19" t="n"/>
      <c r="R11095" s="19" t="n"/>
      <c r="Y11095" s="19" t="n"/>
    </row>
    <row r="11096">
      <c r="C11096" s="18" t="n"/>
      <c r="J11096" s="19" t="n"/>
      <c r="P11096" s="20" t="n"/>
      <c r="Q11096" s="19" t="n"/>
      <c r="R11096" s="19" t="n"/>
      <c r="Y11096" s="19" t="n"/>
    </row>
    <row r="11097">
      <c r="C11097" s="18" t="n"/>
      <c r="J11097" s="19" t="n"/>
      <c r="P11097" s="20" t="n"/>
      <c r="Q11097" s="19" t="n"/>
      <c r="R11097" s="19" t="n"/>
      <c r="Y11097" s="19" t="n"/>
    </row>
    <row r="11098">
      <c r="C11098" s="18" t="n"/>
      <c r="J11098" s="19" t="n"/>
      <c r="P11098" s="20" t="n"/>
      <c r="Q11098" s="19" t="n"/>
      <c r="R11098" s="19" t="n"/>
      <c r="Y11098" s="19" t="n"/>
    </row>
    <row r="11099">
      <c r="C11099" s="18" t="n"/>
      <c r="J11099" s="19" t="n"/>
      <c r="P11099" s="20" t="n"/>
      <c r="Q11099" s="19" t="n"/>
      <c r="R11099" s="19" t="n"/>
      <c r="Y11099" s="19" t="n"/>
    </row>
    <row r="11100">
      <c r="C11100" s="18" t="n"/>
      <c r="J11100" s="19" t="n"/>
      <c r="P11100" s="20" t="n"/>
      <c r="Q11100" s="19" t="n"/>
      <c r="R11100" s="19" t="n"/>
      <c r="Y11100" s="19" t="n"/>
    </row>
    <row r="11101">
      <c r="C11101" s="18" t="n"/>
      <c r="J11101" s="19" t="n"/>
      <c r="P11101" s="20" t="n"/>
      <c r="Q11101" s="19" t="n"/>
      <c r="R11101" s="19" t="n"/>
      <c r="Y11101" s="19" t="n"/>
    </row>
    <row r="11102">
      <c r="C11102" s="18" t="n"/>
      <c r="J11102" s="19" t="n"/>
      <c r="P11102" s="20" t="n"/>
      <c r="Q11102" s="19" t="n"/>
      <c r="R11102" s="19" t="n"/>
      <c r="Y11102" s="19" t="n"/>
    </row>
    <row r="11103">
      <c r="C11103" s="18" t="n"/>
      <c r="J11103" s="19" t="n"/>
      <c r="P11103" s="20" t="n"/>
      <c r="Q11103" s="19" t="n"/>
      <c r="R11103" s="19" t="n"/>
      <c r="Y11103" s="19" t="n"/>
    </row>
    <row r="11104">
      <c r="C11104" s="18" t="n"/>
      <c r="J11104" s="19" t="n"/>
      <c r="P11104" s="20" t="n"/>
      <c r="Q11104" s="19" t="n"/>
      <c r="R11104" s="19" t="n"/>
      <c r="Y11104" s="19" t="n"/>
    </row>
    <row r="11105">
      <c r="C11105" s="18" t="n"/>
      <c r="J11105" s="19" t="n"/>
      <c r="P11105" s="20" t="n"/>
      <c r="Q11105" s="19" t="n"/>
      <c r="R11105" s="19" t="n"/>
      <c r="Y11105" s="19" t="n"/>
    </row>
    <row r="11106">
      <c r="C11106" s="18" t="n"/>
      <c r="J11106" s="19" t="n"/>
      <c r="P11106" s="20" t="n"/>
      <c r="Q11106" s="19" t="n"/>
      <c r="R11106" s="19" t="n"/>
      <c r="Y11106" s="19" t="n"/>
    </row>
    <row r="11107">
      <c r="C11107" s="18" t="n"/>
      <c r="J11107" s="19" t="n"/>
      <c r="P11107" s="20" t="n"/>
      <c r="Q11107" s="19" t="n"/>
      <c r="R11107" s="19" t="n"/>
      <c r="Y11107" s="19" t="n"/>
    </row>
    <row r="11108">
      <c r="C11108" s="18" t="n"/>
      <c r="J11108" s="19" t="n"/>
      <c r="P11108" s="20" t="n"/>
      <c r="Q11108" s="19" t="n"/>
      <c r="R11108" s="19" t="n"/>
      <c r="Y11108" s="19" t="n"/>
    </row>
    <row r="11109">
      <c r="C11109" s="18" t="n"/>
      <c r="J11109" s="19" t="n"/>
      <c r="P11109" s="20" t="n"/>
      <c r="Q11109" s="19" t="n"/>
      <c r="R11109" s="19" t="n"/>
      <c r="Y11109" s="19" t="n"/>
    </row>
    <row r="11110">
      <c r="C11110" s="18" t="n"/>
      <c r="J11110" s="19" t="n"/>
      <c r="P11110" s="20" t="n"/>
      <c r="Q11110" s="19" t="n"/>
      <c r="R11110" s="19" t="n"/>
      <c r="Y11110" s="19" t="n"/>
    </row>
    <row r="11111">
      <c r="C11111" s="18" t="n"/>
      <c r="J11111" s="19" t="n"/>
      <c r="P11111" s="20" t="n"/>
      <c r="Q11111" s="19" t="n"/>
      <c r="R11111" s="19" t="n"/>
      <c r="Y11111" s="19" t="n"/>
    </row>
    <row r="11112">
      <c r="C11112" s="18" t="n"/>
      <c r="J11112" s="19" t="n"/>
      <c r="P11112" s="20" t="n"/>
      <c r="Q11112" s="19" t="n"/>
      <c r="R11112" s="19" t="n"/>
      <c r="Y11112" s="19" t="n"/>
    </row>
    <row r="11113">
      <c r="C11113" s="18" t="n"/>
      <c r="J11113" s="19" t="n"/>
      <c r="P11113" s="20" t="n"/>
      <c r="Q11113" s="19" t="n"/>
      <c r="R11113" s="19" t="n"/>
      <c r="Y11113" s="19" t="n"/>
    </row>
    <row r="11114">
      <c r="C11114" s="18" t="n"/>
      <c r="J11114" s="19" t="n"/>
      <c r="P11114" s="20" t="n"/>
      <c r="Q11114" s="19" t="n"/>
      <c r="R11114" s="19" t="n"/>
      <c r="Y11114" s="19" t="n"/>
    </row>
    <row r="11115">
      <c r="C11115" s="18" t="n"/>
      <c r="J11115" s="19" t="n"/>
      <c r="P11115" s="20" t="n"/>
      <c r="Q11115" s="19" t="n"/>
      <c r="R11115" s="19" t="n"/>
      <c r="Y11115" s="19" t="n"/>
    </row>
    <row r="11116">
      <c r="C11116" s="18" t="n"/>
      <c r="J11116" s="19" t="n"/>
      <c r="P11116" s="20" t="n"/>
      <c r="Q11116" s="19" t="n"/>
      <c r="R11116" s="19" t="n"/>
      <c r="Y11116" s="19" t="n"/>
    </row>
    <row r="11117">
      <c r="C11117" s="18" t="n"/>
      <c r="J11117" s="19" t="n"/>
      <c r="P11117" s="20" t="n"/>
      <c r="Q11117" s="19" t="n"/>
      <c r="R11117" s="19" t="n"/>
      <c r="Y11117" s="19" t="n"/>
    </row>
    <row r="11118">
      <c r="C11118" s="18" t="n"/>
      <c r="J11118" s="19" t="n"/>
      <c r="P11118" s="20" t="n"/>
      <c r="Q11118" s="19" t="n"/>
      <c r="R11118" s="19" t="n"/>
      <c r="Y11118" s="19" t="n"/>
    </row>
    <row r="11119">
      <c r="C11119" s="18" t="n"/>
      <c r="J11119" s="19" t="n"/>
      <c r="P11119" s="20" t="n"/>
      <c r="Q11119" s="19" t="n"/>
      <c r="R11119" s="19" t="n"/>
      <c r="Y11119" s="19" t="n"/>
    </row>
    <row r="11120">
      <c r="C11120" s="18" t="n"/>
      <c r="J11120" s="19" t="n"/>
      <c r="P11120" s="20" t="n"/>
      <c r="Q11120" s="19" t="n"/>
      <c r="R11120" s="19" t="n"/>
      <c r="Y11120" s="19" t="n"/>
    </row>
    <row r="11121">
      <c r="C11121" s="18" t="n"/>
      <c r="J11121" s="19" t="n"/>
      <c r="P11121" s="20" t="n"/>
      <c r="Q11121" s="19" t="n"/>
      <c r="R11121" s="19" t="n"/>
      <c r="Y11121" s="19" t="n"/>
    </row>
    <row r="11122">
      <c r="C11122" s="18" t="n"/>
      <c r="J11122" s="19" t="n"/>
      <c r="P11122" s="20" t="n"/>
      <c r="Q11122" s="19" t="n"/>
      <c r="R11122" s="19" t="n"/>
      <c r="Y11122" s="19" t="n"/>
    </row>
    <row r="11123">
      <c r="C11123" s="18" t="n"/>
      <c r="J11123" s="19" t="n"/>
      <c r="P11123" s="20" t="n"/>
      <c r="Q11123" s="19" t="n"/>
      <c r="R11123" s="19" t="n"/>
      <c r="Y11123" s="19" t="n"/>
    </row>
    <row r="11124">
      <c r="C11124" s="18" t="n"/>
      <c r="J11124" s="19" t="n"/>
      <c r="P11124" s="20" t="n"/>
      <c r="Q11124" s="19" t="n"/>
      <c r="R11124" s="19" t="n"/>
      <c r="Y11124" s="19" t="n"/>
    </row>
    <row r="11125">
      <c r="C11125" s="18" t="n"/>
      <c r="J11125" s="19" t="n"/>
      <c r="P11125" s="20" t="n"/>
      <c r="Q11125" s="19" t="n"/>
      <c r="R11125" s="19" t="n"/>
      <c r="Y11125" s="19" t="n"/>
    </row>
    <row r="11126">
      <c r="C11126" s="18" t="n"/>
      <c r="J11126" s="19" t="n"/>
      <c r="P11126" s="20" t="n"/>
      <c r="Q11126" s="19" t="n"/>
      <c r="R11126" s="19" t="n"/>
      <c r="Y11126" s="19" t="n"/>
    </row>
    <row r="11127">
      <c r="C11127" s="18" t="n"/>
      <c r="J11127" s="19" t="n"/>
      <c r="P11127" s="20" t="n"/>
      <c r="Q11127" s="19" t="n"/>
      <c r="R11127" s="19" t="n"/>
      <c r="Y11127" s="19" t="n"/>
    </row>
    <row r="11128">
      <c r="C11128" s="18" t="n"/>
      <c r="J11128" s="19" t="n"/>
      <c r="P11128" s="20" t="n"/>
      <c r="Q11128" s="19" t="n"/>
      <c r="R11128" s="19" t="n"/>
      <c r="Y11128" s="19" t="n"/>
    </row>
    <row r="11129">
      <c r="C11129" s="18" t="n"/>
      <c r="J11129" s="19" t="n"/>
      <c r="P11129" s="20" t="n"/>
      <c r="Q11129" s="19" t="n"/>
      <c r="R11129" s="19" t="n"/>
      <c r="Y11129" s="19" t="n"/>
    </row>
    <row r="11130">
      <c r="C11130" s="18" t="n"/>
      <c r="J11130" s="19" t="n"/>
      <c r="P11130" s="20" t="n"/>
      <c r="Q11130" s="19" t="n"/>
      <c r="R11130" s="19" t="n"/>
      <c r="Y11130" s="19" t="n"/>
    </row>
    <row r="11131">
      <c r="C11131" s="18" t="n"/>
      <c r="J11131" s="19" t="n"/>
      <c r="P11131" s="20" t="n"/>
      <c r="Q11131" s="19" t="n"/>
      <c r="R11131" s="19" t="n"/>
      <c r="Y11131" s="19" t="n"/>
    </row>
    <row r="11132">
      <c r="C11132" s="18" t="n"/>
      <c r="J11132" s="19" t="n"/>
      <c r="P11132" s="20" t="n"/>
      <c r="Q11132" s="19" t="n"/>
      <c r="R11132" s="19" t="n"/>
      <c r="Y11132" s="19" t="n"/>
    </row>
    <row r="11133">
      <c r="C11133" s="18" t="n"/>
      <c r="J11133" s="19" t="n"/>
      <c r="P11133" s="20" t="n"/>
      <c r="Q11133" s="19" t="n"/>
      <c r="R11133" s="19" t="n"/>
      <c r="Y11133" s="19" t="n"/>
    </row>
    <row r="11134">
      <c r="C11134" s="18" t="n"/>
      <c r="J11134" s="19" t="n"/>
      <c r="P11134" s="20" t="n"/>
      <c r="Q11134" s="19" t="n"/>
      <c r="R11134" s="19" t="n"/>
      <c r="Y11134" s="19" t="n"/>
    </row>
    <row r="11135">
      <c r="C11135" s="18" t="n"/>
      <c r="J11135" s="19" t="n"/>
      <c r="P11135" s="20" t="n"/>
      <c r="Q11135" s="19" t="n"/>
      <c r="R11135" s="19" t="n"/>
      <c r="Y11135" s="19" t="n"/>
    </row>
    <row r="11136">
      <c r="C11136" s="18" t="n"/>
      <c r="J11136" s="19" t="n"/>
      <c r="P11136" s="20" t="n"/>
      <c r="Q11136" s="19" t="n"/>
      <c r="R11136" s="19" t="n"/>
      <c r="Y11136" s="19" t="n"/>
    </row>
    <row r="11137">
      <c r="C11137" s="18" t="n"/>
      <c r="J11137" s="19" t="n"/>
      <c r="P11137" s="20" t="n"/>
      <c r="Q11137" s="19" t="n"/>
      <c r="R11137" s="19" t="n"/>
      <c r="Y11137" s="19" t="n"/>
    </row>
    <row r="11138">
      <c r="C11138" s="18" t="n"/>
      <c r="J11138" s="19" t="n"/>
      <c r="P11138" s="20" t="n"/>
      <c r="Q11138" s="19" t="n"/>
      <c r="R11138" s="19" t="n"/>
      <c r="Y11138" s="19" t="n"/>
    </row>
    <row r="11139">
      <c r="C11139" s="18" t="n"/>
      <c r="J11139" s="19" t="n"/>
      <c r="P11139" s="20" t="n"/>
      <c r="Q11139" s="19" t="n"/>
      <c r="R11139" s="19" t="n"/>
      <c r="Y11139" s="19" t="n"/>
    </row>
    <row r="11140">
      <c r="C11140" s="18" t="n"/>
      <c r="J11140" s="19" t="n"/>
      <c r="P11140" s="20" t="n"/>
      <c r="Q11140" s="19" t="n"/>
      <c r="R11140" s="19" t="n"/>
      <c r="Y11140" s="19" t="n"/>
    </row>
    <row r="11141">
      <c r="C11141" s="18" t="n"/>
      <c r="J11141" s="19" t="n"/>
      <c r="P11141" s="20" t="n"/>
      <c r="Q11141" s="19" t="n"/>
      <c r="R11141" s="19" t="n"/>
      <c r="Y11141" s="19" t="n"/>
    </row>
    <row r="11142">
      <c r="C11142" s="18" t="n"/>
      <c r="J11142" s="19" t="n"/>
      <c r="P11142" s="20" t="n"/>
      <c r="Q11142" s="19" t="n"/>
      <c r="R11142" s="19" t="n"/>
      <c r="Y11142" s="19" t="n"/>
    </row>
    <row r="11143">
      <c r="C11143" s="18" t="n"/>
      <c r="J11143" s="19" t="n"/>
      <c r="P11143" s="20" t="n"/>
      <c r="Q11143" s="19" t="n"/>
      <c r="R11143" s="19" t="n"/>
      <c r="Y11143" s="19" t="n"/>
    </row>
    <row r="11144">
      <c r="C11144" s="18" t="n"/>
      <c r="J11144" s="19" t="n"/>
      <c r="P11144" s="20" t="n"/>
      <c r="Q11144" s="19" t="n"/>
      <c r="R11144" s="19" t="n"/>
      <c r="Y11144" s="19" t="n"/>
    </row>
    <row r="11145">
      <c r="C11145" s="18" t="n"/>
      <c r="J11145" s="19" t="n"/>
      <c r="P11145" s="20" t="n"/>
      <c r="Q11145" s="19" t="n"/>
      <c r="R11145" s="19" t="n"/>
      <c r="Y11145" s="19" t="n"/>
    </row>
    <row r="11146">
      <c r="C11146" s="18" t="n"/>
      <c r="J11146" s="19" t="n"/>
      <c r="P11146" s="20" t="n"/>
      <c r="Q11146" s="19" t="n"/>
      <c r="R11146" s="19" t="n"/>
      <c r="Y11146" s="19" t="n"/>
    </row>
    <row r="11147">
      <c r="C11147" s="18" t="n"/>
      <c r="J11147" s="19" t="n"/>
      <c r="P11147" s="20" t="n"/>
      <c r="Q11147" s="19" t="n"/>
      <c r="R11147" s="19" t="n"/>
      <c r="Y11147" s="19" t="n"/>
    </row>
    <row r="11148">
      <c r="C11148" s="18" t="n"/>
      <c r="J11148" s="19" t="n"/>
      <c r="P11148" s="20" t="n"/>
      <c r="Q11148" s="19" t="n"/>
      <c r="R11148" s="19" t="n"/>
      <c r="Y11148" s="19" t="n"/>
    </row>
    <row r="11149">
      <c r="C11149" s="18" t="n"/>
      <c r="J11149" s="19" t="n"/>
      <c r="P11149" s="20" t="n"/>
      <c r="Q11149" s="19" t="n"/>
      <c r="R11149" s="19" t="n"/>
      <c r="Y11149" s="19" t="n"/>
    </row>
    <row r="11150">
      <c r="C11150" s="18" t="n"/>
      <c r="J11150" s="19" t="n"/>
      <c r="P11150" s="20" t="n"/>
      <c r="Q11150" s="19" t="n"/>
      <c r="R11150" s="19" t="n"/>
      <c r="Y11150" s="19" t="n"/>
    </row>
    <row r="11151">
      <c r="C11151" s="18" t="n"/>
      <c r="J11151" s="19" t="n"/>
      <c r="P11151" s="20" t="n"/>
      <c r="Q11151" s="19" t="n"/>
      <c r="R11151" s="19" t="n"/>
      <c r="Y11151" s="19" t="n"/>
    </row>
    <row r="11152">
      <c r="C11152" s="18" t="n"/>
      <c r="J11152" s="19" t="n"/>
      <c r="P11152" s="20" t="n"/>
      <c r="Q11152" s="19" t="n"/>
      <c r="R11152" s="19" t="n"/>
      <c r="Y11152" s="19" t="n"/>
    </row>
    <row r="11153">
      <c r="C11153" s="18" t="n"/>
      <c r="J11153" s="19" t="n"/>
      <c r="P11153" s="20" t="n"/>
      <c r="Q11153" s="19" t="n"/>
      <c r="R11153" s="19" t="n"/>
      <c r="Y11153" s="19" t="n"/>
    </row>
    <row r="11154">
      <c r="C11154" s="18" t="n"/>
      <c r="J11154" s="19" t="n"/>
      <c r="P11154" s="20" t="n"/>
      <c r="Q11154" s="19" t="n"/>
      <c r="R11154" s="19" t="n"/>
      <c r="Y11154" s="19" t="n"/>
    </row>
    <row r="11155">
      <c r="C11155" s="18" t="n"/>
      <c r="J11155" s="19" t="n"/>
      <c r="P11155" s="20" t="n"/>
      <c r="Q11155" s="19" t="n"/>
      <c r="R11155" s="19" t="n"/>
      <c r="Y11155" s="19" t="n"/>
    </row>
    <row r="11156">
      <c r="C11156" s="18" t="n"/>
      <c r="J11156" s="19" t="n"/>
      <c r="P11156" s="20" t="n"/>
      <c r="Q11156" s="19" t="n"/>
      <c r="R11156" s="19" t="n"/>
      <c r="Y11156" s="19" t="n"/>
    </row>
    <row r="11157">
      <c r="C11157" s="18" t="n"/>
      <c r="J11157" s="19" t="n"/>
      <c r="P11157" s="20" t="n"/>
      <c r="Q11157" s="19" t="n"/>
      <c r="R11157" s="19" t="n"/>
      <c r="Y11157" s="19" t="n"/>
    </row>
    <row r="11158">
      <c r="C11158" s="18" t="n"/>
      <c r="J11158" s="19" t="n"/>
      <c r="P11158" s="20" t="n"/>
      <c r="Q11158" s="19" t="n"/>
      <c r="R11158" s="19" t="n"/>
      <c r="Y11158" s="19" t="n"/>
    </row>
    <row r="11159">
      <c r="C11159" s="18" t="n"/>
      <c r="J11159" s="19" t="n"/>
      <c r="P11159" s="20" t="n"/>
      <c r="Q11159" s="19" t="n"/>
      <c r="R11159" s="19" t="n"/>
      <c r="Y11159" s="19" t="n"/>
    </row>
    <row r="11160">
      <c r="C11160" s="18" t="n"/>
      <c r="J11160" s="19" t="n"/>
      <c r="P11160" s="20" t="n"/>
      <c r="Q11160" s="19" t="n"/>
      <c r="R11160" s="19" t="n"/>
      <c r="Y11160" s="19" t="n"/>
    </row>
    <row r="11161">
      <c r="C11161" s="18" t="n"/>
      <c r="J11161" s="19" t="n"/>
      <c r="P11161" s="20" t="n"/>
      <c r="Q11161" s="19" t="n"/>
      <c r="R11161" s="19" t="n"/>
      <c r="Y11161" s="19" t="n"/>
    </row>
    <row r="11162">
      <c r="C11162" s="18" t="n"/>
      <c r="J11162" s="19" t="n"/>
      <c r="P11162" s="20" t="n"/>
      <c r="Q11162" s="19" t="n"/>
      <c r="R11162" s="19" t="n"/>
      <c r="Y11162" s="19" t="n"/>
    </row>
    <row r="11163">
      <c r="C11163" s="18" t="n"/>
      <c r="J11163" s="19" t="n"/>
      <c r="P11163" s="20" t="n"/>
      <c r="Q11163" s="19" t="n"/>
      <c r="R11163" s="19" t="n"/>
      <c r="Y11163" s="19" t="n"/>
    </row>
    <row r="11164">
      <c r="C11164" s="18" t="n"/>
      <c r="J11164" s="19" t="n"/>
      <c r="P11164" s="20" t="n"/>
      <c r="Q11164" s="19" t="n"/>
      <c r="R11164" s="19" t="n"/>
      <c r="Y11164" s="19" t="n"/>
    </row>
    <row r="11165">
      <c r="C11165" s="18" t="n"/>
      <c r="J11165" s="19" t="n"/>
      <c r="P11165" s="20" t="n"/>
      <c r="Q11165" s="19" t="n"/>
      <c r="R11165" s="19" t="n"/>
      <c r="Y11165" s="19" t="n"/>
    </row>
    <row r="11166">
      <c r="C11166" s="18" t="n"/>
      <c r="J11166" s="19" t="n"/>
      <c r="P11166" s="20" t="n"/>
      <c r="Q11166" s="19" t="n"/>
      <c r="R11166" s="19" t="n"/>
      <c r="Y11166" s="19" t="n"/>
    </row>
    <row r="11167">
      <c r="C11167" s="18" t="n"/>
      <c r="J11167" s="19" t="n"/>
      <c r="P11167" s="20" t="n"/>
      <c r="Q11167" s="19" t="n"/>
      <c r="R11167" s="19" t="n"/>
      <c r="Y11167" s="19" t="n"/>
    </row>
    <row r="11168">
      <c r="C11168" s="18" t="n"/>
      <c r="J11168" s="19" t="n"/>
      <c r="P11168" s="20" t="n"/>
      <c r="Q11168" s="19" t="n"/>
      <c r="R11168" s="19" t="n"/>
      <c r="Y11168" s="19" t="n"/>
    </row>
    <row r="11169">
      <c r="C11169" s="18" t="n"/>
      <c r="J11169" s="19" t="n"/>
      <c r="P11169" s="20" t="n"/>
      <c r="Q11169" s="19" t="n"/>
      <c r="R11169" s="19" t="n"/>
      <c r="Y11169" s="19" t="n"/>
    </row>
    <row r="11170">
      <c r="C11170" s="18" t="n"/>
      <c r="J11170" s="19" t="n"/>
      <c r="P11170" s="20" t="n"/>
      <c r="Q11170" s="19" t="n"/>
      <c r="R11170" s="19" t="n"/>
      <c r="Y11170" s="19" t="n"/>
    </row>
    <row r="11171">
      <c r="C11171" s="18" t="n"/>
      <c r="J11171" s="19" t="n"/>
      <c r="P11171" s="20" t="n"/>
      <c r="Q11171" s="19" t="n"/>
      <c r="R11171" s="19" t="n"/>
      <c r="Y11171" s="19" t="n"/>
    </row>
    <row r="11172">
      <c r="C11172" s="18" t="n"/>
      <c r="J11172" s="19" t="n"/>
      <c r="P11172" s="20" t="n"/>
      <c r="Q11172" s="19" t="n"/>
      <c r="R11172" s="19" t="n"/>
      <c r="Y11172" s="19" t="n"/>
    </row>
    <row r="11173">
      <c r="C11173" s="18" t="n"/>
      <c r="J11173" s="19" t="n"/>
      <c r="P11173" s="20" t="n"/>
      <c r="Q11173" s="19" t="n"/>
      <c r="R11173" s="19" t="n"/>
      <c r="Y11173" s="19" t="n"/>
    </row>
    <row r="11174">
      <c r="C11174" s="18" t="n"/>
      <c r="J11174" s="19" t="n"/>
      <c r="P11174" s="20" t="n"/>
      <c r="Q11174" s="19" t="n"/>
      <c r="R11174" s="19" t="n"/>
      <c r="Y11174" s="19" t="n"/>
    </row>
    <row r="11175">
      <c r="C11175" s="18" t="n"/>
      <c r="J11175" s="19" t="n"/>
      <c r="P11175" s="20" t="n"/>
      <c r="Q11175" s="19" t="n"/>
      <c r="R11175" s="19" t="n"/>
      <c r="Y11175" s="19" t="n"/>
    </row>
    <row r="11176">
      <c r="C11176" s="18" t="n"/>
      <c r="J11176" s="19" t="n"/>
      <c r="P11176" s="20" t="n"/>
      <c r="Q11176" s="19" t="n"/>
      <c r="R11176" s="19" t="n"/>
      <c r="Y11176" s="19" t="n"/>
    </row>
    <row r="11177">
      <c r="C11177" s="18" t="n"/>
      <c r="J11177" s="19" t="n"/>
      <c r="P11177" s="20" t="n"/>
      <c r="Q11177" s="19" t="n"/>
      <c r="R11177" s="19" t="n"/>
      <c r="Y11177" s="19" t="n"/>
    </row>
    <row r="11178">
      <c r="C11178" s="18" t="n"/>
      <c r="J11178" s="19" t="n"/>
      <c r="P11178" s="20" t="n"/>
      <c r="Q11178" s="19" t="n"/>
      <c r="R11178" s="19" t="n"/>
      <c r="Y11178" s="19" t="n"/>
    </row>
    <row r="11179">
      <c r="C11179" s="18" t="n"/>
      <c r="J11179" s="19" t="n"/>
      <c r="P11179" s="20" t="n"/>
      <c r="Q11179" s="19" t="n"/>
      <c r="R11179" s="19" t="n"/>
      <c r="Y11179" s="19" t="n"/>
    </row>
    <row r="11180">
      <c r="C11180" s="18" t="n"/>
      <c r="J11180" s="19" t="n"/>
      <c r="P11180" s="20" t="n"/>
      <c r="Q11180" s="19" t="n"/>
      <c r="R11180" s="19" t="n"/>
      <c r="Y11180" s="19" t="n"/>
    </row>
    <row r="11181">
      <c r="C11181" s="18" t="n"/>
      <c r="J11181" s="19" t="n"/>
      <c r="P11181" s="20" t="n"/>
      <c r="Q11181" s="19" t="n"/>
      <c r="R11181" s="19" t="n"/>
      <c r="Y11181" s="19" t="n"/>
    </row>
    <row r="11182">
      <c r="C11182" s="18" t="n"/>
      <c r="J11182" s="19" t="n"/>
      <c r="P11182" s="20" t="n"/>
      <c r="Q11182" s="19" t="n"/>
      <c r="R11182" s="19" t="n"/>
      <c r="Y11182" s="19" t="n"/>
    </row>
    <row r="11183">
      <c r="C11183" s="18" t="n"/>
      <c r="J11183" s="19" t="n"/>
      <c r="P11183" s="20" t="n"/>
      <c r="Q11183" s="19" t="n"/>
      <c r="R11183" s="19" t="n"/>
      <c r="Y11183" s="19" t="n"/>
    </row>
    <row r="11184">
      <c r="C11184" s="18" t="n"/>
      <c r="J11184" s="19" t="n"/>
      <c r="P11184" s="20" t="n"/>
      <c r="Q11184" s="19" t="n"/>
      <c r="R11184" s="19" t="n"/>
      <c r="Y11184" s="19" t="n"/>
    </row>
    <row r="11185">
      <c r="C11185" s="18" t="n"/>
      <c r="J11185" s="19" t="n"/>
      <c r="P11185" s="20" t="n"/>
      <c r="Q11185" s="19" t="n"/>
      <c r="R11185" s="19" t="n"/>
      <c r="Y11185" s="19" t="n"/>
    </row>
    <row r="11186">
      <c r="C11186" s="18" t="n"/>
      <c r="J11186" s="19" t="n"/>
      <c r="P11186" s="20" t="n"/>
      <c r="Q11186" s="19" t="n"/>
      <c r="R11186" s="19" t="n"/>
      <c r="Y11186" s="19" t="n"/>
    </row>
    <row r="11187">
      <c r="C11187" s="18" t="n"/>
      <c r="J11187" s="19" t="n"/>
      <c r="P11187" s="20" t="n"/>
      <c r="Q11187" s="19" t="n"/>
      <c r="R11187" s="19" t="n"/>
      <c r="Y11187" s="19" t="n"/>
    </row>
    <row r="11188">
      <c r="C11188" s="18" t="n"/>
      <c r="J11188" s="19" t="n"/>
      <c r="P11188" s="20" t="n"/>
      <c r="Q11188" s="19" t="n"/>
      <c r="R11188" s="19" t="n"/>
      <c r="Y11188" s="19" t="n"/>
    </row>
    <row r="11189">
      <c r="C11189" s="18" t="n"/>
      <c r="J11189" s="19" t="n"/>
      <c r="P11189" s="20" t="n"/>
      <c r="Q11189" s="19" t="n"/>
      <c r="R11189" s="19" t="n"/>
      <c r="Y11189" s="19" t="n"/>
    </row>
    <row r="11190">
      <c r="C11190" s="18" t="n"/>
      <c r="J11190" s="19" t="n"/>
      <c r="P11190" s="20" t="n"/>
      <c r="Q11190" s="19" t="n"/>
      <c r="R11190" s="19" t="n"/>
      <c r="Y11190" s="19" t="n"/>
    </row>
    <row r="11191">
      <c r="C11191" s="18" t="n"/>
      <c r="J11191" s="19" t="n"/>
      <c r="P11191" s="20" t="n"/>
      <c r="Q11191" s="19" t="n"/>
      <c r="R11191" s="19" t="n"/>
      <c r="Y11191" s="19" t="n"/>
    </row>
    <row r="11192">
      <c r="C11192" s="18" t="n"/>
      <c r="J11192" s="19" t="n"/>
      <c r="P11192" s="20" t="n"/>
      <c r="Q11192" s="19" t="n"/>
      <c r="R11192" s="19" t="n"/>
      <c r="Y11192" s="19" t="n"/>
    </row>
    <row r="11193">
      <c r="C11193" s="18" t="n"/>
      <c r="J11193" s="19" t="n"/>
      <c r="P11193" s="20" t="n"/>
      <c r="Q11193" s="19" t="n"/>
      <c r="R11193" s="19" t="n"/>
      <c r="Y11193" s="19" t="n"/>
    </row>
    <row r="11194">
      <c r="C11194" s="18" t="n"/>
      <c r="J11194" s="19" t="n"/>
      <c r="P11194" s="20" t="n"/>
      <c r="Q11194" s="19" t="n"/>
      <c r="R11194" s="19" t="n"/>
      <c r="Y11194" s="19" t="n"/>
    </row>
    <row r="11195">
      <c r="C11195" s="18" t="n"/>
      <c r="J11195" s="19" t="n"/>
      <c r="P11195" s="20" t="n"/>
      <c r="Q11195" s="19" t="n"/>
      <c r="R11195" s="19" t="n"/>
      <c r="Y11195" s="19" t="n"/>
    </row>
    <row r="11196">
      <c r="C11196" s="18" t="n"/>
      <c r="J11196" s="19" t="n"/>
      <c r="P11196" s="20" t="n"/>
      <c r="Q11196" s="19" t="n"/>
      <c r="R11196" s="19" t="n"/>
      <c r="Y11196" s="19" t="n"/>
    </row>
    <row r="11197">
      <c r="C11197" s="18" t="n"/>
      <c r="J11197" s="19" t="n"/>
      <c r="P11197" s="20" t="n"/>
      <c r="Q11197" s="19" t="n"/>
      <c r="R11197" s="19" t="n"/>
      <c r="Y11197" s="19" t="n"/>
    </row>
    <row r="11198">
      <c r="C11198" s="18" t="n"/>
      <c r="J11198" s="19" t="n"/>
      <c r="P11198" s="20" t="n"/>
      <c r="Q11198" s="19" t="n"/>
      <c r="R11198" s="19" t="n"/>
      <c r="Y11198" s="19" t="n"/>
    </row>
    <row r="11199">
      <c r="C11199" s="18" t="n"/>
      <c r="J11199" s="19" t="n"/>
      <c r="P11199" s="20" t="n"/>
      <c r="Q11199" s="19" t="n"/>
      <c r="R11199" s="19" t="n"/>
      <c r="Y11199" s="19" t="n"/>
    </row>
    <row r="11200">
      <c r="C11200" s="18" t="n"/>
      <c r="J11200" s="19" t="n"/>
      <c r="P11200" s="20" t="n"/>
      <c r="Q11200" s="19" t="n"/>
      <c r="R11200" s="19" t="n"/>
      <c r="Y11200" s="19" t="n"/>
    </row>
    <row r="11201">
      <c r="C11201" s="18" t="n"/>
      <c r="J11201" s="19" t="n"/>
      <c r="P11201" s="20" t="n"/>
      <c r="Q11201" s="19" t="n"/>
      <c r="R11201" s="19" t="n"/>
      <c r="Y11201" s="19" t="n"/>
    </row>
    <row r="11202">
      <c r="C11202" s="18" t="n"/>
      <c r="J11202" s="19" t="n"/>
      <c r="P11202" s="20" t="n"/>
      <c r="Q11202" s="19" t="n"/>
      <c r="R11202" s="19" t="n"/>
      <c r="Y11202" s="19" t="n"/>
    </row>
    <row r="11203">
      <c r="C11203" s="18" t="n"/>
      <c r="J11203" s="19" t="n"/>
      <c r="P11203" s="20" t="n"/>
      <c r="Q11203" s="19" t="n"/>
      <c r="R11203" s="19" t="n"/>
      <c r="Y11203" s="19" t="n"/>
    </row>
    <row r="11204">
      <c r="C11204" s="18" t="n"/>
      <c r="J11204" s="19" t="n"/>
      <c r="P11204" s="20" t="n"/>
      <c r="Q11204" s="19" t="n"/>
      <c r="R11204" s="19" t="n"/>
      <c r="Y11204" s="19" t="n"/>
    </row>
    <row r="11205">
      <c r="C11205" s="18" t="n"/>
      <c r="J11205" s="19" t="n"/>
      <c r="P11205" s="20" t="n"/>
      <c r="Q11205" s="19" t="n"/>
      <c r="R11205" s="19" t="n"/>
      <c r="Y11205" s="19" t="n"/>
    </row>
    <row r="11206">
      <c r="C11206" s="18" t="n"/>
      <c r="J11206" s="19" t="n"/>
      <c r="P11206" s="20" t="n"/>
      <c r="Q11206" s="19" t="n"/>
      <c r="R11206" s="19" t="n"/>
      <c r="Y11206" s="19" t="n"/>
    </row>
    <row r="11207">
      <c r="C11207" s="18" t="n"/>
      <c r="J11207" s="19" t="n"/>
      <c r="P11207" s="20" t="n"/>
      <c r="Q11207" s="19" t="n"/>
      <c r="R11207" s="19" t="n"/>
      <c r="Y11207" s="19" t="n"/>
    </row>
    <row r="11208">
      <c r="C11208" s="18" t="n"/>
      <c r="J11208" s="19" t="n"/>
      <c r="P11208" s="20" t="n"/>
      <c r="Q11208" s="19" t="n"/>
      <c r="R11208" s="19" t="n"/>
      <c r="Y11208" s="19" t="n"/>
    </row>
    <row r="11209">
      <c r="C11209" s="18" t="n"/>
      <c r="J11209" s="19" t="n"/>
      <c r="P11209" s="20" t="n"/>
      <c r="Q11209" s="19" t="n"/>
      <c r="R11209" s="19" t="n"/>
      <c r="Y11209" s="19" t="n"/>
    </row>
    <row r="11210">
      <c r="C11210" s="18" t="n"/>
      <c r="J11210" s="19" t="n"/>
      <c r="P11210" s="20" t="n"/>
      <c r="Q11210" s="19" t="n"/>
      <c r="R11210" s="19" t="n"/>
      <c r="Y11210" s="19" t="n"/>
    </row>
    <row r="11211">
      <c r="C11211" s="18" t="n"/>
      <c r="J11211" s="19" t="n"/>
      <c r="P11211" s="20" t="n"/>
      <c r="Q11211" s="19" t="n"/>
      <c r="R11211" s="19" t="n"/>
      <c r="Y11211" s="19" t="n"/>
    </row>
    <row r="11212">
      <c r="C11212" s="18" t="n"/>
      <c r="J11212" s="19" t="n"/>
      <c r="P11212" s="20" t="n"/>
      <c r="Q11212" s="19" t="n"/>
      <c r="R11212" s="19" t="n"/>
      <c r="Y11212" s="19" t="n"/>
    </row>
    <row r="11213">
      <c r="C11213" s="18" t="n"/>
      <c r="J11213" s="19" t="n"/>
      <c r="P11213" s="20" t="n"/>
      <c r="Q11213" s="19" t="n"/>
      <c r="R11213" s="19" t="n"/>
      <c r="Y11213" s="19" t="n"/>
    </row>
    <row r="11214">
      <c r="C11214" s="18" t="n"/>
      <c r="J11214" s="19" t="n"/>
      <c r="P11214" s="20" t="n"/>
      <c r="Q11214" s="19" t="n"/>
      <c r="R11214" s="19" t="n"/>
      <c r="Y11214" s="19" t="n"/>
    </row>
    <row r="11215">
      <c r="C11215" s="18" t="n"/>
      <c r="J11215" s="19" t="n"/>
      <c r="P11215" s="20" t="n"/>
      <c r="Q11215" s="19" t="n"/>
      <c r="R11215" s="19" t="n"/>
      <c r="Y11215" s="19" t="n"/>
    </row>
    <row r="11216">
      <c r="C11216" s="18" t="n"/>
      <c r="J11216" s="19" t="n"/>
      <c r="P11216" s="20" t="n"/>
      <c r="Q11216" s="19" t="n"/>
      <c r="R11216" s="19" t="n"/>
      <c r="Y11216" s="19" t="n"/>
    </row>
    <row r="11217">
      <c r="C11217" s="18" t="n"/>
      <c r="J11217" s="19" t="n"/>
      <c r="P11217" s="20" t="n"/>
      <c r="Q11217" s="19" t="n"/>
      <c r="R11217" s="19" t="n"/>
      <c r="Y11217" s="19" t="n"/>
    </row>
    <row r="11218">
      <c r="C11218" s="18" t="n"/>
      <c r="J11218" s="19" t="n"/>
      <c r="P11218" s="20" t="n"/>
      <c r="Q11218" s="19" t="n"/>
      <c r="R11218" s="19" t="n"/>
      <c r="Y11218" s="19" t="n"/>
    </row>
    <row r="11219">
      <c r="C11219" s="18" t="n"/>
      <c r="J11219" s="19" t="n"/>
      <c r="P11219" s="20" t="n"/>
      <c r="Q11219" s="19" t="n"/>
      <c r="R11219" s="19" t="n"/>
      <c r="Y11219" s="19" t="n"/>
    </row>
    <row r="11220">
      <c r="C11220" s="18" t="n"/>
      <c r="J11220" s="19" t="n"/>
      <c r="P11220" s="20" t="n"/>
      <c r="Q11220" s="19" t="n"/>
      <c r="R11220" s="19" t="n"/>
      <c r="Y11220" s="19" t="n"/>
    </row>
    <row r="11221">
      <c r="C11221" s="18" t="n"/>
      <c r="J11221" s="19" t="n"/>
      <c r="P11221" s="20" t="n"/>
      <c r="Q11221" s="19" t="n"/>
      <c r="R11221" s="19" t="n"/>
      <c r="Y11221" s="19" t="n"/>
    </row>
    <row r="11222">
      <c r="C11222" s="18" t="n"/>
      <c r="J11222" s="19" t="n"/>
      <c r="P11222" s="20" t="n"/>
      <c r="Q11222" s="19" t="n"/>
      <c r="R11222" s="19" t="n"/>
      <c r="Y11222" s="19" t="n"/>
    </row>
    <row r="11223">
      <c r="C11223" s="18" t="n"/>
      <c r="J11223" s="19" t="n"/>
      <c r="P11223" s="20" t="n"/>
      <c r="Q11223" s="19" t="n"/>
      <c r="R11223" s="19" t="n"/>
      <c r="Y11223" s="19" t="n"/>
    </row>
    <row r="11224">
      <c r="C11224" s="18" t="n"/>
      <c r="J11224" s="19" t="n"/>
      <c r="P11224" s="20" t="n"/>
      <c r="Q11224" s="19" t="n"/>
      <c r="R11224" s="19" t="n"/>
      <c r="Y11224" s="19" t="n"/>
    </row>
    <row r="11225">
      <c r="C11225" s="18" t="n"/>
      <c r="J11225" s="19" t="n"/>
      <c r="P11225" s="20" t="n"/>
      <c r="Q11225" s="19" t="n"/>
      <c r="R11225" s="19" t="n"/>
      <c r="Y11225" s="19" t="n"/>
    </row>
    <row r="11226">
      <c r="C11226" s="18" t="n"/>
      <c r="J11226" s="19" t="n"/>
      <c r="P11226" s="20" t="n"/>
      <c r="Q11226" s="19" t="n"/>
      <c r="R11226" s="19" t="n"/>
      <c r="Y11226" s="19" t="n"/>
    </row>
    <row r="11227">
      <c r="C11227" s="18" t="n"/>
      <c r="J11227" s="19" t="n"/>
      <c r="P11227" s="20" t="n"/>
      <c r="Q11227" s="19" t="n"/>
      <c r="R11227" s="19" t="n"/>
      <c r="Y11227" s="19" t="n"/>
    </row>
    <row r="11228">
      <c r="C11228" s="18" t="n"/>
      <c r="J11228" s="19" t="n"/>
      <c r="P11228" s="20" t="n"/>
      <c r="Q11228" s="19" t="n"/>
      <c r="R11228" s="19" t="n"/>
      <c r="Y11228" s="19" t="n"/>
    </row>
    <row r="11229">
      <c r="C11229" s="18" t="n"/>
      <c r="J11229" s="19" t="n"/>
      <c r="P11229" s="20" t="n"/>
      <c r="Q11229" s="19" t="n"/>
      <c r="R11229" s="19" t="n"/>
      <c r="Y11229" s="19" t="n"/>
    </row>
    <row r="11230">
      <c r="C11230" s="18" t="n"/>
      <c r="J11230" s="19" t="n"/>
      <c r="P11230" s="20" t="n"/>
      <c r="Q11230" s="19" t="n"/>
      <c r="R11230" s="19" t="n"/>
      <c r="Y11230" s="19" t="n"/>
    </row>
    <row r="11231">
      <c r="C11231" s="18" t="n"/>
      <c r="J11231" s="19" t="n"/>
      <c r="P11231" s="20" t="n"/>
      <c r="Q11231" s="19" t="n"/>
      <c r="R11231" s="19" t="n"/>
      <c r="Y11231" s="19" t="n"/>
    </row>
    <row r="11232">
      <c r="C11232" s="18" t="n"/>
      <c r="J11232" s="19" t="n"/>
      <c r="P11232" s="20" t="n"/>
      <c r="Q11232" s="19" t="n"/>
      <c r="R11232" s="19" t="n"/>
      <c r="Y11232" s="19" t="n"/>
    </row>
    <row r="11233">
      <c r="C11233" s="18" t="n"/>
      <c r="J11233" s="19" t="n"/>
      <c r="P11233" s="20" t="n"/>
      <c r="Q11233" s="19" t="n"/>
      <c r="R11233" s="19" t="n"/>
      <c r="Y11233" s="19" t="n"/>
    </row>
    <row r="11234">
      <c r="C11234" s="18" t="n"/>
      <c r="J11234" s="19" t="n"/>
      <c r="P11234" s="20" t="n"/>
      <c r="Q11234" s="19" t="n"/>
      <c r="R11234" s="19" t="n"/>
      <c r="Y11234" s="19" t="n"/>
    </row>
    <row r="11235">
      <c r="C11235" s="18" t="n"/>
      <c r="J11235" s="19" t="n"/>
      <c r="P11235" s="20" t="n"/>
      <c r="Q11235" s="19" t="n"/>
      <c r="R11235" s="19" t="n"/>
      <c r="Y11235" s="19" t="n"/>
    </row>
    <row r="11236">
      <c r="C11236" s="18" t="n"/>
      <c r="J11236" s="19" t="n"/>
      <c r="P11236" s="20" t="n"/>
      <c r="Q11236" s="19" t="n"/>
      <c r="R11236" s="19" t="n"/>
      <c r="Y11236" s="19" t="n"/>
    </row>
    <row r="11237">
      <c r="C11237" s="18" t="n"/>
      <c r="J11237" s="19" t="n"/>
      <c r="P11237" s="20" t="n"/>
      <c r="Q11237" s="19" t="n"/>
      <c r="R11237" s="19" t="n"/>
      <c r="Y11237" s="19" t="n"/>
    </row>
    <row r="11238">
      <c r="C11238" s="18" t="n"/>
      <c r="J11238" s="19" t="n"/>
      <c r="P11238" s="20" t="n"/>
      <c r="Q11238" s="19" t="n"/>
      <c r="R11238" s="19" t="n"/>
      <c r="Y11238" s="19" t="n"/>
    </row>
    <row r="11239">
      <c r="C11239" s="18" t="n"/>
      <c r="J11239" s="19" t="n"/>
      <c r="P11239" s="20" t="n"/>
      <c r="Q11239" s="19" t="n"/>
      <c r="R11239" s="19" t="n"/>
      <c r="Y11239" s="19" t="n"/>
    </row>
    <row r="11240">
      <c r="C11240" s="18" t="n"/>
      <c r="J11240" s="19" t="n"/>
      <c r="P11240" s="20" t="n"/>
      <c r="Q11240" s="19" t="n"/>
      <c r="R11240" s="19" t="n"/>
      <c r="Y11240" s="19" t="n"/>
    </row>
    <row r="11241">
      <c r="C11241" s="18" t="n"/>
      <c r="J11241" s="19" t="n"/>
      <c r="P11241" s="20" t="n"/>
      <c r="Q11241" s="19" t="n"/>
      <c r="R11241" s="19" t="n"/>
      <c r="Y11241" s="19" t="n"/>
    </row>
    <row r="11242">
      <c r="C11242" s="18" t="n"/>
      <c r="J11242" s="19" t="n"/>
      <c r="P11242" s="20" t="n"/>
      <c r="Q11242" s="19" t="n"/>
      <c r="R11242" s="19" t="n"/>
      <c r="Y11242" s="19" t="n"/>
    </row>
    <row r="11243">
      <c r="C11243" s="18" t="n"/>
      <c r="J11243" s="19" t="n"/>
      <c r="P11243" s="20" t="n"/>
      <c r="Q11243" s="19" t="n"/>
      <c r="R11243" s="19" t="n"/>
      <c r="Y11243" s="19" t="n"/>
    </row>
    <row r="11244">
      <c r="C11244" s="18" t="n"/>
      <c r="J11244" s="19" t="n"/>
      <c r="P11244" s="20" t="n"/>
      <c r="Q11244" s="19" t="n"/>
      <c r="R11244" s="19" t="n"/>
      <c r="Y11244" s="19" t="n"/>
    </row>
    <row r="11245">
      <c r="C11245" s="18" t="n"/>
      <c r="J11245" s="19" t="n"/>
      <c r="P11245" s="20" t="n"/>
      <c r="Q11245" s="19" t="n"/>
      <c r="R11245" s="19" t="n"/>
      <c r="Y11245" s="19" t="n"/>
    </row>
    <row r="11246">
      <c r="C11246" s="18" t="n"/>
      <c r="J11246" s="19" t="n"/>
      <c r="P11246" s="20" t="n"/>
      <c r="Q11246" s="19" t="n"/>
      <c r="R11246" s="19" t="n"/>
      <c r="Y11246" s="19" t="n"/>
    </row>
    <row r="11247">
      <c r="C11247" s="18" t="n"/>
      <c r="J11247" s="19" t="n"/>
      <c r="P11247" s="20" t="n"/>
      <c r="Q11247" s="19" t="n"/>
      <c r="R11247" s="19" t="n"/>
      <c r="Y11247" s="19" t="n"/>
    </row>
    <row r="11248">
      <c r="C11248" s="18" t="n"/>
      <c r="J11248" s="19" t="n"/>
      <c r="P11248" s="20" t="n"/>
      <c r="Q11248" s="19" t="n"/>
      <c r="R11248" s="19" t="n"/>
      <c r="Y11248" s="19" t="n"/>
    </row>
    <row r="11249">
      <c r="C11249" s="18" t="n"/>
      <c r="J11249" s="19" t="n"/>
      <c r="P11249" s="20" t="n"/>
      <c r="Q11249" s="19" t="n"/>
      <c r="R11249" s="19" t="n"/>
      <c r="Y11249" s="19" t="n"/>
    </row>
    <row r="11250">
      <c r="C11250" s="18" t="n"/>
      <c r="J11250" s="19" t="n"/>
      <c r="P11250" s="20" t="n"/>
      <c r="Q11250" s="19" t="n"/>
      <c r="R11250" s="19" t="n"/>
      <c r="Y11250" s="19" t="n"/>
    </row>
    <row r="11251">
      <c r="C11251" s="18" t="n"/>
      <c r="J11251" s="19" t="n"/>
      <c r="P11251" s="20" t="n"/>
      <c r="Q11251" s="19" t="n"/>
      <c r="R11251" s="19" t="n"/>
      <c r="Y11251" s="19" t="n"/>
    </row>
    <row r="11252">
      <c r="C11252" s="18" t="n"/>
      <c r="J11252" s="19" t="n"/>
      <c r="P11252" s="20" t="n"/>
      <c r="Q11252" s="19" t="n"/>
      <c r="R11252" s="19" t="n"/>
      <c r="Y11252" s="19" t="n"/>
    </row>
    <row r="11253">
      <c r="C11253" s="18" t="n"/>
      <c r="J11253" s="19" t="n"/>
      <c r="P11253" s="20" t="n"/>
      <c r="Q11253" s="19" t="n"/>
      <c r="R11253" s="19" t="n"/>
      <c r="Y11253" s="19" t="n"/>
    </row>
    <row r="11254">
      <c r="C11254" s="18" t="n"/>
      <c r="J11254" s="19" t="n"/>
      <c r="P11254" s="20" t="n"/>
      <c r="Q11254" s="19" t="n"/>
      <c r="R11254" s="19" t="n"/>
      <c r="Y11254" s="19" t="n"/>
    </row>
    <row r="11255">
      <c r="C11255" s="18" t="n"/>
      <c r="J11255" s="19" t="n"/>
      <c r="P11255" s="20" t="n"/>
      <c r="Q11255" s="19" t="n"/>
      <c r="R11255" s="19" t="n"/>
      <c r="Y11255" s="19" t="n"/>
    </row>
    <row r="11256">
      <c r="C11256" s="18" t="n"/>
      <c r="J11256" s="19" t="n"/>
      <c r="P11256" s="20" t="n"/>
      <c r="Q11256" s="19" t="n"/>
      <c r="R11256" s="19" t="n"/>
      <c r="Y11256" s="19" t="n"/>
    </row>
    <row r="11257">
      <c r="C11257" s="18" t="n"/>
      <c r="J11257" s="19" t="n"/>
      <c r="P11257" s="20" t="n"/>
      <c r="Q11257" s="19" t="n"/>
      <c r="R11257" s="19" t="n"/>
      <c r="Y11257" s="19" t="n"/>
    </row>
    <row r="11258">
      <c r="C11258" s="18" t="n"/>
      <c r="J11258" s="19" t="n"/>
      <c r="P11258" s="20" t="n"/>
      <c r="Q11258" s="19" t="n"/>
      <c r="R11258" s="19" t="n"/>
      <c r="Y11258" s="19" t="n"/>
    </row>
    <row r="11259">
      <c r="C11259" s="18" t="n"/>
      <c r="J11259" s="19" t="n"/>
      <c r="P11259" s="20" t="n"/>
      <c r="Q11259" s="19" t="n"/>
      <c r="R11259" s="19" t="n"/>
      <c r="Y11259" s="19" t="n"/>
    </row>
    <row r="11260">
      <c r="C11260" s="18" t="n"/>
      <c r="J11260" s="19" t="n"/>
      <c r="P11260" s="20" t="n"/>
      <c r="Q11260" s="19" t="n"/>
      <c r="R11260" s="19" t="n"/>
      <c r="Y11260" s="19" t="n"/>
    </row>
    <row r="11261">
      <c r="C11261" s="18" t="n"/>
      <c r="J11261" s="19" t="n"/>
      <c r="P11261" s="20" t="n"/>
      <c r="Q11261" s="19" t="n"/>
      <c r="R11261" s="19" t="n"/>
      <c r="Y11261" s="19" t="n"/>
    </row>
    <row r="11262">
      <c r="C11262" s="18" t="n"/>
      <c r="J11262" s="19" t="n"/>
      <c r="P11262" s="20" t="n"/>
      <c r="Q11262" s="19" t="n"/>
      <c r="R11262" s="19" t="n"/>
      <c r="Y11262" s="19" t="n"/>
    </row>
    <row r="11263">
      <c r="C11263" s="18" t="n"/>
      <c r="J11263" s="19" t="n"/>
      <c r="P11263" s="20" t="n"/>
      <c r="Q11263" s="19" t="n"/>
      <c r="R11263" s="19" t="n"/>
      <c r="Y11263" s="19" t="n"/>
    </row>
    <row r="11264">
      <c r="C11264" s="18" t="n"/>
      <c r="J11264" s="19" t="n"/>
      <c r="P11264" s="20" t="n"/>
      <c r="Q11264" s="19" t="n"/>
      <c r="R11264" s="19" t="n"/>
      <c r="Y11264" s="19" t="n"/>
    </row>
    <row r="11265">
      <c r="C11265" s="18" t="n"/>
      <c r="J11265" s="19" t="n"/>
      <c r="P11265" s="20" t="n"/>
      <c r="Q11265" s="19" t="n"/>
      <c r="R11265" s="19" t="n"/>
      <c r="Y11265" s="19" t="n"/>
    </row>
    <row r="11266">
      <c r="C11266" s="18" t="n"/>
      <c r="J11266" s="19" t="n"/>
      <c r="P11266" s="20" t="n"/>
      <c r="Q11266" s="19" t="n"/>
      <c r="R11266" s="19" t="n"/>
      <c r="Y11266" s="19" t="n"/>
    </row>
    <row r="11267">
      <c r="C11267" s="18" t="n"/>
      <c r="J11267" s="19" t="n"/>
      <c r="P11267" s="20" t="n"/>
      <c r="Q11267" s="19" t="n"/>
      <c r="R11267" s="19" t="n"/>
      <c r="Y11267" s="19" t="n"/>
    </row>
    <row r="11268">
      <c r="C11268" s="18" t="n"/>
      <c r="J11268" s="19" t="n"/>
      <c r="P11268" s="20" t="n"/>
      <c r="Q11268" s="19" t="n"/>
      <c r="R11268" s="19" t="n"/>
      <c r="Y11268" s="19" t="n"/>
    </row>
    <row r="11269">
      <c r="C11269" s="18" t="n"/>
      <c r="J11269" s="19" t="n"/>
      <c r="P11269" s="20" t="n"/>
      <c r="Q11269" s="19" t="n"/>
      <c r="R11269" s="19" t="n"/>
      <c r="Y11269" s="19" t="n"/>
    </row>
    <row r="11270">
      <c r="C11270" s="18" t="n"/>
      <c r="J11270" s="19" t="n"/>
      <c r="P11270" s="20" t="n"/>
      <c r="Q11270" s="19" t="n"/>
      <c r="R11270" s="19" t="n"/>
      <c r="Y11270" s="19" t="n"/>
    </row>
    <row r="11271">
      <c r="C11271" s="18" t="n"/>
      <c r="J11271" s="19" t="n"/>
      <c r="P11271" s="20" t="n"/>
      <c r="Q11271" s="19" t="n"/>
      <c r="R11271" s="19" t="n"/>
      <c r="Y11271" s="19" t="n"/>
    </row>
    <row r="11272">
      <c r="C11272" s="18" t="n"/>
      <c r="J11272" s="19" t="n"/>
      <c r="P11272" s="20" t="n"/>
      <c r="Q11272" s="19" t="n"/>
      <c r="R11272" s="19" t="n"/>
      <c r="Y11272" s="19" t="n"/>
    </row>
    <row r="11273">
      <c r="C11273" s="18" t="n"/>
      <c r="J11273" s="19" t="n"/>
      <c r="P11273" s="20" t="n"/>
      <c r="Q11273" s="19" t="n"/>
      <c r="R11273" s="19" t="n"/>
      <c r="Y11273" s="19" t="n"/>
    </row>
    <row r="11274">
      <c r="C11274" s="18" t="n"/>
      <c r="J11274" s="19" t="n"/>
      <c r="P11274" s="20" t="n"/>
      <c r="Q11274" s="19" t="n"/>
      <c r="R11274" s="19" t="n"/>
      <c r="Y11274" s="19" t="n"/>
    </row>
    <row r="11275">
      <c r="C11275" s="18" t="n"/>
      <c r="J11275" s="19" t="n"/>
      <c r="P11275" s="20" t="n"/>
      <c r="Q11275" s="19" t="n"/>
      <c r="R11275" s="19" t="n"/>
      <c r="Y11275" s="19" t="n"/>
    </row>
    <row r="11276">
      <c r="C11276" s="18" t="n"/>
      <c r="J11276" s="19" t="n"/>
      <c r="P11276" s="20" t="n"/>
      <c r="Q11276" s="19" t="n"/>
      <c r="R11276" s="19" t="n"/>
      <c r="Y11276" s="19" t="n"/>
    </row>
    <row r="11277">
      <c r="C11277" s="18" t="n"/>
      <c r="J11277" s="19" t="n"/>
      <c r="P11277" s="20" t="n"/>
      <c r="Q11277" s="19" t="n"/>
      <c r="R11277" s="19" t="n"/>
      <c r="Y11277" s="19" t="n"/>
    </row>
    <row r="11278">
      <c r="C11278" s="18" t="n"/>
      <c r="J11278" s="19" t="n"/>
      <c r="P11278" s="20" t="n"/>
      <c r="Q11278" s="19" t="n"/>
      <c r="R11278" s="19" t="n"/>
      <c r="Y11278" s="19" t="n"/>
    </row>
    <row r="11279">
      <c r="C11279" s="18" t="n"/>
      <c r="J11279" s="19" t="n"/>
      <c r="P11279" s="20" t="n"/>
      <c r="Q11279" s="19" t="n"/>
      <c r="R11279" s="19" t="n"/>
      <c r="Y11279" s="19" t="n"/>
    </row>
    <row r="11280">
      <c r="C11280" s="18" t="n"/>
      <c r="J11280" s="19" t="n"/>
      <c r="P11280" s="20" t="n"/>
      <c r="Q11280" s="19" t="n"/>
      <c r="R11280" s="19" t="n"/>
      <c r="Y11280" s="19" t="n"/>
    </row>
    <row r="11281">
      <c r="C11281" s="18" t="n"/>
      <c r="J11281" s="19" t="n"/>
      <c r="P11281" s="20" t="n"/>
      <c r="Q11281" s="19" t="n"/>
      <c r="R11281" s="19" t="n"/>
      <c r="Y11281" s="19" t="n"/>
    </row>
    <row r="11282">
      <c r="C11282" s="18" t="n"/>
      <c r="J11282" s="19" t="n"/>
      <c r="P11282" s="20" t="n"/>
      <c r="Q11282" s="19" t="n"/>
      <c r="R11282" s="19" t="n"/>
      <c r="Y11282" s="19" t="n"/>
    </row>
    <row r="11283">
      <c r="C11283" s="18" t="n"/>
      <c r="J11283" s="19" t="n"/>
      <c r="P11283" s="20" t="n"/>
      <c r="Q11283" s="19" t="n"/>
      <c r="R11283" s="19" t="n"/>
      <c r="Y11283" s="19" t="n"/>
    </row>
    <row r="11284">
      <c r="C11284" s="18" t="n"/>
      <c r="J11284" s="19" t="n"/>
      <c r="P11284" s="20" t="n"/>
      <c r="Q11284" s="19" t="n"/>
      <c r="R11284" s="19" t="n"/>
      <c r="Y11284" s="19" t="n"/>
    </row>
    <row r="11285">
      <c r="C11285" s="18" t="n"/>
      <c r="J11285" s="19" t="n"/>
      <c r="P11285" s="20" t="n"/>
      <c r="Q11285" s="19" t="n"/>
      <c r="R11285" s="19" t="n"/>
      <c r="Y11285" s="19" t="n"/>
    </row>
    <row r="11286">
      <c r="C11286" s="18" t="n"/>
      <c r="J11286" s="19" t="n"/>
      <c r="P11286" s="20" t="n"/>
      <c r="Q11286" s="19" t="n"/>
      <c r="R11286" s="19" t="n"/>
      <c r="Y11286" s="19" t="n"/>
    </row>
    <row r="11287">
      <c r="C11287" s="18" t="n"/>
      <c r="J11287" s="19" t="n"/>
      <c r="P11287" s="20" t="n"/>
      <c r="Q11287" s="19" t="n"/>
      <c r="R11287" s="19" t="n"/>
      <c r="Y11287" s="19" t="n"/>
    </row>
    <row r="11288">
      <c r="C11288" s="18" t="n"/>
      <c r="J11288" s="19" t="n"/>
      <c r="P11288" s="20" t="n"/>
      <c r="Q11288" s="19" t="n"/>
      <c r="R11288" s="19" t="n"/>
      <c r="Y11288" s="19" t="n"/>
    </row>
    <row r="11289">
      <c r="C11289" s="18" t="n"/>
      <c r="J11289" s="19" t="n"/>
      <c r="P11289" s="20" t="n"/>
      <c r="Q11289" s="19" t="n"/>
      <c r="R11289" s="19" t="n"/>
      <c r="Y11289" s="19" t="n"/>
    </row>
    <row r="11290">
      <c r="C11290" s="18" t="n"/>
      <c r="J11290" s="19" t="n"/>
      <c r="P11290" s="20" t="n"/>
      <c r="Q11290" s="19" t="n"/>
      <c r="R11290" s="19" t="n"/>
      <c r="Y11290" s="19" t="n"/>
    </row>
    <row r="11291">
      <c r="C11291" s="18" t="n"/>
      <c r="J11291" s="19" t="n"/>
      <c r="P11291" s="20" t="n"/>
      <c r="Q11291" s="19" t="n"/>
      <c r="R11291" s="19" t="n"/>
      <c r="Y11291" s="19" t="n"/>
    </row>
    <row r="11292">
      <c r="C11292" s="18" t="n"/>
      <c r="J11292" s="19" t="n"/>
      <c r="P11292" s="20" t="n"/>
      <c r="Q11292" s="19" t="n"/>
      <c r="R11292" s="19" t="n"/>
      <c r="Y11292" s="19" t="n"/>
    </row>
    <row r="11293">
      <c r="C11293" s="18" t="n"/>
      <c r="J11293" s="19" t="n"/>
      <c r="P11293" s="20" t="n"/>
      <c r="Q11293" s="19" t="n"/>
      <c r="R11293" s="19" t="n"/>
      <c r="Y11293" s="19" t="n"/>
    </row>
    <row r="11294">
      <c r="C11294" s="18" t="n"/>
      <c r="J11294" s="19" t="n"/>
      <c r="P11294" s="20" t="n"/>
      <c r="Q11294" s="19" t="n"/>
      <c r="R11294" s="19" t="n"/>
      <c r="Y11294" s="19" t="n"/>
    </row>
    <row r="11295">
      <c r="C11295" s="18" t="n"/>
      <c r="J11295" s="19" t="n"/>
      <c r="P11295" s="20" t="n"/>
      <c r="Q11295" s="19" t="n"/>
      <c r="R11295" s="19" t="n"/>
      <c r="Y11295" s="19" t="n"/>
    </row>
    <row r="11296">
      <c r="C11296" s="18" t="n"/>
      <c r="J11296" s="19" t="n"/>
      <c r="P11296" s="20" t="n"/>
      <c r="Q11296" s="19" t="n"/>
      <c r="R11296" s="19" t="n"/>
      <c r="Y11296" s="19" t="n"/>
    </row>
    <row r="11297">
      <c r="C11297" s="18" t="n"/>
      <c r="J11297" s="19" t="n"/>
      <c r="P11297" s="20" t="n"/>
      <c r="Q11297" s="19" t="n"/>
      <c r="R11297" s="19" t="n"/>
      <c r="Y11297" s="19" t="n"/>
    </row>
    <row r="11298">
      <c r="C11298" s="18" t="n"/>
      <c r="J11298" s="19" t="n"/>
      <c r="P11298" s="20" t="n"/>
      <c r="Q11298" s="19" t="n"/>
      <c r="R11298" s="19" t="n"/>
      <c r="Y11298" s="19" t="n"/>
    </row>
    <row r="11299">
      <c r="C11299" s="18" t="n"/>
      <c r="J11299" s="19" t="n"/>
      <c r="P11299" s="20" t="n"/>
      <c r="Q11299" s="19" t="n"/>
      <c r="R11299" s="19" t="n"/>
      <c r="Y11299" s="19" t="n"/>
    </row>
    <row r="11300">
      <c r="C11300" s="18" t="n"/>
      <c r="J11300" s="19" t="n"/>
      <c r="P11300" s="20" t="n"/>
      <c r="Q11300" s="19" t="n"/>
      <c r="R11300" s="19" t="n"/>
      <c r="Y11300" s="19" t="n"/>
    </row>
    <row r="11301">
      <c r="C11301" s="18" t="n"/>
      <c r="J11301" s="19" t="n"/>
      <c r="P11301" s="20" t="n"/>
      <c r="Q11301" s="19" t="n"/>
      <c r="R11301" s="19" t="n"/>
      <c r="Y11301" s="19" t="n"/>
    </row>
    <row r="11302">
      <c r="C11302" s="18" t="n"/>
      <c r="J11302" s="19" t="n"/>
      <c r="P11302" s="20" t="n"/>
      <c r="Q11302" s="19" t="n"/>
      <c r="R11302" s="19" t="n"/>
      <c r="Y11302" s="19" t="n"/>
    </row>
    <row r="11303">
      <c r="C11303" s="18" t="n"/>
      <c r="J11303" s="19" t="n"/>
      <c r="P11303" s="20" t="n"/>
      <c r="Q11303" s="19" t="n"/>
      <c r="R11303" s="19" t="n"/>
      <c r="Y11303" s="19" t="n"/>
    </row>
    <row r="11304">
      <c r="C11304" s="18" t="n"/>
      <c r="J11304" s="19" t="n"/>
      <c r="P11304" s="20" t="n"/>
      <c r="Q11304" s="19" t="n"/>
      <c r="R11304" s="19" t="n"/>
      <c r="Y11304" s="19" t="n"/>
    </row>
    <row r="11305">
      <c r="C11305" s="18" t="n"/>
      <c r="J11305" s="19" t="n"/>
      <c r="P11305" s="20" t="n"/>
      <c r="Q11305" s="19" t="n"/>
      <c r="R11305" s="19" t="n"/>
      <c r="Y11305" s="19" t="n"/>
    </row>
    <row r="11306">
      <c r="C11306" s="18" t="n"/>
      <c r="J11306" s="19" t="n"/>
      <c r="P11306" s="20" t="n"/>
      <c r="Q11306" s="19" t="n"/>
      <c r="R11306" s="19" t="n"/>
      <c r="Y11306" s="19" t="n"/>
    </row>
    <row r="11307">
      <c r="C11307" s="18" t="n"/>
      <c r="J11307" s="19" t="n"/>
      <c r="P11307" s="20" t="n"/>
      <c r="Q11307" s="19" t="n"/>
      <c r="R11307" s="19" t="n"/>
      <c r="Y11307" s="19" t="n"/>
    </row>
    <row r="11308">
      <c r="C11308" s="18" t="n"/>
      <c r="J11308" s="19" t="n"/>
      <c r="P11308" s="20" t="n"/>
      <c r="Q11308" s="19" t="n"/>
      <c r="R11308" s="19" t="n"/>
      <c r="Y11308" s="19" t="n"/>
    </row>
    <row r="11309">
      <c r="C11309" s="18" t="n"/>
      <c r="J11309" s="19" t="n"/>
      <c r="P11309" s="20" t="n"/>
      <c r="Q11309" s="19" t="n"/>
      <c r="R11309" s="19" t="n"/>
      <c r="Y11309" s="19" t="n"/>
    </row>
    <row r="11310">
      <c r="C11310" s="18" t="n"/>
      <c r="J11310" s="19" t="n"/>
      <c r="P11310" s="20" t="n"/>
      <c r="Q11310" s="19" t="n"/>
      <c r="R11310" s="19" t="n"/>
      <c r="Y11310" s="19" t="n"/>
    </row>
    <row r="11311">
      <c r="C11311" s="18" t="n"/>
      <c r="J11311" s="19" t="n"/>
      <c r="P11311" s="20" t="n"/>
      <c r="Q11311" s="19" t="n"/>
      <c r="R11311" s="19" t="n"/>
      <c r="Y11311" s="19" t="n"/>
    </row>
    <row r="11312">
      <c r="C11312" s="18" t="n"/>
      <c r="J11312" s="19" t="n"/>
      <c r="P11312" s="20" t="n"/>
      <c r="Q11312" s="19" t="n"/>
      <c r="R11312" s="19" t="n"/>
      <c r="Y11312" s="19" t="n"/>
    </row>
    <row r="11313">
      <c r="C11313" s="18" t="n"/>
      <c r="J11313" s="19" t="n"/>
      <c r="P11313" s="20" t="n"/>
      <c r="Q11313" s="19" t="n"/>
      <c r="R11313" s="19" t="n"/>
      <c r="Y11313" s="19" t="n"/>
    </row>
    <row r="11314">
      <c r="C11314" s="18" t="n"/>
      <c r="J11314" s="19" t="n"/>
      <c r="P11314" s="20" t="n"/>
      <c r="Q11314" s="19" t="n"/>
      <c r="R11314" s="19" t="n"/>
      <c r="Y11314" s="19" t="n"/>
    </row>
    <row r="11315">
      <c r="C11315" s="18" t="n"/>
      <c r="J11315" s="19" t="n"/>
      <c r="P11315" s="20" t="n"/>
      <c r="Q11315" s="19" t="n"/>
      <c r="R11315" s="19" t="n"/>
      <c r="Y11315" s="19" t="n"/>
    </row>
    <row r="11316">
      <c r="C11316" s="18" t="n"/>
      <c r="J11316" s="19" t="n"/>
      <c r="P11316" s="20" t="n"/>
      <c r="Q11316" s="19" t="n"/>
      <c r="R11316" s="19" t="n"/>
      <c r="Y11316" s="19" t="n"/>
    </row>
    <row r="11317">
      <c r="C11317" s="18" t="n"/>
      <c r="J11317" s="19" t="n"/>
      <c r="P11317" s="20" t="n"/>
      <c r="Q11317" s="19" t="n"/>
      <c r="R11317" s="19" t="n"/>
      <c r="Y11317" s="19" t="n"/>
    </row>
    <row r="11318">
      <c r="C11318" s="18" t="n"/>
      <c r="J11318" s="19" t="n"/>
      <c r="P11318" s="20" t="n"/>
      <c r="Q11318" s="19" t="n"/>
      <c r="R11318" s="19" t="n"/>
      <c r="Y11318" s="19" t="n"/>
    </row>
    <row r="11319">
      <c r="C11319" s="18" t="n"/>
      <c r="J11319" s="19" t="n"/>
      <c r="P11319" s="20" t="n"/>
      <c r="Q11319" s="19" t="n"/>
      <c r="R11319" s="19" t="n"/>
      <c r="Y11319" s="19" t="n"/>
    </row>
    <row r="11320">
      <c r="C11320" s="18" t="n"/>
      <c r="J11320" s="19" t="n"/>
      <c r="P11320" s="20" t="n"/>
      <c r="Q11320" s="19" t="n"/>
      <c r="R11320" s="19" t="n"/>
      <c r="Y11320" s="19" t="n"/>
    </row>
    <row r="11321">
      <c r="C11321" s="18" t="n"/>
      <c r="J11321" s="19" t="n"/>
      <c r="P11321" s="20" t="n"/>
      <c r="Q11321" s="19" t="n"/>
      <c r="R11321" s="19" t="n"/>
      <c r="Y11321" s="19" t="n"/>
    </row>
    <row r="11322">
      <c r="C11322" s="18" t="n"/>
      <c r="J11322" s="19" t="n"/>
      <c r="P11322" s="20" t="n"/>
      <c r="Q11322" s="19" t="n"/>
      <c r="R11322" s="19" t="n"/>
      <c r="Y11322" s="19" t="n"/>
    </row>
    <row r="11323">
      <c r="C11323" s="18" t="n"/>
      <c r="J11323" s="19" t="n"/>
      <c r="P11323" s="20" t="n"/>
      <c r="Q11323" s="19" t="n"/>
      <c r="R11323" s="19" t="n"/>
      <c r="Y11323" s="19" t="n"/>
    </row>
    <row r="11324">
      <c r="C11324" s="18" t="n"/>
      <c r="J11324" s="19" t="n"/>
      <c r="P11324" s="20" t="n"/>
      <c r="Q11324" s="19" t="n"/>
      <c r="R11324" s="19" t="n"/>
      <c r="Y11324" s="19" t="n"/>
    </row>
    <row r="11325">
      <c r="C11325" s="18" t="n"/>
      <c r="J11325" s="19" t="n"/>
      <c r="P11325" s="20" t="n"/>
      <c r="Q11325" s="19" t="n"/>
      <c r="R11325" s="19" t="n"/>
      <c r="Y11325" s="19" t="n"/>
    </row>
    <row r="11326">
      <c r="C11326" s="18" t="n"/>
      <c r="J11326" s="19" t="n"/>
      <c r="P11326" s="20" t="n"/>
      <c r="Q11326" s="19" t="n"/>
      <c r="R11326" s="19" t="n"/>
      <c r="Y11326" s="19" t="n"/>
    </row>
    <row r="11327">
      <c r="C11327" s="18" t="n"/>
      <c r="J11327" s="19" t="n"/>
      <c r="P11327" s="20" t="n"/>
      <c r="Q11327" s="19" t="n"/>
      <c r="R11327" s="19" t="n"/>
      <c r="Y11327" s="19" t="n"/>
    </row>
    <row r="11328">
      <c r="C11328" s="18" t="n"/>
      <c r="J11328" s="19" t="n"/>
      <c r="P11328" s="20" t="n"/>
      <c r="Q11328" s="19" t="n"/>
      <c r="R11328" s="19" t="n"/>
      <c r="Y11328" s="19" t="n"/>
    </row>
    <row r="11329">
      <c r="C11329" s="18" t="n"/>
      <c r="J11329" s="19" t="n"/>
      <c r="P11329" s="20" t="n"/>
      <c r="Q11329" s="19" t="n"/>
      <c r="R11329" s="19" t="n"/>
      <c r="Y11329" s="19" t="n"/>
    </row>
    <row r="11330">
      <c r="C11330" s="18" t="n"/>
      <c r="J11330" s="19" t="n"/>
      <c r="P11330" s="20" t="n"/>
      <c r="Q11330" s="19" t="n"/>
      <c r="R11330" s="19" t="n"/>
      <c r="Y11330" s="19" t="n"/>
    </row>
    <row r="11331">
      <c r="C11331" s="18" t="n"/>
      <c r="J11331" s="19" t="n"/>
      <c r="P11331" s="20" t="n"/>
      <c r="Q11331" s="19" t="n"/>
      <c r="R11331" s="19" t="n"/>
      <c r="Y11331" s="19" t="n"/>
    </row>
    <row r="11332">
      <c r="C11332" s="18" t="n"/>
      <c r="J11332" s="19" t="n"/>
      <c r="P11332" s="20" t="n"/>
      <c r="Q11332" s="19" t="n"/>
      <c r="R11332" s="19" t="n"/>
      <c r="Y11332" s="19" t="n"/>
    </row>
    <row r="11333">
      <c r="C11333" s="18" t="n"/>
      <c r="J11333" s="19" t="n"/>
      <c r="P11333" s="20" t="n"/>
      <c r="Q11333" s="19" t="n"/>
      <c r="R11333" s="19" t="n"/>
      <c r="Y11333" s="19" t="n"/>
    </row>
    <row r="11334">
      <c r="C11334" s="18" t="n"/>
      <c r="J11334" s="19" t="n"/>
      <c r="P11334" s="20" t="n"/>
      <c r="Q11334" s="19" t="n"/>
      <c r="R11334" s="19" t="n"/>
      <c r="Y11334" s="19" t="n"/>
    </row>
    <row r="11335">
      <c r="C11335" s="18" t="n"/>
      <c r="J11335" s="19" t="n"/>
      <c r="P11335" s="20" t="n"/>
      <c r="Q11335" s="19" t="n"/>
      <c r="R11335" s="19" t="n"/>
      <c r="Y11335" s="19" t="n"/>
    </row>
    <row r="11336">
      <c r="C11336" s="18" t="n"/>
      <c r="J11336" s="19" t="n"/>
      <c r="P11336" s="20" t="n"/>
      <c r="Q11336" s="19" t="n"/>
      <c r="R11336" s="19" t="n"/>
      <c r="Y11336" s="19" t="n"/>
    </row>
    <row r="11337">
      <c r="C11337" s="18" t="n"/>
      <c r="J11337" s="19" t="n"/>
      <c r="P11337" s="20" t="n"/>
      <c r="Q11337" s="19" t="n"/>
      <c r="R11337" s="19" t="n"/>
      <c r="Y11337" s="19" t="n"/>
    </row>
    <row r="11338">
      <c r="C11338" s="18" t="n"/>
      <c r="J11338" s="19" t="n"/>
      <c r="P11338" s="20" t="n"/>
      <c r="Q11338" s="19" t="n"/>
      <c r="R11338" s="19" t="n"/>
      <c r="Y11338" s="19" t="n"/>
    </row>
    <row r="11339">
      <c r="C11339" s="18" t="n"/>
      <c r="J11339" s="19" t="n"/>
      <c r="P11339" s="20" t="n"/>
      <c r="Q11339" s="19" t="n"/>
      <c r="R11339" s="19" t="n"/>
      <c r="Y11339" s="19" t="n"/>
    </row>
    <row r="11340">
      <c r="C11340" s="18" t="n"/>
      <c r="J11340" s="19" t="n"/>
      <c r="P11340" s="20" t="n"/>
      <c r="Q11340" s="19" t="n"/>
      <c r="R11340" s="19" t="n"/>
      <c r="Y11340" s="19" t="n"/>
    </row>
    <row r="11341">
      <c r="C11341" s="18" t="n"/>
      <c r="J11341" s="19" t="n"/>
      <c r="P11341" s="20" t="n"/>
      <c r="Q11341" s="19" t="n"/>
      <c r="R11341" s="19" t="n"/>
      <c r="Y11341" s="19" t="n"/>
    </row>
    <row r="11342">
      <c r="C11342" s="18" t="n"/>
      <c r="J11342" s="19" t="n"/>
      <c r="P11342" s="20" t="n"/>
      <c r="Q11342" s="19" t="n"/>
      <c r="R11342" s="19" t="n"/>
      <c r="Y11342" s="19" t="n"/>
    </row>
    <row r="11343">
      <c r="C11343" s="18" t="n"/>
      <c r="J11343" s="19" t="n"/>
      <c r="P11343" s="20" t="n"/>
      <c r="Q11343" s="19" t="n"/>
      <c r="R11343" s="19" t="n"/>
      <c r="Y11343" s="19" t="n"/>
    </row>
    <row r="11344">
      <c r="C11344" s="18" t="n"/>
      <c r="J11344" s="19" t="n"/>
      <c r="P11344" s="20" t="n"/>
      <c r="Q11344" s="19" t="n"/>
      <c r="R11344" s="19" t="n"/>
      <c r="Y11344" s="19" t="n"/>
    </row>
    <row r="11345">
      <c r="C11345" s="18" t="n"/>
      <c r="J11345" s="19" t="n"/>
      <c r="P11345" s="20" t="n"/>
      <c r="Q11345" s="19" t="n"/>
      <c r="R11345" s="19" t="n"/>
      <c r="Y11345" s="19" t="n"/>
    </row>
    <row r="11346">
      <c r="C11346" s="18" t="n"/>
      <c r="J11346" s="19" t="n"/>
      <c r="P11346" s="20" t="n"/>
      <c r="Q11346" s="19" t="n"/>
      <c r="R11346" s="19" t="n"/>
      <c r="Y11346" s="19" t="n"/>
    </row>
    <row r="11347">
      <c r="C11347" s="18" t="n"/>
      <c r="J11347" s="19" t="n"/>
      <c r="P11347" s="20" t="n"/>
      <c r="Q11347" s="19" t="n"/>
      <c r="R11347" s="19" t="n"/>
      <c r="Y11347" s="19" t="n"/>
    </row>
    <row r="11348">
      <c r="C11348" s="18" t="n"/>
      <c r="J11348" s="19" t="n"/>
      <c r="P11348" s="20" t="n"/>
      <c r="Q11348" s="19" t="n"/>
      <c r="R11348" s="19" t="n"/>
      <c r="Y11348" s="19" t="n"/>
    </row>
    <row r="11349">
      <c r="C11349" s="18" t="n"/>
      <c r="J11349" s="19" t="n"/>
      <c r="P11349" s="20" t="n"/>
      <c r="Q11349" s="19" t="n"/>
      <c r="R11349" s="19" t="n"/>
      <c r="Y11349" s="19" t="n"/>
    </row>
    <row r="11350">
      <c r="C11350" s="18" t="n"/>
      <c r="J11350" s="19" t="n"/>
      <c r="P11350" s="20" t="n"/>
      <c r="Q11350" s="19" t="n"/>
      <c r="R11350" s="19" t="n"/>
      <c r="Y11350" s="19" t="n"/>
    </row>
    <row r="11351">
      <c r="C11351" s="18" t="n"/>
      <c r="J11351" s="19" t="n"/>
      <c r="P11351" s="20" t="n"/>
      <c r="Q11351" s="19" t="n"/>
      <c r="R11351" s="19" t="n"/>
      <c r="Y11351" s="19" t="n"/>
    </row>
    <row r="11352">
      <c r="C11352" s="18" t="n"/>
      <c r="J11352" s="19" t="n"/>
      <c r="P11352" s="20" t="n"/>
      <c r="Q11352" s="19" t="n"/>
      <c r="R11352" s="19" t="n"/>
      <c r="Y11352" s="19" t="n"/>
    </row>
    <row r="11353">
      <c r="C11353" s="18" t="n"/>
      <c r="J11353" s="19" t="n"/>
      <c r="P11353" s="20" t="n"/>
      <c r="Q11353" s="19" t="n"/>
      <c r="R11353" s="19" t="n"/>
      <c r="Y11353" s="19" t="n"/>
    </row>
    <row r="11354">
      <c r="C11354" s="18" t="n"/>
      <c r="J11354" s="19" t="n"/>
      <c r="P11354" s="20" t="n"/>
      <c r="Q11354" s="19" t="n"/>
      <c r="R11354" s="19" t="n"/>
      <c r="Y11354" s="19" t="n"/>
    </row>
    <row r="11355">
      <c r="C11355" s="18" t="n"/>
      <c r="J11355" s="19" t="n"/>
      <c r="P11355" s="20" t="n"/>
      <c r="Q11355" s="19" t="n"/>
      <c r="R11355" s="19" t="n"/>
      <c r="Y11355" s="19" t="n"/>
    </row>
    <row r="11356">
      <c r="C11356" s="18" t="n"/>
      <c r="J11356" s="19" t="n"/>
      <c r="P11356" s="20" t="n"/>
      <c r="Q11356" s="19" t="n"/>
      <c r="R11356" s="19" t="n"/>
      <c r="Y11356" s="19" t="n"/>
    </row>
    <row r="11357">
      <c r="C11357" s="18" t="n"/>
      <c r="J11357" s="19" t="n"/>
      <c r="P11357" s="20" t="n"/>
      <c r="Q11357" s="19" t="n"/>
      <c r="R11357" s="19" t="n"/>
      <c r="Y11357" s="19" t="n"/>
    </row>
    <row r="11358">
      <c r="C11358" s="18" t="n"/>
      <c r="J11358" s="19" t="n"/>
      <c r="P11358" s="20" t="n"/>
      <c r="Q11358" s="19" t="n"/>
      <c r="R11358" s="19" t="n"/>
      <c r="Y11358" s="19" t="n"/>
    </row>
    <row r="11359">
      <c r="C11359" s="18" t="n"/>
      <c r="J11359" s="19" t="n"/>
      <c r="P11359" s="20" t="n"/>
      <c r="Q11359" s="19" t="n"/>
      <c r="R11359" s="19" t="n"/>
      <c r="Y11359" s="19" t="n"/>
    </row>
    <row r="11360">
      <c r="C11360" s="18" t="n"/>
      <c r="J11360" s="19" t="n"/>
      <c r="P11360" s="20" t="n"/>
      <c r="Q11360" s="19" t="n"/>
      <c r="R11360" s="19" t="n"/>
      <c r="Y11360" s="19" t="n"/>
    </row>
    <row r="11361">
      <c r="C11361" s="18" t="n"/>
      <c r="J11361" s="19" t="n"/>
      <c r="P11361" s="20" t="n"/>
      <c r="Q11361" s="19" t="n"/>
      <c r="R11361" s="19" t="n"/>
      <c r="Y11361" s="19" t="n"/>
    </row>
    <row r="11362">
      <c r="C11362" s="18" t="n"/>
      <c r="J11362" s="19" t="n"/>
      <c r="P11362" s="20" t="n"/>
      <c r="Q11362" s="19" t="n"/>
      <c r="R11362" s="19" t="n"/>
      <c r="Y11362" s="19" t="n"/>
    </row>
    <row r="11363">
      <c r="C11363" s="18" t="n"/>
      <c r="J11363" s="19" t="n"/>
      <c r="P11363" s="20" t="n"/>
      <c r="Q11363" s="19" t="n"/>
      <c r="R11363" s="19" t="n"/>
      <c r="Y11363" s="19" t="n"/>
    </row>
    <row r="11364">
      <c r="C11364" s="18" t="n"/>
      <c r="J11364" s="19" t="n"/>
      <c r="P11364" s="20" t="n"/>
      <c r="Q11364" s="19" t="n"/>
      <c r="R11364" s="19" t="n"/>
      <c r="Y11364" s="19" t="n"/>
    </row>
    <row r="11365">
      <c r="C11365" s="18" t="n"/>
      <c r="J11365" s="19" t="n"/>
      <c r="P11365" s="20" t="n"/>
      <c r="Q11365" s="19" t="n"/>
      <c r="R11365" s="19" t="n"/>
      <c r="Y11365" s="19" t="n"/>
    </row>
    <row r="11366">
      <c r="C11366" s="18" t="n"/>
      <c r="J11366" s="19" t="n"/>
      <c r="P11366" s="20" t="n"/>
      <c r="Q11366" s="19" t="n"/>
      <c r="R11366" s="19" t="n"/>
      <c r="Y11366" s="19" t="n"/>
    </row>
    <row r="11367">
      <c r="C11367" s="18" t="n"/>
      <c r="J11367" s="19" t="n"/>
      <c r="P11367" s="20" t="n"/>
      <c r="Q11367" s="19" t="n"/>
      <c r="R11367" s="19" t="n"/>
      <c r="Y11367" s="19" t="n"/>
    </row>
    <row r="11368">
      <c r="C11368" s="18" t="n"/>
      <c r="J11368" s="19" t="n"/>
      <c r="P11368" s="20" t="n"/>
      <c r="Q11368" s="19" t="n"/>
      <c r="R11368" s="19" t="n"/>
      <c r="Y11368" s="19" t="n"/>
    </row>
    <row r="11369">
      <c r="C11369" s="18" t="n"/>
      <c r="J11369" s="19" t="n"/>
      <c r="P11369" s="20" t="n"/>
      <c r="Q11369" s="19" t="n"/>
      <c r="R11369" s="19" t="n"/>
      <c r="Y11369" s="19" t="n"/>
    </row>
    <row r="11370">
      <c r="C11370" s="18" t="n"/>
      <c r="J11370" s="19" t="n"/>
      <c r="P11370" s="20" t="n"/>
      <c r="Q11370" s="19" t="n"/>
      <c r="R11370" s="19" t="n"/>
      <c r="Y11370" s="19" t="n"/>
    </row>
    <row r="11371">
      <c r="C11371" s="18" t="n"/>
      <c r="J11371" s="19" t="n"/>
      <c r="P11371" s="20" t="n"/>
      <c r="Q11371" s="19" t="n"/>
      <c r="R11371" s="19" t="n"/>
      <c r="Y11371" s="19" t="n"/>
    </row>
    <row r="11372">
      <c r="C11372" s="18" t="n"/>
      <c r="J11372" s="19" t="n"/>
      <c r="P11372" s="20" t="n"/>
      <c r="Q11372" s="19" t="n"/>
      <c r="R11372" s="19" t="n"/>
      <c r="Y11372" s="19" t="n"/>
    </row>
    <row r="11373">
      <c r="C11373" s="18" t="n"/>
      <c r="J11373" s="19" t="n"/>
      <c r="P11373" s="20" t="n"/>
      <c r="Q11373" s="19" t="n"/>
      <c r="R11373" s="19" t="n"/>
      <c r="Y11373" s="19" t="n"/>
    </row>
    <row r="11374">
      <c r="C11374" s="18" t="n"/>
      <c r="J11374" s="19" t="n"/>
      <c r="P11374" s="20" t="n"/>
      <c r="Q11374" s="19" t="n"/>
      <c r="R11374" s="19" t="n"/>
      <c r="Y11374" s="19" t="n"/>
    </row>
    <row r="11375">
      <c r="C11375" s="18" t="n"/>
      <c r="J11375" s="19" t="n"/>
      <c r="P11375" s="20" t="n"/>
      <c r="Q11375" s="19" t="n"/>
      <c r="R11375" s="19" t="n"/>
      <c r="Y11375" s="19" t="n"/>
    </row>
    <row r="11376">
      <c r="C11376" s="18" t="n"/>
      <c r="J11376" s="19" t="n"/>
      <c r="P11376" s="20" t="n"/>
      <c r="Q11376" s="19" t="n"/>
      <c r="R11376" s="19" t="n"/>
      <c r="Y11376" s="19" t="n"/>
    </row>
    <row r="11377">
      <c r="C11377" s="18" t="n"/>
      <c r="J11377" s="19" t="n"/>
      <c r="P11377" s="20" t="n"/>
      <c r="Q11377" s="19" t="n"/>
      <c r="R11377" s="19" t="n"/>
      <c r="Y11377" s="19" t="n"/>
    </row>
    <row r="11378">
      <c r="C11378" s="18" t="n"/>
      <c r="J11378" s="19" t="n"/>
      <c r="P11378" s="20" t="n"/>
      <c r="Q11378" s="19" t="n"/>
      <c r="R11378" s="19" t="n"/>
      <c r="Y11378" s="19" t="n"/>
    </row>
    <row r="11379">
      <c r="C11379" s="18" t="n"/>
      <c r="J11379" s="19" t="n"/>
      <c r="P11379" s="20" t="n"/>
      <c r="Q11379" s="19" t="n"/>
      <c r="R11379" s="19" t="n"/>
      <c r="Y11379" s="19" t="n"/>
    </row>
    <row r="11380">
      <c r="C11380" s="18" t="n"/>
      <c r="J11380" s="19" t="n"/>
      <c r="P11380" s="20" t="n"/>
      <c r="Q11380" s="19" t="n"/>
      <c r="R11380" s="19" t="n"/>
      <c r="Y11380" s="19" t="n"/>
    </row>
    <row r="11381">
      <c r="C11381" s="18" t="n"/>
      <c r="J11381" s="19" t="n"/>
      <c r="P11381" s="20" t="n"/>
      <c r="Q11381" s="19" t="n"/>
      <c r="R11381" s="19" t="n"/>
      <c r="Y11381" s="19" t="n"/>
    </row>
    <row r="11382">
      <c r="C11382" s="18" t="n"/>
      <c r="J11382" s="19" t="n"/>
      <c r="P11382" s="20" t="n"/>
      <c r="Q11382" s="19" t="n"/>
      <c r="R11382" s="19" t="n"/>
      <c r="Y11382" s="19" t="n"/>
    </row>
    <row r="11383">
      <c r="C11383" s="18" t="n"/>
      <c r="J11383" s="19" t="n"/>
      <c r="P11383" s="20" t="n"/>
      <c r="Q11383" s="19" t="n"/>
      <c r="R11383" s="19" t="n"/>
      <c r="Y11383" s="19" t="n"/>
    </row>
    <row r="11384">
      <c r="C11384" s="18" t="n"/>
      <c r="J11384" s="19" t="n"/>
      <c r="P11384" s="20" t="n"/>
      <c r="Q11384" s="19" t="n"/>
      <c r="R11384" s="19" t="n"/>
      <c r="Y11384" s="19" t="n"/>
    </row>
    <row r="11385">
      <c r="C11385" s="18" t="n"/>
      <c r="J11385" s="19" t="n"/>
      <c r="P11385" s="20" t="n"/>
      <c r="Q11385" s="19" t="n"/>
      <c r="R11385" s="19" t="n"/>
      <c r="Y11385" s="19" t="n"/>
    </row>
    <row r="11386">
      <c r="C11386" s="18" t="n"/>
      <c r="J11386" s="19" t="n"/>
      <c r="P11386" s="20" t="n"/>
      <c r="Q11386" s="19" t="n"/>
      <c r="R11386" s="19" t="n"/>
      <c r="Y11386" s="19" t="n"/>
    </row>
    <row r="11387">
      <c r="C11387" s="18" t="n"/>
      <c r="J11387" s="19" t="n"/>
      <c r="P11387" s="20" t="n"/>
      <c r="Q11387" s="19" t="n"/>
      <c r="R11387" s="19" t="n"/>
      <c r="Y11387" s="19" t="n"/>
    </row>
    <row r="11388">
      <c r="C11388" s="18" t="n"/>
      <c r="J11388" s="19" t="n"/>
      <c r="P11388" s="20" t="n"/>
      <c r="Q11388" s="19" t="n"/>
      <c r="R11388" s="19" t="n"/>
      <c r="Y11388" s="19" t="n"/>
    </row>
    <row r="11389">
      <c r="C11389" s="18" t="n"/>
      <c r="J11389" s="19" t="n"/>
      <c r="P11389" s="20" t="n"/>
      <c r="Q11389" s="19" t="n"/>
      <c r="R11389" s="19" t="n"/>
      <c r="Y11389" s="19" t="n"/>
    </row>
    <row r="11390">
      <c r="C11390" s="18" t="n"/>
      <c r="J11390" s="19" t="n"/>
      <c r="P11390" s="20" t="n"/>
      <c r="Q11390" s="19" t="n"/>
      <c r="R11390" s="19" t="n"/>
      <c r="Y11390" s="19" t="n"/>
    </row>
    <row r="11391">
      <c r="C11391" s="18" t="n"/>
      <c r="J11391" s="19" t="n"/>
      <c r="P11391" s="20" t="n"/>
      <c r="Q11391" s="19" t="n"/>
      <c r="R11391" s="19" t="n"/>
      <c r="Y11391" s="19" t="n"/>
    </row>
    <row r="11392">
      <c r="C11392" s="18" t="n"/>
      <c r="J11392" s="19" t="n"/>
      <c r="P11392" s="20" t="n"/>
      <c r="Q11392" s="19" t="n"/>
      <c r="R11392" s="19" t="n"/>
      <c r="Y11392" s="19" t="n"/>
    </row>
    <row r="11393">
      <c r="C11393" s="18" t="n"/>
      <c r="J11393" s="19" t="n"/>
      <c r="P11393" s="20" t="n"/>
      <c r="Q11393" s="19" t="n"/>
      <c r="R11393" s="19" t="n"/>
      <c r="Y11393" s="19" t="n"/>
    </row>
    <row r="11394">
      <c r="C11394" s="18" t="n"/>
      <c r="J11394" s="19" t="n"/>
      <c r="P11394" s="20" t="n"/>
      <c r="Q11394" s="19" t="n"/>
      <c r="R11394" s="19" t="n"/>
      <c r="Y11394" s="19" t="n"/>
    </row>
    <row r="11395">
      <c r="C11395" s="18" t="n"/>
      <c r="J11395" s="19" t="n"/>
      <c r="P11395" s="20" t="n"/>
      <c r="Q11395" s="19" t="n"/>
      <c r="R11395" s="19" t="n"/>
      <c r="Y11395" s="19" t="n"/>
    </row>
    <row r="11396">
      <c r="C11396" s="18" t="n"/>
      <c r="J11396" s="19" t="n"/>
      <c r="P11396" s="20" t="n"/>
      <c r="Q11396" s="19" t="n"/>
      <c r="R11396" s="19" t="n"/>
      <c r="Y11396" s="19" t="n"/>
    </row>
    <row r="11397">
      <c r="C11397" s="18" t="n"/>
      <c r="J11397" s="19" t="n"/>
      <c r="P11397" s="20" t="n"/>
      <c r="Q11397" s="19" t="n"/>
      <c r="R11397" s="19" t="n"/>
      <c r="Y11397" s="19" t="n"/>
    </row>
    <row r="11398">
      <c r="C11398" s="18" t="n"/>
      <c r="J11398" s="19" t="n"/>
      <c r="P11398" s="20" t="n"/>
      <c r="Q11398" s="19" t="n"/>
      <c r="R11398" s="19" t="n"/>
      <c r="Y11398" s="19" t="n"/>
    </row>
    <row r="11399">
      <c r="C11399" s="18" t="n"/>
      <c r="J11399" s="19" t="n"/>
      <c r="P11399" s="20" t="n"/>
      <c r="Q11399" s="19" t="n"/>
      <c r="R11399" s="19" t="n"/>
      <c r="Y11399" s="19" t="n"/>
    </row>
    <row r="11400">
      <c r="C11400" s="18" t="n"/>
      <c r="J11400" s="19" t="n"/>
      <c r="P11400" s="20" t="n"/>
      <c r="Q11400" s="19" t="n"/>
      <c r="R11400" s="19" t="n"/>
      <c r="Y11400" s="19" t="n"/>
    </row>
    <row r="11401">
      <c r="C11401" s="18" t="n"/>
      <c r="J11401" s="19" t="n"/>
      <c r="P11401" s="20" t="n"/>
      <c r="Q11401" s="19" t="n"/>
      <c r="R11401" s="19" t="n"/>
      <c r="Y11401" s="19" t="n"/>
    </row>
    <row r="11402">
      <c r="C11402" s="18" t="n"/>
      <c r="J11402" s="19" t="n"/>
      <c r="P11402" s="20" t="n"/>
      <c r="Q11402" s="19" t="n"/>
      <c r="R11402" s="19" t="n"/>
      <c r="Y11402" s="19" t="n"/>
    </row>
    <row r="11403">
      <c r="C11403" s="18" t="n"/>
      <c r="J11403" s="19" t="n"/>
      <c r="P11403" s="20" t="n"/>
      <c r="Q11403" s="19" t="n"/>
      <c r="R11403" s="19" t="n"/>
      <c r="Y11403" s="19" t="n"/>
    </row>
    <row r="11404">
      <c r="C11404" s="18" t="n"/>
      <c r="J11404" s="19" t="n"/>
      <c r="P11404" s="20" t="n"/>
      <c r="Q11404" s="19" t="n"/>
      <c r="R11404" s="19" t="n"/>
      <c r="Y11404" s="19" t="n"/>
    </row>
    <row r="11405">
      <c r="C11405" s="18" t="n"/>
      <c r="J11405" s="19" t="n"/>
      <c r="P11405" s="20" t="n"/>
      <c r="Q11405" s="19" t="n"/>
      <c r="R11405" s="19" t="n"/>
      <c r="Y11405" s="19" t="n"/>
    </row>
    <row r="11406">
      <c r="C11406" s="18" t="n"/>
      <c r="J11406" s="19" t="n"/>
      <c r="P11406" s="20" t="n"/>
      <c r="Q11406" s="19" t="n"/>
      <c r="R11406" s="19" t="n"/>
      <c r="Y11406" s="19" t="n"/>
    </row>
    <row r="11407">
      <c r="C11407" s="18" t="n"/>
      <c r="J11407" s="19" t="n"/>
      <c r="P11407" s="20" t="n"/>
      <c r="Q11407" s="19" t="n"/>
      <c r="R11407" s="19" t="n"/>
      <c r="Y11407" s="19" t="n"/>
    </row>
    <row r="11408">
      <c r="C11408" s="18" t="n"/>
      <c r="J11408" s="19" t="n"/>
      <c r="P11408" s="20" t="n"/>
      <c r="Q11408" s="19" t="n"/>
      <c r="R11408" s="19" t="n"/>
      <c r="Y11408" s="19" t="n"/>
    </row>
    <row r="11409">
      <c r="C11409" s="18" t="n"/>
      <c r="J11409" s="19" t="n"/>
      <c r="P11409" s="20" t="n"/>
      <c r="Q11409" s="19" t="n"/>
      <c r="R11409" s="19" t="n"/>
      <c r="Y11409" s="19" t="n"/>
    </row>
    <row r="11410">
      <c r="C11410" s="18" t="n"/>
      <c r="J11410" s="19" t="n"/>
      <c r="P11410" s="20" t="n"/>
      <c r="Q11410" s="19" t="n"/>
      <c r="R11410" s="19" t="n"/>
      <c r="Y11410" s="19" t="n"/>
    </row>
    <row r="11411">
      <c r="C11411" s="18" t="n"/>
      <c r="J11411" s="19" t="n"/>
      <c r="P11411" s="20" t="n"/>
      <c r="Q11411" s="19" t="n"/>
      <c r="R11411" s="19" t="n"/>
      <c r="Y11411" s="19" t="n"/>
    </row>
    <row r="11412">
      <c r="C11412" s="18" t="n"/>
      <c r="J11412" s="19" t="n"/>
      <c r="P11412" s="20" t="n"/>
      <c r="Q11412" s="19" t="n"/>
      <c r="R11412" s="19" t="n"/>
      <c r="Y11412" s="19" t="n"/>
    </row>
    <row r="11413">
      <c r="C11413" s="18" t="n"/>
      <c r="J11413" s="19" t="n"/>
      <c r="P11413" s="20" t="n"/>
      <c r="Q11413" s="19" t="n"/>
      <c r="R11413" s="19" t="n"/>
      <c r="Y11413" s="19" t="n"/>
    </row>
    <row r="11414">
      <c r="C11414" s="18" t="n"/>
      <c r="J11414" s="19" t="n"/>
      <c r="P11414" s="20" t="n"/>
      <c r="Q11414" s="19" t="n"/>
      <c r="R11414" s="19" t="n"/>
      <c r="Y11414" s="19" t="n"/>
    </row>
    <row r="11415">
      <c r="C11415" s="18" t="n"/>
      <c r="J11415" s="19" t="n"/>
      <c r="P11415" s="20" t="n"/>
      <c r="Q11415" s="19" t="n"/>
      <c r="R11415" s="19" t="n"/>
      <c r="Y11415" s="19" t="n"/>
    </row>
    <row r="11416">
      <c r="C11416" s="18" t="n"/>
      <c r="J11416" s="19" t="n"/>
      <c r="P11416" s="20" t="n"/>
      <c r="Q11416" s="19" t="n"/>
      <c r="R11416" s="19" t="n"/>
      <c r="Y11416" s="19" t="n"/>
    </row>
    <row r="11417">
      <c r="C11417" s="18" t="n"/>
      <c r="J11417" s="19" t="n"/>
      <c r="P11417" s="20" t="n"/>
      <c r="Q11417" s="19" t="n"/>
      <c r="R11417" s="19" t="n"/>
      <c r="Y11417" s="19" t="n"/>
    </row>
    <row r="11418">
      <c r="C11418" s="18" t="n"/>
      <c r="J11418" s="19" t="n"/>
      <c r="P11418" s="20" t="n"/>
      <c r="Q11418" s="19" t="n"/>
      <c r="R11418" s="19" t="n"/>
      <c r="Y11418" s="19" t="n"/>
    </row>
    <row r="11419">
      <c r="C11419" s="18" t="n"/>
      <c r="J11419" s="19" t="n"/>
      <c r="P11419" s="20" t="n"/>
      <c r="Q11419" s="19" t="n"/>
      <c r="R11419" s="19" t="n"/>
      <c r="Y11419" s="19" t="n"/>
    </row>
    <row r="11420">
      <c r="C11420" s="18" t="n"/>
      <c r="J11420" s="19" t="n"/>
      <c r="P11420" s="20" t="n"/>
      <c r="Q11420" s="19" t="n"/>
      <c r="R11420" s="19" t="n"/>
      <c r="Y11420" s="19" t="n"/>
    </row>
    <row r="11421">
      <c r="C11421" s="18" t="n"/>
      <c r="J11421" s="19" t="n"/>
      <c r="P11421" s="20" t="n"/>
      <c r="Q11421" s="19" t="n"/>
      <c r="R11421" s="19" t="n"/>
      <c r="Y11421" s="19" t="n"/>
    </row>
    <row r="11422">
      <c r="C11422" s="18" t="n"/>
      <c r="J11422" s="19" t="n"/>
      <c r="P11422" s="20" t="n"/>
      <c r="Q11422" s="19" t="n"/>
      <c r="R11422" s="19" t="n"/>
      <c r="Y11422" s="19" t="n"/>
    </row>
    <row r="11423">
      <c r="C11423" s="18" t="n"/>
      <c r="J11423" s="19" t="n"/>
      <c r="P11423" s="20" t="n"/>
      <c r="Q11423" s="19" t="n"/>
      <c r="R11423" s="19" t="n"/>
      <c r="Y11423" s="19" t="n"/>
    </row>
    <row r="11424">
      <c r="C11424" s="18" t="n"/>
      <c r="J11424" s="19" t="n"/>
      <c r="P11424" s="20" t="n"/>
      <c r="Q11424" s="19" t="n"/>
      <c r="R11424" s="19" t="n"/>
      <c r="Y11424" s="19" t="n"/>
    </row>
    <row r="11425">
      <c r="C11425" s="18" t="n"/>
      <c r="J11425" s="19" t="n"/>
      <c r="P11425" s="20" t="n"/>
      <c r="Q11425" s="19" t="n"/>
      <c r="R11425" s="19" t="n"/>
      <c r="Y11425" s="19" t="n"/>
    </row>
    <row r="11426">
      <c r="C11426" s="18" t="n"/>
      <c r="J11426" s="19" t="n"/>
      <c r="P11426" s="20" t="n"/>
      <c r="Q11426" s="19" t="n"/>
      <c r="R11426" s="19" t="n"/>
      <c r="Y11426" s="19" t="n"/>
    </row>
    <row r="11427">
      <c r="C11427" s="18" t="n"/>
      <c r="J11427" s="19" t="n"/>
      <c r="P11427" s="20" t="n"/>
      <c r="Q11427" s="19" t="n"/>
      <c r="R11427" s="19" t="n"/>
      <c r="Y11427" s="19" t="n"/>
    </row>
    <row r="11428">
      <c r="C11428" s="18" t="n"/>
      <c r="J11428" s="19" t="n"/>
      <c r="P11428" s="20" t="n"/>
      <c r="Q11428" s="19" t="n"/>
      <c r="R11428" s="19" t="n"/>
      <c r="Y11428" s="19" t="n"/>
    </row>
    <row r="11429">
      <c r="C11429" s="18" t="n"/>
      <c r="J11429" s="19" t="n"/>
      <c r="P11429" s="20" t="n"/>
      <c r="Q11429" s="19" t="n"/>
      <c r="R11429" s="19" t="n"/>
      <c r="Y11429" s="19" t="n"/>
    </row>
    <row r="11430">
      <c r="C11430" s="18" t="n"/>
      <c r="J11430" s="19" t="n"/>
      <c r="P11430" s="20" t="n"/>
      <c r="Q11430" s="19" t="n"/>
      <c r="R11430" s="19" t="n"/>
      <c r="Y11430" s="19" t="n"/>
    </row>
    <row r="11431">
      <c r="C11431" s="18" t="n"/>
      <c r="J11431" s="19" t="n"/>
      <c r="P11431" s="20" t="n"/>
      <c r="Q11431" s="19" t="n"/>
      <c r="R11431" s="19" t="n"/>
      <c r="Y11431" s="19" t="n"/>
    </row>
    <row r="11432">
      <c r="C11432" s="18" t="n"/>
      <c r="J11432" s="19" t="n"/>
      <c r="P11432" s="20" t="n"/>
      <c r="Q11432" s="19" t="n"/>
      <c r="R11432" s="19" t="n"/>
      <c r="Y11432" s="19" t="n"/>
    </row>
    <row r="11433">
      <c r="C11433" s="18" t="n"/>
      <c r="J11433" s="19" t="n"/>
      <c r="P11433" s="20" t="n"/>
      <c r="Q11433" s="19" t="n"/>
      <c r="R11433" s="19" t="n"/>
      <c r="Y11433" s="19" t="n"/>
    </row>
    <row r="11434">
      <c r="C11434" s="18" t="n"/>
      <c r="J11434" s="19" t="n"/>
      <c r="P11434" s="20" t="n"/>
      <c r="Q11434" s="19" t="n"/>
      <c r="R11434" s="19" t="n"/>
      <c r="Y11434" s="19" t="n"/>
    </row>
    <row r="11435">
      <c r="C11435" s="18" t="n"/>
      <c r="J11435" s="19" t="n"/>
      <c r="P11435" s="20" t="n"/>
      <c r="Q11435" s="19" t="n"/>
      <c r="R11435" s="19" t="n"/>
      <c r="Y11435" s="19" t="n"/>
    </row>
    <row r="11436">
      <c r="C11436" s="18" t="n"/>
      <c r="J11436" s="19" t="n"/>
      <c r="P11436" s="20" t="n"/>
      <c r="Q11436" s="19" t="n"/>
      <c r="R11436" s="19" t="n"/>
      <c r="Y11436" s="19" t="n"/>
    </row>
    <row r="11437">
      <c r="C11437" s="18" t="n"/>
      <c r="J11437" s="19" t="n"/>
      <c r="P11437" s="20" t="n"/>
      <c r="Q11437" s="19" t="n"/>
      <c r="R11437" s="19" t="n"/>
      <c r="Y11437" s="19" t="n"/>
    </row>
    <row r="11438">
      <c r="C11438" s="18" t="n"/>
      <c r="J11438" s="19" t="n"/>
      <c r="P11438" s="20" t="n"/>
      <c r="Q11438" s="19" t="n"/>
      <c r="R11438" s="19" t="n"/>
      <c r="Y11438" s="19" t="n"/>
    </row>
    <row r="11439">
      <c r="C11439" s="18" t="n"/>
      <c r="J11439" s="19" t="n"/>
      <c r="P11439" s="20" t="n"/>
      <c r="Q11439" s="19" t="n"/>
      <c r="R11439" s="19" t="n"/>
      <c r="Y11439" s="19" t="n"/>
    </row>
    <row r="11440">
      <c r="C11440" s="18" t="n"/>
      <c r="J11440" s="19" t="n"/>
      <c r="P11440" s="20" t="n"/>
      <c r="Q11440" s="19" t="n"/>
      <c r="R11440" s="19" t="n"/>
      <c r="Y11440" s="19" t="n"/>
    </row>
    <row r="11441">
      <c r="C11441" s="18" t="n"/>
      <c r="J11441" s="19" t="n"/>
      <c r="P11441" s="20" t="n"/>
      <c r="Q11441" s="19" t="n"/>
      <c r="R11441" s="19" t="n"/>
      <c r="Y11441" s="19" t="n"/>
    </row>
    <row r="11442">
      <c r="C11442" s="18" t="n"/>
      <c r="J11442" s="19" t="n"/>
      <c r="P11442" s="20" t="n"/>
      <c r="Q11442" s="19" t="n"/>
      <c r="R11442" s="19" t="n"/>
      <c r="Y11442" s="19" t="n"/>
    </row>
    <row r="11443">
      <c r="C11443" s="18" t="n"/>
      <c r="J11443" s="19" t="n"/>
      <c r="P11443" s="20" t="n"/>
      <c r="Q11443" s="19" t="n"/>
      <c r="R11443" s="19" t="n"/>
      <c r="Y11443" s="19" t="n"/>
    </row>
    <row r="11444">
      <c r="C11444" s="18" t="n"/>
      <c r="J11444" s="19" t="n"/>
      <c r="P11444" s="20" t="n"/>
      <c r="Q11444" s="19" t="n"/>
      <c r="R11444" s="19" t="n"/>
      <c r="Y11444" s="19" t="n"/>
    </row>
    <row r="11445">
      <c r="C11445" s="18" t="n"/>
      <c r="J11445" s="19" t="n"/>
      <c r="P11445" s="20" t="n"/>
      <c r="Q11445" s="19" t="n"/>
      <c r="R11445" s="19" t="n"/>
      <c r="Y11445" s="19" t="n"/>
    </row>
    <row r="11446">
      <c r="C11446" s="18" t="n"/>
      <c r="J11446" s="19" t="n"/>
      <c r="P11446" s="20" t="n"/>
      <c r="Q11446" s="19" t="n"/>
      <c r="R11446" s="19" t="n"/>
      <c r="Y11446" s="19" t="n"/>
    </row>
    <row r="11447">
      <c r="C11447" s="18" t="n"/>
      <c r="J11447" s="19" t="n"/>
      <c r="P11447" s="20" t="n"/>
      <c r="Q11447" s="19" t="n"/>
      <c r="R11447" s="19" t="n"/>
      <c r="Y11447" s="19" t="n"/>
    </row>
    <row r="11448">
      <c r="C11448" s="18" t="n"/>
      <c r="J11448" s="19" t="n"/>
      <c r="P11448" s="20" t="n"/>
      <c r="Q11448" s="19" t="n"/>
      <c r="R11448" s="19" t="n"/>
      <c r="Y11448" s="19" t="n"/>
    </row>
    <row r="11449">
      <c r="C11449" s="18" t="n"/>
      <c r="J11449" s="19" t="n"/>
      <c r="P11449" s="20" t="n"/>
      <c r="Q11449" s="19" t="n"/>
      <c r="R11449" s="19" t="n"/>
      <c r="Y11449" s="19" t="n"/>
    </row>
    <row r="11450">
      <c r="C11450" s="18" t="n"/>
      <c r="J11450" s="19" t="n"/>
      <c r="P11450" s="20" t="n"/>
      <c r="Q11450" s="19" t="n"/>
      <c r="R11450" s="19" t="n"/>
      <c r="Y11450" s="19" t="n"/>
    </row>
    <row r="11451">
      <c r="C11451" s="18" t="n"/>
      <c r="J11451" s="19" t="n"/>
      <c r="P11451" s="20" t="n"/>
      <c r="Q11451" s="19" t="n"/>
      <c r="R11451" s="19" t="n"/>
      <c r="Y11451" s="19" t="n"/>
    </row>
    <row r="11452">
      <c r="C11452" s="18" t="n"/>
      <c r="J11452" s="19" t="n"/>
      <c r="P11452" s="20" t="n"/>
      <c r="Q11452" s="19" t="n"/>
      <c r="R11452" s="19" t="n"/>
      <c r="Y11452" s="19" t="n"/>
    </row>
    <row r="11453">
      <c r="C11453" s="18" t="n"/>
      <c r="J11453" s="19" t="n"/>
      <c r="P11453" s="20" t="n"/>
      <c r="Q11453" s="19" t="n"/>
      <c r="R11453" s="19" t="n"/>
      <c r="Y11453" s="19" t="n"/>
    </row>
    <row r="11454">
      <c r="C11454" s="18" t="n"/>
      <c r="J11454" s="19" t="n"/>
      <c r="P11454" s="20" t="n"/>
      <c r="Q11454" s="19" t="n"/>
      <c r="R11454" s="19" t="n"/>
      <c r="Y11454" s="19" t="n"/>
    </row>
    <row r="11455">
      <c r="C11455" s="18" t="n"/>
      <c r="J11455" s="19" t="n"/>
      <c r="P11455" s="20" t="n"/>
      <c r="Q11455" s="19" t="n"/>
      <c r="R11455" s="19" t="n"/>
      <c r="Y11455" s="19" t="n"/>
    </row>
    <row r="11456">
      <c r="C11456" s="18" t="n"/>
      <c r="J11456" s="19" t="n"/>
      <c r="P11456" s="20" t="n"/>
      <c r="Q11456" s="19" t="n"/>
      <c r="R11456" s="19" t="n"/>
      <c r="Y11456" s="19" t="n"/>
    </row>
    <row r="11457">
      <c r="C11457" s="18" t="n"/>
      <c r="J11457" s="19" t="n"/>
      <c r="P11457" s="20" t="n"/>
      <c r="Q11457" s="19" t="n"/>
      <c r="R11457" s="19" t="n"/>
      <c r="Y11457" s="19" t="n"/>
    </row>
    <row r="11458">
      <c r="C11458" s="18" t="n"/>
      <c r="J11458" s="19" t="n"/>
      <c r="P11458" s="20" t="n"/>
      <c r="Q11458" s="19" t="n"/>
      <c r="R11458" s="19" t="n"/>
      <c r="Y11458" s="19" t="n"/>
    </row>
    <row r="11459">
      <c r="C11459" s="18" t="n"/>
      <c r="J11459" s="19" t="n"/>
      <c r="P11459" s="20" t="n"/>
      <c r="Q11459" s="19" t="n"/>
      <c r="R11459" s="19" t="n"/>
      <c r="Y11459" s="19" t="n"/>
    </row>
    <row r="11460">
      <c r="C11460" s="18" t="n"/>
      <c r="J11460" s="19" t="n"/>
      <c r="P11460" s="20" t="n"/>
      <c r="Q11460" s="19" t="n"/>
      <c r="R11460" s="19" t="n"/>
      <c r="Y11460" s="19" t="n"/>
    </row>
    <row r="11461">
      <c r="C11461" s="18" t="n"/>
      <c r="J11461" s="19" t="n"/>
      <c r="P11461" s="20" t="n"/>
      <c r="Q11461" s="19" t="n"/>
      <c r="R11461" s="19" t="n"/>
      <c r="Y11461" s="19" t="n"/>
    </row>
    <row r="11462">
      <c r="C11462" s="18" t="n"/>
      <c r="J11462" s="19" t="n"/>
      <c r="P11462" s="20" t="n"/>
      <c r="Q11462" s="19" t="n"/>
      <c r="R11462" s="19" t="n"/>
      <c r="Y11462" s="19" t="n"/>
    </row>
    <row r="11463">
      <c r="C11463" s="18" t="n"/>
      <c r="J11463" s="19" t="n"/>
      <c r="P11463" s="20" t="n"/>
      <c r="Q11463" s="19" t="n"/>
      <c r="R11463" s="19" t="n"/>
      <c r="Y11463" s="19" t="n"/>
    </row>
    <row r="11464">
      <c r="C11464" s="18" t="n"/>
      <c r="J11464" s="19" t="n"/>
      <c r="P11464" s="20" t="n"/>
      <c r="Q11464" s="19" t="n"/>
      <c r="R11464" s="19" t="n"/>
      <c r="Y11464" s="19" t="n"/>
    </row>
    <row r="11465">
      <c r="C11465" s="18" t="n"/>
      <c r="J11465" s="19" t="n"/>
      <c r="P11465" s="20" t="n"/>
      <c r="Q11465" s="19" t="n"/>
      <c r="R11465" s="19" t="n"/>
      <c r="Y11465" s="19" t="n"/>
    </row>
    <row r="11466">
      <c r="C11466" s="18" t="n"/>
      <c r="J11466" s="19" t="n"/>
      <c r="P11466" s="20" t="n"/>
      <c r="Q11466" s="19" t="n"/>
      <c r="R11466" s="19" t="n"/>
      <c r="Y11466" s="19" t="n"/>
    </row>
    <row r="11467">
      <c r="C11467" s="18" t="n"/>
      <c r="J11467" s="19" t="n"/>
      <c r="P11467" s="20" t="n"/>
      <c r="Q11467" s="19" t="n"/>
      <c r="R11467" s="19" t="n"/>
      <c r="Y11467" s="19" t="n"/>
    </row>
    <row r="11468">
      <c r="C11468" s="18" t="n"/>
      <c r="J11468" s="19" t="n"/>
      <c r="P11468" s="20" t="n"/>
      <c r="Q11468" s="19" t="n"/>
      <c r="R11468" s="19" t="n"/>
      <c r="Y11468" s="19" t="n"/>
    </row>
    <row r="11469">
      <c r="C11469" s="18" t="n"/>
      <c r="J11469" s="19" t="n"/>
      <c r="P11469" s="20" t="n"/>
      <c r="Q11469" s="19" t="n"/>
      <c r="R11469" s="19" t="n"/>
      <c r="Y11469" s="19" t="n"/>
    </row>
    <row r="11470">
      <c r="C11470" s="18" t="n"/>
      <c r="J11470" s="19" t="n"/>
      <c r="P11470" s="20" t="n"/>
      <c r="Q11470" s="19" t="n"/>
      <c r="R11470" s="19" t="n"/>
      <c r="Y11470" s="19" t="n"/>
    </row>
    <row r="11471">
      <c r="C11471" s="18" t="n"/>
      <c r="J11471" s="19" t="n"/>
      <c r="P11471" s="20" t="n"/>
      <c r="Q11471" s="19" t="n"/>
      <c r="R11471" s="19" t="n"/>
      <c r="Y11471" s="19" t="n"/>
    </row>
    <row r="11472">
      <c r="C11472" s="18" t="n"/>
      <c r="J11472" s="19" t="n"/>
      <c r="P11472" s="20" t="n"/>
      <c r="Q11472" s="19" t="n"/>
      <c r="R11472" s="19" t="n"/>
      <c r="Y11472" s="19" t="n"/>
    </row>
    <row r="11473">
      <c r="C11473" s="18" t="n"/>
      <c r="J11473" s="19" t="n"/>
      <c r="P11473" s="20" t="n"/>
      <c r="Q11473" s="19" t="n"/>
      <c r="R11473" s="19" t="n"/>
      <c r="Y11473" s="19" t="n"/>
    </row>
    <row r="11474">
      <c r="C11474" s="18" t="n"/>
      <c r="J11474" s="19" t="n"/>
      <c r="P11474" s="20" t="n"/>
      <c r="Q11474" s="19" t="n"/>
      <c r="R11474" s="19" t="n"/>
      <c r="Y11474" s="19" t="n"/>
    </row>
    <row r="11475">
      <c r="C11475" s="18" t="n"/>
      <c r="J11475" s="19" t="n"/>
      <c r="P11475" s="20" t="n"/>
      <c r="Q11475" s="19" t="n"/>
      <c r="R11475" s="19" t="n"/>
      <c r="Y11475" s="19" t="n"/>
    </row>
    <row r="11476">
      <c r="C11476" s="18" t="n"/>
      <c r="J11476" s="19" t="n"/>
      <c r="P11476" s="20" t="n"/>
      <c r="Q11476" s="19" t="n"/>
      <c r="R11476" s="19" t="n"/>
      <c r="Y11476" s="19" t="n"/>
    </row>
    <row r="11477">
      <c r="C11477" s="18" t="n"/>
      <c r="J11477" s="19" t="n"/>
      <c r="P11477" s="20" t="n"/>
      <c r="Q11477" s="19" t="n"/>
      <c r="R11477" s="19" t="n"/>
      <c r="Y11477" s="19" t="n"/>
    </row>
    <row r="11478">
      <c r="C11478" s="18" t="n"/>
      <c r="J11478" s="19" t="n"/>
      <c r="P11478" s="20" t="n"/>
      <c r="Q11478" s="19" t="n"/>
      <c r="R11478" s="19" t="n"/>
      <c r="Y11478" s="19" t="n"/>
    </row>
    <row r="11479">
      <c r="C11479" s="18" t="n"/>
      <c r="J11479" s="19" t="n"/>
      <c r="P11479" s="20" t="n"/>
      <c r="Q11479" s="19" t="n"/>
      <c r="R11479" s="19" t="n"/>
      <c r="Y11479" s="19" t="n"/>
    </row>
    <row r="11480">
      <c r="C11480" s="18" t="n"/>
      <c r="J11480" s="19" t="n"/>
      <c r="P11480" s="20" t="n"/>
      <c r="Q11480" s="19" t="n"/>
      <c r="R11480" s="19" t="n"/>
      <c r="Y11480" s="19" t="n"/>
    </row>
    <row r="11481">
      <c r="C11481" s="18" t="n"/>
      <c r="J11481" s="19" t="n"/>
      <c r="P11481" s="20" t="n"/>
      <c r="Q11481" s="19" t="n"/>
      <c r="R11481" s="19" t="n"/>
      <c r="Y11481" s="19" t="n"/>
    </row>
    <row r="11482">
      <c r="C11482" s="18" t="n"/>
      <c r="J11482" s="19" t="n"/>
      <c r="P11482" s="20" t="n"/>
      <c r="Q11482" s="19" t="n"/>
      <c r="R11482" s="19" t="n"/>
      <c r="Y11482" s="19" t="n"/>
    </row>
    <row r="11483">
      <c r="C11483" s="18" t="n"/>
      <c r="J11483" s="19" t="n"/>
      <c r="P11483" s="20" t="n"/>
      <c r="Q11483" s="19" t="n"/>
      <c r="R11483" s="19" t="n"/>
      <c r="Y11483" s="19" t="n"/>
    </row>
    <row r="11484">
      <c r="C11484" s="18" t="n"/>
      <c r="J11484" s="19" t="n"/>
      <c r="P11484" s="20" t="n"/>
      <c r="Q11484" s="19" t="n"/>
      <c r="R11484" s="19" t="n"/>
      <c r="Y11484" s="19" t="n"/>
    </row>
    <row r="11485">
      <c r="C11485" s="18" t="n"/>
      <c r="J11485" s="19" t="n"/>
      <c r="P11485" s="20" t="n"/>
      <c r="Q11485" s="19" t="n"/>
      <c r="R11485" s="19" t="n"/>
      <c r="Y11485" s="19" t="n"/>
    </row>
    <row r="11486">
      <c r="C11486" s="18" t="n"/>
      <c r="J11486" s="19" t="n"/>
      <c r="P11486" s="20" t="n"/>
      <c r="Q11486" s="19" t="n"/>
      <c r="R11486" s="19" t="n"/>
      <c r="Y11486" s="19" t="n"/>
    </row>
    <row r="11487">
      <c r="C11487" s="18" t="n"/>
      <c r="J11487" s="19" t="n"/>
      <c r="P11487" s="20" t="n"/>
      <c r="Q11487" s="19" t="n"/>
      <c r="R11487" s="19" t="n"/>
      <c r="Y11487" s="19" t="n"/>
    </row>
    <row r="11488">
      <c r="C11488" s="18" t="n"/>
      <c r="J11488" s="19" t="n"/>
      <c r="P11488" s="20" t="n"/>
      <c r="Q11488" s="19" t="n"/>
      <c r="R11488" s="19" t="n"/>
      <c r="Y11488" s="19" t="n"/>
    </row>
    <row r="11489">
      <c r="C11489" s="18" t="n"/>
      <c r="J11489" s="19" t="n"/>
      <c r="P11489" s="20" t="n"/>
      <c r="Q11489" s="19" t="n"/>
      <c r="R11489" s="19" t="n"/>
      <c r="Y11489" s="19" t="n"/>
    </row>
    <row r="11490">
      <c r="C11490" s="18" t="n"/>
      <c r="J11490" s="19" t="n"/>
      <c r="P11490" s="20" t="n"/>
      <c r="Q11490" s="19" t="n"/>
      <c r="R11490" s="19" t="n"/>
      <c r="Y11490" s="19" t="n"/>
    </row>
    <row r="11491">
      <c r="C11491" s="18" t="n"/>
      <c r="J11491" s="19" t="n"/>
      <c r="P11491" s="20" t="n"/>
      <c r="Q11491" s="19" t="n"/>
      <c r="R11491" s="19" t="n"/>
      <c r="Y11491" s="19" t="n"/>
    </row>
    <row r="11492">
      <c r="C11492" s="18" t="n"/>
      <c r="J11492" s="19" t="n"/>
      <c r="P11492" s="20" t="n"/>
      <c r="Q11492" s="19" t="n"/>
      <c r="R11492" s="19" t="n"/>
      <c r="Y11492" s="19" t="n"/>
    </row>
    <row r="11493">
      <c r="C11493" s="18" t="n"/>
      <c r="J11493" s="19" t="n"/>
      <c r="P11493" s="20" t="n"/>
      <c r="Q11493" s="19" t="n"/>
      <c r="R11493" s="19" t="n"/>
      <c r="Y11493" s="19" t="n"/>
    </row>
    <row r="11494">
      <c r="C11494" s="18" t="n"/>
      <c r="J11494" s="19" t="n"/>
      <c r="P11494" s="20" t="n"/>
      <c r="Q11494" s="19" t="n"/>
      <c r="R11494" s="19" t="n"/>
      <c r="Y11494" s="19" t="n"/>
    </row>
    <row r="11495">
      <c r="C11495" s="18" t="n"/>
      <c r="J11495" s="19" t="n"/>
      <c r="P11495" s="20" t="n"/>
      <c r="Q11495" s="19" t="n"/>
      <c r="R11495" s="19" t="n"/>
      <c r="Y11495" s="19" t="n"/>
    </row>
    <row r="11496">
      <c r="C11496" s="18" t="n"/>
      <c r="J11496" s="19" t="n"/>
      <c r="P11496" s="20" t="n"/>
      <c r="Q11496" s="19" t="n"/>
      <c r="R11496" s="19" t="n"/>
      <c r="Y11496" s="19" t="n"/>
    </row>
    <row r="11497">
      <c r="C11497" s="18" t="n"/>
      <c r="J11497" s="19" t="n"/>
      <c r="P11497" s="20" t="n"/>
      <c r="Q11497" s="19" t="n"/>
      <c r="R11497" s="19" t="n"/>
      <c r="Y11497" s="19" t="n"/>
    </row>
    <row r="11498">
      <c r="C11498" s="18" t="n"/>
      <c r="J11498" s="19" t="n"/>
      <c r="P11498" s="20" t="n"/>
      <c r="Q11498" s="19" t="n"/>
      <c r="R11498" s="19" t="n"/>
      <c r="Y11498" s="19" t="n"/>
    </row>
    <row r="11499">
      <c r="C11499" s="18" t="n"/>
      <c r="J11499" s="19" t="n"/>
      <c r="P11499" s="20" t="n"/>
      <c r="Q11499" s="19" t="n"/>
      <c r="R11499" s="19" t="n"/>
      <c r="Y11499" s="19" t="n"/>
    </row>
    <row r="11500">
      <c r="C11500" s="18" t="n"/>
      <c r="J11500" s="19" t="n"/>
      <c r="P11500" s="20" t="n"/>
      <c r="Q11500" s="19" t="n"/>
      <c r="R11500" s="19" t="n"/>
      <c r="Y11500" s="19" t="n"/>
    </row>
    <row r="11501">
      <c r="C11501" s="18" t="n"/>
      <c r="J11501" s="19" t="n"/>
      <c r="P11501" s="20" t="n"/>
      <c r="Q11501" s="19" t="n"/>
      <c r="R11501" s="19" t="n"/>
      <c r="Y11501" s="19" t="n"/>
    </row>
    <row r="11502">
      <c r="C11502" s="18" t="n"/>
      <c r="J11502" s="19" t="n"/>
      <c r="P11502" s="20" t="n"/>
      <c r="Q11502" s="19" t="n"/>
      <c r="R11502" s="19" t="n"/>
      <c r="Y11502" s="19" t="n"/>
    </row>
    <row r="11503">
      <c r="C11503" s="18" t="n"/>
      <c r="J11503" s="19" t="n"/>
      <c r="P11503" s="20" t="n"/>
      <c r="Q11503" s="19" t="n"/>
      <c r="R11503" s="19" t="n"/>
      <c r="Y11503" s="19" t="n"/>
    </row>
    <row r="11504">
      <c r="C11504" s="18" t="n"/>
      <c r="J11504" s="19" t="n"/>
      <c r="P11504" s="20" t="n"/>
      <c r="Q11504" s="19" t="n"/>
      <c r="R11504" s="19" t="n"/>
      <c r="Y11504" s="19" t="n"/>
    </row>
    <row r="11505">
      <c r="C11505" s="18" t="n"/>
      <c r="J11505" s="19" t="n"/>
      <c r="P11505" s="20" t="n"/>
      <c r="Q11505" s="19" t="n"/>
      <c r="R11505" s="19" t="n"/>
      <c r="Y11505" s="19" t="n"/>
    </row>
    <row r="11506">
      <c r="C11506" s="18" t="n"/>
      <c r="J11506" s="19" t="n"/>
      <c r="P11506" s="20" t="n"/>
      <c r="Q11506" s="19" t="n"/>
      <c r="R11506" s="19" t="n"/>
      <c r="Y11506" s="19" t="n"/>
    </row>
    <row r="11507">
      <c r="C11507" s="18" t="n"/>
      <c r="J11507" s="19" t="n"/>
      <c r="P11507" s="20" t="n"/>
      <c r="Q11507" s="19" t="n"/>
      <c r="R11507" s="19" t="n"/>
      <c r="Y11507" s="19" t="n"/>
    </row>
    <row r="11508">
      <c r="C11508" s="18" t="n"/>
      <c r="J11508" s="19" t="n"/>
      <c r="P11508" s="20" t="n"/>
      <c r="Q11508" s="19" t="n"/>
      <c r="R11508" s="19" t="n"/>
      <c r="Y11508" s="19" t="n"/>
    </row>
    <row r="11509">
      <c r="C11509" s="18" t="n"/>
      <c r="J11509" s="19" t="n"/>
      <c r="P11509" s="20" t="n"/>
      <c r="Q11509" s="19" t="n"/>
      <c r="R11509" s="19" t="n"/>
      <c r="Y11509" s="19" t="n"/>
    </row>
    <row r="11510">
      <c r="C11510" s="18" t="n"/>
      <c r="J11510" s="19" t="n"/>
      <c r="P11510" s="20" t="n"/>
      <c r="Q11510" s="19" t="n"/>
      <c r="R11510" s="19" t="n"/>
      <c r="Y11510" s="19" t="n"/>
    </row>
    <row r="11511">
      <c r="C11511" s="18" t="n"/>
      <c r="J11511" s="19" t="n"/>
      <c r="P11511" s="20" t="n"/>
      <c r="Q11511" s="19" t="n"/>
      <c r="R11511" s="19" t="n"/>
      <c r="Y11511" s="19" t="n"/>
    </row>
    <row r="11512">
      <c r="C11512" s="18" t="n"/>
      <c r="J11512" s="19" t="n"/>
      <c r="P11512" s="20" t="n"/>
      <c r="Q11512" s="19" t="n"/>
      <c r="R11512" s="19" t="n"/>
      <c r="Y11512" s="19" t="n"/>
    </row>
    <row r="11513">
      <c r="C11513" s="18" t="n"/>
      <c r="J11513" s="19" t="n"/>
      <c r="P11513" s="20" t="n"/>
      <c r="Q11513" s="19" t="n"/>
      <c r="R11513" s="19" t="n"/>
      <c r="Y11513" s="19" t="n"/>
    </row>
    <row r="11514">
      <c r="C11514" s="18" t="n"/>
      <c r="J11514" s="19" t="n"/>
      <c r="P11514" s="20" t="n"/>
      <c r="Q11514" s="19" t="n"/>
      <c r="R11514" s="19" t="n"/>
      <c r="Y11514" s="19" t="n"/>
    </row>
    <row r="11515">
      <c r="C11515" s="18" t="n"/>
      <c r="J11515" s="19" t="n"/>
      <c r="P11515" s="20" t="n"/>
      <c r="Q11515" s="19" t="n"/>
      <c r="R11515" s="19" t="n"/>
      <c r="Y11515" s="19" t="n"/>
    </row>
    <row r="11516">
      <c r="C11516" s="18" t="n"/>
      <c r="J11516" s="19" t="n"/>
      <c r="P11516" s="20" t="n"/>
      <c r="Q11516" s="19" t="n"/>
      <c r="R11516" s="19" t="n"/>
      <c r="Y11516" s="19" t="n"/>
    </row>
    <row r="11517">
      <c r="C11517" s="18" t="n"/>
      <c r="J11517" s="19" t="n"/>
      <c r="P11517" s="20" t="n"/>
      <c r="Q11517" s="19" t="n"/>
      <c r="R11517" s="19" t="n"/>
      <c r="Y11517" s="19" t="n"/>
    </row>
    <row r="11518">
      <c r="C11518" s="18" t="n"/>
      <c r="J11518" s="19" t="n"/>
      <c r="P11518" s="20" t="n"/>
      <c r="Q11518" s="19" t="n"/>
      <c r="R11518" s="19" t="n"/>
      <c r="Y11518" s="19" t="n"/>
    </row>
    <row r="11519">
      <c r="C11519" s="18" t="n"/>
      <c r="J11519" s="19" t="n"/>
      <c r="P11519" s="20" t="n"/>
      <c r="Q11519" s="19" t="n"/>
      <c r="R11519" s="19" t="n"/>
      <c r="Y11519" s="19" t="n"/>
    </row>
    <row r="11520">
      <c r="C11520" s="18" t="n"/>
      <c r="J11520" s="19" t="n"/>
      <c r="P11520" s="20" t="n"/>
      <c r="Q11520" s="19" t="n"/>
      <c r="R11520" s="19" t="n"/>
      <c r="Y11520" s="19" t="n"/>
    </row>
    <row r="11521">
      <c r="C11521" s="18" t="n"/>
      <c r="J11521" s="19" t="n"/>
      <c r="P11521" s="20" t="n"/>
      <c r="Q11521" s="19" t="n"/>
      <c r="R11521" s="19" t="n"/>
      <c r="Y11521" s="19" t="n"/>
    </row>
    <row r="11522">
      <c r="C11522" s="18" t="n"/>
      <c r="J11522" s="19" t="n"/>
      <c r="P11522" s="20" t="n"/>
      <c r="Q11522" s="19" t="n"/>
      <c r="R11522" s="19" t="n"/>
      <c r="Y11522" s="19" t="n"/>
    </row>
    <row r="11523">
      <c r="C11523" s="18" t="n"/>
      <c r="J11523" s="19" t="n"/>
      <c r="P11523" s="20" t="n"/>
      <c r="Q11523" s="19" t="n"/>
      <c r="R11523" s="19" t="n"/>
      <c r="Y11523" s="19" t="n"/>
    </row>
    <row r="11524">
      <c r="C11524" s="18" t="n"/>
      <c r="J11524" s="19" t="n"/>
      <c r="P11524" s="20" t="n"/>
      <c r="Q11524" s="19" t="n"/>
      <c r="R11524" s="19" t="n"/>
      <c r="Y11524" s="19" t="n"/>
    </row>
    <row r="11525">
      <c r="C11525" s="18" t="n"/>
      <c r="J11525" s="19" t="n"/>
      <c r="P11525" s="20" t="n"/>
      <c r="Q11525" s="19" t="n"/>
      <c r="R11525" s="19" t="n"/>
      <c r="Y11525" s="19" t="n"/>
    </row>
    <row r="11526">
      <c r="C11526" s="18" t="n"/>
      <c r="J11526" s="19" t="n"/>
      <c r="P11526" s="20" t="n"/>
      <c r="Q11526" s="19" t="n"/>
      <c r="R11526" s="19" t="n"/>
      <c r="Y11526" s="19" t="n"/>
    </row>
    <row r="11527">
      <c r="C11527" s="18" t="n"/>
      <c r="J11527" s="19" t="n"/>
      <c r="P11527" s="20" t="n"/>
      <c r="Q11527" s="19" t="n"/>
      <c r="R11527" s="19" t="n"/>
      <c r="Y11527" s="19" t="n"/>
    </row>
    <row r="11528">
      <c r="C11528" s="18" t="n"/>
      <c r="J11528" s="19" t="n"/>
      <c r="P11528" s="20" t="n"/>
      <c r="Q11528" s="19" t="n"/>
      <c r="R11528" s="19" t="n"/>
      <c r="Y11528" s="19" t="n"/>
    </row>
    <row r="11529">
      <c r="C11529" s="18" t="n"/>
      <c r="J11529" s="19" t="n"/>
      <c r="P11529" s="20" t="n"/>
      <c r="Q11529" s="19" t="n"/>
      <c r="R11529" s="19" t="n"/>
      <c r="Y11529" s="19" t="n"/>
    </row>
    <row r="11530">
      <c r="C11530" s="18" t="n"/>
      <c r="J11530" s="19" t="n"/>
      <c r="P11530" s="20" t="n"/>
      <c r="Q11530" s="19" t="n"/>
      <c r="R11530" s="19" t="n"/>
      <c r="Y11530" s="19" t="n"/>
    </row>
    <row r="11531">
      <c r="C11531" s="18" t="n"/>
      <c r="J11531" s="19" t="n"/>
      <c r="P11531" s="20" t="n"/>
      <c r="Q11531" s="19" t="n"/>
      <c r="R11531" s="19" t="n"/>
      <c r="Y11531" s="19" t="n"/>
    </row>
    <row r="11532">
      <c r="C11532" s="18" t="n"/>
      <c r="J11532" s="19" t="n"/>
      <c r="P11532" s="20" t="n"/>
      <c r="Q11532" s="19" t="n"/>
      <c r="R11532" s="19" t="n"/>
      <c r="Y11532" s="19" t="n"/>
    </row>
    <row r="11533">
      <c r="C11533" s="18" t="n"/>
      <c r="J11533" s="19" t="n"/>
      <c r="P11533" s="20" t="n"/>
      <c r="Q11533" s="19" t="n"/>
      <c r="R11533" s="19" t="n"/>
      <c r="Y11533" s="19" t="n"/>
    </row>
    <row r="11534">
      <c r="C11534" s="18" t="n"/>
      <c r="J11534" s="19" t="n"/>
      <c r="P11534" s="20" t="n"/>
      <c r="Q11534" s="19" t="n"/>
      <c r="R11534" s="19" t="n"/>
      <c r="Y11534" s="19" t="n"/>
    </row>
    <row r="11535">
      <c r="C11535" s="18" t="n"/>
      <c r="J11535" s="19" t="n"/>
      <c r="P11535" s="20" t="n"/>
      <c r="Q11535" s="19" t="n"/>
      <c r="R11535" s="19" t="n"/>
      <c r="Y11535" s="19" t="n"/>
    </row>
    <row r="11536">
      <c r="C11536" s="18" t="n"/>
      <c r="J11536" s="19" t="n"/>
      <c r="P11536" s="20" t="n"/>
      <c r="Q11536" s="19" t="n"/>
      <c r="R11536" s="19" t="n"/>
      <c r="Y11536" s="19" t="n"/>
    </row>
    <row r="11537">
      <c r="C11537" s="18" t="n"/>
      <c r="J11537" s="19" t="n"/>
      <c r="P11537" s="20" t="n"/>
      <c r="Q11537" s="19" t="n"/>
      <c r="R11537" s="19" t="n"/>
      <c r="Y11537" s="19" t="n"/>
    </row>
    <row r="11538">
      <c r="C11538" s="18" t="n"/>
      <c r="J11538" s="19" t="n"/>
      <c r="P11538" s="20" t="n"/>
      <c r="Q11538" s="19" t="n"/>
      <c r="R11538" s="19" t="n"/>
      <c r="Y11538" s="19" t="n"/>
    </row>
    <row r="11539">
      <c r="C11539" s="18" t="n"/>
      <c r="J11539" s="19" t="n"/>
      <c r="P11539" s="20" t="n"/>
      <c r="Q11539" s="19" t="n"/>
      <c r="R11539" s="19" t="n"/>
      <c r="Y11539" s="19" t="n"/>
    </row>
    <row r="11540">
      <c r="C11540" s="18" t="n"/>
      <c r="J11540" s="19" t="n"/>
      <c r="P11540" s="20" t="n"/>
      <c r="Q11540" s="19" t="n"/>
      <c r="R11540" s="19" t="n"/>
      <c r="Y11540" s="19" t="n"/>
    </row>
    <row r="11541">
      <c r="C11541" s="18" t="n"/>
      <c r="J11541" s="19" t="n"/>
      <c r="P11541" s="20" t="n"/>
      <c r="Q11541" s="19" t="n"/>
      <c r="R11541" s="19" t="n"/>
      <c r="Y11541" s="19" t="n"/>
    </row>
    <row r="11542">
      <c r="C11542" s="18" t="n"/>
      <c r="J11542" s="19" t="n"/>
      <c r="P11542" s="20" t="n"/>
      <c r="Q11542" s="19" t="n"/>
      <c r="R11542" s="19" t="n"/>
      <c r="Y11542" s="19" t="n"/>
    </row>
    <row r="11543">
      <c r="C11543" s="18" t="n"/>
      <c r="J11543" s="19" t="n"/>
      <c r="P11543" s="20" t="n"/>
      <c r="Q11543" s="19" t="n"/>
      <c r="R11543" s="19" t="n"/>
      <c r="Y11543" s="19" t="n"/>
    </row>
    <row r="11544">
      <c r="C11544" s="18" t="n"/>
      <c r="J11544" s="19" t="n"/>
      <c r="P11544" s="20" t="n"/>
      <c r="Q11544" s="19" t="n"/>
      <c r="R11544" s="19" t="n"/>
      <c r="Y11544" s="19" t="n"/>
    </row>
    <row r="11545">
      <c r="C11545" s="18" t="n"/>
      <c r="J11545" s="19" t="n"/>
      <c r="P11545" s="20" t="n"/>
      <c r="Q11545" s="19" t="n"/>
      <c r="R11545" s="19" t="n"/>
      <c r="Y11545" s="19" t="n"/>
    </row>
    <row r="11546">
      <c r="C11546" s="18" t="n"/>
      <c r="J11546" s="19" t="n"/>
      <c r="P11546" s="20" t="n"/>
      <c r="Q11546" s="19" t="n"/>
      <c r="R11546" s="19" t="n"/>
      <c r="Y11546" s="19" t="n"/>
    </row>
    <row r="11547">
      <c r="C11547" s="18" t="n"/>
      <c r="J11547" s="19" t="n"/>
      <c r="P11547" s="20" t="n"/>
      <c r="Q11547" s="19" t="n"/>
      <c r="R11547" s="19" t="n"/>
      <c r="Y11547" s="19" t="n"/>
    </row>
    <row r="11548">
      <c r="C11548" s="18" t="n"/>
      <c r="J11548" s="19" t="n"/>
      <c r="P11548" s="20" t="n"/>
      <c r="Q11548" s="19" t="n"/>
      <c r="R11548" s="19" t="n"/>
      <c r="Y11548" s="19" t="n"/>
    </row>
    <row r="11549">
      <c r="C11549" s="18" t="n"/>
      <c r="J11549" s="19" t="n"/>
      <c r="P11549" s="20" t="n"/>
      <c r="Q11549" s="19" t="n"/>
      <c r="R11549" s="19" t="n"/>
      <c r="Y11549" s="19" t="n"/>
    </row>
    <row r="11550">
      <c r="C11550" s="18" t="n"/>
      <c r="J11550" s="19" t="n"/>
      <c r="P11550" s="20" t="n"/>
      <c r="Q11550" s="19" t="n"/>
      <c r="R11550" s="19" t="n"/>
      <c r="Y11550" s="19" t="n"/>
    </row>
    <row r="11551">
      <c r="C11551" s="18" t="n"/>
      <c r="J11551" s="19" t="n"/>
      <c r="P11551" s="20" t="n"/>
      <c r="Q11551" s="19" t="n"/>
      <c r="R11551" s="19" t="n"/>
      <c r="Y11551" s="19" t="n"/>
    </row>
    <row r="11552">
      <c r="C11552" s="18" t="n"/>
      <c r="J11552" s="19" t="n"/>
      <c r="P11552" s="20" t="n"/>
      <c r="Q11552" s="19" t="n"/>
      <c r="R11552" s="19" t="n"/>
      <c r="Y11552" s="19" t="n"/>
    </row>
    <row r="11553">
      <c r="C11553" s="18" t="n"/>
      <c r="J11553" s="19" t="n"/>
      <c r="P11553" s="20" t="n"/>
      <c r="Q11553" s="19" t="n"/>
      <c r="R11553" s="19" t="n"/>
      <c r="Y11553" s="19" t="n"/>
    </row>
    <row r="11554">
      <c r="C11554" s="18" t="n"/>
      <c r="J11554" s="19" t="n"/>
      <c r="P11554" s="20" t="n"/>
      <c r="Q11554" s="19" t="n"/>
      <c r="R11554" s="19" t="n"/>
      <c r="Y11554" s="19" t="n"/>
    </row>
    <row r="11555">
      <c r="C11555" s="18" t="n"/>
      <c r="J11555" s="19" t="n"/>
      <c r="P11555" s="20" t="n"/>
      <c r="Q11555" s="19" t="n"/>
      <c r="R11555" s="19" t="n"/>
      <c r="Y11555" s="19" t="n"/>
    </row>
    <row r="11556">
      <c r="C11556" s="18" t="n"/>
      <c r="J11556" s="19" t="n"/>
      <c r="P11556" s="20" t="n"/>
      <c r="Q11556" s="19" t="n"/>
      <c r="R11556" s="19" t="n"/>
      <c r="Y11556" s="19" t="n"/>
    </row>
    <row r="11557">
      <c r="C11557" s="18" t="n"/>
      <c r="J11557" s="19" t="n"/>
      <c r="P11557" s="20" t="n"/>
      <c r="Q11557" s="19" t="n"/>
      <c r="R11557" s="19" t="n"/>
      <c r="Y11557" s="19" t="n"/>
    </row>
    <row r="11558">
      <c r="C11558" s="18" t="n"/>
      <c r="J11558" s="19" t="n"/>
      <c r="P11558" s="20" t="n"/>
      <c r="Q11558" s="19" t="n"/>
      <c r="R11558" s="19" t="n"/>
      <c r="Y11558" s="19" t="n"/>
    </row>
    <row r="11559">
      <c r="C11559" s="18" t="n"/>
      <c r="J11559" s="19" t="n"/>
      <c r="P11559" s="20" t="n"/>
      <c r="Q11559" s="19" t="n"/>
      <c r="R11559" s="19" t="n"/>
      <c r="Y11559" s="19" t="n"/>
    </row>
    <row r="11560">
      <c r="C11560" s="18" t="n"/>
      <c r="J11560" s="19" t="n"/>
      <c r="P11560" s="20" t="n"/>
      <c r="Q11560" s="19" t="n"/>
      <c r="R11560" s="19" t="n"/>
      <c r="Y11560" s="19" t="n"/>
    </row>
    <row r="11561">
      <c r="C11561" s="18" t="n"/>
      <c r="J11561" s="19" t="n"/>
      <c r="P11561" s="20" t="n"/>
      <c r="Q11561" s="19" t="n"/>
      <c r="R11561" s="19" t="n"/>
      <c r="Y11561" s="19" t="n"/>
    </row>
    <row r="11562">
      <c r="C11562" s="18" t="n"/>
      <c r="J11562" s="19" t="n"/>
      <c r="P11562" s="20" t="n"/>
      <c r="Q11562" s="19" t="n"/>
      <c r="R11562" s="19" t="n"/>
      <c r="Y11562" s="19" t="n"/>
    </row>
    <row r="11563">
      <c r="C11563" s="18" t="n"/>
      <c r="J11563" s="19" t="n"/>
      <c r="P11563" s="20" t="n"/>
      <c r="Q11563" s="19" t="n"/>
      <c r="R11563" s="19" t="n"/>
      <c r="Y11563" s="19" t="n"/>
    </row>
    <row r="11564">
      <c r="C11564" s="18" t="n"/>
      <c r="J11564" s="19" t="n"/>
      <c r="P11564" s="20" t="n"/>
      <c r="Q11564" s="19" t="n"/>
      <c r="R11564" s="19" t="n"/>
      <c r="Y11564" s="19" t="n"/>
    </row>
    <row r="11565">
      <c r="C11565" s="18" t="n"/>
      <c r="J11565" s="19" t="n"/>
      <c r="P11565" s="20" t="n"/>
      <c r="Q11565" s="19" t="n"/>
      <c r="R11565" s="19" t="n"/>
      <c r="Y11565" s="19" t="n"/>
    </row>
    <row r="11566">
      <c r="C11566" s="18" t="n"/>
      <c r="J11566" s="19" t="n"/>
      <c r="P11566" s="20" t="n"/>
      <c r="Q11566" s="19" t="n"/>
      <c r="R11566" s="19" t="n"/>
      <c r="Y11566" s="19" t="n"/>
    </row>
    <row r="11567">
      <c r="C11567" s="18" t="n"/>
      <c r="J11567" s="19" t="n"/>
      <c r="P11567" s="20" t="n"/>
      <c r="Q11567" s="19" t="n"/>
      <c r="R11567" s="19" t="n"/>
      <c r="Y11567" s="19" t="n"/>
    </row>
    <row r="11568">
      <c r="C11568" s="18" t="n"/>
      <c r="J11568" s="19" t="n"/>
      <c r="P11568" s="20" t="n"/>
      <c r="Q11568" s="19" t="n"/>
      <c r="R11568" s="19" t="n"/>
      <c r="Y11568" s="19" t="n"/>
    </row>
    <row r="11569">
      <c r="C11569" s="18" t="n"/>
      <c r="J11569" s="19" t="n"/>
      <c r="P11569" s="20" t="n"/>
      <c r="Q11569" s="19" t="n"/>
      <c r="R11569" s="19" t="n"/>
      <c r="Y11569" s="19" t="n"/>
    </row>
    <row r="11570">
      <c r="C11570" s="18" t="n"/>
      <c r="J11570" s="19" t="n"/>
      <c r="P11570" s="20" t="n"/>
      <c r="Q11570" s="19" t="n"/>
      <c r="R11570" s="19" t="n"/>
      <c r="Y11570" s="19" t="n"/>
    </row>
    <row r="11571">
      <c r="C11571" s="18" t="n"/>
      <c r="J11571" s="19" t="n"/>
      <c r="P11571" s="20" t="n"/>
      <c r="Q11571" s="19" t="n"/>
      <c r="R11571" s="19" t="n"/>
      <c r="Y11571" s="19" t="n"/>
    </row>
    <row r="11572">
      <c r="C11572" s="18" t="n"/>
      <c r="J11572" s="19" t="n"/>
      <c r="P11572" s="20" t="n"/>
      <c r="Q11572" s="19" t="n"/>
      <c r="R11572" s="19" t="n"/>
      <c r="Y11572" s="19" t="n"/>
    </row>
    <row r="11573">
      <c r="C11573" s="18" t="n"/>
      <c r="J11573" s="19" t="n"/>
      <c r="P11573" s="20" t="n"/>
      <c r="Q11573" s="19" t="n"/>
      <c r="R11573" s="19" t="n"/>
      <c r="Y11573" s="19" t="n"/>
    </row>
    <row r="11574">
      <c r="C11574" s="18" t="n"/>
      <c r="J11574" s="19" t="n"/>
      <c r="P11574" s="20" t="n"/>
      <c r="Q11574" s="19" t="n"/>
      <c r="R11574" s="19" t="n"/>
      <c r="Y11574" s="19" t="n"/>
    </row>
    <row r="11575">
      <c r="C11575" s="18" t="n"/>
      <c r="J11575" s="19" t="n"/>
      <c r="P11575" s="20" t="n"/>
      <c r="Q11575" s="19" t="n"/>
      <c r="R11575" s="19" t="n"/>
      <c r="Y11575" s="19" t="n"/>
    </row>
    <row r="11576">
      <c r="C11576" s="18" t="n"/>
      <c r="J11576" s="19" t="n"/>
      <c r="P11576" s="20" t="n"/>
      <c r="Q11576" s="19" t="n"/>
      <c r="R11576" s="19" t="n"/>
      <c r="Y11576" s="19" t="n"/>
    </row>
    <row r="11577">
      <c r="C11577" s="18" t="n"/>
      <c r="J11577" s="19" t="n"/>
      <c r="P11577" s="20" t="n"/>
      <c r="Q11577" s="19" t="n"/>
      <c r="R11577" s="19" t="n"/>
      <c r="Y11577" s="19" t="n"/>
    </row>
    <row r="11578">
      <c r="C11578" s="18" t="n"/>
      <c r="J11578" s="19" t="n"/>
      <c r="P11578" s="20" t="n"/>
      <c r="Q11578" s="19" t="n"/>
      <c r="R11578" s="19" t="n"/>
      <c r="Y11578" s="19" t="n"/>
    </row>
    <row r="11579">
      <c r="C11579" s="18" t="n"/>
      <c r="J11579" s="19" t="n"/>
      <c r="P11579" s="20" t="n"/>
      <c r="Q11579" s="19" t="n"/>
      <c r="R11579" s="19" t="n"/>
      <c r="Y11579" s="19" t="n"/>
    </row>
    <row r="11580">
      <c r="C11580" s="18" t="n"/>
      <c r="J11580" s="19" t="n"/>
      <c r="P11580" s="20" t="n"/>
      <c r="Q11580" s="19" t="n"/>
      <c r="R11580" s="19" t="n"/>
      <c r="Y11580" s="19" t="n"/>
    </row>
    <row r="11581">
      <c r="C11581" s="18" t="n"/>
      <c r="J11581" s="19" t="n"/>
      <c r="P11581" s="20" t="n"/>
      <c r="Q11581" s="19" t="n"/>
      <c r="R11581" s="19" t="n"/>
      <c r="Y11581" s="19" t="n"/>
    </row>
    <row r="11582">
      <c r="C11582" s="18" t="n"/>
      <c r="J11582" s="19" t="n"/>
      <c r="P11582" s="20" t="n"/>
      <c r="Q11582" s="19" t="n"/>
      <c r="R11582" s="19" t="n"/>
      <c r="Y11582" s="19" t="n"/>
    </row>
    <row r="11583">
      <c r="C11583" s="18" t="n"/>
      <c r="J11583" s="19" t="n"/>
      <c r="P11583" s="20" t="n"/>
      <c r="Q11583" s="19" t="n"/>
      <c r="R11583" s="19" t="n"/>
      <c r="Y11583" s="19" t="n"/>
    </row>
    <row r="11584">
      <c r="C11584" s="18" t="n"/>
      <c r="J11584" s="19" t="n"/>
      <c r="P11584" s="20" t="n"/>
      <c r="Q11584" s="19" t="n"/>
      <c r="R11584" s="19" t="n"/>
      <c r="Y11584" s="19" t="n"/>
    </row>
    <row r="11585">
      <c r="C11585" s="18" t="n"/>
      <c r="J11585" s="19" t="n"/>
      <c r="P11585" s="20" t="n"/>
      <c r="Q11585" s="19" t="n"/>
      <c r="R11585" s="19" t="n"/>
      <c r="Y11585" s="19" t="n"/>
    </row>
    <row r="11586">
      <c r="C11586" s="18" t="n"/>
      <c r="J11586" s="19" t="n"/>
      <c r="P11586" s="20" t="n"/>
      <c r="Q11586" s="19" t="n"/>
      <c r="R11586" s="19" t="n"/>
      <c r="Y11586" s="19" t="n"/>
    </row>
    <row r="11587">
      <c r="C11587" s="18" t="n"/>
      <c r="J11587" s="19" t="n"/>
      <c r="P11587" s="20" t="n"/>
      <c r="Q11587" s="19" t="n"/>
      <c r="R11587" s="19" t="n"/>
      <c r="Y11587" s="19" t="n"/>
    </row>
    <row r="11588">
      <c r="C11588" s="18" t="n"/>
      <c r="J11588" s="19" t="n"/>
      <c r="P11588" s="20" t="n"/>
      <c r="Q11588" s="19" t="n"/>
      <c r="R11588" s="19" t="n"/>
      <c r="Y11588" s="19" t="n"/>
    </row>
    <row r="11589">
      <c r="C11589" s="18" t="n"/>
      <c r="J11589" s="19" t="n"/>
      <c r="P11589" s="20" t="n"/>
      <c r="Q11589" s="19" t="n"/>
      <c r="R11589" s="19" t="n"/>
      <c r="Y11589" s="19" t="n"/>
    </row>
    <row r="11590">
      <c r="C11590" s="18" t="n"/>
      <c r="J11590" s="19" t="n"/>
      <c r="P11590" s="20" t="n"/>
      <c r="Q11590" s="19" t="n"/>
      <c r="R11590" s="19" t="n"/>
      <c r="Y11590" s="19" t="n"/>
    </row>
    <row r="11591">
      <c r="C11591" s="18" t="n"/>
      <c r="J11591" s="19" t="n"/>
      <c r="P11591" s="20" t="n"/>
      <c r="Q11591" s="19" t="n"/>
      <c r="R11591" s="19" t="n"/>
      <c r="Y11591" s="19" t="n"/>
    </row>
    <row r="11592">
      <c r="C11592" s="18" t="n"/>
      <c r="J11592" s="19" t="n"/>
      <c r="P11592" s="20" t="n"/>
      <c r="Q11592" s="19" t="n"/>
      <c r="R11592" s="19" t="n"/>
      <c r="Y11592" s="19" t="n"/>
    </row>
    <row r="11593">
      <c r="C11593" s="18" t="n"/>
      <c r="J11593" s="19" t="n"/>
      <c r="P11593" s="20" t="n"/>
      <c r="Q11593" s="19" t="n"/>
      <c r="R11593" s="19" t="n"/>
      <c r="Y11593" s="19" t="n"/>
    </row>
    <row r="11594">
      <c r="C11594" s="18" t="n"/>
      <c r="J11594" s="19" t="n"/>
      <c r="P11594" s="20" t="n"/>
      <c r="Q11594" s="19" t="n"/>
      <c r="R11594" s="19" t="n"/>
      <c r="Y11594" s="19" t="n"/>
    </row>
    <row r="11595">
      <c r="C11595" s="18" t="n"/>
      <c r="J11595" s="19" t="n"/>
      <c r="P11595" s="20" t="n"/>
      <c r="Q11595" s="19" t="n"/>
      <c r="R11595" s="19" t="n"/>
      <c r="Y11595" s="19" t="n"/>
    </row>
    <row r="11596">
      <c r="C11596" s="18" t="n"/>
      <c r="J11596" s="19" t="n"/>
      <c r="P11596" s="20" t="n"/>
      <c r="Q11596" s="19" t="n"/>
      <c r="R11596" s="19" t="n"/>
      <c r="Y11596" s="19" t="n"/>
    </row>
    <row r="11597">
      <c r="C11597" s="18" t="n"/>
      <c r="J11597" s="19" t="n"/>
      <c r="P11597" s="20" t="n"/>
      <c r="Q11597" s="19" t="n"/>
      <c r="R11597" s="19" t="n"/>
      <c r="Y11597" s="19" t="n"/>
    </row>
    <row r="11598">
      <c r="C11598" s="18" t="n"/>
      <c r="J11598" s="19" t="n"/>
      <c r="P11598" s="20" t="n"/>
      <c r="Q11598" s="19" t="n"/>
      <c r="R11598" s="19" t="n"/>
      <c r="Y11598" s="19" t="n"/>
    </row>
    <row r="11599">
      <c r="C11599" s="18" t="n"/>
      <c r="J11599" s="19" t="n"/>
      <c r="P11599" s="20" t="n"/>
      <c r="Q11599" s="19" t="n"/>
      <c r="R11599" s="19" t="n"/>
      <c r="Y11599" s="19" t="n"/>
    </row>
    <row r="11600">
      <c r="C11600" s="18" t="n"/>
      <c r="J11600" s="19" t="n"/>
      <c r="P11600" s="20" t="n"/>
      <c r="Q11600" s="19" t="n"/>
      <c r="R11600" s="19" t="n"/>
      <c r="Y11600" s="19" t="n"/>
    </row>
    <row r="11601">
      <c r="C11601" s="18" t="n"/>
      <c r="J11601" s="19" t="n"/>
      <c r="P11601" s="20" t="n"/>
      <c r="Q11601" s="19" t="n"/>
      <c r="R11601" s="19" t="n"/>
      <c r="Y11601" s="19" t="n"/>
    </row>
    <row r="11602">
      <c r="C11602" s="18" t="n"/>
      <c r="J11602" s="19" t="n"/>
      <c r="P11602" s="20" t="n"/>
      <c r="Q11602" s="19" t="n"/>
      <c r="R11602" s="19" t="n"/>
      <c r="Y11602" s="19" t="n"/>
    </row>
    <row r="11603">
      <c r="C11603" s="18" t="n"/>
      <c r="J11603" s="19" t="n"/>
      <c r="P11603" s="20" t="n"/>
      <c r="Q11603" s="19" t="n"/>
      <c r="R11603" s="19" t="n"/>
      <c r="Y11603" s="19" t="n"/>
    </row>
    <row r="11604">
      <c r="C11604" s="18" t="n"/>
      <c r="J11604" s="19" t="n"/>
      <c r="P11604" s="20" t="n"/>
      <c r="Q11604" s="19" t="n"/>
      <c r="R11604" s="19" t="n"/>
      <c r="Y11604" s="19" t="n"/>
    </row>
    <row r="11605">
      <c r="C11605" s="18" t="n"/>
      <c r="J11605" s="19" t="n"/>
      <c r="P11605" s="20" t="n"/>
      <c r="Q11605" s="19" t="n"/>
      <c r="R11605" s="19" t="n"/>
      <c r="Y11605" s="19" t="n"/>
    </row>
    <row r="11606">
      <c r="C11606" s="18" t="n"/>
      <c r="J11606" s="19" t="n"/>
      <c r="P11606" s="20" t="n"/>
      <c r="Q11606" s="19" t="n"/>
      <c r="R11606" s="19" t="n"/>
      <c r="Y11606" s="19" t="n"/>
    </row>
    <row r="11607">
      <c r="C11607" s="18" t="n"/>
      <c r="J11607" s="19" t="n"/>
      <c r="P11607" s="20" t="n"/>
      <c r="Q11607" s="19" t="n"/>
      <c r="R11607" s="19" t="n"/>
      <c r="Y11607" s="19" t="n"/>
    </row>
    <row r="11608">
      <c r="C11608" s="18" t="n"/>
      <c r="J11608" s="19" t="n"/>
      <c r="P11608" s="20" t="n"/>
      <c r="Q11608" s="19" t="n"/>
      <c r="R11608" s="19" t="n"/>
      <c r="Y11608" s="19" t="n"/>
    </row>
    <row r="11609">
      <c r="C11609" s="18" t="n"/>
      <c r="J11609" s="19" t="n"/>
      <c r="P11609" s="20" t="n"/>
      <c r="Q11609" s="19" t="n"/>
      <c r="R11609" s="19" t="n"/>
      <c r="Y11609" s="19" t="n"/>
    </row>
    <row r="11610">
      <c r="C11610" s="18" t="n"/>
      <c r="J11610" s="19" t="n"/>
      <c r="P11610" s="20" t="n"/>
      <c r="Q11610" s="19" t="n"/>
      <c r="R11610" s="19" t="n"/>
      <c r="Y11610" s="19" t="n"/>
    </row>
    <row r="11611">
      <c r="C11611" s="18" t="n"/>
      <c r="J11611" s="19" t="n"/>
      <c r="P11611" s="20" t="n"/>
      <c r="Q11611" s="19" t="n"/>
      <c r="R11611" s="19" t="n"/>
      <c r="Y11611" s="19" t="n"/>
    </row>
    <row r="11612">
      <c r="C11612" s="18" t="n"/>
      <c r="J11612" s="19" t="n"/>
      <c r="P11612" s="20" t="n"/>
      <c r="Q11612" s="19" t="n"/>
      <c r="R11612" s="19" t="n"/>
      <c r="Y11612" s="19" t="n"/>
    </row>
    <row r="11613">
      <c r="C11613" s="18" t="n"/>
      <c r="J11613" s="19" t="n"/>
      <c r="P11613" s="20" t="n"/>
      <c r="Q11613" s="19" t="n"/>
      <c r="R11613" s="19" t="n"/>
      <c r="Y11613" s="19" t="n"/>
    </row>
    <row r="11614">
      <c r="C11614" s="18" t="n"/>
      <c r="J11614" s="19" t="n"/>
      <c r="P11614" s="20" t="n"/>
      <c r="Q11614" s="19" t="n"/>
      <c r="R11614" s="19" t="n"/>
      <c r="Y11614" s="19" t="n"/>
    </row>
    <row r="11615">
      <c r="C11615" s="18" t="n"/>
      <c r="J11615" s="19" t="n"/>
      <c r="P11615" s="20" t="n"/>
      <c r="Q11615" s="19" t="n"/>
      <c r="R11615" s="19" t="n"/>
      <c r="Y11615" s="19" t="n"/>
    </row>
    <row r="11616">
      <c r="C11616" s="18" t="n"/>
      <c r="J11616" s="19" t="n"/>
      <c r="P11616" s="20" t="n"/>
      <c r="Q11616" s="19" t="n"/>
      <c r="R11616" s="19" t="n"/>
      <c r="Y11616" s="19" t="n"/>
    </row>
    <row r="11617">
      <c r="C11617" s="18" t="n"/>
      <c r="J11617" s="19" t="n"/>
      <c r="P11617" s="20" t="n"/>
      <c r="Q11617" s="19" t="n"/>
      <c r="R11617" s="19" t="n"/>
      <c r="Y11617" s="19" t="n"/>
    </row>
    <row r="11618">
      <c r="C11618" s="18" t="n"/>
      <c r="J11618" s="19" t="n"/>
      <c r="P11618" s="20" t="n"/>
      <c r="Q11618" s="19" t="n"/>
      <c r="R11618" s="19" t="n"/>
      <c r="Y11618" s="19" t="n"/>
    </row>
    <row r="11619">
      <c r="C11619" s="18" t="n"/>
      <c r="J11619" s="19" t="n"/>
      <c r="P11619" s="20" t="n"/>
      <c r="Q11619" s="19" t="n"/>
      <c r="R11619" s="19" t="n"/>
      <c r="Y11619" s="19" t="n"/>
    </row>
    <row r="11620">
      <c r="C11620" s="18" t="n"/>
      <c r="J11620" s="19" t="n"/>
      <c r="P11620" s="20" t="n"/>
      <c r="Q11620" s="19" t="n"/>
      <c r="R11620" s="19" t="n"/>
      <c r="Y11620" s="19" t="n"/>
    </row>
    <row r="11621">
      <c r="C11621" s="18" t="n"/>
      <c r="J11621" s="19" t="n"/>
      <c r="P11621" s="20" t="n"/>
      <c r="Q11621" s="19" t="n"/>
      <c r="R11621" s="19" t="n"/>
      <c r="Y11621" s="19" t="n"/>
    </row>
    <row r="11622">
      <c r="C11622" s="18" t="n"/>
      <c r="J11622" s="19" t="n"/>
      <c r="P11622" s="20" t="n"/>
      <c r="Q11622" s="19" t="n"/>
      <c r="R11622" s="19" t="n"/>
      <c r="Y11622" s="19" t="n"/>
    </row>
    <row r="11623">
      <c r="C11623" s="18" t="n"/>
      <c r="J11623" s="19" t="n"/>
      <c r="P11623" s="20" t="n"/>
      <c r="Q11623" s="19" t="n"/>
      <c r="R11623" s="19" t="n"/>
      <c r="Y11623" s="19" t="n"/>
    </row>
    <row r="11624">
      <c r="C11624" s="18" t="n"/>
      <c r="J11624" s="19" t="n"/>
      <c r="P11624" s="20" t="n"/>
      <c r="Q11624" s="19" t="n"/>
      <c r="R11624" s="19" t="n"/>
      <c r="Y11624" s="19" t="n"/>
    </row>
    <row r="11625">
      <c r="C11625" s="18" t="n"/>
      <c r="J11625" s="19" t="n"/>
      <c r="P11625" s="20" t="n"/>
      <c r="Q11625" s="19" t="n"/>
      <c r="R11625" s="19" t="n"/>
      <c r="Y11625" s="19" t="n"/>
    </row>
    <row r="11626">
      <c r="C11626" s="18" t="n"/>
      <c r="J11626" s="19" t="n"/>
      <c r="P11626" s="20" t="n"/>
      <c r="Q11626" s="19" t="n"/>
      <c r="R11626" s="19" t="n"/>
      <c r="Y11626" s="19" t="n"/>
    </row>
    <row r="11627">
      <c r="C11627" s="18" t="n"/>
      <c r="J11627" s="19" t="n"/>
      <c r="P11627" s="20" t="n"/>
      <c r="Q11627" s="19" t="n"/>
      <c r="R11627" s="19" t="n"/>
      <c r="Y11627" s="19" t="n"/>
    </row>
    <row r="11628">
      <c r="C11628" s="18" t="n"/>
      <c r="J11628" s="19" t="n"/>
      <c r="P11628" s="20" t="n"/>
      <c r="Q11628" s="19" t="n"/>
      <c r="R11628" s="19" t="n"/>
      <c r="Y11628" s="19" t="n"/>
    </row>
    <row r="11629">
      <c r="C11629" s="18" t="n"/>
      <c r="J11629" s="19" t="n"/>
      <c r="P11629" s="20" t="n"/>
      <c r="Q11629" s="19" t="n"/>
      <c r="R11629" s="19" t="n"/>
      <c r="Y11629" s="19" t="n"/>
    </row>
    <row r="11630">
      <c r="C11630" s="18" t="n"/>
      <c r="J11630" s="19" t="n"/>
      <c r="P11630" s="20" t="n"/>
      <c r="Q11630" s="19" t="n"/>
      <c r="R11630" s="19" t="n"/>
      <c r="Y11630" s="19" t="n"/>
    </row>
    <row r="11631">
      <c r="C11631" s="18" t="n"/>
      <c r="J11631" s="19" t="n"/>
      <c r="P11631" s="20" t="n"/>
      <c r="Q11631" s="19" t="n"/>
      <c r="R11631" s="19" t="n"/>
      <c r="Y11631" s="19" t="n"/>
    </row>
    <row r="11632">
      <c r="C11632" s="18" t="n"/>
      <c r="J11632" s="19" t="n"/>
      <c r="P11632" s="20" t="n"/>
      <c r="Q11632" s="19" t="n"/>
      <c r="R11632" s="19" t="n"/>
      <c r="Y11632" s="19" t="n"/>
    </row>
    <row r="11633">
      <c r="C11633" s="18" t="n"/>
      <c r="J11633" s="19" t="n"/>
      <c r="P11633" s="20" t="n"/>
      <c r="Q11633" s="19" t="n"/>
      <c r="R11633" s="19" t="n"/>
      <c r="Y11633" s="19" t="n"/>
    </row>
    <row r="11634">
      <c r="C11634" s="18" t="n"/>
      <c r="J11634" s="19" t="n"/>
      <c r="P11634" s="20" t="n"/>
      <c r="Q11634" s="19" t="n"/>
      <c r="R11634" s="19" t="n"/>
      <c r="Y11634" s="19" t="n"/>
    </row>
    <row r="11635">
      <c r="C11635" s="18" t="n"/>
      <c r="J11635" s="19" t="n"/>
      <c r="P11635" s="20" t="n"/>
      <c r="Q11635" s="19" t="n"/>
      <c r="R11635" s="19" t="n"/>
      <c r="Y11635" s="19" t="n"/>
    </row>
    <row r="11636">
      <c r="C11636" s="18" t="n"/>
      <c r="J11636" s="19" t="n"/>
      <c r="P11636" s="20" t="n"/>
      <c r="Q11636" s="19" t="n"/>
      <c r="R11636" s="19" t="n"/>
      <c r="Y11636" s="19" t="n"/>
    </row>
    <row r="11637">
      <c r="C11637" s="18" t="n"/>
      <c r="J11637" s="19" t="n"/>
      <c r="P11637" s="20" t="n"/>
      <c r="Q11637" s="19" t="n"/>
      <c r="R11637" s="19" t="n"/>
      <c r="Y11637" s="19" t="n"/>
    </row>
    <row r="11638">
      <c r="C11638" s="18" t="n"/>
      <c r="J11638" s="19" t="n"/>
      <c r="P11638" s="20" t="n"/>
      <c r="Q11638" s="19" t="n"/>
      <c r="R11638" s="19" t="n"/>
      <c r="Y11638" s="19" t="n"/>
    </row>
    <row r="11639">
      <c r="C11639" s="18" t="n"/>
      <c r="J11639" s="19" t="n"/>
      <c r="P11639" s="20" t="n"/>
      <c r="Q11639" s="19" t="n"/>
      <c r="R11639" s="19" t="n"/>
      <c r="Y11639" s="19" t="n"/>
    </row>
    <row r="11640">
      <c r="C11640" s="18" t="n"/>
      <c r="J11640" s="19" t="n"/>
      <c r="P11640" s="20" t="n"/>
      <c r="Q11640" s="19" t="n"/>
      <c r="R11640" s="19" t="n"/>
      <c r="Y11640" s="19" t="n"/>
    </row>
    <row r="11641">
      <c r="C11641" s="18" t="n"/>
      <c r="J11641" s="19" t="n"/>
      <c r="P11641" s="20" t="n"/>
      <c r="Q11641" s="19" t="n"/>
      <c r="R11641" s="19" t="n"/>
      <c r="Y11641" s="19" t="n"/>
    </row>
    <row r="11642">
      <c r="C11642" s="18" t="n"/>
      <c r="J11642" s="19" t="n"/>
      <c r="P11642" s="20" t="n"/>
      <c r="Q11642" s="19" t="n"/>
      <c r="R11642" s="19" t="n"/>
      <c r="Y11642" s="19" t="n"/>
    </row>
    <row r="11643">
      <c r="C11643" s="18" t="n"/>
      <c r="J11643" s="19" t="n"/>
      <c r="P11643" s="20" t="n"/>
      <c r="Q11643" s="19" t="n"/>
      <c r="R11643" s="19" t="n"/>
      <c r="Y11643" s="19" t="n"/>
    </row>
    <row r="11644">
      <c r="C11644" s="18" t="n"/>
      <c r="J11644" s="19" t="n"/>
      <c r="P11644" s="20" t="n"/>
      <c r="Q11644" s="19" t="n"/>
      <c r="R11644" s="19" t="n"/>
      <c r="Y11644" s="19" t="n"/>
    </row>
    <row r="11645">
      <c r="C11645" s="18" t="n"/>
      <c r="J11645" s="19" t="n"/>
      <c r="P11645" s="20" t="n"/>
      <c r="Q11645" s="19" t="n"/>
      <c r="R11645" s="19" t="n"/>
      <c r="Y11645" s="19" t="n"/>
    </row>
    <row r="11646">
      <c r="C11646" s="18" t="n"/>
      <c r="J11646" s="19" t="n"/>
      <c r="P11646" s="20" t="n"/>
      <c r="Q11646" s="19" t="n"/>
      <c r="R11646" s="19" t="n"/>
      <c r="Y11646" s="19" t="n"/>
    </row>
    <row r="11647">
      <c r="C11647" s="18" t="n"/>
      <c r="J11647" s="19" t="n"/>
      <c r="P11647" s="20" t="n"/>
      <c r="Q11647" s="19" t="n"/>
      <c r="R11647" s="19" t="n"/>
      <c r="Y11647" s="19" t="n"/>
    </row>
    <row r="11648">
      <c r="C11648" s="18" t="n"/>
      <c r="J11648" s="19" t="n"/>
      <c r="P11648" s="20" t="n"/>
      <c r="Q11648" s="19" t="n"/>
      <c r="R11648" s="19" t="n"/>
      <c r="Y11648" s="19" t="n"/>
    </row>
    <row r="11649">
      <c r="C11649" s="18" t="n"/>
      <c r="J11649" s="19" t="n"/>
      <c r="P11649" s="20" t="n"/>
      <c r="Q11649" s="19" t="n"/>
      <c r="R11649" s="19" t="n"/>
      <c r="Y11649" s="19" t="n"/>
    </row>
    <row r="11650">
      <c r="C11650" s="18" t="n"/>
      <c r="J11650" s="19" t="n"/>
      <c r="P11650" s="20" t="n"/>
      <c r="Q11650" s="19" t="n"/>
      <c r="R11650" s="19" t="n"/>
      <c r="Y11650" s="19" t="n"/>
    </row>
    <row r="11651">
      <c r="C11651" s="18" t="n"/>
      <c r="J11651" s="19" t="n"/>
      <c r="P11651" s="20" t="n"/>
      <c r="Q11651" s="19" t="n"/>
      <c r="R11651" s="19" t="n"/>
      <c r="Y11651" s="19" t="n"/>
    </row>
    <row r="11652">
      <c r="C11652" s="18" t="n"/>
      <c r="J11652" s="19" t="n"/>
      <c r="P11652" s="20" t="n"/>
      <c r="Q11652" s="19" t="n"/>
      <c r="R11652" s="19" t="n"/>
      <c r="Y11652" s="19" t="n"/>
    </row>
    <row r="11653">
      <c r="C11653" s="18" t="n"/>
      <c r="J11653" s="19" t="n"/>
      <c r="P11653" s="20" t="n"/>
      <c r="Q11653" s="19" t="n"/>
      <c r="R11653" s="19" t="n"/>
      <c r="Y11653" s="19" t="n"/>
    </row>
    <row r="11654">
      <c r="C11654" s="18" t="n"/>
      <c r="J11654" s="19" t="n"/>
      <c r="P11654" s="20" t="n"/>
      <c r="Q11654" s="19" t="n"/>
      <c r="R11654" s="19" t="n"/>
      <c r="Y11654" s="19" t="n"/>
    </row>
    <row r="11655">
      <c r="C11655" s="18" t="n"/>
      <c r="J11655" s="19" t="n"/>
      <c r="P11655" s="20" t="n"/>
      <c r="Q11655" s="19" t="n"/>
      <c r="R11655" s="19" t="n"/>
      <c r="Y11655" s="19" t="n"/>
    </row>
    <row r="11656">
      <c r="C11656" s="18" t="n"/>
      <c r="J11656" s="19" t="n"/>
      <c r="P11656" s="20" t="n"/>
      <c r="Q11656" s="19" t="n"/>
      <c r="R11656" s="19" t="n"/>
      <c r="Y11656" s="19" t="n"/>
    </row>
    <row r="11657">
      <c r="C11657" s="18" t="n"/>
      <c r="J11657" s="19" t="n"/>
      <c r="P11657" s="20" t="n"/>
      <c r="Q11657" s="19" t="n"/>
      <c r="R11657" s="19" t="n"/>
      <c r="Y11657" s="19" t="n"/>
    </row>
    <row r="11658">
      <c r="C11658" s="18" t="n"/>
      <c r="J11658" s="19" t="n"/>
      <c r="P11658" s="20" t="n"/>
      <c r="Q11658" s="19" t="n"/>
      <c r="R11658" s="19" t="n"/>
      <c r="Y11658" s="19" t="n"/>
    </row>
    <row r="11659">
      <c r="C11659" s="18" t="n"/>
      <c r="J11659" s="19" t="n"/>
      <c r="P11659" s="20" t="n"/>
      <c r="Q11659" s="19" t="n"/>
      <c r="R11659" s="19" t="n"/>
      <c r="Y11659" s="19" t="n"/>
    </row>
    <row r="11660">
      <c r="C11660" s="18" t="n"/>
      <c r="J11660" s="19" t="n"/>
      <c r="P11660" s="20" t="n"/>
      <c r="Q11660" s="19" t="n"/>
      <c r="R11660" s="19" t="n"/>
      <c r="Y11660" s="19" t="n"/>
    </row>
    <row r="11661">
      <c r="C11661" s="18" t="n"/>
      <c r="J11661" s="19" t="n"/>
      <c r="P11661" s="20" t="n"/>
      <c r="Q11661" s="19" t="n"/>
      <c r="R11661" s="19" t="n"/>
      <c r="Y11661" s="19" t="n"/>
    </row>
    <row r="11662">
      <c r="C11662" s="18" t="n"/>
      <c r="J11662" s="19" t="n"/>
      <c r="P11662" s="20" t="n"/>
      <c r="Q11662" s="19" t="n"/>
      <c r="R11662" s="19" t="n"/>
      <c r="Y11662" s="19" t="n"/>
    </row>
    <row r="11663">
      <c r="C11663" s="18" t="n"/>
      <c r="J11663" s="19" t="n"/>
      <c r="P11663" s="20" t="n"/>
      <c r="Q11663" s="19" t="n"/>
      <c r="R11663" s="19" t="n"/>
      <c r="Y11663" s="19" t="n"/>
    </row>
    <row r="11664">
      <c r="C11664" s="18" t="n"/>
      <c r="J11664" s="19" t="n"/>
      <c r="P11664" s="20" t="n"/>
      <c r="Q11664" s="19" t="n"/>
      <c r="R11664" s="19" t="n"/>
      <c r="Y11664" s="19" t="n"/>
    </row>
    <row r="11665">
      <c r="C11665" s="18" t="n"/>
      <c r="J11665" s="19" t="n"/>
      <c r="P11665" s="20" t="n"/>
      <c r="Q11665" s="19" t="n"/>
      <c r="R11665" s="19" t="n"/>
      <c r="Y11665" s="19" t="n"/>
    </row>
    <row r="11666">
      <c r="C11666" s="18" t="n"/>
      <c r="J11666" s="19" t="n"/>
      <c r="P11666" s="20" t="n"/>
      <c r="Q11666" s="19" t="n"/>
      <c r="R11666" s="19" t="n"/>
      <c r="Y11666" s="19" t="n"/>
    </row>
    <row r="11667">
      <c r="C11667" s="18" t="n"/>
      <c r="J11667" s="19" t="n"/>
      <c r="P11667" s="20" t="n"/>
      <c r="Q11667" s="19" t="n"/>
      <c r="R11667" s="19" t="n"/>
      <c r="Y11667" s="19" t="n"/>
    </row>
    <row r="11668">
      <c r="C11668" s="18" t="n"/>
      <c r="J11668" s="19" t="n"/>
      <c r="P11668" s="20" t="n"/>
      <c r="Q11668" s="19" t="n"/>
      <c r="R11668" s="19" t="n"/>
      <c r="Y11668" s="19" t="n"/>
    </row>
    <row r="11669">
      <c r="C11669" s="18" t="n"/>
      <c r="J11669" s="19" t="n"/>
      <c r="P11669" s="20" t="n"/>
      <c r="Q11669" s="19" t="n"/>
      <c r="R11669" s="19" t="n"/>
      <c r="Y11669" s="19" t="n"/>
    </row>
    <row r="11670">
      <c r="C11670" s="18" t="n"/>
      <c r="J11670" s="19" t="n"/>
      <c r="P11670" s="20" t="n"/>
      <c r="Q11670" s="19" t="n"/>
      <c r="R11670" s="19" t="n"/>
      <c r="Y11670" s="19" t="n"/>
    </row>
    <row r="11671">
      <c r="C11671" s="18" t="n"/>
      <c r="J11671" s="19" t="n"/>
      <c r="P11671" s="20" t="n"/>
      <c r="Q11671" s="19" t="n"/>
      <c r="R11671" s="19" t="n"/>
      <c r="Y11671" s="19" t="n"/>
    </row>
    <row r="11672">
      <c r="C11672" s="18" t="n"/>
      <c r="J11672" s="19" t="n"/>
      <c r="P11672" s="20" t="n"/>
      <c r="Q11672" s="19" t="n"/>
      <c r="R11672" s="19" t="n"/>
      <c r="Y11672" s="19" t="n"/>
    </row>
    <row r="11673">
      <c r="C11673" s="18" t="n"/>
      <c r="J11673" s="19" t="n"/>
      <c r="P11673" s="20" t="n"/>
      <c r="Q11673" s="19" t="n"/>
      <c r="R11673" s="19" t="n"/>
      <c r="Y11673" s="19" t="n"/>
    </row>
    <row r="11674">
      <c r="C11674" s="18" t="n"/>
      <c r="J11674" s="19" t="n"/>
      <c r="P11674" s="20" t="n"/>
      <c r="Q11674" s="19" t="n"/>
      <c r="R11674" s="19" t="n"/>
      <c r="Y11674" s="19" t="n"/>
    </row>
    <row r="11675">
      <c r="C11675" s="18" t="n"/>
      <c r="J11675" s="19" t="n"/>
      <c r="P11675" s="20" t="n"/>
      <c r="Q11675" s="19" t="n"/>
      <c r="R11675" s="19" t="n"/>
      <c r="Y11675" s="19" t="n"/>
    </row>
    <row r="11676">
      <c r="C11676" s="18" t="n"/>
      <c r="J11676" s="19" t="n"/>
      <c r="P11676" s="20" t="n"/>
      <c r="Q11676" s="19" t="n"/>
      <c r="R11676" s="19" t="n"/>
      <c r="Y11676" s="19" t="n"/>
    </row>
    <row r="11677">
      <c r="C11677" s="18" t="n"/>
      <c r="J11677" s="19" t="n"/>
      <c r="P11677" s="20" t="n"/>
      <c r="Q11677" s="19" t="n"/>
      <c r="R11677" s="19" t="n"/>
      <c r="Y11677" s="19" t="n"/>
    </row>
    <row r="11678">
      <c r="C11678" s="18" t="n"/>
      <c r="J11678" s="19" t="n"/>
      <c r="P11678" s="20" t="n"/>
      <c r="Q11678" s="19" t="n"/>
      <c r="R11678" s="19" t="n"/>
      <c r="Y11678" s="19" t="n"/>
    </row>
    <row r="11679">
      <c r="C11679" s="18" t="n"/>
      <c r="J11679" s="19" t="n"/>
      <c r="P11679" s="20" t="n"/>
      <c r="Q11679" s="19" t="n"/>
      <c r="R11679" s="19" t="n"/>
      <c r="Y11679" s="19" t="n"/>
    </row>
    <row r="11680">
      <c r="C11680" s="18" t="n"/>
      <c r="J11680" s="19" t="n"/>
      <c r="P11680" s="20" t="n"/>
      <c r="Q11680" s="19" t="n"/>
      <c r="R11680" s="19" t="n"/>
      <c r="Y11680" s="19" t="n"/>
    </row>
    <row r="11681">
      <c r="C11681" s="18" t="n"/>
      <c r="J11681" s="19" t="n"/>
      <c r="P11681" s="20" t="n"/>
      <c r="Q11681" s="19" t="n"/>
      <c r="R11681" s="19" t="n"/>
      <c r="Y11681" s="19" t="n"/>
    </row>
    <row r="11682">
      <c r="C11682" s="18" t="n"/>
      <c r="J11682" s="19" t="n"/>
      <c r="P11682" s="20" t="n"/>
      <c r="Q11682" s="19" t="n"/>
      <c r="R11682" s="19" t="n"/>
      <c r="Y11682" s="19" t="n"/>
    </row>
    <row r="11683">
      <c r="C11683" s="18" t="n"/>
      <c r="J11683" s="19" t="n"/>
      <c r="P11683" s="20" t="n"/>
      <c r="Q11683" s="19" t="n"/>
      <c r="R11683" s="19" t="n"/>
      <c r="Y11683" s="19" t="n"/>
    </row>
    <row r="11684">
      <c r="C11684" s="18" t="n"/>
      <c r="J11684" s="19" t="n"/>
      <c r="P11684" s="20" t="n"/>
      <c r="Q11684" s="19" t="n"/>
      <c r="R11684" s="19" t="n"/>
      <c r="Y11684" s="19" t="n"/>
    </row>
    <row r="11685">
      <c r="C11685" s="18" t="n"/>
      <c r="J11685" s="19" t="n"/>
      <c r="P11685" s="20" t="n"/>
      <c r="Q11685" s="19" t="n"/>
      <c r="R11685" s="19" t="n"/>
      <c r="Y11685" s="19" t="n"/>
    </row>
    <row r="11686">
      <c r="C11686" s="18" t="n"/>
      <c r="J11686" s="19" t="n"/>
      <c r="P11686" s="20" t="n"/>
      <c r="Q11686" s="19" t="n"/>
      <c r="R11686" s="19" t="n"/>
      <c r="Y11686" s="19" t="n"/>
    </row>
    <row r="11687">
      <c r="C11687" s="18" t="n"/>
      <c r="J11687" s="19" t="n"/>
      <c r="P11687" s="20" t="n"/>
      <c r="Q11687" s="19" t="n"/>
      <c r="R11687" s="19" t="n"/>
      <c r="Y11687" s="19" t="n"/>
    </row>
    <row r="11688">
      <c r="C11688" s="18" t="n"/>
      <c r="J11688" s="19" t="n"/>
      <c r="P11688" s="20" t="n"/>
      <c r="Q11688" s="19" t="n"/>
      <c r="R11688" s="19" t="n"/>
      <c r="Y11688" s="19" t="n"/>
    </row>
    <row r="11689">
      <c r="C11689" s="18" t="n"/>
      <c r="J11689" s="19" t="n"/>
      <c r="P11689" s="20" t="n"/>
      <c r="Q11689" s="19" t="n"/>
      <c r="R11689" s="19" t="n"/>
      <c r="Y11689" s="19" t="n"/>
    </row>
    <row r="11690">
      <c r="C11690" s="18" t="n"/>
      <c r="J11690" s="19" t="n"/>
      <c r="P11690" s="20" t="n"/>
      <c r="Q11690" s="19" t="n"/>
      <c r="R11690" s="19" t="n"/>
      <c r="Y11690" s="19" t="n"/>
    </row>
    <row r="11691">
      <c r="C11691" s="18" t="n"/>
      <c r="J11691" s="19" t="n"/>
      <c r="P11691" s="20" t="n"/>
      <c r="Q11691" s="19" t="n"/>
      <c r="R11691" s="19" t="n"/>
      <c r="Y11691" s="19" t="n"/>
    </row>
    <row r="11692">
      <c r="C11692" s="18" t="n"/>
      <c r="J11692" s="19" t="n"/>
      <c r="P11692" s="20" t="n"/>
      <c r="Q11692" s="19" t="n"/>
      <c r="R11692" s="19" t="n"/>
      <c r="Y11692" s="19" t="n"/>
    </row>
    <row r="11693">
      <c r="C11693" s="18" t="n"/>
      <c r="J11693" s="19" t="n"/>
      <c r="P11693" s="20" t="n"/>
      <c r="Q11693" s="19" t="n"/>
      <c r="R11693" s="19" t="n"/>
      <c r="Y11693" s="19" t="n"/>
    </row>
    <row r="11694">
      <c r="C11694" s="18" t="n"/>
      <c r="J11694" s="19" t="n"/>
      <c r="P11694" s="20" t="n"/>
      <c r="Q11694" s="19" t="n"/>
      <c r="R11694" s="19" t="n"/>
      <c r="Y11694" s="19" t="n"/>
    </row>
    <row r="11695">
      <c r="C11695" s="18" t="n"/>
      <c r="J11695" s="19" t="n"/>
      <c r="P11695" s="20" t="n"/>
      <c r="Q11695" s="19" t="n"/>
      <c r="R11695" s="19" t="n"/>
      <c r="Y11695" s="19" t="n"/>
    </row>
    <row r="11696">
      <c r="C11696" s="18" t="n"/>
      <c r="J11696" s="19" t="n"/>
      <c r="P11696" s="20" t="n"/>
      <c r="Q11696" s="19" t="n"/>
      <c r="R11696" s="19" t="n"/>
      <c r="Y11696" s="19" t="n"/>
    </row>
    <row r="11697">
      <c r="C11697" s="18" t="n"/>
      <c r="J11697" s="19" t="n"/>
      <c r="P11697" s="20" t="n"/>
      <c r="Q11697" s="19" t="n"/>
      <c r="R11697" s="19" t="n"/>
      <c r="Y11697" s="19" t="n"/>
    </row>
    <row r="11698">
      <c r="C11698" s="18" t="n"/>
      <c r="J11698" s="19" t="n"/>
      <c r="P11698" s="20" t="n"/>
      <c r="Q11698" s="19" t="n"/>
      <c r="R11698" s="19" t="n"/>
      <c r="Y11698" s="19" t="n"/>
    </row>
    <row r="11699">
      <c r="C11699" s="18" t="n"/>
      <c r="J11699" s="19" t="n"/>
      <c r="P11699" s="20" t="n"/>
      <c r="Q11699" s="19" t="n"/>
      <c r="R11699" s="19" t="n"/>
      <c r="Y11699" s="19" t="n"/>
    </row>
    <row r="11700">
      <c r="C11700" s="18" t="n"/>
      <c r="J11700" s="19" t="n"/>
      <c r="P11700" s="20" t="n"/>
      <c r="Q11700" s="19" t="n"/>
      <c r="R11700" s="19" t="n"/>
      <c r="Y11700" s="19" t="n"/>
    </row>
    <row r="11701">
      <c r="C11701" s="18" t="n"/>
      <c r="J11701" s="19" t="n"/>
      <c r="P11701" s="20" t="n"/>
      <c r="Q11701" s="19" t="n"/>
      <c r="R11701" s="19" t="n"/>
      <c r="Y11701" s="19" t="n"/>
    </row>
    <row r="11702">
      <c r="C11702" s="18" t="n"/>
      <c r="J11702" s="19" t="n"/>
      <c r="P11702" s="20" t="n"/>
      <c r="Q11702" s="19" t="n"/>
      <c r="R11702" s="19" t="n"/>
      <c r="Y11702" s="19" t="n"/>
    </row>
    <row r="11703">
      <c r="C11703" s="18" t="n"/>
      <c r="J11703" s="19" t="n"/>
      <c r="P11703" s="20" t="n"/>
      <c r="Q11703" s="19" t="n"/>
      <c r="R11703" s="19" t="n"/>
      <c r="Y11703" s="19" t="n"/>
    </row>
    <row r="11704">
      <c r="C11704" s="18" t="n"/>
      <c r="J11704" s="19" t="n"/>
      <c r="P11704" s="20" t="n"/>
      <c r="Q11704" s="19" t="n"/>
      <c r="R11704" s="19" t="n"/>
      <c r="Y11704" s="19" t="n"/>
    </row>
    <row r="11705">
      <c r="C11705" s="18" t="n"/>
      <c r="J11705" s="19" t="n"/>
      <c r="P11705" s="20" t="n"/>
      <c r="Q11705" s="19" t="n"/>
      <c r="R11705" s="19" t="n"/>
      <c r="Y11705" s="19" t="n"/>
    </row>
    <row r="11706">
      <c r="C11706" s="18" t="n"/>
      <c r="J11706" s="19" t="n"/>
      <c r="P11706" s="20" t="n"/>
      <c r="Q11706" s="19" t="n"/>
      <c r="R11706" s="19" t="n"/>
      <c r="Y11706" s="19" t="n"/>
    </row>
    <row r="11707">
      <c r="C11707" s="18" t="n"/>
      <c r="J11707" s="19" t="n"/>
      <c r="P11707" s="20" t="n"/>
      <c r="Q11707" s="19" t="n"/>
      <c r="R11707" s="19" t="n"/>
      <c r="Y11707" s="19" t="n"/>
    </row>
    <row r="11708">
      <c r="C11708" s="18" t="n"/>
      <c r="J11708" s="19" t="n"/>
      <c r="P11708" s="20" t="n"/>
      <c r="Q11708" s="19" t="n"/>
      <c r="R11708" s="19" t="n"/>
      <c r="Y11708" s="19" t="n"/>
    </row>
    <row r="11709">
      <c r="C11709" s="18" t="n"/>
      <c r="J11709" s="19" t="n"/>
      <c r="P11709" s="20" t="n"/>
      <c r="Q11709" s="19" t="n"/>
      <c r="R11709" s="19" t="n"/>
      <c r="Y11709" s="19" t="n"/>
    </row>
    <row r="11710">
      <c r="C11710" s="18" t="n"/>
      <c r="J11710" s="19" t="n"/>
      <c r="P11710" s="20" t="n"/>
      <c r="Q11710" s="19" t="n"/>
      <c r="R11710" s="19" t="n"/>
      <c r="Y11710" s="19" t="n"/>
    </row>
    <row r="11711">
      <c r="C11711" s="18" t="n"/>
      <c r="J11711" s="19" t="n"/>
      <c r="P11711" s="20" t="n"/>
      <c r="Q11711" s="19" t="n"/>
      <c r="R11711" s="19" t="n"/>
      <c r="Y11711" s="19" t="n"/>
    </row>
    <row r="11712">
      <c r="C11712" s="18" t="n"/>
      <c r="J11712" s="19" t="n"/>
      <c r="P11712" s="20" t="n"/>
      <c r="Q11712" s="19" t="n"/>
      <c r="R11712" s="19" t="n"/>
      <c r="Y11712" s="19" t="n"/>
    </row>
    <row r="11713">
      <c r="C11713" s="18" t="n"/>
      <c r="J11713" s="19" t="n"/>
      <c r="P11713" s="20" t="n"/>
      <c r="Q11713" s="19" t="n"/>
      <c r="R11713" s="19" t="n"/>
      <c r="Y11713" s="19" t="n"/>
    </row>
    <row r="11714">
      <c r="C11714" s="18" t="n"/>
      <c r="J11714" s="19" t="n"/>
      <c r="P11714" s="20" t="n"/>
      <c r="Q11714" s="19" t="n"/>
      <c r="R11714" s="19" t="n"/>
      <c r="Y11714" s="19" t="n"/>
    </row>
    <row r="11715">
      <c r="C11715" s="18" t="n"/>
      <c r="J11715" s="19" t="n"/>
      <c r="P11715" s="20" t="n"/>
      <c r="Q11715" s="19" t="n"/>
      <c r="R11715" s="19" t="n"/>
      <c r="Y11715" s="19" t="n"/>
    </row>
    <row r="11716">
      <c r="C11716" s="18" t="n"/>
      <c r="J11716" s="19" t="n"/>
      <c r="P11716" s="20" t="n"/>
      <c r="Q11716" s="19" t="n"/>
      <c r="R11716" s="19" t="n"/>
      <c r="Y11716" s="19" t="n"/>
    </row>
    <row r="11717">
      <c r="C11717" s="18" t="n"/>
      <c r="J11717" s="19" t="n"/>
      <c r="P11717" s="20" t="n"/>
      <c r="Q11717" s="19" t="n"/>
      <c r="R11717" s="19" t="n"/>
      <c r="Y11717" s="19" t="n"/>
    </row>
    <row r="11718">
      <c r="C11718" s="18" t="n"/>
      <c r="J11718" s="19" t="n"/>
      <c r="P11718" s="20" t="n"/>
      <c r="Q11718" s="19" t="n"/>
      <c r="R11718" s="19" t="n"/>
      <c r="Y11718" s="19" t="n"/>
    </row>
    <row r="11719">
      <c r="C11719" s="18" t="n"/>
      <c r="J11719" s="19" t="n"/>
      <c r="P11719" s="20" t="n"/>
      <c r="Q11719" s="19" t="n"/>
      <c r="R11719" s="19" t="n"/>
      <c r="Y11719" s="19" t="n"/>
    </row>
    <row r="11720">
      <c r="C11720" s="18" t="n"/>
      <c r="J11720" s="19" t="n"/>
      <c r="P11720" s="20" t="n"/>
      <c r="Q11720" s="19" t="n"/>
      <c r="R11720" s="19" t="n"/>
      <c r="Y11720" s="19" t="n"/>
    </row>
    <row r="11721">
      <c r="C11721" s="18" t="n"/>
      <c r="J11721" s="19" t="n"/>
      <c r="P11721" s="20" t="n"/>
      <c r="Q11721" s="19" t="n"/>
      <c r="R11721" s="19" t="n"/>
      <c r="Y11721" s="19" t="n"/>
    </row>
    <row r="11722">
      <c r="C11722" s="18" t="n"/>
      <c r="J11722" s="19" t="n"/>
      <c r="P11722" s="20" t="n"/>
      <c r="Q11722" s="19" t="n"/>
      <c r="R11722" s="19" t="n"/>
      <c r="Y11722" s="19" t="n"/>
    </row>
    <row r="11723">
      <c r="C11723" s="18" t="n"/>
      <c r="J11723" s="19" t="n"/>
      <c r="P11723" s="20" t="n"/>
      <c r="Q11723" s="19" t="n"/>
      <c r="R11723" s="19" t="n"/>
      <c r="Y11723" s="19" t="n"/>
    </row>
    <row r="11724">
      <c r="C11724" s="18" t="n"/>
      <c r="J11724" s="19" t="n"/>
      <c r="P11724" s="20" t="n"/>
      <c r="Q11724" s="19" t="n"/>
      <c r="R11724" s="19" t="n"/>
      <c r="Y11724" s="19" t="n"/>
    </row>
    <row r="11725">
      <c r="C11725" s="18" t="n"/>
      <c r="J11725" s="19" t="n"/>
      <c r="P11725" s="20" t="n"/>
      <c r="Q11725" s="19" t="n"/>
      <c r="R11725" s="19" t="n"/>
      <c r="Y11725" s="19" t="n"/>
    </row>
    <row r="11726">
      <c r="C11726" s="18" t="n"/>
      <c r="J11726" s="19" t="n"/>
      <c r="P11726" s="20" t="n"/>
      <c r="Q11726" s="19" t="n"/>
      <c r="R11726" s="19" t="n"/>
      <c r="Y11726" s="19" t="n"/>
    </row>
    <row r="11727">
      <c r="C11727" s="18" t="n"/>
      <c r="J11727" s="19" t="n"/>
      <c r="P11727" s="20" t="n"/>
      <c r="Q11727" s="19" t="n"/>
      <c r="R11727" s="19" t="n"/>
      <c r="Y11727" s="19" t="n"/>
    </row>
    <row r="11728">
      <c r="C11728" s="18" t="n"/>
      <c r="J11728" s="19" t="n"/>
      <c r="P11728" s="20" t="n"/>
      <c r="Q11728" s="19" t="n"/>
      <c r="R11728" s="19" t="n"/>
      <c r="Y11728" s="19" t="n"/>
    </row>
    <row r="11729">
      <c r="C11729" s="18" t="n"/>
      <c r="J11729" s="19" t="n"/>
      <c r="P11729" s="20" t="n"/>
      <c r="Q11729" s="19" t="n"/>
      <c r="R11729" s="19" t="n"/>
      <c r="Y11729" s="19" t="n"/>
    </row>
    <row r="11730">
      <c r="C11730" s="18" t="n"/>
      <c r="J11730" s="19" t="n"/>
      <c r="P11730" s="20" t="n"/>
      <c r="Q11730" s="19" t="n"/>
      <c r="R11730" s="19" t="n"/>
      <c r="Y11730" s="19" t="n"/>
    </row>
    <row r="11731">
      <c r="C11731" s="18" t="n"/>
      <c r="J11731" s="19" t="n"/>
      <c r="P11731" s="20" t="n"/>
      <c r="Q11731" s="19" t="n"/>
      <c r="R11731" s="19" t="n"/>
      <c r="Y11731" s="19" t="n"/>
    </row>
    <row r="11732">
      <c r="C11732" s="18" t="n"/>
      <c r="J11732" s="19" t="n"/>
      <c r="P11732" s="20" t="n"/>
      <c r="Q11732" s="19" t="n"/>
      <c r="R11732" s="19" t="n"/>
      <c r="Y11732" s="19" t="n"/>
    </row>
    <row r="11733">
      <c r="C11733" s="18" t="n"/>
      <c r="J11733" s="19" t="n"/>
      <c r="P11733" s="20" t="n"/>
      <c r="Q11733" s="19" t="n"/>
      <c r="R11733" s="19" t="n"/>
      <c r="Y11733" s="19" t="n"/>
    </row>
    <row r="11734">
      <c r="C11734" s="18" t="n"/>
      <c r="J11734" s="19" t="n"/>
      <c r="P11734" s="20" t="n"/>
      <c r="Q11734" s="19" t="n"/>
      <c r="R11734" s="19" t="n"/>
      <c r="Y11734" s="19" t="n"/>
    </row>
    <row r="11735">
      <c r="C11735" s="18" t="n"/>
      <c r="J11735" s="19" t="n"/>
      <c r="P11735" s="20" t="n"/>
      <c r="Q11735" s="19" t="n"/>
      <c r="R11735" s="19" t="n"/>
      <c r="Y11735" s="19" t="n"/>
    </row>
    <row r="11736">
      <c r="C11736" s="18" t="n"/>
      <c r="J11736" s="19" t="n"/>
      <c r="P11736" s="20" t="n"/>
      <c r="Q11736" s="19" t="n"/>
      <c r="R11736" s="19" t="n"/>
      <c r="Y11736" s="19" t="n"/>
    </row>
    <row r="11737">
      <c r="C11737" s="18" t="n"/>
      <c r="J11737" s="19" t="n"/>
      <c r="P11737" s="20" t="n"/>
      <c r="Q11737" s="19" t="n"/>
      <c r="R11737" s="19" t="n"/>
      <c r="Y11737" s="19" t="n"/>
    </row>
    <row r="11738">
      <c r="C11738" s="18" t="n"/>
      <c r="J11738" s="19" t="n"/>
      <c r="P11738" s="20" t="n"/>
      <c r="Q11738" s="19" t="n"/>
      <c r="R11738" s="19" t="n"/>
      <c r="Y11738" s="19" t="n"/>
    </row>
    <row r="11739">
      <c r="C11739" s="18" t="n"/>
      <c r="J11739" s="19" t="n"/>
      <c r="P11739" s="20" t="n"/>
      <c r="Q11739" s="19" t="n"/>
      <c r="R11739" s="19" t="n"/>
      <c r="Y11739" s="19" t="n"/>
    </row>
    <row r="11740">
      <c r="C11740" s="18" t="n"/>
      <c r="J11740" s="19" t="n"/>
      <c r="P11740" s="20" t="n"/>
      <c r="Q11740" s="19" t="n"/>
      <c r="R11740" s="19" t="n"/>
      <c r="Y11740" s="19" t="n"/>
    </row>
    <row r="11741">
      <c r="C11741" s="18" t="n"/>
      <c r="J11741" s="19" t="n"/>
      <c r="P11741" s="20" t="n"/>
      <c r="Q11741" s="19" t="n"/>
      <c r="R11741" s="19" t="n"/>
      <c r="Y11741" s="19" t="n"/>
    </row>
    <row r="11742">
      <c r="C11742" s="18" t="n"/>
      <c r="J11742" s="19" t="n"/>
      <c r="P11742" s="20" t="n"/>
      <c r="Q11742" s="19" t="n"/>
      <c r="R11742" s="19" t="n"/>
      <c r="Y11742" s="19" t="n"/>
    </row>
    <row r="11743">
      <c r="C11743" s="18" t="n"/>
      <c r="J11743" s="19" t="n"/>
      <c r="P11743" s="20" t="n"/>
      <c r="Q11743" s="19" t="n"/>
      <c r="R11743" s="19" t="n"/>
      <c r="Y11743" s="19" t="n"/>
    </row>
    <row r="11744">
      <c r="C11744" s="18" t="n"/>
      <c r="J11744" s="19" t="n"/>
      <c r="P11744" s="20" t="n"/>
      <c r="Q11744" s="19" t="n"/>
      <c r="R11744" s="19" t="n"/>
      <c r="Y11744" s="19" t="n"/>
    </row>
    <row r="11745">
      <c r="C11745" s="18" t="n"/>
      <c r="J11745" s="19" t="n"/>
      <c r="P11745" s="20" t="n"/>
      <c r="Q11745" s="19" t="n"/>
      <c r="R11745" s="19" t="n"/>
      <c r="Y11745" s="19" t="n"/>
    </row>
    <row r="11746">
      <c r="C11746" s="18" t="n"/>
      <c r="J11746" s="19" t="n"/>
      <c r="P11746" s="20" t="n"/>
      <c r="Q11746" s="19" t="n"/>
      <c r="R11746" s="19" t="n"/>
      <c r="Y11746" s="19" t="n"/>
    </row>
    <row r="11747">
      <c r="C11747" s="18" t="n"/>
      <c r="J11747" s="19" t="n"/>
      <c r="P11747" s="20" t="n"/>
      <c r="Q11747" s="19" t="n"/>
      <c r="R11747" s="19" t="n"/>
      <c r="Y11747" s="19" t="n"/>
    </row>
    <row r="11748">
      <c r="C11748" s="18" t="n"/>
      <c r="J11748" s="19" t="n"/>
      <c r="P11748" s="20" t="n"/>
      <c r="Q11748" s="19" t="n"/>
      <c r="R11748" s="19" t="n"/>
      <c r="Y11748" s="19" t="n"/>
    </row>
    <row r="11749">
      <c r="C11749" s="18" t="n"/>
      <c r="J11749" s="19" t="n"/>
      <c r="P11749" s="20" t="n"/>
      <c r="Q11749" s="19" t="n"/>
      <c r="R11749" s="19" t="n"/>
      <c r="Y11749" s="19" t="n"/>
    </row>
    <row r="11750">
      <c r="C11750" s="18" t="n"/>
      <c r="J11750" s="19" t="n"/>
      <c r="P11750" s="20" t="n"/>
      <c r="Q11750" s="19" t="n"/>
      <c r="R11750" s="19" t="n"/>
      <c r="Y11750" s="19" t="n"/>
    </row>
    <row r="11751">
      <c r="C11751" s="18" t="n"/>
      <c r="J11751" s="19" t="n"/>
      <c r="P11751" s="20" t="n"/>
      <c r="Q11751" s="19" t="n"/>
      <c r="R11751" s="19" t="n"/>
      <c r="Y11751" s="19" t="n"/>
    </row>
    <row r="11752">
      <c r="C11752" s="18" t="n"/>
      <c r="J11752" s="19" t="n"/>
      <c r="P11752" s="20" t="n"/>
      <c r="Q11752" s="19" t="n"/>
      <c r="R11752" s="19" t="n"/>
      <c r="Y11752" s="19" t="n"/>
    </row>
    <row r="11753">
      <c r="C11753" s="18" t="n"/>
      <c r="J11753" s="19" t="n"/>
      <c r="P11753" s="20" t="n"/>
      <c r="Q11753" s="19" t="n"/>
      <c r="R11753" s="19" t="n"/>
      <c r="Y11753" s="19" t="n"/>
    </row>
    <row r="11754">
      <c r="C11754" s="18" t="n"/>
      <c r="J11754" s="19" t="n"/>
      <c r="P11754" s="20" t="n"/>
      <c r="Q11754" s="19" t="n"/>
      <c r="R11754" s="19" t="n"/>
      <c r="Y11754" s="19" t="n"/>
    </row>
    <row r="11755">
      <c r="C11755" s="18" t="n"/>
      <c r="J11755" s="19" t="n"/>
      <c r="P11755" s="20" t="n"/>
      <c r="Q11755" s="19" t="n"/>
      <c r="R11755" s="19" t="n"/>
      <c r="Y11755" s="19" t="n"/>
    </row>
    <row r="11756">
      <c r="C11756" s="18" t="n"/>
      <c r="J11756" s="19" t="n"/>
      <c r="P11756" s="20" t="n"/>
      <c r="Q11756" s="19" t="n"/>
      <c r="R11756" s="19" t="n"/>
      <c r="Y11756" s="19" t="n"/>
    </row>
    <row r="11757">
      <c r="C11757" s="18" t="n"/>
      <c r="J11757" s="19" t="n"/>
      <c r="P11757" s="20" t="n"/>
      <c r="Q11757" s="19" t="n"/>
      <c r="R11757" s="19" t="n"/>
      <c r="Y11757" s="19" t="n"/>
    </row>
    <row r="11758">
      <c r="C11758" s="18" t="n"/>
      <c r="J11758" s="19" t="n"/>
      <c r="P11758" s="20" t="n"/>
      <c r="Q11758" s="19" t="n"/>
      <c r="R11758" s="19" t="n"/>
      <c r="Y11758" s="19" t="n"/>
    </row>
    <row r="11759">
      <c r="C11759" s="18" t="n"/>
      <c r="J11759" s="19" t="n"/>
      <c r="P11759" s="20" t="n"/>
      <c r="Q11759" s="19" t="n"/>
      <c r="R11759" s="19" t="n"/>
      <c r="Y11759" s="19" t="n"/>
    </row>
    <row r="11760">
      <c r="C11760" s="18" t="n"/>
      <c r="J11760" s="19" t="n"/>
      <c r="P11760" s="20" t="n"/>
      <c r="Q11760" s="19" t="n"/>
      <c r="R11760" s="19" t="n"/>
      <c r="Y11760" s="19" t="n"/>
    </row>
    <row r="11761">
      <c r="C11761" s="18" t="n"/>
      <c r="J11761" s="19" t="n"/>
      <c r="P11761" s="20" t="n"/>
      <c r="Q11761" s="19" t="n"/>
      <c r="R11761" s="19" t="n"/>
      <c r="Y11761" s="19" t="n"/>
    </row>
    <row r="11762">
      <c r="C11762" s="18" t="n"/>
      <c r="J11762" s="19" t="n"/>
      <c r="P11762" s="20" t="n"/>
      <c r="Q11762" s="19" t="n"/>
      <c r="R11762" s="19" t="n"/>
      <c r="Y11762" s="19" t="n"/>
    </row>
    <row r="11763">
      <c r="C11763" s="18" t="n"/>
      <c r="J11763" s="19" t="n"/>
      <c r="P11763" s="20" t="n"/>
      <c r="Q11763" s="19" t="n"/>
      <c r="R11763" s="19" t="n"/>
      <c r="Y11763" s="19" t="n"/>
    </row>
    <row r="11764">
      <c r="C11764" s="18" t="n"/>
      <c r="J11764" s="19" t="n"/>
      <c r="P11764" s="20" t="n"/>
      <c r="Q11764" s="19" t="n"/>
      <c r="R11764" s="19" t="n"/>
      <c r="Y11764" s="19" t="n"/>
    </row>
    <row r="11765">
      <c r="C11765" s="18" t="n"/>
      <c r="J11765" s="19" t="n"/>
      <c r="P11765" s="20" t="n"/>
      <c r="Q11765" s="19" t="n"/>
      <c r="R11765" s="19" t="n"/>
      <c r="Y11765" s="19" t="n"/>
    </row>
    <row r="11766">
      <c r="C11766" s="18" t="n"/>
      <c r="J11766" s="19" t="n"/>
      <c r="P11766" s="20" t="n"/>
      <c r="Q11766" s="19" t="n"/>
      <c r="R11766" s="19" t="n"/>
      <c r="Y11766" s="19" t="n"/>
    </row>
    <row r="11767">
      <c r="C11767" s="18" t="n"/>
      <c r="J11767" s="19" t="n"/>
      <c r="P11767" s="20" t="n"/>
      <c r="Q11767" s="19" t="n"/>
      <c r="R11767" s="19" t="n"/>
      <c r="Y11767" s="19" t="n"/>
    </row>
    <row r="11768">
      <c r="C11768" s="18" t="n"/>
      <c r="J11768" s="19" t="n"/>
      <c r="P11768" s="20" t="n"/>
      <c r="Q11768" s="19" t="n"/>
      <c r="R11768" s="19" t="n"/>
      <c r="Y11768" s="19" t="n"/>
    </row>
    <row r="11769">
      <c r="C11769" s="18" t="n"/>
      <c r="J11769" s="19" t="n"/>
      <c r="P11769" s="20" t="n"/>
      <c r="Q11769" s="19" t="n"/>
      <c r="R11769" s="19" t="n"/>
      <c r="Y11769" s="19" t="n"/>
    </row>
    <row r="11770">
      <c r="C11770" s="18" t="n"/>
      <c r="J11770" s="19" t="n"/>
      <c r="P11770" s="20" t="n"/>
      <c r="Q11770" s="19" t="n"/>
      <c r="R11770" s="19" t="n"/>
      <c r="Y11770" s="19" t="n"/>
    </row>
    <row r="11771">
      <c r="C11771" s="18" t="n"/>
      <c r="J11771" s="19" t="n"/>
      <c r="P11771" s="20" t="n"/>
      <c r="Q11771" s="19" t="n"/>
      <c r="R11771" s="19" t="n"/>
      <c r="Y11771" s="19" t="n"/>
    </row>
    <row r="11772">
      <c r="C11772" s="18" t="n"/>
      <c r="J11772" s="19" t="n"/>
      <c r="P11772" s="20" t="n"/>
      <c r="Q11772" s="19" t="n"/>
      <c r="R11772" s="19" t="n"/>
      <c r="Y11772" s="19" t="n"/>
    </row>
    <row r="11773">
      <c r="C11773" s="18" t="n"/>
      <c r="J11773" s="19" t="n"/>
      <c r="P11773" s="20" t="n"/>
      <c r="Q11773" s="19" t="n"/>
      <c r="R11773" s="19" t="n"/>
      <c r="Y11773" s="19" t="n"/>
    </row>
    <row r="11774">
      <c r="C11774" s="18" t="n"/>
      <c r="J11774" s="19" t="n"/>
      <c r="P11774" s="20" t="n"/>
      <c r="Q11774" s="19" t="n"/>
      <c r="R11774" s="19" t="n"/>
      <c r="Y11774" s="19" t="n"/>
    </row>
    <row r="11775">
      <c r="C11775" s="18" t="n"/>
      <c r="J11775" s="19" t="n"/>
      <c r="P11775" s="20" t="n"/>
      <c r="Q11775" s="19" t="n"/>
      <c r="R11775" s="19" t="n"/>
      <c r="Y11775" s="19" t="n"/>
    </row>
    <row r="11776">
      <c r="C11776" s="18" t="n"/>
      <c r="J11776" s="19" t="n"/>
      <c r="P11776" s="20" t="n"/>
      <c r="Q11776" s="19" t="n"/>
      <c r="R11776" s="19" t="n"/>
      <c r="Y11776" s="19" t="n"/>
    </row>
    <row r="11777">
      <c r="C11777" s="18" t="n"/>
      <c r="J11777" s="19" t="n"/>
      <c r="P11777" s="20" t="n"/>
      <c r="Q11777" s="19" t="n"/>
      <c r="R11777" s="19" t="n"/>
      <c r="Y11777" s="19" t="n"/>
    </row>
    <row r="11778">
      <c r="C11778" s="18" t="n"/>
      <c r="J11778" s="19" t="n"/>
      <c r="P11778" s="20" t="n"/>
      <c r="Q11778" s="19" t="n"/>
      <c r="R11778" s="19" t="n"/>
      <c r="Y11778" s="19" t="n"/>
    </row>
    <row r="11779">
      <c r="C11779" s="18" t="n"/>
      <c r="J11779" s="19" t="n"/>
      <c r="P11779" s="20" t="n"/>
      <c r="Q11779" s="19" t="n"/>
      <c r="R11779" s="19" t="n"/>
      <c r="Y11779" s="19" t="n"/>
    </row>
    <row r="11780">
      <c r="C11780" s="18" t="n"/>
      <c r="J11780" s="19" t="n"/>
      <c r="P11780" s="20" t="n"/>
      <c r="Q11780" s="19" t="n"/>
      <c r="R11780" s="19" t="n"/>
      <c r="Y11780" s="19" t="n"/>
    </row>
    <row r="11781">
      <c r="C11781" s="18" t="n"/>
      <c r="J11781" s="19" t="n"/>
      <c r="P11781" s="20" t="n"/>
      <c r="Q11781" s="19" t="n"/>
      <c r="R11781" s="19" t="n"/>
      <c r="Y11781" s="19" t="n"/>
    </row>
    <row r="11782">
      <c r="C11782" s="18" t="n"/>
      <c r="J11782" s="19" t="n"/>
      <c r="P11782" s="20" t="n"/>
      <c r="Q11782" s="19" t="n"/>
      <c r="R11782" s="19" t="n"/>
      <c r="Y11782" s="19" t="n"/>
    </row>
    <row r="11783">
      <c r="C11783" s="18" t="n"/>
      <c r="J11783" s="19" t="n"/>
      <c r="P11783" s="20" t="n"/>
      <c r="Q11783" s="19" t="n"/>
      <c r="R11783" s="19" t="n"/>
      <c r="Y11783" s="19" t="n"/>
    </row>
    <row r="11784">
      <c r="C11784" s="18" t="n"/>
      <c r="J11784" s="19" t="n"/>
      <c r="P11784" s="20" t="n"/>
      <c r="Q11784" s="19" t="n"/>
      <c r="R11784" s="19" t="n"/>
      <c r="Y11784" s="19" t="n"/>
    </row>
    <row r="11785">
      <c r="C11785" s="18" t="n"/>
      <c r="J11785" s="19" t="n"/>
      <c r="P11785" s="20" t="n"/>
      <c r="Q11785" s="19" t="n"/>
      <c r="R11785" s="19" t="n"/>
      <c r="Y11785" s="19" t="n"/>
    </row>
    <row r="11786">
      <c r="C11786" s="18" t="n"/>
      <c r="J11786" s="19" t="n"/>
      <c r="P11786" s="20" t="n"/>
      <c r="Q11786" s="19" t="n"/>
      <c r="R11786" s="19" t="n"/>
      <c r="Y11786" s="19" t="n"/>
    </row>
    <row r="11787">
      <c r="C11787" s="18" t="n"/>
      <c r="J11787" s="19" t="n"/>
      <c r="P11787" s="20" t="n"/>
      <c r="Q11787" s="19" t="n"/>
      <c r="R11787" s="19" t="n"/>
      <c r="Y11787" s="19" t="n"/>
    </row>
    <row r="11788">
      <c r="C11788" s="18" t="n"/>
      <c r="J11788" s="19" t="n"/>
      <c r="P11788" s="20" t="n"/>
      <c r="Q11788" s="19" t="n"/>
      <c r="R11788" s="19" t="n"/>
      <c r="Y11788" s="19" t="n"/>
    </row>
    <row r="11789">
      <c r="C11789" s="18" t="n"/>
      <c r="J11789" s="19" t="n"/>
      <c r="P11789" s="20" t="n"/>
      <c r="Q11789" s="19" t="n"/>
      <c r="R11789" s="19" t="n"/>
      <c r="Y11789" s="19" t="n"/>
    </row>
    <row r="11790">
      <c r="C11790" s="18" t="n"/>
      <c r="J11790" s="19" t="n"/>
      <c r="P11790" s="20" t="n"/>
      <c r="Q11790" s="19" t="n"/>
      <c r="R11790" s="19" t="n"/>
      <c r="Y11790" s="19" t="n"/>
    </row>
    <row r="11791">
      <c r="C11791" s="18" t="n"/>
      <c r="J11791" s="19" t="n"/>
      <c r="P11791" s="20" t="n"/>
      <c r="Q11791" s="19" t="n"/>
      <c r="R11791" s="19" t="n"/>
      <c r="Y11791" s="19" t="n"/>
    </row>
    <row r="11792">
      <c r="C11792" s="18" t="n"/>
      <c r="J11792" s="19" t="n"/>
      <c r="P11792" s="20" t="n"/>
      <c r="Q11792" s="19" t="n"/>
      <c r="R11792" s="19" t="n"/>
      <c r="Y11792" s="19" t="n"/>
    </row>
    <row r="11793">
      <c r="C11793" s="18" t="n"/>
      <c r="J11793" s="19" t="n"/>
      <c r="P11793" s="20" t="n"/>
      <c r="Q11793" s="19" t="n"/>
      <c r="R11793" s="19" t="n"/>
      <c r="Y11793" s="19" t="n"/>
    </row>
    <row r="11794">
      <c r="C11794" s="18" t="n"/>
      <c r="J11794" s="19" t="n"/>
      <c r="P11794" s="20" t="n"/>
      <c r="Q11794" s="19" t="n"/>
      <c r="R11794" s="19" t="n"/>
      <c r="Y11794" s="19" t="n"/>
    </row>
    <row r="11795">
      <c r="C11795" s="18" t="n"/>
      <c r="J11795" s="19" t="n"/>
      <c r="P11795" s="20" t="n"/>
      <c r="Q11795" s="19" t="n"/>
      <c r="R11795" s="19" t="n"/>
      <c r="Y11795" s="19" t="n"/>
    </row>
    <row r="11796">
      <c r="C11796" s="18" t="n"/>
      <c r="J11796" s="19" t="n"/>
      <c r="P11796" s="20" t="n"/>
      <c r="Q11796" s="19" t="n"/>
      <c r="R11796" s="19" t="n"/>
      <c r="Y11796" s="19" t="n"/>
    </row>
    <row r="11797">
      <c r="C11797" s="18" t="n"/>
      <c r="J11797" s="19" t="n"/>
      <c r="P11797" s="20" t="n"/>
      <c r="Q11797" s="19" t="n"/>
      <c r="R11797" s="19" t="n"/>
      <c r="Y11797" s="19" t="n"/>
    </row>
    <row r="11798">
      <c r="C11798" s="18" t="n"/>
      <c r="J11798" s="19" t="n"/>
      <c r="P11798" s="20" t="n"/>
      <c r="Q11798" s="19" t="n"/>
      <c r="R11798" s="19" t="n"/>
      <c r="Y11798" s="19" t="n"/>
    </row>
    <row r="11799">
      <c r="C11799" s="18" t="n"/>
      <c r="J11799" s="19" t="n"/>
      <c r="P11799" s="20" t="n"/>
      <c r="Q11799" s="19" t="n"/>
      <c r="R11799" s="19" t="n"/>
      <c r="Y11799" s="19" t="n"/>
    </row>
    <row r="11800">
      <c r="C11800" s="18" t="n"/>
      <c r="J11800" s="19" t="n"/>
      <c r="P11800" s="20" t="n"/>
      <c r="Q11800" s="19" t="n"/>
      <c r="R11800" s="19" t="n"/>
      <c r="Y11800" s="19" t="n"/>
    </row>
    <row r="11801">
      <c r="C11801" s="18" t="n"/>
      <c r="J11801" s="19" t="n"/>
      <c r="P11801" s="20" t="n"/>
      <c r="Q11801" s="19" t="n"/>
      <c r="R11801" s="19" t="n"/>
      <c r="Y11801" s="19" t="n"/>
    </row>
    <row r="11802">
      <c r="C11802" s="18" t="n"/>
      <c r="J11802" s="19" t="n"/>
      <c r="P11802" s="20" t="n"/>
      <c r="Q11802" s="19" t="n"/>
      <c r="R11802" s="19" t="n"/>
      <c r="Y11802" s="19" t="n"/>
    </row>
    <row r="11803">
      <c r="C11803" s="18" t="n"/>
      <c r="J11803" s="19" t="n"/>
      <c r="P11803" s="20" t="n"/>
      <c r="Q11803" s="19" t="n"/>
      <c r="R11803" s="19" t="n"/>
      <c r="Y11803" s="19" t="n"/>
    </row>
    <row r="11804">
      <c r="C11804" s="18" t="n"/>
      <c r="J11804" s="19" t="n"/>
      <c r="P11804" s="20" t="n"/>
      <c r="Q11804" s="19" t="n"/>
      <c r="R11804" s="19" t="n"/>
      <c r="Y11804" s="19" t="n"/>
    </row>
    <row r="11805">
      <c r="C11805" s="18" t="n"/>
      <c r="J11805" s="19" t="n"/>
      <c r="P11805" s="20" t="n"/>
      <c r="Q11805" s="19" t="n"/>
      <c r="R11805" s="19" t="n"/>
      <c r="Y11805" s="19" t="n"/>
    </row>
    <row r="11806">
      <c r="C11806" s="18" t="n"/>
      <c r="J11806" s="19" t="n"/>
      <c r="P11806" s="20" t="n"/>
      <c r="Q11806" s="19" t="n"/>
      <c r="R11806" s="19" t="n"/>
      <c r="Y11806" s="19" t="n"/>
    </row>
    <row r="11807">
      <c r="C11807" s="18" t="n"/>
      <c r="J11807" s="19" t="n"/>
      <c r="P11807" s="20" t="n"/>
      <c r="Q11807" s="19" t="n"/>
      <c r="R11807" s="19" t="n"/>
      <c r="Y11807" s="19" t="n"/>
    </row>
    <row r="11808">
      <c r="C11808" s="18" t="n"/>
      <c r="J11808" s="19" t="n"/>
      <c r="P11808" s="20" t="n"/>
      <c r="Q11808" s="19" t="n"/>
      <c r="R11808" s="19" t="n"/>
      <c r="Y11808" s="19" t="n"/>
    </row>
    <row r="11809">
      <c r="C11809" s="18" t="n"/>
      <c r="J11809" s="19" t="n"/>
      <c r="P11809" s="20" t="n"/>
      <c r="Q11809" s="19" t="n"/>
      <c r="R11809" s="19" t="n"/>
      <c r="Y11809" s="19" t="n"/>
    </row>
    <row r="11810">
      <c r="C11810" s="18" t="n"/>
      <c r="J11810" s="19" t="n"/>
      <c r="P11810" s="20" t="n"/>
      <c r="Q11810" s="19" t="n"/>
      <c r="R11810" s="19" t="n"/>
      <c r="Y11810" s="19" t="n"/>
    </row>
    <row r="11811">
      <c r="C11811" s="18" t="n"/>
      <c r="J11811" s="19" t="n"/>
      <c r="P11811" s="20" t="n"/>
      <c r="Q11811" s="19" t="n"/>
      <c r="R11811" s="19" t="n"/>
      <c r="Y11811" s="19" t="n"/>
    </row>
    <row r="11812">
      <c r="C11812" s="18" t="n"/>
      <c r="J11812" s="19" t="n"/>
      <c r="P11812" s="20" t="n"/>
      <c r="Q11812" s="19" t="n"/>
      <c r="R11812" s="19" t="n"/>
      <c r="Y11812" s="19" t="n"/>
    </row>
    <row r="11813">
      <c r="C11813" s="18" t="n"/>
      <c r="J11813" s="19" t="n"/>
      <c r="P11813" s="20" t="n"/>
      <c r="Q11813" s="19" t="n"/>
      <c r="R11813" s="19" t="n"/>
      <c r="Y11813" s="19" t="n"/>
    </row>
    <row r="11814">
      <c r="C11814" s="18" t="n"/>
      <c r="J11814" s="19" t="n"/>
      <c r="P11814" s="20" t="n"/>
      <c r="Q11814" s="19" t="n"/>
      <c r="R11814" s="19" t="n"/>
      <c r="Y11814" s="19" t="n"/>
    </row>
    <row r="11815">
      <c r="C11815" s="18" t="n"/>
      <c r="J11815" s="19" t="n"/>
      <c r="P11815" s="20" t="n"/>
      <c r="Q11815" s="19" t="n"/>
      <c r="R11815" s="19" t="n"/>
      <c r="Y11815" s="19" t="n"/>
    </row>
    <row r="11816">
      <c r="C11816" s="18" t="n"/>
      <c r="J11816" s="19" t="n"/>
      <c r="P11816" s="20" t="n"/>
      <c r="Q11816" s="19" t="n"/>
      <c r="R11816" s="19" t="n"/>
      <c r="Y11816" s="19" t="n"/>
    </row>
    <row r="11817">
      <c r="C11817" s="18" t="n"/>
      <c r="J11817" s="19" t="n"/>
      <c r="P11817" s="20" t="n"/>
      <c r="Q11817" s="19" t="n"/>
      <c r="R11817" s="19" t="n"/>
      <c r="Y11817" s="19" t="n"/>
    </row>
    <row r="11818">
      <c r="C11818" s="18" t="n"/>
      <c r="J11818" s="19" t="n"/>
      <c r="P11818" s="20" t="n"/>
      <c r="Q11818" s="19" t="n"/>
      <c r="R11818" s="19" t="n"/>
      <c r="Y11818" s="19" t="n"/>
    </row>
    <row r="11819">
      <c r="C11819" s="18" t="n"/>
      <c r="J11819" s="19" t="n"/>
      <c r="P11819" s="20" t="n"/>
      <c r="Q11819" s="19" t="n"/>
      <c r="R11819" s="19" t="n"/>
      <c r="Y11819" s="19" t="n"/>
    </row>
    <row r="11820">
      <c r="C11820" s="18" t="n"/>
      <c r="J11820" s="19" t="n"/>
      <c r="P11820" s="20" t="n"/>
      <c r="Q11820" s="19" t="n"/>
      <c r="R11820" s="19" t="n"/>
      <c r="Y11820" s="19" t="n"/>
    </row>
    <row r="11821">
      <c r="C11821" s="18" t="n"/>
      <c r="J11821" s="19" t="n"/>
      <c r="P11821" s="20" t="n"/>
      <c r="Q11821" s="19" t="n"/>
      <c r="R11821" s="19" t="n"/>
      <c r="Y11821" s="19" t="n"/>
    </row>
    <row r="11822">
      <c r="C11822" s="18" t="n"/>
      <c r="J11822" s="19" t="n"/>
      <c r="P11822" s="20" t="n"/>
      <c r="Q11822" s="19" t="n"/>
      <c r="R11822" s="19" t="n"/>
      <c r="Y11822" s="19" t="n"/>
    </row>
    <row r="11823">
      <c r="C11823" s="18" t="n"/>
      <c r="J11823" s="19" t="n"/>
      <c r="P11823" s="20" t="n"/>
      <c r="Q11823" s="19" t="n"/>
      <c r="R11823" s="19" t="n"/>
      <c r="Y11823" s="19" t="n"/>
    </row>
    <row r="11824">
      <c r="C11824" s="18" t="n"/>
      <c r="J11824" s="19" t="n"/>
      <c r="P11824" s="20" t="n"/>
      <c r="Q11824" s="19" t="n"/>
      <c r="R11824" s="19" t="n"/>
      <c r="Y11824" s="19" t="n"/>
    </row>
    <row r="11825">
      <c r="C11825" s="18" t="n"/>
      <c r="J11825" s="19" t="n"/>
      <c r="P11825" s="20" t="n"/>
      <c r="Q11825" s="19" t="n"/>
      <c r="R11825" s="19" t="n"/>
      <c r="Y11825" s="19" t="n"/>
    </row>
    <row r="11826">
      <c r="C11826" s="18" t="n"/>
      <c r="J11826" s="19" t="n"/>
      <c r="P11826" s="20" t="n"/>
      <c r="Q11826" s="19" t="n"/>
      <c r="R11826" s="19" t="n"/>
      <c r="Y11826" s="19" t="n"/>
    </row>
    <row r="11827">
      <c r="C11827" s="18" t="n"/>
      <c r="J11827" s="19" t="n"/>
      <c r="P11827" s="20" t="n"/>
      <c r="Q11827" s="19" t="n"/>
      <c r="R11827" s="19" t="n"/>
      <c r="Y11827" s="19" t="n"/>
    </row>
    <row r="11828">
      <c r="C11828" s="18" t="n"/>
      <c r="J11828" s="19" t="n"/>
      <c r="P11828" s="20" t="n"/>
      <c r="Q11828" s="19" t="n"/>
      <c r="R11828" s="19" t="n"/>
      <c r="Y11828" s="19" t="n"/>
    </row>
    <row r="11829">
      <c r="C11829" s="18" t="n"/>
      <c r="J11829" s="19" t="n"/>
      <c r="P11829" s="20" t="n"/>
      <c r="Q11829" s="19" t="n"/>
      <c r="R11829" s="19" t="n"/>
      <c r="Y11829" s="19" t="n"/>
    </row>
    <row r="11830">
      <c r="C11830" s="18" t="n"/>
      <c r="J11830" s="19" t="n"/>
      <c r="P11830" s="20" t="n"/>
      <c r="Q11830" s="19" t="n"/>
      <c r="R11830" s="19" t="n"/>
      <c r="Y11830" s="19" t="n"/>
    </row>
    <row r="11831">
      <c r="C11831" s="18" t="n"/>
      <c r="J11831" s="19" t="n"/>
      <c r="P11831" s="20" t="n"/>
      <c r="Q11831" s="19" t="n"/>
      <c r="R11831" s="19" t="n"/>
      <c r="Y11831" s="19" t="n"/>
    </row>
    <row r="11832">
      <c r="C11832" s="18" t="n"/>
      <c r="J11832" s="19" t="n"/>
      <c r="P11832" s="20" t="n"/>
      <c r="Q11832" s="19" t="n"/>
      <c r="R11832" s="19" t="n"/>
      <c r="Y11832" s="19" t="n"/>
    </row>
    <row r="11833">
      <c r="C11833" s="18" t="n"/>
      <c r="J11833" s="19" t="n"/>
      <c r="P11833" s="20" t="n"/>
      <c r="Q11833" s="19" t="n"/>
      <c r="R11833" s="19" t="n"/>
      <c r="Y11833" s="19" t="n"/>
    </row>
    <row r="11834">
      <c r="C11834" s="18" t="n"/>
      <c r="J11834" s="19" t="n"/>
      <c r="P11834" s="20" t="n"/>
      <c r="Q11834" s="19" t="n"/>
      <c r="R11834" s="19" t="n"/>
      <c r="Y11834" s="19" t="n"/>
    </row>
    <row r="11835">
      <c r="C11835" s="18" t="n"/>
      <c r="J11835" s="19" t="n"/>
      <c r="P11835" s="20" t="n"/>
      <c r="Q11835" s="19" t="n"/>
      <c r="R11835" s="19" t="n"/>
      <c r="Y11835" s="19" t="n"/>
    </row>
    <row r="11836">
      <c r="C11836" s="18" t="n"/>
      <c r="J11836" s="19" t="n"/>
      <c r="P11836" s="20" t="n"/>
      <c r="Q11836" s="19" t="n"/>
      <c r="R11836" s="19" t="n"/>
      <c r="Y11836" s="19" t="n"/>
    </row>
    <row r="11837">
      <c r="C11837" s="18" t="n"/>
      <c r="J11837" s="19" t="n"/>
      <c r="P11837" s="20" t="n"/>
      <c r="Q11837" s="19" t="n"/>
      <c r="R11837" s="19" t="n"/>
      <c r="Y11837" s="19" t="n"/>
    </row>
    <row r="11838">
      <c r="C11838" s="18" t="n"/>
      <c r="J11838" s="19" t="n"/>
      <c r="P11838" s="20" t="n"/>
      <c r="Q11838" s="19" t="n"/>
      <c r="R11838" s="19" t="n"/>
      <c r="Y11838" s="19" t="n"/>
    </row>
    <row r="11839">
      <c r="C11839" s="18" t="n"/>
      <c r="J11839" s="19" t="n"/>
      <c r="P11839" s="20" t="n"/>
      <c r="Q11839" s="19" t="n"/>
      <c r="R11839" s="19" t="n"/>
      <c r="Y11839" s="19" t="n"/>
    </row>
    <row r="11840">
      <c r="C11840" s="18" t="n"/>
      <c r="J11840" s="19" t="n"/>
      <c r="P11840" s="20" t="n"/>
      <c r="Q11840" s="19" t="n"/>
      <c r="R11840" s="19" t="n"/>
      <c r="Y11840" s="19" t="n"/>
    </row>
    <row r="11841">
      <c r="C11841" s="18" t="n"/>
      <c r="J11841" s="19" t="n"/>
      <c r="P11841" s="20" t="n"/>
      <c r="Q11841" s="19" t="n"/>
      <c r="R11841" s="19" t="n"/>
      <c r="Y11841" s="19" t="n"/>
    </row>
    <row r="11842">
      <c r="C11842" s="18" t="n"/>
      <c r="J11842" s="19" t="n"/>
      <c r="P11842" s="20" t="n"/>
      <c r="Q11842" s="19" t="n"/>
      <c r="R11842" s="19" t="n"/>
      <c r="Y11842" s="19" t="n"/>
    </row>
    <row r="11843">
      <c r="C11843" s="18" t="n"/>
      <c r="J11843" s="19" t="n"/>
      <c r="P11843" s="20" t="n"/>
      <c r="Q11843" s="19" t="n"/>
      <c r="R11843" s="19" t="n"/>
      <c r="Y11843" s="19" t="n"/>
    </row>
    <row r="11844">
      <c r="C11844" s="18" t="n"/>
      <c r="J11844" s="19" t="n"/>
      <c r="P11844" s="20" t="n"/>
      <c r="Q11844" s="19" t="n"/>
      <c r="R11844" s="19" t="n"/>
      <c r="Y11844" s="19" t="n"/>
    </row>
    <row r="11845">
      <c r="C11845" s="18" t="n"/>
      <c r="J11845" s="19" t="n"/>
      <c r="P11845" s="20" t="n"/>
      <c r="Q11845" s="19" t="n"/>
      <c r="R11845" s="19" t="n"/>
      <c r="Y11845" s="19" t="n"/>
    </row>
    <row r="11846">
      <c r="C11846" s="18" t="n"/>
      <c r="J11846" s="19" t="n"/>
      <c r="P11846" s="20" t="n"/>
      <c r="Q11846" s="19" t="n"/>
      <c r="R11846" s="19" t="n"/>
      <c r="Y11846" s="19" t="n"/>
    </row>
    <row r="11847">
      <c r="C11847" s="18" t="n"/>
      <c r="J11847" s="19" t="n"/>
      <c r="P11847" s="20" t="n"/>
      <c r="Q11847" s="19" t="n"/>
      <c r="R11847" s="19" t="n"/>
      <c r="Y11847" s="19" t="n"/>
    </row>
    <row r="11848">
      <c r="C11848" s="18" t="n"/>
      <c r="J11848" s="19" t="n"/>
      <c r="P11848" s="20" t="n"/>
      <c r="Q11848" s="19" t="n"/>
      <c r="R11848" s="19" t="n"/>
      <c r="Y11848" s="19" t="n"/>
    </row>
    <row r="11849">
      <c r="C11849" s="18" t="n"/>
      <c r="J11849" s="19" t="n"/>
      <c r="P11849" s="20" t="n"/>
      <c r="Q11849" s="19" t="n"/>
      <c r="R11849" s="19" t="n"/>
      <c r="Y11849" s="19" t="n"/>
    </row>
    <row r="11850">
      <c r="C11850" s="18" t="n"/>
      <c r="J11850" s="19" t="n"/>
      <c r="P11850" s="20" t="n"/>
      <c r="Q11850" s="19" t="n"/>
      <c r="R11850" s="19" t="n"/>
      <c r="Y11850" s="19" t="n"/>
    </row>
    <row r="11851">
      <c r="C11851" s="18" t="n"/>
      <c r="J11851" s="19" t="n"/>
      <c r="P11851" s="20" t="n"/>
      <c r="Q11851" s="19" t="n"/>
      <c r="R11851" s="19" t="n"/>
      <c r="Y11851" s="19" t="n"/>
    </row>
    <row r="11852">
      <c r="C11852" s="18" t="n"/>
      <c r="J11852" s="19" t="n"/>
      <c r="P11852" s="20" t="n"/>
      <c r="Q11852" s="19" t="n"/>
      <c r="R11852" s="19" t="n"/>
      <c r="Y11852" s="19" t="n"/>
    </row>
    <row r="11853">
      <c r="C11853" s="18" t="n"/>
      <c r="J11853" s="19" t="n"/>
      <c r="P11853" s="20" t="n"/>
      <c r="Q11853" s="19" t="n"/>
      <c r="R11853" s="19" t="n"/>
      <c r="Y11853" s="19" t="n"/>
    </row>
    <row r="11854">
      <c r="C11854" s="18" t="n"/>
      <c r="J11854" s="19" t="n"/>
      <c r="P11854" s="20" t="n"/>
      <c r="Q11854" s="19" t="n"/>
      <c r="R11854" s="19" t="n"/>
      <c r="Y11854" s="19" t="n"/>
    </row>
    <row r="11855">
      <c r="C11855" s="18" t="n"/>
      <c r="J11855" s="19" t="n"/>
      <c r="P11855" s="20" t="n"/>
      <c r="Q11855" s="19" t="n"/>
      <c r="R11855" s="19" t="n"/>
      <c r="Y11855" s="19" t="n"/>
    </row>
    <row r="11856">
      <c r="C11856" s="18" t="n"/>
      <c r="J11856" s="19" t="n"/>
      <c r="P11856" s="20" t="n"/>
      <c r="Q11856" s="19" t="n"/>
      <c r="R11856" s="19" t="n"/>
      <c r="Y11856" s="19" t="n"/>
    </row>
    <row r="11857">
      <c r="C11857" s="18" t="n"/>
      <c r="J11857" s="19" t="n"/>
      <c r="P11857" s="20" t="n"/>
      <c r="Q11857" s="19" t="n"/>
      <c r="R11857" s="19" t="n"/>
      <c r="Y11857" s="19" t="n"/>
    </row>
    <row r="11858">
      <c r="C11858" s="18" t="n"/>
      <c r="J11858" s="19" t="n"/>
      <c r="P11858" s="20" t="n"/>
      <c r="Q11858" s="19" t="n"/>
      <c r="R11858" s="19" t="n"/>
      <c r="Y11858" s="19" t="n"/>
    </row>
    <row r="11859">
      <c r="C11859" s="18" t="n"/>
      <c r="J11859" s="19" t="n"/>
      <c r="P11859" s="20" t="n"/>
      <c r="Q11859" s="19" t="n"/>
      <c r="R11859" s="19" t="n"/>
      <c r="Y11859" s="19" t="n"/>
    </row>
    <row r="11860">
      <c r="C11860" s="18" t="n"/>
      <c r="J11860" s="19" t="n"/>
      <c r="P11860" s="20" t="n"/>
      <c r="Q11860" s="19" t="n"/>
      <c r="R11860" s="19" t="n"/>
      <c r="Y11860" s="19" t="n"/>
    </row>
    <row r="11861">
      <c r="C11861" s="18" t="n"/>
      <c r="J11861" s="19" t="n"/>
      <c r="P11861" s="20" t="n"/>
      <c r="Q11861" s="19" t="n"/>
      <c r="R11861" s="19" t="n"/>
      <c r="Y11861" s="19" t="n"/>
    </row>
    <row r="11862">
      <c r="C11862" s="18" t="n"/>
      <c r="J11862" s="19" t="n"/>
      <c r="P11862" s="20" t="n"/>
      <c r="Q11862" s="19" t="n"/>
      <c r="R11862" s="19" t="n"/>
      <c r="Y11862" s="19" t="n"/>
    </row>
    <row r="11863">
      <c r="C11863" s="18" t="n"/>
      <c r="J11863" s="19" t="n"/>
      <c r="P11863" s="20" t="n"/>
      <c r="Q11863" s="19" t="n"/>
      <c r="R11863" s="19" t="n"/>
      <c r="Y11863" s="19" t="n"/>
    </row>
    <row r="11864">
      <c r="C11864" s="18" t="n"/>
      <c r="J11864" s="19" t="n"/>
      <c r="P11864" s="20" t="n"/>
      <c r="Q11864" s="19" t="n"/>
      <c r="R11864" s="19" t="n"/>
      <c r="Y11864" s="19" t="n"/>
    </row>
    <row r="11865">
      <c r="C11865" s="18" t="n"/>
      <c r="J11865" s="19" t="n"/>
      <c r="P11865" s="20" t="n"/>
      <c r="Q11865" s="19" t="n"/>
      <c r="R11865" s="19" t="n"/>
      <c r="Y11865" s="19" t="n"/>
    </row>
    <row r="11866">
      <c r="C11866" s="18" t="n"/>
      <c r="J11866" s="19" t="n"/>
      <c r="P11866" s="20" t="n"/>
      <c r="Q11866" s="19" t="n"/>
      <c r="R11866" s="19" t="n"/>
      <c r="Y11866" s="19" t="n"/>
    </row>
    <row r="11867">
      <c r="C11867" s="18" t="n"/>
      <c r="J11867" s="19" t="n"/>
      <c r="P11867" s="20" t="n"/>
      <c r="Q11867" s="19" t="n"/>
      <c r="R11867" s="19" t="n"/>
      <c r="Y11867" s="19" t="n"/>
    </row>
    <row r="11868">
      <c r="C11868" s="18" t="n"/>
      <c r="J11868" s="19" t="n"/>
      <c r="P11868" s="20" t="n"/>
      <c r="Q11868" s="19" t="n"/>
      <c r="R11868" s="19" t="n"/>
      <c r="Y11868" s="19" t="n"/>
    </row>
    <row r="11869">
      <c r="C11869" s="18" t="n"/>
      <c r="J11869" s="19" t="n"/>
      <c r="P11869" s="20" t="n"/>
      <c r="Q11869" s="19" t="n"/>
      <c r="R11869" s="19" t="n"/>
      <c r="Y11869" s="19" t="n"/>
    </row>
    <row r="11870">
      <c r="C11870" s="18" t="n"/>
      <c r="J11870" s="19" t="n"/>
      <c r="P11870" s="20" t="n"/>
      <c r="Q11870" s="19" t="n"/>
      <c r="R11870" s="19" t="n"/>
      <c r="Y11870" s="19" t="n"/>
    </row>
    <row r="11871">
      <c r="C11871" s="18" t="n"/>
      <c r="J11871" s="19" t="n"/>
      <c r="P11871" s="20" t="n"/>
      <c r="Q11871" s="19" t="n"/>
      <c r="R11871" s="19" t="n"/>
      <c r="Y11871" s="19" t="n"/>
    </row>
    <row r="11872">
      <c r="C11872" s="18" t="n"/>
      <c r="J11872" s="19" t="n"/>
      <c r="P11872" s="20" t="n"/>
      <c r="Q11872" s="19" t="n"/>
      <c r="R11872" s="19" t="n"/>
      <c r="Y11872" s="19" t="n"/>
    </row>
    <row r="11873">
      <c r="C11873" s="18" t="n"/>
      <c r="J11873" s="19" t="n"/>
      <c r="P11873" s="20" t="n"/>
      <c r="Q11873" s="19" t="n"/>
      <c r="R11873" s="19" t="n"/>
      <c r="Y11873" s="19" t="n"/>
    </row>
    <row r="11874">
      <c r="C11874" s="18" t="n"/>
      <c r="J11874" s="19" t="n"/>
      <c r="P11874" s="20" t="n"/>
      <c r="Q11874" s="19" t="n"/>
      <c r="R11874" s="19" t="n"/>
      <c r="Y11874" s="19" t="n"/>
    </row>
    <row r="11875">
      <c r="C11875" s="18" t="n"/>
      <c r="J11875" s="19" t="n"/>
      <c r="P11875" s="20" t="n"/>
      <c r="Q11875" s="19" t="n"/>
      <c r="R11875" s="19" t="n"/>
      <c r="Y11875" s="19" t="n"/>
    </row>
    <row r="11876">
      <c r="C11876" s="18" t="n"/>
      <c r="J11876" s="19" t="n"/>
      <c r="P11876" s="20" t="n"/>
      <c r="Q11876" s="19" t="n"/>
      <c r="R11876" s="19" t="n"/>
      <c r="Y11876" s="19" t="n"/>
    </row>
    <row r="11877">
      <c r="C11877" s="18" t="n"/>
      <c r="J11877" s="19" t="n"/>
      <c r="P11877" s="20" t="n"/>
      <c r="Q11877" s="19" t="n"/>
      <c r="R11877" s="19" t="n"/>
      <c r="Y11877" s="19" t="n"/>
    </row>
    <row r="11878">
      <c r="C11878" s="18" t="n"/>
      <c r="J11878" s="19" t="n"/>
      <c r="P11878" s="20" t="n"/>
      <c r="Q11878" s="19" t="n"/>
      <c r="R11878" s="19" t="n"/>
      <c r="Y11878" s="19" t="n"/>
    </row>
    <row r="11879">
      <c r="C11879" s="18" t="n"/>
      <c r="J11879" s="19" t="n"/>
      <c r="P11879" s="20" t="n"/>
      <c r="Q11879" s="19" t="n"/>
      <c r="R11879" s="19" t="n"/>
      <c r="Y11879" s="19" t="n"/>
    </row>
    <row r="11880">
      <c r="C11880" s="18" t="n"/>
      <c r="J11880" s="19" t="n"/>
      <c r="P11880" s="20" t="n"/>
      <c r="Q11880" s="19" t="n"/>
      <c r="R11880" s="19" t="n"/>
      <c r="Y11880" s="19" t="n"/>
    </row>
    <row r="11881">
      <c r="C11881" s="18" t="n"/>
      <c r="J11881" s="19" t="n"/>
      <c r="P11881" s="20" t="n"/>
      <c r="Q11881" s="19" t="n"/>
      <c r="R11881" s="19" t="n"/>
      <c r="Y11881" s="19" t="n"/>
    </row>
    <row r="11882">
      <c r="C11882" s="18" t="n"/>
      <c r="J11882" s="19" t="n"/>
      <c r="P11882" s="20" t="n"/>
      <c r="Q11882" s="19" t="n"/>
      <c r="R11882" s="19" t="n"/>
      <c r="Y11882" s="19" t="n"/>
    </row>
    <row r="11883">
      <c r="C11883" s="18" t="n"/>
      <c r="J11883" s="19" t="n"/>
      <c r="P11883" s="20" t="n"/>
      <c r="Q11883" s="19" t="n"/>
      <c r="R11883" s="19" t="n"/>
      <c r="Y11883" s="19" t="n"/>
    </row>
    <row r="11884">
      <c r="C11884" s="18" t="n"/>
      <c r="J11884" s="19" t="n"/>
      <c r="P11884" s="20" t="n"/>
      <c r="Q11884" s="19" t="n"/>
      <c r="R11884" s="19" t="n"/>
      <c r="Y11884" s="19" t="n"/>
    </row>
    <row r="11885">
      <c r="C11885" s="18" t="n"/>
      <c r="J11885" s="19" t="n"/>
      <c r="P11885" s="20" t="n"/>
      <c r="Q11885" s="19" t="n"/>
      <c r="R11885" s="19" t="n"/>
      <c r="Y11885" s="19" t="n"/>
    </row>
    <row r="11886">
      <c r="C11886" s="18" t="n"/>
      <c r="J11886" s="19" t="n"/>
      <c r="P11886" s="20" t="n"/>
      <c r="Q11886" s="19" t="n"/>
      <c r="R11886" s="19" t="n"/>
      <c r="Y11886" s="19" t="n"/>
    </row>
    <row r="11887">
      <c r="C11887" s="18" t="n"/>
      <c r="J11887" s="19" t="n"/>
      <c r="P11887" s="20" t="n"/>
      <c r="Q11887" s="19" t="n"/>
      <c r="R11887" s="19" t="n"/>
      <c r="Y11887" s="19" t="n"/>
    </row>
    <row r="11888">
      <c r="C11888" s="18" t="n"/>
      <c r="J11888" s="19" t="n"/>
      <c r="P11888" s="20" t="n"/>
      <c r="Q11888" s="19" t="n"/>
      <c r="R11888" s="19" t="n"/>
      <c r="Y11888" s="19" t="n"/>
    </row>
    <row r="11889">
      <c r="C11889" s="18" t="n"/>
      <c r="J11889" s="19" t="n"/>
      <c r="P11889" s="20" t="n"/>
      <c r="Q11889" s="19" t="n"/>
      <c r="R11889" s="19" t="n"/>
      <c r="Y11889" s="19" t="n"/>
    </row>
    <row r="11890">
      <c r="C11890" s="18" t="n"/>
      <c r="J11890" s="19" t="n"/>
      <c r="P11890" s="20" t="n"/>
      <c r="Q11890" s="19" t="n"/>
      <c r="R11890" s="19" t="n"/>
      <c r="Y11890" s="19" t="n"/>
    </row>
    <row r="11891">
      <c r="C11891" s="18" t="n"/>
      <c r="J11891" s="19" t="n"/>
      <c r="P11891" s="20" t="n"/>
      <c r="Q11891" s="19" t="n"/>
      <c r="R11891" s="19" t="n"/>
      <c r="Y11891" s="19" t="n"/>
    </row>
    <row r="11892">
      <c r="C11892" s="18" t="n"/>
      <c r="J11892" s="19" t="n"/>
      <c r="P11892" s="20" t="n"/>
      <c r="Q11892" s="19" t="n"/>
      <c r="R11892" s="19" t="n"/>
      <c r="Y11892" s="19" t="n"/>
    </row>
    <row r="11893">
      <c r="C11893" s="18" t="n"/>
      <c r="J11893" s="19" t="n"/>
      <c r="P11893" s="20" t="n"/>
      <c r="Q11893" s="19" t="n"/>
      <c r="R11893" s="19" t="n"/>
      <c r="Y11893" s="19" t="n"/>
    </row>
    <row r="11894">
      <c r="C11894" s="18" t="n"/>
      <c r="J11894" s="19" t="n"/>
      <c r="P11894" s="20" t="n"/>
      <c r="Q11894" s="19" t="n"/>
      <c r="R11894" s="19" t="n"/>
      <c r="Y11894" s="19" t="n"/>
    </row>
    <row r="11895">
      <c r="C11895" s="18" t="n"/>
      <c r="J11895" s="19" t="n"/>
      <c r="P11895" s="20" t="n"/>
      <c r="Q11895" s="19" t="n"/>
      <c r="R11895" s="19" t="n"/>
      <c r="Y11895" s="19" t="n"/>
    </row>
    <row r="11896">
      <c r="C11896" s="18" t="n"/>
      <c r="J11896" s="19" t="n"/>
      <c r="P11896" s="20" t="n"/>
      <c r="Q11896" s="19" t="n"/>
      <c r="R11896" s="19" t="n"/>
      <c r="Y11896" s="19" t="n"/>
    </row>
    <row r="11897">
      <c r="C11897" s="18" t="n"/>
      <c r="J11897" s="19" t="n"/>
      <c r="P11897" s="20" t="n"/>
      <c r="Q11897" s="19" t="n"/>
      <c r="R11897" s="19" t="n"/>
      <c r="Y11897" s="19" t="n"/>
    </row>
    <row r="11898">
      <c r="C11898" s="18" t="n"/>
      <c r="J11898" s="19" t="n"/>
      <c r="P11898" s="20" t="n"/>
      <c r="Q11898" s="19" t="n"/>
      <c r="R11898" s="19" t="n"/>
      <c r="Y11898" s="19" t="n"/>
    </row>
    <row r="11899">
      <c r="C11899" s="18" t="n"/>
      <c r="J11899" s="19" t="n"/>
      <c r="P11899" s="20" t="n"/>
      <c r="Q11899" s="19" t="n"/>
      <c r="R11899" s="19" t="n"/>
      <c r="Y11899" s="19" t="n"/>
    </row>
    <row r="11900">
      <c r="C11900" s="18" t="n"/>
      <c r="J11900" s="19" t="n"/>
      <c r="P11900" s="20" t="n"/>
      <c r="Q11900" s="19" t="n"/>
      <c r="R11900" s="19" t="n"/>
      <c r="Y11900" s="19" t="n"/>
    </row>
    <row r="11901">
      <c r="C11901" s="18" t="n"/>
      <c r="J11901" s="19" t="n"/>
      <c r="P11901" s="20" t="n"/>
      <c r="Q11901" s="19" t="n"/>
      <c r="R11901" s="19" t="n"/>
      <c r="Y11901" s="19" t="n"/>
    </row>
    <row r="11902">
      <c r="C11902" s="18" t="n"/>
      <c r="J11902" s="19" t="n"/>
      <c r="P11902" s="20" t="n"/>
      <c r="Q11902" s="19" t="n"/>
      <c r="R11902" s="19" t="n"/>
      <c r="Y11902" s="19" t="n"/>
    </row>
    <row r="11903">
      <c r="C11903" s="18" t="n"/>
      <c r="J11903" s="19" t="n"/>
      <c r="P11903" s="20" t="n"/>
      <c r="Q11903" s="19" t="n"/>
      <c r="R11903" s="19" t="n"/>
      <c r="Y11903" s="19" t="n"/>
    </row>
    <row r="11904">
      <c r="C11904" s="18" t="n"/>
      <c r="J11904" s="19" t="n"/>
      <c r="P11904" s="20" t="n"/>
      <c r="Q11904" s="19" t="n"/>
      <c r="R11904" s="19" t="n"/>
      <c r="Y11904" s="19" t="n"/>
    </row>
    <row r="11905">
      <c r="C11905" s="18" t="n"/>
      <c r="J11905" s="19" t="n"/>
      <c r="P11905" s="20" t="n"/>
      <c r="Q11905" s="19" t="n"/>
      <c r="R11905" s="19" t="n"/>
      <c r="Y11905" s="19" t="n"/>
    </row>
    <row r="11906">
      <c r="C11906" s="18" t="n"/>
      <c r="J11906" s="19" t="n"/>
      <c r="P11906" s="20" t="n"/>
      <c r="Q11906" s="19" t="n"/>
      <c r="R11906" s="19" t="n"/>
      <c r="Y11906" s="19" t="n"/>
    </row>
    <row r="11907">
      <c r="C11907" s="18" t="n"/>
      <c r="J11907" s="19" t="n"/>
      <c r="P11907" s="20" t="n"/>
      <c r="Q11907" s="19" t="n"/>
      <c r="R11907" s="19" t="n"/>
      <c r="Y11907" s="19" t="n"/>
    </row>
    <row r="11908">
      <c r="C11908" s="18" t="n"/>
      <c r="J11908" s="19" t="n"/>
      <c r="P11908" s="20" t="n"/>
      <c r="Q11908" s="19" t="n"/>
      <c r="R11908" s="19" t="n"/>
      <c r="Y11908" s="19" t="n"/>
    </row>
    <row r="11909">
      <c r="C11909" s="18" t="n"/>
      <c r="J11909" s="19" t="n"/>
      <c r="P11909" s="20" t="n"/>
      <c r="Q11909" s="19" t="n"/>
      <c r="R11909" s="19" t="n"/>
      <c r="Y11909" s="19" t="n"/>
    </row>
    <row r="11910">
      <c r="C11910" s="18" t="n"/>
      <c r="J11910" s="19" t="n"/>
      <c r="P11910" s="20" t="n"/>
      <c r="Q11910" s="19" t="n"/>
      <c r="R11910" s="19" t="n"/>
      <c r="Y11910" s="19" t="n"/>
    </row>
    <row r="11911">
      <c r="C11911" s="18" t="n"/>
      <c r="J11911" s="19" t="n"/>
      <c r="P11911" s="20" t="n"/>
      <c r="Q11911" s="19" t="n"/>
      <c r="R11911" s="19" t="n"/>
      <c r="Y11911" s="19" t="n"/>
    </row>
    <row r="11912">
      <c r="C11912" s="18" t="n"/>
      <c r="J11912" s="19" t="n"/>
      <c r="P11912" s="20" t="n"/>
      <c r="Q11912" s="19" t="n"/>
      <c r="R11912" s="19" t="n"/>
      <c r="Y11912" s="19" t="n"/>
    </row>
    <row r="11913">
      <c r="C11913" s="18" t="n"/>
      <c r="J11913" s="19" t="n"/>
      <c r="P11913" s="20" t="n"/>
      <c r="Q11913" s="19" t="n"/>
      <c r="R11913" s="19" t="n"/>
      <c r="Y11913" s="19" t="n"/>
    </row>
    <row r="11914">
      <c r="C11914" s="18" t="n"/>
      <c r="J11914" s="19" t="n"/>
      <c r="P11914" s="20" t="n"/>
      <c r="Q11914" s="19" t="n"/>
      <c r="R11914" s="19" t="n"/>
      <c r="Y11914" s="19" t="n"/>
    </row>
    <row r="11915">
      <c r="C11915" s="18" t="n"/>
      <c r="J11915" s="19" t="n"/>
      <c r="P11915" s="20" t="n"/>
      <c r="Q11915" s="19" t="n"/>
      <c r="R11915" s="19" t="n"/>
      <c r="Y11915" s="19" t="n"/>
    </row>
    <row r="11916">
      <c r="C11916" s="18" t="n"/>
      <c r="J11916" s="19" t="n"/>
      <c r="P11916" s="20" t="n"/>
      <c r="Q11916" s="19" t="n"/>
      <c r="R11916" s="19" t="n"/>
      <c r="Y11916" s="19" t="n"/>
    </row>
    <row r="11917">
      <c r="C11917" s="18" t="n"/>
      <c r="J11917" s="19" t="n"/>
      <c r="P11917" s="20" t="n"/>
      <c r="Q11917" s="19" t="n"/>
      <c r="R11917" s="19" t="n"/>
      <c r="Y11917" s="19" t="n"/>
    </row>
    <row r="11918">
      <c r="C11918" s="18" t="n"/>
      <c r="J11918" s="19" t="n"/>
      <c r="P11918" s="20" t="n"/>
      <c r="Q11918" s="19" t="n"/>
      <c r="R11918" s="19" t="n"/>
      <c r="Y11918" s="19" t="n"/>
    </row>
    <row r="11919">
      <c r="C11919" s="18" t="n"/>
      <c r="J11919" s="19" t="n"/>
      <c r="P11919" s="20" t="n"/>
      <c r="Q11919" s="19" t="n"/>
      <c r="R11919" s="19" t="n"/>
      <c r="Y11919" s="19" t="n"/>
    </row>
    <row r="11920">
      <c r="C11920" s="18" t="n"/>
      <c r="J11920" s="19" t="n"/>
      <c r="P11920" s="20" t="n"/>
      <c r="Q11920" s="19" t="n"/>
      <c r="R11920" s="19" t="n"/>
      <c r="Y11920" s="19" t="n"/>
    </row>
    <row r="11921">
      <c r="C11921" s="18" t="n"/>
      <c r="J11921" s="19" t="n"/>
      <c r="P11921" s="20" t="n"/>
      <c r="Q11921" s="19" t="n"/>
      <c r="R11921" s="19" t="n"/>
      <c r="Y11921" s="19" t="n"/>
    </row>
    <row r="11922">
      <c r="C11922" s="18" t="n"/>
      <c r="J11922" s="19" t="n"/>
      <c r="P11922" s="20" t="n"/>
      <c r="Q11922" s="19" t="n"/>
      <c r="R11922" s="19" t="n"/>
      <c r="Y11922" s="19" t="n"/>
    </row>
    <row r="11923">
      <c r="C11923" s="18" t="n"/>
      <c r="J11923" s="19" t="n"/>
      <c r="P11923" s="20" t="n"/>
      <c r="Q11923" s="19" t="n"/>
      <c r="R11923" s="19" t="n"/>
      <c r="Y11923" s="19" t="n"/>
    </row>
    <row r="11924">
      <c r="C11924" s="18" t="n"/>
      <c r="J11924" s="19" t="n"/>
      <c r="P11924" s="20" t="n"/>
      <c r="Q11924" s="19" t="n"/>
      <c r="R11924" s="19" t="n"/>
      <c r="Y11924" s="19" t="n"/>
    </row>
    <row r="11925">
      <c r="C11925" s="18" t="n"/>
      <c r="J11925" s="19" t="n"/>
      <c r="P11925" s="20" t="n"/>
      <c r="Q11925" s="19" t="n"/>
      <c r="R11925" s="19" t="n"/>
      <c r="Y11925" s="19" t="n"/>
    </row>
    <row r="11926">
      <c r="C11926" s="18" t="n"/>
      <c r="J11926" s="19" t="n"/>
      <c r="P11926" s="20" t="n"/>
      <c r="Q11926" s="19" t="n"/>
      <c r="R11926" s="19" t="n"/>
      <c r="Y11926" s="19" t="n"/>
    </row>
    <row r="11927">
      <c r="C11927" s="18" t="n"/>
      <c r="J11927" s="19" t="n"/>
      <c r="P11927" s="20" t="n"/>
      <c r="Q11927" s="19" t="n"/>
      <c r="R11927" s="19" t="n"/>
      <c r="Y11927" s="19" t="n"/>
    </row>
    <row r="11928">
      <c r="C11928" s="18" t="n"/>
      <c r="J11928" s="19" t="n"/>
      <c r="P11928" s="20" t="n"/>
      <c r="Q11928" s="19" t="n"/>
      <c r="R11928" s="19" t="n"/>
      <c r="Y11928" s="19" t="n"/>
    </row>
    <row r="11929">
      <c r="C11929" s="18" t="n"/>
      <c r="J11929" s="19" t="n"/>
      <c r="P11929" s="20" t="n"/>
      <c r="Q11929" s="19" t="n"/>
      <c r="R11929" s="19" t="n"/>
      <c r="Y11929" s="19" t="n"/>
    </row>
    <row r="11930">
      <c r="C11930" s="18" t="n"/>
      <c r="J11930" s="19" t="n"/>
      <c r="P11930" s="20" t="n"/>
      <c r="Q11930" s="19" t="n"/>
      <c r="R11930" s="19" t="n"/>
      <c r="Y11930" s="19" t="n"/>
    </row>
    <row r="11931">
      <c r="C11931" s="18" t="n"/>
      <c r="J11931" s="19" t="n"/>
      <c r="P11931" s="20" t="n"/>
      <c r="Q11931" s="19" t="n"/>
      <c r="R11931" s="19" t="n"/>
      <c r="Y11931" s="19" t="n"/>
    </row>
    <row r="11932">
      <c r="C11932" s="18" t="n"/>
      <c r="J11932" s="19" t="n"/>
      <c r="P11932" s="20" t="n"/>
      <c r="Q11932" s="19" t="n"/>
      <c r="R11932" s="19" t="n"/>
      <c r="Y11932" s="19" t="n"/>
    </row>
    <row r="11933">
      <c r="C11933" s="18" t="n"/>
      <c r="J11933" s="19" t="n"/>
      <c r="P11933" s="20" t="n"/>
      <c r="Q11933" s="19" t="n"/>
      <c r="R11933" s="19" t="n"/>
      <c r="Y11933" s="19" t="n"/>
    </row>
    <row r="11934">
      <c r="C11934" s="18" t="n"/>
      <c r="J11934" s="19" t="n"/>
      <c r="P11934" s="20" t="n"/>
      <c r="Q11934" s="19" t="n"/>
      <c r="R11934" s="19" t="n"/>
      <c r="Y11934" s="19" t="n"/>
    </row>
    <row r="11935">
      <c r="C11935" s="18" t="n"/>
      <c r="J11935" s="19" t="n"/>
      <c r="P11935" s="20" t="n"/>
      <c r="Q11935" s="19" t="n"/>
      <c r="R11935" s="19" t="n"/>
      <c r="Y11935" s="19" t="n"/>
    </row>
    <row r="11936">
      <c r="C11936" s="18" t="n"/>
      <c r="J11936" s="19" t="n"/>
      <c r="P11936" s="20" t="n"/>
      <c r="Q11936" s="19" t="n"/>
      <c r="R11936" s="19" t="n"/>
      <c r="Y11936" s="19" t="n"/>
    </row>
    <row r="11937">
      <c r="C11937" s="18" t="n"/>
      <c r="J11937" s="19" t="n"/>
      <c r="P11937" s="20" t="n"/>
      <c r="Q11937" s="19" t="n"/>
      <c r="R11937" s="19" t="n"/>
      <c r="Y11937" s="19" t="n"/>
    </row>
    <row r="11938">
      <c r="C11938" s="18" t="n"/>
      <c r="J11938" s="19" t="n"/>
      <c r="P11938" s="20" t="n"/>
      <c r="Q11938" s="19" t="n"/>
      <c r="R11938" s="19" t="n"/>
      <c r="Y11938" s="19" t="n"/>
    </row>
    <row r="11939">
      <c r="C11939" s="18" t="n"/>
      <c r="J11939" s="19" t="n"/>
      <c r="P11939" s="20" t="n"/>
      <c r="Q11939" s="19" t="n"/>
      <c r="R11939" s="19" t="n"/>
      <c r="Y11939" s="19" t="n"/>
    </row>
    <row r="11940">
      <c r="C11940" s="18" t="n"/>
      <c r="J11940" s="19" t="n"/>
      <c r="P11940" s="20" t="n"/>
      <c r="Q11940" s="19" t="n"/>
      <c r="R11940" s="19" t="n"/>
      <c r="Y11940" s="19" t="n"/>
    </row>
    <row r="11941">
      <c r="C11941" s="18" t="n"/>
      <c r="J11941" s="19" t="n"/>
      <c r="P11941" s="20" t="n"/>
      <c r="Q11941" s="19" t="n"/>
      <c r="R11941" s="19" t="n"/>
      <c r="Y11941" s="19" t="n"/>
    </row>
    <row r="11942">
      <c r="C11942" s="18" t="n"/>
      <c r="J11942" s="19" t="n"/>
      <c r="P11942" s="20" t="n"/>
      <c r="Q11942" s="19" t="n"/>
      <c r="R11942" s="19" t="n"/>
      <c r="Y11942" s="19" t="n"/>
    </row>
    <row r="11943">
      <c r="C11943" s="18" t="n"/>
      <c r="J11943" s="19" t="n"/>
      <c r="P11943" s="20" t="n"/>
      <c r="Q11943" s="19" t="n"/>
      <c r="R11943" s="19" t="n"/>
      <c r="Y11943" s="19" t="n"/>
    </row>
    <row r="11944">
      <c r="C11944" s="18" t="n"/>
      <c r="J11944" s="19" t="n"/>
      <c r="P11944" s="20" t="n"/>
      <c r="Q11944" s="19" t="n"/>
      <c r="R11944" s="19" t="n"/>
      <c r="Y11944" s="19" t="n"/>
    </row>
    <row r="11945">
      <c r="C11945" s="18" t="n"/>
      <c r="J11945" s="19" t="n"/>
      <c r="P11945" s="20" t="n"/>
      <c r="Q11945" s="19" t="n"/>
      <c r="R11945" s="19" t="n"/>
      <c r="Y11945" s="19" t="n"/>
    </row>
    <row r="11946">
      <c r="C11946" s="18" t="n"/>
      <c r="J11946" s="19" t="n"/>
      <c r="P11946" s="20" t="n"/>
      <c r="Q11946" s="19" t="n"/>
      <c r="R11946" s="19" t="n"/>
      <c r="Y11946" s="19" t="n"/>
    </row>
    <row r="11947">
      <c r="C11947" s="18" t="n"/>
      <c r="J11947" s="19" t="n"/>
      <c r="P11947" s="20" t="n"/>
      <c r="Q11947" s="19" t="n"/>
      <c r="R11947" s="19" t="n"/>
      <c r="Y11947" s="19" t="n"/>
    </row>
    <row r="11948">
      <c r="C11948" s="18" t="n"/>
      <c r="J11948" s="19" t="n"/>
      <c r="P11948" s="20" t="n"/>
      <c r="Q11948" s="19" t="n"/>
      <c r="R11948" s="19" t="n"/>
      <c r="Y11948" s="19" t="n"/>
    </row>
    <row r="11949">
      <c r="C11949" s="18" t="n"/>
      <c r="J11949" s="19" t="n"/>
      <c r="P11949" s="20" t="n"/>
      <c r="Q11949" s="19" t="n"/>
      <c r="R11949" s="19" t="n"/>
      <c r="Y11949" s="19" t="n"/>
    </row>
    <row r="11950">
      <c r="C11950" s="18" t="n"/>
      <c r="J11950" s="19" t="n"/>
      <c r="P11950" s="20" t="n"/>
      <c r="Q11950" s="19" t="n"/>
      <c r="R11950" s="19" t="n"/>
      <c r="Y11950" s="19" t="n"/>
    </row>
    <row r="11951">
      <c r="C11951" s="18" t="n"/>
      <c r="J11951" s="19" t="n"/>
      <c r="P11951" s="20" t="n"/>
      <c r="Q11951" s="19" t="n"/>
      <c r="R11951" s="19" t="n"/>
      <c r="Y11951" s="19" t="n"/>
    </row>
    <row r="11952">
      <c r="C11952" s="18" t="n"/>
      <c r="J11952" s="19" t="n"/>
      <c r="P11952" s="20" t="n"/>
      <c r="Q11952" s="19" t="n"/>
      <c r="R11952" s="19" t="n"/>
      <c r="Y11952" s="19" t="n"/>
    </row>
    <row r="11953">
      <c r="C11953" s="18" t="n"/>
      <c r="J11953" s="19" t="n"/>
      <c r="P11953" s="20" t="n"/>
      <c r="Q11953" s="19" t="n"/>
      <c r="R11953" s="19" t="n"/>
      <c r="Y11953" s="19" t="n"/>
    </row>
    <row r="11954">
      <c r="C11954" s="18" t="n"/>
      <c r="J11954" s="19" t="n"/>
      <c r="P11954" s="20" t="n"/>
      <c r="Q11954" s="19" t="n"/>
      <c r="R11954" s="19" t="n"/>
      <c r="Y11954" s="19" t="n"/>
    </row>
    <row r="11955">
      <c r="C11955" s="18" t="n"/>
      <c r="J11955" s="19" t="n"/>
      <c r="P11955" s="20" t="n"/>
      <c r="Q11955" s="19" t="n"/>
      <c r="R11955" s="19" t="n"/>
      <c r="Y11955" s="19" t="n"/>
    </row>
    <row r="11956">
      <c r="C11956" s="18" t="n"/>
      <c r="J11956" s="19" t="n"/>
      <c r="P11956" s="20" t="n"/>
      <c r="Q11956" s="19" t="n"/>
      <c r="R11956" s="19" t="n"/>
      <c r="Y11956" s="19" t="n"/>
    </row>
    <row r="11957">
      <c r="C11957" s="18" t="n"/>
      <c r="J11957" s="19" t="n"/>
      <c r="P11957" s="20" t="n"/>
      <c r="Q11957" s="19" t="n"/>
      <c r="R11957" s="19" t="n"/>
      <c r="Y11957" s="19" t="n"/>
    </row>
    <row r="11958">
      <c r="C11958" s="18" t="n"/>
      <c r="J11958" s="19" t="n"/>
      <c r="P11958" s="20" t="n"/>
      <c r="Q11958" s="19" t="n"/>
      <c r="R11958" s="19" t="n"/>
      <c r="Y11958" s="19" t="n"/>
    </row>
    <row r="11959">
      <c r="C11959" s="18" t="n"/>
      <c r="J11959" s="19" t="n"/>
      <c r="P11959" s="20" t="n"/>
      <c r="Q11959" s="19" t="n"/>
      <c r="R11959" s="19" t="n"/>
      <c r="Y11959" s="19" t="n"/>
    </row>
    <row r="11960">
      <c r="C11960" s="18" t="n"/>
      <c r="J11960" s="19" t="n"/>
      <c r="P11960" s="20" t="n"/>
      <c r="Q11960" s="19" t="n"/>
      <c r="R11960" s="19" t="n"/>
      <c r="Y11960" s="19" t="n"/>
    </row>
    <row r="11961">
      <c r="C11961" s="18" t="n"/>
      <c r="J11961" s="19" t="n"/>
      <c r="P11961" s="20" t="n"/>
      <c r="Q11961" s="19" t="n"/>
      <c r="R11961" s="19" t="n"/>
      <c r="Y11961" s="19" t="n"/>
    </row>
    <row r="11962">
      <c r="C11962" s="18" t="n"/>
      <c r="J11962" s="19" t="n"/>
      <c r="P11962" s="20" t="n"/>
      <c r="Q11962" s="19" t="n"/>
      <c r="R11962" s="19" t="n"/>
      <c r="Y11962" s="19" t="n"/>
    </row>
    <row r="11963">
      <c r="C11963" s="18" t="n"/>
      <c r="J11963" s="19" t="n"/>
      <c r="P11963" s="20" t="n"/>
      <c r="Q11963" s="19" t="n"/>
      <c r="R11963" s="19" t="n"/>
      <c r="Y11963" s="19" t="n"/>
    </row>
    <row r="11964">
      <c r="C11964" s="18" t="n"/>
      <c r="J11964" s="19" t="n"/>
      <c r="P11964" s="20" t="n"/>
      <c r="Q11964" s="19" t="n"/>
      <c r="R11964" s="19" t="n"/>
      <c r="Y11964" s="19" t="n"/>
    </row>
    <row r="11965">
      <c r="C11965" s="18" t="n"/>
      <c r="J11965" s="19" t="n"/>
      <c r="P11965" s="20" t="n"/>
      <c r="Q11965" s="19" t="n"/>
      <c r="R11965" s="19" t="n"/>
      <c r="Y11965" s="19" t="n"/>
    </row>
    <row r="11966">
      <c r="C11966" s="18" t="n"/>
      <c r="J11966" s="19" t="n"/>
      <c r="P11966" s="20" t="n"/>
      <c r="Q11966" s="19" t="n"/>
      <c r="R11966" s="19" t="n"/>
      <c r="Y11966" s="19" t="n"/>
    </row>
    <row r="11967">
      <c r="C11967" s="18" t="n"/>
      <c r="J11967" s="19" t="n"/>
      <c r="P11967" s="20" t="n"/>
      <c r="Q11967" s="19" t="n"/>
      <c r="R11967" s="19" t="n"/>
      <c r="Y11967" s="19" t="n"/>
    </row>
    <row r="11968">
      <c r="C11968" s="18" t="n"/>
      <c r="J11968" s="19" t="n"/>
      <c r="P11968" s="20" t="n"/>
      <c r="Q11968" s="19" t="n"/>
      <c r="R11968" s="19" t="n"/>
      <c r="Y11968" s="19" t="n"/>
    </row>
    <row r="11969">
      <c r="C11969" s="18" t="n"/>
      <c r="J11969" s="19" t="n"/>
      <c r="P11969" s="20" t="n"/>
      <c r="Q11969" s="19" t="n"/>
      <c r="R11969" s="19" t="n"/>
      <c r="Y11969" s="19" t="n"/>
    </row>
    <row r="11970">
      <c r="C11970" s="18" t="n"/>
      <c r="J11970" s="19" t="n"/>
      <c r="P11970" s="20" t="n"/>
      <c r="Q11970" s="19" t="n"/>
      <c r="R11970" s="19" t="n"/>
      <c r="Y11970" s="19" t="n"/>
    </row>
    <row r="11971">
      <c r="C11971" s="18" t="n"/>
      <c r="J11971" s="19" t="n"/>
      <c r="P11971" s="20" t="n"/>
      <c r="Q11971" s="19" t="n"/>
      <c r="R11971" s="19" t="n"/>
      <c r="Y11971" s="19" t="n"/>
    </row>
    <row r="11972">
      <c r="C11972" s="18" t="n"/>
      <c r="J11972" s="19" t="n"/>
      <c r="P11972" s="20" t="n"/>
      <c r="Q11972" s="19" t="n"/>
      <c r="R11972" s="19" t="n"/>
      <c r="Y11972" s="19" t="n"/>
    </row>
    <row r="11973">
      <c r="C11973" s="18" t="n"/>
      <c r="J11973" s="19" t="n"/>
      <c r="P11973" s="20" t="n"/>
      <c r="Q11973" s="19" t="n"/>
      <c r="R11973" s="19" t="n"/>
      <c r="Y11973" s="19" t="n"/>
    </row>
    <row r="11974">
      <c r="C11974" s="18" t="n"/>
      <c r="J11974" s="19" t="n"/>
      <c r="P11974" s="20" t="n"/>
      <c r="Q11974" s="19" t="n"/>
      <c r="R11974" s="19" t="n"/>
      <c r="Y11974" s="19" t="n"/>
    </row>
    <row r="11975">
      <c r="C11975" s="18" t="n"/>
      <c r="J11975" s="19" t="n"/>
      <c r="P11975" s="20" t="n"/>
      <c r="Q11975" s="19" t="n"/>
      <c r="R11975" s="19" t="n"/>
      <c r="Y11975" s="19" t="n"/>
    </row>
    <row r="11976">
      <c r="C11976" s="18" t="n"/>
      <c r="J11976" s="19" t="n"/>
      <c r="P11976" s="20" t="n"/>
      <c r="Q11976" s="19" t="n"/>
      <c r="R11976" s="19" t="n"/>
      <c r="Y11976" s="19" t="n"/>
    </row>
    <row r="11977">
      <c r="C11977" s="18" t="n"/>
      <c r="J11977" s="19" t="n"/>
      <c r="P11977" s="20" t="n"/>
      <c r="Q11977" s="19" t="n"/>
      <c r="R11977" s="19" t="n"/>
      <c r="Y11977" s="19" t="n"/>
    </row>
    <row r="11978">
      <c r="C11978" s="18" t="n"/>
      <c r="J11978" s="19" t="n"/>
      <c r="P11978" s="20" t="n"/>
      <c r="Q11978" s="19" t="n"/>
      <c r="R11978" s="19" t="n"/>
      <c r="Y11978" s="19" t="n"/>
    </row>
    <row r="11979">
      <c r="C11979" s="18" t="n"/>
      <c r="J11979" s="19" t="n"/>
      <c r="P11979" s="20" t="n"/>
      <c r="Q11979" s="19" t="n"/>
      <c r="R11979" s="19" t="n"/>
      <c r="Y11979" s="19" t="n"/>
    </row>
    <row r="11980">
      <c r="C11980" s="18" t="n"/>
      <c r="J11980" s="19" t="n"/>
      <c r="P11980" s="20" t="n"/>
      <c r="Q11980" s="19" t="n"/>
      <c r="R11980" s="19" t="n"/>
      <c r="Y11980" s="19" t="n"/>
    </row>
    <row r="11981">
      <c r="C11981" s="18" t="n"/>
      <c r="J11981" s="19" t="n"/>
      <c r="P11981" s="20" t="n"/>
      <c r="Q11981" s="19" t="n"/>
      <c r="R11981" s="19" t="n"/>
      <c r="Y11981" s="19" t="n"/>
    </row>
    <row r="11982">
      <c r="C11982" s="18" t="n"/>
      <c r="J11982" s="19" t="n"/>
      <c r="P11982" s="20" t="n"/>
      <c r="Q11982" s="19" t="n"/>
      <c r="R11982" s="19" t="n"/>
      <c r="Y11982" s="19" t="n"/>
    </row>
    <row r="11983">
      <c r="C11983" s="18" t="n"/>
      <c r="J11983" s="19" t="n"/>
      <c r="P11983" s="20" t="n"/>
      <c r="Q11983" s="19" t="n"/>
      <c r="R11983" s="19" t="n"/>
      <c r="Y11983" s="19" t="n"/>
    </row>
    <row r="11984">
      <c r="C11984" s="18" t="n"/>
      <c r="J11984" s="19" t="n"/>
      <c r="P11984" s="20" t="n"/>
      <c r="Q11984" s="19" t="n"/>
      <c r="R11984" s="19" t="n"/>
      <c r="Y11984" s="19" t="n"/>
    </row>
    <row r="11985">
      <c r="C11985" s="18" t="n"/>
      <c r="J11985" s="19" t="n"/>
      <c r="P11985" s="20" t="n"/>
      <c r="Q11985" s="19" t="n"/>
      <c r="R11985" s="19" t="n"/>
      <c r="Y11985" s="19" t="n"/>
    </row>
    <row r="11986">
      <c r="C11986" s="18" t="n"/>
      <c r="J11986" s="19" t="n"/>
      <c r="P11986" s="20" t="n"/>
      <c r="Q11986" s="19" t="n"/>
      <c r="R11986" s="19" t="n"/>
      <c r="Y11986" s="19" t="n"/>
    </row>
    <row r="11987">
      <c r="C11987" s="18" t="n"/>
      <c r="J11987" s="19" t="n"/>
      <c r="P11987" s="20" t="n"/>
      <c r="Q11987" s="19" t="n"/>
      <c r="R11987" s="19" t="n"/>
      <c r="Y11987" s="19" t="n"/>
    </row>
    <row r="11988">
      <c r="C11988" s="18" t="n"/>
      <c r="J11988" s="19" t="n"/>
      <c r="P11988" s="20" t="n"/>
      <c r="Q11988" s="19" t="n"/>
      <c r="R11988" s="19" t="n"/>
      <c r="Y11988" s="19" t="n"/>
    </row>
    <row r="11989">
      <c r="C11989" s="18" t="n"/>
      <c r="J11989" s="19" t="n"/>
      <c r="P11989" s="20" t="n"/>
      <c r="Q11989" s="19" t="n"/>
      <c r="R11989" s="19" t="n"/>
      <c r="Y11989" s="19" t="n"/>
    </row>
    <row r="11990">
      <c r="C11990" s="18" t="n"/>
      <c r="J11990" s="19" t="n"/>
      <c r="P11990" s="20" t="n"/>
      <c r="Q11990" s="19" t="n"/>
      <c r="R11990" s="19" t="n"/>
      <c r="Y11990" s="19" t="n"/>
    </row>
    <row r="11991">
      <c r="C11991" s="18" t="n"/>
      <c r="J11991" s="19" t="n"/>
      <c r="P11991" s="20" t="n"/>
      <c r="Q11991" s="19" t="n"/>
      <c r="R11991" s="19" t="n"/>
      <c r="Y11991" s="19" t="n"/>
    </row>
    <row r="11992">
      <c r="C11992" s="18" t="n"/>
      <c r="J11992" s="19" t="n"/>
      <c r="P11992" s="20" t="n"/>
      <c r="Q11992" s="19" t="n"/>
      <c r="R11992" s="19" t="n"/>
      <c r="Y11992" s="19" t="n"/>
    </row>
    <row r="11993">
      <c r="C11993" s="18" t="n"/>
      <c r="J11993" s="19" t="n"/>
      <c r="P11993" s="20" t="n"/>
      <c r="Q11993" s="19" t="n"/>
      <c r="R11993" s="19" t="n"/>
      <c r="Y11993" s="19" t="n"/>
    </row>
    <row r="11994">
      <c r="C11994" s="18" t="n"/>
      <c r="J11994" s="19" t="n"/>
      <c r="P11994" s="20" t="n"/>
      <c r="Q11994" s="19" t="n"/>
      <c r="R11994" s="19" t="n"/>
      <c r="Y11994" s="19" t="n"/>
    </row>
    <row r="11995">
      <c r="C11995" s="18" t="n"/>
      <c r="J11995" s="19" t="n"/>
      <c r="P11995" s="20" t="n"/>
      <c r="Q11995" s="19" t="n"/>
      <c r="R11995" s="19" t="n"/>
      <c r="Y11995" s="19" t="n"/>
    </row>
    <row r="11996">
      <c r="C11996" s="18" t="n"/>
      <c r="J11996" s="19" t="n"/>
      <c r="P11996" s="20" t="n"/>
      <c r="Q11996" s="19" t="n"/>
      <c r="R11996" s="19" t="n"/>
      <c r="Y11996" s="19" t="n"/>
    </row>
    <row r="11997">
      <c r="C11997" s="18" t="n"/>
      <c r="J11997" s="19" t="n"/>
      <c r="P11997" s="20" t="n"/>
      <c r="Q11997" s="19" t="n"/>
      <c r="R11997" s="19" t="n"/>
      <c r="Y11997" s="19" t="n"/>
    </row>
    <row r="11998">
      <c r="C11998" s="18" t="n"/>
      <c r="J11998" s="19" t="n"/>
      <c r="P11998" s="20" t="n"/>
      <c r="Q11998" s="19" t="n"/>
      <c r="R11998" s="19" t="n"/>
      <c r="Y11998" s="19" t="n"/>
    </row>
    <row r="11999">
      <c r="C11999" s="18" t="n"/>
      <c r="J11999" s="19" t="n"/>
      <c r="P11999" s="20" t="n"/>
      <c r="Q11999" s="19" t="n"/>
      <c r="R11999" s="19" t="n"/>
      <c r="Y11999" s="19" t="n"/>
    </row>
    <row r="12000">
      <c r="C12000" s="18" t="n"/>
      <c r="J12000" s="19" t="n"/>
      <c r="P12000" s="20" t="n"/>
      <c r="Q12000" s="19" t="n"/>
      <c r="R12000" s="19" t="n"/>
      <c r="Y12000" s="19" t="n"/>
    </row>
    <row r="12001">
      <c r="C12001" s="18" t="n"/>
      <c r="J12001" s="19" t="n"/>
      <c r="P12001" s="20" t="n"/>
      <c r="Q12001" s="19" t="n"/>
      <c r="R12001" s="19" t="n"/>
      <c r="Y12001" s="19" t="n"/>
    </row>
    <row r="12002">
      <c r="C12002" s="18" t="n"/>
      <c r="J12002" s="19" t="n"/>
      <c r="P12002" s="20" t="n"/>
      <c r="Q12002" s="19" t="n"/>
      <c r="R12002" s="19" t="n"/>
      <c r="Y12002" s="19" t="n"/>
    </row>
    <row r="12003">
      <c r="C12003" s="18" t="n"/>
      <c r="J12003" s="19" t="n"/>
      <c r="P12003" s="20" t="n"/>
      <c r="Q12003" s="19" t="n"/>
      <c r="R12003" s="19" t="n"/>
      <c r="Y12003" s="19" t="n"/>
    </row>
    <row r="12004">
      <c r="C12004" s="18" t="n"/>
      <c r="J12004" s="19" t="n"/>
      <c r="P12004" s="20" t="n"/>
      <c r="Q12004" s="19" t="n"/>
      <c r="R12004" s="19" t="n"/>
      <c r="Y12004" s="19" t="n"/>
    </row>
    <row r="12005">
      <c r="C12005" s="18" t="n"/>
      <c r="J12005" s="19" t="n"/>
      <c r="P12005" s="20" t="n"/>
      <c r="Q12005" s="19" t="n"/>
      <c r="R12005" s="19" t="n"/>
      <c r="Y12005" s="19" t="n"/>
    </row>
    <row r="12006">
      <c r="C12006" s="18" t="n"/>
      <c r="J12006" s="19" t="n"/>
      <c r="P12006" s="20" t="n"/>
      <c r="Q12006" s="19" t="n"/>
      <c r="R12006" s="19" t="n"/>
      <c r="Y12006" s="19" t="n"/>
    </row>
    <row r="12007">
      <c r="C12007" s="18" t="n"/>
      <c r="J12007" s="19" t="n"/>
      <c r="P12007" s="20" t="n"/>
      <c r="Q12007" s="19" t="n"/>
      <c r="R12007" s="19" t="n"/>
      <c r="Y12007" s="19" t="n"/>
    </row>
    <row r="12008">
      <c r="C12008" s="18" t="n"/>
      <c r="J12008" s="19" t="n"/>
      <c r="P12008" s="20" t="n"/>
      <c r="Q12008" s="19" t="n"/>
      <c r="R12008" s="19" t="n"/>
      <c r="Y12008" s="19" t="n"/>
    </row>
    <row r="12009">
      <c r="C12009" s="18" t="n"/>
      <c r="J12009" s="19" t="n"/>
      <c r="P12009" s="20" t="n"/>
      <c r="Q12009" s="19" t="n"/>
      <c r="R12009" s="19" t="n"/>
      <c r="Y12009" s="19" t="n"/>
    </row>
    <row r="12010">
      <c r="C12010" s="18" t="n"/>
      <c r="J12010" s="19" t="n"/>
      <c r="P12010" s="20" t="n"/>
      <c r="Q12010" s="19" t="n"/>
      <c r="R12010" s="19" t="n"/>
      <c r="Y12010" s="19" t="n"/>
    </row>
    <row r="12011">
      <c r="C12011" s="18" t="n"/>
      <c r="J12011" s="19" t="n"/>
      <c r="P12011" s="20" t="n"/>
      <c r="Q12011" s="19" t="n"/>
      <c r="R12011" s="19" t="n"/>
      <c r="Y12011" s="19" t="n"/>
    </row>
    <row r="12012">
      <c r="C12012" s="18" t="n"/>
      <c r="J12012" s="19" t="n"/>
      <c r="P12012" s="20" t="n"/>
      <c r="Q12012" s="19" t="n"/>
      <c r="R12012" s="19" t="n"/>
      <c r="Y12012" s="19" t="n"/>
    </row>
    <row r="12013">
      <c r="C12013" s="18" t="n"/>
      <c r="J12013" s="19" t="n"/>
      <c r="P12013" s="20" t="n"/>
      <c r="Q12013" s="19" t="n"/>
      <c r="R12013" s="19" t="n"/>
      <c r="Y12013" s="19" t="n"/>
    </row>
    <row r="12014">
      <c r="C12014" s="18" t="n"/>
      <c r="J12014" s="19" t="n"/>
      <c r="P12014" s="20" t="n"/>
      <c r="Q12014" s="19" t="n"/>
      <c r="R12014" s="19" t="n"/>
      <c r="Y12014" s="19" t="n"/>
    </row>
    <row r="12015">
      <c r="C12015" s="18" t="n"/>
      <c r="J12015" s="19" t="n"/>
      <c r="P12015" s="20" t="n"/>
      <c r="Q12015" s="19" t="n"/>
      <c r="R12015" s="19" t="n"/>
      <c r="Y12015" s="19" t="n"/>
    </row>
    <row r="12016">
      <c r="C12016" s="18" t="n"/>
      <c r="J12016" s="19" t="n"/>
      <c r="P12016" s="20" t="n"/>
      <c r="Q12016" s="19" t="n"/>
      <c r="R12016" s="19" t="n"/>
      <c r="Y12016" s="19" t="n"/>
    </row>
    <row r="12017">
      <c r="C12017" s="18" t="n"/>
      <c r="J12017" s="19" t="n"/>
      <c r="P12017" s="20" t="n"/>
      <c r="Q12017" s="19" t="n"/>
      <c r="R12017" s="19" t="n"/>
      <c r="Y12017" s="19" t="n"/>
    </row>
    <row r="12018">
      <c r="C12018" s="18" t="n"/>
      <c r="J12018" s="19" t="n"/>
      <c r="P12018" s="20" t="n"/>
      <c r="Q12018" s="19" t="n"/>
      <c r="R12018" s="19" t="n"/>
      <c r="Y12018" s="19" t="n"/>
    </row>
    <row r="12019">
      <c r="C12019" s="18" t="n"/>
      <c r="J12019" s="19" t="n"/>
      <c r="P12019" s="20" t="n"/>
      <c r="Q12019" s="19" t="n"/>
      <c r="R12019" s="19" t="n"/>
      <c r="Y12019" s="19" t="n"/>
    </row>
    <row r="12020">
      <c r="C12020" s="18" t="n"/>
      <c r="J12020" s="19" t="n"/>
      <c r="P12020" s="20" t="n"/>
      <c r="Q12020" s="19" t="n"/>
      <c r="R12020" s="19" t="n"/>
      <c r="Y12020" s="19" t="n"/>
    </row>
    <row r="12021">
      <c r="C12021" s="18" t="n"/>
      <c r="J12021" s="19" t="n"/>
      <c r="P12021" s="20" t="n"/>
      <c r="Q12021" s="19" t="n"/>
      <c r="R12021" s="19" t="n"/>
      <c r="Y12021" s="19" t="n"/>
    </row>
    <row r="12022">
      <c r="C12022" s="18" t="n"/>
      <c r="J12022" s="19" t="n"/>
      <c r="P12022" s="20" t="n"/>
      <c r="Q12022" s="19" t="n"/>
      <c r="R12022" s="19" t="n"/>
      <c r="Y12022" s="19" t="n"/>
    </row>
    <row r="12023">
      <c r="C12023" s="18" t="n"/>
      <c r="J12023" s="19" t="n"/>
      <c r="P12023" s="20" t="n"/>
      <c r="Q12023" s="19" t="n"/>
      <c r="R12023" s="19" t="n"/>
      <c r="Y12023" s="19" t="n"/>
    </row>
    <row r="12024">
      <c r="C12024" s="18" t="n"/>
      <c r="J12024" s="19" t="n"/>
      <c r="P12024" s="20" t="n"/>
      <c r="Q12024" s="19" t="n"/>
      <c r="R12024" s="19" t="n"/>
      <c r="Y12024" s="19" t="n"/>
    </row>
    <row r="12025">
      <c r="C12025" s="18" t="n"/>
      <c r="J12025" s="19" t="n"/>
      <c r="P12025" s="20" t="n"/>
      <c r="Q12025" s="19" t="n"/>
      <c r="R12025" s="19" t="n"/>
      <c r="Y12025" s="19" t="n"/>
    </row>
    <row r="12026">
      <c r="C12026" s="18" t="n"/>
      <c r="J12026" s="19" t="n"/>
      <c r="P12026" s="20" t="n"/>
      <c r="Q12026" s="19" t="n"/>
      <c r="R12026" s="19" t="n"/>
      <c r="Y12026" s="19" t="n"/>
    </row>
    <row r="12027">
      <c r="C12027" s="18" t="n"/>
      <c r="J12027" s="19" t="n"/>
      <c r="P12027" s="20" t="n"/>
      <c r="Q12027" s="19" t="n"/>
      <c r="R12027" s="19" t="n"/>
      <c r="Y12027" s="19" t="n"/>
    </row>
    <row r="12028">
      <c r="C12028" s="18" t="n"/>
      <c r="J12028" s="19" t="n"/>
      <c r="P12028" s="20" t="n"/>
      <c r="Q12028" s="19" t="n"/>
      <c r="R12028" s="19" t="n"/>
      <c r="Y12028" s="19" t="n"/>
    </row>
    <row r="12029">
      <c r="C12029" s="18" t="n"/>
      <c r="J12029" s="19" t="n"/>
      <c r="P12029" s="20" t="n"/>
      <c r="Q12029" s="19" t="n"/>
      <c r="R12029" s="19" t="n"/>
      <c r="Y12029" s="19" t="n"/>
    </row>
    <row r="12030">
      <c r="C12030" s="18" t="n"/>
      <c r="J12030" s="19" t="n"/>
      <c r="P12030" s="20" t="n"/>
      <c r="Q12030" s="19" t="n"/>
      <c r="R12030" s="19" t="n"/>
      <c r="Y12030" s="19" t="n"/>
    </row>
    <row r="12031">
      <c r="C12031" s="18" t="n"/>
      <c r="J12031" s="19" t="n"/>
      <c r="P12031" s="20" t="n"/>
      <c r="Q12031" s="19" t="n"/>
      <c r="R12031" s="19" t="n"/>
      <c r="Y12031" s="19" t="n"/>
    </row>
    <row r="12032">
      <c r="C12032" s="18" t="n"/>
      <c r="J12032" s="19" t="n"/>
      <c r="P12032" s="20" t="n"/>
      <c r="Q12032" s="19" t="n"/>
      <c r="R12032" s="19" t="n"/>
      <c r="Y12032" s="19" t="n"/>
    </row>
    <row r="12033">
      <c r="C12033" s="18" t="n"/>
      <c r="J12033" s="19" t="n"/>
      <c r="P12033" s="20" t="n"/>
      <c r="Q12033" s="19" t="n"/>
      <c r="R12033" s="19" t="n"/>
      <c r="Y12033" s="19" t="n"/>
    </row>
    <row r="12034">
      <c r="C12034" s="18" t="n"/>
      <c r="J12034" s="19" t="n"/>
      <c r="P12034" s="20" t="n"/>
      <c r="Q12034" s="19" t="n"/>
      <c r="R12034" s="19" t="n"/>
      <c r="Y12034" s="19" t="n"/>
    </row>
    <row r="12035">
      <c r="C12035" s="18" t="n"/>
      <c r="J12035" s="19" t="n"/>
      <c r="P12035" s="20" t="n"/>
      <c r="Q12035" s="19" t="n"/>
      <c r="R12035" s="19" t="n"/>
      <c r="Y12035" s="19" t="n"/>
    </row>
    <row r="12036">
      <c r="C12036" s="18" t="n"/>
      <c r="J12036" s="19" t="n"/>
      <c r="P12036" s="20" t="n"/>
      <c r="Q12036" s="19" t="n"/>
      <c r="R12036" s="19" t="n"/>
      <c r="Y12036" s="19" t="n"/>
    </row>
    <row r="12037">
      <c r="C12037" s="18" t="n"/>
      <c r="J12037" s="19" t="n"/>
      <c r="P12037" s="20" t="n"/>
      <c r="Q12037" s="19" t="n"/>
      <c r="R12037" s="19" t="n"/>
      <c r="Y12037" s="19" t="n"/>
    </row>
    <row r="12038">
      <c r="C12038" s="18" t="n"/>
      <c r="J12038" s="19" t="n"/>
      <c r="P12038" s="20" t="n"/>
      <c r="Q12038" s="19" t="n"/>
      <c r="R12038" s="19" t="n"/>
      <c r="Y12038" s="19" t="n"/>
    </row>
    <row r="12039">
      <c r="C12039" s="18" t="n"/>
      <c r="J12039" s="19" t="n"/>
      <c r="P12039" s="20" t="n"/>
      <c r="Q12039" s="19" t="n"/>
      <c r="R12039" s="19" t="n"/>
      <c r="Y12039" s="19" t="n"/>
    </row>
    <row r="12040">
      <c r="C12040" s="18" t="n"/>
      <c r="J12040" s="19" t="n"/>
      <c r="P12040" s="20" t="n"/>
      <c r="Q12040" s="19" t="n"/>
      <c r="R12040" s="19" t="n"/>
      <c r="Y12040" s="19" t="n"/>
    </row>
    <row r="12041">
      <c r="C12041" s="18" t="n"/>
      <c r="J12041" s="19" t="n"/>
      <c r="P12041" s="20" t="n"/>
      <c r="Q12041" s="19" t="n"/>
      <c r="R12041" s="19" t="n"/>
      <c r="Y12041" s="19" t="n"/>
    </row>
    <row r="12042">
      <c r="C12042" s="18" t="n"/>
      <c r="J12042" s="19" t="n"/>
      <c r="P12042" s="20" t="n"/>
      <c r="Q12042" s="19" t="n"/>
      <c r="R12042" s="19" t="n"/>
      <c r="Y12042" s="19" t="n"/>
    </row>
    <row r="12043">
      <c r="C12043" s="18" t="n"/>
      <c r="J12043" s="19" t="n"/>
      <c r="P12043" s="20" t="n"/>
      <c r="Q12043" s="19" t="n"/>
      <c r="R12043" s="19" t="n"/>
      <c r="Y12043" s="19" t="n"/>
    </row>
    <row r="12044">
      <c r="C12044" s="18" t="n"/>
      <c r="J12044" s="19" t="n"/>
      <c r="P12044" s="20" t="n"/>
      <c r="Q12044" s="19" t="n"/>
      <c r="R12044" s="19" t="n"/>
      <c r="Y12044" s="19" t="n"/>
    </row>
    <row r="12045">
      <c r="C12045" s="18" t="n"/>
      <c r="J12045" s="19" t="n"/>
      <c r="P12045" s="20" t="n"/>
      <c r="Q12045" s="19" t="n"/>
      <c r="R12045" s="19" t="n"/>
      <c r="Y12045" s="19" t="n"/>
    </row>
    <row r="12046">
      <c r="C12046" s="18" t="n"/>
      <c r="J12046" s="19" t="n"/>
      <c r="P12046" s="20" t="n"/>
      <c r="Q12046" s="19" t="n"/>
      <c r="R12046" s="19" t="n"/>
      <c r="Y12046" s="19" t="n"/>
    </row>
    <row r="12047">
      <c r="C12047" s="18" t="n"/>
      <c r="J12047" s="19" t="n"/>
      <c r="P12047" s="20" t="n"/>
      <c r="Q12047" s="19" t="n"/>
      <c r="R12047" s="19" t="n"/>
      <c r="Y12047" s="19" t="n"/>
    </row>
    <row r="12048">
      <c r="C12048" s="18" t="n"/>
      <c r="J12048" s="19" t="n"/>
      <c r="P12048" s="20" t="n"/>
      <c r="Q12048" s="19" t="n"/>
      <c r="R12048" s="19" t="n"/>
      <c r="Y12048" s="19" t="n"/>
    </row>
    <row r="12049">
      <c r="C12049" s="18" t="n"/>
      <c r="J12049" s="19" t="n"/>
      <c r="P12049" s="20" t="n"/>
      <c r="Q12049" s="19" t="n"/>
      <c r="R12049" s="19" t="n"/>
      <c r="Y12049" s="19" t="n"/>
    </row>
    <row r="12050">
      <c r="C12050" s="18" t="n"/>
      <c r="J12050" s="19" t="n"/>
      <c r="P12050" s="20" t="n"/>
      <c r="Q12050" s="19" t="n"/>
      <c r="R12050" s="19" t="n"/>
      <c r="Y12050" s="19" t="n"/>
    </row>
    <row r="12051">
      <c r="C12051" s="18" t="n"/>
      <c r="J12051" s="19" t="n"/>
      <c r="P12051" s="20" t="n"/>
      <c r="Q12051" s="19" t="n"/>
      <c r="R12051" s="19" t="n"/>
      <c r="Y12051" s="19" t="n"/>
    </row>
    <row r="12052">
      <c r="C12052" s="18" t="n"/>
      <c r="J12052" s="19" t="n"/>
      <c r="P12052" s="20" t="n"/>
      <c r="Q12052" s="19" t="n"/>
      <c r="R12052" s="19" t="n"/>
      <c r="Y12052" s="19" t="n"/>
    </row>
    <row r="12053">
      <c r="C12053" s="18" t="n"/>
      <c r="J12053" s="19" t="n"/>
      <c r="P12053" s="20" t="n"/>
      <c r="Q12053" s="19" t="n"/>
      <c r="R12053" s="19" t="n"/>
      <c r="Y12053" s="19" t="n"/>
    </row>
    <row r="12054">
      <c r="C12054" s="18" t="n"/>
      <c r="J12054" s="19" t="n"/>
      <c r="P12054" s="20" t="n"/>
      <c r="Q12054" s="19" t="n"/>
      <c r="R12054" s="19" t="n"/>
      <c r="Y12054" s="19" t="n"/>
    </row>
    <row r="12055">
      <c r="C12055" s="18" t="n"/>
      <c r="J12055" s="19" t="n"/>
      <c r="P12055" s="20" t="n"/>
      <c r="Q12055" s="19" t="n"/>
      <c r="R12055" s="19" t="n"/>
      <c r="Y12055" s="19" t="n"/>
    </row>
    <row r="12056">
      <c r="C12056" s="18" t="n"/>
      <c r="J12056" s="19" t="n"/>
      <c r="P12056" s="20" t="n"/>
      <c r="Q12056" s="19" t="n"/>
      <c r="R12056" s="19" t="n"/>
      <c r="Y12056" s="19" t="n"/>
    </row>
    <row r="12057">
      <c r="C12057" s="18" t="n"/>
      <c r="J12057" s="19" t="n"/>
      <c r="P12057" s="20" t="n"/>
      <c r="Q12057" s="19" t="n"/>
      <c r="R12057" s="19" t="n"/>
      <c r="Y12057" s="19" t="n"/>
    </row>
    <row r="12058">
      <c r="C12058" s="18" t="n"/>
      <c r="J12058" s="19" t="n"/>
      <c r="P12058" s="20" t="n"/>
      <c r="Q12058" s="19" t="n"/>
      <c r="R12058" s="19" t="n"/>
      <c r="Y12058" s="19" t="n"/>
    </row>
    <row r="12059">
      <c r="C12059" s="18" t="n"/>
      <c r="J12059" s="19" t="n"/>
      <c r="P12059" s="20" t="n"/>
      <c r="Q12059" s="19" t="n"/>
      <c r="R12059" s="19" t="n"/>
      <c r="Y12059" s="19" t="n"/>
    </row>
    <row r="12060">
      <c r="C12060" s="18" t="n"/>
      <c r="J12060" s="19" t="n"/>
      <c r="P12060" s="20" t="n"/>
      <c r="Q12060" s="19" t="n"/>
      <c r="R12060" s="19" t="n"/>
      <c r="Y12060" s="19" t="n"/>
    </row>
    <row r="12061">
      <c r="C12061" s="18" t="n"/>
      <c r="J12061" s="19" t="n"/>
      <c r="P12061" s="20" t="n"/>
      <c r="Q12061" s="19" t="n"/>
      <c r="R12061" s="19" t="n"/>
      <c r="Y12061" s="19" t="n"/>
    </row>
    <row r="12062">
      <c r="C12062" s="18" t="n"/>
      <c r="J12062" s="19" t="n"/>
      <c r="P12062" s="20" t="n"/>
      <c r="Q12062" s="19" t="n"/>
      <c r="R12062" s="19" t="n"/>
      <c r="Y12062" s="19" t="n"/>
    </row>
    <row r="12063">
      <c r="C12063" s="18" t="n"/>
      <c r="J12063" s="19" t="n"/>
      <c r="P12063" s="20" t="n"/>
      <c r="Q12063" s="19" t="n"/>
      <c r="R12063" s="19" t="n"/>
      <c r="Y12063" s="19" t="n"/>
    </row>
    <row r="12064">
      <c r="C12064" s="18" t="n"/>
      <c r="J12064" s="19" t="n"/>
      <c r="P12064" s="20" t="n"/>
      <c r="Q12064" s="19" t="n"/>
      <c r="R12064" s="19" t="n"/>
      <c r="Y12064" s="19" t="n"/>
    </row>
    <row r="12065">
      <c r="C12065" s="18" t="n"/>
      <c r="J12065" s="19" t="n"/>
      <c r="P12065" s="20" t="n"/>
      <c r="Q12065" s="19" t="n"/>
      <c r="R12065" s="19" t="n"/>
      <c r="Y12065" s="19" t="n"/>
    </row>
    <row r="12066">
      <c r="C12066" s="18" t="n"/>
      <c r="J12066" s="19" t="n"/>
      <c r="P12066" s="20" t="n"/>
      <c r="Q12066" s="19" t="n"/>
      <c r="R12066" s="19" t="n"/>
      <c r="Y12066" s="19" t="n"/>
    </row>
    <row r="12067">
      <c r="C12067" s="18" t="n"/>
      <c r="J12067" s="19" t="n"/>
      <c r="P12067" s="20" t="n"/>
      <c r="Q12067" s="19" t="n"/>
      <c r="R12067" s="19" t="n"/>
      <c r="Y12067" s="19" t="n"/>
    </row>
    <row r="12068">
      <c r="C12068" s="18" t="n"/>
      <c r="J12068" s="19" t="n"/>
      <c r="P12068" s="20" t="n"/>
      <c r="Q12068" s="19" t="n"/>
      <c r="R12068" s="19" t="n"/>
      <c r="Y12068" s="19" t="n"/>
    </row>
    <row r="12069">
      <c r="C12069" s="18" t="n"/>
      <c r="J12069" s="19" t="n"/>
      <c r="P12069" s="20" t="n"/>
      <c r="Q12069" s="19" t="n"/>
      <c r="R12069" s="19" t="n"/>
      <c r="Y12069" s="19" t="n"/>
    </row>
    <row r="12070">
      <c r="C12070" s="18" t="n"/>
      <c r="J12070" s="19" t="n"/>
      <c r="P12070" s="20" t="n"/>
      <c r="Q12070" s="19" t="n"/>
      <c r="R12070" s="19" t="n"/>
      <c r="Y12070" s="19" t="n"/>
    </row>
    <row r="12071">
      <c r="C12071" s="18" t="n"/>
      <c r="J12071" s="19" t="n"/>
      <c r="P12071" s="20" t="n"/>
      <c r="Q12071" s="19" t="n"/>
      <c r="R12071" s="19" t="n"/>
      <c r="Y12071" s="19" t="n"/>
    </row>
    <row r="12072">
      <c r="C12072" s="18" t="n"/>
      <c r="J12072" s="19" t="n"/>
      <c r="P12072" s="20" t="n"/>
      <c r="Q12072" s="19" t="n"/>
      <c r="R12072" s="19" t="n"/>
      <c r="Y12072" s="19" t="n"/>
    </row>
    <row r="12073">
      <c r="C12073" s="18" t="n"/>
      <c r="J12073" s="19" t="n"/>
      <c r="P12073" s="20" t="n"/>
      <c r="Q12073" s="19" t="n"/>
      <c r="R12073" s="19" t="n"/>
      <c r="Y12073" s="19" t="n"/>
    </row>
    <row r="12074">
      <c r="C12074" s="18" t="n"/>
      <c r="J12074" s="19" t="n"/>
      <c r="P12074" s="20" t="n"/>
      <c r="Q12074" s="19" t="n"/>
      <c r="R12074" s="19" t="n"/>
      <c r="Y12074" s="19" t="n"/>
    </row>
    <row r="12075">
      <c r="C12075" s="18" t="n"/>
      <c r="J12075" s="19" t="n"/>
      <c r="P12075" s="20" t="n"/>
      <c r="Q12075" s="19" t="n"/>
      <c r="R12075" s="19" t="n"/>
      <c r="Y12075" s="19" t="n"/>
    </row>
    <row r="12076">
      <c r="C12076" s="18" t="n"/>
      <c r="J12076" s="19" t="n"/>
      <c r="P12076" s="20" t="n"/>
      <c r="Q12076" s="19" t="n"/>
      <c r="R12076" s="19" t="n"/>
      <c r="Y12076" s="19" t="n"/>
    </row>
    <row r="12077">
      <c r="C12077" s="18" t="n"/>
      <c r="J12077" s="19" t="n"/>
      <c r="P12077" s="20" t="n"/>
      <c r="Q12077" s="19" t="n"/>
      <c r="R12077" s="19" t="n"/>
      <c r="Y12077" s="19" t="n"/>
    </row>
    <row r="12078">
      <c r="C12078" s="18" t="n"/>
      <c r="J12078" s="19" t="n"/>
      <c r="P12078" s="20" t="n"/>
      <c r="Q12078" s="19" t="n"/>
      <c r="R12078" s="19" t="n"/>
      <c r="Y12078" s="19" t="n"/>
    </row>
    <row r="12079">
      <c r="C12079" s="18" t="n"/>
      <c r="J12079" s="19" t="n"/>
      <c r="P12079" s="20" t="n"/>
      <c r="Q12079" s="19" t="n"/>
      <c r="R12079" s="19" t="n"/>
      <c r="Y12079" s="19" t="n"/>
    </row>
    <row r="12080">
      <c r="C12080" s="18" t="n"/>
      <c r="J12080" s="19" t="n"/>
      <c r="P12080" s="20" t="n"/>
      <c r="Q12080" s="19" t="n"/>
      <c r="R12080" s="19" t="n"/>
      <c r="Y12080" s="19" t="n"/>
    </row>
    <row r="12081">
      <c r="C12081" s="18" t="n"/>
      <c r="J12081" s="19" t="n"/>
      <c r="P12081" s="20" t="n"/>
      <c r="Q12081" s="19" t="n"/>
      <c r="R12081" s="19" t="n"/>
      <c r="Y12081" s="19" t="n"/>
    </row>
    <row r="12082">
      <c r="C12082" s="18" t="n"/>
      <c r="J12082" s="19" t="n"/>
      <c r="P12082" s="20" t="n"/>
      <c r="Q12082" s="19" t="n"/>
      <c r="R12082" s="19" t="n"/>
      <c r="Y12082" s="19" t="n"/>
    </row>
    <row r="12083">
      <c r="C12083" s="18" t="n"/>
      <c r="J12083" s="19" t="n"/>
      <c r="P12083" s="20" t="n"/>
      <c r="Q12083" s="19" t="n"/>
      <c r="R12083" s="19" t="n"/>
      <c r="Y12083" s="19" t="n"/>
    </row>
    <row r="12084">
      <c r="C12084" s="18" t="n"/>
      <c r="J12084" s="19" t="n"/>
      <c r="P12084" s="20" t="n"/>
      <c r="Q12084" s="19" t="n"/>
      <c r="R12084" s="19" t="n"/>
      <c r="Y12084" s="19" t="n"/>
    </row>
    <row r="12085">
      <c r="C12085" s="18" t="n"/>
      <c r="J12085" s="19" t="n"/>
      <c r="P12085" s="20" t="n"/>
      <c r="Q12085" s="19" t="n"/>
      <c r="R12085" s="19" t="n"/>
      <c r="Y12085" s="19" t="n"/>
    </row>
    <row r="12086">
      <c r="C12086" s="18" t="n"/>
      <c r="J12086" s="19" t="n"/>
      <c r="P12086" s="20" t="n"/>
      <c r="Q12086" s="19" t="n"/>
      <c r="R12086" s="19" t="n"/>
      <c r="Y12086" s="19" t="n"/>
    </row>
    <row r="12087">
      <c r="C12087" s="18" t="n"/>
      <c r="J12087" s="19" t="n"/>
      <c r="P12087" s="20" t="n"/>
      <c r="Q12087" s="19" t="n"/>
      <c r="R12087" s="19" t="n"/>
      <c r="Y12087" s="19" t="n"/>
    </row>
    <row r="12088">
      <c r="C12088" s="18" t="n"/>
      <c r="J12088" s="19" t="n"/>
      <c r="P12088" s="20" t="n"/>
      <c r="Q12088" s="19" t="n"/>
      <c r="R12088" s="19" t="n"/>
      <c r="Y12088" s="19" t="n"/>
    </row>
    <row r="12089">
      <c r="C12089" s="18" t="n"/>
      <c r="J12089" s="19" t="n"/>
      <c r="P12089" s="20" t="n"/>
      <c r="Q12089" s="19" t="n"/>
      <c r="R12089" s="19" t="n"/>
      <c r="Y12089" s="19" t="n"/>
    </row>
    <row r="12090">
      <c r="C12090" s="18" t="n"/>
      <c r="J12090" s="19" t="n"/>
      <c r="P12090" s="20" t="n"/>
      <c r="Q12090" s="19" t="n"/>
      <c r="R12090" s="19" t="n"/>
      <c r="Y12090" s="19" t="n"/>
    </row>
    <row r="12091">
      <c r="C12091" s="18" t="n"/>
      <c r="J12091" s="19" t="n"/>
      <c r="P12091" s="20" t="n"/>
      <c r="Q12091" s="19" t="n"/>
      <c r="R12091" s="19" t="n"/>
      <c r="Y12091" s="19" t="n"/>
    </row>
    <row r="12092">
      <c r="C12092" s="18" t="n"/>
      <c r="J12092" s="19" t="n"/>
      <c r="P12092" s="20" t="n"/>
      <c r="Q12092" s="19" t="n"/>
      <c r="R12092" s="19" t="n"/>
      <c r="Y12092" s="19" t="n"/>
    </row>
    <row r="12093">
      <c r="C12093" s="18" t="n"/>
      <c r="J12093" s="19" t="n"/>
      <c r="P12093" s="20" t="n"/>
      <c r="Q12093" s="19" t="n"/>
      <c r="R12093" s="19" t="n"/>
      <c r="Y12093" s="19" t="n"/>
    </row>
    <row r="12094">
      <c r="C12094" s="18" t="n"/>
      <c r="J12094" s="19" t="n"/>
      <c r="P12094" s="20" t="n"/>
      <c r="Q12094" s="19" t="n"/>
      <c r="R12094" s="19" t="n"/>
      <c r="Y12094" s="19" t="n"/>
    </row>
    <row r="12095">
      <c r="C12095" s="18" t="n"/>
      <c r="J12095" s="19" t="n"/>
      <c r="P12095" s="20" t="n"/>
      <c r="Q12095" s="19" t="n"/>
      <c r="R12095" s="19" t="n"/>
      <c r="Y12095" s="19" t="n"/>
    </row>
    <row r="12096">
      <c r="C12096" s="18" t="n"/>
      <c r="J12096" s="19" t="n"/>
      <c r="P12096" s="20" t="n"/>
      <c r="Q12096" s="19" t="n"/>
      <c r="R12096" s="19" t="n"/>
      <c r="Y12096" s="19" t="n"/>
    </row>
    <row r="12097">
      <c r="C12097" s="18" t="n"/>
      <c r="J12097" s="19" t="n"/>
      <c r="P12097" s="20" t="n"/>
      <c r="Q12097" s="19" t="n"/>
      <c r="R12097" s="19" t="n"/>
      <c r="Y12097" s="19" t="n"/>
    </row>
    <row r="12098">
      <c r="C12098" s="18" t="n"/>
      <c r="J12098" s="19" t="n"/>
      <c r="P12098" s="20" t="n"/>
      <c r="Q12098" s="19" t="n"/>
      <c r="R12098" s="19" t="n"/>
      <c r="Y12098" s="19" t="n"/>
    </row>
    <row r="12099">
      <c r="C12099" s="18" t="n"/>
      <c r="J12099" s="19" t="n"/>
      <c r="P12099" s="20" t="n"/>
      <c r="Q12099" s="19" t="n"/>
      <c r="R12099" s="19" t="n"/>
      <c r="Y12099" s="19" t="n"/>
    </row>
    <row r="12100">
      <c r="C12100" s="18" t="n"/>
      <c r="J12100" s="19" t="n"/>
      <c r="P12100" s="20" t="n"/>
      <c r="Q12100" s="19" t="n"/>
      <c r="R12100" s="19" t="n"/>
      <c r="Y12100" s="19" t="n"/>
    </row>
    <row r="12101">
      <c r="C12101" s="18" t="n"/>
      <c r="J12101" s="19" t="n"/>
      <c r="P12101" s="20" t="n"/>
      <c r="Q12101" s="19" t="n"/>
      <c r="R12101" s="19" t="n"/>
      <c r="Y12101" s="19" t="n"/>
    </row>
    <row r="12102">
      <c r="C12102" s="18" t="n"/>
      <c r="J12102" s="19" t="n"/>
      <c r="P12102" s="20" t="n"/>
      <c r="Q12102" s="19" t="n"/>
      <c r="R12102" s="19" t="n"/>
      <c r="Y12102" s="19" t="n"/>
    </row>
    <row r="12103">
      <c r="C12103" s="18" t="n"/>
      <c r="J12103" s="19" t="n"/>
      <c r="P12103" s="20" t="n"/>
      <c r="Q12103" s="19" t="n"/>
      <c r="R12103" s="19" t="n"/>
      <c r="Y12103" s="19" t="n"/>
    </row>
    <row r="12104">
      <c r="C12104" s="18" t="n"/>
      <c r="J12104" s="19" t="n"/>
      <c r="P12104" s="20" t="n"/>
      <c r="Q12104" s="19" t="n"/>
      <c r="R12104" s="19" t="n"/>
      <c r="Y12104" s="19" t="n"/>
    </row>
    <row r="12105">
      <c r="C12105" s="18" t="n"/>
      <c r="J12105" s="19" t="n"/>
      <c r="P12105" s="20" t="n"/>
      <c r="Q12105" s="19" t="n"/>
      <c r="R12105" s="19" t="n"/>
      <c r="Y12105" s="19" t="n"/>
    </row>
    <row r="12106">
      <c r="C12106" s="18" t="n"/>
      <c r="J12106" s="19" t="n"/>
      <c r="P12106" s="20" t="n"/>
      <c r="Q12106" s="19" t="n"/>
      <c r="R12106" s="19" t="n"/>
      <c r="Y12106" s="19" t="n"/>
    </row>
    <row r="12107">
      <c r="C12107" s="18" t="n"/>
      <c r="J12107" s="19" t="n"/>
      <c r="P12107" s="20" t="n"/>
      <c r="Q12107" s="19" t="n"/>
      <c r="R12107" s="19" t="n"/>
      <c r="Y12107" s="19" t="n"/>
    </row>
    <row r="12108">
      <c r="C12108" s="18" t="n"/>
      <c r="J12108" s="19" t="n"/>
      <c r="P12108" s="20" t="n"/>
      <c r="Q12108" s="19" t="n"/>
      <c r="R12108" s="19" t="n"/>
      <c r="Y12108" s="19" t="n"/>
    </row>
    <row r="12109">
      <c r="C12109" s="18" t="n"/>
      <c r="J12109" s="19" t="n"/>
      <c r="P12109" s="20" t="n"/>
      <c r="Q12109" s="19" t="n"/>
      <c r="R12109" s="19" t="n"/>
      <c r="Y12109" s="19" t="n"/>
    </row>
    <row r="12110">
      <c r="C12110" s="18" t="n"/>
      <c r="J12110" s="19" t="n"/>
      <c r="P12110" s="20" t="n"/>
      <c r="Q12110" s="19" t="n"/>
      <c r="R12110" s="19" t="n"/>
      <c r="Y12110" s="19" t="n"/>
    </row>
    <row r="12111">
      <c r="C12111" s="18" t="n"/>
      <c r="J12111" s="19" t="n"/>
      <c r="P12111" s="20" t="n"/>
      <c r="Q12111" s="19" t="n"/>
      <c r="R12111" s="19" t="n"/>
      <c r="Y12111" s="19" t="n"/>
    </row>
    <row r="12112">
      <c r="C12112" s="18" t="n"/>
      <c r="J12112" s="19" t="n"/>
      <c r="P12112" s="20" t="n"/>
      <c r="Q12112" s="19" t="n"/>
      <c r="R12112" s="19" t="n"/>
      <c r="Y12112" s="19" t="n"/>
    </row>
    <row r="12113">
      <c r="C12113" s="18" t="n"/>
      <c r="J12113" s="19" t="n"/>
      <c r="P12113" s="20" t="n"/>
      <c r="Q12113" s="19" t="n"/>
      <c r="R12113" s="19" t="n"/>
      <c r="Y12113" s="19" t="n"/>
    </row>
    <row r="12114">
      <c r="C12114" s="18" t="n"/>
      <c r="J12114" s="19" t="n"/>
      <c r="P12114" s="20" t="n"/>
      <c r="Q12114" s="19" t="n"/>
      <c r="R12114" s="19" t="n"/>
      <c r="Y12114" s="19" t="n"/>
    </row>
    <row r="12115">
      <c r="C12115" s="18" t="n"/>
      <c r="J12115" s="19" t="n"/>
      <c r="P12115" s="20" t="n"/>
      <c r="Q12115" s="19" t="n"/>
      <c r="R12115" s="19" t="n"/>
      <c r="Y12115" s="19" t="n"/>
    </row>
    <row r="12116">
      <c r="C12116" s="18" t="n"/>
      <c r="J12116" s="19" t="n"/>
      <c r="P12116" s="20" t="n"/>
      <c r="Q12116" s="19" t="n"/>
      <c r="R12116" s="19" t="n"/>
      <c r="Y12116" s="19" t="n"/>
    </row>
    <row r="12117">
      <c r="C12117" s="18" t="n"/>
      <c r="J12117" s="19" t="n"/>
      <c r="P12117" s="20" t="n"/>
      <c r="Q12117" s="19" t="n"/>
      <c r="R12117" s="19" t="n"/>
      <c r="Y12117" s="19" t="n"/>
    </row>
    <row r="12118">
      <c r="C12118" s="18" t="n"/>
      <c r="J12118" s="19" t="n"/>
      <c r="P12118" s="20" t="n"/>
      <c r="Q12118" s="19" t="n"/>
      <c r="R12118" s="19" t="n"/>
      <c r="Y12118" s="19" t="n"/>
    </row>
    <row r="12119">
      <c r="C12119" s="18" t="n"/>
      <c r="J12119" s="19" t="n"/>
      <c r="P12119" s="20" t="n"/>
      <c r="Q12119" s="19" t="n"/>
      <c r="R12119" s="19" t="n"/>
      <c r="Y12119" s="19" t="n"/>
    </row>
    <row r="12120">
      <c r="C12120" s="18" t="n"/>
      <c r="J12120" s="19" t="n"/>
      <c r="P12120" s="20" t="n"/>
      <c r="Q12120" s="19" t="n"/>
      <c r="R12120" s="19" t="n"/>
      <c r="Y12120" s="19" t="n"/>
    </row>
    <row r="12121">
      <c r="C12121" s="18" t="n"/>
      <c r="J12121" s="19" t="n"/>
      <c r="P12121" s="20" t="n"/>
      <c r="Q12121" s="19" t="n"/>
      <c r="R12121" s="19" t="n"/>
      <c r="Y12121" s="19" t="n"/>
    </row>
    <row r="12122">
      <c r="C12122" s="18" t="n"/>
      <c r="J12122" s="19" t="n"/>
      <c r="P12122" s="20" t="n"/>
      <c r="Q12122" s="19" t="n"/>
      <c r="R12122" s="19" t="n"/>
      <c r="Y12122" s="19" t="n"/>
    </row>
    <row r="12123">
      <c r="C12123" s="18" t="n"/>
      <c r="J12123" s="19" t="n"/>
      <c r="P12123" s="20" t="n"/>
      <c r="Q12123" s="19" t="n"/>
      <c r="R12123" s="19" t="n"/>
      <c r="Y12123" s="19" t="n"/>
    </row>
    <row r="12124">
      <c r="C12124" s="18" t="n"/>
      <c r="J12124" s="19" t="n"/>
      <c r="P12124" s="20" t="n"/>
      <c r="Q12124" s="19" t="n"/>
      <c r="R12124" s="19" t="n"/>
      <c r="Y12124" s="19" t="n"/>
    </row>
    <row r="12125">
      <c r="C12125" s="18" t="n"/>
      <c r="J12125" s="19" t="n"/>
      <c r="P12125" s="20" t="n"/>
      <c r="Q12125" s="19" t="n"/>
      <c r="R12125" s="19" t="n"/>
      <c r="Y12125" s="19" t="n"/>
    </row>
    <row r="12126">
      <c r="C12126" s="18" t="n"/>
      <c r="J12126" s="19" t="n"/>
      <c r="P12126" s="20" t="n"/>
      <c r="Q12126" s="19" t="n"/>
      <c r="R12126" s="19" t="n"/>
      <c r="Y12126" s="19" t="n"/>
    </row>
    <row r="12127">
      <c r="C12127" s="18" t="n"/>
      <c r="J12127" s="19" t="n"/>
      <c r="P12127" s="20" t="n"/>
      <c r="Q12127" s="19" t="n"/>
      <c r="R12127" s="19" t="n"/>
      <c r="Y12127" s="19" t="n"/>
    </row>
    <row r="12128">
      <c r="C12128" s="18" t="n"/>
      <c r="J12128" s="19" t="n"/>
      <c r="P12128" s="20" t="n"/>
      <c r="Q12128" s="19" t="n"/>
      <c r="R12128" s="19" t="n"/>
      <c r="Y12128" s="19" t="n"/>
    </row>
    <row r="12129">
      <c r="C12129" s="18" t="n"/>
      <c r="J12129" s="19" t="n"/>
      <c r="P12129" s="20" t="n"/>
      <c r="Q12129" s="19" t="n"/>
      <c r="R12129" s="19" t="n"/>
      <c r="Y12129" s="19" t="n"/>
    </row>
    <row r="12130">
      <c r="C12130" s="18" t="n"/>
      <c r="J12130" s="19" t="n"/>
      <c r="P12130" s="20" t="n"/>
      <c r="Q12130" s="19" t="n"/>
      <c r="R12130" s="19" t="n"/>
      <c r="Y12130" s="19" t="n"/>
    </row>
    <row r="12131">
      <c r="C12131" s="18" t="n"/>
      <c r="J12131" s="19" t="n"/>
      <c r="P12131" s="20" t="n"/>
      <c r="Q12131" s="19" t="n"/>
      <c r="R12131" s="19" t="n"/>
      <c r="Y12131" s="19" t="n"/>
    </row>
    <row r="12132">
      <c r="C12132" s="18" t="n"/>
      <c r="J12132" s="19" t="n"/>
      <c r="P12132" s="20" t="n"/>
      <c r="Q12132" s="19" t="n"/>
      <c r="R12132" s="19" t="n"/>
      <c r="Y12132" s="19" t="n"/>
    </row>
    <row r="12133">
      <c r="C12133" s="18" t="n"/>
      <c r="J12133" s="19" t="n"/>
      <c r="P12133" s="20" t="n"/>
      <c r="Q12133" s="19" t="n"/>
      <c r="R12133" s="19" t="n"/>
      <c r="Y12133" s="19" t="n"/>
    </row>
    <row r="12134">
      <c r="C12134" s="18" t="n"/>
      <c r="J12134" s="19" t="n"/>
      <c r="P12134" s="20" t="n"/>
      <c r="Q12134" s="19" t="n"/>
      <c r="R12134" s="19" t="n"/>
      <c r="Y12134" s="19" t="n"/>
    </row>
    <row r="12135">
      <c r="C12135" s="18" t="n"/>
      <c r="J12135" s="19" t="n"/>
      <c r="P12135" s="20" t="n"/>
      <c r="Q12135" s="19" t="n"/>
      <c r="R12135" s="19" t="n"/>
      <c r="Y12135" s="19" t="n"/>
    </row>
    <row r="12136">
      <c r="C12136" s="18" t="n"/>
      <c r="J12136" s="19" t="n"/>
      <c r="P12136" s="20" t="n"/>
      <c r="Q12136" s="19" t="n"/>
      <c r="R12136" s="19" t="n"/>
      <c r="Y12136" s="19" t="n"/>
    </row>
    <row r="12137">
      <c r="C12137" s="18" t="n"/>
      <c r="J12137" s="19" t="n"/>
      <c r="P12137" s="20" t="n"/>
      <c r="Q12137" s="19" t="n"/>
      <c r="R12137" s="19" t="n"/>
      <c r="Y12137" s="19" t="n"/>
    </row>
    <row r="12138">
      <c r="C12138" s="18" t="n"/>
      <c r="J12138" s="19" t="n"/>
      <c r="P12138" s="20" t="n"/>
      <c r="Q12138" s="19" t="n"/>
      <c r="R12138" s="19" t="n"/>
      <c r="Y12138" s="19" t="n"/>
    </row>
    <row r="12139">
      <c r="C12139" s="18" t="n"/>
      <c r="J12139" s="19" t="n"/>
      <c r="P12139" s="20" t="n"/>
      <c r="Q12139" s="19" t="n"/>
      <c r="R12139" s="19" t="n"/>
      <c r="Y12139" s="19" t="n"/>
    </row>
    <row r="12140">
      <c r="C12140" s="18" t="n"/>
      <c r="J12140" s="19" t="n"/>
      <c r="P12140" s="20" t="n"/>
      <c r="Q12140" s="19" t="n"/>
      <c r="R12140" s="19" t="n"/>
      <c r="Y12140" s="19" t="n"/>
    </row>
    <row r="12141">
      <c r="C12141" s="18" t="n"/>
      <c r="J12141" s="19" t="n"/>
      <c r="P12141" s="20" t="n"/>
      <c r="Q12141" s="19" t="n"/>
      <c r="R12141" s="19" t="n"/>
      <c r="Y12141" s="19" t="n"/>
    </row>
    <row r="12142">
      <c r="C12142" s="18" t="n"/>
      <c r="J12142" s="19" t="n"/>
      <c r="P12142" s="20" t="n"/>
      <c r="Q12142" s="19" t="n"/>
      <c r="R12142" s="19" t="n"/>
      <c r="Y12142" s="19" t="n"/>
    </row>
    <row r="12143">
      <c r="C12143" s="18" t="n"/>
      <c r="J12143" s="19" t="n"/>
      <c r="P12143" s="20" t="n"/>
      <c r="Q12143" s="19" t="n"/>
      <c r="R12143" s="19" t="n"/>
      <c r="Y12143" s="19" t="n"/>
    </row>
    <row r="12144">
      <c r="C12144" s="18" t="n"/>
      <c r="J12144" s="19" t="n"/>
      <c r="P12144" s="20" t="n"/>
      <c r="Q12144" s="19" t="n"/>
      <c r="R12144" s="19" t="n"/>
      <c r="Y12144" s="19" t="n"/>
    </row>
    <row r="12145">
      <c r="C12145" s="18" t="n"/>
      <c r="J12145" s="19" t="n"/>
      <c r="P12145" s="20" t="n"/>
      <c r="Q12145" s="19" t="n"/>
      <c r="R12145" s="19" t="n"/>
      <c r="Y12145" s="19" t="n"/>
    </row>
    <row r="12146">
      <c r="C12146" s="18" t="n"/>
      <c r="J12146" s="19" t="n"/>
      <c r="P12146" s="20" t="n"/>
      <c r="Q12146" s="19" t="n"/>
      <c r="R12146" s="19" t="n"/>
      <c r="Y12146" s="19" t="n"/>
    </row>
    <row r="12147">
      <c r="C12147" s="18" t="n"/>
      <c r="J12147" s="19" t="n"/>
      <c r="P12147" s="20" t="n"/>
      <c r="Q12147" s="19" t="n"/>
      <c r="R12147" s="19" t="n"/>
      <c r="Y12147" s="19" t="n"/>
    </row>
    <row r="12148">
      <c r="C12148" s="18" t="n"/>
      <c r="J12148" s="19" t="n"/>
      <c r="P12148" s="20" t="n"/>
      <c r="Q12148" s="19" t="n"/>
      <c r="R12148" s="19" t="n"/>
      <c r="Y12148" s="19" t="n"/>
    </row>
    <row r="12149">
      <c r="C12149" s="18" t="n"/>
      <c r="J12149" s="19" t="n"/>
      <c r="P12149" s="20" t="n"/>
      <c r="Q12149" s="19" t="n"/>
      <c r="R12149" s="19" t="n"/>
      <c r="Y12149" s="19" t="n"/>
    </row>
    <row r="12150">
      <c r="C12150" s="18" t="n"/>
      <c r="J12150" s="19" t="n"/>
      <c r="P12150" s="20" t="n"/>
      <c r="Q12150" s="19" t="n"/>
      <c r="R12150" s="19" t="n"/>
      <c r="Y12150" s="19" t="n"/>
    </row>
    <row r="12151">
      <c r="C12151" s="18" t="n"/>
      <c r="J12151" s="19" t="n"/>
      <c r="P12151" s="20" t="n"/>
      <c r="Q12151" s="19" t="n"/>
      <c r="R12151" s="19" t="n"/>
      <c r="Y12151" s="19" t="n"/>
    </row>
    <row r="12152">
      <c r="C12152" s="18" t="n"/>
      <c r="J12152" s="19" t="n"/>
      <c r="P12152" s="20" t="n"/>
      <c r="Q12152" s="19" t="n"/>
      <c r="R12152" s="19" t="n"/>
      <c r="Y12152" s="19" t="n"/>
    </row>
    <row r="12153">
      <c r="C12153" s="18" t="n"/>
      <c r="J12153" s="19" t="n"/>
      <c r="P12153" s="20" t="n"/>
      <c r="Q12153" s="19" t="n"/>
      <c r="R12153" s="19" t="n"/>
      <c r="Y12153" s="19" t="n"/>
    </row>
    <row r="12154">
      <c r="C12154" s="18" t="n"/>
      <c r="J12154" s="19" t="n"/>
      <c r="P12154" s="20" t="n"/>
      <c r="Q12154" s="19" t="n"/>
      <c r="R12154" s="19" t="n"/>
      <c r="Y12154" s="19" t="n"/>
    </row>
    <row r="12155">
      <c r="C12155" s="18" t="n"/>
      <c r="J12155" s="19" t="n"/>
      <c r="P12155" s="20" t="n"/>
      <c r="Q12155" s="19" t="n"/>
      <c r="R12155" s="19" t="n"/>
      <c r="Y12155" s="19" t="n"/>
    </row>
    <row r="12156">
      <c r="C12156" s="18" t="n"/>
      <c r="J12156" s="19" t="n"/>
      <c r="P12156" s="20" t="n"/>
      <c r="Q12156" s="19" t="n"/>
      <c r="R12156" s="19" t="n"/>
      <c r="Y12156" s="19" t="n"/>
    </row>
    <row r="12157">
      <c r="C12157" s="18" t="n"/>
      <c r="J12157" s="19" t="n"/>
      <c r="P12157" s="20" t="n"/>
      <c r="Q12157" s="19" t="n"/>
      <c r="R12157" s="19" t="n"/>
      <c r="Y12157" s="19" t="n"/>
    </row>
    <row r="12158">
      <c r="C12158" s="18" t="n"/>
      <c r="J12158" s="19" t="n"/>
      <c r="P12158" s="20" t="n"/>
      <c r="Q12158" s="19" t="n"/>
      <c r="R12158" s="19" t="n"/>
      <c r="Y12158" s="19" t="n"/>
    </row>
    <row r="12159">
      <c r="C12159" s="18" t="n"/>
      <c r="J12159" s="19" t="n"/>
      <c r="P12159" s="20" t="n"/>
      <c r="Q12159" s="19" t="n"/>
      <c r="R12159" s="19" t="n"/>
      <c r="Y12159" s="19" t="n"/>
    </row>
    <row r="12160">
      <c r="C12160" s="18" t="n"/>
      <c r="J12160" s="19" t="n"/>
      <c r="P12160" s="20" t="n"/>
      <c r="Q12160" s="19" t="n"/>
      <c r="R12160" s="19" t="n"/>
      <c r="Y12160" s="19" t="n"/>
    </row>
    <row r="12161">
      <c r="C12161" s="18" t="n"/>
      <c r="J12161" s="19" t="n"/>
      <c r="P12161" s="20" t="n"/>
      <c r="Q12161" s="19" t="n"/>
      <c r="R12161" s="19" t="n"/>
      <c r="Y12161" s="19" t="n"/>
    </row>
    <row r="12162">
      <c r="C12162" s="18" t="n"/>
      <c r="J12162" s="19" t="n"/>
      <c r="P12162" s="20" t="n"/>
      <c r="Q12162" s="19" t="n"/>
      <c r="R12162" s="19" t="n"/>
      <c r="Y12162" s="19" t="n"/>
    </row>
    <row r="12163">
      <c r="C12163" s="18" t="n"/>
      <c r="J12163" s="19" t="n"/>
      <c r="P12163" s="20" t="n"/>
      <c r="Q12163" s="19" t="n"/>
      <c r="R12163" s="19" t="n"/>
      <c r="Y12163" s="19" t="n"/>
    </row>
    <row r="12164">
      <c r="C12164" s="18" t="n"/>
      <c r="J12164" s="19" t="n"/>
      <c r="P12164" s="20" t="n"/>
      <c r="Q12164" s="19" t="n"/>
      <c r="R12164" s="19" t="n"/>
      <c r="Y12164" s="19" t="n"/>
    </row>
    <row r="12165">
      <c r="C12165" s="18" t="n"/>
      <c r="J12165" s="19" t="n"/>
      <c r="P12165" s="20" t="n"/>
      <c r="Q12165" s="19" t="n"/>
      <c r="R12165" s="19" t="n"/>
      <c r="Y12165" s="19" t="n"/>
    </row>
    <row r="12166">
      <c r="C12166" s="18" t="n"/>
      <c r="J12166" s="19" t="n"/>
      <c r="P12166" s="20" t="n"/>
      <c r="Q12166" s="19" t="n"/>
      <c r="R12166" s="19" t="n"/>
      <c r="Y12166" s="19" t="n"/>
    </row>
    <row r="12167">
      <c r="C12167" s="18" t="n"/>
      <c r="J12167" s="19" t="n"/>
      <c r="P12167" s="20" t="n"/>
      <c r="Q12167" s="19" t="n"/>
      <c r="R12167" s="19" t="n"/>
      <c r="Y12167" s="19" t="n"/>
    </row>
    <row r="12168">
      <c r="C12168" s="18" t="n"/>
      <c r="J12168" s="19" t="n"/>
      <c r="P12168" s="20" t="n"/>
      <c r="Q12168" s="19" t="n"/>
      <c r="R12168" s="19" t="n"/>
      <c r="Y12168" s="19" t="n"/>
    </row>
    <row r="12169">
      <c r="C12169" s="18" t="n"/>
      <c r="J12169" s="19" t="n"/>
      <c r="P12169" s="20" t="n"/>
      <c r="Q12169" s="19" t="n"/>
      <c r="R12169" s="19" t="n"/>
      <c r="Y12169" s="19" t="n"/>
    </row>
    <row r="12170">
      <c r="C12170" s="18" t="n"/>
      <c r="J12170" s="19" t="n"/>
      <c r="P12170" s="20" t="n"/>
      <c r="Q12170" s="19" t="n"/>
      <c r="R12170" s="19" t="n"/>
      <c r="Y12170" s="19" t="n"/>
    </row>
    <row r="12171">
      <c r="C12171" s="18" t="n"/>
      <c r="J12171" s="19" t="n"/>
      <c r="P12171" s="20" t="n"/>
      <c r="Q12171" s="19" t="n"/>
      <c r="R12171" s="19" t="n"/>
      <c r="Y12171" s="19" t="n"/>
    </row>
    <row r="12172">
      <c r="C12172" s="18" t="n"/>
      <c r="J12172" s="19" t="n"/>
      <c r="P12172" s="20" t="n"/>
      <c r="Q12172" s="19" t="n"/>
      <c r="R12172" s="19" t="n"/>
      <c r="Y12172" s="19" t="n"/>
    </row>
    <row r="12173">
      <c r="C12173" s="18" t="n"/>
      <c r="J12173" s="19" t="n"/>
      <c r="P12173" s="20" t="n"/>
      <c r="Q12173" s="19" t="n"/>
      <c r="R12173" s="19" t="n"/>
      <c r="Y12173" s="19" t="n"/>
    </row>
    <row r="12174">
      <c r="C12174" s="18" t="n"/>
      <c r="J12174" s="19" t="n"/>
      <c r="P12174" s="20" t="n"/>
      <c r="Q12174" s="19" t="n"/>
      <c r="R12174" s="19" t="n"/>
      <c r="Y12174" s="19" t="n"/>
    </row>
    <row r="12175">
      <c r="C12175" s="18" t="n"/>
      <c r="J12175" s="19" t="n"/>
      <c r="P12175" s="20" t="n"/>
      <c r="Q12175" s="19" t="n"/>
      <c r="R12175" s="19" t="n"/>
      <c r="Y12175" s="19" t="n"/>
    </row>
    <row r="12176">
      <c r="C12176" s="18" t="n"/>
      <c r="J12176" s="19" t="n"/>
      <c r="P12176" s="20" t="n"/>
      <c r="Q12176" s="19" t="n"/>
      <c r="R12176" s="19" t="n"/>
      <c r="Y12176" s="19" t="n"/>
    </row>
    <row r="12177">
      <c r="C12177" s="18" t="n"/>
      <c r="J12177" s="19" t="n"/>
      <c r="P12177" s="20" t="n"/>
      <c r="Q12177" s="19" t="n"/>
      <c r="R12177" s="19" t="n"/>
      <c r="Y12177" s="19" t="n"/>
    </row>
    <row r="12178">
      <c r="C12178" s="18" t="n"/>
      <c r="J12178" s="19" t="n"/>
      <c r="P12178" s="20" t="n"/>
      <c r="Q12178" s="19" t="n"/>
      <c r="R12178" s="19" t="n"/>
      <c r="Y12178" s="19" t="n"/>
    </row>
    <row r="12179">
      <c r="C12179" s="18" t="n"/>
      <c r="J12179" s="19" t="n"/>
      <c r="P12179" s="20" t="n"/>
      <c r="Q12179" s="19" t="n"/>
      <c r="R12179" s="19" t="n"/>
      <c r="Y12179" s="19" t="n"/>
    </row>
    <row r="12180">
      <c r="C12180" s="18" t="n"/>
      <c r="J12180" s="19" t="n"/>
      <c r="P12180" s="20" t="n"/>
      <c r="Q12180" s="19" t="n"/>
      <c r="R12180" s="19" t="n"/>
      <c r="Y12180" s="19" t="n"/>
    </row>
    <row r="12181">
      <c r="C12181" s="18" t="n"/>
      <c r="J12181" s="19" t="n"/>
      <c r="P12181" s="20" t="n"/>
      <c r="Q12181" s="19" t="n"/>
      <c r="R12181" s="19" t="n"/>
      <c r="Y12181" s="19" t="n"/>
    </row>
    <row r="12182">
      <c r="C12182" s="18" t="n"/>
      <c r="J12182" s="19" t="n"/>
      <c r="P12182" s="20" t="n"/>
      <c r="Q12182" s="19" t="n"/>
      <c r="R12182" s="19" t="n"/>
      <c r="Y12182" s="19" t="n"/>
    </row>
    <row r="12183">
      <c r="C12183" s="18" t="n"/>
      <c r="J12183" s="19" t="n"/>
      <c r="P12183" s="20" t="n"/>
      <c r="Q12183" s="19" t="n"/>
      <c r="R12183" s="19" t="n"/>
      <c r="Y12183" s="19" t="n"/>
    </row>
    <row r="12184">
      <c r="C12184" s="18" t="n"/>
      <c r="J12184" s="19" t="n"/>
      <c r="P12184" s="20" t="n"/>
      <c r="Q12184" s="19" t="n"/>
      <c r="R12184" s="19" t="n"/>
      <c r="Y12184" s="19" t="n"/>
    </row>
    <row r="12185">
      <c r="C12185" s="18" t="n"/>
      <c r="J12185" s="19" t="n"/>
      <c r="P12185" s="20" t="n"/>
      <c r="Q12185" s="19" t="n"/>
      <c r="R12185" s="19" t="n"/>
      <c r="Y12185" s="19" t="n"/>
    </row>
    <row r="12186">
      <c r="C12186" s="18" t="n"/>
      <c r="J12186" s="19" t="n"/>
      <c r="P12186" s="20" t="n"/>
      <c r="Q12186" s="19" t="n"/>
      <c r="R12186" s="19" t="n"/>
      <c r="Y12186" s="19" t="n"/>
    </row>
    <row r="12187">
      <c r="C12187" s="18" t="n"/>
      <c r="J12187" s="19" t="n"/>
      <c r="P12187" s="20" t="n"/>
      <c r="Q12187" s="19" t="n"/>
      <c r="R12187" s="19" t="n"/>
      <c r="Y12187" s="19" t="n"/>
    </row>
    <row r="12188">
      <c r="C12188" s="18" t="n"/>
      <c r="J12188" s="19" t="n"/>
      <c r="P12188" s="20" t="n"/>
      <c r="Q12188" s="19" t="n"/>
      <c r="R12188" s="19" t="n"/>
      <c r="Y12188" s="19" t="n"/>
    </row>
    <row r="12189">
      <c r="C12189" s="18" t="n"/>
      <c r="J12189" s="19" t="n"/>
      <c r="P12189" s="20" t="n"/>
      <c r="Q12189" s="19" t="n"/>
      <c r="R12189" s="19" t="n"/>
      <c r="Y12189" s="19" t="n"/>
    </row>
    <row r="12190">
      <c r="C12190" s="18" t="n"/>
      <c r="J12190" s="19" t="n"/>
      <c r="P12190" s="20" t="n"/>
      <c r="Q12190" s="19" t="n"/>
      <c r="R12190" s="19" t="n"/>
      <c r="Y12190" s="19" t="n"/>
    </row>
    <row r="12191">
      <c r="C12191" s="18" t="n"/>
      <c r="J12191" s="19" t="n"/>
      <c r="P12191" s="20" t="n"/>
      <c r="Q12191" s="19" t="n"/>
      <c r="R12191" s="19" t="n"/>
      <c r="Y12191" s="19" t="n"/>
    </row>
    <row r="12192">
      <c r="C12192" s="18" t="n"/>
      <c r="J12192" s="19" t="n"/>
      <c r="P12192" s="20" t="n"/>
      <c r="Q12192" s="19" t="n"/>
      <c r="R12192" s="19" t="n"/>
      <c r="Y12192" s="19" t="n"/>
    </row>
    <row r="12193">
      <c r="C12193" s="18" t="n"/>
      <c r="J12193" s="19" t="n"/>
      <c r="P12193" s="20" t="n"/>
      <c r="Q12193" s="19" t="n"/>
      <c r="R12193" s="19" t="n"/>
      <c r="Y12193" s="19" t="n"/>
    </row>
    <row r="12194">
      <c r="C12194" s="18" t="n"/>
      <c r="J12194" s="19" t="n"/>
      <c r="P12194" s="20" t="n"/>
      <c r="Q12194" s="19" t="n"/>
      <c r="R12194" s="19" t="n"/>
      <c r="Y12194" s="19" t="n"/>
    </row>
    <row r="12195">
      <c r="C12195" s="18" t="n"/>
      <c r="J12195" s="19" t="n"/>
      <c r="P12195" s="20" t="n"/>
      <c r="Q12195" s="19" t="n"/>
      <c r="R12195" s="19" t="n"/>
      <c r="Y12195" s="19" t="n"/>
    </row>
    <row r="12196">
      <c r="C12196" s="18" t="n"/>
      <c r="J12196" s="19" t="n"/>
      <c r="P12196" s="20" t="n"/>
      <c r="Q12196" s="19" t="n"/>
      <c r="R12196" s="19" t="n"/>
      <c r="Y12196" s="19" t="n"/>
    </row>
    <row r="12197">
      <c r="C12197" s="18" t="n"/>
      <c r="J12197" s="19" t="n"/>
      <c r="P12197" s="20" t="n"/>
      <c r="Q12197" s="19" t="n"/>
      <c r="R12197" s="19" t="n"/>
      <c r="Y12197" s="19" t="n"/>
    </row>
    <row r="12198">
      <c r="C12198" s="18" t="n"/>
      <c r="J12198" s="19" t="n"/>
      <c r="P12198" s="20" t="n"/>
      <c r="Q12198" s="19" t="n"/>
      <c r="R12198" s="19" t="n"/>
      <c r="Y12198" s="19" t="n"/>
    </row>
    <row r="12199">
      <c r="C12199" s="18" t="n"/>
      <c r="J12199" s="19" t="n"/>
      <c r="P12199" s="20" t="n"/>
      <c r="Q12199" s="19" t="n"/>
      <c r="R12199" s="19" t="n"/>
      <c r="Y12199" s="19" t="n"/>
    </row>
    <row r="12200">
      <c r="C12200" s="18" t="n"/>
      <c r="J12200" s="19" t="n"/>
      <c r="P12200" s="20" t="n"/>
      <c r="Q12200" s="19" t="n"/>
      <c r="R12200" s="19" t="n"/>
      <c r="Y12200" s="19" t="n"/>
    </row>
    <row r="12201">
      <c r="C12201" s="18" t="n"/>
      <c r="J12201" s="19" t="n"/>
      <c r="P12201" s="20" t="n"/>
      <c r="Q12201" s="19" t="n"/>
      <c r="R12201" s="19" t="n"/>
      <c r="Y12201" s="19" t="n"/>
    </row>
    <row r="12202">
      <c r="C12202" s="18" t="n"/>
      <c r="J12202" s="19" t="n"/>
      <c r="P12202" s="20" t="n"/>
      <c r="Q12202" s="19" t="n"/>
      <c r="R12202" s="19" t="n"/>
      <c r="Y12202" s="19" t="n"/>
    </row>
    <row r="12203">
      <c r="C12203" s="18" t="n"/>
      <c r="J12203" s="19" t="n"/>
      <c r="P12203" s="20" t="n"/>
      <c r="Q12203" s="19" t="n"/>
      <c r="R12203" s="19" t="n"/>
      <c r="Y12203" s="19" t="n"/>
    </row>
    <row r="12204">
      <c r="C12204" s="18" t="n"/>
      <c r="J12204" s="19" t="n"/>
      <c r="P12204" s="20" t="n"/>
      <c r="Q12204" s="19" t="n"/>
      <c r="R12204" s="19" t="n"/>
      <c r="Y12204" s="19" t="n"/>
    </row>
    <row r="12205">
      <c r="C12205" s="18" t="n"/>
      <c r="J12205" s="19" t="n"/>
      <c r="P12205" s="20" t="n"/>
      <c r="Q12205" s="19" t="n"/>
      <c r="R12205" s="19" t="n"/>
      <c r="Y12205" s="19" t="n"/>
    </row>
    <row r="12206">
      <c r="C12206" s="18" t="n"/>
      <c r="J12206" s="19" t="n"/>
      <c r="P12206" s="20" t="n"/>
      <c r="Q12206" s="19" t="n"/>
      <c r="R12206" s="19" t="n"/>
      <c r="Y12206" s="19" t="n"/>
    </row>
    <row r="12207">
      <c r="C12207" s="18" t="n"/>
      <c r="J12207" s="19" t="n"/>
      <c r="P12207" s="20" t="n"/>
      <c r="Q12207" s="19" t="n"/>
      <c r="R12207" s="19" t="n"/>
      <c r="Y12207" s="19" t="n"/>
    </row>
    <row r="12208">
      <c r="C12208" s="18" t="n"/>
      <c r="J12208" s="19" t="n"/>
      <c r="P12208" s="20" t="n"/>
      <c r="Q12208" s="19" t="n"/>
      <c r="R12208" s="19" t="n"/>
      <c r="Y12208" s="19" t="n"/>
    </row>
    <row r="12209">
      <c r="C12209" s="18" t="n"/>
      <c r="J12209" s="19" t="n"/>
      <c r="P12209" s="20" t="n"/>
      <c r="Q12209" s="19" t="n"/>
      <c r="R12209" s="19" t="n"/>
      <c r="Y12209" s="19" t="n"/>
    </row>
    <row r="12210">
      <c r="C12210" s="18" t="n"/>
      <c r="J12210" s="19" t="n"/>
      <c r="P12210" s="20" t="n"/>
      <c r="Q12210" s="19" t="n"/>
      <c r="R12210" s="19" t="n"/>
      <c r="Y12210" s="19" t="n"/>
    </row>
    <row r="12211">
      <c r="C12211" s="18" t="n"/>
      <c r="J12211" s="19" t="n"/>
      <c r="P12211" s="20" t="n"/>
      <c r="Q12211" s="19" t="n"/>
      <c r="R12211" s="19" t="n"/>
      <c r="Y12211" s="19" t="n"/>
    </row>
    <row r="12212">
      <c r="C12212" s="18" t="n"/>
      <c r="J12212" s="19" t="n"/>
      <c r="P12212" s="20" t="n"/>
      <c r="Q12212" s="19" t="n"/>
      <c r="R12212" s="19" t="n"/>
      <c r="Y12212" s="19" t="n"/>
    </row>
    <row r="12213">
      <c r="C12213" s="18" t="n"/>
      <c r="J12213" s="19" t="n"/>
      <c r="P12213" s="20" t="n"/>
      <c r="Q12213" s="19" t="n"/>
      <c r="R12213" s="19" t="n"/>
      <c r="Y12213" s="19" t="n"/>
    </row>
    <row r="12214">
      <c r="C12214" s="18" t="n"/>
      <c r="J12214" s="19" t="n"/>
      <c r="P12214" s="20" t="n"/>
      <c r="Q12214" s="19" t="n"/>
      <c r="R12214" s="19" t="n"/>
      <c r="Y12214" s="19" t="n"/>
    </row>
    <row r="12215">
      <c r="C12215" s="18" t="n"/>
      <c r="J12215" s="19" t="n"/>
      <c r="P12215" s="20" t="n"/>
      <c r="Q12215" s="19" t="n"/>
      <c r="R12215" s="19" t="n"/>
      <c r="Y12215" s="19" t="n"/>
    </row>
    <row r="12216">
      <c r="C12216" s="18" t="n"/>
      <c r="J12216" s="19" t="n"/>
      <c r="P12216" s="20" t="n"/>
      <c r="Q12216" s="19" t="n"/>
      <c r="R12216" s="19" t="n"/>
      <c r="Y12216" s="19" t="n"/>
    </row>
    <row r="12217">
      <c r="C12217" s="18" t="n"/>
      <c r="J12217" s="19" t="n"/>
      <c r="P12217" s="20" t="n"/>
      <c r="Q12217" s="19" t="n"/>
      <c r="R12217" s="19" t="n"/>
      <c r="Y12217" s="19" t="n"/>
    </row>
    <row r="12218">
      <c r="C12218" s="18" t="n"/>
      <c r="J12218" s="19" t="n"/>
      <c r="P12218" s="20" t="n"/>
      <c r="Q12218" s="19" t="n"/>
      <c r="R12218" s="19" t="n"/>
      <c r="Y12218" s="19" t="n"/>
    </row>
    <row r="12219">
      <c r="C12219" s="18" t="n"/>
      <c r="J12219" s="19" t="n"/>
      <c r="P12219" s="20" t="n"/>
      <c r="Q12219" s="19" t="n"/>
      <c r="R12219" s="19" t="n"/>
      <c r="Y12219" s="19" t="n"/>
    </row>
    <row r="12220">
      <c r="C12220" s="18" t="n"/>
      <c r="J12220" s="19" t="n"/>
      <c r="P12220" s="20" t="n"/>
      <c r="Q12220" s="19" t="n"/>
      <c r="R12220" s="19" t="n"/>
      <c r="Y12220" s="19" t="n"/>
    </row>
    <row r="12221">
      <c r="C12221" s="18" t="n"/>
      <c r="J12221" s="19" t="n"/>
      <c r="P12221" s="20" t="n"/>
      <c r="Q12221" s="19" t="n"/>
      <c r="R12221" s="19" t="n"/>
      <c r="Y12221" s="19" t="n"/>
    </row>
    <row r="12222">
      <c r="C12222" s="18" t="n"/>
      <c r="J12222" s="19" t="n"/>
      <c r="P12222" s="20" t="n"/>
      <c r="Q12222" s="19" t="n"/>
      <c r="R12222" s="19" t="n"/>
      <c r="Y12222" s="19" t="n"/>
    </row>
    <row r="12223">
      <c r="C12223" s="18" t="n"/>
      <c r="J12223" s="19" t="n"/>
      <c r="P12223" s="20" t="n"/>
      <c r="Q12223" s="19" t="n"/>
      <c r="R12223" s="19" t="n"/>
      <c r="Y12223" s="19" t="n"/>
    </row>
    <row r="12224">
      <c r="C12224" s="18" t="n"/>
      <c r="J12224" s="19" t="n"/>
      <c r="P12224" s="20" t="n"/>
      <c r="Q12224" s="19" t="n"/>
      <c r="R12224" s="19" t="n"/>
      <c r="Y12224" s="19" t="n"/>
    </row>
    <row r="12225">
      <c r="C12225" s="18" t="n"/>
      <c r="J12225" s="19" t="n"/>
      <c r="P12225" s="20" t="n"/>
      <c r="Q12225" s="19" t="n"/>
      <c r="R12225" s="19" t="n"/>
      <c r="Y12225" s="19" t="n"/>
    </row>
    <row r="12226">
      <c r="C12226" s="18" t="n"/>
      <c r="J12226" s="19" t="n"/>
      <c r="P12226" s="20" t="n"/>
      <c r="Q12226" s="19" t="n"/>
      <c r="R12226" s="19" t="n"/>
      <c r="Y12226" s="19" t="n"/>
    </row>
    <row r="12227">
      <c r="C12227" s="18" t="n"/>
      <c r="J12227" s="19" t="n"/>
      <c r="P12227" s="20" t="n"/>
      <c r="Q12227" s="19" t="n"/>
      <c r="R12227" s="19" t="n"/>
      <c r="Y12227" s="19" t="n"/>
    </row>
    <row r="12228">
      <c r="C12228" s="18" t="n"/>
      <c r="J12228" s="19" t="n"/>
      <c r="P12228" s="20" t="n"/>
      <c r="Q12228" s="19" t="n"/>
      <c r="R12228" s="19" t="n"/>
      <c r="Y12228" s="19" t="n"/>
    </row>
    <row r="12229">
      <c r="C12229" s="18" t="n"/>
      <c r="J12229" s="19" t="n"/>
      <c r="P12229" s="20" t="n"/>
      <c r="Q12229" s="19" t="n"/>
      <c r="R12229" s="19" t="n"/>
      <c r="Y12229" s="19" t="n"/>
    </row>
    <row r="12230">
      <c r="C12230" s="18" t="n"/>
      <c r="J12230" s="19" t="n"/>
      <c r="P12230" s="20" t="n"/>
      <c r="Q12230" s="19" t="n"/>
      <c r="R12230" s="19" t="n"/>
      <c r="Y12230" s="19" t="n"/>
    </row>
    <row r="12231">
      <c r="C12231" s="18" t="n"/>
      <c r="J12231" s="19" t="n"/>
      <c r="P12231" s="20" t="n"/>
      <c r="Q12231" s="19" t="n"/>
      <c r="R12231" s="19" t="n"/>
      <c r="Y12231" s="19" t="n"/>
    </row>
    <row r="12232">
      <c r="C12232" s="18" t="n"/>
      <c r="J12232" s="19" t="n"/>
      <c r="P12232" s="20" t="n"/>
      <c r="Q12232" s="19" t="n"/>
      <c r="R12232" s="19" t="n"/>
      <c r="Y12232" s="19" t="n"/>
    </row>
    <row r="12233">
      <c r="C12233" s="18" t="n"/>
      <c r="J12233" s="19" t="n"/>
      <c r="P12233" s="20" t="n"/>
      <c r="Q12233" s="19" t="n"/>
      <c r="R12233" s="19" t="n"/>
      <c r="Y12233" s="19" t="n"/>
    </row>
    <row r="12234">
      <c r="C12234" s="18" t="n"/>
      <c r="J12234" s="19" t="n"/>
      <c r="P12234" s="20" t="n"/>
      <c r="Q12234" s="19" t="n"/>
      <c r="R12234" s="19" t="n"/>
      <c r="Y12234" s="19" t="n"/>
    </row>
    <row r="12235">
      <c r="C12235" s="18" t="n"/>
      <c r="J12235" s="19" t="n"/>
      <c r="P12235" s="20" t="n"/>
      <c r="Q12235" s="19" t="n"/>
      <c r="R12235" s="19" t="n"/>
      <c r="Y12235" s="19" t="n"/>
    </row>
    <row r="12236">
      <c r="C12236" s="18" t="n"/>
      <c r="J12236" s="19" t="n"/>
      <c r="P12236" s="20" t="n"/>
      <c r="Q12236" s="19" t="n"/>
      <c r="R12236" s="19" t="n"/>
      <c r="Y12236" s="19" t="n"/>
    </row>
    <row r="12237">
      <c r="C12237" s="18" t="n"/>
      <c r="J12237" s="19" t="n"/>
      <c r="P12237" s="20" t="n"/>
      <c r="Q12237" s="19" t="n"/>
      <c r="R12237" s="19" t="n"/>
      <c r="Y12237" s="19" t="n"/>
    </row>
    <row r="12238">
      <c r="C12238" s="18" t="n"/>
      <c r="J12238" s="19" t="n"/>
      <c r="P12238" s="20" t="n"/>
      <c r="Q12238" s="19" t="n"/>
      <c r="R12238" s="19" t="n"/>
      <c r="Y12238" s="19" t="n"/>
    </row>
    <row r="12239">
      <c r="C12239" s="18" t="n"/>
      <c r="J12239" s="19" t="n"/>
      <c r="P12239" s="20" t="n"/>
      <c r="Q12239" s="19" t="n"/>
      <c r="R12239" s="19" t="n"/>
      <c r="Y12239" s="19" t="n"/>
    </row>
    <row r="12240">
      <c r="C12240" s="18" t="n"/>
      <c r="J12240" s="19" t="n"/>
      <c r="P12240" s="20" t="n"/>
      <c r="Q12240" s="19" t="n"/>
      <c r="R12240" s="19" t="n"/>
      <c r="Y12240" s="19" t="n"/>
    </row>
    <row r="12241">
      <c r="C12241" s="18" t="n"/>
      <c r="J12241" s="19" t="n"/>
      <c r="P12241" s="20" t="n"/>
      <c r="Q12241" s="19" t="n"/>
      <c r="R12241" s="19" t="n"/>
      <c r="Y12241" s="19" t="n"/>
    </row>
    <row r="12242">
      <c r="C12242" s="18" t="n"/>
      <c r="J12242" s="19" t="n"/>
      <c r="P12242" s="20" t="n"/>
      <c r="Q12242" s="19" t="n"/>
      <c r="R12242" s="19" t="n"/>
      <c r="Y12242" s="19" t="n"/>
    </row>
    <row r="12243">
      <c r="C12243" s="18" t="n"/>
      <c r="J12243" s="19" t="n"/>
      <c r="P12243" s="20" t="n"/>
      <c r="Q12243" s="19" t="n"/>
      <c r="R12243" s="19" t="n"/>
      <c r="Y12243" s="19" t="n"/>
    </row>
    <row r="12244">
      <c r="C12244" s="18" t="n"/>
      <c r="J12244" s="19" t="n"/>
      <c r="P12244" s="20" t="n"/>
      <c r="Q12244" s="19" t="n"/>
      <c r="R12244" s="19" t="n"/>
      <c r="Y12244" s="19" t="n"/>
    </row>
    <row r="12245">
      <c r="C12245" s="18" t="n"/>
      <c r="J12245" s="19" t="n"/>
      <c r="P12245" s="20" t="n"/>
      <c r="Q12245" s="19" t="n"/>
      <c r="R12245" s="19" t="n"/>
      <c r="Y12245" s="19" t="n"/>
    </row>
    <row r="12246">
      <c r="C12246" s="18" t="n"/>
      <c r="J12246" s="19" t="n"/>
      <c r="P12246" s="20" t="n"/>
      <c r="Q12246" s="19" t="n"/>
      <c r="R12246" s="19" t="n"/>
      <c r="Y12246" s="19" t="n"/>
    </row>
    <row r="12247">
      <c r="C12247" s="18" t="n"/>
      <c r="J12247" s="19" t="n"/>
      <c r="P12247" s="20" t="n"/>
      <c r="Q12247" s="19" t="n"/>
      <c r="R12247" s="19" t="n"/>
      <c r="Y12247" s="19" t="n"/>
    </row>
    <row r="12248">
      <c r="C12248" s="18" t="n"/>
      <c r="J12248" s="19" t="n"/>
      <c r="P12248" s="20" t="n"/>
      <c r="Q12248" s="19" t="n"/>
      <c r="R12248" s="19" t="n"/>
      <c r="Y12248" s="19" t="n"/>
    </row>
    <row r="12249">
      <c r="C12249" s="18" t="n"/>
      <c r="J12249" s="19" t="n"/>
      <c r="P12249" s="20" t="n"/>
      <c r="Q12249" s="19" t="n"/>
      <c r="R12249" s="19" t="n"/>
      <c r="Y12249" s="19" t="n"/>
    </row>
    <row r="12250">
      <c r="C12250" s="18" t="n"/>
      <c r="J12250" s="19" t="n"/>
      <c r="P12250" s="20" t="n"/>
      <c r="Q12250" s="19" t="n"/>
      <c r="R12250" s="19" t="n"/>
      <c r="Y12250" s="19" t="n"/>
    </row>
    <row r="12251">
      <c r="C12251" s="18" t="n"/>
      <c r="J12251" s="19" t="n"/>
      <c r="P12251" s="20" t="n"/>
      <c r="Q12251" s="19" t="n"/>
      <c r="R12251" s="19" t="n"/>
      <c r="Y12251" s="19" t="n"/>
    </row>
    <row r="12252">
      <c r="C12252" s="18" t="n"/>
      <c r="J12252" s="19" t="n"/>
      <c r="P12252" s="20" t="n"/>
      <c r="Q12252" s="19" t="n"/>
      <c r="R12252" s="19" t="n"/>
      <c r="Y12252" s="19" t="n"/>
    </row>
    <row r="12253">
      <c r="C12253" s="18" t="n"/>
      <c r="J12253" s="19" t="n"/>
      <c r="P12253" s="20" t="n"/>
      <c r="Q12253" s="19" t="n"/>
      <c r="R12253" s="19" t="n"/>
      <c r="Y12253" s="19" t="n"/>
    </row>
    <row r="12254">
      <c r="C12254" s="18" t="n"/>
      <c r="J12254" s="19" t="n"/>
      <c r="P12254" s="20" t="n"/>
      <c r="Q12254" s="19" t="n"/>
      <c r="R12254" s="19" t="n"/>
      <c r="Y12254" s="19" t="n"/>
    </row>
    <row r="12255">
      <c r="C12255" s="18" t="n"/>
      <c r="J12255" s="19" t="n"/>
      <c r="P12255" s="20" t="n"/>
      <c r="Q12255" s="19" t="n"/>
      <c r="R12255" s="19" t="n"/>
      <c r="Y12255" s="19" t="n"/>
    </row>
    <row r="12256">
      <c r="C12256" s="18" t="n"/>
      <c r="J12256" s="19" t="n"/>
      <c r="P12256" s="20" t="n"/>
      <c r="Q12256" s="19" t="n"/>
      <c r="R12256" s="19" t="n"/>
      <c r="Y12256" s="19" t="n"/>
    </row>
    <row r="12257">
      <c r="C12257" s="18" t="n"/>
      <c r="J12257" s="19" t="n"/>
      <c r="P12257" s="20" t="n"/>
      <c r="Q12257" s="19" t="n"/>
      <c r="R12257" s="19" t="n"/>
      <c r="Y12257" s="19" t="n"/>
    </row>
    <row r="12258">
      <c r="C12258" s="18" t="n"/>
      <c r="J12258" s="19" t="n"/>
      <c r="P12258" s="20" t="n"/>
      <c r="Q12258" s="19" t="n"/>
      <c r="R12258" s="19" t="n"/>
      <c r="Y12258" s="19" t="n"/>
    </row>
    <row r="12259">
      <c r="C12259" s="18" t="n"/>
      <c r="J12259" s="19" t="n"/>
      <c r="P12259" s="20" t="n"/>
      <c r="Q12259" s="19" t="n"/>
      <c r="R12259" s="19" t="n"/>
      <c r="Y12259" s="19" t="n"/>
    </row>
    <row r="12260">
      <c r="C12260" s="18" t="n"/>
      <c r="J12260" s="19" t="n"/>
      <c r="P12260" s="20" t="n"/>
      <c r="Q12260" s="19" t="n"/>
      <c r="R12260" s="19" t="n"/>
      <c r="Y12260" s="19" t="n"/>
    </row>
    <row r="12261">
      <c r="C12261" s="18" t="n"/>
      <c r="J12261" s="19" t="n"/>
      <c r="P12261" s="20" t="n"/>
      <c r="Q12261" s="19" t="n"/>
      <c r="R12261" s="19" t="n"/>
      <c r="Y12261" s="19" t="n"/>
    </row>
    <row r="12262">
      <c r="C12262" s="18" t="n"/>
      <c r="J12262" s="19" t="n"/>
      <c r="P12262" s="20" t="n"/>
      <c r="Q12262" s="19" t="n"/>
      <c r="R12262" s="19" t="n"/>
      <c r="Y12262" s="19" t="n"/>
    </row>
    <row r="12263">
      <c r="C12263" s="18" t="n"/>
      <c r="J12263" s="19" t="n"/>
      <c r="P12263" s="20" t="n"/>
      <c r="Q12263" s="19" t="n"/>
      <c r="R12263" s="19" t="n"/>
      <c r="Y12263" s="19" t="n"/>
    </row>
    <row r="12264">
      <c r="C12264" s="18" t="n"/>
      <c r="J12264" s="19" t="n"/>
      <c r="P12264" s="20" t="n"/>
      <c r="Q12264" s="19" t="n"/>
      <c r="R12264" s="19" t="n"/>
      <c r="Y12264" s="19" t="n"/>
    </row>
    <row r="12265">
      <c r="C12265" s="18" t="n"/>
      <c r="J12265" s="19" t="n"/>
      <c r="P12265" s="20" t="n"/>
      <c r="Q12265" s="19" t="n"/>
      <c r="R12265" s="19" t="n"/>
      <c r="Y12265" s="19" t="n"/>
    </row>
    <row r="12266">
      <c r="C12266" s="18" t="n"/>
      <c r="J12266" s="19" t="n"/>
      <c r="P12266" s="20" t="n"/>
      <c r="Q12266" s="19" t="n"/>
      <c r="R12266" s="19" t="n"/>
      <c r="Y12266" s="19" t="n"/>
    </row>
    <row r="12267">
      <c r="C12267" s="18" t="n"/>
      <c r="J12267" s="19" t="n"/>
      <c r="P12267" s="20" t="n"/>
      <c r="Q12267" s="19" t="n"/>
      <c r="R12267" s="19" t="n"/>
      <c r="Y12267" s="19" t="n"/>
    </row>
    <row r="12268">
      <c r="C12268" s="18" t="n"/>
      <c r="J12268" s="19" t="n"/>
      <c r="P12268" s="20" t="n"/>
      <c r="Q12268" s="19" t="n"/>
      <c r="R12268" s="19" t="n"/>
      <c r="Y12268" s="19" t="n"/>
    </row>
    <row r="12269">
      <c r="C12269" s="18" t="n"/>
      <c r="J12269" s="19" t="n"/>
      <c r="P12269" s="20" t="n"/>
      <c r="Q12269" s="19" t="n"/>
      <c r="R12269" s="19" t="n"/>
      <c r="Y12269" s="19" t="n"/>
    </row>
    <row r="12270">
      <c r="C12270" s="18" t="n"/>
      <c r="J12270" s="19" t="n"/>
      <c r="P12270" s="20" t="n"/>
      <c r="Q12270" s="19" t="n"/>
      <c r="R12270" s="19" t="n"/>
      <c r="Y12270" s="19" t="n"/>
    </row>
    <row r="12271">
      <c r="C12271" s="18" t="n"/>
      <c r="J12271" s="19" t="n"/>
      <c r="P12271" s="20" t="n"/>
      <c r="Q12271" s="19" t="n"/>
      <c r="R12271" s="19" t="n"/>
      <c r="Y12271" s="19" t="n"/>
    </row>
    <row r="12272">
      <c r="C12272" s="18" t="n"/>
      <c r="J12272" s="19" t="n"/>
      <c r="P12272" s="20" t="n"/>
      <c r="Q12272" s="19" t="n"/>
      <c r="R12272" s="19" t="n"/>
      <c r="Y12272" s="19" t="n"/>
    </row>
    <row r="12273">
      <c r="C12273" s="18" t="n"/>
      <c r="J12273" s="19" t="n"/>
      <c r="P12273" s="20" t="n"/>
      <c r="Q12273" s="19" t="n"/>
      <c r="R12273" s="19" t="n"/>
      <c r="Y12273" s="19" t="n"/>
    </row>
    <row r="12274">
      <c r="C12274" s="18" t="n"/>
      <c r="J12274" s="19" t="n"/>
      <c r="P12274" s="20" t="n"/>
      <c r="Q12274" s="19" t="n"/>
      <c r="R12274" s="19" t="n"/>
      <c r="Y12274" s="19" t="n"/>
    </row>
    <row r="12275">
      <c r="C12275" s="18" t="n"/>
      <c r="J12275" s="19" t="n"/>
      <c r="P12275" s="20" t="n"/>
      <c r="Q12275" s="19" t="n"/>
      <c r="R12275" s="19" t="n"/>
      <c r="Y12275" s="19" t="n"/>
    </row>
    <row r="12276">
      <c r="C12276" s="18" t="n"/>
      <c r="J12276" s="19" t="n"/>
      <c r="P12276" s="20" t="n"/>
      <c r="Q12276" s="19" t="n"/>
      <c r="R12276" s="19" t="n"/>
      <c r="Y12276" s="19" t="n"/>
    </row>
    <row r="12277">
      <c r="C12277" s="18" t="n"/>
      <c r="J12277" s="19" t="n"/>
      <c r="P12277" s="20" t="n"/>
      <c r="Q12277" s="19" t="n"/>
      <c r="R12277" s="19" t="n"/>
      <c r="Y12277" s="19" t="n"/>
    </row>
    <row r="12278">
      <c r="C12278" s="18" t="n"/>
      <c r="J12278" s="19" t="n"/>
      <c r="P12278" s="20" t="n"/>
      <c r="Q12278" s="19" t="n"/>
      <c r="R12278" s="19" t="n"/>
      <c r="Y12278" s="19" t="n"/>
    </row>
    <row r="12279">
      <c r="C12279" s="18" t="n"/>
      <c r="J12279" s="19" t="n"/>
      <c r="P12279" s="20" t="n"/>
      <c r="Q12279" s="19" t="n"/>
      <c r="R12279" s="19" t="n"/>
      <c r="Y12279" s="19" t="n"/>
    </row>
    <row r="12280">
      <c r="C12280" s="18" t="n"/>
      <c r="J12280" s="19" t="n"/>
      <c r="P12280" s="20" t="n"/>
      <c r="Q12280" s="19" t="n"/>
      <c r="R12280" s="19" t="n"/>
      <c r="Y12280" s="19" t="n"/>
    </row>
    <row r="12281">
      <c r="C12281" s="18" t="n"/>
      <c r="J12281" s="19" t="n"/>
      <c r="P12281" s="20" t="n"/>
      <c r="Q12281" s="19" t="n"/>
      <c r="R12281" s="19" t="n"/>
      <c r="Y12281" s="19" t="n"/>
    </row>
    <row r="12282">
      <c r="C12282" s="18" t="n"/>
      <c r="J12282" s="19" t="n"/>
      <c r="P12282" s="20" t="n"/>
      <c r="Q12282" s="19" t="n"/>
      <c r="R12282" s="19" t="n"/>
      <c r="Y12282" s="19" t="n"/>
    </row>
    <row r="12283">
      <c r="C12283" s="18" t="n"/>
      <c r="J12283" s="19" t="n"/>
      <c r="P12283" s="20" t="n"/>
      <c r="Q12283" s="19" t="n"/>
      <c r="R12283" s="19" t="n"/>
      <c r="Y12283" s="19" t="n"/>
    </row>
    <row r="12284">
      <c r="C12284" s="18" t="n"/>
      <c r="J12284" s="19" t="n"/>
      <c r="P12284" s="20" t="n"/>
      <c r="Q12284" s="19" t="n"/>
      <c r="R12284" s="19" t="n"/>
      <c r="Y12284" s="19" t="n"/>
    </row>
    <row r="12285">
      <c r="C12285" s="18" t="n"/>
      <c r="J12285" s="19" t="n"/>
      <c r="P12285" s="20" t="n"/>
      <c r="Q12285" s="19" t="n"/>
      <c r="R12285" s="19" t="n"/>
      <c r="Y12285" s="19" t="n"/>
    </row>
    <row r="12286">
      <c r="C12286" s="18" t="n"/>
      <c r="J12286" s="19" t="n"/>
      <c r="P12286" s="20" t="n"/>
      <c r="Q12286" s="19" t="n"/>
      <c r="R12286" s="19" t="n"/>
      <c r="Y12286" s="19" t="n"/>
    </row>
    <row r="12287">
      <c r="C12287" s="18" t="n"/>
      <c r="J12287" s="19" t="n"/>
      <c r="P12287" s="20" t="n"/>
      <c r="Q12287" s="19" t="n"/>
      <c r="R12287" s="19" t="n"/>
      <c r="Y12287" s="19" t="n"/>
    </row>
    <row r="12288">
      <c r="C12288" s="18" t="n"/>
      <c r="J12288" s="19" t="n"/>
      <c r="P12288" s="20" t="n"/>
      <c r="Q12288" s="19" t="n"/>
      <c r="R12288" s="19" t="n"/>
      <c r="Y12288" s="19" t="n"/>
    </row>
    <row r="12289">
      <c r="C12289" s="18" t="n"/>
      <c r="J12289" s="19" t="n"/>
      <c r="P12289" s="20" t="n"/>
      <c r="Q12289" s="19" t="n"/>
      <c r="R12289" s="19" t="n"/>
      <c r="Y12289" s="19" t="n"/>
    </row>
    <row r="12290">
      <c r="C12290" s="18" t="n"/>
      <c r="J12290" s="19" t="n"/>
      <c r="P12290" s="20" t="n"/>
      <c r="Q12290" s="19" t="n"/>
      <c r="R12290" s="19" t="n"/>
      <c r="Y12290" s="19" t="n"/>
    </row>
    <row r="12291">
      <c r="C12291" s="18" t="n"/>
      <c r="J12291" s="19" t="n"/>
      <c r="P12291" s="20" t="n"/>
      <c r="Q12291" s="19" t="n"/>
      <c r="R12291" s="19" t="n"/>
      <c r="Y12291" s="19" t="n"/>
    </row>
    <row r="12292">
      <c r="C12292" s="18" t="n"/>
      <c r="J12292" s="19" t="n"/>
      <c r="P12292" s="20" t="n"/>
      <c r="Q12292" s="19" t="n"/>
      <c r="R12292" s="19" t="n"/>
      <c r="Y12292" s="19" t="n"/>
    </row>
    <row r="12293">
      <c r="C12293" s="18" t="n"/>
      <c r="J12293" s="19" t="n"/>
      <c r="P12293" s="20" t="n"/>
      <c r="Q12293" s="19" t="n"/>
      <c r="R12293" s="19" t="n"/>
      <c r="Y12293" s="19" t="n"/>
    </row>
    <row r="12294">
      <c r="C12294" s="18" t="n"/>
      <c r="J12294" s="19" t="n"/>
      <c r="P12294" s="20" t="n"/>
      <c r="Q12294" s="19" t="n"/>
      <c r="R12294" s="19" t="n"/>
      <c r="Y12294" s="19" t="n"/>
    </row>
    <row r="12295">
      <c r="C12295" s="18" t="n"/>
      <c r="J12295" s="19" t="n"/>
      <c r="P12295" s="20" t="n"/>
      <c r="Q12295" s="19" t="n"/>
      <c r="R12295" s="19" t="n"/>
      <c r="Y12295" s="19" t="n"/>
    </row>
    <row r="12296">
      <c r="C12296" s="18" t="n"/>
      <c r="J12296" s="19" t="n"/>
      <c r="P12296" s="20" t="n"/>
      <c r="Q12296" s="19" t="n"/>
      <c r="R12296" s="19" t="n"/>
      <c r="Y12296" s="19" t="n"/>
    </row>
    <row r="12297">
      <c r="C12297" s="18" t="n"/>
      <c r="J12297" s="19" t="n"/>
      <c r="P12297" s="20" t="n"/>
      <c r="Q12297" s="19" t="n"/>
      <c r="R12297" s="19" t="n"/>
      <c r="Y12297" s="19" t="n"/>
    </row>
    <row r="12298">
      <c r="C12298" s="18" t="n"/>
      <c r="J12298" s="19" t="n"/>
      <c r="P12298" s="20" t="n"/>
      <c r="Q12298" s="19" t="n"/>
      <c r="R12298" s="19" t="n"/>
      <c r="Y12298" s="19" t="n"/>
    </row>
    <row r="12299">
      <c r="C12299" s="18" t="n"/>
      <c r="J12299" s="19" t="n"/>
      <c r="P12299" s="20" t="n"/>
      <c r="Q12299" s="19" t="n"/>
      <c r="R12299" s="19" t="n"/>
      <c r="Y12299" s="19" t="n"/>
    </row>
    <row r="12300">
      <c r="C12300" s="18" t="n"/>
      <c r="J12300" s="19" t="n"/>
      <c r="P12300" s="20" t="n"/>
      <c r="Q12300" s="19" t="n"/>
      <c r="R12300" s="19" t="n"/>
      <c r="Y12300" s="19" t="n"/>
    </row>
    <row r="12301">
      <c r="C12301" s="18" t="n"/>
      <c r="J12301" s="19" t="n"/>
      <c r="P12301" s="20" t="n"/>
      <c r="Q12301" s="19" t="n"/>
      <c r="R12301" s="19" t="n"/>
      <c r="Y12301" s="19" t="n"/>
    </row>
    <row r="12302">
      <c r="C12302" s="18" t="n"/>
      <c r="J12302" s="19" t="n"/>
      <c r="P12302" s="20" t="n"/>
      <c r="Q12302" s="19" t="n"/>
      <c r="R12302" s="19" t="n"/>
      <c r="Y12302" s="19" t="n"/>
    </row>
    <row r="12303">
      <c r="C12303" s="18" t="n"/>
      <c r="J12303" s="19" t="n"/>
      <c r="P12303" s="20" t="n"/>
      <c r="Q12303" s="19" t="n"/>
      <c r="R12303" s="19" t="n"/>
      <c r="Y12303" s="19" t="n"/>
    </row>
    <row r="12304">
      <c r="C12304" s="18" t="n"/>
      <c r="J12304" s="19" t="n"/>
      <c r="P12304" s="20" t="n"/>
      <c r="Q12304" s="19" t="n"/>
      <c r="R12304" s="19" t="n"/>
      <c r="Y12304" s="19" t="n"/>
    </row>
    <row r="12305">
      <c r="C12305" s="18" t="n"/>
      <c r="J12305" s="19" t="n"/>
      <c r="P12305" s="20" t="n"/>
      <c r="Q12305" s="19" t="n"/>
      <c r="R12305" s="19" t="n"/>
      <c r="Y12305" s="19" t="n"/>
    </row>
    <row r="12306">
      <c r="C12306" s="18" t="n"/>
      <c r="J12306" s="19" t="n"/>
      <c r="P12306" s="20" t="n"/>
      <c r="Q12306" s="19" t="n"/>
      <c r="R12306" s="19" t="n"/>
      <c r="Y12306" s="19" t="n"/>
    </row>
    <row r="12307">
      <c r="C12307" s="18" t="n"/>
      <c r="J12307" s="19" t="n"/>
      <c r="P12307" s="20" t="n"/>
      <c r="Q12307" s="19" t="n"/>
      <c r="R12307" s="19" t="n"/>
      <c r="Y12307" s="19" t="n"/>
    </row>
    <row r="12308">
      <c r="C12308" s="18" t="n"/>
      <c r="J12308" s="19" t="n"/>
      <c r="P12308" s="20" t="n"/>
      <c r="Q12308" s="19" t="n"/>
      <c r="R12308" s="19" t="n"/>
      <c r="Y12308" s="19" t="n"/>
    </row>
    <row r="12309">
      <c r="C12309" s="18" t="n"/>
      <c r="J12309" s="19" t="n"/>
      <c r="P12309" s="20" t="n"/>
      <c r="Q12309" s="19" t="n"/>
      <c r="R12309" s="19" t="n"/>
      <c r="Y12309" s="19" t="n"/>
    </row>
    <row r="12310">
      <c r="C12310" s="18" t="n"/>
      <c r="J12310" s="19" t="n"/>
      <c r="P12310" s="20" t="n"/>
      <c r="Q12310" s="19" t="n"/>
      <c r="R12310" s="19" t="n"/>
      <c r="Y12310" s="19" t="n"/>
    </row>
    <row r="12311">
      <c r="C12311" s="18" t="n"/>
      <c r="J12311" s="19" t="n"/>
      <c r="P12311" s="20" t="n"/>
      <c r="Q12311" s="19" t="n"/>
      <c r="R12311" s="19" t="n"/>
      <c r="Y12311" s="19" t="n"/>
    </row>
    <row r="12312">
      <c r="C12312" s="18" t="n"/>
      <c r="J12312" s="19" t="n"/>
      <c r="P12312" s="20" t="n"/>
      <c r="Q12312" s="19" t="n"/>
      <c r="R12312" s="19" t="n"/>
      <c r="Y12312" s="19" t="n"/>
    </row>
    <row r="12313">
      <c r="C12313" s="18" t="n"/>
      <c r="J12313" s="19" t="n"/>
      <c r="P12313" s="20" t="n"/>
      <c r="Q12313" s="19" t="n"/>
      <c r="R12313" s="19" t="n"/>
      <c r="Y12313" s="19" t="n"/>
    </row>
    <row r="12314">
      <c r="C12314" s="18" t="n"/>
      <c r="J12314" s="19" t="n"/>
      <c r="P12314" s="20" t="n"/>
      <c r="Q12314" s="19" t="n"/>
      <c r="R12314" s="19" t="n"/>
      <c r="Y12314" s="19" t="n"/>
    </row>
    <row r="12315">
      <c r="C12315" s="18" t="n"/>
      <c r="J12315" s="19" t="n"/>
      <c r="P12315" s="20" t="n"/>
      <c r="Q12315" s="19" t="n"/>
      <c r="R12315" s="19" t="n"/>
      <c r="Y12315" s="19" t="n"/>
    </row>
    <row r="12316">
      <c r="C12316" s="18" t="n"/>
      <c r="J12316" s="19" t="n"/>
      <c r="P12316" s="20" t="n"/>
      <c r="Q12316" s="19" t="n"/>
      <c r="R12316" s="19" t="n"/>
      <c r="Y12316" s="19" t="n"/>
    </row>
    <row r="12317">
      <c r="C12317" s="18" t="n"/>
      <c r="J12317" s="19" t="n"/>
      <c r="P12317" s="20" t="n"/>
      <c r="Q12317" s="19" t="n"/>
      <c r="R12317" s="19" t="n"/>
      <c r="Y12317" s="19" t="n"/>
    </row>
    <row r="12318">
      <c r="C12318" s="18" t="n"/>
      <c r="J12318" s="19" t="n"/>
      <c r="P12318" s="20" t="n"/>
      <c r="Q12318" s="19" t="n"/>
      <c r="R12318" s="19" t="n"/>
      <c r="Y12318" s="19" t="n"/>
    </row>
    <row r="12319">
      <c r="C12319" s="18" t="n"/>
      <c r="J12319" s="19" t="n"/>
      <c r="P12319" s="20" t="n"/>
      <c r="Q12319" s="19" t="n"/>
      <c r="R12319" s="19" t="n"/>
      <c r="Y12319" s="19" t="n"/>
    </row>
    <row r="12320">
      <c r="C12320" s="18" t="n"/>
      <c r="J12320" s="19" t="n"/>
      <c r="P12320" s="20" t="n"/>
      <c r="Q12320" s="19" t="n"/>
      <c r="R12320" s="19" t="n"/>
      <c r="Y12320" s="19" t="n"/>
    </row>
    <row r="12321">
      <c r="C12321" s="18" t="n"/>
      <c r="J12321" s="19" t="n"/>
      <c r="P12321" s="20" t="n"/>
      <c r="Q12321" s="19" t="n"/>
      <c r="R12321" s="19" t="n"/>
      <c r="Y12321" s="19" t="n"/>
    </row>
    <row r="12322">
      <c r="C12322" s="18" t="n"/>
      <c r="J12322" s="19" t="n"/>
      <c r="P12322" s="20" t="n"/>
      <c r="Q12322" s="19" t="n"/>
      <c r="R12322" s="19" t="n"/>
      <c r="Y12322" s="19" t="n"/>
    </row>
    <row r="12323">
      <c r="C12323" s="18" t="n"/>
      <c r="J12323" s="19" t="n"/>
      <c r="P12323" s="20" t="n"/>
      <c r="Q12323" s="19" t="n"/>
      <c r="R12323" s="19" t="n"/>
      <c r="Y12323" s="19" t="n"/>
    </row>
    <row r="12324">
      <c r="C12324" s="18" t="n"/>
      <c r="J12324" s="19" t="n"/>
      <c r="P12324" s="20" t="n"/>
      <c r="Q12324" s="19" t="n"/>
      <c r="R12324" s="19" t="n"/>
      <c r="Y12324" s="19" t="n"/>
    </row>
    <row r="12325">
      <c r="C12325" s="18" t="n"/>
      <c r="J12325" s="19" t="n"/>
      <c r="P12325" s="20" t="n"/>
      <c r="Q12325" s="19" t="n"/>
      <c r="R12325" s="19" t="n"/>
      <c r="Y12325" s="19" t="n"/>
    </row>
    <row r="12326">
      <c r="C12326" s="18" t="n"/>
      <c r="J12326" s="19" t="n"/>
      <c r="P12326" s="20" t="n"/>
      <c r="Q12326" s="19" t="n"/>
      <c r="R12326" s="19" t="n"/>
      <c r="Y12326" s="19" t="n"/>
    </row>
    <row r="12327">
      <c r="C12327" s="18" t="n"/>
      <c r="J12327" s="19" t="n"/>
      <c r="P12327" s="20" t="n"/>
      <c r="Q12327" s="19" t="n"/>
      <c r="R12327" s="19" t="n"/>
      <c r="Y12327" s="19" t="n"/>
    </row>
    <row r="12328">
      <c r="C12328" s="18" t="n"/>
      <c r="J12328" s="19" t="n"/>
      <c r="P12328" s="20" t="n"/>
      <c r="Q12328" s="19" t="n"/>
      <c r="R12328" s="19" t="n"/>
      <c r="Y12328" s="19" t="n"/>
    </row>
    <row r="12329">
      <c r="C12329" s="18" t="n"/>
      <c r="J12329" s="19" t="n"/>
      <c r="P12329" s="20" t="n"/>
      <c r="Q12329" s="19" t="n"/>
      <c r="R12329" s="19" t="n"/>
      <c r="Y12329" s="19" t="n"/>
    </row>
    <row r="12330">
      <c r="C12330" s="18" t="n"/>
      <c r="J12330" s="19" t="n"/>
      <c r="P12330" s="20" t="n"/>
      <c r="Q12330" s="19" t="n"/>
      <c r="R12330" s="19" t="n"/>
      <c r="Y12330" s="19" t="n"/>
    </row>
    <row r="12331">
      <c r="C12331" s="18" t="n"/>
      <c r="J12331" s="19" t="n"/>
      <c r="P12331" s="20" t="n"/>
      <c r="Q12331" s="19" t="n"/>
      <c r="R12331" s="19" t="n"/>
      <c r="Y12331" s="19" t="n"/>
    </row>
    <row r="12332">
      <c r="C12332" s="18" t="n"/>
      <c r="J12332" s="19" t="n"/>
      <c r="P12332" s="20" t="n"/>
      <c r="Q12332" s="19" t="n"/>
      <c r="R12332" s="19" t="n"/>
      <c r="Y12332" s="19" t="n"/>
    </row>
    <row r="12333">
      <c r="C12333" s="18" t="n"/>
      <c r="J12333" s="19" t="n"/>
      <c r="P12333" s="20" t="n"/>
      <c r="Q12333" s="19" t="n"/>
      <c r="R12333" s="19" t="n"/>
      <c r="Y12333" s="19" t="n"/>
    </row>
    <row r="12334">
      <c r="C12334" s="18" t="n"/>
      <c r="J12334" s="19" t="n"/>
      <c r="P12334" s="20" t="n"/>
      <c r="Q12334" s="19" t="n"/>
      <c r="R12334" s="19" t="n"/>
      <c r="Y12334" s="19" t="n"/>
    </row>
    <row r="12335">
      <c r="C12335" s="18" t="n"/>
      <c r="J12335" s="19" t="n"/>
      <c r="P12335" s="20" t="n"/>
      <c r="Q12335" s="19" t="n"/>
      <c r="R12335" s="19" t="n"/>
      <c r="Y12335" s="19" t="n"/>
    </row>
    <row r="12336">
      <c r="C12336" s="18" t="n"/>
      <c r="J12336" s="19" t="n"/>
      <c r="P12336" s="20" t="n"/>
      <c r="Q12336" s="19" t="n"/>
      <c r="R12336" s="19" t="n"/>
      <c r="Y12336" s="19" t="n"/>
    </row>
    <row r="12337">
      <c r="C12337" s="18" t="n"/>
      <c r="J12337" s="19" t="n"/>
      <c r="P12337" s="20" t="n"/>
      <c r="Q12337" s="19" t="n"/>
      <c r="R12337" s="19" t="n"/>
      <c r="Y12337" s="19" t="n"/>
    </row>
    <row r="12338">
      <c r="C12338" s="18" t="n"/>
      <c r="J12338" s="19" t="n"/>
      <c r="P12338" s="20" t="n"/>
      <c r="Q12338" s="19" t="n"/>
      <c r="R12338" s="19" t="n"/>
      <c r="Y12338" s="19" t="n"/>
    </row>
    <row r="12339">
      <c r="C12339" s="18" t="n"/>
      <c r="J12339" s="19" t="n"/>
      <c r="P12339" s="20" t="n"/>
      <c r="Q12339" s="19" t="n"/>
      <c r="R12339" s="19" t="n"/>
      <c r="Y12339" s="19" t="n"/>
    </row>
    <row r="12340">
      <c r="C12340" s="18" t="n"/>
      <c r="J12340" s="19" t="n"/>
      <c r="P12340" s="20" t="n"/>
      <c r="Q12340" s="19" t="n"/>
      <c r="R12340" s="19" t="n"/>
      <c r="Y12340" s="19" t="n"/>
    </row>
    <row r="12341">
      <c r="C12341" s="18" t="n"/>
      <c r="J12341" s="19" t="n"/>
      <c r="P12341" s="20" t="n"/>
      <c r="Q12341" s="19" t="n"/>
      <c r="R12341" s="19" t="n"/>
      <c r="Y12341" s="19" t="n"/>
    </row>
    <row r="12342">
      <c r="C12342" s="18" t="n"/>
      <c r="J12342" s="19" t="n"/>
      <c r="P12342" s="20" t="n"/>
      <c r="Q12342" s="19" t="n"/>
      <c r="R12342" s="19" t="n"/>
      <c r="Y12342" s="19" t="n"/>
    </row>
    <row r="12343">
      <c r="C12343" s="18" t="n"/>
      <c r="J12343" s="19" t="n"/>
      <c r="P12343" s="20" t="n"/>
      <c r="Q12343" s="19" t="n"/>
      <c r="R12343" s="19" t="n"/>
      <c r="Y12343" s="19" t="n"/>
    </row>
    <row r="12344">
      <c r="C12344" s="18" t="n"/>
      <c r="J12344" s="19" t="n"/>
      <c r="P12344" s="20" t="n"/>
      <c r="Q12344" s="19" t="n"/>
      <c r="R12344" s="19" t="n"/>
      <c r="Y12344" s="19" t="n"/>
    </row>
    <row r="12345">
      <c r="C12345" s="18" t="n"/>
      <c r="J12345" s="19" t="n"/>
      <c r="P12345" s="20" t="n"/>
      <c r="Q12345" s="19" t="n"/>
      <c r="R12345" s="19" t="n"/>
      <c r="Y12345" s="19" t="n"/>
    </row>
    <row r="12346">
      <c r="C12346" s="18" t="n"/>
      <c r="J12346" s="19" t="n"/>
      <c r="P12346" s="20" t="n"/>
      <c r="Q12346" s="19" t="n"/>
      <c r="R12346" s="19" t="n"/>
      <c r="Y12346" s="19" t="n"/>
    </row>
    <row r="12347">
      <c r="C12347" s="18" t="n"/>
      <c r="J12347" s="19" t="n"/>
      <c r="P12347" s="20" t="n"/>
      <c r="Q12347" s="19" t="n"/>
      <c r="R12347" s="19" t="n"/>
      <c r="Y12347" s="19" t="n"/>
    </row>
    <row r="12348">
      <c r="C12348" s="18" t="n"/>
      <c r="J12348" s="19" t="n"/>
      <c r="P12348" s="20" t="n"/>
      <c r="Q12348" s="19" t="n"/>
      <c r="R12348" s="19" t="n"/>
      <c r="Y12348" s="19" t="n"/>
    </row>
    <row r="12349">
      <c r="C12349" s="18" t="n"/>
      <c r="J12349" s="19" t="n"/>
      <c r="P12349" s="20" t="n"/>
      <c r="Q12349" s="19" t="n"/>
      <c r="R12349" s="19" t="n"/>
      <c r="Y12349" s="19" t="n"/>
    </row>
    <row r="12350">
      <c r="C12350" s="18" t="n"/>
      <c r="J12350" s="19" t="n"/>
      <c r="P12350" s="20" t="n"/>
      <c r="Q12350" s="19" t="n"/>
      <c r="R12350" s="19" t="n"/>
      <c r="Y12350" s="19" t="n"/>
    </row>
    <row r="12351">
      <c r="C12351" s="18" t="n"/>
      <c r="J12351" s="19" t="n"/>
      <c r="P12351" s="20" t="n"/>
      <c r="Q12351" s="19" t="n"/>
      <c r="R12351" s="19" t="n"/>
      <c r="Y12351" s="19" t="n"/>
    </row>
    <row r="12352">
      <c r="C12352" s="18" t="n"/>
      <c r="J12352" s="19" t="n"/>
      <c r="P12352" s="20" t="n"/>
      <c r="Q12352" s="19" t="n"/>
      <c r="R12352" s="19" t="n"/>
      <c r="Y12352" s="19" t="n"/>
    </row>
    <row r="12353">
      <c r="C12353" s="18" t="n"/>
      <c r="J12353" s="19" t="n"/>
      <c r="P12353" s="20" t="n"/>
      <c r="Q12353" s="19" t="n"/>
      <c r="R12353" s="19" t="n"/>
      <c r="Y12353" s="19" t="n"/>
    </row>
    <row r="12354">
      <c r="C12354" s="18" t="n"/>
      <c r="J12354" s="19" t="n"/>
      <c r="P12354" s="20" t="n"/>
      <c r="Q12354" s="19" t="n"/>
      <c r="R12354" s="19" t="n"/>
      <c r="Y12354" s="19" t="n"/>
    </row>
    <row r="12355">
      <c r="C12355" s="18" t="n"/>
      <c r="J12355" s="19" t="n"/>
      <c r="P12355" s="20" t="n"/>
      <c r="Q12355" s="19" t="n"/>
      <c r="R12355" s="19" t="n"/>
      <c r="Y12355" s="19" t="n"/>
    </row>
    <row r="12356">
      <c r="C12356" s="18" t="n"/>
      <c r="J12356" s="19" t="n"/>
      <c r="P12356" s="20" t="n"/>
      <c r="Q12356" s="19" t="n"/>
      <c r="R12356" s="19" t="n"/>
      <c r="Y12356" s="19" t="n"/>
    </row>
    <row r="12357">
      <c r="C12357" s="18" t="n"/>
      <c r="J12357" s="19" t="n"/>
      <c r="P12357" s="20" t="n"/>
      <c r="Q12357" s="19" t="n"/>
      <c r="R12357" s="19" t="n"/>
      <c r="Y12357" s="19" t="n"/>
    </row>
    <row r="12358">
      <c r="C12358" s="18" t="n"/>
      <c r="J12358" s="19" t="n"/>
      <c r="P12358" s="20" t="n"/>
      <c r="Q12358" s="19" t="n"/>
      <c r="R12358" s="19" t="n"/>
      <c r="Y12358" s="19" t="n"/>
    </row>
    <row r="12359">
      <c r="C12359" s="18" t="n"/>
      <c r="J12359" s="19" t="n"/>
      <c r="P12359" s="20" t="n"/>
      <c r="Q12359" s="19" t="n"/>
      <c r="R12359" s="19" t="n"/>
      <c r="Y12359" s="19" t="n"/>
    </row>
    <row r="12360">
      <c r="C12360" s="18" t="n"/>
      <c r="J12360" s="19" t="n"/>
      <c r="P12360" s="20" t="n"/>
      <c r="Q12360" s="19" t="n"/>
      <c r="R12360" s="19" t="n"/>
      <c r="Y12360" s="19" t="n"/>
    </row>
    <row r="12361">
      <c r="C12361" s="18" t="n"/>
      <c r="J12361" s="19" t="n"/>
      <c r="P12361" s="20" t="n"/>
      <c r="Q12361" s="19" t="n"/>
      <c r="R12361" s="19" t="n"/>
      <c r="Y12361" s="19" t="n"/>
    </row>
    <row r="12362">
      <c r="C12362" s="18" t="n"/>
      <c r="J12362" s="19" t="n"/>
      <c r="P12362" s="20" t="n"/>
      <c r="Q12362" s="19" t="n"/>
      <c r="R12362" s="19" t="n"/>
      <c r="Y12362" s="19" t="n"/>
    </row>
    <row r="12363">
      <c r="C12363" s="18" t="n"/>
      <c r="J12363" s="19" t="n"/>
      <c r="P12363" s="20" t="n"/>
      <c r="Q12363" s="19" t="n"/>
      <c r="R12363" s="19" t="n"/>
      <c r="Y12363" s="19" t="n"/>
    </row>
    <row r="12364">
      <c r="C12364" s="18" t="n"/>
      <c r="J12364" s="19" t="n"/>
      <c r="P12364" s="20" t="n"/>
      <c r="Q12364" s="19" t="n"/>
      <c r="R12364" s="19" t="n"/>
      <c r="Y12364" s="19" t="n"/>
    </row>
    <row r="12365">
      <c r="C12365" s="18" t="n"/>
      <c r="J12365" s="19" t="n"/>
      <c r="P12365" s="20" t="n"/>
      <c r="Q12365" s="19" t="n"/>
      <c r="R12365" s="19" t="n"/>
      <c r="Y12365" s="19" t="n"/>
    </row>
    <row r="12366">
      <c r="C12366" s="18" t="n"/>
      <c r="J12366" s="19" t="n"/>
      <c r="P12366" s="20" t="n"/>
      <c r="Q12366" s="19" t="n"/>
      <c r="R12366" s="19" t="n"/>
      <c r="Y12366" s="19" t="n"/>
    </row>
    <row r="12367">
      <c r="C12367" s="18" t="n"/>
      <c r="J12367" s="19" t="n"/>
      <c r="P12367" s="20" t="n"/>
      <c r="Q12367" s="19" t="n"/>
      <c r="R12367" s="19" t="n"/>
      <c r="Y12367" s="19" t="n"/>
    </row>
    <row r="12368">
      <c r="C12368" s="18" t="n"/>
      <c r="J12368" s="19" t="n"/>
      <c r="P12368" s="20" t="n"/>
      <c r="Q12368" s="19" t="n"/>
      <c r="R12368" s="19" t="n"/>
      <c r="Y12368" s="19" t="n"/>
    </row>
    <row r="12369">
      <c r="C12369" s="18" t="n"/>
      <c r="J12369" s="19" t="n"/>
      <c r="P12369" s="20" t="n"/>
      <c r="Q12369" s="19" t="n"/>
      <c r="R12369" s="19" t="n"/>
      <c r="Y12369" s="19" t="n"/>
    </row>
    <row r="12370">
      <c r="C12370" s="18" t="n"/>
      <c r="J12370" s="19" t="n"/>
      <c r="P12370" s="20" t="n"/>
      <c r="Q12370" s="19" t="n"/>
      <c r="R12370" s="19" t="n"/>
      <c r="Y12370" s="19" t="n"/>
    </row>
    <row r="12371">
      <c r="C12371" s="18" t="n"/>
      <c r="J12371" s="19" t="n"/>
      <c r="P12371" s="20" t="n"/>
      <c r="Q12371" s="19" t="n"/>
      <c r="R12371" s="19" t="n"/>
      <c r="Y12371" s="19" t="n"/>
    </row>
    <row r="12372">
      <c r="C12372" s="18" t="n"/>
      <c r="J12372" s="19" t="n"/>
      <c r="P12372" s="20" t="n"/>
      <c r="Q12372" s="19" t="n"/>
      <c r="R12372" s="19" t="n"/>
      <c r="Y12372" s="19" t="n"/>
    </row>
    <row r="12373">
      <c r="C12373" s="18" t="n"/>
      <c r="J12373" s="19" t="n"/>
      <c r="P12373" s="20" t="n"/>
      <c r="Q12373" s="19" t="n"/>
      <c r="R12373" s="19" t="n"/>
      <c r="Y12373" s="19" t="n"/>
    </row>
    <row r="12374">
      <c r="C12374" s="18" t="n"/>
      <c r="J12374" s="19" t="n"/>
      <c r="P12374" s="20" t="n"/>
      <c r="Q12374" s="19" t="n"/>
      <c r="R12374" s="19" t="n"/>
      <c r="Y12374" s="19" t="n"/>
    </row>
    <row r="12375">
      <c r="C12375" s="18" t="n"/>
      <c r="J12375" s="19" t="n"/>
      <c r="P12375" s="20" t="n"/>
      <c r="Q12375" s="19" t="n"/>
      <c r="R12375" s="19" t="n"/>
      <c r="Y12375" s="19" t="n"/>
    </row>
    <row r="12376">
      <c r="C12376" s="18" t="n"/>
      <c r="J12376" s="19" t="n"/>
      <c r="P12376" s="20" t="n"/>
      <c r="Q12376" s="19" t="n"/>
      <c r="R12376" s="19" t="n"/>
      <c r="Y12376" s="19" t="n"/>
    </row>
    <row r="12377">
      <c r="C12377" s="18" t="n"/>
      <c r="J12377" s="19" t="n"/>
      <c r="P12377" s="20" t="n"/>
      <c r="Q12377" s="19" t="n"/>
      <c r="R12377" s="19" t="n"/>
      <c r="Y12377" s="19" t="n"/>
    </row>
    <row r="12378">
      <c r="C12378" s="18" t="n"/>
      <c r="J12378" s="19" t="n"/>
      <c r="P12378" s="20" t="n"/>
      <c r="Q12378" s="19" t="n"/>
      <c r="R12378" s="19" t="n"/>
      <c r="Y12378" s="19" t="n"/>
    </row>
    <row r="12379">
      <c r="C12379" s="18" t="n"/>
      <c r="J12379" s="19" t="n"/>
      <c r="P12379" s="20" t="n"/>
      <c r="Q12379" s="19" t="n"/>
      <c r="R12379" s="19" t="n"/>
      <c r="Y12379" s="19" t="n"/>
    </row>
    <row r="12380">
      <c r="C12380" s="18" t="n"/>
      <c r="J12380" s="19" t="n"/>
      <c r="P12380" s="20" t="n"/>
      <c r="Q12380" s="19" t="n"/>
      <c r="R12380" s="19" t="n"/>
      <c r="Y12380" s="19" t="n"/>
    </row>
    <row r="12381">
      <c r="C12381" s="18" t="n"/>
      <c r="J12381" s="19" t="n"/>
      <c r="P12381" s="20" t="n"/>
      <c r="Q12381" s="19" t="n"/>
      <c r="R12381" s="19" t="n"/>
      <c r="Y12381" s="19" t="n"/>
    </row>
    <row r="12382">
      <c r="C12382" s="18" t="n"/>
      <c r="J12382" s="19" t="n"/>
      <c r="P12382" s="20" t="n"/>
      <c r="Q12382" s="19" t="n"/>
      <c r="R12382" s="19" t="n"/>
      <c r="Y12382" s="19" t="n"/>
    </row>
    <row r="12383">
      <c r="C12383" s="18" t="n"/>
      <c r="J12383" s="19" t="n"/>
      <c r="P12383" s="20" t="n"/>
      <c r="Q12383" s="19" t="n"/>
      <c r="R12383" s="19" t="n"/>
      <c r="Y12383" s="19" t="n"/>
    </row>
    <row r="12384">
      <c r="C12384" s="18" t="n"/>
      <c r="J12384" s="19" t="n"/>
      <c r="P12384" s="20" t="n"/>
      <c r="Q12384" s="19" t="n"/>
      <c r="R12384" s="19" t="n"/>
      <c r="Y12384" s="19" t="n"/>
    </row>
    <row r="12385">
      <c r="C12385" s="18" t="n"/>
      <c r="J12385" s="19" t="n"/>
      <c r="P12385" s="20" t="n"/>
      <c r="Q12385" s="19" t="n"/>
      <c r="R12385" s="19" t="n"/>
      <c r="Y12385" s="19" t="n"/>
    </row>
    <row r="12386">
      <c r="C12386" s="18" t="n"/>
      <c r="J12386" s="19" t="n"/>
      <c r="P12386" s="20" t="n"/>
      <c r="Q12386" s="19" t="n"/>
      <c r="R12386" s="19" t="n"/>
      <c r="Y12386" s="19" t="n"/>
    </row>
    <row r="12387">
      <c r="C12387" s="18" t="n"/>
      <c r="J12387" s="19" t="n"/>
      <c r="P12387" s="20" t="n"/>
      <c r="Q12387" s="19" t="n"/>
      <c r="R12387" s="19" t="n"/>
      <c r="Y12387" s="19" t="n"/>
    </row>
    <row r="12388">
      <c r="C12388" s="18" t="n"/>
      <c r="J12388" s="19" t="n"/>
      <c r="P12388" s="20" t="n"/>
      <c r="Q12388" s="19" t="n"/>
      <c r="R12388" s="19" t="n"/>
      <c r="Y12388" s="19" t="n"/>
    </row>
    <row r="12389">
      <c r="C12389" s="18" t="n"/>
      <c r="J12389" s="19" t="n"/>
      <c r="P12389" s="20" t="n"/>
      <c r="Q12389" s="19" t="n"/>
      <c r="R12389" s="19" t="n"/>
      <c r="Y12389" s="19" t="n"/>
    </row>
    <row r="12390">
      <c r="C12390" s="18" t="n"/>
      <c r="J12390" s="19" t="n"/>
      <c r="P12390" s="20" t="n"/>
      <c r="Q12390" s="19" t="n"/>
      <c r="R12390" s="19" t="n"/>
      <c r="Y12390" s="19" t="n"/>
    </row>
    <row r="12391">
      <c r="C12391" s="18" t="n"/>
      <c r="J12391" s="19" t="n"/>
      <c r="P12391" s="20" t="n"/>
      <c r="Q12391" s="19" t="n"/>
      <c r="R12391" s="19" t="n"/>
      <c r="Y12391" s="19" t="n"/>
    </row>
    <row r="12392">
      <c r="C12392" s="18" t="n"/>
      <c r="J12392" s="19" t="n"/>
      <c r="P12392" s="20" t="n"/>
      <c r="Q12392" s="19" t="n"/>
      <c r="R12392" s="19" t="n"/>
      <c r="Y12392" s="19" t="n"/>
    </row>
    <row r="12393">
      <c r="C12393" s="18" t="n"/>
      <c r="J12393" s="19" t="n"/>
      <c r="P12393" s="20" t="n"/>
      <c r="Q12393" s="19" t="n"/>
      <c r="R12393" s="19" t="n"/>
      <c r="Y12393" s="19" t="n"/>
    </row>
    <row r="12394">
      <c r="C12394" s="18" t="n"/>
      <c r="J12394" s="19" t="n"/>
      <c r="P12394" s="20" t="n"/>
      <c r="Q12394" s="19" t="n"/>
      <c r="R12394" s="19" t="n"/>
      <c r="Y12394" s="19" t="n"/>
    </row>
    <row r="12395">
      <c r="C12395" s="18" t="n"/>
      <c r="J12395" s="19" t="n"/>
      <c r="P12395" s="20" t="n"/>
      <c r="Q12395" s="19" t="n"/>
      <c r="R12395" s="19" t="n"/>
      <c r="Y12395" s="19" t="n"/>
    </row>
    <row r="12396">
      <c r="C12396" s="18" t="n"/>
      <c r="J12396" s="19" t="n"/>
      <c r="P12396" s="20" t="n"/>
      <c r="Q12396" s="19" t="n"/>
      <c r="R12396" s="19" t="n"/>
      <c r="Y12396" s="19" t="n"/>
    </row>
    <row r="12397">
      <c r="C12397" s="18" t="n"/>
      <c r="J12397" s="19" t="n"/>
      <c r="P12397" s="20" t="n"/>
      <c r="Q12397" s="19" t="n"/>
      <c r="R12397" s="19" t="n"/>
      <c r="Y12397" s="19" t="n"/>
    </row>
    <row r="12398">
      <c r="C12398" s="18" t="n"/>
      <c r="J12398" s="19" t="n"/>
      <c r="P12398" s="20" t="n"/>
      <c r="Q12398" s="19" t="n"/>
      <c r="R12398" s="19" t="n"/>
      <c r="Y12398" s="19" t="n"/>
    </row>
    <row r="12399">
      <c r="C12399" s="18" t="n"/>
      <c r="J12399" s="19" t="n"/>
      <c r="P12399" s="20" t="n"/>
      <c r="Q12399" s="19" t="n"/>
      <c r="R12399" s="19" t="n"/>
      <c r="Y12399" s="19" t="n"/>
    </row>
    <row r="12400">
      <c r="C12400" s="18" t="n"/>
      <c r="J12400" s="19" t="n"/>
      <c r="P12400" s="20" t="n"/>
      <c r="Q12400" s="19" t="n"/>
      <c r="R12400" s="19" t="n"/>
      <c r="Y12400" s="19" t="n"/>
    </row>
    <row r="12401">
      <c r="C12401" s="18" t="n"/>
      <c r="J12401" s="19" t="n"/>
      <c r="P12401" s="20" t="n"/>
      <c r="Q12401" s="19" t="n"/>
      <c r="R12401" s="19" t="n"/>
      <c r="Y12401" s="19" t="n"/>
    </row>
    <row r="12402">
      <c r="C12402" s="18" t="n"/>
      <c r="J12402" s="19" t="n"/>
      <c r="P12402" s="20" t="n"/>
      <c r="Q12402" s="19" t="n"/>
      <c r="R12402" s="19" t="n"/>
      <c r="Y12402" s="19" t="n"/>
    </row>
    <row r="12403">
      <c r="C12403" s="18" t="n"/>
      <c r="J12403" s="19" t="n"/>
      <c r="P12403" s="20" t="n"/>
      <c r="Q12403" s="19" t="n"/>
      <c r="R12403" s="19" t="n"/>
      <c r="Y12403" s="19" t="n"/>
    </row>
    <row r="12404">
      <c r="C12404" s="18" t="n"/>
      <c r="J12404" s="19" t="n"/>
      <c r="P12404" s="20" t="n"/>
      <c r="Q12404" s="19" t="n"/>
      <c r="R12404" s="19" t="n"/>
      <c r="Y12404" s="19" t="n"/>
    </row>
    <row r="12405">
      <c r="C12405" s="18" t="n"/>
      <c r="J12405" s="19" t="n"/>
      <c r="P12405" s="20" t="n"/>
      <c r="Q12405" s="19" t="n"/>
      <c r="R12405" s="19" t="n"/>
      <c r="Y12405" s="19" t="n"/>
    </row>
    <row r="12406">
      <c r="C12406" s="18" t="n"/>
      <c r="J12406" s="19" t="n"/>
      <c r="P12406" s="20" t="n"/>
      <c r="Q12406" s="19" t="n"/>
      <c r="R12406" s="19" t="n"/>
      <c r="Y12406" s="19" t="n"/>
    </row>
    <row r="12407">
      <c r="C12407" s="18" t="n"/>
      <c r="J12407" s="19" t="n"/>
      <c r="P12407" s="20" t="n"/>
      <c r="Q12407" s="19" t="n"/>
      <c r="R12407" s="19" t="n"/>
      <c r="Y12407" s="19" t="n"/>
    </row>
    <row r="12408">
      <c r="C12408" s="18" t="n"/>
      <c r="J12408" s="19" t="n"/>
      <c r="P12408" s="20" t="n"/>
      <c r="Q12408" s="19" t="n"/>
      <c r="R12408" s="19" t="n"/>
      <c r="Y12408" s="19" t="n"/>
    </row>
    <row r="12409">
      <c r="C12409" s="18" t="n"/>
      <c r="J12409" s="19" t="n"/>
      <c r="P12409" s="20" t="n"/>
      <c r="Q12409" s="19" t="n"/>
      <c r="R12409" s="19" t="n"/>
      <c r="Y12409" s="19" t="n"/>
    </row>
    <row r="12410">
      <c r="C12410" s="18" t="n"/>
      <c r="J12410" s="19" t="n"/>
      <c r="P12410" s="20" t="n"/>
      <c r="Q12410" s="19" t="n"/>
      <c r="R12410" s="19" t="n"/>
      <c r="Y12410" s="19" t="n"/>
    </row>
    <row r="12411">
      <c r="C12411" s="18" t="n"/>
      <c r="J12411" s="19" t="n"/>
      <c r="P12411" s="20" t="n"/>
      <c r="Q12411" s="19" t="n"/>
      <c r="R12411" s="19" t="n"/>
      <c r="Y12411" s="19" t="n"/>
    </row>
    <row r="12412">
      <c r="C12412" s="18" t="n"/>
      <c r="J12412" s="19" t="n"/>
      <c r="P12412" s="20" t="n"/>
      <c r="Q12412" s="19" t="n"/>
      <c r="R12412" s="19" t="n"/>
      <c r="Y12412" s="19" t="n"/>
    </row>
    <row r="12413">
      <c r="C12413" s="18" t="n"/>
      <c r="J12413" s="19" t="n"/>
      <c r="P12413" s="20" t="n"/>
      <c r="Q12413" s="19" t="n"/>
      <c r="R12413" s="19" t="n"/>
      <c r="Y12413" s="19" t="n"/>
    </row>
    <row r="12414">
      <c r="C12414" s="18" t="n"/>
      <c r="J12414" s="19" t="n"/>
      <c r="P12414" s="20" t="n"/>
      <c r="Q12414" s="19" t="n"/>
      <c r="R12414" s="19" t="n"/>
      <c r="Y12414" s="19" t="n"/>
    </row>
    <row r="12415">
      <c r="C12415" s="18" t="n"/>
      <c r="J12415" s="19" t="n"/>
      <c r="P12415" s="20" t="n"/>
      <c r="Q12415" s="19" t="n"/>
      <c r="R12415" s="19" t="n"/>
      <c r="Y12415" s="19" t="n"/>
    </row>
    <row r="12416">
      <c r="C12416" s="18" t="n"/>
      <c r="J12416" s="19" t="n"/>
      <c r="P12416" s="20" t="n"/>
      <c r="Q12416" s="19" t="n"/>
      <c r="R12416" s="19" t="n"/>
      <c r="Y12416" s="19" t="n"/>
    </row>
    <row r="12417">
      <c r="C12417" s="18" t="n"/>
      <c r="J12417" s="19" t="n"/>
      <c r="P12417" s="20" t="n"/>
      <c r="Q12417" s="19" t="n"/>
      <c r="R12417" s="19" t="n"/>
      <c r="Y12417" s="19" t="n"/>
    </row>
    <row r="12418">
      <c r="C12418" s="18" t="n"/>
      <c r="J12418" s="19" t="n"/>
      <c r="P12418" s="20" t="n"/>
      <c r="Q12418" s="19" t="n"/>
      <c r="R12418" s="19" t="n"/>
      <c r="Y12418" s="19" t="n"/>
    </row>
    <row r="12419">
      <c r="C12419" s="18" t="n"/>
      <c r="J12419" s="19" t="n"/>
      <c r="P12419" s="20" t="n"/>
      <c r="Q12419" s="19" t="n"/>
      <c r="R12419" s="19" t="n"/>
      <c r="Y12419" s="19" t="n"/>
    </row>
    <row r="12420">
      <c r="C12420" s="18" t="n"/>
      <c r="J12420" s="19" t="n"/>
      <c r="P12420" s="20" t="n"/>
      <c r="Q12420" s="19" t="n"/>
      <c r="R12420" s="19" t="n"/>
      <c r="Y12420" s="19" t="n"/>
    </row>
    <row r="12421">
      <c r="C12421" s="18" t="n"/>
      <c r="J12421" s="19" t="n"/>
      <c r="P12421" s="20" t="n"/>
      <c r="Q12421" s="19" t="n"/>
      <c r="R12421" s="19" t="n"/>
      <c r="Y12421" s="19" t="n"/>
    </row>
    <row r="12422">
      <c r="C12422" s="18" t="n"/>
      <c r="J12422" s="19" t="n"/>
      <c r="P12422" s="20" t="n"/>
      <c r="Q12422" s="19" t="n"/>
      <c r="R12422" s="19" t="n"/>
      <c r="Y12422" s="19" t="n"/>
    </row>
    <row r="12423">
      <c r="C12423" s="18" t="n"/>
      <c r="J12423" s="19" t="n"/>
      <c r="P12423" s="20" t="n"/>
      <c r="Q12423" s="19" t="n"/>
      <c r="R12423" s="19" t="n"/>
      <c r="Y12423" s="19" t="n"/>
    </row>
    <row r="12424">
      <c r="C12424" s="18" t="n"/>
      <c r="J12424" s="19" t="n"/>
      <c r="P12424" s="20" t="n"/>
      <c r="Q12424" s="19" t="n"/>
      <c r="R12424" s="19" t="n"/>
      <c r="Y12424" s="19" t="n"/>
    </row>
    <row r="12425">
      <c r="C12425" s="18" t="n"/>
      <c r="J12425" s="19" t="n"/>
      <c r="P12425" s="20" t="n"/>
      <c r="Q12425" s="19" t="n"/>
      <c r="R12425" s="19" t="n"/>
      <c r="Y12425" s="19" t="n"/>
    </row>
    <row r="12426">
      <c r="C12426" s="18" t="n"/>
      <c r="J12426" s="19" t="n"/>
      <c r="P12426" s="20" t="n"/>
      <c r="Q12426" s="19" t="n"/>
      <c r="R12426" s="19" t="n"/>
      <c r="Y12426" s="19" t="n"/>
    </row>
    <row r="12427">
      <c r="C12427" s="18" t="n"/>
      <c r="J12427" s="19" t="n"/>
      <c r="P12427" s="20" t="n"/>
      <c r="Q12427" s="19" t="n"/>
      <c r="R12427" s="19" t="n"/>
      <c r="Y12427" s="19" t="n"/>
    </row>
    <row r="12428">
      <c r="C12428" s="18" t="n"/>
      <c r="J12428" s="19" t="n"/>
      <c r="P12428" s="20" t="n"/>
      <c r="Q12428" s="19" t="n"/>
      <c r="R12428" s="19" t="n"/>
      <c r="Y12428" s="19" t="n"/>
    </row>
    <row r="12429">
      <c r="C12429" s="18" t="n"/>
      <c r="J12429" s="19" t="n"/>
      <c r="P12429" s="20" t="n"/>
      <c r="Q12429" s="19" t="n"/>
      <c r="R12429" s="19" t="n"/>
      <c r="Y12429" s="19" t="n"/>
    </row>
    <row r="12430">
      <c r="C12430" s="18" t="n"/>
      <c r="J12430" s="19" t="n"/>
      <c r="P12430" s="20" t="n"/>
      <c r="Q12430" s="19" t="n"/>
      <c r="R12430" s="19" t="n"/>
      <c r="Y12430" s="19" t="n"/>
    </row>
    <row r="12431">
      <c r="C12431" s="18" t="n"/>
      <c r="J12431" s="19" t="n"/>
      <c r="P12431" s="20" t="n"/>
      <c r="Q12431" s="19" t="n"/>
      <c r="R12431" s="19" t="n"/>
      <c r="Y12431" s="19" t="n"/>
    </row>
    <row r="12432">
      <c r="C12432" s="18" t="n"/>
      <c r="J12432" s="19" t="n"/>
      <c r="P12432" s="20" t="n"/>
      <c r="Q12432" s="19" t="n"/>
      <c r="R12432" s="19" t="n"/>
      <c r="Y12432" s="19" t="n"/>
    </row>
    <row r="12433">
      <c r="C12433" s="18" t="n"/>
      <c r="J12433" s="19" t="n"/>
      <c r="P12433" s="20" t="n"/>
      <c r="Q12433" s="19" t="n"/>
      <c r="R12433" s="19" t="n"/>
      <c r="Y12433" s="19" t="n"/>
    </row>
    <row r="12434">
      <c r="C12434" s="18" t="n"/>
      <c r="J12434" s="19" t="n"/>
      <c r="P12434" s="20" t="n"/>
      <c r="Q12434" s="19" t="n"/>
      <c r="R12434" s="19" t="n"/>
      <c r="Y12434" s="19" t="n"/>
    </row>
    <row r="12435">
      <c r="C12435" s="18" t="n"/>
      <c r="J12435" s="19" t="n"/>
      <c r="P12435" s="20" t="n"/>
      <c r="Q12435" s="19" t="n"/>
      <c r="R12435" s="19" t="n"/>
      <c r="Y12435" s="19" t="n"/>
    </row>
    <row r="12436">
      <c r="C12436" s="18" t="n"/>
      <c r="J12436" s="19" t="n"/>
      <c r="P12436" s="20" t="n"/>
      <c r="Q12436" s="19" t="n"/>
      <c r="R12436" s="19" t="n"/>
      <c r="Y12436" s="19" t="n"/>
    </row>
    <row r="12437">
      <c r="C12437" s="18" t="n"/>
      <c r="J12437" s="19" t="n"/>
      <c r="P12437" s="20" t="n"/>
      <c r="Q12437" s="19" t="n"/>
      <c r="R12437" s="19" t="n"/>
      <c r="Y12437" s="19" t="n"/>
    </row>
    <row r="12438">
      <c r="C12438" s="18" t="n"/>
      <c r="J12438" s="19" t="n"/>
      <c r="P12438" s="20" t="n"/>
      <c r="Q12438" s="19" t="n"/>
      <c r="R12438" s="19" t="n"/>
      <c r="Y12438" s="19" t="n"/>
    </row>
    <row r="12439">
      <c r="C12439" s="18" t="n"/>
      <c r="J12439" s="19" t="n"/>
      <c r="P12439" s="20" t="n"/>
      <c r="Q12439" s="19" t="n"/>
      <c r="R12439" s="19" t="n"/>
      <c r="Y12439" s="19" t="n"/>
    </row>
    <row r="12440">
      <c r="C12440" s="18" t="n"/>
      <c r="J12440" s="19" t="n"/>
      <c r="P12440" s="20" t="n"/>
      <c r="Q12440" s="19" t="n"/>
      <c r="R12440" s="19" t="n"/>
      <c r="Y12440" s="19" t="n"/>
    </row>
    <row r="12441">
      <c r="C12441" s="18" t="n"/>
      <c r="J12441" s="19" t="n"/>
      <c r="P12441" s="20" t="n"/>
      <c r="Q12441" s="19" t="n"/>
      <c r="R12441" s="19" t="n"/>
      <c r="Y12441" s="19" t="n"/>
    </row>
    <row r="12442">
      <c r="C12442" s="18" t="n"/>
      <c r="J12442" s="19" t="n"/>
      <c r="P12442" s="20" t="n"/>
      <c r="Q12442" s="19" t="n"/>
      <c r="R12442" s="19" t="n"/>
      <c r="Y12442" s="19" t="n"/>
    </row>
    <row r="12443">
      <c r="C12443" s="18" t="n"/>
      <c r="J12443" s="19" t="n"/>
      <c r="P12443" s="20" t="n"/>
      <c r="Q12443" s="19" t="n"/>
      <c r="R12443" s="19" t="n"/>
      <c r="Y12443" s="19" t="n"/>
    </row>
    <row r="12444">
      <c r="C12444" s="18" t="n"/>
      <c r="J12444" s="19" t="n"/>
      <c r="P12444" s="20" t="n"/>
      <c r="Q12444" s="19" t="n"/>
      <c r="R12444" s="19" t="n"/>
      <c r="Y12444" s="19" t="n"/>
    </row>
    <row r="12445">
      <c r="C12445" s="18" t="n"/>
      <c r="J12445" s="19" t="n"/>
      <c r="P12445" s="20" t="n"/>
      <c r="Q12445" s="19" t="n"/>
      <c r="R12445" s="19" t="n"/>
      <c r="Y12445" s="19" t="n"/>
    </row>
    <row r="12446">
      <c r="C12446" s="18" t="n"/>
      <c r="J12446" s="19" t="n"/>
      <c r="P12446" s="20" t="n"/>
      <c r="Q12446" s="19" t="n"/>
      <c r="R12446" s="19" t="n"/>
      <c r="Y12446" s="19" t="n"/>
    </row>
    <row r="12447">
      <c r="C12447" s="18" t="n"/>
      <c r="J12447" s="19" t="n"/>
      <c r="P12447" s="20" t="n"/>
      <c r="Q12447" s="19" t="n"/>
      <c r="R12447" s="19" t="n"/>
      <c r="Y12447" s="19" t="n"/>
    </row>
    <row r="12448">
      <c r="C12448" s="18" t="n"/>
      <c r="J12448" s="19" t="n"/>
      <c r="P12448" s="20" t="n"/>
      <c r="Q12448" s="19" t="n"/>
      <c r="R12448" s="19" t="n"/>
      <c r="Y12448" s="19" t="n"/>
    </row>
    <row r="12449">
      <c r="C12449" s="18" t="n"/>
      <c r="J12449" s="19" t="n"/>
      <c r="P12449" s="20" t="n"/>
      <c r="Q12449" s="19" t="n"/>
      <c r="R12449" s="19" t="n"/>
      <c r="Y12449" s="19" t="n"/>
    </row>
    <row r="12450">
      <c r="C12450" s="18" t="n"/>
      <c r="J12450" s="19" t="n"/>
      <c r="P12450" s="20" t="n"/>
      <c r="Q12450" s="19" t="n"/>
      <c r="R12450" s="19" t="n"/>
      <c r="Y12450" s="19" t="n"/>
    </row>
    <row r="12451">
      <c r="C12451" s="18" t="n"/>
      <c r="J12451" s="19" t="n"/>
      <c r="P12451" s="20" t="n"/>
      <c r="Q12451" s="19" t="n"/>
      <c r="R12451" s="19" t="n"/>
      <c r="Y12451" s="19" t="n"/>
    </row>
    <row r="12452">
      <c r="C12452" s="18" t="n"/>
      <c r="J12452" s="19" t="n"/>
      <c r="P12452" s="20" t="n"/>
      <c r="Q12452" s="19" t="n"/>
      <c r="R12452" s="19" t="n"/>
      <c r="Y12452" s="19" t="n"/>
    </row>
    <row r="12453">
      <c r="C12453" s="18" t="n"/>
      <c r="J12453" s="19" t="n"/>
      <c r="P12453" s="20" t="n"/>
      <c r="Q12453" s="19" t="n"/>
      <c r="R12453" s="19" t="n"/>
      <c r="Y12453" s="19" t="n"/>
    </row>
    <row r="12454">
      <c r="C12454" s="18" t="n"/>
      <c r="J12454" s="19" t="n"/>
      <c r="P12454" s="20" t="n"/>
      <c r="Q12454" s="19" t="n"/>
      <c r="R12454" s="19" t="n"/>
      <c r="Y12454" s="19" t="n"/>
    </row>
    <row r="12455">
      <c r="C12455" s="18" t="n"/>
      <c r="J12455" s="19" t="n"/>
      <c r="P12455" s="20" t="n"/>
      <c r="Q12455" s="19" t="n"/>
      <c r="R12455" s="19" t="n"/>
      <c r="Y12455" s="19" t="n"/>
    </row>
    <row r="12456">
      <c r="C12456" s="18" t="n"/>
      <c r="J12456" s="19" t="n"/>
      <c r="P12456" s="20" t="n"/>
      <c r="Q12456" s="19" t="n"/>
      <c r="R12456" s="19" t="n"/>
      <c r="Y12456" s="19" t="n"/>
    </row>
    <row r="12457">
      <c r="C12457" s="18" t="n"/>
      <c r="J12457" s="19" t="n"/>
      <c r="P12457" s="20" t="n"/>
      <c r="Q12457" s="19" t="n"/>
      <c r="R12457" s="19" t="n"/>
      <c r="Y12457" s="19" t="n"/>
    </row>
    <row r="12458">
      <c r="C12458" s="18" t="n"/>
      <c r="J12458" s="19" t="n"/>
      <c r="P12458" s="20" t="n"/>
      <c r="Q12458" s="19" t="n"/>
      <c r="R12458" s="19" t="n"/>
      <c r="Y12458" s="19" t="n"/>
    </row>
    <row r="12459">
      <c r="C12459" s="18" t="n"/>
      <c r="J12459" s="19" t="n"/>
      <c r="P12459" s="20" t="n"/>
      <c r="Q12459" s="19" t="n"/>
      <c r="R12459" s="19" t="n"/>
      <c r="Y12459" s="19" t="n"/>
    </row>
    <row r="12460">
      <c r="C12460" s="18" t="n"/>
      <c r="J12460" s="19" t="n"/>
      <c r="P12460" s="20" t="n"/>
      <c r="Q12460" s="19" t="n"/>
      <c r="R12460" s="19" t="n"/>
      <c r="Y12460" s="19" t="n"/>
    </row>
    <row r="12461">
      <c r="C12461" s="18" t="n"/>
      <c r="J12461" s="19" t="n"/>
      <c r="P12461" s="20" t="n"/>
      <c r="Q12461" s="19" t="n"/>
      <c r="R12461" s="19" t="n"/>
      <c r="Y12461" s="19" t="n"/>
    </row>
    <row r="12462">
      <c r="C12462" s="18" t="n"/>
      <c r="J12462" s="19" t="n"/>
      <c r="P12462" s="20" t="n"/>
      <c r="Q12462" s="19" t="n"/>
      <c r="R12462" s="19" t="n"/>
      <c r="Y12462" s="19" t="n"/>
    </row>
    <row r="12463">
      <c r="C12463" s="18" t="n"/>
      <c r="J12463" s="19" t="n"/>
      <c r="P12463" s="20" t="n"/>
      <c r="Q12463" s="19" t="n"/>
      <c r="R12463" s="19" t="n"/>
      <c r="Y12463" s="19" t="n"/>
    </row>
    <row r="12464">
      <c r="C12464" s="18" t="n"/>
      <c r="J12464" s="19" t="n"/>
      <c r="P12464" s="20" t="n"/>
      <c r="Q12464" s="19" t="n"/>
      <c r="R12464" s="19" t="n"/>
      <c r="Y12464" s="19" t="n"/>
    </row>
    <row r="12465">
      <c r="C12465" s="18" t="n"/>
      <c r="J12465" s="19" t="n"/>
      <c r="P12465" s="20" t="n"/>
      <c r="Q12465" s="19" t="n"/>
      <c r="R12465" s="19" t="n"/>
      <c r="Y12465" s="19" t="n"/>
    </row>
    <row r="12466">
      <c r="C12466" s="18" t="n"/>
      <c r="J12466" s="19" t="n"/>
      <c r="P12466" s="20" t="n"/>
      <c r="Q12466" s="19" t="n"/>
      <c r="R12466" s="19" t="n"/>
      <c r="Y12466" s="19" t="n"/>
    </row>
    <row r="12467">
      <c r="C12467" s="18" t="n"/>
      <c r="J12467" s="19" t="n"/>
      <c r="P12467" s="20" t="n"/>
      <c r="Q12467" s="19" t="n"/>
      <c r="R12467" s="19" t="n"/>
      <c r="Y12467" s="19" t="n"/>
    </row>
    <row r="12468">
      <c r="C12468" s="18" t="n"/>
      <c r="J12468" s="19" t="n"/>
      <c r="P12468" s="20" t="n"/>
      <c r="Q12468" s="19" t="n"/>
      <c r="R12468" s="19" t="n"/>
      <c r="Y12468" s="19" t="n"/>
    </row>
    <row r="12469">
      <c r="C12469" s="18" t="n"/>
      <c r="J12469" s="19" t="n"/>
      <c r="P12469" s="20" t="n"/>
      <c r="Q12469" s="19" t="n"/>
      <c r="R12469" s="19" t="n"/>
      <c r="Y12469" s="19" t="n"/>
    </row>
    <row r="12470">
      <c r="C12470" s="18" t="n"/>
      <c r="J12470" s="19" t="n"/>
      <c r="P12470" s="20" t="n"/>
      <c r="Q12470" s="19" t="n"/>
      <c r="R12470" s="19" t="n"/>
      <c r="Y12470" s="19" t="n"/>
    </row>
    <row r="12471">
      <c r="C12471" s="18" t="n"/>
      <c r="J12471" s="19" t="n"/>
      <c r="P12471" s="20" t="n"/>
      <c r="Q12471" s="19" t="n"/>
      <c r="R12471" s="19" t="n"/>
      <c r="Y12471" s="19" t="n"/>
    </row>
    <row r="12472">
      <c r="C12472" s="18" t="n"/>
      <c r="J12472" s="19" t="n"/>
      <c r="P12472" s="20" t="n"/>
      <c r="Q12472" s="19" t="n"/>
      <c r="R12472" s="19" t="n"/>
      <c r="Y12472" s="19" t="n"/>
    </row>
    <row r="12473">
      <c r="C12473" s="18" t="n"/>
      <c r="J12473" s="19" t="n"/>
      <c r="P12473" s="20" t="n"/>
      <c r="Q12473" s="19" t="n"/>
      <c r="R12473" s="19" t="n"/>
      <c r="Y12473" s="19" t="n"/>
    </row>
    <row r="12474">
      <c r="C12474" s="18" t="n"/>
      <c r="J12474" s="19" t="n"/>
      <c r="P12474" s="20" t="n"/>
      <c r="Q12474" s="19" t="n"/>
      <c r="R12474" s="19" t="n"/>
      <c r="Y12474" s="19" t="n"/>
    </row>
    <row r="12475">
      <c r="C12475" s="18" t="n"/>
      <c r="J12475" s="19" t="n"/>
      <c r="P12475" s="20" t="n"/>
      <c r="Q12475" s="19" t="n"/>
      <c r="R12475" s="19" t="n"/>
      <c r="Y12475" s="19" t="n"/>
    </row>
    <row r="12476">
      <c r="C12476" s="18" t="n"/>
      <c r="J12476" s="19" t="n"/>
      <c r="P12476" s="20" t="n"/>
      <c r="Q12476" s="19" t="n"/>
      <c r="R12476" s="19" t="n"/>
      <c r="Y12476" s="19" t="n"/>
    </row>
    <row r="12477">
      <c r="C12477" s="18" t="n"/>
      <c r="J12477" s="19" t="n"/>
      <c r="P12477" s="20" t="n"/>
      <c r="Q12477" s="19" t="n"/>
      <c r="R12477" s="19" t="n"/>
      <c r="Y12477" s="19" t="n"/>
    </row>
    <row r="12478">
      <c r="C12478" s="18" t="n"/>
      <c r="J12478" s="19" t="n"/>
      <c r="P12478" s="20" t="n"/>
      <c r="Q12478" s="19" t="n"/>
      <c r="R12478" s="19" t="n"/>
      <c r="Y12478" s="19" t="n"/>
    </row>
    <row r="12479">
      <c r="C12479" s="18" t="n"/>
      <c r="J12479" s="19" t="n"/>
      <c r="P12479" s="20" t="n"/>
      <c r="Q12479" s="19" t="n"/>
      <c r="R12479" s="19" t="n"/>
      <c r="Y12479" s="19" t="n"/>
    </row>
    <row r="12480">
      <c r="C12480" s="18" t="n"/>
      <c r="J12480" s="19" t="n"/>
      <c r="P12480" s="20" t="n"/>
      <c r="Q12480" s="19" t="n"/>
      <c r="R12480" s="19" t="n"/>
      <c r="Y12480" s="19" t="n"/>
    </row>
    <row r="12481">
      <c r="C12481" s="18" t="n"/>
      <c r="J12481" s="19" t="n"/>
      <c r="P12481" s="20" t="n"/>
      <c r="Q12481" s="19" t="n"/>
      <c r="R12481" s="19" t="n"/>
      <c r="Y12481" s="19" t="n"/>
    </row>
    <row r="12482">
      <c r="C12482" s="18" t="n"/>
      <c r="J12482" s="19" t="n"/>
      <c r="P12482" s="20" t="n"/>
      <c r="Q12482" s="19" t="n"/>
      <c r="R12482" s="19" t="n"/>
      <c r="Y12482" s="19" t="n"/>
    </row>
    <row r="12483">
      <c r="C12483" s="18" t="n"/>
      <c r="J12483" s="19" t="n"/>
      <c r="P12483" s="20" t="n"/>
      <c r="Q12483" s="19" t="n"/>
      <c r="R12483" s="19" t="n"/>
      <c r="Y12483" s="19" t="n"/>
    </row>
    <row r="12484">
      <c r="C12484" s="18" t="n"/>
      <c r="J12484" s="19" t="n"/>
      <c r="P12484" s="20" t="n"/>
      <c r="Q12484" s="19" t="n"/>
      <c r="R12484" s="19" t="n"/>
      <c r="Y12484" s="19" t="n"/>
    </row>
    <row r="12485">
      <c r="C12485" s="18" t="n"/>
      <c r="J12485" s="19" t="n"/>
      <c r="P12485" s="20" t="n"/>
      <c r="Q12485" s="19" t="n"/>
      <c r="R12485" s="19" t="n"/>
      <c r="Y12485" s="19" t="n"/>
    </row>
    <row r="12486">
      <c r="C12486" s="18" t="n"/>
      <c r="J12486" s="19" t="n"/>
      <c r="P12486" s="20" t="n"/>
      <c r="Q12486" s="19" t="n"/>
      <c r="R12486" s="19" t="n"/>
      <c r="Y12486" s="19" t="n"/>
    </row>
    <row r="12487">
      <c r="C12487" s="18" t="n"/>
      <c r="J12487" s="19" t="n"/>
      <c r="P12487" s="20" t="n"/>
      <c r="Q12487" s="19" t="n"/>
      <c r="R12487" s="19" t="n"/>
      <c r="Y12487" s="19" t="n"/>
    </row>
    <row r="12488">
      <c r="C12488" s="18" t="n"/>
      <c r="J12488" s="19" t="n"/>
      <c r="P12488" s="20" t="n"/>
      <c r="Q12488" s="19" t="n"/>
      <c r="R12488" s="19" t="n"/>
      <c r="Y12488" s="19" t="n"/>
    </row>
    <row r="12489">
      <c r="C12489" s="18" t="n"/>
      <c r="J12489" s="19" t="n"/>
      <c r="P12489" s="20" t="n"/>
      <c r="Q12489" s="19" t="n"/>
      <c r="R12489" s="19" t="n"/>
      <c r="Y12489" s="19" t="n"/>
    </row>
    <row r="12490">
      <c r="C12490" s="18" t="n"/>
      <c r="J12490" s="19" t="n"/>
      <c r="P12490" s="20" t="n"/>
      <c r="Q12490" s="19" t="n"/>
      <c r="R12490" s="19" t="n"/>
      <c r="Y12490" s="19" t="n"/>
    </row>
    <row r="12491">
      <c r="C12491" s="18" t="n"/>
      <c r="J12491" s="19" t="n"/>
      <c r="P12491" s="20" t="n"/>
      <c r="Q12491" s="19" t="n"/>
      <c r="R12491" s="19" t="n"/>
      <c r="Y12491" s="19" t="n"/>
    </row>
    <row r="12492">
      <c r="C12492" s="18" t="n"/>
      <c r="J12492" s="19" t="n"/>
      <c r="P12492" s="20" t="n"/>
      <c r="Q12492" s="19" t="n"/>
      <c r="R12492" s="19" t="n"/>
      <c r="Y12492" s="19" t="n"/>
    </row>
    <row r="12493">
      <c r="C12493" s="18" t="n"/>
      <c r="J12493" s="19" t="n"/>
      <c r="P12493" s="20" t="n"/>
      <c r="Q12493" s="19" t="n"/>
      <c r="R12493" s="19" t="n"/>
      <c r="Y12493" s="19" t="n"/>
    </row>
    <row r="12494">
      <c r="C12494" s="18" t="n"/>
      <c r="J12494" s="19" t="n"/>
      <c r="P12494" s="20" t="n"/>
      <c r="Q12494" s="19" t="n"/>
      <c r="R12494" s="19" t="n"/>
      <c r="Y12494" s="19" t="n"/>
    </row>
    <row r="12495">
      <c r="C12495" s="18" t="n"/>
      <c r="J12495" s="19" t="n"/>
      <c r="P12495" s="20" t="n"/>
      <c r="Q12495" s="19" t="n"/>
      <c r="R12495" s="19" t="n"/>
      <c r="Y12495" s="19" t="n"/>
    </row>
    <row r="12496">
      <c r="C12496" s="18" t="n"/>
      <c r="J12496" s="19" t="n"/>
      <c r="P12496" s="20" t="n"/>
      <c r="Q12496" s="19" t="n"/>
      <c r="R12496" s="19" t="n"/>
      <c r="Y12496" s="19" t="n"/>
    </row>
    <row r="12497">
      <c r="C12497" s="18" t="n"/>
      <c r="J12497" s="19" t="n"/>
      <c r="P12497" s="20" t="n"/>
      <c r="Q12497" s="19" t="n"/>
      <c r="R12497" s="19" t="n"/>
      <c r="Y12497" s="19" t="n"/>
    </row>
    <row r="12498">
      <c r="C12498" s="18" t="n"/>
      <c r="J12498" s="19" t="n"/>
      <c r="P12498" s="20" t="n"/>
      <c r="Q12498" s="19" t="n"/>
      <c r="R12498" s="19" t="n"/>
      <c r="Y12498" s="19" t="n"/>
    </row>
    <row r="12499">
      <c r="C12499" s="18" t="n"/>
      <c r="J12499" s="19" t="n"/>
      <c r="P12499" s="20" t="n"/>
      <c r="Q12499" s="19" t="n"/>
      <c r="R12499" s="19" t="n"/>
      <c r="Y12499" s="19" t="n"/>
    </row>
    <row r="12500">
      <c r="C12500" s="18" t="n"/>
      <c r="J12500" s="19" t="n"/>
      <c r="P12500" s="20" t="n"/>
      <c r="Q12500" s="19" t="n"/>
      <c r="R12500" s="19" t="n"/>
      <c r="Y12500" s="19" t="n"/>
    </row>
    <row r="12501">
      <c r="C12501" s="18" t="n"/>
      <c r="J12501" s="19" t="n"/>
      <c r="P12501" s="20" t="n"/>
      <c r="Q12501" s="19" t="n"/>
      <c r="R12501" s="19" t="n"/>
      <c r="Y12501" s="19" t="n"/>
    </row>
    <row r="12502">
      <c r="C12502" s="18" t="n"/>
      <c r="J12502" s="19" t="n"/>
      <c r="P12502" s="20" t="n"/>
      <c r="Q12502" s="19" t="n"/>
      <c r="R12502" s="19" t="n"/>
      <c r="Y12502" s="19" t="n"/>
    </row>
    <row r="12503">
      <c r="C12503" s="18" t="n"/>
      <c r="J12503" s="19" t="n"/>
      <c r="P12503" s="20" t="n"/>
      <c r="Q12503" s="19" t="n"/>
      <c r="R12503" s="19" t="n"/>
      <c r="Y12503" s="19" t="n"/>
    </row>
    <row r="12504">
      <c r="C12504" s="18" t="n"/>
      <c r="J12504" s="19" t="n"/>
      <c r="P12504" s="20" t="n"/>
      <c r="Q12504" s="19" t="n"/>
      <c r="R12504" s="19" t="n"/>
      <c r="Y12504" s="19" t="n"/>
    </row>
    <row r="12505">
      <c r="C12505" s="18" t="n"/>
      <c r="J12505" s="19" t="n"/>
      <c r="P12505" s="20" t="n"/>
      <c r="Q12505" s="19" t="n"/>
      <c r="R12505" s="19" t="n"/>
      <c r="Y12505" s="19" t="n"/>
    </row>
    <row r="12506">
      <c r="C12506" s="18" t="n"/>
      <c r="J12506" s="19" t="n"/>
      <c r="P12506" s="20" t="n"/>
      <c r="Q12506" s="19" t="n"/>
      <c r="R12506" s="19" t="n"/>
      <c r="Y12506" s="19" t="n"/>
    </row>
    <row r="12507">
      <c r="C12507" s="18" t="n"/>
      <c r="J12507" s="19" t="n"/>
      <c r="P12507" s="20" t="n"/>
      <c r="Q12507" s="19" t="n"/>
      <c r="R12507" s="19" t="n"/>
      <c r="Y12507" s="19" t="n"/>
    </row>
    <row r="12508">
      <c r="C12508" s="18" t="n"/>
      <c r="J12508" s="19" t="n"/>
      <c r="P12508" s="20" t="n"/>
      <c r="Q12508" s="19" t="n"/>
      <c r="R12508" s="19" t="n"/>
      <c r="Y12508" s="19" t="n"/>
    </row>
    <row r="12509">
      <c r="C12509" s="18" t="n"/>
      <c r="J12509" s="19" t="n"/>
      <c r="P12509" s="20" t="n"/>
      <c r="Q12509" s="19" t="n"/>
      <c r="R12509" s="19" t="n"/>
      <c r="Y12509" s="19" t="n"/>
    </row>
    <row r="12510">
      <c r="C12510" s="18" t="n"/>
      <c r="J12510" s="19" t="n"/>
      <c r="P12510" s="20" t="n"/>
      <c r="Q12510" s="19" t="n"/>
      <c r="R12510" s="19" t="n"/>
      <c r="Y12510" s="19" t="n"/>
    </row>
    <row r="12511">
      <c r="C12511" s="18" t="n"/>
      <c r="J12511" s="19" t="n"/>
      <c r="P12511" s="20" t="n"/>
      <c r="Q12511" s="19" t="n"/>
      <c r="R12511" s="19" t="n"/>
      <c r="Y12511" s="19" t="n"/>
    </row>
    <row r="12512">
      <c r="C12512" s="18" t="n"/>
      <c r="J12512" s="19" t="n"/>
      <c r="P12512" s="20" t="n"/>
      <c r="Q12512" s="19" t="n"/>
      <c r="R12512" s="19" t="n"/>
      <c r="Y12512" s="19" t="n"/>
    </row>
    <row r="12513">
      <c r="C12513" s="18" t="n"/>
      <c r="J12513" s="19" t="n"/>
      <c r="P12513" s="20" t="n"/>
      <c r="Q12513" s="19" t="n"/>
      <c r="R12513" s="19" t="n"/>
      <c r="Y12513" s="19" t="n"/>
    </row>
    <row r="12514">
      <c r="C12514" s="18" t="n"/>
      <c r="J12514" s="19" t="n"/>
      <c r="P12514" s="20" t="n"/>
      <c r="Q12514" s="19" t="n"/>
      <c r="R12514" s="19" t="n"/>
      <c r="Y12514" s="19" t="n"/>
    </row>
    <row r="12515">
      <c r="C12515" s="18" t="n"/>
      <c r="J12515" s="19" t="n"/>
      <c r="P12515" s="20" t="n"/>
      <c r="Q12515" s="19" t="n"/>
      <c r="R12515" s="19" t="n"/>
      <c r="Y12515" s="19" t="n"/>
    </row>
    <row r="12516">
      <c r="C12516" s="18" t="n"/>
      <c r="J12516" s="19" t="n"/>
      <c r="P12516" s="20" t="n"/>
      <c r="Q12516" s="19" t="n"/>
      <c r="R12516" s="19" t="n"/>
      <c r="Y12516" s="19" t="n"/>
    </row>
    <row r="12517">
      <c r="C12517" s="18" t="n"/>
      <c r="J12517" s="19" t="n"/>
      <c r="P12517" s="20" t="n"/>
      <c r="Q12517" s="19" t="n"/>
      <c r="R12517" s="19" t="n"/>
      <c r="Y12517" s="19" t="n"/>
    </row>
    <row r="12518">
      <c r="C12518" s="18" t="n"/>
      <c r="J12518" s="19" t="n"/>
      <c r="P12518" s="20" t="n"/>
      <c r="Q12518" s="19" t="n"/>
      <c r="R12518" s="19" t="n"/>
      <c r="Y12518" s="19" t="n"/>
    </row>
    <row r="12519">
      <c r="C12519" s="18" t="n"/>
      <c r="J12519" s="19" t="n"/>
      <c r="P12519" s="20" t="n"/>
      <c r="Q12519" s="19" t="n"/>
      <c r="R12519" s="19" t="n"/>
      <c r="Y12519" s="19" t="n"/>
    </row>
    <row r="12520">
      <c r="C12520" s="18" t="n"/>
      <c r="J12520" s="19" t="n"/>
      <c r="P12520" s="20" t="n"/>
      <c r="Q12520" s="19" t="n"/>
      <c r="R12520" s="19" t="n"/>
      <c r="Y12520" s="19" t="n"/>
    </row>
    <row r="12521">
      <c r="C12521" s="18" t="n"/>
      <c r="J12521" s="19" t="n"/>
      <c r="P12521" s="20" t="n"/>
      <c r="Q12521" s="19" t="n"/>
      <c r="R12521" s="19" t="n"/>
      <c r="Y12521" s="19" t="n"/>
    </row>
    <row r="12522">
      <c r="C12522" s="18" t="n"/>
      <c r="J12522" s="19" t="n"/>
      <c r="P12522" s="20" t="n"/>
      <c r="Q12522" s="19" t="n"/>
      <c r="R12522" s="19" t="n"/>
      <c r="Y12522" s="19" t="n"/>
    </row>
    <row r="12523">
      <c r="C12523" s="18" t="n"/>
      <c r="J12523" s="19" t="n"/>
      <c r="P12523" s="20" t="n"/>
      <c r="Q12523" s="19" t="n"/>
      <c r="R12523" s="19" t="n"/>
      <c r="Y12523" s="19" t="n"/>
    </row>
    <row r="12524">
      <c r="C12524" s="18" t="n"/>
      <c r="J12524" s="19" t="n"/>
      <c r="P12524" s="20" t="n"/>
      <c r="Q12524" s="19" t="n"/>
      <c r="R12524" s="19" t="n"/>
      <c r="Y12524" s="19" t="n"/>
    </row>
    <row r="12525">
      <c r="C12525" s="18" t="n"/>
      <c r="J12525" s="19" t="n"/>
      <c r="P12525" s="20" t="n"/>
      <c r="Q12525" s="19" t="n"/>
      <c r="R12525" s="19" t="n"/>
      <c r="Y12525" s="19" t="n"/>
    </row>
    <row r="12526">
      <c r="C12526" s="18" t="n"/>
      <c r="J12526" s="19" t="n"/>
      <c r="P12526" s="20" t="n"/>
      <c r="Q12526" s="19" t="n"/>
      <c r="R12526" s="19" t="n"/>
      <c r="Y12526" s="19" t="n"/>
    </row>
    <row r="12527">
      <c r="C12527" s="18" t="n"/>
      <c r="J12527" s="19" t="n"/>
      <c r="P12527" s="20" t="n"/>
      <c r="Q12527" s="19" t="n"/>
      <c r="R12527" s="19" t="n"/>
      <c r="Y12527" s="19" t="n"/>
    </row>
    <row r="12528">
      <c r="C12528" s="18" t="n"/>
      <c r="J12528" s="19" t="n"/>
      <c r="P12528" s="20" t="n"/>
      <c r="Q12528" s="19" t="n"/>
      <c r="R12528" s="19" t="n"/>
      <c r="Y12528" s="19" t="n"/>
    </row>
    <row r="12529">
      <c r="C12529" s="18" t="n"/>
      <c r="J12529" s="19" t="n"/>
      <c r="P12529" s="20" t="n"/>
      <c r="Q12529" s="19" t="n"/>
      <c r="R12529" s="19" t="n"/>
      <c r="Y12529" s="19" t="n"/>
    </row>
    <row r="12530">
      <c r="C12530" s="18" t="n"/>
      <c r="J12530" s="19" t="n"/>
      <c r="P12530" s="20" t="n"/>
      <c r="Q12530" s="19" t="n"/>
      <c r="R12530" s="19" t="n"/>
      <c r="Y12530" s="19" t="n"/>
    </row>
    <row r="12531">
      <c r="C12531" s="18" t="n"/>
      <c r="J12531" s="19" t="n"/>
      <c r="P12531" s="20" t="n"/>
      <c r="Q12531" s="19" t="n"/>
      <c r="R12531" s="19" t="n"/>
      <c r="Y12531" s="19" t="n"/>
    </row>
    <row r="12532">
      <c r="C12532" s="18" t="n"/>
      <c r="J12532" s="19" t="n"/>
      <c r="P12532" s="20" t="n"/>
      <c r="Q12532" s="19" t="n"/>
      <c r="R12532" s="19" t="n"/>
      <c r="Y12532" s="19" t="n"/>
    </row>
    <row r="12533">
      <c r="C12533" s="18" t="n"/>
      <c r="J12533" s="19" t="n"/>
      <c r="P12533" s="20" t="n"/>
      <c r="Q12533" s="19" t="n"/>
      <c r="R12533" s="19" t="n"/>
      <c r="Y12533" s="19" t="n"/>
    </row>
    <row r="12534">
      <c r="C12534" s="18" t="n"/>
      <c r="J12534" s="19" t="n"/>
      <c r="P12534" s="20" t="n"/>
      <c r="Q12534" s="19" t="n"/>
      <c r="R12534" s="19" t="n"/>
      <c r="Y12534" s="19" t="n"/>
    </row>
    <row r="12535">
      <c r="C12535" s="18" t="n"/>
      <c r="J12535" s="19" t="n"/>
      <c r="P12535" s="20" t="n"/>
      <c r="Q12535" s="19" t="n"/>
      <c r="R12535" s="19" t="n"/>
      <c r="Y12535" s="19" t="n"/>
    </row>
    <row r="12536">
      <c r="C12536" s="18" t="n"/>
      <c r="J12536" s="19" t="n"/>
      <c r="P12536" s="20" t="n"/>
      <c r="Q12536" s="19" t="n"/>
      <c r="R12536" s="19" t="n"/>
      <c r="Y12536" s="19" t="n"/>
    </row>
    <row r="12537">
      <c r="C12537" s="18" t="n"/>
      <c r="J12537" s="19" t="n"/>
      <c r="P12537" s="20" t="n"/>
      <c r="Q12537" s="19" t="n"/>
      <c r="R12537" s="19" t="n"/>
      <c r="Y12537" s="19" t="n"/>
    </row>
    <row r="12538">
      <c r="C12538" s="18" t="n"/>
      <c r="J12538" s="19" t="n"/>
      <c r="P12538" s="20" t="n"/>
      <c r="Q12538" s="19" t="n"/>
      <c r="R12538" s="19" t="n"/>
      <c r="Y12538" s="19" t="n"/>
    </row>
    <row r="12539">
      <c r="C12539" s="18" t="n"/>
      <c r="J12539" s="19" t="n"/>
      <c r="P12539" s="20" t="n"/>
      <c r="Q12539" s="19" t="n"/>
      <c r="R12539" s="19" t="n"/>
      <c r="Y12539" s="19" t="n"/>
    </row>
    <row r="12540">
      <c r="C12540" s="18" t="n"/>
      <c r="J12540" s="19" t="n"/>
      <c r="P12540" s="20" t="n"/>
      <c r="Q12540" s="19" t="n"/>
      <c r="R12540" s="19" t="n"/>
      <c r="Y12540" s="19" t="n"/>
    </row>
    <row r="12541">
      <c r="C12541" s="18" t="n"/>
      <c r="J12541" s="19" t="n"/>
      <c r="P12541" s="20" t="n"/>
      <c r="Q12541" s="19" t="n"/>
      <c r="R12541" s="19" t="n"/>
      <c r="Y12541" s="19" t="n"/>
    </row>
    <row r="12542">
      <c r="C12542" s="18" t="n"/>
      <c r="J12542" s="19" t="n"/>
      <c r="P12542" s="20" t="n"/>
      <c r="Q12542" s="19" t="n"/>
      <c r="R12542" s="19" t="n"/>
      <c r="Y12542" s="19" t="n"/>
    </row>
    <row r="12543">
      <c r="C12543" s="18" t="n"/>
      <c r="J12543" s="19" t="n"/>
      <c r="P12543" s="20" t="n"/>
      <c r="Q12543" s="19" t="n"/>
      <c r="R12543" s="19" t="n"/>
      <c r="Y12543" s="19" t="n"/>
    </row>
    <row r="12544">
      <c r="C12544" s="18" t="n"/>
      <c r="J12544" s="19" t="n"/>
      <c r="P12544" s="20" t="n"/>
      <c r="Q12544" s="19" t="n"/>
      <c r="R12544" s="19" t="n"/>
      <c r="Y12544" s="19" t="n"/>
    </row>
    <row r="12545">
      <c r="C12545" s="18" t="n"/>
      <c r="J12545" s="19" t="n"/>
      <c r="P12545" s="20" t="n"/>
      <c r="Q12545" s="19" t="n"/>
      <c r="R12545" s="19" t="n"/>
      <c r="Y12545" s="19" t="n"/>
    </row>
    <row r="12546">
      <c r="C12546" s="18" t="n"/>
      <c r="J12546" s="19" t="n"/>
      <c r="P12546" s="20" t="n"/>
      <c r="Q12546" s="19" t="n"/>
      <c r="R12546" s="19" t="n"/>
      <c r="Y12546" s="19" t="n"/>
    </row>
    <row r="12547">
      <c r="C12547" s="18" t="n"/>
      <c r="J12547" s="19" t="n"/>
      <c r="P12547" s="20" t="n"/>
      <c r="Q12547" s="19" t="n"/>
      <c r="R12547" s="19" t="n"/>
      <c r="Y12547" s="19" t="n"/>
    </row>
    <row r="12548">
      <c r="C12548" s="18" t="n"/>
      <c r="J12548" s="19" t="n"/>
      <c r="P12548" s="20" t="n"/>
      <c r="Q12548" s="19" t="n"/>
      <c r="R12548" s="19" t="n"/>
      <c r="Y12548" s="19" t="n"/>
    </row>
    <row r="12549">
      <c r="C12549" s="18" t="n"/>
      <c r="J12549" s="19" t="n"/>
      <c r="P12549" s="20" t="n"/>
      <c r="Q12549" s="19" t="n"/>
      <c r="R12549" s="19" t="n"/>
      <c r="Y12549" s="19" t="n"/>
    </row>
    <row r="12550">
      <c r="C12550" s="18" t="n"/>
      <c r="J12550" s="19" t="n"/>
      <c r="P12550" s="20" t="n"/>
      <c r="Q12550" s="19" t="n"/>
      <c r="R12550" s="19" t="n"/>
      <c r="Y12550" s="19" t="n"/>
    </row>
    <row r="12551">
      <c r="C12551" s="18" t="n"/>
      <c r="J12551" s="19" t="n"/>
      <c r="P12551" s="20" t="n"/>
      <c r="Q12551" s="19" t="n"/>
      <c r="R12551" s="19" t="n"/>
      <c r="Y12551" s="19" t="n"/>
    </row>
    <row r="12552">
      <c r="C12552" s="18" t="n"/>
      <c r="J12552" s="19" t="n"/>
      <c r="P12552" s="20" t="n"/>
      <c r="Q12552" s="19" t="n"/>
      <c r="R12552" s="19" t="n"/>
      <c r="Y12552" s="19" t="n"/>
    </row>
    <row r="12553">
      <c r="C12553" s="18" t="n"/>
      <c r="J12553" s="19" t="n"/>
      <c r="P12553" s="20" t="n"/>
      <c r="Q12553" s="19" t="n"/>
      <c r="R12553" s="19" t="n"/>
      <c r="Y12553" s="19" t="n"/>
    </row>
    <row r="12554">
      <c r="C12554" s="18" t="n"/>
      <c r="J12554" s="19" t="n"/>
      <c r="P12554" s="20" t="n"/>
      <c r="Q12554" s="19" t="n"/>
      <c r="R12554" s="19" t="n"/>
      <c r="Y12554" s="19" t="n"/>
    </row>
    <row r="12555">
      <c r="C12555" s="18" t="n"/>
      <c r="J12555" s="19" t="n"/>
      <c r="P12555" s="20" t="n"/>
      <c r="Q12555" s="19" t="n"/>
      <c r="R12555" s="19" t="n"/>
      <c r="Y12555" s="19" t="n"/>
    </row>
    <row r="12556">
      <c r="C12556" s="18" t="n"/>
      <c r="J12556" s="19" t="n"/>
      <c r="P12556" s="20" t="n"/>
      <c r="Q12556" s="19" t="n"/>
      <c r="R12556" s="19" t="n"/>
      <c r="Y12556" s="19" t="n"/>
    </row>
    <row r="12557">
      <c r="C12557" s="18" t="n"/>
      <c r="J12557" s="19" t="n"/>
      <c r="P12557" s="20" t="n"/>
      <c r="Q12557" s="19" t="n"/>
      <c r="R12557" s="19" t="n"/>
      <c r="Y12557" s="19" t="n"/>
    </row>
    <row r="12558">
      <c r="C12558" s="18" t="n"/>
      <c r="J12558" s="19" t="n"/>
      <c r="P12558" s="20" t="n"/>
      <c r="Q12558" s="19" t="n"/>
      <c r="R12558" s="19" t="n"/>
      <c r="Y12558" s="19" t="n"/>
    </row>
    <row r="12559">
      <c r="C12559" s="18" t="n"/>
      <c r="J12559" s="19" t="n"/>
      <c r="P12559" s="20" t="n"/>
      <c r="Q12559" s="19" t="n"/>
      <c r="R12559" s="19" t="n"/>
      <c r="Y12559" s="19" t="n"/>
    </row>
    <row r="12560">
      <c r="C12560" s="18" t="n"/>
      <c r="J12560" s="19" t="n"/>
      <c r="P12560" s="20" t="n"/>
      <c r="Q12560" s="19" t="n"/>
      <c r="R12560" s="19" t="n"/>
      <c r="Y12560" s="19" t="n"/>
    </row>
    <row r="12561">
      <c r="C12561" s="18" t="n"/>
      <c r="J12561" s="19" t="n"/>
      <c r="P12561" s="20" t="n"/>
      <c r="Q12561" s="19" t="n"/>
      <c r="R12561" s="19" t="n"/>
      <c r="Y12561" s="19" t="n"/>
    </row>
    <row r="12562">
      <c r="C12562" s="18" t="n"/>
      <c r="J12562" s="19" t="n"/>
      <c r="P12562" s="20" t="n"/>
      <c r="Q12562" s="19" t="n"/>
      <c r="R12562" s="19" t="n"/>
      <c r="Y12562" s="19" t="n"/>
    </row>
    <row r="12563">
      <c r="C12563" s="18" t="n"/>
      <c r="J12563" s="19" t="n"/>
      <c r="P12563" s="20" t="n"/>
      <c r="Q12563" s="19" t="n"/>
      <c r="R12563" s="19" t="n"/>
      <c r="Y12563" s="19" t="n"/>
    </row>
    <row r="12564">
      <c r="C12564" s="18" t="n"/>
      <c r="J12564" s="19" t="n"/>
      <c r="P12564" s="20" t="n"/>
      <c r="Q12564" s="19" t="n"/>
      <c r="R12564" s="19" t="n"/>
      <c r="Y12564" s="19" t="n"/>
    </row>
    <row r="12565">
      <c r="C12565" s="18" t="n"/>
      <c r="J12565" s="19" t="n"/>
      <c r="P12565" s="20" t="n"/>
      <c r="Q12565" s="19" t="n"/>
      <c r="R12565" s="19" t="n"/>
      <c r="Y12565" s="19" t="n"/>
    </row>
    <row r="12566">
      <c r="C12566" s="18" t="n"/>
      <c r="J12566" s="19" t="n"/>
      <c r="P12566" s="20" t="n"/>
      <c r="Q12566" s="19" t="n"/>
      <c r="R12566" s="19" t="n"/>
      <c r="Y12566" s="19" t="n"/>
    </row>
    <row r="12567">
      <c r="C12567" s="18" t="n"/>
      <c r="J12567" s="19" t="n"/>
      <c r="P12567" s="20" t="n"/>
      <c r="Q12567" s="19" t="n"/>
      <c r="R12567" s="19" t="n"/>
      <c r="Y12567" s="19" t="n"/>
    </row>
    <row r="12568">
      <c r="C12568" s="18" t="n"/>
      <c r="J12568" s="19" t="n"/>
      <c r="P12568" s="20" t="n"/>
      <c r="Q12568" s="19" t="n"/>
      <c r="R12568" s="19" t="n"/>
      <c r="Y12568" s="19" t="n"/>
    </row>
    <row r="12569">
      <c r="C12569" s="18" t="n"/>
      <c r="J12569" s="19" t="n"/>
      <c r="P12569" s="20" t="n"/>
      <c r="Q12569" s="19" t="n"/>
      <c r="R12569" s="19" t="n"/>
      <c r="Y12569" s="19" t="n"/>
    </row>
    <row r="12570">
      <c r="C12570" s="18" t="n"/>
      <c r="J12570" s="19" t="n"/>
      <c r="P12570" s="20" t="n"/>
      <c r="Q12570" s="19" t="n"/>
      <c r="R12570" s="19" t="n"/>
      <c r="Y12570" s="19" t="n"/>
    </row>
    <row r="12571">
      <c r="C12571" s="18" t="n"/>
      <c r="J12571" s="19" t="n"/>
      <c r="P12571" s="20" t="n"/>
      <c r="Q12571" s="19" t="n"/>
      <c r="R12571" s="19" t="n"/>
      <c r="Y12571" s="19" t="n"/>
    </row>
    <row r="12572">
      <c r="C12572" s="18" t="n"/>
      <c r="J12572" s="19" t="n"/>
      <c r="P12572" s="20" t="n"/>
      <c r="Q12572" s="19" t="n"/>
      <c r="R12572" s="19" t="n"/>
      <c r="Y12572" s="19" t="n"/>
    </row>
    <row r="12573">
      <c r="C12573" s="18" t="n"/>
      <c r="J12573" s="19" t="n"/>
      <c r="P12573" s="20" t="n"/>
      <c r="Q12573" s="19" t="n"/>
      <c r="R12573" s="19" t="n"/>
      <c r="Y12573" s="19" t="n"/>
    </row>
    <row r="12574">
      <c r="C12574" s="18" t="n"/>
      <c r="J12574" s="19" t="n"/>
      <c r="P12574" s="20" t="n"/>
      <c r="Q12574" s="19" t="n"/>
      <c r="R12574" s="19" t="n"/>
      <c r="Y12574" s="19" t="n"/>
    </row>
    <row r="12575">
      <c r="C12575" s="18" t="n"/>
      <c r="J12575" s="19" t="n"/>
      <c r="P12575" s="20" t="n"/>
      <c r="Q12575" s="19" t="n"/>
      <c r="R12575" s="19" t="n"/>
      <c r="Y12575" s="19" t="n"/>
    </row>
    <row r="12576">
      <c r="C12576" s="18" t="n"/>
      <c r="J12576" s="19" t="n"/>
      <c r="P12576" s="20" t="n"/>
      <c r="Q12576" s="19" t="n"/>
      <c r="R12576" s="19" t="n"/>
      <c r="Y12576" s="19" t="n"/>
    </row>
    <row r="12577">
      <c r="C12577" s="18" t="n"/>
      <c r="J12577" s="19" t="n"/>
      <c r="P12577" s="20" t="n"/>
      <c r="Q12577" s="19" t="n"/>
      <c r="R12577" s="19" t="n"/>
      <c r="Y12577" s="19" t="n"/>
    </row>
    <row r="12578">
      <c r="C12578" s="18" t="n"/>
      <c r="J12578" s="19" t="n"/>
      <c r="P12578" s="20" t="n"/>
      <c r="Q12578" s="19" t="n"/>
      <c r="R12578" s="19" t="n"/>
      <c r="Y12578" s="19" t="n"/>
    </row>
    <row r="12579">
      <c r="C12579" s="18" t="n"/>
      <c r="J12579" s="19" t="n"/>
      <c r="P12579" s="20" t="n"/>
      <c r="Q12579" s="19" t="n"/>
      <c r="R12579" s="19" t="n"/>
      <c r="Y12579" s="19" t="n"/>
    </row>
    <row r="12580">
      <c r="C12580" s="18" t="n"/>
      <c r="J12580" s="19" t="n"/>
      <c r="P12580" s="20" t="n"/>
      <c r="Q12580" s="19" t="n"/>
      <c r="R12580" s="19" t="n"/>
      <c r="Y12580" s="19" t="n"/>
    </row>
    <row r="12581">
      <c r="C12581" s="18" t="n"/>
      <c r="J12581" s="19" t="n"/>
      <c r="P12581" s="20" t="n"/>
      <c r="Q12581" s="19" t="n"/>
      <c r="R12581" s="19" t="n"/>
      <c r="Y12581" s="19" t="n"/>
    </row>
    <row r="12582">
      <c r="C12582" s="18" t="n"/>
      <c r="J12582" s="19" t="n"/>
      <c r="P12582" s="20" t="n"/>
      <c r="Q12582" s="19" t="n"/>
      <c r="R12582" s="19" t="n"/>
      <c r="Y12582" s="19" t="n"/>
    </row>
    <row r="12583">
      <c r="C12583" s="18" t="n"/>
      <c r="J12583" s="19" t="n"/>
      <c r="P12583" s="20" t="n"/>
      <c r="Q12583" s="19" t="n"/>
      <c r="R12583" s="19" t="n"/>
      <c r="Y12583" s="19" t="n"/>
    </row>
    <row r="12584">
      <c r="C12584" s="18" t="n"/>
      <c r="J12584" s="19" t="n"/>
      <c r="P12584" s="20" t="n"/>
      <c r="Q12584" s="19" t="n"/>
      <c r="R12584" s="19" t="n"/>
      <c r="Y12584" s="19" t="n"/>
    </row>
    <row r="12585">
      <c r="C12585" s="18" t="n"/>
      <c r="J12585" s="19" t="n"/>
      <c r="P12585" s="20" t="n"/>
      <c r="Q12585" s="19" t="n"/>
      <c r="R12585" s="19" t="n"/>
      <c r="Y12585" s="19" t="n"/>
    </row>
    <row r="12586">
      <c r="C12586" s="18" t="n"/>
      <c r="J12586" s="19" t="n"/>
      <c r="P12586" s="20" t="n"/>
      <c r="Q12586" s="19" t="n"/>
      <c r="R12586" s="19" t="n"/>
      <c r="Y12586" s="19" t="n"/>
    </row>
    <row r="12587">
      <c r="C12587" s="18" t="n"/>
      <c r="J12587" s="19" t="n"/>
      <c r="P12587" s="20" t="n"/>
      <c r="Q12587" s="19" t="n"/>
      <c r="R12587" s="19" t="n"/>
      <c r="Y12587" s="19" t="n"/>
    </row>
    <row r="12588">
      <c r="C12588" s="18" t="n"/>
      <c r="J12588" s="19" t="n"/>
      <c r="P12588" s="20" t="n"/>
      <c r="Q12588" s="19" t="n"/>
      <c r="R12588" s="19" t="n"/>
      <c r="Y12588" s="19" t="n"/>
    </row>
    <row r="12589">
      <c r="C12589" s="18" t="n"/>
      <c r="J12589" s="19" t="n"/>
      <c r="P12589" s="20" t="n"/>
      <c r="Q12589" s="19" t="n"/>
      <c r="R12589" s="19" t="n"/>
      <c r="Y12589" s="19" t="n"/>
    </row>
    <row r="12590">
      <c r="C12590" s="18" t="n"/>
      <c r="J12590" s="19" t="n"/>
      <c r="P12590" s="20" t="n"/>
      <c r="Q12590" s="19" t="n"/>
      <c r="R12590" s="19" t="n"/>
      <c r="Y12590" s="19" t="n"/>
    </row>
    <row r="12591">
      <c r="C12591" s="18" t="n"/>
      <c r="J12591" s="19" t="n"/>
      <c r="P12591" s="20" t="n"/>
      <c r="Q12591" s="19" t="n"/>
      <c r="R12591" s="19" t="n"/>
      <c r="Y12591" s="19" t="n"/>
    </row>
    <row r="12592">
      <c r="C12592" s="18" t="n"/>
      <c r="J12592" s="19" t="n"/>
      <c r="P12592" s="20" t="n"/>
      <c r="Q12592" s="19" t="n"/>
      <c r="R12592" s="19" t="n"/>
      <c r="Y12592" s="19" t="n"/>
    </row>
    <row r="12593">
      <c r="C12593" s="18" t="n"/>
      <c r="J12593" s="19" t="n"/>
      <c r="P12593" s="20" t="n"/>
      <c r="Q12593" s="19" t="n"/>
      <c r="R12593" s="19" t="n"/>
      <c r="Y12593" s="19" t="n"/>
    </row>
    <row r="12594">
      <c r="C12594" s="18" t="n"/>
      <c r="J12594" s="19" t="n"/>
      <c r="P12594" s="20" t="n"/>
      <c r="Q12594" s="19" t="n"/>
      <c r="R12594" s="19" t="n"/>
      <c r="Y12594" s="19" t="n"/>
    </row>
    <row r="12595">
      <c r="C12595" s="18" t="n"/>
      <c r="J12595" s="19" t="n"/>
      <c r="P12595" s="20" t="n"/>
      <c r="Q12595" s="19" t="n"/>
      <c r="R12595" s="19" t="n"/>
      <c r="Y12595" s="19" t="n"/>
    </row>
    <row r="12596">
      <c r="C12596" s="18" t="n"/>
      <c r="J12596" s="19" t="n"/>
      <c r="P12596" s="20" t="n"/>
      <c r="Q12596" s="19" t="n"/>
      <c r="R12596" s="19" t="n"/>
      <c r="Y12596" s="19" t="n"/>
    </row>
    <row r="12597">
      <c r="C12597" s="18" t="n"/>
      <c r="J12597" s="19" t="n"/>
      <c r="P12597" s="20" t="n"/>
      <c r="Q12597" s="19" t="n"/>
      <c r="R12597" s="19" t="n"/>
      <c r="Y12597" s="19" t="n"/>
    </row>
    <row r="12598">
      <c r="C12598" s="18" t="n"/>
      <c r="J12598" s="19" t="n"/>
      <c r="P12598" s="20" t="n"/>
      <c r="Q12598" s="19" t="n"/>
      <c r="R12598" s="19" t="n"/>
      <c r="Y12598" s="19" t="n"/>
    </row>
    <row r="12599">
      <c r="C12599" s="18" t="n"/>
      <c r="J12599" s="19" t="n"/>
      <c r="P12599" s="20" t="n"/>
      <c r="Q12599" s="19" t="n"/>
      <c r="R12599" s="19" t="n"/>
      <c r="Y12599" s="19" t="n"/>
    </row>
    <row r="12600">
      <c r="C12600" s="18" t="n"/>
      <c r="J12600" s="19" t="n"/>
      <c r="P12600" s="20" t="n"/>
      <c r="Q12600" s="19" t="n"/>
      <c r="R12600" s="19" t="n"/>
      <c r="Y12600" s="19" t="n"/>
    </row>
    <row r="12601">
      <c r="C12601" s="18" t="n"/>
      <c r="J12601" s="19" t="n"/>
      <c r="P12601" s="20" t="n"/>
      <c r="Q12601" s="19" t="n"/>
      <c r="R12601" s="19" t="n"/>
      <c r="Y12601" s="19" t="n"/>
    </row>
    <row r="12602">
      <c r="C12602" s="18" t="n"/>
      <c r="J12602" s="19" t="n"/>
      <c r="P12602" s="20" t="n"/>
      <c r="Q12602" s="19" t="n"/>
      <c r="R12602" s="19" t="n"/>
      <c r="Y12602" s="19" t="n"/>
    </row>
    <row r="12603">
      <c r="C12603" s="18" t="n"/>
      <c r="J12603" s="19" t="n"/>
      <c r="P12603" s="20" t="n"/>
      <c r="Q12603" s="19" t="n"/>
      <c r="R12603" s="19" t="n"/>
      <c r="Y12603" s="19" t="n"/>
    </row>
    <row r="12604">
      <c r="C12604" s="18" t="n"/>
      <c r="J12604" s="19" t="n"/>
      <c r="P12604" s="20" t="n"/>
      <c r="Q12604" s="19" t="n"/>
      <c r="R12604" s="19" t="n"/>
      <c r="Y12604" s="19" t="n"/>
    </row>
    <row r="12605">
      <c r="C12605" s="18" t="n"/>
      <c r="J12605" s="19" t="n"/>
      <c r="P12605" s="20" t="n"/>
      <c r="Q12605" s="19" t="n"/>
      <c r="R12605" s="19" t="n"/>
      <c r="Y12605" s="19" t="n"/>
    </row>
    <row r="12606">
      <c r="C12606" s="18" t="n"/>
      <c r="J12606" s="19" t="n"/>
      <c r="P12606" s="20" t="n"/>
      <c r="Q12606" s="19" t="n"/>
      <c r="R12606" s="19" t="n"/>
      <c r="Y12606" s="19" t="n"/>
    </row>
    <row r="12607">
      <c r="C12607" s="18" t="n"/>
      <c r="J12607" s="19" t="n"/>
      <c r="P12607" s="20" t="n"/>
      <c r="Q12607" s="19" t="n"/>
      <c r="R12607" s="19" t="n"/>
      <c r="Y12607" s="19" t="n"/>
    </row>
    <row r="12608">
      <c r="C12608" s="18" t="n"/>
      <c r="J12608" s="19" t="n"/>
      <c r="P12608" s="20" t="n"/>
      <c r="Q12608" s="19" t="n"/>
      <c r="R12608" s="19" t="n"/>
      <c r="Y12608" s="19" t="n"/>
    </row>
    <row r="12609">
      <c r="C12609" s="18" t="n"/>
      <c r="J12609" s="19" t="n"/>
      <c r="P12609" s="20" t="n"/>
      <c r="Q12609" s="19" t="n"/>
      <c r="R12609" s="19" t="n"/>
      <c r="Y12609" s="19" t="n"/>
    </row>
    <row r="12610">
      <c r="C12610" s="18" t="n"/>
      <c r="J12610" s="19" t="n"/>
      <c r="P12610" s="20" t="n"/>
      <c r="Q12610" s="19" t="n"/>
      <c r="R12610" s="19" t="n"/>
      <c r="Y12610" s="19" t="n"/>
    </row>
    <row r="12611">
      <c r="C12611" s="18" t="n"/>
      <c r="J12611" s="19" t="n"/>
      <c r="P12611" s="20" t="n"/>
      <c r="Q12611" s="19" t="n"/>
      <c r="R12611" s="19" t="n"/>
      <c r="Y12611" s="19" t="n"/>
    </row>
    <row r="12612">
      <c r="C12612" s="18" t="n"/>
      <c r="J12612" s="19" t="n"/>
      <c r="P12612" s="20" t="n"/>
      <c r="Q12612" s="19" t="n"/>
      <c r="R12612" s="19" t="n"/>
      <c r="Y12612" s="19" t="n"/>
    </row>
    <row r="12613">
      <c r="C12613" s="18" t="n"/>
      <c r="J12613" s="19" t="n"/>
      <c r="P12613" s="20" t="n"/>
      <c r="Q12613" s="19" t="n"/>
      <c r="R12613" s="19" t="n"/>
      <c r="Y12613" s="19" t="n"/>
    </row>
    <row r="12614">
      <c r="C12614" s="18" t="n"/>
      <c r="J12614" s="19" t="n"/>
      <c r="P12614" s="20" t="n"/>
      <c r="Q12614" s="19" t="n"/>
      <c r="R12614" s="19" t="n"/>
      <c r="Y12614" s="19" t="n"/>
    </row>
    <row r="12615">
      <c r="C12615" s="18" t="n"/>
      <c r="J12615" s="19" t="n"/>
      <c r="P12615" s="20" t="n"/>
      <c r="Q12615" s="19" t="n"/>
      <c r="R12615" s="19" t="n"/>
      <c r="Y12615" s="19" t="n"/>
    </row>
    <row r="12616">
      <c r="C12616" s="18" t="n"/>
      <c r="J12616" s="19" t="n"/>
      <c r="P12616" s="20" t="n"/>
      <c r="Q12616" s="19" t="n"/>
      <c r="R12616" s="19" t="n"/>
      <c r="Y12616" s="19" t="n"/>
    </row>
    <row r="12617">
      <c r="C12617" s="18" t="n"/>
      <c r="J12617" s="19" t="n"/>
      <c r="P12617" s="20" t="n"/>
      <c r="Q12617" s="19" t="n"/>
      <c r="R12617" s="19" t="n"/>
      <c r="Y12617" s="19" t="n"/>
    </row>
    <row r="12618">
      <c r="C12618" s="18" t="n"/>
      <c r="J12618" s="19" t="n"/>
      <c r="P12618" s="20" t="n"/>
      <c r="Q12618" s="19" t="n"/>
      <c r="R12618" s="19" t="n"/>
      <c r="Y12618" s="19" t="n"/>
    </row>
    <row r="12619">
      <c r="C12619" s="18" t="n"/>
      <c r="J12619" s="19" t="n"/>
      <c r="P12619" s="20" t="n"/>
      <c r="Q12619" s="19" t="n"/>
      <c r="R12619" s="19" t="n"/>
      <c r="Y12619" s="19" t="n"/>
    </row>
    <row r="12620">
      <c r="C12620" s="18" t="n"/>
      <c r="J12620" s="19" t="n"/>
      <c r="P12620" s="20" t="n"/>
      <c r="Q12620" s="19" t="n"/>
      <c r="R12620" s="19" t="n"/>
      <c r="Y12620" s="19" t="n"/>
    </row>
    <row r="12621">
      <c r="C12621" s="18" t="n"/>
      <c r="J12621" s="19" t="n"/>
      <c r="P12621" s="20" t="n"/>
      <c r="Q12621" s="19" t="n"/>
      <c r="R12621" s="19" t="n"/>
      <c r="Y12621" s="19" t="n"/>
    </row>
    <row r="12622">
      <c r="C12622" s="18" t="n"/>
      <c r="J12622" s="19" t="n"/>
      <c r="P12622" s="20" t="n"/>
      <c r="Q12622" s="19" t="n"/>
      <c r="R12622" s="19" t="n"/>
      <c r="Y12622" s="19" t="n"/>
    </row>
    <row r="12623">
      <c r="C12623" s="18" t="n"/>
      <c r="J12623" s="19" t="n"/>
      <c r="P12623" s="20" t="n"/>
      <c r="Q12623" s="19" t="n"/>
      <c r="R12623" s="19" t="n"/>
      <c r="Y12623" s="19" t="n"/>
    </row>
    <row r="12624">
      <c r="C12624" s="18" t="n"/>
      <c r="J12624" s="19" t="n"/>
      <c r="P12624" s="20" t="n"/>
      <c r="Q12624" s="19" t="n"/>
      <c r="R12624" s="19" t="n"/>
      <c r="Y12624" s="19" t="n"/>
    </row>
    <row r="12625">
      <c r="C12625" s="18" t="n"/>
      <c r="J12625" s="19" t="n"/>
      <c r="P12625" s="20" t="n"/>
      <c r="Q12625" s="19" t="n"/>
      <c r="R12625" s="19" t="n"/>
      <c r="Y12625" s="19" t="n"/>
    </row>
    <row r="12626">
      <c r="C12626" s="18" t="n"/>
      <c r="J12626" s="19" t="n"/>
      <c r="P12626" s="20" t="n"/>
      <c r="Q12626" s="19" t="n"/>
      <c r="R12626" s="19" t="n"/>
      <c r="Y12626" s="19" t="n"/>
    </row>
    <row r="12627">
      <c r="C12627" s="18" t="n"/>
      <c r="J12627" s="19" t="n"/>
      <c r="P12627" s="20" t="n"/>
      <c r="Q12627" s="19" t="n"/>
      <c r="R12627" s="19" t="n"/>
      <c r="Y12627" s="19" t="n"/>
    </row>
    <row r="12628">
      <c r="C12628" s="18" t="n"/>
      <c r="J12628" s="19" t="n"/>
      <c r="P12628" s="20" t="n"/>
      <c r="Q12628" s="19" t="n"/>
      <c r="R12628" s="19" t="n"/>
      <c r="Y12628" s="19" t="n"/>
    </row>
    <row r="12629">
      <c r="C12629" s="18" t="n"/>
      <c r="J12629" s="19" t="n"/>
      <c r="P12629" s="20" t="n"/>
      <c r="Q12629" s="19" t="n"/>
      <c r="R12629" s="19" t="n"/>
      <c r="Y12629" s="19" t="n"/>
    </row>
    <row r="12630">
      <c r="C12630" s="18" t="n"/>
      <c r="J12630" s="19" t="n"/>
      <c r="P12630" s="20" t="n"/>
      <c r="Q12630" s="19" t="n"/>
      <c r="R12630" s="19" t="n"/>
      <c r="Y12630" s="19" t="n"/>
    </row>
    <row r="12631">
      <c r="C12631" s="18" t="n"/>
      <c r="J12631" s="19" t="n"/>
      <c r="P12631" s="20" t="n"/>
      <c r="Q12631" s="19" t="n"/>
      <c r="R12631" s="19" t="n"/>
      <c r="Y12631" s="19" t="n"/>
    </row>
    <row r="12632">
      <c r="C12632" s="18" t="n"/>
      <c r="J12632" s="19" t="n"/>
      <c r="P12632" s="20" t="n"/>
      <c r="Q12632" s="19" t="n"/>
      <c r="R12632" s="19" t="n"/>
      <c r="Y12632" s="19" t="n"/>
    </row>
    <row r="12633">
      <c r="C12633" s="18" t="n"/>
      <c r="J12633" s="19" t="n"/>
      <c r="P12633" s="20" t="n"/>
      <c r="Q12633" s="19" t="n"/>
      <c r="R12633" s="19" t="n"/>
      <c r="Y12633" s="19" t="n"/>
    </row>
    <row r="12634">
      <c r="C12634" s="18" t="n"/>
      <c r="J12634" s="19" t="n"/>
      <c r="P12634" s="20" t="n"/>
      <c r="Q12634" s="19" t="n"/>
      <c r="R12634" s="19" t="n"/>
      <c r="Y12634" s="19" t="n"/>
    </row>
    <row r="12635">
      <c r="C12635" s="18" t="n"/>
      <c r="J12635" s="19" t="n"/>
      <c r="P12635" s="20" t="n"/>
      <c r="Q12635" s="19" t="n"/>
      <c r="R12635" s="19" t="n"/>
      <c r="Y12635" s="19" t="n"/>
    </row>
    <row r="12636">
      <c r="C12636" s="18" t="n"/>
      <c r="J12636" s="19" t="n"/>
      <c r="P12636" s="20" t="n"/>
      <c r="Q12636" s="19" t="n"/>
      <c r="R12636" s="19" t="n"/>
      <c r="Y12636" s="19" t="n"/>
    </row>
    <row r="12637">
      <c r="C12637" s="18" t="n"/>
      <c r="J12637" s="19" t="n"/>
      <c r="P12637" s="20" t="n"/>
      <c r="Q12637" s="19" t="n"/>
      <c r="R12637" s="19" t="n"/>
      <c r="Y12637" s="19" t="n"/>
    </row>
    <row r="12638">
      <c r="C12638" s="18" t="n"/>
      <c r="J12638" s="19" t="n"/>
      <c r="P12638" s="20" t="n"/>
      <c r="Q12638" s="19" t="n"/>
      <c r="R12638" s="19" t="n"/>
      <c r="Y12638" s="19" t="n"/>
    </row>
    <row r="12639">
      <c r="C12639" s="18" t="n"/>
      <c r="J12639" s="19" t="n"/>
      <c r="P12639" s="20" t="n"/>
      <c r="Q12639" s="19" t="n"/>
      <c r="R12639" s="19" t="n"/>
      <c r="Y12639" s="19" t="n"/>
    </row>
    <row r="12640">
      <c r="C12640" s="18" t="n"/>
      <c r="J12640" s="19" t="n"/>
      <c r="P12640" s="20" t="n"/>
      <c r="Q12640" s="19" t="n"/>
      <c r="R12640" s="19" t="n"/>
      <c r="Y12640" s="19" t="n"/>
    </row>
    <row r="12641">
      <c r="C12641" s="18" t="n"/>
      <c r="J12641" s="19" t="n"/>
      <c r="P12641" s="20" t="n"/>
      <c r="Q12641" s="19" t="n"/>
      <c r="R12641" s="19" t="n"/>
      <c r="Y12641" s="19" t="n"/>
    </row>
    <row r="12642">
      <c r="C12642" s="18" t="n"/>
      <c r="J12642" s="19" t="n"/>
      <c r="P12642" s="20" t="n"/>
      <c r="Q12642" s="19" t="n"/>
      <c r="R12642" s="19" t="n"/>
      <c r="Y12642" s="19" t="n"/>
    </row>
    <row r="12643">
      <c r="C12643" s="18" t="n"/>
      <c r="J12643" s="19" t="n"/>
      <c r="P12643" s="20" t="n"/>
      <c r="Q12643" s="19" t="n"/>
      <c r="R12643" s="19" t="n"/>
      <c r="Y12643" s="19" t="n"/>
    </row>
    <row r="12644">
      <c r="C12644" s="18" t="n"/>
      <c r="J12644" s="19" t="n"/>
      <c r="P12644" s="20" t="n"/>
      <c r="Q12644" s="19" t="n"/>
      <c r="R12644" s="19" t="n"/>
      <c r="Y12644" s="19" t="n"/>
    </row>
    <row r="12645">
      <c r="C12645" s="18" t="n"/>
      <c r="J12645" s="19" t="n"/>
      <c r="P12645" s="20" t="n"/>
      <c r="Q12645" s="19" t="n"/>
      <c r="R12645" s="19" t="n"/>
      <c r="Y12645" s="19" t="n"/>
    </row>
    <row r="12646">
      <c r="C12646" s="18" t="n"/>
      <c r="J12646" s="19" t="n"/>
      <c r="P12646" s="20" t="n"/>
      <c r="Q12646" s="19" t="n"/>
      <c r="R12646" s="19" t="n"/>
      <c r="Y12646" s="19" t="n"/>
    </row>
    <row r="12647">
      <c r="C12647" s="18" t="n"/>
      <c r="J12647" s="19" t="n"/>
      <c r="P12647" s="20" t="n"/>
      <c r="Q12647" s="19" t="n"/>
      <c r="R12647" s="19" t="n"/>
      <c r="Y12647" s="19" t="n"/>
    </row>
    <row r="12648">
      <c r="C12648" s="18" t="n"/>
      <c r="J12648" s="19" t="n"/>
      <c r="P12648" s="20" t="n"/>
      <c r="Q12648" s="19" t="n"/>
      <c r="R12648" s="19" t="n"/>
      <c r="Y12648" s="19" t="n"/>
    </row>
    <row r="12649">
      <c r="C12649" s="18" t="n"/>
      <c r="J12649" s="19" t="n"/>
      <c r="P12649" s="20" t="n"/>
      <c r="Q12649" s="19" t="n"/>
      <c r="R12649" s="19" t="n"/>
      <c r="Y12649" s="19" t="n"/>
    </row>
    <row r="12650">
      <c r="C12650" s="18" t="n"/>
      <c r="J12650" s="19" t="n"/>
      <c r="P12650" s="20" t="n"/>
      <c r="Q12650" s="19" t="n"/>
      <c r="R12650" s="19" t="n"/>
      <c r="Y12650" s="19" t="n"/>
    </row>
    <row r="12651">
      <c r="C12651" s="18" t="n"/>
      <c r="J12651" s="19" t="n"/>
      <c r="P12651" s="20" t="n"/>
      <c r="Q12651" s="19" t="n"/>
      <c r="R12651" s="19" t="n"/>
      <c r="Y12651" s="19" t="n"/>
    </row>
    <row r="12652">
      <c r="C12652" s="18" t="n"/>
      <c r="J12652" s="19" t="n"/>
      <c r="P12652" s="20" t="n"/>
      <c r="Q12652" s="19" t="n"/>
      <c r="R12652" s="19" t="n"/>
      <c r="Y12652" s="19" t="n"/>
    </row>
    <row r="12653">
      <c r="C12653" s="18" t="n"/>
      <c r="J12653" s="19" t="n"/>
      <c r="P12653" s="20" t="n"/>
      <c r="Q12653" s="19" t="n"/>
      <c r="R12653" s="19" t="n"/>
      <c r="Y12653" s="19" t="n"/>
    </row>
    <row r="12654">
      <c r="C12654" s="18" t="n"/>
      <c r="J12654" s="19" t="n"/>
      <c r="P12654" s="20" t="n"/>
      <c r="Q12654" s="19" t="n"/>
      <c r="R12654" s="19" t="n"/>
      <c r="Y12654" s="19" t="n"/>
    </row>
    <row r="12655">
      <c r="C12655" s="18" t="n"/>
      <c r="J12655" s="19" t="n"/>
      <c r="P12655" s="20" t="n"/>
      <c r="Q12655" s="19" t="n"/>
      <c r="R12655" s="19" t="n"/>
      <c r="Y12655" s="19" t="n"/>
    </row>
    <row r="12656">
      <c r="C12656" s="18" t="n"/>
      <c r="J12656" s="19" t="n"/>
      <c r="P12656" s="20" t="n"/>
      <c r="Q12656" s="19" t="n"/>
      <c r="R12656" s="19" t="n"/>
      <c r="Y12656" s="19" t="n"/>
    </row>
    <row r="12657">
      <c r="C12657" s="18" t="n"/>
      <c r="J12657" s="19" t="n"/>
      <c r="P12657" s="20" t="n"/>
      <c r="Q12657" s="19" t="n"/>
      <c r="R12657" s="19" t="n"/>
      <c r="Y12657" s="19" t="n"/>
    </row>
    <row r="12658">
      <c r="C12658" s="18" t="n"/>
      <c r="J12658" s="19" t="n"/>
      <c r="P12658" s="20" t="n"/>
      <c r="Q12658" s="19" t="n"/>
      <c r="R12658" s="19" t="n"/>
      <c r="Y12658" s="19" t="n"/>
    </row>
    <row r="12659">
      <c r="C12659" s="18" t="n"/>
      <c r="J12659" s="19" t="n"/>
      <c r="P12659" s="20" t="n"/>
      <c r="Q12659" s="19" t="n"/>
      <c r="R12659" s="19" t="n"/>
      <c r="Y12659" s="19" t="n"/>
    </row>
    <row r="12660">
      <c r="C12660" s="18" t="n"/>
      <c r="J12660" s="19" t="n"/>
      <c r="P12660" s="20" t="n"/>
      <c r="Q12660" s="19" t="n"/>
      <c r="R12660" s="19" t="n"/>
      <c r="Y12660" s="19" t="n"/>
    </row>
    <row r="12661">
      <c r="C12661" s="18" t="n"/>
      <c r="J12661" s="19" t="n"/>
      <c r="P12661" s="20" t="n"/>
      <c r="Q12661" s="19" t="n"/>
      <c r="R12661" s="19" t="n"/>
      <c r="Y12661" s="19" t="n"/>
    </row>
    <row r="12662">
      <c r="C12662" s="18" t="n"/>
      <c r="J12662" s="19" t="n"/>
      <c r="P12662" s="20" t="n"/>
      <c r="Q12662" s="19" t="n"/>
      <c r="R12662" s="19" t="n"/>
      <c r="Y12662" s="19" t="n"/>
    </row>
    <row r="12663">
      <c r="C12663" s="18" t="n"/>
      <c r="J12663" s="19" t="n"/>
      <c r="P12663" s="20" t="n"/>
      <c r="Q12663" s="19" t="n"/>
      <c r="R12663" s="19" t="n"/>
      <c r="Y12663" s="19" t="n"/>
    </row>
    <row r="12664">
      <c r="C12664" s="18" t="n"/>
      <c r="J12664" s="19" t="n"/>
      <c r="P12664" s="20" t="n"/>
      <c r="Q12664" s="19" t="n"/>
      <c r="R12664" s="19" t="n"/>
      <c r="Y12664" s="19" t="n"/>
    </row>
    <row r="12665">
      <c r="C12665" s="18" t="n"/>
      <c r="J12665" s="19" t="n"/>
      <c r="P12665" s="20" t="n"/>
      <c r="Q12665" s="19" t="n"/>
      <c r="R12665" s="19" t="n"/>
      <c r="Y12665" s="19" t="n"/>
    </row>
    <row r="12666">
      <c r="C12666" s="18" t="n"/>
      <c r="J12666" s="19" t="n"/>
      <c r="P12666" s="20" t="n"/>
      <c r="Q12666" s="19" t="n"/>
      <c r="R12666" s="19" t="n"/>
      <c r="Y12666" s="19" t="n"/>
    </row>
    <row r="12667">
      <c r="C12667" s="18" t="n"/>
      <c r="J12667" s="19" t="n"/>
      <c r="P12667" s="20" t="n"/>
      <c r="Q12667" s="19" t="n"/>
      <c r="R12667" s="19" t="n"/>
      <c r="Y12667" s="19" t="n"/>
    </row>
    <row r="12668">
      <c r="C12668" s="18" t="n"/>
      <c r="J12668" s="19" t="n"/>
      <c r="P12668" s="20" t="n"/>
      <c r="Q12668" s="19" t="n"/>
      <c r="R12668" s="19" t="n"/>
      <c r="Y12668" s="19" t="n"/>
    </row>
    <row r="12669">
      <c r="C12669" s="18" t="n"/>
      <c r="J12669" s="19" t="n"/>
      <c r="P12669" s="20" t="n"/>
      <c r="Q12669" s="19" t="n"/>
      <c r="R12669" s="19" t="n"/>
      <c r="Y12669" s="19" t="n"/>
    </row>
    <row r="12670">
      <c r="C12670" s="18" t="n"/>
      <c r="J12670" s="19" t="n"/>
      <c r="P12670" s="20" t="n"/>
      <c r="Q12670" s="19" t="n"/>
      <c r="R12670" s="19" t="n"/>
      <c r="Y12670" s="19" t="n"/>
    </row>
    <row r="12671">
      <c r="C12671" s="18" t="n"/>
      <c r="J12671" s="19" t="n"/>
      <c r="P12671" s="20" t="n"/>
      <c r="Q12671" s="19" t="n"/>
      <c r="R12671" s="19" t="n"/>
      <c r="Y12671" s="19" t="n"/>
    </row>
    <row r="12672">
      <c r="C12672" s="18" t="n"/>
      <c r="J12672" s="19" t="n"/>
      <c r="P12672" s="20" t="n"/>
      <c r="Q12672" s="19" t="n"/>
      <c r="R12672" s="19" t="n"/>
      <c r="Y12672" s="19" t="n"/>
    </row>
    <row r="12673">
      <c r="C12673" s="18" t="n"/>
      <c r="J12673" s="19" t="n"/>
      <c r="P12673" s="20" t="n"/>
      <c r="Q12673" s="19" t="n"/>
      <c r="R12673" s="19" t="n"/>
      <c r="Y12673" s="19" t="n"/>
    </row>
    <row r="12674">
      <c r="C12674" s="18" t="n"/>
      <c r="J12674" s="19" t="n"/>
      <c r="P12674" s="20" t="n"/>
      <c r="Q12674" s="19" t="n"/>
      <c r="R12674" s="19" t="n"/>
      <c r="Y12674" s="19" t="n"/>
    </row>
    <row r="12675">
      <c r="C12675" s="18" t="n"/>
      <c r="J12675" s="19" t="n"/>
      <c r="P12675" s="20" t="n"/>
      <c r="Q12675" s="19" t="n"/>
      <c r="R12675" s="19" t="n"/>
      <c r="Y12675" s="19" t="n"/>
    </row>
    <row r="12676">
      <c r="C12676" s="18" t="n"/>
      <c r="J12676" s="19" t="n"/>
      <c r="P12676" s="20" t="n"/>
      <c r="Q12676" s="19" t="n"/>
      <c r="R12676" s="19" t="n"/>
      <c r="Y12676" s="19" t="n"/>
    </row>
    <row r="12677">
      <c r="C12677" s="18" t="n"/>
      <c r="J12677" s="19" t="n"/>
      <c r="P12677" s="20" t="n"/>
      <c r="Q12677" s="19" t="n"/>
      <c r="R12677" s="19" t="n"/>
      <c r="Y12677" s="19" t="n"/>
    </row>
    <row r="12678">
      <c r="C12678" s="18" t="n"/>
      <c r="J12678" s="19" t="n"/>
      <c r="P12678" s="20" t="n"/>
      <c r="Q12678" s="19" t="n"/>
      <c r="R12678" s="19" t="n"/>
      <c r="Y12678" s="19" t="n"/>
    </row>
    <row r="12679">
      <c r="C12679" s="18" t="n"/>
      <c r="J12679" s="19" t="n"/>
      <c r="P12679" s="20" t="n"/>
      <c r="Q12679" s="19" t="n"/>
      <c r="R12679" s="19" t="n"/>
      <c r="Y12679" s="19" t="n"/>
    </row>
    <row r="12680">
      <c r="C12680" s="18" t="n"/>
      <c r="J12680" s="19" t="n"/>
      <c r="P12680" s="20" t="n"/>
      <c r="Q12680" s="19" t="n"/>
      <c r="R12680" s="19" t="n"/>
      <c r="Y12680" s="19" t="n"/>
    </row>
    <row r="12681">
      <c r="C12681" s="18" t="n"/>
      <c r="J12681" s="19" t="n"/>
      <c r="P12681" s="20" t="n"/>
      <c r="Q12681" s="19" t="n"/>
      <c r="R12681" s="19" t="n"/>
      <c r="Y12681" s="19" t="n"/>
    </row>
    <row r="12682">
      <c r="C12682" s="18" t="n"/>
      <c r="J12682" s="19" t="n"/>
      <c r="P12682" s="20" t="n"/>
      <c r="Q12682" s="19" t="n"/>
      <c r="R12682" s="19" t="n"/>
      <c r="Y12682" s="19" t="n"/>
    </row>
    <row r="12683">
      <c r="C12683" s="18" t="n"/>
      <c r="J12683" s="19" t="n"/>
      <c r="P12683" s="20" t="n"/>
      <c r="Q12683" s="19" t="n"/>
      <c r="R12683" s="19" t="n"/>
      <c r="Y12683" s="19" t="n"/>
    </row>
    <row r="12684">
      <c r="C12684" s="18" t="n"/>
      <c r="J12684" s="19" t="n"/>
      <c r="P12684" s="20" t="n"/>
      <c r="Q12684" s="19" t="n"/>
      <c r="R12684" s="19" t="n"/>
      <c r="Y12684" s="19" t="n"/>
    </row>
    <row r="12685">
      <c r="C12685" s="18" t="n"/>
      <c r="J12685" s="19" t="n"/>
      <c r="P12685" s="20" t="n"/>
      <c r="Q12685" s="19" t="n"/>
      <c r="R12685" s="19" t="n"/>
      <c r="Y12685" s="19" t="n"/>
    </row>
    <row r="12686">
      <c r="C12686" s="18" t="n"/>
      <c r="J12686" s="19" t="n"/>
      <c r="P12686" s="20" t="n"/>
      <c r="Q12686" s="19" t="n"/>
      <c r="R12686" s="19" t="n"/>
      <c r="Y12686" s="19" t="n"/>
    </row>
    <row r="12687">
      <c r="C12687" s="18" t="n"/>
      <c r="J12687" s="19" t="n"/>
      <c r="P12687" s="20" t="n"/>
      <c r="Q12687" s="19" t="n"/>
      <c r="R12687" s="19" t="n"/>
      <c r="Y12687" s="19" t="n"/>
    </row>
    <row r="12688">
      <c r="C12688" s="18" t="n"/>
      <c r="J12688" s="19" t="n"/>
      <c r="P12688" s="20" t="n"/>
      <c r="Q12688" s="19" t="n"/>
      <c r="R12688" s="19" t="n"/>
      <c r="Y12688" s="19" t="n"/>
    </row>
    <row r="12689">
      <c r="C12689" s="18" t="n"/>
      <c r="J12689" s="19" t="n"/>
      <c r="P12689" s="20" t="n"/>
      <c r="Q12689" s="19" t="n"/>
      <c r="R12689" s="19" t="n"/>
      <c r="Y12689" s="19" t="n"/>
    </row>
    <row r="12690">
      <c r="C12690" s="18" t="n"/>
      <c r="J12690" s="19" t="n"/>
      <c r="P12690" s="20" t="n"/>
      <c r="Q12690" s="19" t="n"/>
      <c r="R12690" s="19" t="n"/>
      <c r="Y12690" s="19" t="n"/>
    </row>
    <row r="12691">
      <c r="C12691" s="18" t="n"/>
      <c r="J12691" s="19" t="n"/>
      <c r="P12691" s="20" t="n"/>
      <c r="Q12691" s="19" t="n"/>
      <c r="R12691" s="19" t="n"/>
      <c r="Y12691" s="19" t="n"/>
    </row>
    <row r="12692">
      <c r="C12692" s="18" t="n"/>
      <c r="J12692" s="19" t="n"/>
      <c r="P12692" s="20" t="n"/>
      <c r="Q12692" s="19" t="n"/>
      <c r="R12692" s="19" t="n"/>
      <c r="Y12692" s="19" t="n"/>
    </row>
    <row r="12693">
      <c r="C12693" s="18" t="n"/>
      <c r="J12693" s="19" t="n"/>
      <c r="P12693" s="20" t="n"/>
      <c r="Q12693" s="19" t="n"/>
      <c r="R12693" s="19" t="n"/>
      <c r="Y12693" s="19" t="n"/>
    </row>
    <row r="12694">
      <c r="C12694" s="18" t="n"/>
      <c r="J12694" s="19" t="n"/>
      <c r="P12694" s="20" t="n"/>
      <c r="Q12694" s="19" t="n"/>
      <c r="R12694" s="19" t="n"/>
      <c r="Y12694" s="19" t="n"/>
    </row>
    <row r="12695">
      <c r="C12695" s="18" t="n"/>
      <c r="J12695" s="19" t="n"/>
      <c r="P12695" s="20" t="n"/>
      <c r="Q12695" s="19" t="n"/>
      <c r="R12695" s="19" t="n"/>
      <c r="Y12695" s="19" t="n"/>
    </row>
    <row r="12696">
      <c r="C12696" s="18" t="n"/>
      <c r="J12696" s="19" t="n"/>
      <c r="P12696" s="20" t="n"/>
      <c r="Q12696" s="19" t="n"/>
      <c r="R12696" s="19" t="n"/>
      <c r="Y12696" s="19" t="n"/>
    </row>
    <row r="12697">
      <c r="C12697" s="18" t="n"/>
      <c r="J12697" s="19" t="n"/>
      <c r="P12697" s="20" t="n"/>
      <c r="Q12697" s="19" t="n"/>
      <c r="R12697" s="19" t="n"/>
      <c r="Y12697" s="19" t="n"/>
    </row>
    <row r="12698">
      <c r="C12698" s="18" t="n"/>
      <c r="J12698" s="19" t="n"/>
      <c r="P12698" s="20" t="n"/>
      <c r="Q12698" s="19" t="n"/>
      <c r="R12698" s="19" t="n"/>
      <c r="Y12698" s="19" t="n"/>
    </row>
    <row r="12699">
      <c r="C12699" s="18" t="n"/>
      <c r="J12699" s="19" t="n"/>
      <c r="P12699" s="20" t="n"/>
      <c r="Q12699" s="19" t="n"/>
      <c r="R12699" s="19" t="n"/>
      <c r="Y12699" s="19" t="n"/>
    </row>
    <row r="12700">
      <c r="C12700" s="18" t="n"/>
      <c r="J12700" s="19" t="n"/>
      <c r="P12700" s="20" t="n"/>
      <c r="Q12700" s="19" t="n"/>
      <c r="R12700" s="19" t="n"/>
      <c r="Y12700" s="19" t="n"/>
    </row>
    <row r="12701">
      <c r="C12701" s="18" t="n"/>
      <c r="J12701" s="19" t="n"/>
      <c r="P12701" s="20" t="n"/>
      <c r="Q12701" s="19" t="n"/>
      <c r="R12701" s="19" t="n"/>
      <c r="Y12701" s="19" t="n"/>
    </row>
    <row r="12702">
      <c r="C12702" s="18" t="n"/>
      <c r="J12702" s="19" t="n"/>
      <c r="P12702" s="20" t="n"/>
      <c r="Q12702" s="19" t="n"/>
      <c r="R12702" s="19" t="n"/>
      <c r="Y12702" s="19" t="n"/>
    </row>
    <row r="12703">
      <c r="C12703" s="18" t="n"/>
      <c r="J12703" s="19" t="n"/>
      <c r="P12703" s="20" t="n"/>
      <c r="Q12703" s="19" t="n"/>
      <c r="R12703" s="19" t="n"/>
      <c r="Y12703" s="19" t="n"/>
    </row>
    <row r="12704">
      <c r="C12704" s="18" t="n"/>
      <c r="J12704" s="19" t="n"/>
      <c r="P12704" s="20" t="n"/>
      <c r="Q12704" s="19" t="n"/>
      <c r="R12704" s="19" t="n"/>
      <c r="Y12704" s="19" t="n"/>
    </row>
    <row r="12705">
      <c r="C12705" s="18" t="n"/>
      <c r="J12705" s="19" t="n"/>
      <c r="P12705" s="20" t="n"/>
      <c r="Q12705" s="19" t="n"/>
      <c r="R12705" s="19" t="n"/>
      <c r="Y12705" s="19" t="n"/>
    </row>
    <row r="12706">
      <c r="C12706" s="18" t="n"/>
      <c r="J12706" s="19" t="n"/>
      <c r="P12706" s="20" t="n"/>
      <c r="Q12706" s="19" t="n"/>
      <c r="R12706" s="19" t="n"/>
      <c r="Y12706" s="19" t="n"/>
    </row>
    <row r="12707">
      <c r="C12707" s="18" t="n"/>
      <c r="J12707" s="19" t="n"/>
      <c r="P12707" s="20" t="n"/>
      <c r="Q12707" s="19" t="n"/>
      <c r="R12707" s="19" t="n"/>
      <c r="Y12707" s="19" t="n"/>
    </row>
    <row r="12708">
      <c r="C12708" s="18" t="n"/>
      <c r="J12708" s="19" t="n"/>
      <c r="P12708" s="20" t="n"/>
      <c r="Q12708" s="19" t="n"/>
      <c r="R12708" s="19" t="n"/>
      <c r="Y12708" s="19" t="n"/>
    </row>
    <row r="12709">
      <c r="C12709" s="18" t="n"/>
      <c r="J12709" s="19" t="n"/>
      <c r="P12709" s="20" t="n"/>
      <c r="Q12709" s="19" t="n"/>
      <c r="R12709" s="19" t="n"/>
      <c r="Y12709" s="19" t="n"/>
    </row>
    <row r="12710">
      <c r="C12710" s="18" t="n"/>
      <c r="J12710" s="19" t="n"/>
      <c r="P12710" s="20" t="n"/>
      <c r="Q12710" s="19" t="n"/>
      <c r="R12710" s="19" t="n"/>
      <c r="Y12710" s="19" t="n"/>
    </row>
    <row r="12711">
      <c r="C12711" s="18" t="n"/>
      <c r="J12711" s="19" t="n"/>
      <c r="P12711" s="20" t="n"/>
      <c r="Q12711" s="19" t="n"/>
      <c r="R12711" s="19" t="n"/>
      <c r="Y12711" s="19" t="n"/>
    </row>
    <row r="12712">
      <c r="C12712" s="18" t="n"/>
      <c r="J12712" s="19" t="n"/>
      <c r="P12712" s="20" t="n"/>
      <c r="Q12712" s="19" t="n"/>
      <c r="R12712" s="19" t="n"/>
      <c r="Y12712" s="19" t="n"/>
    </row>
    <row r="12713">
      <c r="C12713" s="18" t="n"/>
      <c r="J12713" s="19" t="n"/>
      <c r="P12713" s="20" t="n"/>
      <c r="Q12713" s="19" t="n"/>
      <c r="R12713" s="19" t="n"/>
      <c r="Y12713" s="19" t="n"/>
    </row>
    <row r="12714">
      <c r="C12714" s="18" t="n"/>
      <c r="J12714" s="19" t="n"/>
      <c r="P12714" s="20" t="n"/>
      <c r="Q12714" s="19" t="n"/>
      <c r="R12714" s="19" t="n"/>
      <c r="Y12714" s="19" t="n"/>
    </row>
    <row r="12715">
      <c r="C12715" s="18" t="n"/>
      <c r="J12715" s="19" t="n"/>
      <c r="P12715" s="20" t="n"/>
      <c r="Q12715" s="19" t="n"/>
      <c r="R12715" s="19" t="n"/>
      <c r="Y12715" s="19" t="n"/>
    </row>
    <row r="12716">
      <c r="C12716" s="18" t="n"/>
      <c r="J12716" s="19" t="n"/>
      <c r="P12716" s="20" t="n"/>
      <c r="Q12716" s="19" t="n"/>
      <c r="R12716" s="19" t="n"/>
      <c r="Y12716" s="19" t="n"/>
    </row>
    <row r="12717">
      <c r="C12717" s="18" t="n"/>
      <c r="J12717" s="19" t="n"/>
      <c r="P12717" s="20" t="n"/>
      <c r="Q12717" s="19" t="n"/>
      <c r="R12717" s="19" t="n"/>
      <c r="Y12717" s="19" t="n"/>
    </row>
    <row r="12718">
      <c r="C12718" s="18" t="n"/>
      <c r="J12718" s="19" t="n"/>
      <c r="P12718" s="20" t="n"/>
      <c r="Q12718" s="19" t="n"/>
      <c r="R12718" s="19" t="n"/>
      <c r="Y12718" s="19" t="n"/>
    </row>
    <row r="12719">
      <c r="C12719" s="18" t="n"/>
      <c r="J12719" s="19" t="n"/>
      <c r="P12719" s="20" t="n"/>
      <c r="Q12719" s="19" t="n"/>
      <c r="R12719" s="19" t="n"/>
      <c r="Y12719" s="19" t="n"/>
    </row>
    <row r="12720">
      <c r="C12720" s="18" t="n"/>
      <c r="J12720" s="19" t="n"/>
      <c r="P12720" s="20" t="n"/>
      <c r="Q12720" s="19" t="n"/>
      <c r="R12720" s="19" t="n"/>
      <c r="Y12720" s="19" t="n"/>
    </row>
    <row r="12721">
      <c r="C12721" s="18" t="n"/>
      <c r="J12721" s="19" t="n"/>
      <c r="P12721" s="20" t="n"/>
      <c r="Q12721" s="19" t="n"/>
      <c r="R12721" s="19" t="n"/>
      <c r="Y12721" s="19" t="n"/>
    </row>
    <row r="12722">
      <c r="C12722" s="18" t="n"/>
      <c r="J12722" s="19" t="n"/>
      <c r="P12722" s="20" t="n"/>
      <c r="Q12722" s="19" t="n"/>
      <c r="R12722" s="19" t="n"/>
      <c r="Y12722" s="19" t="n"/>
    </row>
    <row r="12723">
      <c r="C12723" s="18" t="n"/>
      <c r="J12723" s="19" t="n"/>
      <c r="P12723" s="20" t="n"/>
      <c r="Q12723" s="19" t="n"/>
      <c r="R12723" s="19" t="n"/>
      <c r="Y12723" s="19" t="n"/>
    </row>
    <row r="12724">
      <c r="C12724" s="18" t="n"/>
      <c r="J12724" s="19" t="n"/>
      <c r="P12724" s="20" t="n"/>
      <c r="Q12724" s="19" t="n"/>
      <c r="R12724" s="19" t="n"/>
      <c r="Y12724" s="19" t="n"/>
    </row>
    <row r="12725">
      <c r="C12725" s="18" t="n"/>
      <c r="J12725" s="19" t="n"/>
      <c r="P12725" s="20" t="n"/>
      <c r="Q12725" s="19" t="n"/>
      <c r="R12725" s="19" t="n"/>
      <c r="Y12725" s="19" t="n"/>
    </row>
    <row r="12726">
      <c r="C12726" s="18" t="n"/>
      <c r="J12726" s="19" t="n"/>
      <c r="P12726" s="20" t="n"/>
      <c r="Q12726" s="19" t="n"/>
      <c r="R12726" s="19" t="n"/>
      <c r="Y12726" s="19" t="n"/>
    </row>
    <row r="12727">
      <c r="C12727" s="18" t="n"/>
      <c r="J12727" s="19" t="n"/>
      <c r="P12727" s="20" t="n"/>
      <c r="Q12727" s="19" t="n"/>
      <c r="R12727" s="19" t="n"/>
      <c r="Y12727" s="19" t="n"/>
    </row>
    <row r="12728">
      <c r="C12728" s="18" t="n"/>
      <c r="J12728" s="19" t="n"/>
      <c r="P12728" s="20" t="n"/>
      <c r="Q12728" s="19" t="n"/>
      <c r="R12728" s="19" t="n"/>
      <c r="Y12728" s="19" t="n"/>
    </row>
    <row r="12729">
      <c r="C12729" s="18" t="n"/>
      <c r="J12729" s="19" t="n"/>
      <c r="P12729" s="20" t="n"/>
      <c r="Q12729" s="19" t="n"/>
      <c r="R12729" s="19" t="n"/>
      <c r="Y12729" s="19" t="n"/>
    </row>
    <row r="12730">
      <c r="C12730" s="18" t="n"/>
      <c r="J12730" s="19" t="n"/>
      <c r="P12730" s="20" t="n"/>
      <c r="Q12730" s="19" t="n"/>
      <c r="R12730" s="19" t="n"/>
      <c r="Y12730" s="19" t="n"/>
    </row>
    <row r="12731">
      <c r="C12731" s="18" t="n"/>
      <c r="J12731" s="19" t="n"/>
      <c r="P12731" s="20" t="n"/>
      <c r="Q12731" s="19" t="n"/>
      <c r="R12731" s="19" t="n"/>
      <c r="Y12731" s="19" t="n"/>
    </row>
    <row r="12732">
      <c r="C12732" s="18" t="n"/>
      <c r="J12732" s="19" t="n"/>
      <c r="P12732" s="20" t="n"/>
      <c r="Q12732" s="19" t="n"/>
      <c r="R12732" s="19" t="n"/>
      <c r="Y12732" s="19" t="n"/>
    </row>
    <row r="12733">
      <c r="C12733" s="18" t="n"/>
      <c r="J12733" s="19" t="n"/>
      <c r="P12733" s="20" t="n"/>
      <c r="Q12733" s="19" t="n"/>
      <c r="R12733" s="19" t="n"/>
      <c r="Y12733" s="19" t="n"/>
    </row>
    <row r="12734">
      <c r="C12734" s="18" t="n"/>
      <c r="J12734" s="19" t="n"/>
      <c r="P12734" s="20" t="n"/>
      <c r="Q12734" s="19" t="n"/>
      <c r="R12734" s="19" t="n"/>
      <c r="Y12734" s="19" t="n"/>
    </row>
    <row r="12735">
      <c r="C12735" s="18" t="n"/>
      <c r="J12735" s="19" t="n"/>
      <c r="P12735" s="20" t="n"/>
      <c r="Q12735" s="19" t="n"/>
      <c r="R12735" s="19" t="n"/>
      <c r="Y12735" s="19" t="n"/>
    </row>
    <row r="12736">
      <c r="C12736" s="18" t="n"/>
      <c r="J12736" s="19" t="n"/>
      <c r="P12736" s="20" t="n"/>
      <c r="Q12736" s="19" t="n"/>
      <c r="R12736" s="19" t="n"/>
      <c r="Y12736" s="19" t="n"/>
    </row>
    <row r="12737">
      <c r="C12737" s="18" t="n"/>
      <c r="J12737" s="19" t="n"/>
      <c r="P12737" s="20" t="n"/>
      <c r="Q12737" s="19" t="n"/>
      <c r="R12737" s="19" t="n"/>
      <c r="Y12737" s="19" t="n"/>
    </row>
    <row r="12738">
      <c r="C12738" s="18" t="n"/>
      <c r="J12738" s="19" t="n"/>
      <c r="P12738" s="20" t="n"/>
      <c r="Q12738" s="19" t="n"/>
      <c r="R12738" s="19" t="n"/>
      <c r="Y12738" s="19" t="n"/>
    </row>
    <row r="12739">
      <c r="C12739" s="18" t="n"/>
      <c r="J12739" s="19" t="n"/>
      <c r="P12739" s="20" t="n"/>
      <c r="Q12739" s="19" t="n"/>
      <c r="R12739" s="19" t="n"/>
      <c r="Y12739" s="19" t="n"/>
    </row>
    <row r="12740">
      <c r="C12740" s="18" t="n"/>
      <c r="J12740" s="19" t="n"/>
      <c r="P12740" s="20" t="n"/>
      <c r="Q12740" s="19" t="n"/>
      <c r="R12740" s="19" t="n"/>
      <c r="Y12740" s="19" t="n"/>
    </row>
    <row r="12741">
      <c r="C12741" s="18" t="n"/>
      <c r="J12741" s="19" t="n"/>
      <c r="P12741" s="20" t="n"/>
      <c r="Q12741" s="19" t="n"/>
      <c r="R12741" s="19" t="n"/>
      <c r="Y12741" s="19" t="n"/>
    </row>
    <row r="12742">
      <c r="C12742" s="18" t="n"/>
      <c r="J12742" s="19" t="n"/>
      <c r="P12742" s="20" t="n"/>
      <c r="Q12742" s="19" t="n"/>
      <c r="R12742" s="19" t="n"/>
      <c r="Y12742" s="19" t="n"/>
    </row>
    <row r="12743">
      <c r="C12743" s="18" t="n"/>
      <c r="J12743" s="19" t="n"/>
      <c r="P12743" s="20" t="n"/>
      <c r="Q12743" s="19" t="n"/>
      <c r="R12743" s="19" t="n"/>
      <c r="Y12743" s="19" t="n"/>
    </row>
    <row r="12744">
      <c r="C12744" s="18" t="n"/>
      <c r="J12744" s="19" t="n"/>
      <c r="P12744" s="20" t="n"/>
      <c r="Q12744" s="19" t="n"/>
      <c r="R12744" s="19" t="n"/>
      <c r="Y12744" s="19" t="n"/>
    </row>
    <row r="12745">
      <c r="C12745" s="18" t="n"/>
      <c r="J12745" s="19" t="n"/>
      <c r="P12745" s="20" t="n"/>
      <c r="Q12745" s="19" t="n"/>
      <c r="R12745" s="19" t="n"/>
      <c r="Y12745" s="19" t="n"/>
    </row>
    <row r="12746">
      <c r="C12746" s="18" t="n"/>
      <c r="J12746" s="19" t="n"/>
      <c r="P12746" s="20" t="n"/>
      <c r="Q12746" s="19" t="n"/>
      <c r="R12746" s="19" t="n"/>
      <c r="Y12746" s="19" t="n"/>
    </row>
    <row r="12747">
      <c r="C12747" s="18" t="n"/>
      <c r="J12747" s="19" t="n"/>
      <c r="P12747" s="20" t="n"/>
      <c r="Q12747" s="19" t="n"/>
      <c r="R12747" s="19" t="n"/>
      <c r="Y12747" s="19" t="n"/>
    </row>
    <row r="12748">
      <c r="C12748" s="18" t="n"/>
      <c r="J12748" s="19" t="n"/>
      <c r="P12748" s="20" t="n"/>
      <c r="Q12748" s="19" t="n"/>
      <c r="R12748" s="19" t="n"/>
      <c r="Y12748" s="19" t="n"/>
    </row>
    <row r="12749">
      <c r="C12749" s="18" t="n"/>
      <c r="J12749" s="19" t="n"/>
      <c r="P12749" s="20" t="n"/>
      <c r="Q12749" s="19" t="n"/>
      <c r="R12749" s="19" t="n"/>
      <c r="Y12749" s="19" t="n"/>
    </row>
    <row r="12750">
      <c r="C12750" s="18" t="n"/>
      <c r="J12750" s="19" t="n"/>
      <c r="P12750" s="20" t="n"/>
      <c r="Q12750" s="19" t="n"/>
      <c r="R12750" s="19" t="n"/>
      <c r="Y12750" s="19" t="n"/>
    </row>
    <row r="12751">
      <c r="C12751" s="18" t="n"/>
      <c r="J12751" s="19" t="n"/>
      <c r="P12751" s="20" t="n"/>
      <c r="Q12751" s="19" t="n"/>
      <c r="R12751" s="19" t="n"/>
      <c r="Y12751" s="19" t="n"/>
    </row>
    <row r="12752">
      <c r="C12752" s="18" t="n"/>
      <c r="J12752" s="19" t="n"/>
      <c r="P12752" s="20" t="n"/>
      <c r="Q12752" s="19" t="n"/>
      <c r="R12752" s="19" t="n"/>
      <c r="Y12752" s="19" t="n"/>
    </row>
    <row r="12753">
      <c r="C12753" s="18" t="n"/>
      <c r="J12753" s="19" t="n"/>
      <c r="P12753" s="20" t="n"/>
      <c r="Q12753" s="19" t="n"/>
      <c r="R12753" s="19" t="n"/>
      <c r="Y12753" s="19" t="n"/>
    </row>
    <row r="12754">
      <c r="C12754" s="18" t="n"/>
      <c r="J12754" s="19" t="n"/>
      <c r="P12754" s="20" t="n"/>
      <c r="Q12754" s="19" t="n"/>
      <c r="R12754" s="19" t="n"/>
      <c r="Y12754" s="19" t="n"/>
    </row>
    <row r="12755">
      <c r="C12755" s="18" t="n"/>
      <c r="J12755" s="19" t="n"/>
      <c r="P12755" s="20" t="n"/>
      <c r="Q12755" s="19" t="n"/>
      <c r="R12755" s="19" t="n"/>
      <c r="Y12755" s="19" t="n"/>
    </row>
    <row r="12756">
      <c r="C12756" s="18" t="n"/>
      <c r="J12756" s="19" t="n"/>
      <c r="P12756" s="20" t="n"/>
      <c r="Q12756" s="19" t="n"/>
      <c r="R12756" s="19" t="n"/>
      <c r="Y12756" s="19" t="n"/>
    </row>
    <row r="12757">
      <c r="C12757" s="18" t="n"/>
      <c r="J12757" s="19" t="n"/>
      <c r="P12757" s="20" t="n"/>
      <c r="Q12757" s="19" t="n"/>
      <c r="R12757" s="19" t="n"/>
      <c r="Y12757" s="19" t="n"/>
    </row>
    <row r="12758">
      <c r="C12758" s="18" t="n"/>
      <c r="J12758" s="19" t="n"/>
      <c r="P12758" s="20" t="n"/>
      <c r="Q12758" s="19" t="n"/>
      <c r="R12758" s="19" t="n"/>
      <c r="Y12758" s="19" t="n"/>
    </row>
    <row r="12759">
      <c r="C12759" s="18" t="n"/>
      <c r="J12759" s="19" t="n"/>
      <c r="P12759" s="20" t="n"/>
      <c r="Q12759" s="19" t="n"/>
      <c r="R12759" s="19" t="n"/>
      <c r="Y12759" s="19" t="n"/>
    </row>
    <row r="12760">
      <c r="C12760" s="18" t="n"/>
      <c r="J12760" s="19" t="n"/>
      <c r="P12760" s="20" t="n"/>
      <c r="Q12760" s="19" t="n"/>
      <c r="R12760" s="19" t="n"/>
      <c r="Y12760" s="19" t="n"/>
    </row>
    <row r="12761">
      <c r="C12761" s="18" t="n"/>
      <c r="J12761" s="19" t="n"/>
      <c r="P12761" s="20" t="n"/>
      <c r="Q12761" s="19" t="n"/>
      <c r="R12761" s="19" t="n"/>
      <c r="Y12761" s="19" t="n"/>
    </row>
    <row r="12762">
      <c r="C12762" s="18" t="n"/>
      <c r="J12762" s="19" t="n"/>
      <c r="P12762" s="20" t="n"/>
      <c r="Q12762" s="19" t="n"/>
      <c r="R12762" s="19" t="n"/>
      <c r="Y12762" s="19" t="n"/>
    </row>
    <row r="12763">
      <c r="C12763" s="18" t="n"/>
      <c r="J12763" s="19" t="n"/>
      <c r="P12763" s="20" t="n"/>
      <c r="Q12763" s="19" t="n"/>
      <c r="R12763" s="19" t="n"/>
      <c r="Y12763" s="19" t="n"/>
    </row>
    <row r="12764">
      <c r="C12764" s="18" t="n"/>
      <c r="J12764" s="19" t="n"/>
      <c r="P12764" s="20" t="n"/>
      <c r="Q12764" s="19" t="n"/>
      <c r="R12764" s="19" t="n"/>
      <c r="Y12764" s="19" t="n"/>
    </row>
    <row r="12765">
      <c r="C12765" s="18" t="n"/>
      <c r="J12765" s="19" t="n"/>
      <c r="P12765" s="20" t="n"/>
      <c r="Q12765" s="19" t="n"/>
      <c r="R12765" s="19" t="n"/>
      <c r="Y12765" s="19" t="n"/>
    </row>
    <row r="12766">
      <c r="C12766" s="18" t="n"/>
      <c r="J12766" s="19" t="n"/>
      <c r="P12766" s="20" t="n"/>
      <c r="Q12766" s="19" t="n"/>
      <c r="R12766" s="19" t="n"/>
      <c r="Y12766" s="19" t="n"/>
    </row>
    <row r="12767">
      <c r="C12767" s="18" t="n"/>
      <c r="J12767" s="19" t="n"/>
      <c r="P12767" s="20" t="n"/>
      <c r="Q12767" s="19" t="n"/>
      <c r="R12767" s="19" t="n"/>
      <c r="Y12767" s="19" t="n"/>
    </row>
    <row r="12768">
      <c r="C12768" s="18" t="n"/>
      <c r="J12768" s="19" t="n"/>
      <c r="P12768" s="20" t="n"/>
      <c r="Q12768" s="19" t="n"/>
      <c r="R12768" s="19" t="n"/>
      <c r="Y12768" s="19" t="n"/>
    </row>
    <row r="12769">
      <c r="C12769" s="18" t="n"/>
      <c r="J12769" s="19" t="n"/>
      <c r="P12769" s="20" t="n"/>
      <c r="Q12769" s="19" t="n"/>
      <c r="R12769" s="19" t="n"/>
      <c r="Y12769" s="19" t="n"/>
    </row>
    <row r="12770">
      <c r="C12770" s="18" t="n"/>
      <c r="J12770" s="19" t="n"/>
      <c r="P12770" s="20" t="n"/>
      <c r="Q12770" s="19" t="n"/>
      <c r="R12770" s="19" t="n"/>
      <c r="Y12770" s="19" t="n"/>
    </row>
    <row r="12771">
      <c r="C12771" s="18" t="n"/>
      <c r="J12771" s="19" t="n"/>
      <c r="P12771" s="20" t="n"/>
      <c r="Q12771" s="19" t="n"/>
      <c r="R12771" s="19" t="n"/>
      <c r="Y12771" s="19" t="n"/>
    </row>
    <row r="12772">
      <c r="C12772" s="18" t="n"/>
      <c r="J12772" s="19" t="n"/>
      <c r="P12772" s="20" t="n"/>
      <c r="Q12772" s="19" t="n"/>
      <c r="R12772" s="19" t="n"/>
      <c r="Y12772" s="19" t="n"/>
    </row>
    <row r="12773">
      <c r="C12773" s="18" t="n"/>
      <c r="J12773" s="19" t="n"/>
      <c r="P12773" s="20" t="n"/>
      <c r="Q12773" s="19" t="n"/>
      <c r="R12773" s="19" t="n"/>
      <c r="Y12773" s="19" t="n"/>
    </row>
    <row r="12774">
      <c r="C12774" s="18" t="n"/>
      <c r="J12774" s="19" t="n"/>
      <c r="P12774" s="20" t="n"/>
      <c r="Q12774" s="19" t="n"/>
      <c r="R12774" s="19" t="n"/>
      <c r="Y12774" s="19" t="n"/>
    </row>
    <row r="12775">
      <c r="C12775" s="18" t="n"/>
      <c r="J12775" s="19" t="n"/>
      <c r="P12775" s="20" t="n"/>
      <c r="Q12775" s="19" t="n"/>
      <c r="R12775" s="19" t="n"/>
      <c r="Y12775" s="19" t="n"/>
    </row>
    <row r="12776">
      <c r="C12776" s="18" t="n"/>
      <c r="J12776" s="19" t="n"/>
      <c r="P12776" s="20" t="n"/>
      <c r="Q12776" s="19" t="n"/>
      <c r="R12776" s="19" t="n"/>
      <c r="Y12776" s="19" t="n"/>
    </row>
    <row r="12777">
      <c r="C12777" s="18" t="n"/>
      <c r="J12777" s="19" t="n"/>
      <c r="P12777" s="20" t="n"/>
      <c r="Q12777" s="19" t="n"/>
      <c r="R12777" s="19" t="n"/>
      <c r="Y12777" s="19" t="n"/>
    </row>
    <row r="12778">
      <c r="C12778" s="18" t="n"/>
      <c r="J12778" s="19" t="n"/>
      <c r="P12778" s="20" t="n"/>
      <c r="Q12778" s="19" t="n"/>
      <c r="R12778" s="19" t="n"/>
      <c r="Y12778" s="19" t="n"/>
    </row>
    <row r="12779">
      <c r="C12779" s="18" t="n"/>
      <c r="J12779" s="19" t="n"/>
      <c r="P12779" s="20" t="n"/>
      <c r="Q12779" s="19" t="n"/>
      <c r="R12779" s="19" t="n"/>
      <c r="Y12779" s="19" t="n"/>
    </row>
    <row r="12780">
      <c r="C12780" s="18" t="n"/>
      <c r="J12780" s="19" t="n"/>
      <c r="P12780" s="20" t="n"/>
      <c r="Q12780" s="19" t="n"/>
      <c r="R12780" s="19" t="n"/>
      <c r="Y12780" s="19" t="n"/>
    </row>
    <row r="12781">
      <c r="C12781" s="18" t="n"/>
      <c r="J12781" s="19" t="n"/>
      <c r="P12781" s="20" t="n"/>
      <c r="Q12781" s="19" t="n"/>
      <c r="R12781" s="19" t="n"/>
      <c r="Y12781" s="19" t="n"/>
    </row>
    <row r="12782">
      <c r="C12782" s="18" t="n"/>
      <c r="J12782" s="19" t="n"/>
      <c r="P12782" s="20" t="n"/>
      <c r="Q12782" s="19" t="n"/>
      <c r="R12782" s="19" t="n"/>
      <c r="Y12782" s="19" t="n"/>
    </row>
    <row r="12783">
      <c r="C12783" s="18" t="n"/>
      <c r="J12783" s="19" t="n"/>
      <c r="P12783" s="20" t="n"/>
      <c r="Q12783" s="19" t="n"/>
      <c r="R12783" s="19" t="n"/>
      <c r="Y12783" s="19" t="n"/>
    </row>
    <row r="12784">
      <c r="C12784" s="18" t="n"/>
      <c r="J12784" s="19" t="n"/>
      <c r="P12784" s="20" t="n"/>
      <c r="Q12784" s="19" t="n"/>
      <c r="R12784" s="19" t="n"/>
      <c r="Y12784" s="19" t="n"/>
    </row>
    <row r="12785">
      <c r="C12785" s="18" t="n"/>
      <c r="J12785" s="19" t="n"/>
      <c r="P12785" s="20" t="n"/>
      <c r="Q12785" s="19" t="n"/>
      <c r="R12785" s="19" t="n"/>
      <c r="Y12785" s="19" t="n"/>
    </row>
    <row r="12786">
      <c r="C12786" s="18" t="n"/>
      <c r="J12786" s="19" t="n"/>
      <c r="P12786" s="20" t="n"/>
      <c r="Q12786" s="19" t="n"/>
      <c r="R12786" s="19" t="n"/>
      <c r="Y12786" s="19" t="n"/>
    </row>
    <row r="12787">
      <c r="C12787" s="18" t="n"/>
      <c r="J12787" s="19" t="n"/>
      <c r="P12787" s="20" t="n"/>
      <c r="Q12787" s="19" t="n"/>
      <c r="R12787" s="19" t="n"/>
      <c r="Y12787" s="19" t="n"/>
    </row>
    <row r="12788">
      <c r="C12788" s="18" t="n"/>
      <c r="J12788" s="19" t="n"/>
      <c r="P12788" s="20" t="n"/>
      <c r="Q12788" s="19" t="n"/>
      <c r="R12788" s="19" t="n"/>
      <c r="Y12788" s="19" t="n"/>
    </row>
    <row r="12789">
      <c r="C12789" s="18" t="n"/>
      <c r="J12789" s="19" t="n"/>
      <c r="P12789" s="20" t="n"/>
      <c r="Q12789" s="19" t="n"/>
      <c r="R12789" s="19" t="n"/>
      <c r="Y12789" s="19" t="n"/>
    </row>
    <row r="12790">
      <c r="C12790" s="18" t="n"/>
      <c r="J12790" s="19" t="n"/>
      <c r="P12790" s="20" t="n"/>
      <c r="Q12790" s="19" t="n"/>
      <c r="R12790" s="19" t="n"/>
      <c r="Y12790" s="19" t="n"/>
    </row>
    <row r="12791">
      <c r="C12791" s="18" t="n"/>
      <c r="J12791" s="19" t="n"/>
      <c r="P12791" s="20" t="n"/>
      <c r="Q12791" s="19" t="n"/>
      <c r="R12791" s="19" t="n"/>
      <c r="Y12791" s="19" t="n"/>
    </row>
    <row r="12792">
      <c r="C12792" s="18" t="n"/>
      <c r="J12792" s="19" t="n"/>
      <c r="P12792" s="20" t="n"/>
      <c r="Q12792" s="19" t="n"/>
      <c r="R12792" s="19" t="n"/>
      <c r="Y12792" s="19" t="n"/>
    </row>
    <row r="12793">
      <c r="C12793" s="18" t="n"/>
      <c r="J12793" s="19" t="n"/>
      <c r="P12793" s="20" t="n"/>
      <c r="Q12793" s="19" t="n"/>
      <c r="R12793" s="19" t="n"/>
      <c r="Y12793" s="19" t="n"/>
    </row>
    <row r="12794">
      <c r="C12794" s="18" t="n"/>
      <c r="J12794" s="19" t="n"/>
      <c r="P12794" s="20" t="n"/>
      <c r="Q12794" s="19" t="n"/>
      <c r="R12794" s="19" t="n"/>
      <c r="Y12794" s="19" t="n"/>
    </row>
    <row r="12795">
      <c r="C12795" s="18" t="n"/>
      <c r="J12795" s="19" t="n"/>
      <c r="P12795" s="20" t="n"/>
      <c r="Q12795" s="19" t="n"/>
      <c r="R12795" s="19" t="n"/>
      <c r="Y12795" s="19" t="n"/>
    </row>
    <row r="12796">
      <c r="C12796" s="18" t="n"/>
      <c r="J12796" s="19" t="n"/>
      <c r="P12796" s="20" t="n"/>
      <c r="Q12796" s="19" t="n"/>
      <c r="R12796" s="19" t="n"/>
      <c r="Y12796" s="19" t="n"/>
    </row>
    <row r="12797">
      <c r="C12797" s="18" t="n"/>
      <c r="J12797" s="19" t="n"/>
      <c r="P12797" s="20" t="n"/>
      <c r="Q12797" s="19" t="n"/>
      <c r="R12797" s="19" t="n"/>
      <c r="Y12797" s="19" t="n"/>
    </row>
    <row r="12798">
      <c r="C12798" s="18" t="n"/>
      <c r="J12798" s="19" t="n"/>
      <c r="P12798" s="20" t="n"/>
      <c r="Q12798" s="19" t="n"/>
      <c r="R12798" s="19" t="n"/>
      <c r="Y12798" s="19" t="n"/>
    </row>
    <row r="12799">
      <c r="C12799" s="18" t="n"/>
      <c r="J12799" s="19" t="n"/>
      <c r="P12799" s="20" t="n"/>
      <c r="Q12799" s="19" t="n"/>
      <c r="R12799" s="19" t="n"/>
      <c r="Y12799" s="19" t="n"/>
    </row>
    <row r="12800">
      <c r="C12800" s="18" t="n"/>
      <c r="J12800" s="19" t="n"/>
      <c r="P12800" s="20" t="n"/>
      <c r="Q12800" s="19" t="n"/>
      <c r="R12800" s="19" t="n"/>
      <c r="Y12800" s="19" t="n"/>
    </row>
    <row r="12801">
      <c r="C12801" s="18" t="n"/>
      <c r="J12801" s="19" t="n"/>
      <c r="P12801" s="20" t="n"/>
      <c r="Q12801" s="19" t="n"/>
      <c r="R12801" s="19" t="n"/>
      <c r="Y12801" s="19" t="n"/>
    </row>
    <row r="12802">
      <c r="C12802" s="18" t="n"/>
      <c r="J12802" s="19" t="n"/>
      <c r="P12802" s="20" t="n"/>
      <c r="Q12802" s="19" t="n"/>
      <c r="R12802" s="19" t="n"/>
      <c r="Y12802" s="19" t="n"/>
    </row>
    <row r="12803">
      <c r="C12803" s="18" t="n"/>
      <c r="J12803" s="19" t="n"/>
      <c r="P12803" s="20" t="n"/>
      <c r="Q12803" s="19" t="n"/>
      <c r="R12803" s="19" t="n"/>
      <c r="Y12803" s="19" t="n"/>
    </row>
    <row r="12804">
      <c r="C12804" s="18" t="n"/>
      <c r="J12804" s="19" t="n"/>
      <c r="P12804" s="20" t="n"/>
      <c r="Q12804" s="19" t="n"/>
      <c r="R12804" s="19" t="n"/>
      <c r="Y12804" s="19" t="n"/>
    </row>
    <row r="12805">
      <c r="C12805" s="18" t="n"/>
      <c r="J12805" s="19" t="n"/>
      <c r="P12805" s="20" t="n"/>
      <c r="Q12805" s="19" t="n"/>
      <c r="R12805" s="19" t="n"/>
      <c r="Y12805" s="19" t="n"/>
    </row>
    <row r="12806">
      <c r="C12806" s="18" t="n"/>
      <c r="J12806" s="19" t="n"/>
      <c r="P12806" s="20" t="n"/>
      <c r="Q12806" s="19" t="n"/>
      <c r="R12806" s="19" t="n"/>
      <c r="Y12806" s="19" t="n"/>
    </row>
    <row r="12807">
      <c r="C12807" s="18" t="n"/>
      <c r="J12807" s="19" t="n"/>
      <c r="P12807" s="20" t="n"/>
      <c r="Q12807" s="19" t="n"/>
      <c r="R12807" s="19" t="n"/>
      <c r="Y12807" s="19" t="n"/>
    </row>
    <row r="12808">
      <c r="C12808" s="18" t="n"/>
      <c r="J12808" s="19" t="n"/>
      <c r="P12808" s="20" t="n"/>
      <c r="Q12808" s="19" t="n"/>
      <c r="R12808" s="19" t="n"/>
      <c r="Y12808" s="19" t="n"/>
    </row>
    <row r="12809">
      <c r="C12809" s="18" t="n"/>
      <c r="J12809" s="19" t="n"/>
      <c r="P12809" s="20" t="n"/>
      <c r="Q12809" s="19" t="n"/>
      <c r="R12809" s="19" t="n"/>
      <c r="Y12809" s="19" t="n"/>
    </row>
    <row r="12810">
      <c r="C12810" s="18" t="n"/>
      <c r="J12810" s="19" t="n"/>
      <c r="P12810" s="20" t="n"/>
      <c r="Q12810" s="19" t="n"/>
      <c r="R12810" s="19" t="n"/>
      <c r="Y12810" s="19" t="n"/>
    </row>
    <row r="12811">
      <c r="C12811" s="18" t="n"/>
      <c r="J12811" s="19" t="n"/>
      <c r="P12811" s="20" t="n"/>
      <c r="Q12811" s="19" t="n"/>
      <c r="R12811" s="19" t="n"/>
      <c r="Y12811" s="19" t="n"/>
    </row>
    <row r="12812">
      <c r="C12812" s="18" t="n"/>
      <c r="J12812" s="19" t="n"/>
      <c r="P12812" s="20" t="n"/>
      <c r="Q12812" s="19" t="n"/>
      <c r="R12812" s="19" t="n"/>
      <c r="Y12812" s="19" t="n"/>
    </row>
    <row r="12813">
      <c r="C12813" s="18" t="n"/>
      <c r="J12813" s="19" t="n"/>
      <c r="P12813" s="20" t="n"/>
      <c r="Q12813" s="19" t="n"/>
      <c r="R12813" s="19" t="n"/>
      <c r="Y12813" s="19" t="n"/>
    </row>
    <row r="12814">
      <c r="C12814" s="18" t="n"/>
      <c r="J12814" s="19" t="n"/>
      <c r="P12814" s="20" t="n"/>
      <c r="Q12814" s="19" t="n"/>
      <c r="R12814" s="19" t="n"/>
      <c r="Y12814" s="19" t="n"/>
    </row>
    <row r="12815">
      <c r="C12815" s="18" t="n"/>
      <c r="J12815" s="19" t="n"/>
      <c r="P12815" s="20" t="n"/>
      <c r="Q12815" s="19" t="n"/>
      <c r="R12815" s="19" t="n"/>
      <c r="Y12815" s="19" t="n"/>
    </row>
    <row r="12816">
      <c r="C12816" s="18" t="n"/>
      <c r="J12816" s="19" t="n"/>
      <c r="P12816" s="20" t="n"/>
      <c r="Q12816" s="19" t="n"/>
      <c r="R12816" s="19" t="n"/>
      <c r="Y12816" s="19" t="n"/>
    </row>
    <row r="12817">
      <c r="C12817" s="18" t="n"/>
      <c r="J12817" s="19" t="n"/>
      <c r="P12817" s="20" t="n"/>
      <c r="Q12817" s="19" t="n"/>
      <c r="R12817" s="19" t="n"/>
      <c r="Y12817" s="19" t="n"/>
    </row>
    <row r="12818">
      <c r="C12818" s="18" t="n"/>
      <c r="J12818" s="19" t="n"/>
      <c r="P12818" s="20" t="n"/>
      <c r="Q12818" s="19" t="n"/>
      <c r="R12818" s="19" t="n"/>
      <c r="Y12818" s="19" t="n"/>
    </row>
    <row r="12819">
      <c r="C12819" s="18" t="n"/>
      <c r="J12819" s="19" t="n"/>
      <c r="P12819" s="20" t="n"/>
      <c r="Q12819" s="19" t="n"/>
      <c r="R12819" s="19" t="n"/>
      <c r="Y12819" s="19" t="n"/>
    </row>
    <row r="12820">
      <c r="C12820" s="18" t="n"/>
      <c r="J12820" s="19" t="n"/>
      <c r="P12820" s="20" t="n"/>
      <c r="Q12820" s="19" t="n"/>
      <c r="R12820" s="19" t="n"/>
      <c r="Y12820" s="19" t="n"/>
    </row>
    <row r="12821">
      <c r="C12821" s="18" t="n"/>
      <c r="J12821" s="19" t="n"/>
      <c r="P12821" s="20" t="n"/>
      <c r="Q12821" s="19" t="n"/>
      <c r="R12821" s="19" t="n"/>
      <c r="Y12821" s="19" t="n"/>
    </row>
    <row r="12822">
      <c r="C12822" s="18" t="n"/>
      <c r="J12822" s="19" t="n"/>
      <c r="P12822" s="20" t="n"/>
      <c r="Q12822" s="19" t="n"/>
      <c r="R12822" s="19" t="n"/>
      <c r="Y12822" s="19" t="n"/>
    </row>
    <row r="12823">
      <c r="C12823" s="18" t="n"/>
      <c r="J12823" s="19" t="n"/>
      <c r="P12823" s="20" t="n"/>
      <c r="Q12823" s="19" t="n"/>
      <c r="R12823" s="19" t="n"/>
      <c r="Y12823" s="19" t="n"/>
    </row>
    <row r="12824">
      <c r="C12824" s="18" t="n"/>
      <c r="J12824" s="19" t="n"/>
      <c r="P12824" s="20" t="n"/>
      <c r="Q12824" s="19" t="n"/>
      <c r="R12824" s="19" t="n"/>
      <c r="Y12824" s="19" t="n"/>
    </row>
    <row r="12825">
      <c r="C12825" s="18" t="n"/>
      <c r="J12825" s="19" t="n"/>
      <c r="P12825" s="20" t="n"/>
      <c r="Q12825" s="19" t="n"/>
      <c r="R12825" s="19" t="n"/>
      <c r="Y12825" s="19" t="n"/>
    </row>
    <row r="12826">
      <c r="C12826" s="18" t="n"/>
      <c r="J12826" s="19" t="n"/>
      <c r="P12826" s="20" t="n"/>
      <c r="Q12826" s="19" t="n"/>
      <c r="R12826" s="19" t="n"/>
      <c r="Y12826" s="19" t="n"/>
    </row>
    <row r="12827">
      <c r="C12827" s="18" t="n"/>
      <c r="J12827" s="19" t="n"/>
      <c r="P12827" s="20" t="n"/>
      <c r="Q12827" s="19" t="n"/>
      <c r="R12827" s="19" t="n"/>
      <c r="Y12827" s="19" t="n"/>
    </row>
    <row r="12828">
      <c r="C12828" s="18" t="n"/>
      <c r="J12828" s="19" t="n"/>
      <c r="P12828" s="20" t="n"/>
      <c r="Q12828" s="19" t="n"/>
      <c r="R12828" s="19" t="n"/>
      <c r="Y12828" s="19" t="n"/>
    </row>
    <row r="12829">
      <c r="C12829" s="18" t="n"/>
      <c r="J12829" s="19" t="n"/>
      <c r="P12829" s="20" t="n"/>
      <c r="Q12829" s="19" t="n"/>
      <c r="R12829" s="19" t="n"/>
      <c r="Y12829" s="19" t="n"/>
    </row>
    <row r="12830">
      <c r="C12830" s="18" t="n"/>
      <c r="J12830" s="19" t="n"/>
      <c r="P12830" s="20" t="n"/>
      <c r="Q12830" s="19" t="n"/>
      <c r="R12830" s="19" t="n"/>
      <c r="Y12830" s="19" t="n"/>
    </row>
    <row r="12831">
      <c r="C12831" s="18" t="n"/>
      <c r="J12831" s="19" t="n"/>
      <c r="P12831" s="20" t="n"/>
      <c r="Q12831" s="19" t="n"/>
      <c r="R12831" s="19" t="n"/>
      <c r="Y12831" s="19" t="n"/>
    </row>
    <row r="12832">
      <c r="C12832" s="18" t="n"/>
      <c r="J12832" s="19" t="n"/>
      <c r="P12832" s="20" t="n"/>
      <c r="Q12832" s="19" t="n"/>
      <c r="R12832" s="19" t="n"/>
      <c r="Y12832" s="19" t="n"/>
    </row>
    <row r="12833">
      <c r="C12833" s="18" t="n"/>
      <c r="J12833" s="19" t="n"/>
      <c r="P12833" s="20" t="n"/>
      <c r="Q12833" s="19" t="n"/>
      <c r="R12833" s="19" t="n"/>
      <c r="Y12833" s="19" t="n"/>
    </row>
    <row r="12834">
      <c r="C12834" s="18" t="n"/>
      <c r="J12834" s="19" t="n"/>
      <c r="P12834" s="20" t="n"/>
      <c r="Q12834" s="19" t="n"/>
      <c r="R12834" s="19" t="n"/>
      <c r="Y12834" s="19" t="n"/>
    </row>
    <row r="12835">
      <c r="C12835" s="18" t="n"/>
      <c r="J12835" s="19" t="n"/>
      <c r="P12835" s="20" t="n"/>
      <c r="Q12835" s="19" t="n"/>
      <c r="R12835" s="19" t="n"/>
      <c r="Y12835" s="19" t="n"/>
    </row>
    <row r="12836">
      <c r="C12836" s="18" t="n"/>
      <c r="J12836" s="19" t="n"/>
      <c r="P12836" s="20" t="n"/>
      <c r="Q12836" s="19" t="n"/>
      <c r="R12836" s="19" t="n"/>
      <c r="Y12836" s="19" t="n"/>
    </row>
    <row r="12837">
      <c r="C12837" s="18" t="n"/>
      <c r="J12837" s="19" t="n"/>
      <c r="P12837" s="20" t="n"/>
      <c r="Q12837" s="19" t="n"/>
      <c r="R12837" s="19" t="n"/>
      <c r="Y12837" s="19" t="n"/>
    </row>
    <row r="12838">
      <c r="C12838" s="18" t="n"/>
      <c r="J12838" s="19" t="n"/>
      <c r="P12838" s="20" t="n"/>
      <c r="Q12838" s="19" t="n"/>
      <c r="R12838" s="19" t="n"/>
      <c r="Y12838" s="19" t="n"/>
    </row>
    <row r="12839">
      <c r="C12839" s="18" t="n"/>
      <c r="J12839" s="19" t="n"/>
      <c r="P12839" s="20" t="n"/>
      <c r="Q12839" s="19" t="n"/>
      <c r="R12839" s="19" t="n"/>
      <c r="Y12839" s="19" t="n"/>
    </row>
    <row r="12840">
      <c r="C12840" s="18" t="n"/>
      <c r="J12840" s="19" t="n"/>
      <c r="P12840" s="20" t="n"/>
      <c r="Q12840" s="19" t="n"/>
      <c r="R12840" s="19" t="n"/>
      <c r="Y12840" s="19" t="n"/>
    </row>
    <row r="12841">
      <c r="C12841" s="18" t="n"/>
      <c r="J12841" s="19" t="n"/>
      <c r="P12841" s="20" t="n"/>
      <c r="Q12841" s="19" t="n"/>
      <c r="R12841" s="19" t="n"/>
      <c r="Y12841" s="19" t="n"/>
    </row>
    <row r="12842">
      <c r="C12842" s="18" t="n"/>
      <c r="J12842" s="19" t="n"/>
      <c r="P12842" s="20" t="n"/>
      <c r="Q12842" s="19" t="n"/>
      <c r="R12842" s="19" t="n"/>
      <c r="Y12842" s="19" t="n"/>
    </row>
    <row r="12843">
      <c r="C12843" s="18" t="n"/>
      <c r="J12843" s="19" t="n"/>
      <c r="P12843" s="20" t="n"/>
      <c r="Q12843" s="19" t="n"/>
      <c r="R12843" s="19" t="n"/>
      <c r="Y12843" s="19" t="n"/>
    </row>
    <row r="12844">
      <c r="C12844" s="18" t="n"/>
      <c r="J12844" s="19" t="n"/>
      <c r="P12844" s="20" t="n"/>
      <c r="Q12844" s="19" t="n"/>
      <c r="R12844" s="19" t="n"/>
      <c r="Y12844" s="19" t="n"/>
    </row>
    <row r="12845">
      <c r="C12845" s="18" t="n"/>
      <c r="J12845" s="19" t="n"/>
      <c r="P12845" s="20" t="n"/>
      <c r="Q12845" s="19" t="n"/>
      <c r="R12845" s="19" t="n"/>
      <c r="Y12845" s="19" t="n"/>
    </row>
    <row r="12846">
      <c r="C12846" s="18" t="n"/>
      <c r="J12846" s="19" t="n"/>
      <c r="P12846" s="20" t="n"/>
      <c r="Q12846" s="19" t="n"/>
      <c r="R12846" s="19" t="n"/>
      <c r="Y12846" s="19" t="n"/>
    </row>
    <row r="12847">
      <c r="C12847" s="18" t="n"/>
      <c r="J12847" s="19" t="n"/>
      <c r="P12847" s="20" t="n"/>
      <c r="Q12847" s="19" t="n"/>
      <c r="R12847" s="19" t="n"/>
      <c r="Y12847" s="19" t="n"/>
    </row>
    <row r="12848">
      <c r="C12848" s="18" t="n"/>
      <c r="J12848" s="19" t="n"/>
      <c r="P12848" s="20" t="n"/>
      <c r="Q12848" s="19" t="n"/>
      <c r="R12848" s="19" t="n"/>
      <c r="Y12848" s="19" t="n"/>
    </row>
    <row r="12849">
      <c r="C12849" s="18" t="n"/>
      <c r="J12849" s="19" t="n"/>
      <c r="P12849" s="20" t="n"/>
      <c r="Q12849" s="19" t="n"/>
      <c r="R12849" s="19" t="n"/>
      <c r="Y12849" s="19" t="n"/>
    </row>
    <row r="12850">
      <c r="C12850" s="18" t="n"/>
      <c r="J12850" s="19" t="n"/>
      <c r="P12850" s="20" t="n"/>
      <c r="Q12850" s="19" t="n"/>
      <c r="R12850" s="19" t="n"/>
      <c r="Y12850" s="19" t="n"/>
    </row>
    <row r="12851">
      <c r="C12851" s="18" t="n"/>
      <c r="J12851" s="19" t="n"/>
      <c r="P12851" s="20" t="n"/>
      <c r="Q12851" s="19" t="n"/>
      <c r="R12851" s="19" t="n"/>
      <c r="Y12851" s="19" t="n"/>
    </row>
    <row r="12852">
      <c r="C12852" s="18" t="n"/>
      <c r="J12852" s="19" t="n"/>
      <c r="P12852" s="20" t="n"/>
      <c r="Q12852" s="19" t="n"/>
      <c r="R12852" s="19" t="n"/>
      <c r="Y12852" s="19" t="n"/>
    </row>
    <row r="12853">
      <c r="C12853" s="18" t="n"/>
      <c r="J12853" s="19" t="n"/>
      <c r="P12853" s="20" t="n"/>
      <c r="Q12853" s="19" t="n"/>
      <c r="R12853" s="19" t="n"/>
      <c r="Y12853" s="19" t="n"/>
    </row>
    <row r="12854">
      <c r="C12854" s="18" t="n"/>
      <c r="J12854" s="19" t="n"/>
      <c r="P12854" s="20" t="n"/>
      <c r="Q12854" s="19" t="n"/>
      <c r="R12854" s="19" t="n"/>
      <c r="Y12854" s="19" t="n"/>
    </row>
    <row r="12855">
      <c r="C12855" s="18" t="n"/>
      <c r="J12855" s="19" t="n"/>
      <c r="P12855" s="20" t="n"/>
      <c r="Q12855" s="19" t="n"/>
      <c r="R12855" s="19" t="n"/>
      <c r="Y12855" s="19" t="n"/>
    </row>
    <row r="12856">
      <c r="C12856" s="18" t="n"/>
      <c r="J12856" s="19" t="n"/>
      <c r="P12856" s="20" t="n"/>
      <c r="Q12856" s="19" t="n"/>
      <c r="R12856" s="19" t="n"/>
      <c r="Y12856" s="19" t="n"/>
    </row>
    <row r="12857">
      <c r="C12857" s="18" t="n"/>
      <c r="J12857" s="19" t="n"/>
      <c r="P12857" s="20" t="n"/>
      <c r="Q12857" s="19" t="n"/>
      <c r="R12857" s="19" t="n"/>
      <c r="Y12857" s="19" t="n"/>
    </row>
    <row r="12858">
      <c r="C12858" s="18" t="n"/>
      <c r="J12858" s="19" t="n"/>
      <c r="P12858" s="20" t="n"/>
      <c r="Q12858" s="19" t="n"/>
      <c r="R12858" s="19" t="n"/>
      <c r="Y12858" s="19" t="n"/>
    </row>
    <row r="12859">
      <c r="C12859" s="18" t="n"/>
      <c r="J12859" s="19" t="n"/>
      <c r="P12859" s="20" t="n"/>
      <c r="Q12859" s="19" t="n"/>
      <c r="R12859" s="19" t="n"/>
      <c r="Y12859" s="19" t="n"/>
    </row>
    <row r="12860">
      <c r="C12860" s="18" t="n"/>
      <c r="J12860" s="19" t="n"/>
      <c r="P12860" s="20" t="n"/>
      <c r="Q12860" s="19" t="n"/>
      <c r="R12860" s="19" t="n"/>
      <c r="Y12860" s="19" t="n"/>
    </row>
    <row r="12861">
      <c r="C12861" s="18" t="n"/>
      <c r="J12861" s="19" t="n"/>
      <c r="P12861" s="20" t="n"/>
      <c r="Q12861" s="19" t="n"/>
      <c r="R12861" s="19" t="n"/>
      <c r="Y12861" s="19" t="n"/>
    </row>
    <row r="12862">
      <c r="C12862" s="18" t="n"/>
      <c r="J12862" s="19" t="n"/>
      <c r="P12862" s="20" t="n"/>
      <c r="Q12862" s="19" t="n"/>
      <c r="R12862" s="19" t="n"/>
      <c r="Y12862" s="19" t="n"/>
    </row>
    <row r="12863">
      <c r="C12863" s="18" t="n"/>
      <c r="J12863" s="19" t="n"/>
      <c r="P12863" s="20" t="n"/>
      <c r="Q12863" s="19" t="n"/>
      <c r="R12863" s="19" t="n"/>
      <c r="Y12863" s="19" t="n"/>
    </row>
    <row r="12864">
      <c r="C12864" s="18" t="n"/>
      <c r="J12864" s="19" t="n"/>
      <c r="P12864" s="20" t="n"/>
      <c r="Q12864" s="19" t="n"/>
      <c r="R12864" s="19" t="n"/>
      <c r="Y12864" s="19" t="n"/>
    </row>
    <row r="12865">
      <c r="C12865" s="18" t="n"/>
      <c r="J12865" s="19" t="n"/>
      <c r="P12865" s="20" t="n"/>
      <c r="Q12865" s="19" t="n"/>
      <c r="R12865" s="19" t="n"/>
      <c r="Y12865" s="19" t="n"/>
    </row>
    <row r="12866">
      <c r="C12866" s="18" t="n"/>
      <c r="J12866" s="19" t="n"/>
      <c r="P12866" s="20" t="n"/>
      <c r="Q12866" s="19" t="n"/>
      <c r="R12866" s="19" t="n"/>
      <c r="Y12866" s="19" t="n"/>
    </row>
    <row r="12867">
      <c r="C12867" s="18" t="n"/>
      <c r="J12867" s="19" t="n"/>
      <c r="P12867" s="20" t="n"/>
      <c r="Q12867" s="19" t="n"/>
      <c r="R12867" s="19" t="n"/>
      <c r="Y12867" s="19" t="n"/>
    </row>
    <row r="12868">
      <c r="C12868" s="18" t="n"/>
      <c r="J12868" s="19" t="n"/>
      <c r="P12868" s="20" t="n"/>
      <c r="Q12868" s="19" t="n"/>
      <c r="R12868" s="19" t="n"/>
      <c r="Y12868" s="19" t="n"/>
    </row>
    <row r="12869">
      <c r="C12869" s="18" t="n"/>
      <c r="J12869" s="19" t="n"/>
      <c r="P12869" s="20" t="n"/>
      <c r="Q12869" s="19" t="n"/>
      <c r="R12869" s="19" t="n"/>
      <c r="Y12869" s="19" t="n"/>
    </row>
    <row r="12870">
      <c r="C12870" s="18" t="n"/>
      <c r="J12870" s="19" t="n"/>
      <c r="P12870" s="20" t="n"/>
      <c r="Q12870" s="19" t="n"/>
      <c r="R12870" s="19" t="n"/>
      <c r="Y12870" s="19" t="n"/>
    </row>
    <row r="12871">
      <c r="C12871" s="18" t="n"/>
      <c r="J12871" s="19" t="n"/>
      <c r="P12871" s="20" t="n"/>
      <c r="Q12871" s="19" t="n"/>
      <c r="R12871" s="19" t="n"/>
      <c r="Y12871" s="19" t="n"/>
    </row>
    <row r="12872">
      <c r="C12872" s="18" t="n"/>
      <c r="J12872" s="19" t="n"/>
      <c r="P12872" s="20" t="n"/>
      <c r="Q12872" s="19" t="n"/>
      <c r="R12872" s="19" t="n"/>
      <c r="Y12872" s="19" t="n"/>
    </row>
    <row r="12873">
      <c r="C12873" s="18" t="n"/>
      <c r="J12873" s="19" t="n"/>
      <c r="P12873" s="20" t="n"/>
      <c r="Q12873" s="19" t="n"/>
      <c r="R12873" s="19" t="n"/>
      <c r="Y12873" s="19" t="n"/>
    </row>
    <row r="12874">
      <c r="C12874" s="18" t="n"/>
      <c r="J12874" s="19" t="n"/>
      <c r="P12874" s="20" t="n"/>
      <c r="Q12874" s="19" t="n"/>
      <c r="R12874" s="19" t="n"/>
      <c r="Y12874" s="19" t="n"/>
    </row>
    <row r="12875">
      <c r="C12875" s="18" t="n"/>
      <c r="J12875" s="19" t="n"/>
      <c r="P12875" s="20" t="n"/>
      <c r="Q12875" s="19" t="n"/>
      <c r="R12875" s="19" t="n"/>
      <c r="Y12875" s="19" t="n"/>
    </row>
    <row r="12876">
      <c r="C12876" s="18" t="n"/>
      <c r="J12876" s="19" t="n"/>
      <c r="P12876" s="20" t="n"/>
      <c r="Q12876" s="19" t="n"/>
      <c r="R12876" s="19" t="n"/>
      <c r="Y12876" s="19" t="n"/>
    </row>
    <row r="12877">
      <c r="C12877" s="18" t="n"/>
      <c r="J12877" s="19" t="n"/>
      <c r="P12877" s="20" t="n"/>
      <c r="Q12877" s="19" t="n"/>
      <c r="R12877" s="19" t="n"/>
      <c r="Y12877" s="19" t="n"/>
    </row>
    <row r="12878">
      <c r="C12878" s="18" t="n"/>
      <c r="J12878" s="19" t="n"/>
      <c r="P12878" s="20" t="n"/>
      <c r="Q12878" s="19" t="n"/>
      <c r="R12878" s="19" t="n"/>
      <c r="Y12878" s="19" t="n"/>
    </row>
    <row r="12879">
      <c r="C12879" s="18" t="n"/>
      <c r="J12879" s="19" t="n"/>
      <c r="P12879" s="20" t="n"/>
      <c r="Q12879" s="19" t="n"/>
      <c r="R12879" s="19" t="n"/>
      <c r="Y12879" s="19" t="n"/>
    </row>
    <row r="12880">
      <c r="C12880" s="18" t="n"/>
      <c r="J12880" s="19" t="n"/>
      <c r="P12880" s="20" t="n"/>
      <c r="Q12880" s="19" t="n"/>
      <c r="R12880" s="19" t="n"/>
      <c r="Y12880" s="19" t="n"/>
    </row>
    <row r="12881">
      <c r="C12881" s="18" t="n"/>
      <c r="J12881" s="19" t="n"/>
      <c r="P12881" s="20" t="n"/>
      <c r="Q12881" s="19" t="n"/>
      <c r="R12881" s="19" t="n"/>
      <c r="Y12881" s="19" t="n"/>
    </row>
    <row r="12882">
      <c r="C12882" s="18" t="n"/>
      <c r="J12882" s="19" t="n"/>
      <c r="P12882" s="20" t="n"/>
      <c r="Q12882" s="19" t="n"/>
      <c r="R12882" s="19" t="n"/>
      <c r="Y12882" s="19" t="n"/>
    </row>
    <row r="12883">
      <c r="C12883" s="18" t="n"/>
      <c r="J12883" s="19" t="n"/>
      <c r="P12883" s="20" t="n"/>
      <c r="Q12883" s="19" t="n"/>
      <c r="R12883" s="19" t="n"/>
      <c r="Y12883" s="19" t="n"/>
    </row>
    <row r="12884">
      <c r="C12884" s="18" t="n"/>
      <c r="J12884" s="19" t="n"/>
      <c r="P12884" s="20" t="n"/>
      <c r="Q12884" s="19" t="n"/>
      <c r="R12884" s="19" t="n"/>
      <c r="Y12884" s="19" t="n"/>
    </row>
    <row r="12885">
      <c r="C12885" s="18" t="n"/>
      <c r="J12885" s="19" t="n"/>
      <c r="P12885" s="20" t="n"/>
      <c r="Q12885" s="19" t="n"/>
      <c r="R12885" s="19" t="n"/>
      <c r="Y12885" s="19" t="n"/>
    </row>
    <row r="12886">
      <c r="C12886" s="18" t="n"/>
      <c r="J12886" s="19" t="n"/>
      <c r="P12886" s="20" t="n"/>
      <c r="Q12886" s="19" t="n"/>
      <c r="R12886" s="19" t="n"/>
      <c r="Y12886" s="19" t="n"/>
    </row>
    <row r="12887">
      <c r="C12887" s="18" t="n"/>
      <c r="J12887" s="19" t="n"/>
      <c r="P12887" s="20" t="n"/>
      <c r="Q12887" s="19" t="n"/>
      <c r="R12887" s="19" t="n"/>
      <c r="Y12887" s="19" t="n"/>
    </row>
    <row r="12888">
      <c r="C12888" s="18" t="n"/>
      <c r="J12888" s="19" t="n"/>
      <c r="P12888" s="20" t="n"/>
      <c r="Q12888" s="19" t="n"/>
      <c r="R12888" s="19" t="n"/>
      <c r="Y12888" s="19" t="n"/>
    </row>
    <row r="12889">
      <c r="C12889" s="18" t="n"/>
      <c r="J12889" s="19" t="n"/>
      <c r="P12889" s="20" t="n"/>
      <c r="Q12889" s="19" t="n"/>
      <c r="R12889" s="19" t="n"/>
      <c r="Y12889" s="19" t="n"/>
    </row>
    <row r="12890">
      <c r="C12890" s="18" t="n"/>
      <c r="J12890" s="19" t="n"/>
      <c r="P12890" s="20" t="n"/>
      <c r="Q12890" s="19" t="n"/>
      <c r="R12890" s="19" t="n"/>
      <c r="Y12890" s="19" t="n"/>
    </row>
    <row r="12891">
      <c r="C12891" s="18" t="n"/>
      <c r="J12891" s="19" t="n"/>
      <c r="P12891" s="20" t="n"/>
      <c r="Q12891" s="19" t="n"/>
      <c r="R12891" s="19" t="n"/>
      <c r="Y12891" s="19" t="n"/>
    </row>
    <row r="12892">
      <c r="C12892" s="18" t="n"/>
      <c r="J12892" s="19" t="n"/>
      <c r="P12892" s="20" t="n"/>
      <c r="Q12892" s="19" t="n"/>
      <c r="R12892" s="19" t="n"/>
      <c r="Y12892" s="19" t="n"/>
    </row>
    <row r="12893">
      <c r="C12893" s="18" t="n"/>
      <c r="J12893" s="19" t="n"/>
      <c r="P12893" s="20" t="n"/>
      <c r="Q12893" s="19" t="n"/>
      <c r="R12893" s="19" t="n"/>
      <c r="Y12893" s="19" t="n"/>
    </row>
    <row r="12894">
      <c r="C12894" s="18" t="n"/>
      <c r="J12894" s="19" t="n"/>
      <c r="P12894" s="20" t="n"/>
      <c r="Q12894" s="19" t="n"/>
      <c r="R12894" s="19" t="n"/>
      <c r="Y12894" s="19" t="n"/>
    </row>
    <row r="12895">
      <c r="C12895" s="18" t="n"/>
      <c r="J12895" s="19" t="n"/>
      <c r="P12895" s="20" t="n"/>
      <c r="Q12895" s="19" t="n"/>
      <c r="R12895" s="19" t="n"/>
      <c r="Y12895" s="19" t="n"/>
    </row>
    <row r="12896">
      <c r="C12896" s="18" t="n"/>
      <c r="J12896" s="19" t="n"/>
      <c r="P12896" s="20" t="n"/>
      <c r="Q12896" s="19" t="n"/>
      <c r="R12896" s="19" t="n"/>
      <c r="Y12896" s="19" t="n"/>
    </row>
    <row r="12897">
      <c r="C12897" s="18" t="n"/>
      <c r="J12897" s="19" t="n"/>
      <c r="P12897" s="20" t="n"/>
      <c r="Q12897" s="19" t="n"/>
      <c r="R12897" s="19" t="n"/>
      <c r="Y12897" s="19" t="n"/>
    </row>
    <row r="12898">
      <c r="C12898" s="18" t="n"/>
      <c r="J12898" s="19" t="n"/>
      <c r="P12898" s="20" t="n"/>
      <c r="Q12898" s="19" t="n"/>
      <c r="R12898" s="19" t="n"/>
      <c r="Y12898" s="19" t="n"/>
    </row>
    <row r="12899">
      <c r="C12899" s="18" t="n"/>
      <c r="J12899" s="19" t="n"/>
      <c r="P12899" s="20" t="n"/>
      <c r="Q12899" s="19" t="n"/>
      <c r="R12899" s="19" t="n"/>
      <c r="Y12899" s="19" t="n"/>
    </row>
    <row r="12900">
      <c r="C12900" s="18" t="n"/>
      <c r="J12900" s="19" t="n"/>
      <c r="P12900" s="20" t="n"/>
      <c r="Q12900" s="19" t="n"/>
      <c r="R12900" s="19" t="n"/>
      <c r="Y12900" s="19" t="n"/>
    </row>
    <row r="12901">
      <c r="C12901" s="18" t="n"/>
      <c r="J12901" s="19" t="n"/>
      <c r="P12901" s="20" t="n"/>
      <c r="Q12901" s="19" t="n"/>
      <c r="R12901" s="19" t="n"/>
      <c r="Y12901" s="19" t="n"/>
    </row>
    <row r="12902">
      <c r="C12902" s="18" t="n"/>
      <c r="J12902" s="19" t="n"/>
      <c r="P12902" s="20" t="n"/>
      <c r="Q12902" s="19" t="n"/>
      <c r="R12902" s="19" t="n"/>
      <c r="Y12902" s="19" t="n"/>
    </row>
    <row r="12903">
      <c r="C12903" s="18" t="n"/>
      <c r="J12903" s="19" t="n"/>
      <c r="P12903" s="20" t="n"/>
      <c r="Q12903" s="19" t="n"/>
      <c r="R12903" s="19" t="n"/>
      <c r="Y12903" s="19" t="n"/>
    </row>
    <row r="12904">
      <c r="C12904" s="18" t="n"/>
      <c r="J12904" s="19" t="n"/>
      <c r="P12904" s="20" t="n"/>
      <c r="Q12904" s="19" t="n"/>
      <c r="R12904" s="19" t="n"/>
      <c r="Y12904" s="19" t="n"/>
    </row>
    <row r="12905">
      <c r="C12905" s="18" t="n"/>
      <c r="J12905" s="19" t="n"/>
      <c r="P12905" s="20" t="n"/>
      <c r="Q12905" s="19" t="n"/>
      <c r="R12905" s="19" t="n"/>
      <c r="Y12905" s="19" t="n"/>
    </row>
    <row r="12906">
      <c r="C12906" s="18" t="n"/>
      <c r="J12906" s="19" t="n"/>
      <c r="P12906" s="20" t="n"/>
      <c r="Q12906" s="19" t="n"/>
      <c r="R12906" s="19" t="n"/>
      <c r="Y12906" s="19" t="n"/>
    </row>
    <row r="12907">
      <c r="C12907" s="18" t="n"/>
      <c r="J12907" s="19" t="n"/>
      <c r="P12907" s="20" t="n"/>
      <c r="Q12907" s="19" t="n"/>
      <c r="R12907" s="19" t="n"/>
      <c r="Y12907" s="19" t="n"/>
    </row>
    <row r="12908">
      <c r="C12908" s="18" t="n"/>
      <c r="J12908" s="19" t="n"/>
      <c r="P12908" s="20" t="n"/>
      <c r="Q12908" s="19" t="n"/>
      <c r="R12908" s="19" t="n"/>
      <c r="Y12908" s="19" t="n"/>
    </row>
    <row r="12909">
      <c r="C12909" s="18" t="n"/>
      <c r="J12909" s="19" t="n"/>
      <c r="P12909" s="20" t="n"/>
      <c r="Q12909" s="19" t="n"/>
      <c r="R12909" s="19" t="n"/>
      <c r="Y12909" s="19" t="n"/>
    </row>
    <row r="12910">
      <c r="C12910" s="18" t="n"/>
      <c r="J12910" s="19" t="n"/>
      <c r="P12910" s="20" t="n"/>
      <c r="Q12910" s="19" t="n"/>
      <c r="R12910" s="19" t="n"/>
      <c r="Y12910" s="19" t="n"/>
    </row>
    <row r="12911">
      <c r="C12911" s="18" t="n"/>
      <c r="J12911" s="19" t="n"/>
      <c r="P12911" s="20" t="n"/>
      <c r="Q12911" s="19" t="n"/>
      <c r="R12911" s="19" t="n"/>
      <c r="Y12911" s="19" t="n"/>
    </row>
    <row r="12912">
      <c r="C12912" s="18" t="n"/>
      <c r="J12912" s="19" t="n"/>
      <c r="P12912" s="20" t="n"/>
      <c r="Q12912" s="19" t="n"/>
      <c r="R12912" s="19" t="n"/>
      <c r="Y12912" s="19" t="n"/>
    </row>
    <row r="12913">
      <c r="C12913" s="18" t="n"/>
      <c r="J12913" s="19" t="n"/>
      <c r="P12913" s="20" t="n"/>
      <c r="Q12913" s="19" t="n"/>
      <c r="R12913" s="19" t="n"/>
      <c r="Y12913" s="19" t="n"/>
    </row>
    <row r="12914">
      <c r="C12914" s="18" t="n"/>
      <c r="J12914" s="19" t="n"/>
      <c r="P12914" s="20" t="n"/>
      <c r="Q12914" s="19" t="n"/>
      <c r="R12914" s="19" t="n"/>
      <c r="Y12914" s="19" t="n"/>
    </row>
    <row r="12915">
      <c r="C12915" s="18" t="n"/>
      <c r="J12915" s="19" t="n"/>
      <c r="P12915" s="20" t="n"/>
      <c r="Q12915" s="19" t="n"/>
      <c r="R12915" s="19" t="n"/>
      <c r="Y12915" s="19" t="n"/>
    </row>
    <row r="12916">
      <c r="C12916" s="18" t="n"/>
      <c r="J12916" s="19" t="n"/>
      <c r="P12916" s="20" t="n"/>
      <c r="Q12916" s="19" t="n"/>
      <c r="R12916" s="19" t="n"/>
      <c r="Y12916" s="19" t="n"/>
    </row>
    <row r="12917">
      <c r="C12917" s="18" t="n"/>
      <c r="J12917" s="19" t="n"/>
      <c r="P12917" s="20" t="n"/>
      <c r="Q12917" s="19" t="n"/>
      <c r="R12917" s="19" t="n"/>
      <c r="Y12917" s="19" t="n"/>
    </row>
    <row r="12918">
      <c r="C12918" s="18" t="n"/>
      <c r="J12918" s="19" t="n"/>
      <c r="P12918" s="20" t="n"/>
      <c r="Q12918" s="19" t="n"/>
      <c r="R12918" s="19" t="n"/>
      <c r="Y12918" s="19" t="n"/>
    </row>
    <row r="12919">
      <c r="C12919" s="18" t="n"/>
      <c r="J12919" s="19" t="n"/>
      <c r="P12919" s="20" t="n"/>
      <c r="Q12919" s="19" t="n"/>
      <c r="R12919" s="19" t="n"/>
      <c r="Y12919" s="19" t="n"/>
    </row>
    <row r="12920">
      <c r="C12920" s="18" t="n"/>
      <c r="J12920" s="19" t="n"/>
      <c r="P12920" s="20" t="n"/>
      <c r="Q12920" s="19" t="n"/>
      <c r="R12920" s="19" t="n"/>
      <c r="Y12920" s="19" t="n"/>
    </row>
    <row r="12921">
      <c r="C12921" s="18" t="n"/>
      <c r="J12921" s="19" t="n"/>
      <c r="P12921" s="20" t="n"/>
      <c r="Q12921" s="19" t="n"/>
      <c r="R12921" s="19" t="n"/>
      <c r="Y12921" s="19" t="n"/>
    </row>
    <row r="12922">
      <c r="C12922" s="18" t="n"/>
      <c r="J12922" s="19" t="n"/>
      <c r="P12922" s="20" t="n"/>
      <c r="Q12922" s="19" t="n"/>
      <c r="R12922" s="19" t="n"/>
      <c r="Y12922" s="19" t="n"/>
    </row>
    <row r="12923">
      <c r="C12923" s="18" t="n"/>
      <c r="J12923" s="19" t="n"/>
      <c r="P12923" s="20" t="n"/>
      <c r="Q12923" s="19" t="n"/>
      <c r="R12923" s="19" t="n"/>
      <c r="Y12923" s="19" t="n"/>
    </row>
    <row r="12924">
      <c r="C12924" s="18" t="n"/>
      <c r="J12924" s="19" t="n"/>
      <c r="P12924" s="20" t="n"/>
      <c r="Q12924" s="19" t="n"/>
      <c r="R12924" s="19" t="n"/>
      <c r="Y12924" s="19" t="n"/>
    </row>
    <row r="12925">
      <c r="C12925" s="18" t="n"/>
      <c r="J12925" s="19" t="n"/>
      <c r="P12925" s="20" t="n"/>
      <c r="Q12925" s="19" t="n"/>
      <c r="R12925" s="19" t="n"/>
      <c r="Y12925" s="19" t="n"/>
    </row>
    <row r="12926">
      <c r="C12926" s="18" t="n"/>
      <c r="J12926" s="19" t="n"/>
      <c r="P12926" s="20" t="n"/>
      <c r="Q12926" s="19" t="n"/>
      <c r="R12926" s="19" t="n"/>
      <c r="Y12926" s="19" t="n"/>
    </row>
    <row r="12927">
      <c r="C12927" s="18" t="n"/>
      <c r="J12927" s="19" t="n"/>
      <c r="P12927" s="20" t="n"/>
      <c r="Q12927" s="19" t="n"/>
      <c r="R12927" s="19" t="n"/>
      <c r="Y12927" s="19" t="n"/>
    </row>
    <row r="12928">
      <c r="C12928" s="18" t="n"/>
      <c r="J12928" s="19" t="n"/>
      <c r="P12928" s="20" t="n"/>
      <c r="Q12928" s="19" t="n"/>
      <c r="R12928" s="19" t="n"/>
      <c r="Y12928" s="19" t="n"/>
    </row>
    <row r="12929">
      <c r="C12929" s="18" t="n"/>
      <c r="J12929" s="19" t="n"/>
      <c r="P12929" s="20" t="n"/>
      <c r="Q12929" s="19" t="n"/>
      <c r="R12929" s="19" t="n"/>
      <c r="Y12929" s="19" t="n"/>
    </row>
    <row r="12930">
      <c r="C12930" s="18" t="n"/>
      <c r="J12930" s="19" t="n"/>
      <c r="P12930" s="20" t="n"/>
      <c r="Q12930" s="19" t="n"/>
      <c r="R12930" s="19" t="n"/>
      <c r="Y12930" s="19" t="n"/>
    </row>
    <row r="12931">
      <c r="C12931" s="18" t="n"/>
      <c r="J12931" s="19" t="n"/>
      <c r="P12931" s="20" t="n"/>
      <c r="Q12931" s="19" t="n"/>
      <c r="R12931" s="19" t="n"/>
      <c r="Y12931" s="19" t="n"/>
    </row>
    <row r="12932">
      <c r="C12932" s="18" t="n"/>
      <c r="J12932" s="19" t="n"/>
      <c r="P12932" s="20" t="n"/>
      <c r="Q12932" s="19" t="n"/>
      <c r="R12932" s="19" t="n"/>
      <c r="Y12932" s="19" t="n"/>
    </row>
    <row r="12933">
      <c r="C12933" s="18" t="n"/>
      <c r="J12933" s="19" t="n"/>
      <c r="P12933" s="20" t="n"/>
      <c r="Q12933" s="19" t="n"/>
      <c r="R12933" s="19" t="n"/>
      <c r="Y12933" s="19" t="n"/>
    </row>
    <row r="12934">
      <c r="C12934" s="18" t="n"/>
      <c r="J12934" s="19" t="n"/>
      <c r="P12934" s="20" t="n"/>
      <c r="Q12934" s="19" t="n"/>
      <c r="R12934" s="19" t="n"/>
      <c r="Y12934" s="19" t="n"/>
    </row>
    <row r="12935">
      <c r="C12935" s="18" t="n"/>
      <c r="J12935" s="19" t="n"/>
      <c r="P12935" s="20" t="n"/>
      <c r="Q12935" s="19" t="n"/>
      <c r="R12935" s="19" t="n"/>
      <c r="Y12935" s="19" t="n"/>
    </row>
    <row r="12936">
      <c r="C12936" s="18" t="n"/>
      <c r="J12936" s="19" t="n"/>
      <c r="P12936" s="20" t="n"/>
      <c r="Q12936" s="19" t="n"/>
      <c r="R12936" s="19" t="n"/>
      <c r="Y12936" s="19" t="n"/>
    </row>
    <row r="12937">
      <c r="C12937" s="18" t="n"/>
      <c r="J12937" s="19" t="n"/>
      <c r="P12937" s="20" t="n"/>
      <c r="Q12937" s="19" t="n"/>
      <c r="R12937" s="19" t="n"/>
      <c r="Y12937" s="19" t="n"/>
    </row>
    <row r="12938">
      <c r="C12938" s="18" t="n"/>
      <c r="J12938" s="19" t="n"/>
      <c r="P12938" s="20" t="n"/>
      <c r="Q12938" s="19" t="n"/>
      <c r="R12938" s="19" t="n"/>
      <c r="Y12938" s="19" t="n"/>
    </row>
    <row r="12939">
      <c r="C12939" s="18" t="n"/>
      <c r="J12939" s="19" t="n"/>
      <c r="P12939" s="20" t="n"/>
      <c r="Q12939" s="19" t="n"/>
      <c r="R12939" s="19" t="n"/>
      <c r="Y12939" s="19" t="n"/>
    </row>
    <row r="12940">
      <c r="C12940" s="18" t="n"/>
      <c r="J12940" s="19" t="n"/>
      <c r="P12940" s="20" t="n"/>
      <c r="Q12940" s="19" t="n"/>
      <c r="R12940" s="19" t="n"/>
      <c r="Y12940" s="19" t="n"/>
    </row>
    <row r="12941">
      <c r="C12941" s="18" t="n"/>
      <c r="J12941" s="19" t="n"/>
      <c r="P12941" s="20" t="n"/>
      <c r="Q12941" s="19" t="n"/>
      <c r="R12941" s="19" t="n"/>
      <c r="Y12941" s="19" t="n"/>
    </row>
    <row r="12942">
      <c r="C12942" s="18" t="n"/>
      <c r="J12942" s="19" t="n"/>
      <c r="P12942" s="20" t="n"/>
      <c r="Q12942" s="19" t="n"/>
      <c r="R12942" s="19" t="n"/>
      <c r="Y12942" s="19" t="n"/>
    </row>
    <row r="12943">
      <c r="C12943" s="18" t="n"/>
      <c r="J12943" s="19" t="n"/>
      <c r="P12943" s="20" t="n"/>
      <c r="Q12943" s="19" t="n"/>
      <c r="R12943" s="19" t="n"/>
      <c r="Y12943" s="19" t="n"/>
    </row>
    <row r="12944">
      <c r="C12944" s="18" t="n"/>
      <c r="J12944" s="19" t="n"/>
      <c r="P12944" s="20" t="n"/>
      <c r="Q12944" s="19" t="n"/>
      <c r="R12944" s="19" t="n"/>
      <c r="Y12944" s="19" t="n"/>
    </row>
    <row r="12945">
      <c r="C12945" s="18" t="n"/>
      <c r="J12945" s="19" t="n"/>
      <c r="P12945" s="20" t="n"/>
      <c r="Q12945" s="19" t="n"/>
      <c r="R12945" s="19" t="n"/>
      <c r="Y12945" s="19" t="n"/>
    </row>
    <row r="12946">
      <c r="C12946" s="18" t="n"/>
      <c r="J12946" s="19" t="n"/>
      <c r="P12946" s="20" t="n"/>
      <c r="Q12946" s="19" t="n"/>
      <c r="R12946" s="19" t="n"/>
      <c r="Y12946" s="19" t="n"/>
    </row>
    <row r="12947">
      <c r="C12947" s="18" t="n"/>
      <c r="J12947" s="19" t="n"/>
      <c r="P12947" s="20" t="n"/>
      <c r="Q12947" s="19" t="n"/>
      <c r="R12947" s="19" t="n"/>
      <c r="Y12947" s="19" t="n"/>
    </row>
    <row r="12948">
      <c r="C12948" s="18" t="n"/>
      <c r="J12948" s="19" t="n"/>
      <c r="P12948" s="20" t="n"/>
      <c r="Q12948" s="19" t="n"/>
      <c r="R12948" s="19" t="n"/>
      <c r="Y12948" s="19" t="n"/>
    </row>
    <row r="12949">
      <c r="C12949" s="18" t="n"/>
      <c r="J12949" s="19" t="n"/>
      <c r="P12949" s="20" t="n"/>
      <c r="Q12949" s="19" t="n"/>
      <c r="R12949" s="19" t="n"/>
      <c r="Y12949" s="19" t="n"/>
    </row>
    <row r="12950">
      <c r="C12950" s="18" t="n"/>
      <c r="J12950" s="19" t="n"/>
      <c r="P12950" s="20" t="n"/>
      <c r="Q12950" s="19" t="n"/>
      <c r="R12950" s="19" t="n"/>
      <c r="Y12950" s="19" t="n"/>
    </row>
    <row r="12951">
      <c r="C12951" s="18" t="n"/>
      <c r="J12951" s="19" t="n"/>
      <c r="P12951" s="20" t="n"/>
      <c r="Q12951" s="19" t="n"/>
      <c r="R12951" s="19" t="n"/>
      <c r="Y12951" s="19" t="n"/>
    </row>
    <row r="12952">
      <c r="C12952" s="18" t="n"/>
      <c r="J12952" s="19" t="n"/>
      <c r="P12952" s="20" t="n"/>
      <c r="Q12952" s="19" t="n"/>
      <c r="R12952" s="19" t="n"/>
      <c r="Y12952" s="19" t="n"/>
    </row>
    <row r="12953">
      <c r="C12953" s="18" t="n"/>
      <c r="J12953" s="19" t="n"/>
      <c r="P12953" s="20" t="n"/>
      <c r="Q12953" s="19" t="n"/>
      <c r="R12953" s="19" t="n"/>
      <c r="Y12953" s="19" t="n"/>
    </row>
    <row r="12954">
      <c r="C12954" s="18" t="n"/>
      <c r="J12954" s="19" t="n"/>
      <c r="P12954" s="20" t="n"/>
      <c r="Q12954" s="19" t="n"/>
      <c r="R12954" s="19" t="n"/>
      <c r="Y12954" s="19" t="n"/>
    </row>
    <row r="12955">
      <c r="C12955" s="18" t="n"/>
      <c r="J12955" s="19" t="n"/>
      <c r="P12955" s="20" t="n"/>
      <c r="Q12955" s="19" t="n"/>
      <c r="R12955" s="19" t="n"/>
      <c r="Y12955" s="19" t="n"/>
    </row>
    <row r="12956">
      <c r="C12956" s="18" t="n"/>
      <c r="J12956" s="19" t="n"/>
      <c r="P12956" s="20" t="n"/>
      <c r="Q12956" s="19" t="n"/>
      <c r="R12956" s="19" t="n"/>
      <c r="Y12956" s="19" t="n"/>
    </row>
    <row r="12957">
      <c r="C12957" s="18" t="n"/>
      <c r="J12957" s="19" t="n"/>
      <c r="P12957" s="20" t="n"/>
      <c r="Q12957" s="19" t="n"/>
      <c r="R12957" s="19" t="n"/>
      <c r="Y12957" s="19" t="n"/>
    </row>
    <row r="12958">
      <c r="C12958" s="18" t="n"/>
      <c r="J12958" s="19" t="n"/>
      <c r="P12958" s="20" t="n"/>
      <c r="Q12958" s="19" t="n"/>
      <c r="R12958" s="19" t="n"/>
      <c r="Y12958" s="19" t="n"/>
    </row>
    <row r="12959">
      <c r="C12959" s="18" t="n"/>
      <c r="J12959" s="19" t="n"/>
      <c r="P12959" s="20" t="n"/>
      <c r="Q12959" s="19" t="n"/>
      <c r="R12959" s="19" t="n"/>
      <c r="Y12959" s="19" t="n"/>
    </row>
    <row r="12960">
      <c r="C12960" s="18" t="n"/>
      <c r="J12960" s="19" t="n"/>
      <c r="P12960" s="20" t="n"/>
      <c r="Q12960" s="19" t="n"/>
      <c r="R12960" s="19" t="n"/>
      <c r="Y12960" s="19" t="n"/>
    </row>
    <row r="12961">
      <c r="C12961" s="18" t="n"/>
      <c r="J12961" s="19" t="n"/>
      <c r="P12961" s="20" t="n"/>
      <c r="Q12961" s="19" t="n"/>
      <c r="R12961" s="19" t="n"/>
      <c r="Y12961" s="19" t="n"/>
    </row>
    <row r="12962">
      <c r="C12962" s="18" t="n"/>
      <c r="J12962" s="19" t="n"/>
      <c r="P12962" s="20" t="n"/>
      <c r="Q12962" s="19" t="n"/>
      <c r="R12962" s="19" t="n"/>
      <c r="Y12962" s="19" t="n"/>
    </row>
    <row r="12963">
      <c r="C12963" s="18" t="n"/>
      <c r="J12963" s="19" t="n"/>
      <c r="P12963" s="20" t="n"/>
      <c r="Q12963" s="19" t="n"/>
      <c r="R12963" s="19" t="n"/>
      <c r="Y12963" s="19" t="n"/>
    </row>
    <row r="12964">
      <c r="C12964" s="18" t="n"/>
      <c r="J12964" s="19" t="n"/>
      <c r="P12964" s="20" t="n"/>
      <c r="Q12964" s="19" t="n"/>
      <c r="R12964" s="19" t="n"/>
      <c r="Y12964" s="19" t="n"/>
    </row>
    <row r="12965">
      <c r="C12965" s="18" t="n"/>
      <c r="J12965" s="19" t="n"/>
      <c r="P12965" s="20" t="n"/>
      <c r="Q12965" s="19" t="n"/>
      <c r="R12965" s="19" t="n"/>
      <c r="Y12965" s="19" t="n"/>
    </row>
    <row r="12966">
      <c r="C12966" s="18" t="n"/>
      <c r="J12966" s="19" t="n"/>
      <c r="P12966" s="20" t="n"/>
      <c r="Q12966" s="19" t="n"/>
      <c r="R12966" s="19" t="n"/>
      <c r="Y12966" s="19" t="n"/>
    </row>
    <row r="12967">
      <c r="C12967" s="18" t="n"/>
      <c r="J12967" s="19" t="n"/>
      <c r="P12967" s="20" t="n"/>
      <c r="Q12967" s="19" t="n"/>
      <c r="R12967" s="19" t="n"/>
      <c r="Y12967" s="19" t="n"/>
    </row>
    <row r="12968">
      <c r="C12968" s="18" t="n"/>
      <c r="J12968" s="19" t="n"/>
      <c r="P12968" s="20" t="n"/>
      <c r="Q12968" s="19" t="n"/>
      <c r="R12968" s="19" t="n"/>
      <c r="Y12968" s="19" t="n"/>
    </row>
    <row r="12969">
      <c r="C12969" s="18" t="n"/>
      <c r="J12969" s="19" t="n"/>
      <c r="P12969" s="20" t="n"/>
      <c r="Q12969" s="19" t="n"/>
      <c r="R12969" s="19" t="n"/>
      <c r="Y12969" s="19" t="n"/>
    </row>
    <row r="12970">
      <c r="C12970" s="18" t="n"/>
      <c r="J12970" s="19" t="n"/>
      <c r="P12970" s="20" t="n"/>
      <c r="Q12970" s="19" t="n"/>
      <c r="R12970" s="19" t="n"/>
      <c r="Y12970" s="19" t="n"/>
    </row>
    <row r="12971">
      <c r="C12971" s="18" t="n"/>
      <c r="J12971" s="19" t="n"/>
      <c r="P12971" s="20" t="n"/>
      <c r="Q12971" s="19" t="n"/>
      <c r="R12971" s="19" t="n"/>
      <c r="Y12971" s="19" t="n"/>
    </row>
    <row r="12972">
      <c r="C12972" s="18" t="n"/>
      <c r="J12972" s="19" t="n"/>
      <c r="P12972" s="20" t="n"/>
      <c r="Q12972" s="19" t="n"/>
      <c r="R12972" s="19" t="n"/>
      <c r="Y12972" s="19" t="n"/>
    </row>
    <row r="12973">
      <c r="C12973" s="18" t="n"/>
      <c r="J12973" s="19" t="n"/>
      <c r="P12973" s="20" t="n"/>
      <c r="Q12973" s="19" t="n"/>
      <c r="R12973" s="19" t="n"/>
      <c r="Y12973" s="19" t="n"/>
    </row>
    <row r="12974">
      <c r="C12974" s="18" t="n"/>
      <c r="J12974" s="19" t="n"/>
      <c r="P12974" s="20" t="n"/>
      <c r="Q12974" s="19" t="n"/>
      <c r="R12974" s="19" t="n"/>
      <c r="Y12974" s="19" t="n"/>
    </row>
    <row r="12975">
      <c r="C12975" s="18" t="n"/>
      <c r="J12975" s="19" t="n"/>
      <c r="P12975" s="20" t="n"/>
      <c r="Q12975" s="19" t="n"/>
      <c r="R12975" s="19" t="n"/>
      <c r="Y12975" s="19" t="n"/>
    </row>
    <row r="12976">
      <c r="C12976" s="18" t="n"/>
      <c r="J12976" s="19" t="n"/>
      <c r="P12976" s="20" t="n"/>
      <c r="Q12976" s="19" t="n"/>
      <c r="R12976" s="19" t="n"/>
      <c r="Y12976" s="19" t="n"/>
    </row>
    <row r="12977">
      <c r="C12977" s="18" t="n"/>
      <c r="J12977" s="19" t="n"/>
      <c r="P12977" s="20" t="n"/>
      <c r="Q12977" s="19" t="n"/>
      <c r="R12977" s="19" t="n"/>
      <c r="Y12977" s="19" t="n"/>
    </row>
    <row r="12978">
      <c r="C12978" s="18" t="n"/>
      <c r="J12978" s="19" t="n"/>
      <c r="P12978" s="20" t="n"/>
      <c r="Q12978" s="19" t="n"/>
      <c r="R12978" s="19" t="n"/>
      <c r="Y12978" s="19" t="n"/>
    </row>
    <row r="12979">
      <c r="C12979" s="18" t="n"/>
      <c r="J12979" s="19" t="n"/>
      <c r="P12979" s="20" t="n"/>
      <c r="Q12979" s="19" t="n"/>
      <c r="R12979" s="19" t="n"/>
      <c r="Y12979" s="19" t="n"/>
    </row>
    <row r="12980">
      <c r="C12980" s="18" t="n"/>
      <c r="J12980" s="19" t="n"/>
      <c r="P12980" s="20" t="n"/>
      <c r="Q12980" s="19" t="n"/>
      <c r="R12980" s="19" t="n"/>
      <c r="Y12980" s="19" t="n"/>
    </row>
    <row r="12981">
      <c r="C12981" s="18" t="n"/>
      <c r="J12981" s="19" t="n"/>
      <c r="P12981" s="20" t="n"/>
      <c r="Q12981" s="19" t="n"/>
      <c r="R12981" s="19" t="n"/>
      <c r="Y12981" s="19" t="n"/>
    </row>
    <row r="12982">
      <c r="C12982" s="18" t="n"/>
      <c r="J12982" s="19" t="n"/>
      <c r="P12982" s="20" t="n"/>
      <c r="Q12982" s="19" t="n"/>
      <c r="R12982" s="19" t="n"/>
      <c r="Y12982" s="19" t="n"/>
    </row>
    <row r="12983">
      <c r="C12983" s="18" t="n"/>
      <c r="J12983" s="19" t="n"/>
      <c r="P12983" s="20" t="n"/>
      <c r="Q12983" s="19" t="n"/>
      <c r="R12983" s="19" t="n"/>
      <c r="Y12983" s="19" t="n"/>
    </row>
    <row r="12984">
      <c r="C12984" s="18" t="n"/>
      <c r="J12984" s="19" t="n"/>
      <c r="P12984" s="20" t="n"/>
      <c r="Q12984" s="19" t="n"/>
      <c r="R12984" s="19" t="n"/>
      <c r="Y12984" s="19" t="n"/>
    </row>
    <row r="12985">
      <c r="C12985" s="18" t="n"/>
      <c r="J12985" s="19" t="n"/>
      <c r="P12985" s="20" t="n"/>
      <c r="Q12985" s="19" t="n"/>
      <c r="R12985" s="19" t="n"/>
      <c r="Y12985" s="19" t="n"/>
    </row>
    <row r="12986">
      <c r="C12986" s="18" t="n"/>
      <c r="J12986" s="19" t="n"/>
      <c r="P12986" s="20" t="n"/>
      <c r="Q12986" s="19" t="n"/>
      <c r="R12986" s="19" t="n"/>
      <c r="Y12986" s="19" t="n"/>
    </row>
    <row r="12987">
      <c r="C12987" s="18" t="n"/>
      <c r="J12987" s="19" t="n"/>
      <c r="P12987" s="20" t="n"/>
      <c r="Q12987" s="19" t="n"/>
      <c r="R12987" s="19" t="n"/>
      <c r="Y12987" s="19" t="n"/>
    </row>
    <row r="12988">
      <c r="C12988" s="18" t="n"/>
      <c r="J12988" s="19" t="n"/>
      <c r="P12988" s="20" t="n"/>
      <c r="Q12988" s="19" t="n"/>
      <c r="R12988" s="19" t="n"/>
      <c r="Y12988" s="19" t="n"/>
    </row>
    <row r="12989">
      <c r="C12989" s="18" t="n"/>
      <c r="J12989" s="19" t="n"/>
      <c r="P12989" s="20" t="n"/>
      <c r="Q12989" s="19" t="n"/>
      <c r="R12989" s="19" t="n"/>
      <c r="Y12989" s="19" t="n"/>
    </row>
    <row r="12990">
      <c r="C12990" s="18" t="n"/>
      <c r="J12990" s="19" t="n"/>
      <c r="P12990" s="20" t="n"/>
      <c r="Q12990" s="19" t="n"/>
      <c r="R12990" s="19" t="n"/>
      <c r="Y12990" s="19" t="n"/>
    </row>
    <row r="12991">
      <c r="C12991" s="18" t="n"/>
      <c r="J12991" s="19" t="n"/>
      <c r="P12991" s="20" t="n"/>
      <c r="Q12991" s="19" t="n"/>
      <c r="R12991" s="19" t="n"/>
      <c r="Y12991" s="19" t="n"/>
    </row>
    <row r="12992">
      <c r="C12992" s="18" t="n"/>
      <c r="J12992" s="19" t="n"/>
      <c r="P12992" s="20" t="n"/>
      <c r="Q12992" s="19" t="n"/>
      <c r="R12992" s="19" t="n"/>
      <c r="Y12992" s="19" t="n"/>
    </row>
    <row r="12993">
      <c r="C12993" s="18" t="n"/>
      <c r="J12993" s="19" t="n"/>
      <c r="P12993" s="20" t="n"/>
      <c r="Q12993" s="19" t="n"/>
      <c r="R12993" s="19" t="n"/>
      <c r="Y12993" s="19" t="n"/>
    </row>
    <row r="12994">
      <c r="C12994" s="18" t="n"/>
      <c r="J12994" s="19" t="n"/>
      <c r="P12994" s="20" t="n"/>
      <c r="Q12994" s="19" t="n"/>
      <c r="R12994" s="19" t="n"/>
      <c r="Y12994" s="19" t="n"/>
    </row>
    <row r="12995">
      <c r="C12995" s="18" t="n"/>
      <c r="J12995" s="19" t="n"/>
      <c r="P12995" s="20" t="n"/>
      <c r="Q12995" s="19" t="n"/>
      <c r="R12995" s="19" t="n"/>
      <c r="Y12995" s="19" t="n"/>
    </row>
    <row r="12996">
      <c r="C12996" s="18" t="n"/>
      <c r="J12996" s="19" t="n"/>
      <c r="P12996" s="20" t="n"/>
      <c r="Q12996" s="19" t="n"/>
      <c r="R12996" s="19" t="n"/>
      <c r="Y12996" s="19" t="n"/>
    </row>
    <row r="12997">
      <c r="C12997" s="18" t="n"/>
      <c r="J12997" s="19" t="n"/>
      <c r="P12997" s="20" t="n"/>
      <c r="Q12997" s="19" t="n"/>
      <c r="R12997" s="19" t="n"/>
      <c r="Y12997" s="19" t="n"/>
    </row>
    <row r="12998">
      <c r="C12998" s="18" t="n"/>
      <c r="J12998" s="19" t="n"/>
      <c r="P12998" s="20" t="n"/>
      <c r="Q12998" s="19" t="n"/>
      <c r="R12998" s="19" t="n"/>
      <c r="Y12998" s="19" t="n"/>
    </row>
    <row r="12999">
      <c r="C12999" s="18" t="n"/>
      <c r="J12999" s="19" t="n"/>
      <c r="P12999" s="20" t="n"/>
      <c r="Q12999" s="19" t="n"/>
      <c r="R12999" s="19" t="n"/>
      <c r="Y12999" s="19" t="n"/>
    </row>
    <row r="13000">
      <c r="C13000" s="18" t="n"/>
      <c r="J13000" s="19" t="n"/>
      <c r="P13000" s="20" t="n"/>
      <c r="Q13000" s="19" t="n"/>
      <c r="R13000" s="19" t="n"/>
      <c r="Y13000" s="19" t="n"/>
    </row>
    <row r="13001">
      <c r="C13001" s="18" t="n"/>
      <c r="J13001" s="19" t="n"/>
      <c r="P13001" s="20" t="n"/>
      <c r="Q13001" s="19" t="n"/>
      <c r="R13001" s="19" t="n"/>
      <c r="Y13001" s="19" t="n"/>
    </row>
    <row r="13002">
      <c r="C13002" s="18" t="n"/>
      <c r="J13002" s="19" t="n"/>
      <c r="P13002" s="20" t="n"/>
      <c r="Q13002" s="19" t="n"/>
      <c r="R13002" s="19" t="n"/>
      <c r="Y13002" s="19" t="n"/>
    </row>
    <row r="13003">
      <c r="C13003" s="18" t="n"/>
      <c r="J13003" s="19" t="n"/>
      <c r="P13003" s="20" t="n"/>
      <c r="Q13003" s="19" t="n"/>
      <c r="R13003" s="19" t="n"/>
      <c r="Y13003" s="19" t="n"/>
    </row>
    <row r="13004">
      <c r="C13004" s="18" t="n"/>
      <c r="J13004" s="19" t="n"/>
      <c r="P13004" s="20" t="n"/>
      <c r="Q13004" s="19" t="n"/>
      <c r="R13004" s="19" t="n"/>
      <c r="Y13004" s="19" t="n"/>
    </row>
    <row r="13005">
      <c r="C13005" s="18" t="n"/>
      <c r="J13005" s="19" t="n"/>
      <c r="P13005" s="20" t="n"/>
      <c r="Q13005" s="19" t="n"/>
      <c r="R13005" s="19" t="n"/>
      <c r="Y13005" s="19" t="n"/>
    </row>
    <row r="13006">
      <c r="C13006" s="18" t="n"/>
      <c r="J13006" s="19" t="n"/>
      <c r="P13006" s="20" t="n"/>
      <c r="Q13006" s="19" t="n"/>
      <c r="R13006" s="19" t="n"/>
      <c r="Y13006" s="19" t="n"/>
    </row>
    <row r="13007">
      <c r="C13007" s="18" t="n"/>
      <c r="J13007" s="19" t="n"/>
      <c r="P13007" s="20" t="n"/>
      <c r="Q13007" s="19" t="n"/>
      <c r="R13007" s="19" t="n"/>
      <c r="Y13007" s="19" t="n"/>
    </row>
    <row r="13008">
      <c r="C13008" s="18" t="n"/>
      <c r="J13008" s="19" t="n"/>
      <c r="P13008" s="20" t="n"/>
      <c r="Q13008" s="19" t="n"/>
      <c r="R13008" s="19" t="n"/>
      <c r="Y13008" s="19" t="n"/>
    </row>
    <row r="13009">
      <c r="C13009" s="18" t="n"/>
      <c r="J13009" s="19" t="n"/>
      <c r="P13009" s="20" t="n"/>
      <c r="Q13009" s="19" t="n"/>
      <c r="R13009" s="19" t="n"/>
      <c r="Y13009" s="19" t="n"/>
    </row>
    <row r="13010">
      <c r="C13010" s="18" t="n"/>
      <c r="J13010" s="19" t="n"/>
      <c r="P13010" s="20" t="n"/>
      <c r="Q13010" s="19" t="n"/>
      <c r="R13010" s="19" t="n"/>
      <c r="Y13010" s="19" t="n"/>
    </row>
    <row r="13011">
      <c r="C13011" s="18" t="n"/>
      <c r="J13011" s="19" t="n"/>
      <c r="P13011" s="20" t="n"/>
      <c r="Q13011" s="19" t="n"/>
      <c r="R13011" s="19" t="n"/>
      <c r="Y13011" s="19" t="n"/>
    </row>
    <row r="13012">
      <c r="C13012" s="18" t="n"/>
      <c r="J13012" s="19" t="n"/>
      <c r="P13012" s="20" t="n"/>
      <c r="Q13012" s="19" t="n"/>
      <c r="R13012" s="19" t="n"/>
      <c r="Y13012" s="19" t="n"/>
    </row>
    <row r="13013">
      <c r="C13013" s="18" t="n"/>
      <c r="J13013" s="19" t="n"/>
      <c r="P13013" s="20" t="n"/>
      <c r="Q13013" s="19" t="n"/>
      <c r="R13013" s="19" t="n"/>
      <c r="Y13013" s="19" t="n"/>
    </row>
    <row r="13014">
      <c r="C13014" s="18" t="n"/>
      <c r="J13014" s="19" t="n"/>
      <c r="P13014" s="20" t="n"/>
      <c r="Q13014" s="19" t="n"/>
      <c r="R13014" s="19" t="n"/>
      <c r="Y13014" s="19" t="n"/>
    </row>
    <row r="13015">
      <c r="C13015" s="18" t="n"/>
      <c r="J13015" s="19" t="n"/>
      <c r="P13015" s="20" t="n"/>
      <c r="Q13015" s="19" t="n"/>
      <c r="R13015" s="19" t="n"/>
      <c r="Y13015" s="19" t="n"/>
    </row>
    <row r="13016">
      <c r="C13016" s="18" t="n"/>
      <c r="J13016" s="19" t="n"/>
      <c r="P13016" s="20" t="n"/>
      <c r="Q13016" s="19" t="n"/>
      <c r="R13016" s="19" t="n"/>
      <c r="Y13016" s="19" t="n"/>
    </row>
    <row r="13017">
      <c r="C13017" s="18" t="n"/>
      <c r="J13017" s="19" t="n"/>
      <c r="P13017" s="20" t="n"/>
      <c r="Q13017" s="19" t="n"/>
      <c r="R13017" s="19" t="n"/>
      <c r="Y13017" s="19" t="n"/>
    </row>
    <row r="13018">
      <c r="C13018" s="18" t="n"/>
      <c r="J13018" s="19" t="n"/>
      <c r="P13018" s="20" t="n"/>
      <c r="Q13018" s="19" t="n"/>
      <c r="R13018" s="19" t="n"/>
      <c r="Y13018" s="19" t="n"/>
    </row>
    <row r="13019">
      <c r="C13019" s="18" t="n"/>
      <c r="J13019" s="19" t="n"/>
      <c r="P13019" s="20" t="n"/>
      <c r="Q13019" s="19" t="n"/>
      <c r="R13019" s="19" t="n"/>
      <c r="Y13019" s="19" t="n"/>
    </row>
    <row r="13020">
      <c r="C13020" s="18" t="n"/>
      <c r="J13020" s="19" t="n"/>
      <c r="P13020" s="20" t="n"/>
      <c r="Q13020" s="19" t="n"/>
      <c r="R13020" s="19" t="n"/>
      <c r="Y13020" s="19" t="n"/>
    </row>
    <row r="13021">
      <c r="C13021" s="18" t="n"/>
      <c r="J13021" s="19" t="n"/>
      <c r="P13021" s="20" t="n"/>
      <c r="Q13021" s="19" t="n"/>
      <c r="R13021" s="19" t="n"/>
      <c r="Y13021" s="19" t="n"/>
    </row>
    <row r="13022">
      <c r="C13022" s="18" t="n"/>
      <c r="J13022" s="19" t="n"/>
      <c r="P13022" s="20" t="n"/>
      <c r="Q13022" s="19" t="n"/>
      <c r="R13022" s="19" t="n"/>
      <c r="Y13022" s="19" t="n"/>
    </row>
    <row r="13023">
      <c r="C13023" s="18" t="n"/>
      <c r="J13023" s="19" t="n"/>
      <c r="P13023" s="20" t="n"/>
      <c r="Q13023" s="19" t="n"/>
      <c r="R13023" s="19" t="n"/>
      <c r="Y13023" s="19" t="n"/>
    </row>
    <row r="13024">
      <c r="C13024" s="18" t="n"/>
      <c r="J13024" s="19" t="n"/>
      <c r="P13024" s="20" t="n"/>
      <c r="Q13024" s="19" t="n"/>
      <c r="R13024" s="19" t="n"/>
      <c r="Y13024" s="19" t="n"/>
    </row>
    <row r="13025">
      <c r="C13025" s="18" t="n"/>
      <c r="J13025" s="19" t="n"/>
      <c r="P13025" s="20" t="n"/>
      <c r="Q13025" s="19" t="n"/>
      <c r="R13025" s="19" t="n"/>
      <c r="Y13025" s="19" t="n"/>
    </row>
    <row r="13026">
      <c r="C13026" s="18" t="n"/>
      <c r="J13026" s="19" t="n"/>
      <c r="P13026" s="20" t="n"/>
      <c r="Q13026" s="19" t="n"/>
      <c r="R13026" s="19" t="n"/>
      <c r="Y13026" s="19" t="n"/>
    </row>
    <row r="13027">
      <c r="C13027" s="18" t="n"/>
      <c r="J13027" s="19" t="n"/>
      <c r="P13027" s="20" t="n"/>
      <c r="Q13027" s="19" t="n"/>
      <c r="R13027" s="19" t="n"/>
      <c r="Y13027" s="19" t="n"/>
    </row>
    <row r="13028">
      <c r="C13028" s="18" t="n"/>
      <c r="J13028" s="19" t="n"/>
      <c r="P13028" s="20" t="n"/>
      <c r="Q13028" s="19" t="n"/>
      <c r="R13028" s="19" t="n"/>
      <c r="Y13028" s="19" t="n"/>
    </row>
    <row r="13029">
      <c r="C13029" s="18" t="n"/>
      <c r="J13029" s="19" t="n"/>
      <c r="P13029" s="20" t="n"/>
      <c r="Q13029" s="19" t="n"/>
      <c r="R13029" s="19" t="n"/>
      <c r="Y13029" s="19" t="n"/>
    </row>
    <row r="13030">
      <c r="C13030" s="18" t="n"/>
      <c r="J13030" s="19" t="n"/>
      <c r="P13030" s="20" t="n"/>
      <c r="Q13030" s="19" t="n"/>
      <c r="R13030" s="19" t="n"/>
      <c r="Y13030" s="19" t="n"/>
    </row>
    <row r="13031">
      <c r="C13031" s="18" t="n"/>
      <c r="J13031" s="19" t="n"/>
      <c r="P13031" s="20" t="n"/>
      <c r="Q13031" s="19" t="n"/>
      <c r="R13031" s="19" t="n"/>
      <c r="Y13031" s="19" t="n"/>
    </row>
    <row r="13032">
      <c r="C13032" s="18" t="n"/>
      <c r="J13032" s="19" t="n"/>
      <c r="P13032" s="20" t="n"/>
      <c r="Q13032" s="19" t="n"/>
      <c r="R13032" s="19" t="n"/>
      <c r="Y13032" s="19" t="n"/>
    </row>
    <row r="13033">
      <c r="C13033" s="18" t="n"/>
      <c r="J13033" s="19" t="n"/>
      <c r="P13033" s="20" t="n"/>
      <c r="Q13033" s="19" t="n"/>
      <c r="R13033" s="19" t="n"/>
      <c r="Y13033" s="19" t="n"/>
    </row>
    <row r="13034">
      <c r="C13034" s="18" t="n"/>
      <c r="J13034" s="19" t="n"/>
      <c r="P13034" s="20" t="n"/>
      <c r="Q13034" s="19" t="n"/>
      <c r="R13034" s="19" t="n"/>
      <c r="Y13034" s="19" t="n"/>
    </row>
    <row r="13035">
      <c r="C13035" s="18" t="n"/>
      <c r="J13035" s="19" t="n"/>
      <c r="P13035" s="20" t="n"/>
      <c r="Q13035" s="19" t="n"/>
      <c r="R13035" s="19" t="n"/>
      <c r="Y13035" s="19" t="n"/>
    </row>
    <row r="13036">
      <c r="C13036" s="18" t="n"/>
      <c r="J13036" s="19" t="n"/>
      <c r="P13036" s="20" t="n"/>
      <c r="Q13036" s="19" t="n"/>
      <c r="R13036" s="19" t="n"/>
      <c r="Y13036" s="19" t="n"/>
    </row>
    <row r="13037">
      <c r="C13037" s="18" t="n"/>
      <c r="J13037" s="19" t="n"/>
      <c r="P13037" s="20" t="n"/>
      <c r="Q13037" s="19" t="n"/>
      <c r="R13037" s="19" t="n"/>
      <c r="Y13037" s="19" t="n"/>
    </row>
    <row r="13038">
      <c r="C13038" s="18" t="n"/>
      <c r="J13038" s="19" t="n"/>
      <c r="P13038" s="20" t="n"/>
      <c r="Q13038" s="19" t="n"/>
      <c r="R13038" s="19" t="n"/>
      <c r="Y13038" s="19" t="n"/>
    </row>
    <row r="13039">
      <c r="C13039" s="18" t="n"/>
      <c r="J13039" s="19" t="n"/>
      <c r="P13039" s="20" t="n"/>
      <c r="Q13039" s="19" t="n"/>
      <c r="R13039" s="19" t="n"/>
      <c r="Y13039" s="19" t="n"/>
    </row>
    <row r="13040">
      <c r="C13040" s="18" t="n"/>
      <c r="J13040" s="19" t="n"/>
      <c r="P13040" s="20" t="n"/>
      <c r="Q13040" s="19" t="n"/>
      <c r="R13040" s="19" t="n"/>
      <c r="Y13040" s="19" t="n"/>
    </row>
    <row r="13041">
      <c r="C13041" s="18" t="n"/>
      <c r="J13041" s="19" t="n"/>
      <c r="P13041" s="20" t="n"/>
      <c r="Q13041" s="19" t="n"/>
      <c r="R13041" s="19" t="n"/>
      <c r="Y13041" s="19" t="n"/>
    </row>
    <row r="13042">
      <c r="C13042" s="18" t="n"/>
      <c r="J13042" s="19" t="n"/>
      <c r="P13042" s="20" t="n"/>
      <c r="Q13042" s="19" t="n"/>
      <c r="R13042" s="19" t="n"/>
      <c r="Y13042" s="19" t="n"/>
    </row>
    <row r="13043">
      <c r="C13043" s="18" t="n"/>
      <c r="J13043" s="19" t="n"/>
      <c r="P13043" s="20" t="n"/>
      <c r="Q13043" s="19" t="n"/>
      <c r="R13043" s="19" t="n"/>
      <c r="Y13043" s="19" t="n"/>
    </row>
    <row r="13044">
      <c r="C13044" s="18" t="n"/>
      <c r="J13044" s="19" t="n"/>
      <c r="P13044" s="20" t="n"/>
      <c r="Q13044" s="19" t="n"/>
      <c r="R13044" s="19" t="n"/>
      <c r="Y13044" s="19" t="n"/>
    </row>
    <row r="13045">
      <c r="C13045" s="18" t="n"/>
      <c r="J13045" s="19" t="n"/>
      <c r="P13045" s="20" t="n"/>
      <c r="Q13045" s="19" t="n"/>
      <c r="R13045" s="19" t="n"/>
      <c r="Y13045" s="19" t="n"/>
    </row>
    <row r="13046">
      <c r="C13046" s="18" t="n"/>
      <c r="J13046" s="19" t="n"/>
      <c r="P13046" s="20" t="n"/>
      <c r="Q13046" s="19" t="n"/>
      <c r="R13046" s="19" t="n"/>
      <c r="Y13046" s="19" t="n"/>
    </row>
    <row r="13047">
      <c r="C13047" s="18" t="n"/>
      <c r="J13047" s="19" t="n"/>
      <c r="P13047" s="20" t="n"/>
      <c r="Q13047" s="19" t="n"/>
      <c r="R13047" s="19" t="n"/>
      <c r="Y13047" s="19" t="n"/>
    </row>
    <row r="13048">
      <c r="C13048" s="18" t="n"/>
      <c r="J13048" s="19" t="n"/>
      <c r="P13048" s="20" t="n"/>
      <c r="Q13048" s="19" t="n"/>
      <c r="R13048" s="19" t="n"/>
      <c r="Y13048" s="19" t="n"/>
    </row>
    <row r="13049">
      <c r="C13049" s="18" t="n"/>
      <c r="J13049" s="19" t="n"/>
      <c r="P13049" s="20" t="n"/>
      <c r="Q13049" s="19" t="n"/>
      <c r="R13049" s="19" t="n"/>
      <c r="Y13049" s="19" t="n"/>
    </row>
    <row r="13050">
      <c r="C13050" s="18" t="n"/>
      <c r="J13050" s="19" t="n"/>
      <c r="P13050" s="20" t="n"/>
      <c r="Q13050" s="19" t="n"/>
      <c r="R13050" s="19" t="n"/>
      <c r="Y13050" s="19" t="n"/>
    </row>
    <row r="13051">
      <c r="C13051" s="18" t="n"/>
      <c r="J13051" s="19" t="n"/>
      <c r="P13051" s="20" t="n"/>
      <c r="Q13051" s="19" t="n"/>
      <c r="R13051" s="19" t="n"/>
      <c r="Y13051" s="19" t="n"/>
    </row>
    <row r="13052">
      <c r="C13052" s="18" t="n"/>
      <c r="J13052" s="19" t="n"/>
      <c r="P13052" s="20" t="n"/>
      <c r="Q13052" s="19" t="n"/>
      <c r="R13052" s="19" t="n"/>
      <c r="Y13052" s="19" t="n"/>
    </row>
    <row r="13053">
      <c r="C13053" s="18" t="n"/>
      <c r="J13053" s="19" t="n"/>
      <c r="P13053" s="20" t="n"/>
      <c r="Q13053" s="19" t="n"/>
      <c r="R13053" s="19" t="n"/>
      <c r="Y13053" s="19" t="n"/>
    </row>
    <row r="13054">
      <c r="C13054" s="18" t="n"/>
      <c r="J13054" s="19" t="n"/>
      <c r="P13054" s="20" t="n"/>
      <c r="Q13054" s="19" t="n"/>
      <c r="R13054" s="19" t="n"/>
      <c r="Y13054" s="19" t="n"/>
    </row>
    <row r="13055">
      <c r="C13055" s="18" t="n"/>
      <c r="J13055" s="19" t="n"/>
      <c r="P13055" s="20" t="n"/>
      <c r="Q13055" s="19" t="n"/>
      <c r="R13055" s="19" t="n"/>
      <c r="Y13055" s="19" t="n"/>
    </row>
    <row r="13056">
      <c r="C13056" s="18" t="n"/>
      <c r="J13056" s="19" t="n"/>
      <c r="P13056" s="20" t="n"/>
      <c r="Q13056" s="19" t="n"/>
      <c r="R13056" s="19" t="n"/>
      <c r="Y13056" s="19" t="n"/>
    </row>
    <row r="13057">
      <c r="C13057" s="18" t="n"/>
      <c r="J13057" s="19" t="n"/>
      <c r="P13057" s="20" t="n"/>
      <c r="Q13057" s="19" t="n"/>
      <c r="R13057" s="19" t="n"/>
      <c r="Y13057" s="19" t="n"/>
    </row>
    <row r="13058">
      <c r="C13058" s="18" t="n"/>
      <c r="J13058" s="19" t="n"/>
      <c r="P13058" s="20" t="n"/>
      <c r="Q13058" s="19" t="n"/>
      <c r="R13058" s="19" t="n"/>
      <c r="Y13058" s="19" t="n"/>
    </row>
    <row r="13059">
      <c r="C13059" s="18" t="n"/>
      <c r="J13059" s="19" t="n"/>
      <c r="P13059" s="20" t="n"/>
      <c r="Q13059" s="19" t="n"/>
      <c r="R13059" s="19" t="n"/>
      <c r="Y13059" s="19" t="n"/>
    </row>
    <row r="13060">
      <c r="C13060" s="18" t="n"/>
      <c r="J13060" s="19" t="n"/>
      <c r="P13060" s="20" t="n"/>
      <c r="Q13060" s="19" t="n"/>
      <c r="R13060" s="19" t="n"/>
      <c r="Y13060" s="19" t="n"/>
    </row>
    <row r="13061">
      <c r="C13061" s="18" t="n"/>
      <c r="J13061" s="19" t="n"/>
      <c r="P13061" s="20" t="n"/>
      <c r="Q13061" s="19" t="n"/>
      <c r="R13061" s="19" t="n"/>
      <c r="Y13061" s="19" t="n"/>
    </row>
    <row r="13062">
      <c r="C13062" s="18" t="n"/>
      <c r="J13062" s="19" t="n"/>
      <c r="P13062" s="20" t="n"/>
      <c r="Q13062" s="19" t="n"/>
      <c r="R13062" s="19" t="n"/>
      <c r="Y13062" s="19" t="n"/>
    </row>
    <row r="13063">
      <c r="C13063" s="18" t="n"/>
      <c r="J13063" s="19" t="n"/>
      <c r="P13063" s="20" t="n"/>
      <c r="Q13063" s="19" t="n"/>
      <c r="R13063" s="19" t="n"/>
      <c r="Y13063" s="19" t="n"/>
    </row>
    <row r="13064">
      <c r="C13064" s="18" t="n"/>
      <c r="J13064" s="19" t="n"/>
      <c r="P13064" s="20" t="n"/>
      <c r="Q13064" s="19" t="n"/>
      <c r="R13064" s="19" t="n"/>
      <c r="Y13064" s="19" t="n"/>
    </row>
    <row r="13065">
      <c r="C13065" s="18" t="n"/>
      <c r="J13065" s="19" t="n"/>
      <c r="P13065" s="20" t="n"/>
      <c r="Q13065" s="19" t="n"/>
      <c r="R13065" s="19" t="n"/>
      <c r="Y13065" s="19" t="n"/>
    </row>
    <row r="13066">
      <c r="C13066" s="18" t="n"/>
      <c r="J13066" s="19" t="n"/>
      <c r="P13066" s="20" t="n"/>
      <c r="Q13066" s="19" t="n"/>
      <c r="R13066" s="19" t="n"/>
      <c r="Y13066" s="19" t="n"/>
    </row>
    <row r="13067">
      <c r="C13067" s="18" t="n"/>
      <c r="J13067" s="19" t="n"/>
      <c r="P13067" s="20" t="n"/>
      <c r="Q13067" s="19" t="n"/>
      <c r="R13067" s="19" t="n"/>
      <c r="Y13067" s="19" t="n"/>
    </row>
    <row r="13068">
      <c r="C13068" s="18" t="n"/>
      <c r="J13068" s="19" t="n"/>
      <c r="P13068" s="20" t="n"/>
      <c r="Q13068" s="19" t="n"/>
      <c r="R13068" s="19" t="n"/>
      <c r="Y13068" s="19" t="n"/>
    </row>
    <row r="13069">
      <c r="C13069" s="18" t="n"/>
      <c r="J13069" s="19" t="n"/>
      <c r="P13069" s="20" t="n"/>
      <c r="Q13069" s="19" t="n"/>
      <c r="R13069" s="19" t="n"/>
      <c r="Y13069" s="19" t="n"/>
    </row>
    <row r="13070">
      <c r="C13070" s="18" t="n"/>
      <c r="J13070" s="19" t="n"/>
      <c r="P13070" s="20" t="n"/>
      <c r="Q13070" s="19" t="n"/>
      <c r="R13070" s="19" t="n"/>
      <c r="Y13070" s="19" t="n"/>
    </row>
    <row r="13071">
      <c r="C13071" s="18" t="n"/>
      <c r="J13071" s="19" t="n"/>
      <c r="P13071" s="20" t="n"/>
      <c r="Q13071" s="19" t="n"/>
      <c r="R13071" s="19" t="n"/>
      <c r="Y13071" s="19" t="n"/>
    </row>
    <row r="13072">
      <c r="C13072" s="18" t="n"/>
      <c r="J13072" s="19" t="n"/>
      <c r="P13072" s="20" t="n"/>
      <c r="Q13072" s="19" t="n"/>
      <c r="R13072" s="19" t="n"/>
      <c r="Y13072" s="19" t="n"/>
    </row>
    <row r="13073">
      <c r="C13073" s="18" t="n"/>
      <c r="J13073" s="19" t="n"/>
      <c r="P13073" s="20" t="n"/>
      <c r="Q13073" s="19" t="n"/>
      <c r="R13073" s="19" t="n"/>
      <c r="Y13073" s="19" t="n"/>
    </row>
    <row r="13074">
      <c r="C13074" s="18" t="n"/>
      <c r="J13074" s="19" t="n"/>
      <c r="P13074" s="20" t="n"/>
      <c r="Q13074" s="19" t="n"/>
      <c r="R13074" s="19" t="n"/>
      <c r="Y13074" s="19" t="n"/>
    </row>
    <row r="13075">
      <c r="C13075" s="18" t="n"/>
      <c r="J13075" s="19" t="n"/>
      <c r="P13075" s="20" t="n"/>
      <c r="Q13075" s="19" t="n"/>
      <c r="R13075" s="19" t="n"/>
      <c r="Y13075" s="19" t="n"/>
    </row>
    <row r="13076">
      <c r="C13076" s="18" t="n"/>
      <c r="J13076" s="19" t="n"/>
      <c r="P13076" s="20" t="n"/>
      <c r="Q13076" s="19" t="n"/>
      <c r="R13076" s="19" t="n"/>
      <c r="Y13076" s="19" t="n"/>
    </row>
    <row r="13077">
      <c r="C13077" s="18" t="n"/>
      <c r="J13077" s="19" t="n"/>
      <c r="P13077" s="20" t="n"/>
      <c r="Q13077" s="19" t="n"/>
      <c r="R13077" s="19" t="n"/>
      <c r="Y13077" s="19" t="n"/>
    </row>
    <row r="13078">
      <c r="C13078" s="18" t="n"/>
      <c r="J13078" s="19" t="n"/>
      <c r="P13078" s="20" t="n"/>
      <c r="Q13078" s="19" t="n"/>
      <c r="R13078" s="19" t="n"/>
      <c r="Y13078" s="19" t="n"/>
    </row>
    <row r="13079">
      <c r="C13079" s="18" t="n"/>
      <c r="J13079" s="19" t="n"/>
      <c r="P13079" s="20" t="n"/>
      <c r="Q13079" s="19" t="n"/>
      <c r="R13079" s="19" t="n"/>
      <c r="Y13079" s="19" t="n"/>
    </row>
    <row r="13080">
      <c r="C13080" s="18" t="n"/>
      <c r="J13080" s="19" t="n"/>
      <c r="P13080" s="20" t="n"/>
      <c r="Q13080" s="19" t="n"/>
      <c r="R13080" s="19" t="n"/>
      <c r="Y13080" s="19" t="n"/>
    </row>
    <row r="13081">
      <c r="C13081" s="18" t="n"/>
      <c r="J13081" s="19" t="n"/>
      <c r="P13081" s="20" t="n"/>
      <c r="Q13081" s="19" t="n"/>
      <c r="R13081" s="19" t="n"/>
      <c r="Y13081" s="19" t="n"/>
    </row>
    <row r="13082">
      <c r="C13082" s="18" t="n"/>
      <c r="J13082" s="19" t="n"/>
      <c r="P13082" s="20" t="n"/>
      <c r="Q13082" s="19" t="n"/>
      <c r="R13082" s="19" t="n"/>
      <c r="Y13082" s="19" t="n"/>
    </row>
    <row r="13083">
      <c r="C13083" s="18" t="n"/>
      <c r="J13083" s="19" t="n"/>
      <c r="P13083" s="20" t="n"/>
      <c r="Q13083" s="19" t="n"/>
      <c r="R13083" s="19" t="n"/>
      <c r="Y13083" s="19" t="n"/>
    </row>
    <row r="13084">
      <c r="C13084" s="18" t="n"/>
      <c r="J13084" s="19" t="n"/>
      <c r="P13084" s="20" t="n"/>
      <c r="Q13084" s="19" t="n"/>
      <c r="R13084" s="19" t="n"/>
      <c r="Y13084" s="19" t="n"/>
    </row>
    <row r="13085">
      <c r="C13085" s="18" t="n"/>
      <c r="J13085" s="19" t="n"/>
      <c r="P13085" s="20" t="n"/>
      <c r="Q13085" s="19" t="n"/>
      <c r="R13085" s="19" t="n"/>
      <c r="Y13085" s="19" t="n"/>
    </row>
    <row r="13086">
      <c r="C13086" s="18" t="n"/>
      <c r="J13086" s="19" t="n"/>
      <c r="P13086" s="20" t="n"/>
      <c r="Q13086" s="19" t="n"/>
      <c r="R13086" s="19" t="n"/>
      <c r="Y13086" s="19" t="n"/>
    </row>
    <row r="13087">
      <c r="C13087" s="18" t="n"/>
      <c r="J13087" s="19" t="n"/>
      <c r="P13087" s="20" t="n"/>
      <c r="Q13087" s="19" t="n"/>
      <c r="R13087" s="19" t="n"/>
      <c r="Y13087" s="19" t="n"/>
    </row>
    <row r="13088">
      <c r="C13088" s="18" t="n"/>
      <c r="J13088" s="19" t="n"/>
      <c r="P13088" s="20" t="n"/>
      <c r="Q13088" s="19" t="n"/>
      <c r="R13088" s="19" t="n"/>
      <c r="Y13088" s="19" t="n"/>
    </row>
    <row r="13089">
      <c r="C13089" s="18" t="n"/>
      <c r="J13089" s="19" t="n"/>
      <c r="P13089" s="20" t="n"/>
      <c r="Q13089" s="19" t="n"/>
      <c r="R13089" s="19" t="n"/>
      <c r="Y13089" s="19" t="n"/>
    </row>
    <row r="13090">
      <c r="C13090" s="18" t="n"/>
      <c r="J13090" s="19" t="n"/>
      <c r="P13090" s="20" t="n"/>
      <c r="Q13090" s="19" t="n"/>
      <c r="R13090" s="19" t="n"/>
      <c r="Y13090" s="19" t="n"/>
    </row>
    <row r="13091">
      <c r="C13091" s="18" t="n"/>
      <c r="J13091" s="19" t="n"/>
      <c r="P13091" s="20" t="n"/>
      <c r="Q13091" s="19" t="n"/>
      <c r="R13091" s="19" t="n"/>
      <c r="Y13091" s="19" t="n"/>
    </row>
    <row r="13092">
      <c r="C13092" s="18" t="n"/>
      <c r="J13092" s="19" t="n"/>
      <c r="P13092" s="20" t="n"/>
      <c r="Q13092" s="19" t="n"/>
      <c r="R13092" s="19" t="n"/>
      <c r="Y13092" s="19" t="n"/>
    </row>
    <row r="13093">
      <c r="C13093" s="18" t="n"/>
      <c r="J13093" s="19" t="n"/>
      <c r="P13093" s="20" t="n"/>
      <c r="Q13093" s="19" t="n"/>
      <c r="R13093" s="19" t="n"/>
      <c r="Y13093" s="19" t="n"/>
    </row>
    <row r="13094">
      <c r="C13094" s="18" t="n"/>
      <c r="J13094" s="19" t="n"/>
      <c r="P13094" s="20" t="n"/>
      <c r="Q13094" s="19" t="n"/>
      <c r="R13094" s="19" t="n"/>
      <c r="Y13094" s="19" t="n"/>
    </row>
    <row r="13095">
      <c r="C13095" s="18" t="n"/>
      <c r="J13095" s="19" t="n"/>
      <c r="P13095" s="20" t="n"/>
      <c r="Q13095" s="19" t="n"/>
      <c r="R13095" s="19" t="n"/>
      <c r="Y13095" s="19" t="n"/>
    </row>
    <row r="13096">
      <c r="C13096" s="18" t="n"/>
      <c r="J13096" s="19" t="n"/>
      <c r="P13096" s="20" t="n"/>
      <c r="Q13096" s="19" t="n"/>
      <c r="R13096" s="19" t="n"/>
      <c r="Y13096" s="19" t="n"/>
    </row>
    <row r="13097">
      <c r="C13097" s="18" t="n"/>
      <c r="J13097" s="19" t="n"/>
      <c r="P13097" s="20" t="n"/>
      <c r="Q13097" s="19" t="n"/>
      <c r="R13097" s="19" t="n"/>
      <c r="Y13097" s="19" t="n"/>
    </row>
    <row r="13098">
      <c r="C13098" s="18" t="n"/>
      <c r="J13098" s="19" t="n"/>
      <c r="P13098" s="20" t="n"/>
      <c r="Q13098" s="19" t="n"/>
      <c r="R13098" s="19" t="n"/>
      <c r="Y13098" s="19" t="n"/>
    </row>
    <row r="13099">
      <c r="C13099" s="18" t="n"/>
      <c r="J13099" s="19" t="n"/>
      <c r="P13099" s="20" t="n"/>
      <c r="Q13099" s="19" t="n"/>
      <c r="R13099" s="19" t="n"/>
      <c r="Y13099" s="19" t="n"/>
    </row>
    <row r="13100">
      <c r="C13100" s="18" t="n"/>
      <c r="J13100" s="19" t="n"/>
      <c r="P13100" s="20" t="n"/>
      <c r="Q13100" s="19" t="n"/>
      <c r="R13100" s="19" t="n"/>
      <c r="Y13100" s="19" t="n"/>
    </row>
    <row r="13101">
      <c r="C13101" s="18" t="n"/>
      <c r="J13101" s="19" t="n"/>
      <c r="P13101" s="20" t="n"/>
      <c r="Q13101" s="19" t="n"/>
      <c r="R13101" s="19" t="n"/>
      <c r="Y13101" s="19" t="n"/>
    </row>
    <row r="13102">
      <c r="C13102" s="18" t="n"/>
      <c r="J13102" s="19" t="n"/>
      <c r="P13102" s="20" t="n"/>
      <c r="Q13102" s="19" t="n"/>
      <c r="R13102" s="19" t="n"/>
      <c r="Y13102" s="19" t="n"/>
    </row>
    <row r="13103">
      <c r="C13103" s="18" t="n"/>
      <c r="J13103" s="19" t="n"/>
      <c r="P13103" s="20" t="n"/>
      <c r="Q13103" s="19" t="n"/>
      <c r="R13103" s="19" t="n"/>
      <c r="Y13103" s="19" t="n"/>
    </row>
    <row r="13104">
      <c r="C13104" s="18" t="n"/>
      <c r="J13104" s="19" t="n"/>
      <c r="P13104" s="20" t="n"/>
      <c r="Q13104" s="19" t="n"/>
      <c r="R13104" s="19" t="n"/>
      <c r="Y13104" s="19" t="n"/>
    </row>
    <row r="13105">
      <c r="C13105" s="18" t="n"/>
      <c r="J13105" s="19" t="n"/>
      <c r="P13105" s="20" t="n"/>
      <c r="Q13105" s="19" t="n"/>
      <c r="R13105" s="19" t="n"/>
      <c r="Y13105" s="19" t="n"/>
    </row>
    <row r="13106">
      <c r="C13106" s="18" t="n"/>
      <c r="J13106" s="19" t="n"/>
      <c r="P13106" s="20" t="n"/>
      <c r="Q13106" s="19" t="n"/>
      <c r="R13106" s="19" t="n"/>
      <c r="Y13106" s="19" t="n"/>
    </row>
    <row r="13107">
      <c r="C13107" s="18" t="n"/>
      <c r="J13107" s="19" t="n"/>
      <c r="P13107" s="20" t="n"/>
      <c r="Q13107" s="19" t="n"/>
      <c r="R13107" s="19" t="n"/>
      <c r="Y13107" s="19" t="n"/>
    </row>
    <row r="13108">
      <c r="C13108" s="18" t="n"/>
      <c r="J13108" s="19" t="n"/>
      <c r="P13108" s="20" t="n"/>
      <c r="Q13108" s="19" t="n"/>
      <c r="R13108" s="19" t="n"/>
      <c r="Y13108" s="19" t="n"/>
    </row>
    <row r="13109">
      <c r="C13109" s="18" t="n"/>
      <c r="J13109" s="19" t="n"/>
      <c r="P13109" s="20" t="n"/>
      <c r="Q13109" s="19" t="n"/>
      <c r="R13109" s="19" t="n"/>
      <c r="Y13109" s="19" t="n"/>
    </row>
    <row r="13110">
      <c r="C13110" s="18" t="n"/>
      <c r="J13110" s="19" t="n"/>
      <c r="P13110" s="20" t="n"/>
      <c r="Q13110" s="19" t="n"/>
      <c r="R13110" s="19" t="n"/>
      <c r="Y13110" s="19" t="n"/>
    </row>
    <row r="13111">
      <c r="C13111" s="18" t="n"/>
      <c r="J13111" s="19" t="n"/>
      <c r="P13111" s="20" t="n"/>
      <c r="Q13111" s="19" t="n"/>
      <c r="R13111" s="19" t="n"/>
      <c r="Y13111" s="19" t="n"/>
    </row>
    <row r="13112">
      <c r="C13112" s="18" t="n"/>
      <c r="J13112" s="19" t="n"/>
      <c r="P13112" s="20" t="n"/>
      <c r="Q13112" s="19" t="n"/>
      <c r="R13112" s="19" t="n"/>
      <c r="Y13112" s="19" t="n"/>
    </row>
    <row r="13113">
      <c r="C13113" s="18" t="n"/>
      <c r="J13113" s="19" t="n"/>
      <c r="P13113" s="20" t="n"/>
      <c r="Q13113" s="19" t="n"/>
      <c r="R13113" s="19" t="n"/>
      <c r="Y13113" s="19" t="n"/>
    </row>
    <row r="13114">
      <c r="C13114" s="18" t="n"/>
      <c r="J13114" s="19" t="n"/>
      <c r="P13114" s="20" t="n"/>
      <c r="Q13114" s="19" t="n"/>
      <c r="R13114" s="19" t="n"/>
      <c r="Y13114" s="19" t="n"/>
    </row>
    <row r="13115">
      <c r="C13115" s="18" t="n"/>
      <c r="J13115" s="19" t="n"/>
      <c r="P13115" s="20" t="n"/>
      <c r="Q13115" s="19" t="n"/>
      <c r="R13115" s="19" t="n"/>
      <c r="Y13115" s="19" t="n"/>
    </row>
    <row r="13116">
      <c r="C13116" s="18" t="n"/>
      <c r="J13116" s="19" t="n"/>
      <c r="P13116" s="20" t="n"/>
      <c r="Q13116" s="19" t="n"/>
      <c r="R13116" s="19" t="n"/>
      <c r="Y13116" s="19" t="n"/>
    </row>
    <row r="13117">
      <c r="C13117" s="18" t="n"/>
      <c r="J13117" s="19" t="n"/>
      <c r="P13117" s="20" t="n"/>
      <c r="Q13117" s="19" t="n"/>
      <c r="R13117" s="19" t="n"/>
      <c r="Y13117" s="19" t="n"/>
    </row>
    <row r="13118">
      <c r="C13118" s="18" t="n"/>
      <c r="J13118" s="19" t="n"/>
      <c r="P13118" s="20" t="n"/>
      <c r="Q13118" s="19" t="n"/>
      <c r="R13118" s="19" t="n"/>
      <c r="Y13118" s="19" t="n"/>
    </row>
    <row r="13119">
      <c r="C13119" s="18" t="n"/>
      <c r="J13119" s="19" t="n"/>
      <c r="P13119" s="20" t="n"/>
      <c r="Q13119" s="19" t="n"/>
      <c r="R13119" s="19" t="n"/>
      <c r="Y13119" s="19" t="n"/>
    </row>
    <row r="13120">
      <c r="C13120" s="18" t="n"/>
      <c r="J13120" s="19" t="n"/>
      <c r="P13120" s="20" t="n"/>
      <c r="Q13120" s="19" t="n"/>
      <c r="R13120" s="19" t="n"/>
      <c r="Y13120" s="19" t="n"/>
    </row>
    <row r="13121">
      <c r="C13121" s="18" t="n"/>
      <c r="J13121" s="19" t="n"/>
      <c r="P13121" s="20" t="n"/>
      <c r="Q13121" s="19" t="n"/>
      <c r="R13121" s="19" t="n"/>
      <c r="Y13121" s="19" t="n"/>
    </row>
    <row r="13122">
      <c r="C13122" s="18" t="n"/>
      <c r="J13122" s="19" t="n"/>
      <c r="P13122" s="20" t="n"/>
      <c r="Q13122" s="19" t="n"/>
      <c r="R13122" s="19" t="n"/>
      <c r="Y13122" s="19" t="n"/>
    </row>
    <row r="13123">
      <c r="C13123" s="18" t="n"/>
      <c r="J13123" s="19" t="n"/>
      <c r="P13123" s="20" t="n"/>
      <c r="Q13123" s="19" t="n"/>
      <c r="R13123" s="19" t="n"/>
      <c r="Y13123" s="19" t="n"/>
    </row>
    <row r="13124">
      <c r="C13124" s="18" t="n"/>
      <c r="J13124" s="19" t="n"/>
      <c r="P13124" s="20" t="n"/>
      <c r="Q13124" s="19" t="n"/>
      <c r="R13124" s="19" t="n"/>
      <c r="Y13124" s="19" t="n"/>
    </row>
    <row r="13125">
      <c r="C13125" s="18" t="n"/>
      <c r="J13125" s="19" t="n"/>
      <c r="P13125" s="20" t="n"/>
      <c r="Q13125" s="19" t="n"/>
      <c r="R13125" s="19" t="n"/>
      <c r="Y13125" s="19" t="n"/>
    </row>
    <row r="13126">
      <c r="C13126" s="18" t="n"/>
      <c r="J13126" s="19" t="n"/>
      <c r="P13126" s="20" t="n"/>
      <c r="Q13126" s="19" t="n"/>
      <c r="R13126" s="19" t="n"/>
      <c r="Y13126" s="19" t="n"/>
    </row>
    <row r="13127">
      <c r="C13127" s="18" t="n"/>
      <c r="J13127" s="19" t="n"/>
      <c r="P13127" s="20" t="n"/>
      <c r="Q13127" s="19" t="n"/>
      <c r="R13127" s="19" t="n"/>
      <c r="Y13127" s="19" t="n"/>
    </row>
    <row r="13128">
      <c r="C13128" s="18" t="n"/>
      <c r="J13128" s="19" t="n"/>
      <c r="P13128" s="20" t="n"/>
      <c r="Q13128" s="19" t="n"/>
      <c r="R13128" s="19" t="n"/>
      <c r="Y13128" s="19" t="n"/>
    </row>
    <row r="13129">
      <c r="C13129" s="18" t="n"/>
      <c r="J13129" s="19" t="n"/>
      <c r="P13129" s="20" t="n"/>
      <c r="Q13129" s="19" t="n"/>
      <c r="R13129" s="19" t="n"/>
      <c r="Y13129" s="19" t="n"/>
    </row>
    <row r="13130">
      <c r="C13130" s="18" t="n"/>
      <c r="J13130" s="19" t="n"/>
      <c r="P13130" s="20" t="n"/>
      <c r="Q13130" s="19" t="n"/>
      <c r="R13130" s="19" t="n"/>
      <c r="Y13130" s="19" t="n"/>
    </row>
    <row r="13131">
      <c r="C13131" s="18" t="n"/>
      <c r="J13131" s="19" t="n"/>
      <c r="P13131" s="20" t="n"/>
      <c r="Q13131" s="19" t="n"/>
      <c r="R13131" s="19" t="n"/>
      <c r="Y13131" s="19" t="n"/>
    </row>
    <row r="13132">
      <c r="C13132" s="18" t="n"/>
      <c r="J13132" s="19" t="n"/>
      <c r="P13132" s="20" t="n"/>
      <c r="Q13132" s="19" t="n"/>
      <c r="R13132" s="19" t="n"/>
      <c r="Y13132" s="19" t="n"/>
    </row>
    <row r="13133">
      <c r="C13133" s="18" t="n"/>
      <c r="J13133" s="19" t="n"/>
      <c r="P13133" s="20" t="n"/>
      <c r="Q13133" s="19" t="n"/>
      <c r="R13133" s="19" t="n"/>
      <c r="Y13133" s="19" t="n"/>
    </row>
    <row r="13134">
      <c r="C13134" s="18" t="n"/>
      <c r="J13134" s="19" t="n"/>
      <c r="P13134" s="20" t="n"/>
      <c r="Q13134" s="19" t="n"/>
      <c r="R13134" s="19" t="n"/>
      <c r="Y13134" s="19" t="n"/>
    </row>
    <row r="13135">
      <c r="C13135" s="18" t="n"/>
      <c r="J13135" s="19" t="n"/>
      <c r="P13135" s="20" t="n"/>
      <c r="Q13135" s="19" t="n"/>
      <c r="R13135" s="19" t="n"/>
      <c r="Y13135" s="19" t="n"/>
    </row>
    <row r="13136">
      <c r="C13136" s="18" t="n"/>
      <c r="J13136" s="19" t="n"/>
      <c r="P13136" s="20" t="n"/>
      <c r="Q13136" s="19" t="n"/>
      <c r="R13136" s="19" t="n"/>
      <c r="Y13136" s="19" t="n"/>
    </row>
    <row r="13137">
      <c r="C13137" s="18" t="n"/>
      <c r="J13137" s="19" t="n"/>
      <c r="P13137" s="20" t="n"/>
      <c r="Q13137" s="19" t="n"/>
      <c r="R13137" s="19" t="n"/>
      <c r="Y13137" s="19" t="n"/>
    </row>
    <row r="13138">
      <c r="C13138" s="18" t="n"/>
      <c r="J13138" s="19" t="n"/>
      <c r="P13138" s="20" t="n"/>
      <c r="Q13138" s="19" t="n"/>
      <c r="R13138" s="19" t="n"/>
      <c r="Y13138" s="19" t="n"/>
    </row>
    <row r="13139">
      <c r="C13139" s="18" t="n"/>
      <c r="J13139" s="19" t="n"/>
      <c r="P13139" s="20" t="n"/>
      <c r="Q13139" s="19" t="n"/>
      <c r="R13139" s="19" t="n"/>
      <c r="Y13139" s="19" t="n"/>
    </row>
    <row r="13140">
      <c r="C13140" s="18" t="n"/>
      <c r="J13140" s="19" t="n"/>
      <c r="P13140" s="20" t="n"/>
      <c r="Q13140" s="19" t="n"/>
      <c r="R13140" s="19" t="n"/>
      <c r="Y13140" s="19" t="n"/>
    </row>
    <row r="13141">
      <c r="C13141" s="18" t="n"/>
      <c r="J13141" s="19" t="n"/>
      <c r="P13141" s="20" t="n"/>
      <c r="Q13141" s="19" t="n"/>
      <c r="R13141" s="19" t="n"/>
      <c r="Y13141" s="19" t="n"/>
    </row>
    <row r="13142">
      <c r="C13142" s="18" t="n"/>
      <c r="J13142" s="19" t="n"/>
      <c r="P13142" s="20" t="n"/>
      <c r="Q13142" s="19" t="n"/>
      <c r="R13142" s="19" t="n"/>
      <c r="Y13142" s="19" t="n"/>
    </row>
    <row r="13143">
      <c r="C13143" s="18" t="n"/>
      <c r="J13143" s="19" t="n"/>
      <c r="P13143" s="20" t="n"/>
      <c r="Q13143" s="19" t="n"/>
      <c r="R13143" s="19" t="n"/>
      <c r="Y13143" s="19" t="n"/>
    </row>
    <row r="13144">
      <c r="C13144" s="18" t="n"/>
      <c r="J13144" s="19" t="n"/>
      <c r="P13144" s="20" t="n"/>
      <c r="Q13144" s="19" t="n"/>
      <c r="R13144" s="19" t="n"/>
      <c r="Y13144" s="19" t="n"/>
    </row>
    <row r="13145">
      <c r="C13145" s="18" t="n"/>
      <c r="J13145" s="19" t="n"/>
      <c r="P13145" s="20" t="n"/>
      <c r="Q13145" s="19" t="n"/>
      <c r="R13145" s="19" t="n"/>
      <c r="Y13145" s="19" t="n"/>
    </row>
    <row r="13146">
      <c r="C13146" s="18" t="n"/>
      <c r="J13146" s="19" t="n"/>
      <c r="P13146" s="20" t="n"/>
      <c r="Q13146" s="19" t="n"/>
      <c r="R13146" s="19" t="n"/>
      <c r="Y13146" s="19" t="n"/>
    </row>
    <row r="13147">
      <c r="C13147" s="18" t="n"/>
      <c r="J13147" s="19" t="n"/>
      <c r="P13147" s="20" t="n"/>
      <c r="Q13147" s="19" t="n"/>
      <c r="R13147" s="19" t="n"/>
      <c r="Y13147" s="19" t="n"/>
    </row>
    <row r="13148">
      <c r="C13148" s="18" t="n"/>
      <c r="J13148" s="19" t="n"/>
      <c r="P13148" s="20" t="n"/>
      <c r="Q13148" s="19" t="n"/>
      <c r="R13148" s="19" t="n"/>
      <c r="Y13148" s="19" t="n"/>
    </row>
    <row r="13149">
      <c r="C13149" s="18" t="n"/>
      <c r="J13149" s="19" t="n"/>
      <c r="P13149" s="20" t="n"/>
      <c r="Q13149" s="19" t="n"/>
      <c r="R13149" s="19" t="n"/>
      <c r="Y13149" s="19" t="n"/>
    </row>
    <row r="13150">
      <c r="C13150" s="18" t="n"/>
      <c r="J13150" s="19" t="n"/>
      <c r="P13150" s="20" t="n"/>
      <c r="Q13150" s="19" t="n"/>
      <c r="R13150" s="19" t="n"/>
      <c r="Y13150" s="19" t="n"/>
    </row>
    <row r="13151">
      <c r="C13151" s="18" t="n"/>
      <c r="J13151" s="19" t="n"/>
      <c r="P13151" s="20" t="n"/>
      <c r="Q13151" s="19" t="n"/>
      <c r="R13151" s="19" t="n"/>
      <c r="Y13151" s="19" t="n"/>
    </row>
    <row r="13152">
      <c r="C13152" s="18" t="n"/>
      <c r="J13152" s="19" t="n"/>
      <c r="P13152" s="20" t="n"/>
      <c r="Q13152" s="19" t="n"/>
      <c r="R13152" s="19" t="n"/>
      <c r="Y13152" s="19" t="n"/>
    </row>
    <row r="13153">
      <c r="C13153" s="18" t="n"/>
      <c r="J13153" s="19" t="n"/>
      <c r="P13153" s="20" t="n"/>
      <c r="Q13153" s="19" t="n"/>
      <c r="R13153" s="19" t="n"/>
      <c r="Y13153" s="19" t="n"/>
    </row>
    <row r="13154">
      <c r="C13154" s="18" t="n"/>
      <c r="J13154" s="19" t="n"/>
      <c r="P13154" s="20" t="n"/>
      <c r="Q13154" s="19" t="n"/>
      <c r="R13154" s="19" t="n"/>
      <c r="Y13154" s="19" t="n"/>
    </row>
    <row r="13155">
      <c r="C13155" s="18" t="n"/>
      <c r="J13155" s="19" t="n"/>
      <c r="P13155" s="20" t="n"/>
      <c r="Q13155" s="19" t="n"/>
      <c r="R13155" s="19" t="n"/>
      <c r="Y13155" s="19" t="n"/>
    </row>
    <row r="13156">
      <c r="C13156" s="18" t="n"/>
      <c r="J13156" s="19" t="n"/>
      <c r="P13156" s="20" t="n"/>
      <c r="Q13156" s="19" t="n"/>
      <c r="R13156" s="19" t="n"/>
      <c r="Y13156" s="19" t="n"/>
    </row>
    <row r="13157">
      <c r="C13157" s="18" t="n"/>
      <c r="J13157" s="19" t="n"/>
      <c r="P13157" s="20" t="n"/>
      <c r="Q13157" s="19" t="n"/>
      <c r="R13157" s="19" t="n"/>
      <c r="Y13157" s="19" t="n"/>
    </row>
    <row r="13158">
      <c r="C13158" s="18" t="n"/>
      <c r="J13158" s="19" t="n"/>
      <c r="P13158" s="20" t="n"/>
      <c r="Q13158" s="19" t="n"/>
      <c r="R13158" s="19" t="n"/>
      <c r="Y13158" s="19" t="n"/>
    </row>
    <row r="13159">
      <c r="C13159" s="18" t="n"/>
      <c r="J13159" s="19" t="n"/>
      <c r="P13159" s="20" t="n"/>
      <c r="Q13159" s="19" t="n"/>
      <c r="R13159" s="19" t="n"/>
      <c r="Y13159" s="19" t="n"/>
    </row>
    <row r="13160">
      <c r="C13160" s="18" t="n"/>
      <c r="J13160" s="19" t="n"/>
      <c r="P13160" s="20" t="n"/>
      <c r="Q13160" s="19" t="n"/>
      <c r="R13160" s="19" t="n"/>
      <c r="Y13160" s="19" t="n"/>
    </row>
    <row r="13161">
      <c r="C13161" s="18" t="n"/>
      <c r="J13161" s="19" t="n"/>
      <c r="P13161" s="20" t="n"/>
      <c r="Q13161" s="19" t="n"/>
      <c r="R13161" s="19" t="n"/>
      <c r="Y13161" s="19" t="n"/>
    </row>
    <row r="13162">
      <c r="C13162" s="18" t="n"/>
      <c r="J13162" s="19" t="n"/>
      <c r="P13162" s="20" t="n"/>
      <c r="Q13162" s="19" t="n"/>
      <c r="R13162" s="19" t="n"/>
      <c r="Y13162" s="19" t="n"/>
    </row>
    <row r="13163">
      <c r="C13163" s="18" t="n"/>
      <c r="J13163" s="19" t="n"/>
      <c r="P13163" s="20" t="n"/>
      <c r="Q13163" s="19" t="n"/>
      <c r="R13163" s="19" t="n"/>
      <c r="Y13163" s="19" t="n"/>
    </row>
    <row r="13164">
      <c r="C13164" s="18" t="n"/>
      <c r="J13164" s="19" t="n"/>
      <c r="P13164" s="20" t="n"/>
      <c r="Q13164" s="19" t="n"/>
      <c r="R13164" s="19" t="n"/>
      <c r="Y13164" s="19" t="n"/>
    </row>
    <row r="13165">
      <c r="C13165" s="18" t="n"/>
      <c r="J13165" s="19" t="n"/>
      <c r="P13165" s="20" t="n"/>
      <c r="Q13165" s="19" t="n"/>
      <c r="R13165" s="19" t="n"/>
      <c r="Y13165" s="19" t="n"/>
    </row>
    <row r="13166">
      <c r="C13166" s="18" t="n"/>
      <c r="J13166" s="19" t="n"/>
      <c r="P13166" s="20" t="n"/>
      <c r="Q13166" s="19" t="n"/>
      <c r="R13166" s="19" t="n"/>
      <c r="Y13166" s="19" t="n"/>
    </row>
    <row r="13167">
      <c r="C13167" s="18" t="n"/>
      <c r="J13167" s="19" t="n"/>
      <c r="P13167" s="20" t="n"/>
      <c r="Q13167" s="19" t="n"/>
      <c r="R13167" s="19" t="n"/>
      <c r="Y13167" s="19" t="n"/>
    </row>
    <row r="13168">
      <c r="C13168" s="18" t="n"/>
      <c r="J13168" s="19" t="n"/>
      <c r="P13168" s="20" t="n"/>
      <c r="Q13168" s="19" t="n"/>
      <c r="R13168" s="19" t="n"/>
      <c r="Y13168" s="19" t="n"/>
    </row>
    <row r="13169">
      <c r="C13169" s="18" t="n"/>
      <c r="J13169" s="19" t="n"/>
      <c r="P13169" s="20" t="n"/>
      <c r="Q13169" s="19" t="n"/>
      <c r="R13169" s="19" t="n"/>
      <c r="Y13169" s="19" t="n"/>
    </row>
    <row r="13170">
      <c r="C13170" s="18" t="n"/>
      <c r="J13170" s="19" t="n"/>
      <c r="P13170" s="20" t="n"/>
      <c r="Q13170" s="19" t="n"/>
      <c r="R13170" s="19" t="n"/>
      <c r="Y13170" s="19" t="n"/>
    </row>
    <row r="13171">
      <c r="C13171" s="18" t="n"/>
      <c r="J13171" s="19" t="n"/>
      <c r="P13171" s="20" t="n"/>
      <c r="Q13171" s="19" t="n"/>
      <c r="R13171" s="19" t="n"/>
      <c r="Y13171" s="19" t="n"/>
    </row>
    <row r="13172">
      <c r="C13172" s="18" t="n"/>
      <c r="J13172" s="19" t="n"/>
      <c r="P13172" s="20" t="n"/>
      <c r="Q13172" s="19" t="n"/>
      <c r="R13172" s="19" t="n"/>
      <c r="Y13172" s="19" t="n"/>
    </row>
    <row r="13173">
      <c r="C13173" s="18" t="n"/>
      <c r="J13173" s="19" t="n"/>
      <c r="P13173" s="20" t="n"/>
      <c r="Q13173" s="19" t="n"/>
      <c r="R13173" s="19" t="n"/>
      <c r="Y13173" s="19" t="n"/>
    </row>
    <row r="13174">
      <c r="C13174" s="18" t="n"/>
      <c r="J13174" s="19" t="n"/>
      <c r="P13174" s="20" t="n"/>
      <c r="Q13174" s="19" t="n"/>
      <c r="R13174" s="19" t="n"/>
      <c r="Y13174" s="19" t="n"/>
    </row>
    <row r="13175">
      <c r="C13175" s="18" t="n"/>
      <c r="J13175" s="19" t="n"/>
      <c r="P13175" s="20" t="n"/>
      <c r="Q13175" s="19" t="n"/>
      <c r="R13175" s="19" t="n"/>
      <c r="Y13175" s="19" t="n"/>
    </row>
    <row r="13176">
      <c r="C13176" s="18" t="n"/>
      <c r="J13176" s="19" t="n"/>
      <c r="P13176" s="20" t="n"/>
      <c r="Q13176" s="19" t="n"/>
      <c r="R13176" s="19" t="n"/>
      <c r="Y13176" s="19" t="n"/>
    </row>
    <row r="13177">
      <c r="C13177" s="18" t="n"/>
      <c r="J13177" s="19" t="n"/>
      <c r="P13177" s="20" t="n"/>
      <c r="Q13177" s="19" t="n"/>
      <c r="R13177" s="19" t="n"/>
      <c r="Y13177" s="19" t="n"/>
    </row>
    <row r="13178">
      <c r="C13178" s="18" t="n"/>
      <c r="J13178" s="19" t="n"/>
      <c r="P13178" s="20" t="n"/>
      <c r="Q13178" s="19" t="n"/>
      <c r="R13178" s="19" t="n"/>
      <c r="Y13178" s="19" t="n"/>
    </row>
    <row r="13179">
      <c r="C13179" s="18" t="n"/>
      <c r="J13179" s="19" t="n"/>
      <c r="P13179" s="20" t="n"/>
      <c r="Q13179" s="19" t="n"/>
      <c r="R13179" s="19" t="n"/>
      <c r="Y13179" s="19" t="n"/>
    </row>
    <row r="13180">
      <c r="C13180" s="18" t="n"/>
      <c r="J13180" s="19" t="n"/>
      <c r="P13180" s="20" t="n"/>
      <c r="Q13180" s="19" t="n"/>
      <c r="R13180" s="19" t="n"/>
      <c r="Y13180" s="19" t="n"/>
    </row>
    <row r="13181">
      <c r="C13181" s="18" t="n"/>
      <c r="J13181" s="19" t="n"/>
      <c r="P13181" s="20" t="n"/>
      <c r="Q13181" s="19" t="n"/>
      <c r="R13181" s="19" t="n"/>
      <c r="Y13181" s="19" t="n"/>
    </row>
    <row r="13182">
      <c r="C13182" s="18" t="n"/>
      <c r="J13182" s="19" t="n"/>
      <c r="P13182" s="20" t="n"/>
      <c r="Q13182" s="19" t="n"/>
      <c r="R13182" s="19" t="n"/>
      <c r="Y13182" s="19" t="n"/>
    </row>
    <row r="13183">
      <c r="C13183" s="18" t="n"/>
      <c r="J13183" s="19" t="n"/>
      <c r="P13183" s="20" t="n"/>
      <c r="Q13183" s="19" t="n"/>
      <c r="R13183" s="19" t="n"/>
      <c r="Y13183" s="19" t="n"/>
    </row>
    <row r="13184">
      <c r="C13184" s="18" t="n"/>
      <c r="J13184" s="19" t="n"/>
      <c r="P13184" s="20" t="n"/>
      <c r="Q13184" s="19" t="n"/>
      <c r="R13184" s="19" t="n"/>
      <c r="Y13184" s="19" t="n"/>
    </row>
    <row r="13185">
      <c r="C13185" s="18" t="n"/>
      <c r="J13185" s="19" t="n"/>
      <c r="P13185" s="20" t="n"/>
      <c r="Q13185" s="19" t="n"/>
      <c r="R13185" s="19" t="n"/>
      <c r="Y13185" s="19" t="n"/>
    </row>
    <row r="13186">
      <c r="C13186" s="18" t="n"/>
      <c r="J13186" s="19" t="n"/>
      <c r="P13186" s="20" t="n"/>
      <c r="Q13186" s="19" t="n"/>
      <c r="R13186" s="19" t="n"/>
      <c r="Y13186" s="19" t="n"/>
    </row>
    <row r="13187">
      <c r="C13187" s="18" t="n"/>
      <c r="J13187" s="19" t="n"/>
      <c r="P13187" s="20" t="n"/>
      <c r="Q13187" s="19" t="n"/>
      <c r="R13187" s="19" t="n"/>
      <c r="Y13187" s="19" t="n"/>
    </row>
    <row r="13188">
      <c r="C13188" s="18" t="n"/>
      <c r="J13188" s="19" t="n"/>
      <c r="P13188" s="20" t="n"/>
      <c r="Q13188" s="19" t="n"/>
      <c r="R13188" s="19" t="n"/>
      <c r="Y13188" s="19" t="n"/>
    </row>
    <row r="13189">
      <c r="C13189" s="18" t="n"/>
      <c r="J13189" s="19" t="n"/>
      <c r="P13189" s="20" t="n"/>
      <c r="Q13189" s="19" t="n"/>
      <c r="R13189" s="19" t="n"/>
      <c r="Y13189" s="19" t="n"/>
    </row>
    <row r="13190">
      <c r="C13190" s="18" t="n"/>
      <c r="J13190" s="19" t="n"/>
      <c r="P13190" s="20" t="n"/>
      <c r="Q13190" s="19" t="n"/>
      <c r="R13190" s="19" t="n"/>
      <c r="Y13190" s="19" t="n"/>
    </row>
    <row r="13191">
      <c r="C13191" s="18" t="n"/>
      <c r="J13191" s="19" t="n"/>
      <c r="P13191" s="20" t="n"/>
      <c r="Q13191" s="19" t="n"/>
      <c r="R13191" s="19" t="n"/>
      <c r="Y13191" s="19" t="n"/>
    </row>
    <row r="13192">
      <c r="C13192" s="18" t="n"/>
      <c r="J13192" s="19" t="n"/>
      <c r="P13192" s="20" t="n"/>
      <c r="Q13192" s="19" t="n"/>
      <c r="R13192" s="19" t="n"/>
      <c r="Y13192" s="19" t="n"/>
    </row>
    <row r="13193">
      <c r="C13193" s="18" t="n"/>
      <c r="J13193" s="19" t="n"/>
      <c r="P13193" s="20" t="n"/>
      <c r="Q13193" s="19" t="n"/>
      <c r="R13193" s="19" t="n"/>
      <c r="Y13193" s="19" t="n"/>
    </row>
    <row r="13194">
      <c r="C13194" s="18" t="n"/>
      <c r="J13194" s="19" t="n"/>
      <c r="P13194" s="20" t="n"/>
      <c r="Q13194" s="19" t="n"/>
      <c r="R13194" s="19" t="n"/>
      <c r="Y13194" s="19" t="n"/>
    </row>
    <row r="13195">
      <c r="C13195" s="18" t="n"/>
      <c r="J13195" s="19" t="n"/>
      <c r="P13195" s="20" t="n"/>
      <c r="Q13195" s="19" t="n"/>
      <c r="R13195" s="19" t="n"/>
      <c r="Y13195" s="19" t="n"/>
    </row>
    <row r="13196">
      <c r="C13196" s="18" t="n"/>
      <c r="J13196" s="19" t="n"/>
      <c r="P13196" s="20" t="n"/>
      <c r="Q13196" s="19" t="n"/>
      <c r="R13196" s="19" t="n"/>
      <c r="Y13196" s="19" t="n"/>
    </row>
    <row r="13197">
      <c r="C13197" s="18" t="n"/>
      <c r="J13197" s="19" t="n"/>
      <c r="P13197" s="20" t="n"/>
      <c r="Q13197" s="19" t="n"/>
      <c r="R13197" s="19" t="n"/>
      <c r="Y13197" s="19" t="n"/>
    </row>
    <row r="13198">
      <c r="C13198" s="18" t="n"/>
      <c r="J13198" s="19" t="n"/>
      <c r="P13198" s="20" t="n"/>
      <c r="Q13198" s="19" t="n"/>
      <c r="R13198" s="19" t="n"/>
      <c r="Y13198" s="19" t="n"/>
    </row>
    <row r="13199">
      <c r="C13199" s="18" t="n"/>
      <c r="J13199" s="19" t="n"/>
      <c r="P13199" s="20" t="n"/>
      <c r="Q13199" s="19" t="n"/>
      <c r="R13199" s="19" t="n"/>
      <c r="Y13199" s="19" t="n"/>
    </row>
    <row r="13200">
      <c r="C13200" s="18" t="n"/>
      <c r="J13200" s="19" t="n"/>
      <c r="P13200" s="20" t="n"/>
      <c r="Q13200" s="19" t="n"/>
      <c r="R13200" s="19" t="n"/>
      <c r="Y13200" s="19" t="n"/>
    </row>
    <row r="13201">
      <c r="C13201" s="18" t="n"/>
      <c r="J13201" s="19" t="n"/>
      <c r="P13201" s="20" t="n"/>
      <c r="Q13201" s="19" t="n"/>
      <c r="R13201" s="19" t="n"/>
      <c r="Y13201" s="19" t="n"/>
    </row>
    <row r="13202">
      <c r="C13202" s="18" t="n"/>
      <c r="J13202" s="19" t="n"/>
      <c r="P13202" s="20" t="n"/>
      <c r="Q13202" s="19" t="n"/>
      <c r="R13202" s="19" t="n"/>
      <c r="Y13202" s="19" t="n"/>
    </row>
    <row r="13203">
      <c r="C13203" s="18" t="n"/>
      <c r="J13203" s="19" t="n"/>
      <c r="P13203" s="20" t="n"/>
      <c r="Q13203" s="19" t="n"/>
      <c r="R13203" s="19" t="n"/>
      <c r="Y13203" s="19" t="n"/>
    </row>
    <row r="13204">
      <c r="C13204" s="18" t="n"/>
      <c r="J13204" s="19" t="n"/>
      <c r="P13204" s="20" t="n"/>
      <c r="Q13204" s="19" t="n"/>
      <c r="R13204" s="19" t="n"/>
      <c r="Y13204" s="19" t="n"/>
    </row>
    <row r="13205">
      <c r="C13205" s="18" t="n"/>
      <c r="J13205" s="19" t="n"/>
      <c r="P13205" s="20" t="n"/>
      <c r="Q13205" s="19" t="n"/>
      <c r="R13205" s="19" t="n"/>
      <c r="Y13205" s="19" t="n"/>
    </row>
    <row r="13206">
      <c r="C13206" s="18" t="n"/>
      <c r="J13206" s="19" t="n"/>
      <c r="P13206" s="20" t="n"/>
      <c r="Q13206" s="19" t="n"/>
      <c r="R13206" s="19" t="n"/>
      <c r="Y13206" s="19" t="n"/>
    </row>
    <row r="13207">
      <c r="C13207" s="18" t="n"/>
      <c r="J13207" s="19" t="n"/>
      <c r="P13207" s="20" t="n"/>
      <c r="Q13207" s="19" t="n"/>
      <c r="R13207" s="19" t="n"/>
      <c r="Y13207" s="19" t="n"/>
    </row>
    <row r="13208">
      <c r="C13208" s="18" t="n"/>
      <c r="J13208" s="19" t="n"/>
      <c r="P13208" s="20" t="n"/>
      <c r="Q13208" s="19" t="n"/>
      <c r="R13208" s="19" t="n"/>
      <c r="Y13208" s="19" t="n"/>
    </row>
    <row r="13209">
      <c r="C13209" s="18" t="n"/>
      <c r="J13209" s="19" t="n"/>
      <c r="P13209" s="20" t="n"/>
      <c r="Q13209" s="19" t="n"/>
      <c r="R13209" s="19" t="n"/>
      <c r="Y13209" s="19" t="n"/>
    </row>
    <row r="13210">
      <c r="C13210" s="18" t="n"/>
      <c r="J13210" s="19" t="n"/>
      <c r="P13210" s="20" t="n"/>
      <c r="Q13210" s="19" t="n"/>
      <c r="R13210" s="19" t="n"/>
      <c r="Y13210" s="19" t="n"/>
    </row>
    <row r="13211">
      <c r="C13211" s="18" t="n"/>
      <c r="J13211" s="19" t="n"/>
      <c r="P13211" s="20" t="n"/>
      <c r="Q13211" s="19" t="n"/>
      <c r="R13211" s="19" t="n"/>
      <c r="Y13211" s="19" t="n"/>
    </row>
    <row r="13212">
      <c r="C13212" s="18" t="n"/>
      <c r="J13212" s="19" t="n"/>
      <c r="P13212" s="20" t="n"/>
      <c r="Q13212" s="19" t="n"/>
      <c r="R13212" s="19" t="n"/>
      <c r="Y13212" s="19" t="n"/>
    </row>
    <row r="13213">
      <c r="C13213" s="18" t="n"/>
      <c r="J13213" s="19" t="n"/>
      <c r="P13213" s="20" t="n"/>
      <c r="Q13213" s="19" t="n"/>
      <c r="R13213" s="19" t="n"/>
      <c r="Y13213" s="19" t="n"/>
    </row>
    <row r="13214">
      <c r="C13214" s="18" t="n"/>
      <c r="J13214" s="19" t="n"/>
      <c r="P13214" s="20" t="n"/>
      <c r="Q13214" s="19" t="n"/>
      <c r="R13214" s="19" t="n"/>
      <c r="Y13214" s="19" t="n"/>
    </row>
    <row r="13215">
      <c r="C13215" s="18" t="n"/>
      <c r="J13215" s="19" t="n"/>
      <c r="P13215" s="20" t="n"/>
      <c r="Q13215" s="19" t="n"/>
      <c r="R13215" s="19" t="n"/>
      <c r="Y13215" s="19" t="n"/>
    </row>
    <row r="13216">
      <c r="C13216" s="18" t="n"/>
      <c r="J13216" s="19" t="n"/>
      <c r="P13216" s="20" t="n"/>
      <c r="Q13216" s="19" t="n"/>
      <c r="R13216" s="19" t="n"/>
      <c r="Y13216" s="19" t="n"/>
    </row>
    <row r="13217">
      <c r="C13217" s="18" t="n"/>
      <c r="J13217" s="19" t="n"/>
      <c r="P13217" s="20" t="n"/>
      <c r="Q13217" s="19" t="n"/>
      <c r="R13217" s="19" t="n"/>
      <c r="Y13217" s="19" t="n"/>
    </row>
    <row r="13218">
      <c r="C13218" s="18" t="n"/>
      <c r="J13218" s="19" t="n"/>
      <c r="P13218" s="20" t="n"/>
      <c r="Q13218" s="19" t="n"/>
      <c r="R13218" s="19" t="n"/>
      <c r="Y13218" s="19" t="n"/>
    </row>
    <row r="13219">
      <c r="C13219" s="18" t="n"/>
      <c r="J13219" s="19" t="n"/>
      <c r="P13219" s="20" t="n"/>
      <c r="Q13219" s="19" t="n"/>
      <c r="R13219" s="19" t="n"/>
      <c r="Y13219" s="19" t="n"/>
    </row>
    <row r="13220">
      <c r="C13220" s="18" t="n"/>
      <c r="J13220" s="19" t="n"/>
      <c r="P13220" s="20" t="n"/>
      <c r="Q13220" s="19" t="n"/>
      <c r="R13220" s="19" t="n"/>
      <c r="Y13220" s="19" t="n"/>
    </row>
    <row r="13221">
      <c r="C13221" s="18" t="n"/>
      <c r="J13221" s="19" t="n"/>
      <c r="P13221" s="20" t="n"/>
      <c r="Q13221" s="19" t="n"/>
      <c r="R13221" s="19" t="n"/>
      <c r="Y13221" s="19" t="n"/>
    </row>
    <row r="13222">
      <c r="C13222" s="18" t="n"/>
      <c r="J13222" s="19" t="n"/>
      <c r="P13222" s="20" t="n"/>
      <c r="Q13222" s="19" t="n"/>
      <c r="R13222" s="19" t="n"/>
      <c r="Y13222" s="19" t="n"/>
    </row>
    <row r="13223">
      <c r="C13223" s="18" t="n"/>
      <c r="J13223" s="19" t="n"/>
      <c r="P13223" s="20" t="n"/>
      <c r="Q13223" s="19" t="n"/>
      <c r="R13223" s="19" t="n"/>
      <c r="Y13223" s="19" t="n"/>
    </row>
    <row r="13224">
      <c r="C13224" s="18" t="n"/>
      <c r="J13224" s="19" t="n"/>
      <c r="P13224" s="20" t="n"/>
      <c r="Q13224" s="19" t="n"/>
      <c r="R13224" s="19" t="n"/>
      <c r="Y13224" s="19" t="n"/>
    </row>
    <row r="13225">
      <c r="C13225" s="18" t="n"/>
      <c r="J13225" s="19" t="n"/>
      <c r="P13225" s="20" t="n"/>
      <c r="Q13225" s="19" t="n"/>
      <c r="R13225" s="19" t="n"/>
      <c r="Y13225" s="19" t="n"/>
    </row>
    <row r="13226">
      <c r="C13226" s="18" t="n"/>
      <c r="J13226" s="19" t="n"/>
      <c r="P13226" s="20" t="n"/>
      <c r="Q13226" s="19" t="n"/>
      <c r="R13226" s="19" t="n"/>
      <c r="Y13226" s="19" t="n"/>
    </row>
    <row r="13227">
      <c r="C13227" s="18" t="n"/>
      <c r="J13227" s="19" t="n"/>
      <c r="P13227" s="20" t="n"/>
      <c r="Q13227" s="19" t="n"/>
      <c r="R13227" s="19" t="n"/>
      <c r="Y13227" s="19" t="n"/>
    </row>
    <row r="13228">
      <c r="C13228" s="18" t="n"/>
      <c r="J13228" s="19" t="n"/>
      <c r="P13228" s="20" t="n"/>
      <c r="Q13228" s="19" t="n"/>
      <c r="R13228" s="19" t="n"/>
      <c r="Y13228" s="19" t="n"/>
    </row>
    <row r="13229">
      <c r="C13229" s="18" t="n"/>
      <c r="J13229" s="19" t="n"/>
      <c r="P13229" s="20" t="n"/>
      <c r="Q13229" s="19" t="n"/>
      <c r="R13229" s="19" t="n"/>
      <c r="Y13229" s="19" t="n"/>
    </row>
    <row r="13230">
      <c r="C13230" s="18" t="n"/>
      <c r="J13230" s="19" t="n"/>
      <c r="P13230" s="20" t="n"/>
      <c r="Q13230" s="19" t="n"/>
      <c r="R13230" s="19" t="n"/>
      <c r="Y13230" s="19" t="n"/>
    </row>
    <row r="13231">
      <c r="C13231" s="18" t="n"/>
      <c r="J13231" s="19" t="n"/>
      <c r="P13231" s="20" t="n"/>
      <c r="Q13231" s="19" t="n"/>
      <c r="R13231" s="19" t="n"/>
      <c r="Y13231" s="19" t="n"/>
    </row>
    <row r="13232">
      <c r="C13232" s="18" t="n"/>
      <c r="J13232" s="19" t="n"/>
      <c r="P13232" s="20" t="n"/>
      <c r="Q13232" s="19" t="n"/>
      <c r="R13232" s="19" t="n"/>
      <c r="Y13232" s="19" t="n"/>
    </row>
    <row r="13233">
      <c r="C13233" s="18" t="n"/>
      <c r="J13233" s="19" t="n"/>
      <c r="P13233" s="20" t="n"/>
      <c r="Q13233" s="19" t="n"/>
      <c r="R13233" s="19" t="n"/>
      <c r="Y13233" s="19" t="n"/>
    </row>
    <row r="13234">
      <c r="C13234" s="18" t="n"/>
      <c r="J13234" s="19" t="n"/>
      <c r="P13234" s="20" t="n"/>
      <c r="Q13234" s="19" t="n"/>
      <c r="R13234" s="19" t="n"/>
      <c r="Y13234" s="19" t="n"/>
    </row>
    <row r="13235">
      <c r="C13235" s="18" t="n"/>
      <c r="J13235" s="19" t="n"/>
      <c r="P13235" s="20" t="n"/>
      <c r="Q13235" s="19" t="n"/>
      <c r="R13235" s="19" t="n"/>
      <c r="Y13235" s="19" t="n"/>
    </row>
    <row r="13236">
      <c r="C13236" s="18" t="n"/>
      <c r="J13236" s="19" t="n"/>
      <c r="P13236" s="20" t="n"/>
      <c r="Q13236" s="19" t="n"/>
      <c r="R13236" s="19" t="n"/>
      <c r="Y13236" s="19" t="n"/>
    </row>
    <row r="13237">
      <c r="C13237" s="18" t="n"/>
      <c r="J13237" s="19" t="n"/>
      <c r="P13237" s="20" t="n"/>
      <c r="Q13237" s="19" t="n"/>
      <c r="R13237" s="19" t="n"/>
      <c r="Y13237" s="19" t="n"/>
    </row>
    <row r="13238">
      <c r="C13238" s="18" t="n"/>
      <c r="J13238" s="19" t="n"/>
      <c r="P13238" s="20" t="n"/>
      <c r="Q13238" s="19" t="n"/>
      <c r="R13238" s="19" t="n"/>
      <c r="Y13238" s="19" t="n"/>
    </row>
    <row r="13239">
      <c r="C13239" s="18" t="n"/>
      <c r="J13239" s="19" t="n"/>
      <c r="P13239" s="20" t="n"/>
      <c r="Q13239" s="19" t="n"/>
      <c r="R13239" s="19" t="n"/>
      <c r="Y13239" s="19" t="n"/>
    </row>
    <row r="13240">
      <c r="C13240" s="18" t="n"/>
      <c r="J13240" s="19" t="n"/>
      <c r="P13240" s="20" t="n"/>
      <c r="Q13240" s="19" t="n"/>
      <c r="R13240" s="19" t="n"/>
      <c r="Y13240" s="19" t="n"/>
    </row>
    <row r="13241">
      <c r="C13241" s="18" t="n"/>
      <c r="J13241" s="19" t="n"/>
      <c r="P13241" s="20" t="n"/>
      <c r="Q13241" s="19" t="n"/>
      <c r="R13241" s="19" t="n"/>
      <c r="Y13241" s="19" t="n"/>
    </row>
    <row r="13242">
      <c r="C13242" s="18" t="n"/>
      <c r="J13242" s="19" t="n"/>
      <c r="P13242" s="20" t="n"/>
      <c r="Q13242" s="19" t="n"/>
      <c r="R13242" s="19" t="n"/>
      <c r="Y13242" s="19" t="n"/>
    </row>
    <row r="13243">
      <c r="C13243" s="18" t="n"/>
      <c r="J13243" s="19" t="n"/>
      <c r="P13243" s="20" t="n"/>
      <c r="Q13243" s="19" t="n"/>
      <c r="R13243" s="19" t="n"/>
      <c r="Y13243" s="19" t="n"/>
    </row>
    <row r="13244">
      <c r="C13244" s="18" t="n"/>
      <c r="J13244" s="19" t="n"/>
      <c r="P13244" s="20" t="n"/>
      <c r="Q13244" s="19" t="n"/>
      <c r="R13244" s="19" t="n"/>
      <c r="Y13244" s="19" t="n"/>
    </row>
    <row r="13245">
      <c r="C13245" s="18" t="n"/>
      <c r="J13245" s="19" t="n"/>
      <c r="P13245" s="20" t="n"/>
      <c r="Q13245" s="19" t="n"/>
      <c r="R13245" s="19" t="n"/>
      <c r="Y13245" s="19" t="n"/>
    </row>
    <row r="13246">
      <c r="C13246" s="18" t="n"/>
      <c r="J13246" s="19" t="n"/>
      <c r="P13246" s="20" t="n"/>
      <c r="Q13246" s="19" t="n"/>
      <c r="R13246" s="19" t="n"/>
      <c r="Y13246" s="19" t="n"/>
    </row>
    <row r="13247">
      <c r="C13247" s="18" t="n"/>
      <c r="J13247" s="19" t="n"/>
      <c r="P13247" s="20" t="n"/>
      <c r="Q13247" s="19" t="n"/>
      <c r="R13247" s="19" t="n"/>
      <c r="Y13247" s="19" t="n"/>
    </row>
    <row r="13248">
      <c r="C13248" s="18" t="n"/>
      <c r="J13248" s="19" t="n"/>
      <c r="P13248" s="20" t="n"/>
      <c r="Q13248" s="19" t="n"/>
      <c r="R13248" s="19" t="n"/>
      <c r="Y13248" s="19" t="n"/>
    </row>
    <row r="13249">
      <c r="C13249" s="18" t="n"/>
      <c r="J13249" s="19" t="n"/>
      <c r="P13249" s="20" t="n"/>
      <c r="Q13249" s="19" t="n"/>
      <c r="R13249" s="19" t="n"/>
      <c r="Y13249" s="19" t="n"/>
    </row>
    <row r="13250">
      <c r="C13250" s="18" t="n"/>
      <c r="J13250" s="19" t="n"/>
      <c r="P13250" s="20" t="n"/>
      <c r="Q13250" s="19" t="n"/>
      <c r="R13250" s="19" t="n"/>
      <c r="Y13250" s="19" t="n"/>
    </row>
    <row r="13251">
      <c r="C13251" s="18" t="n"/>
      <c r="J13251" s="19" t="n"/>
      <c r="P13251" s="20" t="n"/>
      <c r="Q13251" s="19" t="n"/>
      <c r="R13251" s="19" t="n"/>
      <c r="Y13251" s="19" t="n"/>
    </row>
    <row r="13252">
      <c r="C13252" s="18" t="n"/>
      <c r="J13252" s="19" t="n"/>
      <c r="P13252" s="20" t="n"/>
      <c r="Q13252" s="19" t="n"/>
      <c r="R13252" s="19" t="n"/>
      <c r="Y13252" s="19" t="n"/>
    </row>
    <row r="13253">
      <c r="C13253" s="18" t="n"/>
      <c r="J13253" s="19" t="n"/>
      <c r="P13253" s="20" t="n"/>
      <c r="Q13253" s="19" t="n"/>
      <c r="R13253" s="19" t="n"/>
      <c r="Y13253" s="19" t="n"/>
    </row>
    <row r="13254">
      <c r="C13254" s="18" t="n"/>
      <c r="J13254" s="19" t="n"/>
      <c r="P13254" s="20" t="n"/>
      <c r="Q13254" s="19" t="n"/>
      <c r="R13254" s="19" t="n"/>
      <c r="Y13254" s="19" t="n"/>
    </row>
    <row r="13255">
      <c r="C13255" s="18" t="n"/>
      <c r="J13255" s="19" t="n"/>
      <c r="P13255" s="20" t="n"/>
      <c r="Q13255" s="19" t="n"/>
      <c r="R13255" s="19" t="n"/>
      <c r="Y13255" s="19" t="n"/>
    </row>
    <row r="13256">
      <c r="C13256" s="18" t="n"/>
      <c r="J13256" s="19" t="n"/>
      <c r="P13256" s="20" t="n"/>
      <c r="Q13256" s="19" t="n"/>
      <c r="R13256" s="19" t="n"/>
      <c r="Y13256" s="19" t="n"/>
    </row>
    <row r="13257">
      <c r="C13257" s="18" t="n"/>
      <c r="J13257" s="19" t="n"/>
      <c r="P13257" s="20" t="n"/>
      <c r="Q13257" s="19" t="n"/>
      <c r="R13257" s="19" t="n"/>
      <c r="Y13257" s="19" t="n"/>
    </row>
    <row r="13258">
      <c r="C13258" s="18" t="n"/>
      <c r="J13258" s="19" t="n"/>
      <c r="P13258" s="20" t="n"/>
      <c r="Q13258" s="19" t="n"/>
      <c r="R13258" s="19" t="n"/>
      <c r="Y13258" s="19" t="n"/>
    </row>
    <row r="13259">
      <c r="C13259" s="18" t="n"/>
      <c r="J13259" s="19" t="n"/>
      <c r="P13259" s="20" t="n"/>
      <c r="Q13259" s="19" t="n"/>
      <c r="R13259" s="19" t="n"/>
      <c r="Y13259" s="19" t="n"/>
    </row>
    <row r="13260">
      <c r="C13260" s="18" t="n"/>
      <c r="J13260" s="19" t="n"/>
      <c r="P13260" s="20" t="n"/>
      <c r="Q13260" s="19" t="n"/>
      <c r="R13260" s="19" t="n"/>
      <c r="Y13260" s="19" t="n"/>
    </row>
    <row r="13261">
      <c r="C13261" s="18" t="n"/>
      <c r="J13261" s="19" t="n"/>
      <c r="P13261" s="20" t="n"/>
      <c r="Q13261" s="19" t="n"/>
      <c r="R13261" s="19" t="n"/>
      <c r="Y13261" s="19" t="n"/>
    </row>
    <row r="13262">
      <c r="C13262" s="18" t="n"/>
      <c r="J13262" s="19" t="n"/>
      <c r="P13262" s="20" t="n"/>
      <c r="Q13262" s="19" t="n"/>
      <c r="R13262" s="19" t="n"/>
      <c r="Y13262" s="19" t="n"/>
    </row>
    <row r="13263">
      <c r="C13263" s="18" t="n"/>
      <c r="J13263" s="19" t="n"/>
      <c r="P13263" s="20" t="n"/>
      <c r="Q13263" s="19" t="n"/>
      <c r="R13263" s="19" t="n"/>
      <c r="Y13263" s="19" t="n"/>
    </row>
    <row r="13264">
      <c r="C13264" s="18" t="n"/>
      <c r="J13264" s="19" t="n"/>
      <c r="P13264" s="20" t="n"/>
      <c r="Q13264" s="19" t="n"/>
      <c r="R13264" s="19" t="n"/>
      <c r="Y13264" s="19" t="n"/>
    </row>
    <row r="13265">
      <c r="C13265" s="18" t="n"/>
      <c r="J13265" s="19" t="n"/>
      <c r="P13265" s="20" t="n"/>
      <c r="Q13265" s="19" t="n"/>
      <c r="R13265" s="19" t="n"/>
      <c r="Y13265" s="19" t="n"/>
    </row>
    <row r="13266">
      <c r="C13266" s="18" t="n"/>
      <c r="J13266" s="19" t="n"/>
      <c r="P13266" s="20" t="n"/>
      <c r="Q13266" s="19" t="n"/>
      <c r="R13266" s="19" t="n"/>
      <c r="Y13266" s="19" t="n"/>
    </row>
    <row r="13267">
      <c r="C13267" s="18" t="n"/>
      <c r="J13267" s="19" t="n"/>
      <c r="P13267" s="20" t="n"/>
      <c r="Q13267" s="19" t="n"/>
      <c r="R13267" s="19" t="n"/>
      <c r="Y13267" s="19" t="n"/>
    </row>
    <row r="13268">
      <c r="C13268" s="18" t="n"/>
      <c r="J13268" s="19" t="n"/>
      <c r="P13268" s="20" t="n"/>
      <c r="Q13268" s="19" t="n"/>
      <c r="R13268" s="19" t="n"/>
      <c r="Y13268" s="19" t="n"/>
    </row>
    <row r="13269">
      <c r="C13269" s="18" t="n"/>
      <c r="J13269" s="19" t="n"/>
      <c r="P13269" s="20" t="n"/>
      <c r="Q13269" s="19" t="n"/>
      <c r="R13269" s="19" t="n"/>
      <c r="Y13269" s="19" t="n"/>
    </row>
    <row r="13270">
      <c r="C13270" s="18" t="n"/>
      <c r="J13270" s="19" t="n"/>
      <c r="P13270" s="20" t="n"/>
      <c r="Q13270" s="19" t="n"/>
      <c r="R13270" s="19" t="n"/>
      <c r="Y13270" s="19" t="n"/>
    </row>
    <row r="13271">
      <c r="C13271" s="18" t="n"/>
      <c r="J13271" s="19" t="n"/>
      <c r="P13271" s="20" t="n"/>
      <c r="Q13271" s="19" t="n"/>
      <c r="R13271" s="19" t="n"/>
      <c r="Y13271" s="19" t="n"/>
    </row>
    <row r="13272">
      <c r="C13272" s="18" t="n"/>
      <c r="J13272" s="19" t="n"/>
      <c r="P13272" s="20" t="n"/>
      <c r="Q13272" s="19" t="n"/>
      <c r="R13272" s="19" t="n"/>
      <c r="Y13272" s="19" t="n"/>
    </row>
    <row r="13273">
      <c r="C13273" s="18" t="n"/>
      <c r="J13273" s="19" t="n"/>
      <c r="P13273" s="20" t="n"/>
      <c r="Q13273" s="19" t="n"/>
      <c r="R13273" s="19" t="n"/>
      <c r="Y13273" s="19" t="n"/>
    </row>
    <row r="13274">
      <c r="C13274" s="18" t="n"/>
      <c r="J13274" s="19" t="n"/>
      <c r="P13274" s="20" t="n"/>
      <c r="Q13274" s="19" t="n"/>
      <c r="R13274" s="19" t="n"/>
      <c r="Y13274" s="19" t="n"/>
    </row>
    <row r="13275">
      <c r="C13275" s="18" t="n"/>
      <c r="J13275" s="19" t="n"/>
      <c r="P13275" s="20" t="n"/>
      <c r="Q13275" s="19" t="n"/>
      <c r="R13275" s="19" t="n"/>
      <c r="Y13275" s="19" t="n"/>
    </row>
    <row r="13276">
      <c r="C13276" s="18" t="n"/>
      <c r="J13276" s="19" t="n"/>
      <c r="P13276" s="20" t="n"/>
      <c r="Q13276" s="19" t="n"/>
      <c r="R13276" s="19" t="n"/>
      <c r="Y13276" s="19" t="n"/>
    </row>
    <row r="13277">
      <c r="C13277" s="18" t="n"/>
      <c r="J13277" s="19" t="n"/>
      <c r="P13277" s="20" t="n"/>
      <c r="Q13277" s="19" t="n"/>
      <c r="R13277" s="19" t="n"/>
      <c r="Y13277" s="19" t="n"/>
    </row>
    <row r="13278">
      <c r="C13278" s="18" t="n"/>
      <c r="J13278" s="19" t="n"/>
      <c r="P13278" s="20" t="n"/>
      <c r="Q13278" s="19" t="n"/>
      <c r="R13278" s="19" t="n"/>
      <c r="Y13278" s="19" t="n"/>
    </row>
    <row r="13279">
      <c r="C13279" s="18" t="n"/>
      <c r="J13279" s="19" t="n"/>
      <c r="P13279" s="20" t="n"/>
      <c r="Q13279" s="19" t="n"/>
      <c r="R13279" s="19" t="n"/>
      <c r="Y13279" s="19" t="n"/>
    </row>
    <row r="13280">
      <c r="C13280" s="18" t="n"/>
      <c r="J13280" s="19" t="n"/>
      <c r="P13280" s="20" t="n"/>
      <c r="Q13280" s="19" t="n"/>
      <c r="R13280" s="19" t="n"/>
      <c r="Y13280" s="19" t="n"/>
    </row>
    <row r="13281">
      <c r="C13281" s="18" t="n"/>
      <c r="J13281" s="19" t="n"/>
      <c r="P13281" s="20" t="n"/>
      <c r="Q13281" s="19" t="n"/>
      <c r="R13281" s="19" t="n"/>
      <c r="Y13281" s="19" t="n"/>
    </row>
    <row r="13282">
      <c r="C13282" s="18" t="n"/>
      <c r="J13282" s="19" t="n"/>
      <c r="P13282" s="20" t="n"/>
      <c r="Q13282" s="19" t="n"/>
      <c r="R13282" s="19" t="n"/>
      <c r="Y13282" s="19" t="n"/>
    </row>
    <row r="13283">
      <c r="C13283" s="18" t="n"/>
      <c r="J13283" s="19" t="n"/>
      <c r="P13283" s="20" t="n"/>
      <c r="Q13283" s="19" t="n"/>
      <c r="R13283" s="19" t="n"/>
      <c r="Y13283" s="19" t="n"/>
    </row>
    <row r="13284">
      <c r="C13284" s="18" t="n"/>
      <c r="J13284" s="19" t="n"/>
      <c r="P13284" s="20" t="n"/>
      <c r="Q13284" s="19" t="n"/>
      <c r="R13284" s="19" t="n"/>
      <c r="Y13284" s="19" t="n"/>
    </row>
    <row r="13285">
      <c r="C13285" s="18" t="n"/>
      <c r="J13285" s="19" t="n"/>
      <c r="P13285" s="20" t="n"/>
      <c r="Q13285" s="19" t="n"/>
      <c r="R13285" s="19" t="n"/>
      <c r="Y13285" s="19" t="n"/>
    </row>
    <row r="13286">
      <c r="C13286" s="18" t="n"/>
      <c r="J13286" s="19" t="n"/>
      <c r="P13286" s="20" t="n"/>
      <c r="Q13286" s="19" t="n"/>
      <c r="R13286" s="19" t="n"/>
      <c r="Y13286" s="19" t="n"/>
    </row>
    <row r="13287">
      <c r="C13287" s="18" t="n"/>
      <c r="J13287" s="19" t="n"/>
      <c r="P13287" s="20" t="n"/>
      <c r="Q13287" s="19" t="n"/>
      <c r="R13287" s="19" t="n"/>
      <c r="Y13287" s="19" t="n"/>
    </row>
    <row r="13288">
      <c r="C13288" s="18" t="n"/>
      <c r="J13288" s="19" t="n"/>
      <c r="P13288" s="20" t="n"/>
      <c r="Q13288" s="19" t="n"/>
      <c r="R13288" s="19" t="n"/>
      <c r="Y13288" s="19" t="n"/>
    </row>
    <row r="13289">
      <c r="C13289" s="18" t="n"/>
      <c r="J13289" s="19" t="n"/>
      <c r="P13289" s="20" t="n"/>
      <c r="Q13289" s="19" t="n"/>
      <c r="R13289" s="19" t="n"/>
      <c r="Y13289" s="19" t="n"/>
    </row>
    <row r="13290">
      <c r="C13290" s="18" t="n"/>
      <c r="J13290" s="19" t="n"/>
      <c r="P13290" s="20" t="n"/>
      <c r="Q13290" s="19" t="n"/>
      <c r="R13290" s="19" t="n"/>
      <c r="Y13290" s="19" t="n"/>
    </row>
    <row r="13291">
      <c r="C13291" s="18" t="n"/>
      <c r="J13291" s="19" t="n"/>
      <c r="P13291" s="20" t="n"/>
      <c r="Q13291" s="19" t="n"/>
      <c r="R13291" s="19" t="n"/>
      <c r="Y13291" s="19" t="n"/>
    </row>
    <row r="13292">
      <c r="C13292" s="18" t="n"/>
      <c r="J13292" s="19" t="n"/>
      <c r="P13292" s="20" t="n"/>
      <c r="Q13292" s="19" t="n"/>
      <c r="R13292" s="19" t="n"/>
      <c r="Y13292" s="19" t="n"/>
    </row>
    <row r="13293">
      <c r="C13293" s="18" t="n"/>
      <c r="J13293" s="19" t="n"/>
      <c r="P13293" s="20" t="n"/>
      <c r="Q13293" s="19" t="n"/>
      <c r="R13293" s="19" t="n"/>
      <c r="Y13293" s="19" t="n"/>
    </row>
    <row r="13294">
      <c r="C13294" s="18" t="n"/>
      <c r="J13294" s="19" t="n"/>
      <c r="P13294" s="20" t="n"/>
      <c r="Q13294" s="19" t="n"/>
      <c r="R13294" s="19" t="n"/>
      <c r="Y13294" s="19" t="n"/>
    </row>
    <row r="13295">
      <c r="C13295" s="18" t="n"/>
      <c r="J13295" s="19" t="n"/>
      <c r="P13295" s="20" t="n"/>
      <c r="Q13295" s="19" t="n"/>
      <c r="R13295" s="19" t="n"/>
      <c r="Y13295" s="19" t="n"/>
    </row>
    <row r="13296">
      <c r="C13296" s="18" t="n"/>
      <c r="J13296" s="19" t="n"/>
      <c r="P13296" s="20" t="n"/>
      <c r="Q13296" s="19" t="n"/>
      <c r="R13296" s="19" t="n"/>
      <c r="Y13296" s="19" t="n"/>
    </row>
    <row r="13297">
      <c r="C13297" s="18" t="n"/>
      <c r="J13297" s="19" t="n"/>
      <c r="P13297" s="20" t="n"/>
      <c r="Q13297" s="19" t="n"/>
      <c r="R13297" s="19" t="n"/>
      <c r="Y13297" s="19" t="n"/>
    </row>
    <row r="13298">
      <c r="C13298" s="18" t="n"/>
      <c r="J13298" s="19" t="n"/>
      <c r="P13298" s="20" t="n"/>
      <c r="Q13298" s="19" t="n"/>
      <c r="R13298" s="19" t="n"/>
      <c r="Y13298" s="19" t="n"/>
    </row>
    <row r="13299">
      <c r="C13299" s="18" t="n"/>
      <c r="J13299" s="19" t="n"/>
      <c r="P13299" s="20" t="n"/>
      <c r="Q13299" s="19" t="n"/>
      <c r="R13299" s="19" t="n"/>
      <c r="Y13299" s="19" t="n"/>
    </row>
    <row r="13300">
      <c r="C13300" s="18" t="n"/>
      <c r="J13300" s="19" t="n"/>
      <c r="P13300" s="20" t="n"/>
      <c r="Q13300" s="19" t="n"/>
      <c r="R13300" s="19" t="n"/>
      <c r="Y13300" s="19" t="n"/>
    </row>
    <row r="13301">
      <c r="C13301" s="18" t="n"/>
      <c r="J13301" s="19" t="n"/>
      <c r="P13301" s="20" t="n"/>
      <c r="Q13301" s="19" t="n"/>
      <c r="R13301" s="19" t="n"/>
      <c r="Y13301" s="19" t="n"/>
    </row>
    <row r="13302">
      <c r="C13302" s="18" t="n"/>
      <c r="J13302" s="19" t="n"/>
      <c r="P13302" s="20" t="n"/>
      <c r="Q13302" s="19" t="n"/>
      <c r="R13302" s="19" t="n"/>
      <c r="Y13302" s="19" t="n"/>
    </row>
    <row r="13303">
      <c r="C13303" s="18" t="n"/>
      <c r="J13303" s="19" t="n"/>
      <c r="P13303" s="20" t="n"/>
      <c r="Q13303" s="19" t="n"/>
      <c r="R13303" s="19" t="n"/>
      <c r="Y13303" s="19" t="n"/>
    </row>
    <row r="13304">
      <c r="C13304" s="18" t="n"/>
      <c r="J13304" s="19" t="n"/>
      <c r="P13304" s="20" t="n"/>
      <c r="Q13304" s="19" t="n"/>
      <c r="R13304" s="19" t="n"/>
      <c r="Y13304" s="19" t="n"/>
    </row>
    <row r="13305">
      <c r="C13305" s="18" t="n"/>
      <c r="J13305" s="19" t="n"/>
      <c r="P13305" s="20" t="n"/>
      <c r="Q13305" s="19" t="n"/>
      <c r="R13305" s="19" t="n"/>
      <c r="Y13305" s="19" t="n"/>
    </row>
    <row r="13306">
      <c r="C13306" s="18" t="n"/>
      <c r="J13306" s="19" t="n"/>
      <c r="P13306" s="20" t="n"/>
      <c r="Q13306" s="19" t="n"/>
      <c r="R13306" s="19" t="n"/>
      <c r="Y13306" s="19" t="n"/>
    </row>
    <row r="13307">
      <c r="C13307" s="18" t="n"/>
      <c r="J13307" s="19" t="n"/>
      <c r="P13307" s="20" t="n"/>
      <c r="Q13307" s="19" t="n"/>
      <c r="R13307" s="19" t="n"/>
      <c r="Y13307" s="19" t="n"/>
    </row>
    <row r="13308">
      <c r="C13308" s="18" t="n"/>
      <c r="J13308" s="19" t="n"/>
      <c r="P13308" s="20" t="n"/>
      <c r="Q13308" s="19" t="n"/>
      <c r="R13308" s="19" t="n"/>
      <c r="Y13308" s="19" t="n"/>
    </row>
    <row r="13309">
      <c r="C13309" s="18" t="n"/>
      <c r="J13309" s="19" t="n"/>
      <c r="P13309" s="20" t="n"/>
      <c r="Q13309" s="19" t="n"/>
      <c r="R13309" s="19" t="n"/>
      <c r="Y13309" s="19" t="n"/>
    </row>
    <row r="13310">
      <c r="C13310" s="18" t="n"/>
      <c r="J13310" s="19" t="n"/>
      <c r="P13310" s="20" t="n"/>
      <c r="Q13310" s="19" t="n"/>
      <c r="R13310" s="19" t="n"/>
      <c r="Y13310" s="19" t="n"/>
    </row>
    <row r="13311">
      <c r="C13311" s="18" t="n"/>
      <c r="J13311" s="19" t="n"/>
      <c r="P13311" s="20" t="n"/>
      <c r="Q13311" s="19" t="n"/>
      <c r="R13311" s="19" t="n"/>
      <c r="Y13311" s="19" t="n"/>
    </row>
    <row r="13312">
      <c r="C13312" s="18" t="n"/>
      <c r="J13312" s="19" t="n"/>
      <c r="P13312" s="20" t="n"/>
      <c r="Q13312" s="19" t="n"/>
      <c r="R13312" s="19" t="n"/>
      <c r="Y13312" s="19" t="n"/>
    </row>
    <row r="13313">
      <c r="C13313" s="18" t="n"/>
      <c r="J13313" s="19" t="n"/>
      <c r="P13313" s="20" t="n"/>
      <c r="Q13313" s="19" t="n"/>
      <c r="R13313" s="19" t="n"/>
      <c r="Y13313" s="19" t="n"/>
    </row>
    <row r="13314">
      <c r="C13314" s="18" t="n"/>
      <c r="J13314" s="19" t="n"/>
      <c r="P13314" s="20" t="n"/>
      <c r="Q13314" s="19" t="n"/>
      <c r="R13314" s="19" t="n"/>
      <c r="Y13314" s="19" t="n"/>
    </row>
    <row r="13315">
      <c r="C13315" s="18" t="n"/>
      <c r="J13315" s="19" t="n"/>
      <c r="P13315" s="20" t="n"/>
      <c r="Q13315" s="19" t="n"/>
      <c r="R13315" s="19" t="n"/>
      <c r="Y13315" s="19" t="n"/>
    </row>
    <row r="13316">
      <c r="C13316" s="18" t="n"/>
      <c r="J13316" s="19" t="n"/>
      <c r="P13316" s="20" t="n"/>
      <c r="Q13316" s="19" t="n"/>
      <c r="R13316" s="19" t="n"/>
      <c r="Y13316" s="19" t="n"/>
    </row>
    <row r="13317">
      <c r="C13317" s="18" t="n"/>
      <c r="J13317" s="19" t="n"/>
      <c r="P13317" s="20" t="n"/>
      <c r="Q13317" s="19" t="n"/>
      <c r="R13317" s="19" t="n"/>
      <c r="Y13317" s="19" t="n"/>
    </row>
    <row r="13318">
      <c r="C13318" s="18" t="n"/>
      <c r="J13318" s="19" t="n"/>
      <c r="P13318" s="20" t="n"/>
      <c r="Q13318" s="19" t="n"/>
      <c r="R13318" s="19" t="n"/>
      <c r="Y13318" s="19" t="n"/>
    </row>
    <row r="13319">
      <c r="C13319" s="18" t="n"/>
      <c r="J13319" s="19" t="n"/>
      <c r="P13319" s="20" t="n"/>
      <c r="Q13319" s="19" t="n"/>
      <c r="R13319" s="19" t="n"/>
      <c r="Y13319" s="19" t="n"/>
    </row>
    <row r="13320">
      <c r="C13320" s="18" t="n"/>
      <c r="J13320" s="19" t="n"/>
      <c r="P13320" s="20" t="n"/>
      <c r="Q13320" s="19" t="n"/>
      <c r="R13320" s="19" t="n"/>
      <c r="Y13320" s="19" t="n"/>
    </row>
    <row r="13321">
      <c r="C13321" s="18" t="n"/>
      <c r="J13321" s="19" t="n"/>
      <c r="P13321" s="20" t="n"/>
      <c r="Q13321" s="19" t="n"/>
      <c r="R13321" s="19" t="n"/>
      <c r="Y13321" s="19" t="n"/>
    </row>
    <row r="13322">
      <c r="C13322" s="18" t="n"/>
      <c r="J13322" s="19" t="n"/>
      <c r="P13322" s="20" t="n"/>
      <c r="Q13322" s="19" t="n"/>
      <c r="R13322" s="19" t="n"/>
      <c r="Y13322" s="19" t="n"/>
    </row>
    <row r="13323">
      <c r="C13323" s="18" t="n"/>
      <c r="J13323" s="19" t="n"/>
      <c r="P13323" s="20" t="n"/>
      <c r="Q13323" s="19" t="n"/>
      <c r="R13323" s="19" t="n"/>
      <c r="Y13323" s="19" t="n"/>
    </row>
    <row r="13324">
      <c r="C13324" s="18" t="n"/>
      <c r="J13324" s="19" t="n"/>
      <c r="P13324" s="20" t="n"/>
      <c r="Q13324" s="19" t="n"/>
      <c r="R13324" s="19" t="n"/>
      <c r="Y13324" s="19" t="n"/>
    </row>
    <row r="13325">
      <c r="C13325" s="18" t="n"/>
      <c r="J13325" s="19" t="n"/>
      <c r="P13325" s="20" t="n"/>
      <c r="Q13325" s="19" t="n"/>
      <c r="R13325" s="19" t="n"/>
      <c r="Y13325" s="19" t="n"/>
    </row>
    <row r="13326">
      <c r="C13326" s="18" t="n"/>
      <c r="J13326" s="19" t="n"/>
      <c r="P13326" s="20" t="n"/>
      <c r="Q13326" s="19" t="n"/>
      <c r="R13326" s="19" t="n"/>
      <c r="Y13326" s="19" t="n"/>
    </row>
    <row r="13327">
      <c r="C13327" s="18" t="n"/>
      <c r="J13327" s="19" t="n"/>
      <c r="P13327" s="20" t="n"/>
      <c r="Q13327" s="19" t="n"/>
      <c r="R13327" s="19" t="n"/>
      <c r="Y13327" s="19" t="n"/>
    </row>
    <row r="13328">
      <c r="C13328" s="18" t="n"/>
      <c r="J13328" s="19" t="n"/>
      <c r="P13328" s="20" t="n"/>
      <c r="Q13328" s="19" t="n"/>
      <c r="R13328" s="19" t="n"/>
      <c r="Y13328" s="19" t="n"/>
    </row>
    <row r="13329">
      <c r="C13329" s="18" t="n"/>
      <c r="J13329" s="19" t="n"/>
      <c r="P13329" s="20" t="n"/>
      <c r="Q13329" s="19" t="n"/>
      <c r="R13329" s="19" t="n"/>
      <c r="Y13329" s="19" t="n"/>
    </row>
    <row r="13330">
      <c r="C13330" s="18" t="n"/>
      <c r="J13330" s="19" t="n"/>
      <c r="P13330" s="20" t="n"/>
      <c r="Q13330" s="19" t="n"/>
      <c r="R13330" s="19" t="n"/>
      <c r="Y13330" s="19" t="n"/>
    </row>
    <row r="13331">
      <c r="C13331" s="18" t="n"/>
      <c r="J13331" s="19" t="n"/>
      <c r="P13331" s="20" t="n"/>
      <c r="Q13331" s="19" t="n"/>
      <c r="R13331" s="19" t="n"/>
      <c r="Y13331" s="19" t="n"/>
    </row>
    <row r="13332">
      <c r="C13332" s="18" t="n"/>
      <c r="J13332" s="19" t="n"/>
      <c r="P13332" s="20" t="n"/>
      <c r="Q13332" s="19" t="n"/>
      <c r="R13332" s="19" t="n"/>
      <c r="Y13332" s="19" t="n"/>
    </row>
    <row r="13333">
      <c r="C13333" s="18" t="n"/>
      <c r="J13333" s="19" t="n"/>
      <c r="P13333" s="20" t="n"/>
      <c r="Q13333" s="19" t="n"/>
      <c r="R13333" s="19" t="n"/>
      <c r="Y13333" s="19" t="n"/>
    </row>
    <row r="13334">
      <c r="C13334" s="18" t="n"/>
      <c r="J13334" s="19" t="n"/>
      <c r="P13334" s="20" t="n"/>
      <c r="Q13334" s="19" t="n"/>
      <c r="R13334" s="19" t="n"/>
      <c r="Y13334" s="19" t="n"/>
    </row>
    <row r="13335">
      <c r="C13335" s="18" t="n"/>
      <c r="J13335" s="19" t="n"/>
      <c r="P13335" s="20" t="n"/>
      <c r="Q13335" s="19" t="n"/>
      <c r="R13335" s="19" t="n"/>
      <c r="Y13335" s="19" t="n"/>
    </row>
    <row r="13336">
      <c r="C13336" s="18" t="n"/>
      <c r="J13336" s="19" t="n"/>
      <c r="P13336" s="20" t="n"/>
      <c r="Q13336" s="19" t="n"/>
      <c r="R13336" s="19" t="n"/>
      <c r="Y13336" s="19" t="n"/>
    </row>
    <row r="13337">
      <c r="C13337" s="18" t="n"/>
      <c r="J13337" s="19" t="n"/>
      <c r="P13337" s="20" t="n"/>
      <c r="Q13337" s="19" t="n"/>
      <c r="R13337" s="19" t="n"/>
      <c r="Y13337" s="19" t="n"/>
    </row>
    <row r="13338">
      <c r="C13338" s="18" t="n"/>
      <c r="J13338" s="19" t="n"/>
      <c r="P13338" s="20" t="n"/>
      <c r="Q13338" s="19" t="n"/>
      <c r="R13338" s="19" t="n"/>
      <c r="Y13338" s="19" t="n"/>
    </row>
    <row r="13339">
      <c r="C13339" s="18" t="n"/>
      <c r="J13339" s="19" t="n"/>
      <c r="P13339" s="20" t="n"/>
      <c r="Q13339" s="19" t="n"/>
      <c r="R13339" s="19" t="n"/>
      <c r="Y13339" s="19" t="n"/>
    </row>
    <row r="13340">
      <c r="C13340" s="18" t="n"/>
      <c r="J13340" s="19" t="n"/>
      <c r="P13340" s="20" t="n"/>
      <c r="Q13340" s="19" t="n"/>
      <c r="R13340" s="19" t="n"/>
      <c r="Y13340" s="19" t="n"/>
    </row>
    <row r="13341">
      <c r="C13341" s="18" t="n"/>
      <c r="J13341" s="19" t="n"/>
      <c r="P13341" s="20" t="n"/>
      <c r="Q13341" s="19" t="n"/>
      <c r="R13341" s="19" t="n"/>
      <c r="Y13341" s="19" t="n"/>
    </row>
    <row r="13342">
      <c r="C13342" s="18" t="n"/>
      <c r="J13342" s="19" t="n"/>
      <c r="P13342" s="20" t="n"/>
      <c r="Q13342" s="19" t="n"/>
      <c r="R13342" s="19" t="n"/>
      <c r="Y13342" s="19" t="n"/>
    </row>
    <row r="13343">
      <c r="C13343" s="18" t="n"/>
      <c r="J13343" s="19" t="n"/>
      <c r="P13343" s="20" t="n"/>
      <c r="Q13343" s="19" t="n"/>
      <c r="R13343" s="19" t="n"/>
      <c r="Y13343" s="19" t="n"/>
    </row>
    <row r="13344">
      <c r="C13344" s="18" t="n"/>
      <c r="J13344" s="19" t="n"/>
      <c r="P13344" s="20" t="n"/>
      <c r="Q13344" s="19" t="n"/>
      <c r="R13344" s="19" t="n"/>
      <c r="Y13344" s="19" t="n"/>
    </row>
    <row r="13345">
      <c r="C13345" s="18" t="n"/>
      <c r="J13345" s="19" t="n"/>
      <c r="P13345" s="20" t="n"/>
      <c r="Q13345" s="19" t="n"/>
      <c r="R13345" s="19" t="n"/>
      <c r="Y13345" s="19" t="n"/>
    </row>
    <row r="13346">
      <c r="C13346" s="18" t="n"/>
      <c r="J13346" s="19" t="n"/>
      <c r="P13346" s="20" t="n"/>
      <c r="Q13346" s="19" t="n"/>
      <c r="R13346" s="19" t="n"/>
      <c r="Y13346" s="19" t="n"/>
    </row>
    <row r="13347">
      <c r="C13347" s="18" t="n"/>
      <c r="J13347" s="19" t="n"/>
      <c r="P13347" s="20" t="n"/>
      <c r="Q13347" s="19" t="n"/>
      <c r="R13347" s="19" t="n"/>
      <c r="Y13347" s="19" t="n"/>
    </row>
    <row r="13348">
      <c r="C13348" s="18" t="n"/>
      <c r="J13348" s="19" t="n"/>
      <c r="P13348" s="20" t="n"/>
      <c r="Q13348" s="19" t="n"/>
      <c r="R13348" s="19" t="n"/>
      <c r="Y13348" s="19" t="n"/>
    </row>
    <row r="13349">
      <c r="C13349" s="18" t="n"/>
      <c r="J13349" s="19" t="n"/>
      <c r="P13349" s="20" t="n"/>
      <c r="Q13349" s="19" t="n"/>
      <c r="R13349" s="19" t="n"/>
      <c r="Y13349" s="19" t="n"/>
    </row>
    <row r="13350">
      <c r="C13350" s="18" t="n"/>
      <c r="J13350" s="19" t="n"/>
      <c r="P13350" s="20" t="n"/>
      <c r="Q13350" s="19" t="n"/>
      <c r="R13350" s="19" t="n"/>
      <c r="Y13350" s="19" t="n"/>
    </row>
    <row r="13351">
      <c r="C13351" s="18" t="n"/>
      <c r="J13351" s="19" t="n"/>
      <c r="P13351" s="20" t="n"/>
      <c r="Q13351" s="19" t="n"/>
      <c r="R13351" s="19" t="n"/>
      <c r="Y13351" s="19" t="n"/>
    </row>
    <row r="13352">
      <c r="C13352" s="18" t="n"/>
      <c r="J13352" s="19" t="n"/>
      <c r="P13352" s="20" t="n"/>
      <c r="Q13352" s="19" t="n"/>
      <c r="R13352" s="19" t="n"/>
      <c r="Y13352" s="19" t="n"/>
    </row>
    <row r="13353">
      <c r="C13353" s="18" t="n"/>
      <c r="J13353" s="19" t="n"/>
      <c r="P13353" s="20" t="n"/>
      <c r="Q13353" s="19" t="n"/>
      <c r="R13353" s="19" t="n"/>
      <c r="Y13353" s="19" t="n"/>
    </row>
    <row r="13354">
      <c r="C13354" s="18" t="n"/>
      <c r="J13354" s="19" t="n"/>
      <c r="P13354" s="20" t="n"/>
      <c r="Q13354" s="19" t="n"/>
      <c r="R13354" s="19" t="n"/>
      <c r="Y13354" s="19" t="n"/>
    </row>
    <row r="13355">
      <c r="C13355" s="18" t="n"/>
      <c r="J13355" s="19" t="n"/>
      <c r="P13355" s="20" t="n"/>
      <c r="Q13355" s="19" t="n"/>
      <c r="R13355" s="19" t="n"/>
      <c r="Y13355" s="19" t="n"/>
    </row>
    <row r="13356">
      <c r="C13356" s="18" t="n"/>
      <c r="J13356" s="19" t="n"/>
      <c r="P13356" s="20" t="n"/>
      <c r="Q13356" s="19" t="n"/>
      <c r="R13356" s="19" t="n"/>
      <c r="Y13356" s="19" t="n"/>
    </row>
    <row r="13357">
      <c r="C13357" s="18" t="n"/>
      <c r="J13357" s="19" t="n"/>
      <c r="P13357" s="20" t="n"/>
      <c r="Q13357" s="19" t="n"/>
      <c r="R13357" s="19" t="n"/>
      <c r="Y13357" s="19" t="n"/>
    </row>
    <row r="13358">
      <c r="C13358" s="18" t="n"/>
      <c r="J13358" s="19" t="n"/>
      <c r="P13358" s="20" t="n"/>
      <c r="Q13358" s="19" t="n"/>
      <c r="R13358" s="19" t="n"/>
      <c r="Y13358" s="19" t="n"/>
    </row>
    <row r="13359">
      <c r="C13359" s="18" t="n"/>
      <c r="J13359" s="19" t="n"/>
      <c r="P13359" s="20" t="n"/>
      <c r="Q13359" s="19" t="n"/>
      <c r="R13359" s="19" t="n"/>
      <c r="Y13359" s="19" t="n"/>
    </row>
    <row r="13360">
      <c r="C13360" s="18" t="n"/>
      <c r="J13360" s="19" t="n"/>
      <c r="P13360" s="20" t="n"/>
      <c r="Q13360" s="19" t="n"/>
      <c r="R13360" s="19" t="n"/>
      <c r="Y13360" s="19" t="n"/>
    </row>
    <row r="13361">
      <c r="C13361" s="18" t="n"/>
      <c r="J13361" s="19" t="n"/>
      <c r="P13361" s="20" t="n"/>
      <c r="Q13361" s="19" t="n"/>
      <c r="R13361" s="19" t="n"/>
      <c r="Y13361" s="19" t="n"/>
    </row>
    <row r="13362">
      <c r="C13362" s="18" t="n"/>
      <c r="J13362" s="19" t="n"/>
      <c r="P13362" s="20" t="n"/>
      <c r="Q13362" s="19" t="n"/>
      <c r="R13362" s="19" t="n"/>
      <c r="Y13362" s="19" t="n"/>
    </row>
    <row r="13363">
      <c r="C13363" s="18" t="n"/>
      <c r="J13363" s="19" t="n"/>
      <c r="P13363" s="20" t="n"/>
      <c r="Q13363" s="19" t="n"/>
      <c r="R13363" s="19" t="n"/>
      <c r="Y13363" s="19" t="n"/>
    </row>
    <row r="13364">
      <c r="C13364" s="18" t="n"/>
      <c r="J13364" s="19" t="n"/>
      <c r="P13364" s="20" t="n"/>
      <c r="Q13364" s="19" t="n"/>
      <c r="R13364" s="19" t="n"/>
      <c r="Y13364" s="19" t="n"/>
    </row>
    <row r="13365">
      <c r="C13365" s="18" t="n"/>
      <c r="J13365" s="19" t="n"/>
      <c r="P13365" s="20" t="n"/>
      <c r="Q13365" s="19" t="n"/>
      <c r="R13365" s="19" t="n"/>
      <c r="Y13365" s="19" t="n"/>
    </row>
    <row r="13366">
      <c r="C13366" s="18" t="n"/>
      <c r="J13366" s="19" t="n"/>
      <c r="P13366" s="20" t="n"/>
      <c r="Q13366" s="19" t="n"/>
      <c r="R13366" s="19" t="n"/>
      <c r="Y13366" s="19" t="n"/>
    </row>
    <row r="13367">
      <c r="C13367" s="18" t="n"/>
      <c r="J13367" s="19" t="n"/>
      <c r="P13367" s="20" t="n"/>
      <c r="Q13367" s="19" t="n"/>
      <c r="R13367" s="19" t="n"/>
      <c r="Y13367" s="19" t="n"/>
    </row>
    <row r="13368">
      <c r="C13368" s="18" t="n"/>
      <c r="J13368" s="19" t="n"/>
      <c r="P13368" s="20" t="n"/>
      <c r="Q13368" s="19" t="n"/>
      <c r="R13368" s="19" t="n"/>
      <c r="Y13368" s="19" t="n"/>
    </row>
    <row r="13369">
      <c r="C13369" s="18" t="n"/>
      <c r="J13369" s="19" t="n"/>
      <c r="P13369" s="20" t="n"/>
      <c r="Q13369" s="19" t="n"/>
      <c r="R13369" s="19" t="n"/>
      <c r="Y13369" s="19" t="n"/>
    </row>
    <row r="13370">
      <c r="C13370" s="18" t="n"/>
      <c r="J13370" s="19" t="n"/>
      <c r="P13370" s="20" t="n"/>
      <c r="Q13370" s="19" t="n"/>
      <c r="R13370" s="19" t="n"/>
      <c r="Y13370" s="19" t="n"/>
    </row>
    <row r="13371">
      <c r="C13371" s="18" t="n"/>
      <c r="J13371" s="19" t="n"/>
      <c r="P13371" s="20" t="n"/>
      <c r="Q13371" s="19" t="n"/>
      <c r="R13371" s="19" t="n"/>
      <c r="Y13371" s="19" t="n"/>
    </row>
    <row r="13372">
      <c r="C13372" s="18" t="n"/>
      <c r="J13372" s="19" t="n"/>
      <c r="P13372" s="20" t="n"/>
      <c r="Q13372" s="19" t="n"/>
      <c r="R13372" s="19" t="n"/>
      <c r="Y13372" s="19" t="n"/>
    </row>
    <row r="13373">
      <c r="C13373" s="18" t="n"/>
      <c r="J13373" s="19" t="n"/>
      <c r="P13373" s="20" t="n"/>
      <c r="Q13373" s="19" t="n"/>
      <c r="R13373" s="19" t="n"/>
      <c r="Y13373" s="19" t="n"/>
    </row>
    <row r="13374">
      <c r="C13374" s="18" t="n"/>
      <c r="J13374" s="19" t="n"/>
      <c r="P13374" s="20" t="n"/>
      <c r="Q13374" s="19" t="n"/>
      <c r="R13374" s="19" t="n"/>
      <c r="Y13374" s="19" t="n"/>
    </row>
    <row r="13375">
      <c r="C13375" s="18" t="n"/>
      <c r="J13375" s="19" t="n"/>
      <c r="P13375" s="20" t="n"/>
      <c r="Q13375" s="19" t="n"/>
      <c r="R13375" s="19" t="n"/>
      <c r="Y13375" s="19" t="n"/>
    </row>
    <row r="13376">
      <c r="C13376" s="18" t="n"/>
      <c r="J13376" s="19" t="n"/>
      <c r="P13376" s="20" t="n"/>
      <c r="Q13376" s="19" t="n"/>
      <c r="R13376" s="19" t="n"/>
      <c r="Y13376" s="19" t="n"/>
    </row>
    <row r="13377">
      <c r="C13377" s="18" t="n"/>
      <c r="J13377" s="19" t="n"/>
      <c r="P13377" s="20" t="n"/>
      <c r="Q13377" s="19" t="n"/>
      <c r="R13377" s="19" t="n"/>
      <c r="Y13377" s="19" t="n"/>
    </row>
    <row r="13378">
      <c r="C13378" s="18" t="n"/>
      <c r="J13378" s="19" t="n"/>
      <c r="P13378" s="20" t="n"/>
      <c r="Q13378" s="19" t="n"/>
      <c r="R13378" s="19" t="n"/>
      <c r="Y13378" s="19" t="n"/>
    </row>
    <row r="13379">
      <c r="C13379" s="18" t="n"/>
      <c r="J13379" s="19" t="n"/>
      <c r="P13379" s="20" t="n"/>
      <c r="Q13379" s="19" t="n"/>
      <c r="R13379" s="19" t="n"/>
      <c r="Y13379" s="19" t="n"/>
    </row>
    <row r="13380">
      <c r="C13380" s="18" t="n"/>
      <c r="J13380" s="19" t="n"/>
      <c r="P13380" s="20" t="n"/>
      <c r="Q13380" s="19" t="n"/>
      <c r="R13380" s="19" t="n"/>
      <c r="Y13380" s="19" t="n"/>
    </row>
    <row r="13381">
      <c r="C13381" s="18" t="n"/>
      <c r="J13381" s="19" t="n"/>
      <c r="P13381" s="20" t="n"/>
      <c r="Q13381" s="19" t="n"/>
      <c r="R13381" s="19" t="n"/>
      <c r="Y13381" s="19" t="n"/>
    </row>
    <row r="13382">
      <c r="C13382" s="18" t="n"/>
      <c r="J13382" s="19" t="n"/>
      <c r="P13382" s="20" t="n"/>
      <c r="Q13382" s="19" t="n"/>
      <c r="R13382" s="19" t="n"/>
      <c r="Y13382" s="19" t="n"/>
    </row>
    <row r="13383">
      <c r="C13383" s="18" t="n"/>
      <c r="J13383" s="19" t="n"/>
      <c r="P13383" s="20" t="n"/>
      <c r="Q13383" s="19" t="n"/>
      <c r="R13383" s="19" t="n"/>
      <c r="Y13383" s="19" t="n"/>
    </row>
    <row r="13384">
      <c r="C13384" s="18" t="n"/>
      <c r="J13384" s="19" t="n"/>
      <c r="P13384" s="20" t="n"/>
      <c r="Q13384" s="19" t="n"/>
      <c r="R13384" s="19" t="n"/>
      <c r="Y13384" s="19" t="n"/>
    </row>
    <row r="13385">
      <c r="C13385" s="18" t="n"/>
      <c r="J13385" s="19" t="n"/>
      <c r="P13385" s="20" t="n"/>
      <c r="Q13385" s="19" t="n"/>
      <c r="R13385" s="19" t="n"/>
      <c r="Y13385" s="19" t="n"/>
    </row>
    <row r="13386">
      <c r="C13386" s="18" t="n"/>
      <c r="J13386" s="19" t="n"/>
      <c r="P13386" s="20" t="n"/>
      <c r="Q13386" s="19" t="n"/>
      <c r="R13386" s="19" t="n"/>
      <c r="Y13386" s="19" t="n"/>
    </row>
    <row r="13387">
      <c r="C13387" s="18" t="n"/>
      <c r="J13387" s="19" t="n"/>
      <c r="P13387" s="20" t="n"/>
      <c r="Q13387" s="19" t="n"/>
      <c r="R13387" s="19" t="n"/>
      <c r="Y13387" s="19" t="n"/>
    </row>
    <row r="13388">
      <c r="C13388" s="18" t="n"/>
      <c r="J13388" s="19" t="n"/>
      <c r="P13388" s="20" t="n"/>
      <c r="Q13388" s="19" t="n"/>
      <c r="R13388" s="19" t="n"/>
      <c r="Y13388" s="19" t="n"/>
    </row>
    <row r="13389">
      <c r="C13389" s="18" t="n"/>
      <c r="J13389" s="19" t="n"/>
      <c r="P13389" s="20" t="n"/>
      <c r="Q13389" s="19" t="n"/>
      <c r="R13389" s="19" t="n"/>
      <c r="Y13389" s="19" t="n"/>
    </row>
    <row r="13390">
      <c r="C13390" s="18" t="n"/>
      <c r="J13390" s="19" t="n"/>
      <c r="P13390" s="20" t="n"/>
      <c r="Q13390" s="19" t="n"/>
      <c r="R13390" s="19" t="n"/>
      <c r="Y13390" s="19" t="n"/>
    </row>
    <row r="13391">
      <c r="C13391" s="18" t="n"/>
      <c r="J13391" s="19" t="n"/>
      <c r="P13391" s="20" t="n"/>
      <c r="Q13391" s="19" t="n"/>
      <c r="R13391" s="19" t="n"/>
      <c r="Y13391" s="19" t="n"/>
    </row>
    <row r="13392">
      <c r="C13392" s="18" t="n"/>
      <c r="J13392" s="19" t="n"/>
      <c r="P13392" s="20" t="n"/>
      <c r="Q13392" s="19" t="n"/>
      <c r="R13392" s="19" t="n"/>
      <c r="Y13392" s="19" t="n"/>
    </row>
    <row r="13393">
      <c r="C13393" s="18" t="n"/>
      <c r="J13393" s="19" t="n"/>
      <c r="P13393" s="20" t="n"/>
      <c r="Q13393" s="19" t="n"/>
      <c r="R13393" s="19" t="n"/>
      <c r="Y13393" s="19" t="n"/>
    </row>
    <row r="13394">
      <c r="C13394" s="18" t="n"/>
      <c r="J13394" s="19" t="n"/>
      <c r="P13394" s="20" t="n"/>
      <c r="Q13394" s="19" t="n"/>
      <c r="R13394" s="19" t="n"/>
      <c r="Y13394" s="19" t="n"/>
    </row>
    <row r="13395">
      <c r="C13395" s="18" t="n"/>
      <c r="J13395" s="19" t="n"/>
      <c r="P13395" s="20" t="n"/>
      <c r="Q13395" s="19" t="n"/>
      <c r="R13395" s="19" t="n"/>
      <c r="Y13395" s="19" t="n"/>
    </row>
    <row r="13396">
      <c r="C13396" s="18" t="n"/>
      <c r="J13396" s="19" t="n"/>
      <c r="P13396" s="20" t="n"/>
      <c r="Q13396" s="19" t="n"/>
      <c r="R13396" s="19" t="n"/>
      <c r="Y13396" s="19" t="n"/>
    </row>
    <row r="13397">
      <c r="C13397" s="18" t="n"/>
      <c r="J13397" s="19" t="n"/>
      <c r="P13397" s="20" t="n"/>
      <c r="Q13397" s="19" t="n"/>
      <c r="R13397" s="19" t="n"/>
      <c r="Y13397" s="19" t="n"/>
    </row>
    <row r="13398">
      <c r="C13398" s="18" t="n"/>
      <c r="J13398" s="19" t="n"/>
      <c r="P13398" s="20" t="n"/>
      <c r="Q13398" s="19" t="n"/>
      <c r="R13398" s="19" t="n"/>
      <c r="Y13398" s="19" t="n"/>
    </row>
    <row r="13399">
      <c r="C13399" s="18" t="n"/>
      <c r="J13399" s="19" t="n"/>
      <c r="P13399" s="20" t="n"/>
      <c r="Q13399" s="19" t="n"/>
      <c r="R13399" s="19" t="n"/>
      <c r="Y13399" s="19" t="n"/>
    </row>
    <row r="13400">
      <c r="C13400" s="18" t="n"/>
      <c r="J13400" s="19" t="n"/>
      <c r="P13400" s="20" t="n"/>
      <c r="Q13400" s="19" t="n"/>
      <c r="R13400" s="19" t="n"/>
      <c r="Y13400" s="19" t="n"/>
    </row>
    <row r="13401">
      <c r="C13401" s="18" t="n"/>
      <c r="J13401" s="19" t="n"/>
      <c r="P13401" s="20" t="n"/>
      <c r="Q13401" s="19" t="n"/>
      <c r="R13401" s="19" t="n"/>
      <c r="Y13401" s="19" t="n"/>
    </row>
    <row r="13402">
      <c r="C13402" s="18" t="n"/>
      <c r="J13402" s="19" t="n"/>
      <c r="P13402" s="20" t="n"/>
      <c r="Q13402" s="19" t="n"/>
      <c r="R13402" s="19" t="n"/>
      <c r="Y13402" s="19" t="n"/>
    </row>
    <row r="13403">
      <c r="C13403" s="18" t="n"/>
      <c r="J13403" s="19" t="n"/>
      <c r="P13403" s="20" t="n"/>
      <c r="Q13403" s="19" t="n"/>
      <c r="R13403" s="19" t="n"/>
      <c r="Y13403" s="19" t="n"/>
    </row>
    <row r="13404">
      <c r="C13404" s="18" t="n"/>
      <c r="J13404" s="19" t="n"/>
      <c r="P13404" s="20" t="n"/>
      <c r="Q13404" s="19" t="n"/>
      <c r="R13404" s="19" t="n"/>
      <c r="Y13404" s="19" t="n"/>
    </row>
    <row r="13405">
      <c r="C13405" s="18" t="n"/>
      <c r="J13405" s="19" t="n"/>
      <c r="P13405" s="20" t="n"/>
      <c r="Q13405" s="19" t="n"/>
      <c r="R13405" s="19" t="n"/>
      <c r="Y13405" s="19" t="n"/>
    </row>
    <row r="13406">
      <c r="C13406" s="18" t="n"/>
      <c r="J13406" s="19" t="n"/>
      <c r="P13406" s="20" t="n"/>
      <c r="Q13406" s="19" t="n"/>
      <c r="R13406" s="19" t="n"/>
      <c r="Y13406" s="19" t="n"/>
    </row>
    <row r="13407">
      <c r="C13407" s="18" t="n"/>
      <c r="J13407" s="19" t="n"/>
      <c r="P13407" s="20" t="n"/>
      <c r="Q13407" s="19" t="n"/>
      <c r="R13407" s="19" t="n"/>
      <c r="Y13407" s="19" t="n"/>
    </row>
    <row r="13408">
      <c r="C13408" s="18" t="n"/>
      <c r="J13408" s="19" t="n"/>
      <c r="P13408" s="20" t="n"/>
      <c r="Q13408" s="19" t="n"/>
      <c r="R13408" s="19" t="n"/>
      <c r="Y13408" s="19" t="n"/>
    </row>
    <row r="13409">
      <c r="C13409" s="18" t="n"/>
      <c r="J13409" s="19" t="n"/>
      <c r="P13409" s="20" t="n"/>
      <c r="Q13409" s="19" t="n"/>
      <c r="R13409" s="19" t="n"/>
      <c r="Y13409" s="19" t="n"/>
    </row>
    <row r="13410">
      <c r="C13410" s="18" t="n"/>
      <c r="J13410" s="19" t="n"/>
      <c r="P13410" s="20" t="n"/>
      <c r="Q13410" s="19" t="n"/>
      <c r="R13410" s="19" t="n"/>
      <c r="Y13410" s="19" t="n"/>
    </row>
    <row r="13411">
      <c r="C13411" s="18" t="n"/>
      <c r="J13411" s="19" t="n"/>
      <c r="P13411" s="20" t="n"/>
      <c r="Q13411" s="19" t="n"/>
      <c r="R13411" s="19" t="n"/>
      <c r="Y13411" s="19" t="n"/>
    </row>
    <row r="13412">
      <c r="C13412" s="18" t="n"/>
      <c r="J13412" s="19" t="n"/>
      <c r="P13412" s="20" t="n"/>
      <c r="Q13412" s="19" t="n"/>
      <c r="R13412" s="19" t="n"/>
      <c r="Y13412" s="19" t="n"/>
    </row>
    <row r="13413">
      <c r="C13413" s="18" t="n"/>
      <c r="J13413" s="19" t="n"/>
      <c r="P13413" s="20" t="n"/>
      <c r="Q13413" s="19" t="n"/>
      <c r="R13413" s="19" t="n"/>
      <c r="Y13413" s="19" t="n"/>
    </row>
    <row r="13414">
      <c r="C13414" s="18" t="n"/>
      <c r="J13414" s="19" t="n"/>
      <c r="P13414" s="20" t="n"/>
      <c r="Q13414" s="19" t="n"/>
      <c r="R13414" s="19" t="n"/>
      <c r="Y13414" s="19" t="n"/>
    </row>
    <row r="13415">
      <c r="C13415" s="18" t="n"/>
      <c r="J13415" s="19" t="n"/>
      <c r="P13415" s="20" t="n"/>
      <c r="Q13415" s="19" t="n"/>
      <c r="R13415" s="19" t="n"/>
      <c r="Y13415" s="19" t="n"/>
    </row>
    <row r="13416">
      <c r="C13416" s="18" t="n"/>
      <c r="J13416" s="19" t="n"/>
      <c r="P13416" s="20" t="n"/>
      <c r="Q13416" s="19" t="n"/>
      <c r="R13416" s="19" t="n"/>
      <c r="Y13416" s="19" t="n"/>
    </row>
    <row r="13417">
      <c r="C13417" s="18" t="n"/>
      <c r="J13417" s="19" t="n"/>
      <c r="P13417" s="20" t="n"/>
      <c r="Q13417" s="19" t="n"/>
      <c r="R13417" s="19" t="n"/>
      <c r="Y13417" s="19" t="n"/>
    </row>
    <row r="13418">
      <c r="C13418" s="18" t="n"/>
      <c r="J13418" s="19" t="n"/>
      <c r="P13418" s="20" t="n"/>
      <c r="Q13418" s="19" t="n"/>
      <c r="R13418" s="19" t="n"/>
      <c r="Y13418" s="19" t="n"/>
    </row>
    <row r="13419">
      <c r="C13419" s="18" t="n"/>
      <c r="J13419" s="19" t="n"/>
      <c r="P13419" s="20" t="n"/>
      <c r="Q13419" s="19" t="n"/>
      <c r="R13419" s="19" t="n"/>
      <c r="Y13419" s="19" t="n"/>
    </row>
    <row r="13420">
      <c r="C13420" s="18" t="n"/>
      <c r="J13420" s="19" t="n"/>
      <c r="P13420" s="20" t="n"/>
      <c r="Q13420" s="19" t="n"/>
      <c r="R13420" s="19" t="n"/>
      <c r="Y13420" s="19" t="n"/>
    </row>
    <row r="13421">
      <c r="C13421" s="18" t="n"/>
      <c r="J13421" s="19" t="n"/>
      <c r="P13421" s="20" t="n"/>
      <c r="Q13421" s="19" t="n"/>
      <c r="R13421" s="19" t="n"/>
      <c r="Y13421" s="19" t="n"/>
    </row>
    <row r="13422">
      <c r="C13422" s="18" t="n"/>
      <c r="J13422" s="19" t="n"/>
      <c r="P13422" s="20" t="n"/>
      <c r="Q13422" s="19" t="n"/>
      <c r="R13422" s="19" t="n"/>
      <c r="Y13422" s="19" t="n"/>
    </row>
    <row r="13423">
      <c r="C13423" s="18" t="n"/>
      <c r="J13423" s="19" t="n"/>
      <c r="P13423" s="20" t="n"/>
      <c r="Q13423" s="19" t="n"/>
      <c r="R13423" s="19" t="n"/>
      <c r="Y13423" s="19" t="n"/>
    </row>
    <row r="13424">
      <c r="C13424" s="18" t="n"/>
      <c r="J13424" s="19" t="n"/>
      <c r="P13424" s="20" t="n"/>
      <c r="Q13424" s="19" t="n"/>
      <c r="R13424" s="19" t="n"/>
      <c r="Y13424" s="19" t="n"/>
    </row>
    <row r="13425">
      <c r="C13425" s="18" t="n"/>
      <c r="J13425" s="19" t="n"/>
      <c r="P13425" s="20" t="n"/>
      <c r="Q13425" s="19" t="n"/>
      <c r="R13425" s="19" t="n"/>
      <c r="Y13425" s="19" t="n"/>
    </row>
    <row r="13426">
      <c r="C13426" s="18" t="n"/>
      <c r="J13426" s="19" t="n"/>
      <c r="P13426" s="20" t="n"/>
      <c r="Q13426" s="19" t="n"/>
      <c r="R13426" s="19" t="n"/>
      <c r="Y13426" s="19" t="n"/>
    </row>
    <row r="13427">
      <c r="C13427" s="18" t="n"/>
      <c r="J13427" s="19" t="n"/>
      <c r="P13427" s="20" t="n"/>
      <c r="Q13427" s="19" t="n"/>
      <c r="R13427" s="19" t="n"/>
      <c r="Y13427" s="19" t="n"/>
    </row>
    <row r="13428">
      <c r="C13428" s="18" t="n"/>
      <c r="J13428" s="19" t="n"/>
      <c r="P13428" s="20" t="n"/>
      <c r="Q13428" s="19" t="n"/>
      <c r="R13428" s="19" t="n"/>
      <c r="Y13428" s="19" t="n"/>
    </row>
    <row r="13429">
      <c r="C13429" s="18" t="n"/>
      <c r="J13429" s="19" t="n"/>
      <c r="P13429" s="20" t="n"/>
      <c r="Q13429" s="19" t="n"/>
      <c r="R13429" s="19" t="n"/>
      <c r="Y13429" s="19" t="n"/>
    </row>
    <row r="13430">
      <c r="C13430" s="18" t="n"/>
      <c r="J13430" s="19" t="n"/>
      <c r="P13430" s="20" t="n"/>
      <c r="Q13430" s="19" t="n"/>
      <c r="R13430" s="19" t="n"/>
      <c r="Y13430" s="19" t="n"/>
    </row>
    <row r="13431">
      <c r="C13431" s="18" t="n"/>
      <c r="J13431" s="19" t="n"/>
      <c r="P13431" s="20" t="n"/>
      <c r="Q13431" s="19" t="n"/>
      <c r="R13431" s="19" t="n"/>
      <c r="Y13431" s="19" t="n"/>
    </row>
    <row r="13432">
      <c r="C13432" s="18" t="n"/>
      <c r="J13432" s="19" t="n"/>
      <c r="P13432" s="20" t="n"/>
      <c r="Q13432" s="19" t="n"/>
      <c r="R13432" s="19" t="n"/>
      <c r="Y13432" s="19" t="n"/>
    </row>
    <row r="13433">
      <c r="C13433" s="18" t="n"/>
      <c r="J13433" s="19" t="n"/>
      <c r="P13433" s="20" t="n"/>
      <c r="Q13433" s="19" t="n"/>
      <c r="R13433" s="19" t="n"/>
      <c r="Y13433" s="19" t="n"/>
    </row>
    <row r="13434">
      <c r="C13434" s="18" t="n"/>
      <c r="J13434" s="19" t="n"/>
      <c r="P13434" s="20" t="n"/>
      <c r="Q13434" s="19" t="n"/>
      <c r="R13434" s="19" t="n"/>
      <c r="Y13434" s="19" t="n"/>
    </row>
    <row r="13435">
      <c r="C13435" s="18" t="n"/>
      <c r="J13435" s="19" t="n"/>
      <c r="P13435" s="20" t="n"/>
      <c r="Q13435" s="19" t="n"/>
      <c r="R13435" s="19" t="n"/>
      <c r="Y13435" s="19" t="n"/>
    </row>
    <row r="13436">
      <c r="C13436" s="18" t="n"/>
      <c r="J13436" s="19" t="n"/>
      <c r="P13436" s="20" t="n"/>
      <c r="Q13436" s="19" t="n"/>
      <c r="R13436" s="19" t="n"/>
      <c r="Y13436" s="19" t="n"/>
    </row>
    <row r="13437">
      <c r="C13437" s="18" t="n"/>
      <c r="J13437" s="19" t="n"/>
      <c r="P13437" s="20" t="n"/>
      <c r="Q13437" s="19" t="n"/>
      <c r="R13437" s="19" t="n"/>
      <c r="Y13437" s="19" t="n"/>
    </row>
    <row r="13438">
      <c r="C13438" s="18" t="n"/>
      <c r="J13438" s="19" t="n"/>
      <c r="P13438" s="20" t="n"/>
      <c r="Q13438" s="19" t="n"/>
      <c r="R13438" s="19" t="n"/>
      <c r="Y13438" s="19" t="n"/>
    </row>
    <row r="13439">
      <c r="C13439" s="18" t="n"/>
      <c r="J13439" s="19" t="n"/>
      <c r="P13439" s="20" t="n"/>
      <c r="Q13439" s="19" t="n"/>
      <c r="R13439" s="19" t="n"/>
      <c r="Y13439" s="19" t="n"/>
    </row>
    <row r="13440">
      <c r="C13440" s="18" t="n"/>
      <c r="J13440" s="19" t="n"/>
      <c r="P13440" s="20" t="n"/>
      <c r="Q13440" s="19" t="n"/>
      <c r="R13440" s="19" t="n"/>
      <c r="Y13440" s="19" t="n"/>
    </row>
    <row r="13441">
      <c r="C13441" s="18" t="n"/>
      <c r="J13441" s="19" t="n"/>
      <c r="P13441" s="20" t="n"/>
      <c r="Q13441" s="19" t="n"/>
      <c r="R13441" s="19" t="n"/>
      <c r="Y13441" s="19" t="n"/>
    </row>
    <row r="13442">
      <c r="C13442" s="18" t="n"/>
      <c r="J13442" s="19" t="n"/>
      <c r="P13442" s="20" t="n"/>
      <c r="Q13442" s="19" t="n"/>
      <c r="R13442" s="19" t="n"/>
      <c r="Y13442" s="19" t="n"/>
    </row>
    <row r="13443">
      <c r="C13443" s="18" t="n"/>
      <c r="J13443" s="19" t="n"/>
      <c r="P13443" s="20" t="n"/>
      <c r="Q13443" s="19" t="n"/>
      <c r="R13443" s="19" t="n"/>
      <c r="Y13443" s="19" t="n"/>
    </row>
    <row r="13444">
      <c r="C13444" s="18" t="n"/>
      <c r="J13444" s="19" t="n"/>
      <c r="P13444" s="20" t="n"/>
      <c r="Q13444" s="19" t="n"/>
      <c r="R13444" s="19" t="n"/>
      <c r="Y13444" s="19" t="n"/>
    </row>
    <row r="13445">
      <c r="C13445" s="18" t="n"/>
      <c r="J13445" s="19" t="n"/>
      <c r="P13445" s="20" t="n"/>
      <c r="Q13445" s="19" t="n"/>
      <c r="R13445" s="19" t="n"/>
      <c r="Y13445" s="19" t="n"/>
    </row>
    <row r="13446">
      <c r="C13446" s="18" t="n"/>
      <c r="J13446" s="19" t="n"/>
      <c r="P13446" s="20" t="n"/>
      <c r="Q13446" s="19" t="n"/>
      <c r="R13446" s="19" t="n"/>
      <c r="Y13446" s="19" t="n"/>
    </row>
    <row r="13447">
      <c r="C13447" s="18" t="n"/>
      <c r="J13447" s="19" t="n"/>
      <c r="P13447" s="20" t="n"/>
      <c r="Q13447" s="19" t="n"/>
      <c r="R13447" s="19" t="n"/>
      <c r="Y13447" s="19" t="n"/>
    </row>
    <row r="13448">
      <c r="C13448" s="18" t="n"/>
      <c r="J13448" s="19" t="n"/>
      <c r="P13448" s="20" t="n"/>
      <c r="Q13448" s="19" t="n"/>
      <c r="R13448" s="19" t="n"/>
      <c r="Y13448" s="19" t="n"/>
    </row>
    <row r="13449">
      <c r="C13449" s="18" t="n"/>
      <c r="J13449" s="19" t="n"/>
      <c r="P13449" s="20" t="n"/>
      <c r="Q13449" s="19" t="n"/>
      <c r="R13449" s="19" t="n"/>
      <c r="Y13449" s="19" t="n"/>
    </row>
    <row r="13450">
      <c r="C13450" s="18" t="n"/>
      <c r="J13450" s="19" t="n"/>
      <c r="P13450" s="20" t="n"/>
      <c r="Q13450" s="19" t="n"/>
      <c r="R13450" s="19" t="n"/>
      <c r="Y13450" s="19" t="n"/>
    </row>
    <row r="13451">
      <c r="C13451" s="18" t="n"/>
      <c r="J13451" s="19" t="n"/>
      <c r="P13451" s="20" t="n"/>
      <c r="Q13451" s="19" t="n"/>
      <c r="R13451" s="19" t="n"/>
      <c r="Y13451" s="19" t="n"/>
    </row>
    <row r="13452">
      <c r="C13452" s="18" t="n"/>
      <c r="J13452" s="19" t="n"/>
      <c r="P13452" s="20" t="n"/>
      <c r="Q13452" s="19" t="n"/>
      <c r="R13452" s="19" t="n"/>
      <c r="Y13452" s="19" t="n"/>
    </row>
    <row r="13453">
      <c r="C13453" s="18" t="n"/>
      <c r="J13453" s="19" t="n"/>
      <c r="P13453" s="20" t="n"/>
      <c r="Q13453" s="19" t="n"/>
      <c r="R13453" s="19" t="n"/>
      <c r="Y13453" s="19" t="n"/>
    </row>
    <row r="13454">
      <c r="C13454" s="18" t="n"/>
      <c r="J13454" s="19" t="n"/>
      <c r="P13454" s="20" t="n"/>
      <c r="Q13454" s="19" t="n"/>
      <c r="R13454" s="19" t="n"/>
      <c r="Y13454" s="19" t="n"/>
    </row>
    <row r="13455">
      <c r="C13455" s="18" t="n"/>
      <c r="J13455" s="19" t="n"/>
      <c r="P13455" s="20" t="n"/>
      <c r="Q13455" s="19" t="n"/>
      <c r="R13455" s="19" t="n"/>
      <c r="Y13455" s="19" t="n"/>
    </row>
    <row r="13456">
      <c r="C13456" s="18" t="n"/>
      <c r="J13456" s="19" t="n"/>
      <c r="P13456" s="20" t="n"/>
      <c r="Q13456" s="19" t="n"/>
      <c r="R13456" s="19" t="n"/>
      <c r="Y13456" s="19" t="n"/>
    </row>
    <row r="13457">
      <c r="C13457" s="18" t="n"/>
      <c r="J13457" s="19" t="n"/>
      <c r="P13457" s="20" t="n"/>
      <c r="Q13457" s="19" t="n"/>
      <c r="R13457" s="19" t="n"/>
      <c r="Y13457" s="19" t="n"/>
    </row>
    <row r="13458">
      <c r="C13458" s="18" t="n"/>
      <c r="J13458" s="19" t="n"/>
      <c r="P13458" s="20" t="n"/>
      <c r="Q13458" s="19" t="n"/>
      <c r="R13458" s="19" t="n"/>
      <c r="Y13458" s="19" t="n"/>
    </row>
    <row r="13459">
      <c r="C13459" s="18" t="n"/>
      <c r="J13459" s="19" t="n"/>
      <c r="P13459" s="20" t="n"/>
      <c r="Q13459" s="19" t="n"/>
      <c r="R13459" s="19" t="n"/>
      <c r="Y13459" s="19" t="n"/>
    </row>
    <row r="13460">
      <c r="C13460" s="18" t="n"/>
      <c r="J13460" s="19" t="n"/>
      <c r="P13460" s="20" t="n"/>
      <c r="Q13460" s="19" t="n"/>
      <c r="R13460" s="19" t="n"/>
      <c r="Y13460" s="19" t="n"/>
    </row>
    <row r="13461">
      <c r="C13461" s="18" t="n"/>
      <c r="J13461" s="19" t="n"/>
      <c r="P13461" s="20" t="n"/>
      <c r="Q13461" s="19" t="n"/>
      <c r="R13461" s="19" t="n"/>
      <c r="Y13461" s="19" t="n"/>
    </row>
    <row r="13462">
      <c r="C13462" s="18" t="n"/>
      <c r="J13462" s="19" t="n"/>
      <c r="P13462" s="20" t="n"/>
      <c r="Q13462" s="19" t="n"/>
      <c r="R13462" s="19" t="n"/>
      <c r="Y13462" s="19" t="n"/>
    </row>
    <row r="13463">
      <c r="C13463" s="18" t="n"/>
      <c r="J13463" s="19" t="n"/>
      <c r="P13463" s="20" t="n"/>
      <c r="Q13463" s="19" t="n"/>
      <c r="R13463" s="19" t="n"/>
      <c r="Y13463" s="19" t="n"/>
    </row>
    <row r="13464">
      <c r="C13464" s="18" t="n"/>
      <c r="J13464" s="19" t="n"/>
      <c r="P13464" s="20" t="n"/>
      <c r="Q13464" s="19" t="n"/>
      <c r="R13464" s="19" t="n"/>
      <c r="Y13464" s="19" t="n"/>
    </row>
    <row r="13465">
      <c r="C13465" s="18" t="n"/>
      <c r="J13465" s="19" t="n"/>
      <c r="P13465" s="20" t="n"/>
      <c r="Q13465" s="19" t="n"/>
      <c r="R13465" s="19" t="n"/>
      <c r="Y13465" s="19" t="n"/>
    </row>
    <row r="13466">
      <c r="C13466" s="18" t="n"/>
      <c r="J13466" s="19" t="n"/>
      <c r="P13466" s="20" t="n"/>
      <c r="Q13466" s="19" t="n"/>
      <c r="R13466" s="19" t="n"/>
      <c r="Y13466" s="19" t="n"/>
    </row>
    <row r="13467">
      <c r="C13467" s="18" t="n"/>
      <c r="J13467" s="19" t="n"/>
      <c r="P13467" s="20" t="n"/>
      <c r="Q13467" s="19" t="n"/>
      <c r="R13467" s="19" t="n"/>
      <c r="Y13467" s="19" t="n"/>
    </row>
    <row r="13468">
      <c r="C13468" s="18" t="n"/>
      <c r="J13468" s="19" t="n"/>
      <c r="P13468" s="20" t="n"/>
      <c r="Q13468" s="19" t="n"/>
      <c r="R13468" s="19" t="n"/>
      <c r="Y13468" s="19" t="n"/>
    </row>
    <row r="13469">
      <c r="C13469" s="18" t="n"/>
      <c r="J13469" s="19" t="n"/>
      <c r="P13469" s="20" t="n"/>
      <c r="Q13469" s="19" t="n"/>
      <c r="R13469" s="19" t="n"/>
      <c r="Y13469" s="19" t="n"/>
    </row>
    <row r="13470">
      <c r="C13470" s="18" t="n"/>
      <c r="J13470" s="19" t="n"/>
      <c r="P13470" s="20" t="n"/>
      <c r="Q13470" s="19" t="n"/>
      <c r="R13470" s="19" t="n"/>
      <c r="Y13470" s="19" t="n"/>
    </row>
    <row r="13471">
      <c r="C13471" s="18" t="n"/>
      <c r="J13471" s="19" t="n"/>
      <c r="P13471" s="20" t="n"/>
      <c r="Q13471" s="19" t="n"/>
      <c r="R13471" s="19" t="n"/>
      <c r="Y13471" s="19" t="n"/>
    </row>
    <row r="13472">
      <c r="C13472" s="18" t="n"/>
      <c r="J13472" s="19" t="n"/>
      <c r="P13472" s="20" t="n"/>
      <c r="Q13472" s="19" t="n"/>
      <c r="R13472" s="19" t="n"/>
      <c r="Y13472" s="19" t="n"/>
    </row>
    <row r="13473">
      <c r="C13473" s="18" t="n"/>
      <c r="J13473" s="19" t="n"/>
      <c r="P13473" s="20" t="n"/>
      <c r="Q13473" s="19" t="n"/>
      <c r="R13473" s="19" t="n"/>
      <c r="Y13473" s="19" t="n"/>
    </row>
    <row r="13474">
      <c r="C13474" s="18" t="n"/>
      <c r="J13474" s="19" t="n"/>
      <c r="P13474" s="20" t="n"/>
      <c r="Q13474" s="19" t="n"/>
      <c r="R13474" s="19" t="n"/>
      <c r="Y13474" s="19" t="n"/>
    </row>
    <row r="13475">
      <c r="C13475" s="18" t="n"/>
      <c r="J13475" s="19" t="n"/>
      <c r="P13475" s="20" t="n"/>
      <c r="Q13475" s="19" t="n"/>
      <c r="R13475" s="19" t="n"/>
      <c r="Y13475" s="19" t="n"/>
    </row>
    <row r="13476">
      <c r="C13476" s="18" t="n"/>
      <c r="J13476" s="19" t="n"/>
      <c r="P13476" s="20" t="n"/>
      <c r="Q13476" s="19" t="n"/>
      <c r="R13476" s="19" t="n"/>
      <c r="Y13476" s="19" t="n"/>
    </row>
    <row r="13477">
      <c r="C13477" s="18" t="n"/>
      <c r="J13477" s="19" t="n"/>
      <c r="P13477" s="20" t="n"/>
      <c r="Q13477" s="19" t="n"/>
      <c r="R13477" s="19" t="n"/>
      <c r="Y13477" s="19" t="n"/>
    </row>
    <row r="13478">
      <c r="C13478" s="18" t="n"/>
      <c r="J13478" s="19" t="n"/>
      <c r="P13478" s="20" t="n"/>
      <c r="Q13478" s="19" t="n"/>
      <c r="R13478" s="19" t="n"/>
      <c r="Y13478" s="19" t="n"/>
    </row>
    <row r="13479">
      <c r="C13479" s="18" t="n"/>
      <c r="J13479" s="19" t="n"/>
      <c r="P13479" s="20" t="n"/>
      <c r="Q13479" s="19" t="n"/>
      <c r="R13479" s="19" t="n"/>
      <c r="Y13479" s="19" t="n"/>
    </row>
    <row r="13480">
      <c r="C13480" s="18" t="n"/>
      <c r="J13480" s="19" t="n"/>
      <c r="P13480" s="20" t="n"/>
      <c r="Q13480" s="19" t="n"/>
      <c r="R13480" s="19" t="n"/>
      <c r="Y13480" s="19" t="n"/>
    </row>
    <row r="13481">
      <c r="C13481" s="18" t="n"/>
      <c r="J13481" s="19" t="n"/>
      <c r="P13481" s="20" t="n"/>
      <c r="Q13481" s="19" t="n"/>
      <c r="R13481" s="19" t="n"/>
      <c r="Y13481" s="19" t="n"/>
    </row>
    <row r="13482">
      <c r="C13482" s="18" t="n"/>
      <c r="J13482" s="19" t="n"/>
      <c r="P13482" s="20" t="n"/>
      <c r="Q13482" s="19" t="n"/>
      <c r="R13482" s="19" t="n"/>
      <c r="Y13482" s="19" t="n"/>
    </row>
    <row r="13483">
      <c r="C13483" s="18" t="n"/>
      <c r="J13483" s="19" t="n"/>
      <c r="P13483" s="20" t="n"/>
      <c r="Q13483" s="19" t="n"/>
      <c r="R13483" s="19" t="n"/>
      <c r="Y13483" s="19" t="n"/>
    </row>
    <row r="13484">
      <c r="C13484" s="18" t="n"/>
      <c r="J13484" s="19" t="n"/>
      <c r="P13484" s="20" t="n"/>
      <c r="Q13484" s="19" t="n"/>
      <c r="R13484" s="19" t="n"/>
      <c r="Y13484" s="19" t="n"/>
    </row>
    <row r="13485">
      <c r="C13485" s="18" t="n"/>
      <c r="J13485" s="19" t="n"/>
      <c r="P13485" s="20" t="n"/>
      <c r="Q13485" s="19" t="n"/>
      <c r="R13485" s="19" t="n"/>
      <c r="Y13485" s="19" t="n"/>
    </row>
    <row r="13486">
      <c r="C13486" s="18" t="n"/>
      <c r="J13486" s="19" t="n"/>
      <c r="P13486" s="20" t="n"/>
      <c r="Q13486" s="19" t="n"/>
      <c r="R13486" s="19" t="n"/>
      <c r="Y13486" s="19" t="n"/>
    </row>
    <row r="13487">
      <c r="C13487" s="18" t="n"/>
      <c r="J13487" s="19" t="n"/>
      <c r="P13487" s="20" t="n"/>
      <c r="Q13487" s="19" t="n"/>
      <c r="R13487" s="19" t="n"/>
      <c r="Y13487" s="19" t="n"/>
    </row>
    <row r="13488">
      <c r="C13488" s="18" t="n"/>
      <c r="J13488" s="19" t="n"/>
      <c r="P13488" s="20" t="n"/>
      <c r="Q13488" s="19" t="n"/>
      <c r="R13488" s="19" t="n"/>
      <c r="Y13488" s="19" t="n"/>
    </row>
    <row r="13489">
      <c r="C13489" s="18" t="n"/>
      <c r="J13489" s="19" t="n"/>
      <c r="P13489" s="20" t="n"/>
      <c r="Q13489" s="19" t="n"/>
      <c r="R13489" s="19" t="n"/>
      <c r="Y13489" s="19" t="n"/>
    </row>
    <row r="13490">
      <c r="C13490" s="18" t="n"/>
      <c r="J13490" s="19" t="n"/>
      <c r="P13490" s="20" t="n"/>
      <c r="Q13490" s="19" t="n"/>
      <c r="R13490" s="19" t="n"/>
      <c r="Y13490" s="19" t="n"/>
    </row>
    <row r="13491">
      <c r="C13491" s="18" t="n"/>
      <c r="J13491" s="19" t="n"/>
      <c r="P13491" s="20" t="n"/>
      <c r="Q13491" s="19" t="n"/>
      <c r="R13491" s="19" t="n"/>
      <c r="Y13491" s="19" t="n"/>
    </row>
    <row r="13492">
      <c r="C13492" s="18" t="n"/>
      <c r="J13492" s="19" t="n"/>
      <c r="P13492" s="20" t="n"/>
      <c r="Q13492" s="19" t="n"/>
      <c r="R13492" s="19" t="n"/>
      <c r="Y13492" s="19" t="n"/>
    </row>
    <row r="13493">
      <c r="C13493" s="18" t="n"/>
      <c r="J13493" s="19" t="n"/>
      <c r="P13493" s="20" t="n"/>
      <c r="Q13493" s="19" t="n"/>
      <c r="R13493" s="19" t="n"/>
      <c r="Y13493" s="19" t="n"/>
    </row>
    <row r="13494">
      <c r="C13494" s="18" t="n"/>
      <c r="J13494" s="19" t="n"/>
      <c r="P13494" s="20" t="n"/>
      <c r="Q13494" s="19" t="n"/>
      <c r="R13494" s="19" t="n"/>
      <c r="Y13494" s="19" t="n"/>
    </row>
    <row r="13495">
      <c r="C13495" s="18" t="n"/>
      <c r="J13495" s="19" t="n"/>
      <c r="P13495" s="20" t="n"/>
      <c r="Q13495" s="19" t="n"/>
      <c r="R13495" s="19" t="n"/>
      <c r="Y13495" s="19" t="n"/>
    </row>
    <row r="13496">
      <c r="C13496" s="18" t="n"/>
      <c r="J13496" s="19" t="n"/>
      <c r="P13496" s="20" t="n"/>
      <c r="Q13496" s="19" t="n"/>
      <c r="R13496" s="19" t="n"/>
      <c r="Y13496" s="19" t="n"/>
    </row>
    <row r="13497">
      <c r="C13497" s="18" t="n"/>
      <c r="J13497" s="19" t="n"/>
      <c r="P13497" s="20" t="n"/>
      <c r="Q13497" s="19" t="n"/>
      <c r="R13497" s="19" t="n"/>
      <c r="Y13497" s="19" t="n"/>
    </row>
    <row r="13498">
      <c r="C13498" s="18" t="n"/>
      <c r="J13498" s="19" t="n"/>
      <c r="P13498" s="20" t="n"/>
      <c r="Q13498" s="19" t="n"/>
      <c r="R13498" s="19" t="n"/>
      <c r="Y13498" s="19" t="n"/>
    </row>
    <row r="13499">
      <c r="C13499" s="18" t="n"/>
      <c r="J13499" s="19" t="n"/>
      <c r="P13499" s="20" t="n"/>
      <c r="Q13499" s="19" t="n"/>
      <c r="R13499" s="19" t="n"/>
      <c r="Y13499" s="19" t="n"/>
    </row>
    <row r="13500">
      <c r="C13500" s="18" t="n"/>
      <c r="J13500" s="19" t="n"/>
      <c r="P13500" s="20" t="n"/>
      <c r="Q13500" s="19" t="n"/>
      <c r="R13500" s="19" t="n"/>
      <c r="Y13500" s="19" t="n"/>
    </row>
    <row r="13501">
      <c r="C13501" s="18" t="n"/>
      <c r="J13501" s="19" t="n"/>
      <c r="P13501" s="20" t="n"/>
      <c r="Q13501" s="19" t="n"/>
      <c r="R13501" s="19" t="n"/>
      <c r="Y13501" s="19" t="n"/>
    </row>
    <row r="13502">
      <c r="C13502" s="18" t="n"/>
      <c r="J13502" s="19" t="n"/>
      <c r="P13502" s="20" t="n"/>
      <c r="Q13502" s="19" t="n"/>
      <c r="R13502" s="19" t="n"/>
      <c r="Y13502" s="19" t="n"/>
    </row>
    <row r="13503">
      <c r="C13503" s="18" t="n"/>
      <c r="J13503" s="19" t="n"/>
      <c r="P13503" s="20" t="n"/>
      <c r="Q13503" s="19" t="n"/>
      <c r="R13503" s="19" t="n"/>
      <c r="Y13503" s="19" t="n"/>
    </row>
    <row r="13504">
      <c r="C13504" s="18" t="n"/>
      <c r="J13504" s="19" t="n"/>
      <c r="P13504" s="20" t="n"/>
      <c r="Q13504" s="19" t="n"/>
      <c r="R13504" s="19" t="n"/>
      <c r="Y13504" s="19" t="n"/>
    </row>
    <row r="13505">
      <c r="C13505" s="18" t="n"/>
      <c r="J13505" s="19" t="n"/>
      <c r="P13505" s="20" t="n"/>
      <c r="Q13505" s="19" t="n"/>
      <c r="R13505" s="19" t="n"/>
      <c r="Y13505" s="19" t="n"/>
    </row>
    <row r="13506">
      <c r="C13506" s="18" t="n"/>
      <c r="J13506" s="19" t="n"/>
      <c r="P13506" s="20" t="n"/>
      <c r="Q13506" s="19" t="n"/>
      <c r="R13506" s="19" t="n"/>
      <c r="Y13506" s="19" t="n"/>
    </row>
    <row r="13507">
      <c r="C13507" s="18" t="n"/>
      <c r="J13507" s="19" t="n"/>
      <c r="P13507" s="20" t="n"/>
      <c r="Q13507" s="19" t="n"/>
      <c r="R13507" s="19" t="n"/>
      <c r="Y13507" s="19" t="n"/>
    </row>
    <row r="13508">
      <c r="C13508" s="18" t="n"/>
      <c r="J13508" s="19" t="n"/>
      <c r="P13508" s="20" t="n"/>
      <c r="Q13508" s="19" t="n"/>
      <c r="R13508" s="19" t="n"/>
      <c r="Y13508" s="19" t="n"/>
    </row>
    <row r="13509">
      <c r="C13509" s="18" t="n"/>
      <c r="J13509" s="19" t="n"/>
      <c r="P13509" s="20" t="n"/>
      <c r="Q13509" s="19" t="n"/>
      <c r="R13509" s="19" t="n"/>
      <c r="Y13509" s="19" t="n"/>
    </row>
    <row r="13510">
      <c r="C13510" s="18" t="n"/>
      <c r="J13510" s="19" t="n"/>
      <c r="P13510" s="20" t="n"/>
      <c r="Q13510" s="19" t="n"/>
      <c r="R13510" s="19" t="n"/>
      <c r="Y13510" s="19" t="n"/>
    </row>
    <row r="13511">
      <c r="C13511" s="18" t="n"/>
      <c r="J13511" s="19" t="n"/>
      <c r="P13511" s="20" t="n"/>
      <c r="Q13511" s="19" t="n"/>
      <c r="R13511" s="19" t="n"/>
      <c r="Y13511" s="19" t="n"/>
    </row>
    <row r="13512">
      <c r="C13512" s="18" t="n"/>
      <c r="J13512" s="19" t="n"/>
      <c r="P13512" s="20" t="n"/>
      <c r="Q13512" s="19" t="n"/>
      <c r="R13512" s="19" t="n"/>
      <c r="Y13512" s="19" t="n"/>
    </row>
    <row r="13513">
      <c r="C13513" s="18" t="n"/>
      <c r="J13513" s="19" t="n"/>
      <c r="P13513" s="20" t="n"/>
      <c r="Q13513" s="19" t="n"/>
      <c r="R13513" s="19" t="n"/>
      <c r="Y13513" s="19" t="n"/>
    </row>
    <row r="13514">
      <c r="C13514" s="18" t="n"/>
      <c r="J13514" s="19" t="n"/>
      <c r="P13514" s="20" t="n"/>
      <c r="Q13514" s="19" t="n"/>
      <c r="R13514" s="19" t="n"/>
      <c r="Y13514" s="19" t="n"/>
    </row>
    <row r="13515">
      <c r="C13515" s="18" t="n"/>
      <c r="J13515" s="19" t="n"/>
      <c r="P13515" s="20" t="n"/>
      <c r="Q13515" s="19" t="n"/>
      <c r="R13515" s="19" t="n"/>
      <c r="Y13515" s="19" t="n"/>
    </row>
    <row r="13516">
      <c r="C13516" s="18" t="n"/>
      <c r="J13516" s="19" t="n"/>
      <c r="P13516" s="20" t="n"/>
      <c r="Q13516" s="19" t="n"/>
      <c r="R13516" s="19" t="n"/>
      <c r="Y13516" s="19" t="n"/>
    </row>
    <row r="13517">
      <c r="C13517" s="18" t="n"/>
      <c r="J13517" s="19" t="n"/>
      <c r="P13517" s="20" t="n"/>
      <c r="Q13517" s="19" t="n"/>
      <c r="R13517" s="19" t="n"/>
      <c r="Y13517" s="19" t="n"/>
    </row>
    <row r="13518">
      <c r="C13518" s="18" t="n"/>
      <c r="J13518" s="19" t="n"/>
      <c r="P13518" s="20" t="n"/>
      <c r="Q13518" s="19" t="n"/>
      <c r="R13518" s="19" t="n"/>
      <c r="Y13518" s="19" t="n"/>
    </row>
    <row r="13519">
      <c r="C13519" s="18" t="n"/>
      <c r="J13519" s="19" t="n"/>
      <c r="P13519" s="20" t="n"/>
      <c r="Q13519" s="19" t="n"/>
      <c r="R13519" s="19" t="n"/>
      <c r="Y13519" s="19" t="n"/>
    </row>
    <row r="13520">
      <c r="C13520" s="18" t="n"/>
      <c r="J13520" s="19" t="n"/>
      <c r="P13520" s="20" t="n"/>
      <c r="Q13520" s="19" t="n"/>
      <c r="R13520" s="19" t="n"/>
      <c r="Y13520" s="19" t="n"/>
    </row>
    <row r="13521">
      <c r="C13521" s="18" t="n"/>
      <c r="J13521" s="19" t="n"/>
      <c r="P13521" s="20" t="n"/>
      <c r="Q13521" s="19" t="n"/>
      <c r="R13521" s="19" t="n"/>
      <c r="Y13521" s="19" t="n"/>
    </row>
    <row r="13522">
      <c r="C13522" s="18" t="n"/>
      <c r="J13522" s="19" t="n"/>
      <c r="P13522" s="20" t="n"/>
      <c r="Q13522" s="19" t="n"/>
      <c r="R13522" s="19" t="n"/>
      <c r="Y13522" s="19" t="n"/>
    </row>
    <row r="13523">
      <c r="C13523" s="18" t="n"/>
      <c r="J13523" s="19" t="n"/>
      <c r="P13523" s="20" t="n"/>
      <c r="Q13523" s="19" t="n"/>
      <c r="R13523" s="19" t="n"/>
      <c r="Y13523" s="19" t="n"/>
    </row>
    <row r="13524">
      <c r="C13524" s="18" t="n"/>
      <c r="J13524" s="19" t="n"/>
      <c r="P13524" s="20" t="n"/>
      <c r="Q13524" s="19" t="n"/>
      <c r="R13524" s="19" t="n"/>
      <c r="Y13524" s="19" t="n"/>
    </row>
    <row r="13525">
      <c r="C13525" s="18" t="n"/>
      <c r="J13525" s="19" t="n"/>
      <c r="P13525" s="20" t="n"/>
      <c r="Q13525" s="19" t="n"/>
      <c r="R13525" s="19" t="n"/>
      <c r="Y13525" s="19" t="n"/>
    </row>
    <row r="13526">
      <c r="C13526" s="18" t="n"/>
      <c r="J13526" s="19" t="n"/>
      <c r="P13526" s="20" t="n"/>
      <c r="Q13526" s="19" t="n"/>
      <c r="R13526" s="19" t="n"/>
      <c r="Y13526" s="19" t="n"/>
    </row>
    <row r="13527">
      <c r="C13527" s="18" t="n"/>
      <c r="J13527" s="19" t="n"/>
      <c r="P13527" s="20" t="n"/>
      <c r="Q13527" s="19" t="n"/>
      <c r="R13527" s="19" t="n"/>
      <c r="Y13527" s="19" t="n"/>
    </row>
    <row r="13528">
      <c r="C13528" s="18" t="n"/>
      <c r="J13528" s="19" t="n"/>
      <c r="P13528" s="20" t="n"/>
      <c r="Q13528" s="19" t="n"/>
      <c r="R13528" s="19" t="n"/>
      <c r="Y13528" s="19" t="n"/>
    </row>
    <row r="13529">
      <c r="C13529" s="18" t="n"/>
      <c r="J13529" s="19" t="n"/>
      <c r="P13529" s="20" t="n"/>
      <c r="Q13529" s="19" t="n"/>
      <c r="R13529" s="19" t="n"/>
      <c r="Y13529" s="19" t="n"/>
    </row>
    <row r="13530">
      <c r="C13530" s="18" t="n"/>
      <c r="J13530" s="19" t="n"/>
      <c r="P13530" s="20" t="n"/>
      <c r="Q13530" s="19" t="n"/>
      <c r="R13530" s="19" t="n"/>
      <c r="Y13530" s="19" t="n"/>
    </row>
    <row r="13531">
      <c r="C13531" s="18" t="n"/>
      <c r="J13531" s="19" t="n"/>
      <c r="P13531" s="20" t="n"/>
      <c r="Q13531" s="19" t="n"/>
      <c r="R13531" s="19" t="n"/>
      <c r="Y13531" s="19" t="n"/>
    </row>
    <row r="13532">
      <c r="C13532" s="18" t="n"/>
      <c r="J13532" s="19" t="n"/>
      <c r="P13532" s="20" t="n"/>
      <c r="Q13532" s="19" t="n"/>
      <c r="R13532" s="19" t="n"/>
      <c r="Y13532" s="19" t="n"/>
    </row>
    <row r="13533">
      <c r="C13533" s="18" t="n"/>
      <c r="J13533" s="19" t="n"/>
      <c r="P13533" s="20" t="n"/>
      <c r="Q13533" s="19" t="n"/>
      <c r="R13533" s="19" t="n"/>
      <c r="Y13533" s="19" t="n"/>
    </row>
    <row r="13534">
      <c r="C13534" s="18" t="n"/>
      <c r="J13534" s="19" t="n"/>
      <c r="P13534" s="20" t="n"/>
      <c r="Q13534" s="19" t="n"/>
      <c r="R13534" s="19" t="n"/>
      <c r="Y13534" s="19" t="n"/>
    </row>
    <row r="13535">
      <c r="C13535" s="18" t="n"/>
      <c r="J13535" s="19" t="n"/>
      <c r="P13535" s="20" t="n"/>
      <c r="Q13535" s="19" t="n"/>
      <c r="R13535" s="19" t="n"/>
      <c r="Y13535" s="19" t="n"/>
    </row>
    <row r="13536">
      <c r="C13536" s="18" t="n"/>
      <c r="J13536" s="19" t="n"/>
      <c r="P13536" s="20" t="n"/>
      <c r="Q13536" s="19" t="n"/>
      <c r="R13536" s="19" t="n"/>
      <c r="Y13536" s="19" t="n"/>
    </row>
    <row r="13537">
      <c r="C13537" s="18" t="n"/>
      <c r="J13537" s="19" t="n"/>
      <c r="P13537" s="20" t="n"/>
      <c r="Q13537" s="19" t="n"/>
      <c r="R13537" s="19" t="n"/>
      <c r="Y13537" s="19" t="n"/>
    </row>
    <row r="13538">
      <c r="C13538" s="18" t="n"/>
      <c r="J13538" s="19" t="n"/>
      <c r="P13538" s="20" t="n"/>
      <c r="Q13538" s="19" t="n"/>
      <c r="R13538" s="19" t="n"/>
      <c r="Y13538" s="19" t="n"/>
    </row>
    <row r="13539">
      <c r="C13539" s="18" t="n"/>
      <c r="J13539" s="19" t="n"/>
      <c r="P13539" s="20" t="n"/>
      <c r="Q13539" s="19" t="n"/>
      <c r="R13539" s="19" t="n"/>
      <c r="Y13539" s="19" t="n"/>
    </row>
    <row r="13540">
      <c r="C13540" s="18" t="n"/>
      <c r="J13540" s="19" t="n"/>
      <c r="P13540" s="20" t="n"/>
      <c r="Q13540" s="19" t="n"/>
      <c r="R13540" s="19" t="n"/>
      <c r="Y13540" s="19" t="n"/>
    </row>
    <row r="13541">
      <c r="C13541" s="18" t="n"/>
      <c r="J13541" s="19" t="n"/>
      <c r="P13541" s="20" t="n"/>
      <c r="Q13541" s="19" t="n"/>
      <c r="R13541" s="19" t="n"/>
      <c r="Y13541" s="19" t="n"/>
    </row>
    <row r="13542">
      <c r="C13542" s="18" t="n"/>
      <c r="J13542" s="19" t="n"/>
      <c r="P13542" s="20" t="n"/>
      <c r="Q13542" s="19" t="n"/>
      <c r="R13542" s="19" t="n"/>
      <c r="Y13542" s="19" t="n"/>
    </row>
    <row r="13543">
      <c r="C13543" s="18" t="n"/>
      <c r="J13543" s="19" t="n"/>
      <c r="P13543" s="20" t="n"/>
      <c r="Q13543" s="19" t="n"/>
      <c r="R13543" s="19" t="n"/>
      <c r="Y13543" s="19" t="n"/>
    </row>
    <row r="13544">
      <c r="C13544" s="18" t="n"/>
      <c r="J13544" s="19" t="n"/>
      <c r="P13544" s="20" t="n"/>
      <c r="Q13544" s="19" t="n"/>
      <c r="R13544" s="19" t="n"/>
      <c r="Y13544" s="19" t="n"/>
    </row>
    <row r="13545">
      <c r="C13545" s="18" t="n"/>
      <c r="J13545" s="19" t="n"/>
      <c r="P13545" s="20" t="n"/>
      <c r="Q13545" s="19" t="n"/>
      <c r="R13545" s="19" t="n"/>
      <c r="Y13545" s="19" t="n"/>
    </row>
    <row r="13546">
      <c r="C13546" s="18" t="n"/>
      <c r="J13546" s="19" t="n"/>
      <c r="P13546" s="20" t="n"/>
      <c r="Q13546" s="19" t="n"/>
      <c r="R13546" s="19" t="n"/>
      <c r="Y13546" s="19" t="n"/>
    </row>
    <row r="13547">
      <c r="C13547" s="18" t="n"/>
      <c r="J13547" s="19" t="n"/>
      <c r="P13547" s="20" t="n"/>
      <c r="Q13547" s="19" t="n"/>
      <c r="R13547" s="19" t="n"/>
      <c r="Y13547" s="19" t="n"/>
    </row>
    <row r="13548">
      <c r="C13548" s="18" t="n"/>
      <c r="J13548" s="19" t="n"/>
      <c r="P13548" s="20" t="n"/>
      <c r="Q13548" s="19" t="n"/>
      <c r="R13548" s="19" t="n"/>
      <c r="Y13548" s="19" t="n"/>
    </row>
    <row r="13549">
      <c r="C13549" s="18" t="n"/>
      <c r="J13549" s="19" t="n"/>
      <c r="P13549" s="20" t="n"/>
      <c r="Q13549" s="19" t="n"/>
      <c r="R13549" s="19" t="n"/>
      <c r="Y13549" s="19" t="n"/>
    </row>
    <row r="13550">
      <c r="C13550" s="18" t="n"/>
      <c r="J13550" s="19" t="n"/>
      <c r="P13550" s="20" t="n"/>
      <c r="Q13550" s="19" t="n"/>
      <c r="R13550" s="19" t="n"/>
      <c r="Y13550" s="19" t="n"/>
    </row>
    <row r="13551">
      <c r="C13551" s="18" t="n"/>
      <c r="J13551" s="19" t="n"/>
      <c r="P13551" s="20" t="n"/>
      <c r="Q13551" s="19" t="n"/>
      <c r="R13551" s="19" t="n"/>
      <c r="Y13551" s="19" t="n"/>
    </row>
    <row r="13552">
      <c r="C13552" s="18" t="n"/>
      <c r="J13552" s="19" t="n"/>
      <c r="P13552" s="20" t="n"/>
      <c r="Q13552" s="19" t="n"/>
      <c r="R13552" s="19" t="n"/>
      <c r="Y13552" s="19" t="n"/>
    </row>
    <row r="13553">
      <c r="C13553" s="18" t="n"/>
      <c r="J13553" s="19" t="n"/>
      <c r="P13553" s="20" t="n"/>
      <c r="Q13553" s="19" t="n"/>
      <c r="R13553" s="19" t="n"/>
      <c r="Y13553" s="19" t="n"/>
    </row>
    <row r="13554">
      <c r="C13554" s="18" t="n"/>
      <c r="J13554" s="19" t="n"/>
      <c r="P13554" s="20" t="n"/>
      <c r="Q13554" s="19" t="n"/>
      <c r="R13554" s="19" t="n"/>
      <c r="Y13554" s="19" t="n"/>
    </row>
    <row r="13555">
      <c r="C13555" s="18" t="n"/>
      <c r="J13555" s="19" t="n"/>
      <c r="P13555" s="20" t="n"/>
      <c r="Q13555" s="19" t="n"/>
      <c r="R13555" s="19" t="n"/>
      <c r="Y13555" s="19" t="n"/>
    </row>
    <row r="13556">
      <c r="C13556" s="18" t="n"/>
      <c r="J13556" s="19" t="n"/>
      <c r="P13556" s="20" t="n"/>
      <c r="Q13556" s="19" t="n"/>
      <c r="R13556" s="19" t="n"/>
      <c r="Y13556" s="19" t="n"/>
    </row>
    <row r="13557">
      <c r="C13557" s="18" t="n"/>
      <c r="J13557" s="19" t="n"/>
      <c r="P13557" s="20" t="n"/>
      <c r="Q13557" s="19" t="n"/>
      <c r="R13557" s="19" t="n"/>
      <c r="Y13557" s="19" t="n"/>
    </row>
    <row r="13558">
      <c r="C13558" s="18" t="n"/>
      <c r="J13558" s="19" t="n"/>
      <c r="P13558" s="20" t="n"/>
      <c r="Q13558" s="19" t="n"/>
      <c r="R13558" s="19" t="n"/>
      <c r="Y13558" s="19" t="n"/>
    </row>
    <row r="13559">
      <c r="C13559" s="18" t="n"/>
      <c r="J13559" s="19" t="n"/>
      <c r="P13559" s="20" t="n"/>
      <c r="Q13559" s="19" t="n"/>
      <c r="R13559" s="19" t="n"/>
      <c r="Y13559" s="19" t="n"/>
    </row>
    <row r="13560">
      <c r="C13560" s="18" t="n"/>
      <c r="J13560" s="19" t="n"/>
      <c r="P13560" s="20" t="n"/>
      <c r="Q13560" s="19" t="n"/>
      <c r="R13560" s="19" t="n"/>
      <c r="Y13560" s="19" t="n"/>
    </row>
    <row r="13561">
      <c r="C13561" s="18" t="n"/>
      <c r="J13561" s="19" t="n"/>
      <c r="P13561" s="20" t="n"/>
      <c r="Q13561" s="19" t="n"/>
      <c r="R13561" s="19" t="n"/>
      <c r="Y13561" s="19" t="n"/>
    </row>
    <row r="13562">
      <c r="C13562" s="18" t="n"/>
      <c r="J13562" s="19" t="n"/>
      <c r="P13562" s="20" t="n"/>
      <c r="Q13562" s="19" t="n"/>
      <c r="R13562" s="19" t="n"/>
      <c r="Y13562" s="19" t="n"/>
    </row>
    <row r="13563">
      <c r="C13563" s="18" t="n"/>
      <c r="J13563" s="19" t="n"/>
      <c r="P13563" s="20" t="n"/>
      <c r="Q13563" s="19" t="n"/>
      <c r="R13563" s="19" t="n"/>
      <c r="Y13563" s="19" t="n"/>
    </row>
    <row r="13564">
      <c r="C13564" s="18" t="n"/>
      <c r="J13564" s="19" t="n"/>
      <c r="P13564" s="20" t="n"/>
      <c r="Q13564" s="19" t="n"/>
      <c r="R13564" s="19" t="n"/>
      <c r="Y13564" s="19" t="n"/>
    </row>
    <row r="13565">
      <c r="C13565" s="18" t="n"/>
      <c r="J13565" s="19" t="n"/>
      <c r="P13565" s="20" t="n"/>
      <c r="Q13565" s="19" t="n"/>
      <c r="R13565" s="19" t="n"/>
      <c r="Y13565" s="19" t="n"/>
    </row>
    <row r="13566">
      <c r="C13566" s="18" t="n"/>
      <c r="J13566" s="19" t="n"/>
      <c r="P13566" s="20" t="n"/>
      <c r="Q13566" s="19" t="n"/>
      <c r="R13566" s="19" t="n"/>
      <c r="Y13566" s="19" t="n"/>
    </row>
    <row r="13567">
      <c r="C13567" s="18" t="n"/>
      <c r="J13567" s="19" t="n"/>
      <c r="P13567" s="20" t="n"/>
      <c r="Q13567" s="19" t="n"/>
      <c r="R13567" s="19" t="n"/>
      <c r="Y13567" s="19" t="n"/>
    </row>
    <row r="13568">
      <c r="C13568" s="18" t="n"/>
      <c r="J13568" s="19" t="n"/>
      <c r="P13568" s="20" t="n"/>
      <c r="Q13568" s="19" t="n"/>
      <c r="R13568" s="19" t="n"/>
      <c r="Y13568" s="19" t="n"/>
    </row>
    <row r="13569">
      <c r="C13569" s="18" t="n"/>
      <c r="J13569" s="19" t="n"/>
      <c r="P13569" s="20" t="n"/>
      <c r="Q13569" s="19" t="n"/>
      <c r="R13569" s="19" t="n"/>
      <c r="Y13569" s="19" t="n"/>
    </row>
    <row r="13570">
      <c r="C13570" s="18" t="n"/>
      <c r="J13570" s="19" t="n"/>
      <c r="P13570" s="20" t="n"/>
      <c r="Q13570" s="19" t="n"/>
      <c r="R13570" s="19" t="n"/>
      <c r="Y13570" s="19" t="n"/>
    </row>
    <row r="13571">
      <c r="C13571" s="18" t="n"/>
      <c r="J13571" s="19" t="n"/>
      <c r="P13571" s="20" t="n"/>
      <c r="Q13571" s="19" t="n"/>
      <c r="R13571" s="19" t="n"/>
      <c r="Y13571" s="19" t="n"/>
    </row>
    <row r="13572">
      <c r="C13572" s="18" t="n"/>
      <c r="J13572" s="19" t="n"/>
      <c r="P13572" s="20" t="n"/>
      <c r="Q13572" s="19" t="n"/>
      <c r="R13572" s="19" t="n"/>
      <c r="Y13572" s="19" t="n"/>
    </row>
    <row r="13573">
      <c r="C13573" s="18" t="n"/>
      <c r="J13573" s="19" t="n"/>
      <c r="P13573" s="20" t="n"/>
      <c r="Q13573" s="19" t="n"/>
      <c r="R13573" s="19" t="n"/>
      <c r="Y13573" s="19" t="n"/>
    </row>
    <row r="13574">
      <c r="C13574" s="18" t="n"/>
      <c r="J13574" s="19" t="n"/>
      <c r="P13574" s="20" t="n"/>
      <c r="Q13574" s="19" t="n"/>
      <c r="R13574" s="19" t="n"/>
      <c r="Y13574" s="19" t="n"/>
    </row>
    <row r="13575">
      <c r="C13575" s="18" t="n"/>
      <c r="J13575" s="19" t="n"/>
      <c r="P13575" s="20" t="n"/>
      <c r="Q13575" s="19" t="n"/>
      <c r="R13575" s="19" t="n"/>
      <c r="Y13575" s="19" t="n"/>
    </row>
    <row r="13576">
      <c r="C13576" s="18" t="n"/>
      <c r="J13576" s="19" t="n"/>
      <c r="P13576" s="20" t="n"/>
      <c r="Q13576" s="19" t="n"/>
      <c r="R13576" s="19" t="n"/>
      <c r="Y13576" s="19" t="n"/>
    </row>
    <row r="13577">
      <c r="C13577" s="18" t="n"/>
      <c r="J13577" s="19" t="n"/>
      <c r="P13577" s="20" t="n"/>
      <c r="Q13577" s="19" t="n"/>
      <c r="R13577" s="19" t="n"/>
      <c r="Y13577" s="19" t="n"/>
    </row>
    <row r="13578">
      <c r="C13578" s="18" t="n"/>
      <c r="J13578" s="19" t="n"/>
      <c r="P13578" s="20" t="n"/>
      <c r="Q13578" s="19" t="n"/>
      <c r="R13578" s="19" t="n"/>
      <c r="Y13578" s="19" t="n"/>
    </row>
    <row r="13579">
      <c r="C13579" s="18" t="n"/>
      <c r="J13579" s="19" t="n"/>
      <c r="P13579" s="20" t="n"/>
      <c r="Q13579" s="19" t="n"/>
      <c r="R13579" s="19" t="n"/>
      <c r="Y13579" s="19" t="n"/>
    </row>
    <row r="13580">
      <c r="C13580" s="18" t="n"/>
      <c r="J13580" s="19" t="n"/>
      <c r="P13580" s="20" t="n"/>
      <c r="Q13580" s="19" t="n"/>
      <c r="R13580" s="19" t="n"/>
      <c r="Y13580" s="19" t="n"/>
    </row>
    <row r="13581">
      <c r="C13581" s="18" t="n"/>
      <c r="J13581" s="19" t="n"/>
      <c r="P13581" s="20" t="n"/>
      <c r="Q13581" s="19" t="n"/>
      <c r="R13581" s="19" t="n"/>
      <c r="Y13581" s="19" t="n"/>
    </row>
    <row r="13582">
      <c r="C13582" s="18" t="n"/>
      <c r="J13582" s="19" t="n"/>
      <c r="P13582" s="20" t="n"/>
      <c r="Q13582" s="19" t="n"/>
      <c r="R13582" s="19" t="n"/>
      <c r="Y13582" s="19" t="n"/>
    </row>
    <row r="13583">
      <c r="C13583" s="18" t="n"/>
      <c r="J13583" s="19" t="n"/>
      <c r="P13583" s="20" t="n"/>
      <c r="Q13583" s="19" t="n"/>
      <c r="R13583" s="19" t="n"/>
      <c r="Y13583" s="19" t="n"/>
    </row>
    <row r="13584">
      <c r="C13584" s="18" t="n"/>
      <c r="J13584" s="19" t="n"/>
      <c r="P13584" s="20" t="n"/>
      <c r="Q13584" s="19" t="n"/>
      <c r="R13584" s="19" t="n"/>
      <c r="Y13584" s="19" t="n"/>
    </row>
    <row r="13585">
      <c r="C13585" s="18" t="n"/>
      <c r="J13585" s="19" t="n"/>
      <c r="P13585" s="20" t="n"/>
      <c r="Q13585" s="19" t="n"/>
      <c r="R13585" s="19" t="n"/>
      <c r="Y13585" s="19" t="n"/>
    </row>
    <row r="13586">
      <c r="C13586" s="18" t="n"/>
      <c r="J13586" s="19" t="n"/>
      <c r="P13586" s="20" t="n"/>
      <c r="Q13586" s="19" t="n"/>
      <c r="R13586" s="19" t="n"/>
      <c r="Y13586" s="19" t="n"/>
    </row>
    <row r="13587">
      <c r="C13587" s="18" t="n"/>
      <c r="J13587" s="19" t="n"/>
      <c r="P13587" s="20" t="n"/>
      <c r="Q13587" s="19" t="n"/>
      <c r="R13587" s="19" t="n"/>
      <c r="Y13587" s="19" t="n"/>
    </row>
    <row r="13588">
      <c r="C13588" s="18" t="n"/>
      <c r="J13588" s="19" t="n"/>
      <c r="P13588" s="20" t="n"/>
      <c r="Q13588" s="19" t="n"/>
      <c r="R13588" s="19" t="n"/>
      <c r="Y13588" s="19" t="n"/>
    </row>
    <row r="13589">
      <c r="C13589" s="18" t="n"/>
      <c r="J13589" s="19" t="n"/>
      <c r="P13589" s="20" t="n"/>
      <c r="Q13589" s="19" t="n"/>
      <c r="R13589" s="19" t="n"/>
      <c r="Y13589" s="19" t="n"/>
    </row>
    <row r="13590">
      <c r="C13590" s="18" t="n"/>
      <c r="J13590" s="19" t="n"/>
      <c r="P13590" s="20" t="n"/>
      <c r="Q13590" s="19" t="n"/>
      <c r="R13590" s="19" t="n"/>
      <c r="Y13590" s="19" t="n"/>
    </row>
    <row r="13591">
      <c r="C13591" s="18" t="n"/>
      <c r="J13591" s="19" t="n"/>
      <c r="P13591" s="20" t="n"/>
      <c r="Q13591" s="19" t="n"/>
      <c r="R13591" s="19" t="n"/>
      <c r="Y13591" s="19" t="n"/>
    </row>
    <row r="13592">
      <c r="C13592" s="18" t="n"/>
      <c r="J13592" s="19" t="n"/>
      <c r="P13592" s="20" t="n"/>
      <c r="Q13592" s="19" t="n"/>
      <c r="R13592" s="19" t="n"/>
      <c r="Y13592" s="19" t="n"/>
    </row>
    <row r="13593">
      <c r="C13593" s="18" t="n"/>
      <c r="J13593" s="19" t="n"/>
      <c r="P13593" s="20" t="n"/>
      <c r="Q13593" s="19" t="n"/>
      <c r="R13593" s="19" t="n"/>
      <c r="Y13593" s="19" t="n"/>
    </row>
    <row r="13594">
      <c r="C13594" s="18" t="n"/>
      <c r="J13594" s="19" t="n"/>
      <c r="P13594" s="20" t="n"/>
      <c r="Q13594" s="19" t="n"/>
      <c r="R13594" s="19" t="n"/>
      <c r="Y13594" s="19" t="n"/>
    </row>
    <row r="13595">
      <c r="C13595" s="18" t="n"/>
      <c r="J13595" s="19" t="n"/>
      <c r="P13595" s="20" t="n"/>
      <c r="Q13595" s="19" t="n"/>
      <c r="R13595" s="19" t="n"/>
      <c r="Y13595" s="19" t="n"/>
    </row>
    <row r="13596">
      <c r="C13596" s="18" t="n"/>
      <c r="J13596" s="19" t="n"/>
      <c r="P13596" s="20" t="n"/>
      <c r="Q13596" s="19" t="n"/>
      <c r="R13596" s="19" t="n"/>
      <c r="Y13596" s="19" t="n"/>
    </row>
    <row r="13597">
      <c r="C13597" s="18" t="n"/>
      <c r="J13597" s="19" t="n"/>
      <c r="P13597" s="20" t="n"/>
      <c r="Q13597" s="19" t="n"/>
      <c r="R13597" s="19" t="n"/>
      <c r="Y13597" s="19" t="n"/>
    </row>
    <row r="13598">
      <c r="C13598" s="18" t="n"/>
      <c r="J13598" s="19" t="n"/>
      <c r="P13598" s="20" t="n"/>
      <c r="Q13598" s="19" t="n"/>
      <c r="R13598" s="19" t="n"/>
      <c r="Y13598" s="19" t="n"/>
    </row>
    <row r="13599">
      <c r="C13599" s="18" t="n"/>
      <c r="J13599" s="19" t="n"/>
      <c r="P13599" s="20" t="n"/>
      <c r="Q13599" s="19" t="n"/>
      <c r="R13599" s="19" t="n"/>
      <c r="Y13599" s="19" t="n"/>
    </row>
    <row r="13600">
      <c r="C13600" s="18" t="n"/>
      <c r="J13600" s="19" t="n"/>
      <c r="P13600" s="20" t="n"/>
      <c r="Q13600" s="19" t="n"/>
      <c r="R13600" s="19" t="n"/>
      <c r="Y13600" s="19" t="n"/>
    </row>
    <row r="13601">
      <c r="C13601" s="18" t="n"/>
      <c r="J13601" s="19" t="n"/>
      <c r="P13601" s="20" t="n"/>
      <c r="Q13601" s="19" t="n"/>
      <c r="R13601" s="19" t="n"/>
      <c r="Y13601" s="19" t="n"/>
    </row>
    <row r="13602">
      <c r="C13602" s="18" t="n"/>
      <c r="J13602" s="19" t="n"/>
      <c r="P13602" s="20" t="n"/>
      <c r="Q13602" s="19" t="n"/>
      <c r="R13602" s="19" t="n"/>
      <c r="Y13602" s="19" t="n"/>
    </row>
    <row r="13603">
      <c r="C13603" s="18" t="n"/>
      <c r="J13603" s="19" t="n"/>
      <c r="P13603" s="20" t="n"/>
      <c r="Q13603" s="19" t="n"/>
      <c r="R13603" s="19" t="n"/>
      <c r="Y13603" s="19" t="n"/>
    </row>
    <row r="13604">
      <c r="C13604" s="18" t="n"/>
      <c r="J13604" s="19" t="n"/>
      <c r="P13604" s="20" t="n"/>
      <c r="Q13604" s="19" t="n"/>
      <c r="R13604" s="19" t="n"/>
      <c r="Y13604" s="19" t="n"/>
    </row>
    <row r="13605">
      <c r="C13605" s="18" t="n"/>
      <c r="J13605" s="19" t="n"/>
      <c r="P13605" s="20" t="n"/>
      <c r="Q13605" s="19" t="n"/>
      <c r="R13605" s="19" t="n"/>
      <c r="Y13605" s="19" t="n"/>
    </row>
    <row r="13606">
      <c r="C13606" s="18" t="n"/>
      <c r="J13606" s="19" t="n"/>
      <c r="P13606" s="20" t="n"/>
      <c r="Q13606" s="19" t="n"/>
      <c r="R13606" s="19" t="n"/>
      <c r="Y13606" s="19" t="n"/>
    </row>
    <row r="13607">
      <c r="C13607" s="18" t="n"/>
      <c r="J13607" s="19" t="n"/>
      <c r="P13607" s="20" t="n"/>
      <c r="Q13607" s="19" t="n"/>
      <c r="R13607" s="19" t="n"/>
      <c r="Y13607" s="19" t="n"/>
    </row>
    <row r="13608">
      <c r="C13608" s="18" t="n"/>
      <c r="J13608" s="19" t="n"/>
      <c r="P13608" s="20" t="n"/>
      <c r="Q13608" s="19" t="n"/>
      <c r="R13608" s="19" t="n"/>
      <c r="Y13608" s="19" t="n"/>
    </row>
    <row r="13609">
      <c r="C13609" s="18" t="n"/>
      <c r="J13609" s="19" t="n"/>
      <c r="P13609" s="20" t="n"/>
      <c r="Q13609" s="19" t="n"/>
      <c r="R13609" s="19" t="n"/>
      <c r="Y13609" s="19" t="n"/>
    </row>
    <row r="13610">
      <c r="C13610" s="18" t="n"/>
      <c r="J13610" s="19" t="n"/>
      <c r="P13610" s="20" t="n"/>
      <c r="Q13610" s="19" t="n"/>
      <c r="R13610" s="19" t="n"/>
      <c r="Y13610" s="19" t="n"/>
    </row>
    <row r="13611">
      <c r="C13611" s="18" t="n"/>
      <c r="J13611" s="19" t="n"/>
      <c r="P13611" s="20" t="n"/>
      <c r="Q13611" s="19" t="n"/>
      <c r="R13611" s="19" t="n"/>
      <c r="Y13611" s="19" t="n"/>
    </row>
    <row r="13612">
      <c r="C13612" s="18" t="n"/>
      <c r="J13612" s="19" t="n"/>
      <c r="P13612" s="20" t="n"/>
      <c r="Q13612" s="19" t="n"/>
      <c r="R13612" s="19" t="n"/>
      <c r="Y13612" s="19" t="n"/>
    </row>
    <row r="13613">
      <c r="C13613" s="18" t="n"/>
      <c r="J13613" s="19" t="n"/>
      <c r="P13613" s="20" t="n"/>
      <c r="Q13613" s="19" t="n"/>
      <c r="R13613" s="19" t="n"/>
      <c r="Y13613" s="19" t="n"/>
    </row>
    <row r="13614">
      <c r="C13614" s="18" t="n"/>
      <c r="J13614" s="19" t="n"/>
      <c r="P13614" s="20" t="n"/>
      <c r="Q13614" s="19" t="n"/>
      <c r="R13614" s="19" t="n"/>
      <c r="Y13614" s="19" t="n"/>
    </row>
    <row r="13615">
      <c r="C13615" s="18" t="n"/>
      <c r="J13615" s="19" t="n"/>
      <c r="P13615" s="20" t="n"/>
      <c r="Q13615" s="19" t="n"/>
      <c r="R13615" s="19" t="n"/>
      <c r="Y13615" s="19" t="n"/>
    </row>
    <row r="13616">
      <c r="C13616" s="18" t="n"/>
      <c r="J13616" s="19" t="n"/>
      <c r="P13616" s="20" t="n"/>
      <c r="Q13616" s="19" t="n"/>
      <c r="R13616" s="19" t="n"/>
      <c r="Y13616" s="19" t="n"/>
    </row>
    <row r="13617">
      <c r="C13617" s="18" t="n"/>
      <c r="J13617" s="19" t="n"/>
      <c r="P13617" s="20" t="n"/>
      <c r="Q13617" s="19" t="n"/>
      <c r="R13617" s="19" t="n"/>
      <c r="Y13617" s="19" t="n"/>
    </row>
    <row r="13618">
      <c r="C13618" s="18" t="n"/>
      <c r="J13618" s="19" t="n"/>
      <c r="P13618" s="20" t="n"/>
      <c r="Q13618" s="19" t="n"/>
      <c r="R13618" s="19" t="n"/>
      <c r="Y13618" s="19" t="n"/>
    </row>
    <row r="13619">
      <c r="C13619" s="18" t="n"/>
      <c r="J13619" s="19" t="n"/>
      <c r="P13619" s="20" t="n"/>
      <c r="Q13619" s="19" t="n"/>
      <c r="R13619" s="19" t="n"/>
      <c r="Y13619" s="19" t="n"/>
    </row>
    <row r="13620">
      <c r="C13620" s="18" t="n"/>
      <c r="J13620" s="19" t="n"/>
      <c r="P13620" s="20" t="n"/>
      <c r="Q13620" s="19" t="n"/>
      <c r="R13620" s="19" t="n"/>
      <c r="Y13620" s="19" t="n"/>
    </row>
    <row r="13621">
      <c r="C13621" s="18" t="n"/>
      <c r="J13621" s="19" t="n"/>
      <c r="P13621" s="20" t="n"/>
      <c r="Q13621" s="19" t="n"/>
      <c r="R13621" s="19" t="n"/>
      <c r="Y13621" s="19" t="n"/>
    </row>
    <row r="13622">
      <c r="C13622" s="18" t="n"/>
      <c r="J13622" s="19" t="n"/>
      <c r="P13622" s="20" t="n"/>
      <c r="Q13622" s="19" t="n"/>
      <c r="R13622" s="19" t="n"/>
      <c r="Y13622" s="19" t="n"/>
    </row>
    <row r="13623">
      <c r="C13623" s="18" t="n"/>
      <c r="J13623" s="19" t="n"/>
      <c r="P13623" s="20" t="n"/>
      <c r="Q13623" s="19" t="n"/>
      <c r="R13623" s="19" t="n"/>
      <c r="Y13623" s="19" t="n"/>
    </row>
    <row r="13624">
      <c r="C13624" s="18" t="n"/>
      <c r="J13624" s="19" t="n"/>
      <c r="P13624" s="20" t="n"/>
      <c r="Q13624" s="19" t="n"/>
      <c r="R13624" s="19" t="n"/>
      <c r="Y13624" s="19" t="n"/>
    </row>
    <row r="13625">
      <c r="C13625" s="18" t="n"/>
      <c r="J13625" s="19" t="n"/>
      <c r="P13625" s="20" t="n"/>
      <c r="Q13625" s="19" t="n"/>
      <c r="R13625" s="19" t="n"/>
      <c r="Y13625" s="19" t="n"/>
    </row>
    <row r="13626">
      <c r="C13626" s="18" t="n"/>
      <c r="J13626" s="19" t="n"/>
      <c r="P13626" s="20" t="n"/>
      <c r="Q13626" s="19" t="n"/>
      <c r="R13626" s="19" t="n"/>
      <c r="Y13626" s="19" t="n"/>
    </row>
    <row r="13627">
      <c r="C13627" s="18" t="n"/>
      <c r="J13627" s="19" t="n"/>
      <c r="P13627" s="20" t="n"/>
      <c r="Q13627" s="19" t="n"/>
      <c r="R13627" s="19" t="n"/>
      <c r="Y13627" s="19" t="n"/>
    </row>
    <row r="13628">
      <c r="C13628" s="18" t="n"/>
      <c r="J13628" s="19" t="n"/>
      <c r="P13628" s="20" t="n"/>
      <c r="Q13628" s="19" t="n"/>
      <c r="R13628" s="19" t="n"/>
      <c r="Y13628" s="19" t="n"/>
    </row>
    <row r="13629">
      <c r="C13629" s="18" t="n"/>
      <c r="J13629" s="19" t="n"/>
      <c r="P13629" s="20" t="n"/>
      <c r="Q13629" s="19" t="n"/>
      <c r="R13629" s="19" t="n"/>
      <c r="Y13629" s="19" t="n"/>
    </row>
    <row r="13630">
      <c r="C13630" s="18" t="n"/>
      <c r="J13630" s="19" t="n"/>
      <c r="P13630" s="20" t="n"/>
      <c r="Q13630" s="19" t="n"/>
      <c r="R13630" s="19" t="n"/>
      <c r="Y13630" s="19" t="n"/>
    </row>
    <row r="13631">
      <c r="C13631" s="18" t="n"/>
      <c r="J13631" s="19" t="n"/>
      <c r="P13631" s="20" t="n"/>
      <c r="Q13631" s="19" t="n"/>
      <c r="R13631" s="19" t="n"/>
      <c r="Y13631" s="19" t="n"/>
    </row>
    <row r="13632">
      <c r="C13632" s="18" t="n"/>
      <c r="J13632" s="19" t="n"/>
      <c r="P13632" s="20" t="n"/>
      <c r="Q13632" s="19" t="n"/>
      <c r="R13632" s="19" t="n"/>
      <c r="Y13632" s="19" t="n"/>
    </row>
    <row r="13633">
      <c r="C13633" s="18" t="n"/>
      <c r="J13633" s="19" t="n"/>
      <c r="P13633" s="20" t="n"/>
      <c r="Q13633" s="19" t="n"/>
      <c r="R13633" s="19" t="n"/>
      <c r="Y13633" s="19" t="n"/>
    </row>
    <row r="13634">
      <c r="C13634" s="18" t="n"/>
      <c r="J13634" s="19" t="n"/>
      <c r="P13634" s="20" t="n"/>
      <c r="Q13634" s="19" t="n"/>
      <c r="R13634" s="19" t="n"/>
      <c r="Y13634" s="19" t="n"/>
    </row>
    <row r="13635">
      <c r="C13635" s="18" t="n"/>
      <c r="J13635" s="19" t="n"/>
      <c r="P13635" s="20" t="n"/>
      <c r="Q13635" s="19" t="n"/>
      <c r="R13635" s="19" t="n"/>
      <c r="Y13635" s="19" t="n"/>
    </row>
    <row r="13636">
      <c r="C13636" s="18" t="n"/>
      <c r="J13636" s="19" t="n"/>
      <c r="P13636" s="20" t="n"/>
      <c r="Q13636" s="19" t="n"/>
      <c r="R13636" s="19" t="n"/>
      <c r="Y13636" s="19" t="n"/>
    </row>
    <row r="13637">
      <c r="C13637" s="18" t="n"/>
      <c r="J13637" s="19" t="n"/>
      <c r="P13637" s="20" t="n"/>
      <c r="Q13637" s="19" t="n"/>
      <c r="R13637" s="19" t="n"/>
      <c r="Y13637" s="19" t="n"/>
    </row>
    <row r="13638">
      <c r="C13638" s="18" t="n"/>
      <c r="J13638" s="19" t="n"/>
      <c r="P13638" s="20" t="n"/>
      <c r="Q13638" s="19" t="n"/>
      <c r="R13638" s="19" t="n"/>
      <c r="Y13638" s="19" t="n"/>
    </row>
    <row r="13639">
      <c r="C13639" s="18" t="n"/>
      <c r="J13639" s="19" t="n"/>
      <c r="P13639" s="20" t="n"/>
      <c r="Q13639" s="19" t="n"/>
      <c r="R13639" s="19" t="n"/>
      <c r="Y13639" s="19" t="n"/>
    </row>
    <row r="13640">
      <c r="C13640" s="18" t="n"/>
      <c r="J13640" s="19" t="n"/>
      <c r="P13640" s="20" t="n"/>
      <c r="Q13640" s="19" t="n"/>
      <c r="R13640" s="19" t="n"/>
      <c r="Y13640" s="19" t="n"/>
    </row>
    <row r="13641">
      <c r="C13641" s="18" t="n"/>
      <c r="J13641" s="19" t="n"/>
      <c r="P13641" s="20" t="n"/>
      <c r="Q13641" s="19" t="n"/>
      <c r="R13641" s="19" t="n"/>
      <c r="Y13641" s="19" t="n"/>
    </row>
    <row r="13642">
      <c r="C13642" s="18" t="n"/>
      <c r="J13642" s="19" t="n"/>
      <c r="P13642" s="20" t="n"/>
      <c r="Q13642" s="19" t="n"/>
      <c r="R13642" s="19" t="n"/>
      <c r="Y13642" s="19" t="n"/>
    </row>
    <row r="13643">
      <c r="C13643" s="18" t="n"/>
      <c r="J13643" s="19" t="n"/>
      <c r="P13643" s="20" t="n"/>
      <c r="Q13643" s="19" t="n"/>
      <c r="R13643" s="19" t="n"/>
      <c r="Y13643" s="19" t="n"/>
    </row>
    <row r="13644">
      <c r="C13644" s="18" t="n"/>
      <c r="J13644" s="19" t="n"/>
      <c r="P13644" s="20" t="n"/>
      <c r="Q13644" s="19" t="n"/>
      <c r="R13644" s="19" t="n"/>
      <c r="Y13644" s="19" t="n"/>
    </row>
    <row r="13645">
      <c r="C13645" s="18" t="n"/>
      <c r="J13645" s="19" t="n"/>
      <c r="P13645" s="20" t="n"/>
      <c r="Q13645" s="19" t="n"/>
      <c r="R13645" s="19" t="n"/>
      <c r="Y13645" s="19" t="n"/>
    </row>
    <row r="13646">
      <c r="C13646" s="18" t="n"/>
      <c r="J13646" s="19" t="n"/>
      <c r="P13646" s="20" t="n"/>
      <c r="Q13646" s="19" t="n"/>
      <c r="R13646" s="19" t="n"/>
      <c r="Y13646" s="19" t="n"/>
    </row>
    <row r="13647">
      <c r="C13647" s="18" t="n"/>
      <c r="J13647" s="19" t="n"/>
      <c r="P13647" s="20" t="n"/>
      <c r="Q13647" s="19" t="n"/>
      <c r="R13647" s="19" t="n"/>
      <c r="Y13647" s="19" t="n"/>
    </row>
    <row r="13648">
      <c r="C13648" s="18" t="n"/>
      <c r="J13648" s="19" t="n"/>
      <c r="P13648" s="20" t="n"/>
      <c r="Q13648" s="19" t="n"/>
      <c r="R13648" s="19" t="n"/>
      <c r="Y13648" s="19" t="n"/>
    </row>
    <row r="13649">
      <c r="C13649" s="18" t="n"/>
      <c r="J13649" s="19" t="n"/>
      <c r="P13649" s="20" t="n"/>
      <c r="Q13649" s="19" t="n"/>
      <c r="R13649" s="19" t="n"/>
      <c r="Y13649" s="19" t="n"/>
    </row>
    <row r="13650">
      <c r="C13650" s="18" t="n"/>
      <c r="J13650" s="19" t="n"/>
      <c r="P13650" s="20" t="n"/>
      <c r="Q13650" s="19" t="n"/>
      <c r="R13650" s="19" t="n"/>
      <c r="Y13650" s="19" t="n"/>
    </row>
    <row r="13651">
      <c r="C13651" s="18" t="n"/>
      <c r="J13651" s="19" t="n"/>
      <c r="P13651" s="20" t="n"/>
      <c r="Q13651" s="19" t="n"/>
      <c r="R13651" s="19" t="n"/>
      <c r="Y13651" s="19" t="n"/>
    </row>
    <row r="13652">
      <c r="C13652" s="18" t="n"/>
      <c r="J13652" s="19" t="n"/>
      <c r="P13652" s="20" t="n"/>
      <c r="Q13652" s="19" t="n"/>
      <c r="R13652" s="19" t="n"/>
      <c r="Y13652" s="19" t="n"/>
    </row>
    <row r="13653">
      <c r="C13653" s="18" t="n"/>
      <c r="J13653" s="19" t="n"/>
      <c r="P13653" s="20" t="n"/>
      <c r="Q13653" s="19" t="n"/>
      <c r="R13653" s="19" t="n"/>
      <c r="Y13653" s="19" t="n"/>
    </row>
    <row r="13654">
      <c r="C13654" s="18" t="n"/>
      <c r="J13654" s="19" t="n"/>
      <c r="P13654" s="20" t="n"/>
      <c r="Q13654" s="19" t="n"/>
      <c r="R13654" s="19" t="n"/>
      <c r="Y13654" s="19" t="n"/>
    </row>
    <row r="13655">
      <c r="C13655" s="18" t="n"/>
      <c r="J13655" s="19" t="n"/>
      <c r="P13655" s="20" t="n"/>
      <c r="Q13655" s="19" t="n"/>
      <c r="R13655" s="19" t="n"/>
      <c r="Y13655" s="19" t="n"/>
    </row>
    <row r="13656">
      <c r="C13656" s="18" t="n"/>
      <c r="J13656" s="19" t="n"/>
      <c r="P13656" s="20" t="n"/>
      <c r="Q13656" s="19" t="n"/>
      <c r="R13656" s="19" t="n"/>
      <c r="Y13656" s="19" t="n"/>
    </row>
    <row r="13657">
      <c r="C13657" s="18" t="n"/>
      <c r="J13657" s="19" t="n"/>
      <c r="P13657" s="20" t="n"/>
      <c r="Q13657" s="19" t="n"/>
      <c r="R13657" s="19" t="n"/>
      <c r="Y13657" s="19" t="n"/>
    </row>
    <row r="13658">
      <c r="C13658" s="18" t="n"/>
      <c r="J13658" s="19" t="n"/>
      <c r="P13658" s="20" t="n"/>
      <c r="Q13658" s="19" t="n"/>
      <c r="R13658" s="19" t="n"/>
      <c r="Y13658" s="19" t="n"/>
    </row>
    <row r="13659">
      <c r="C13659" s="18" t="n"/>
      <c r="J13659" s="19" t="n"/>
      <c r="P13659" s="20" t="n"/>
      <c r="Q13659" s="19" t="n"/>
      <c r="R13659" s="19" t="n"/>
      <c r="Y13659" s="19" t="n"/>
    </row>
    <row r="13660">
      <c r="C13660" s="18" t="n"/>
      <c r="J13660" s="19" t="n"/>
      <c r="P13660" s="20" t="n"/>
      <c r="Q13660" s="19" t="n"/>
      <c r="R13660" s="19" t="n"/>
      <c r="Y13660" s="19" t="n"/>
    </row>
    <row r="13661">
      <c r="C13661" s="18" t="n"/>
      <c r="J13661" s="19" t="n"/>
      <c r="P13661" s="20" t="n"/>
      <c r="Q13661" s="19" t="n"/>
      <c r="R13661" s="19" t="n"/>
      <c r="Y13661" s="19" t="n"/>
    </row>
    <row r="13662">
      <c r="C13662" s="18" t="n"/>
      <c r="J13662" s="19" t="n"/>
      <c r="P13662" s="20" t="n"/>
      <c r="Q13662" s="19" t="n"/>
      <c r="R13662" s="19" t="n"/>
      <c r="Y13662" s="19" t="n"/>
    </row>
    <row r="13663">
      <c r="C13663" s="18" t="n"/>
      <c r="J13663" s="19" t="n"/>
      <c r="P13663" s="20" t="n"/>
      <c r="Q13663" s="19" t="n"/>
      <c r="R13663" s="19" t="n"/>
      <c r="Y13663" s="19" t="n"/>
    </row>
    <row r="13664">
      <c r="C13664" s="18" t="n"/>
      <c r="J13664" s="19" t="n"/>
      <c r="P13664" s="20" t="n"/>
      <c r="Q13664" s="19" t="n"/>
      <c r="R13664" s="19" t="n"/>
      <c r="Y13664" s="19" t="n"/>
    </row>
    <row r="13665">
      <c r="C13665" s="18" t="n"/>
      <c r="J13665" s="19" t="n"/>
      <c r="P13665" s="20" t="n"/>
      <c r="Q13665" s="19" t="n"/>
      <c r="R13665" s="19" t="n"/>
      <c r="Y13665" s="19" t="n"/>
    </row>
    <row r="13666">
      <c r="C13666" s="18" t="n"/>
      <c r="J13666" s="19" t="n"/>
      <c r="P13666" s="20" t="n"/>
      <c r="Q13666" s="19" t="n"/>
      <c r="R13666" s="19" t="n"/>
      <c r="Y13666" s="19" t="n"/>
    </row>
    <row r="13667">
      <c r="C13667" s="18" t="n"/>
      <c r="J13667" s="19" t="n"/>
      <c r="P13667" s="20" t="n"/>
      <c r="Q13667" s="19" t="n"/>
      <c r="R13667" s="19" t="n"/>
      <c r="Y13667" s="19" t="n"/>
    </row>
    <row r="13668">
      <c r="C13668" s="18" t="n"/>
      <c r="J13668" s="19" t="n"/>
      <c r="P13668" s="20" t="n"/>
      <c r="Q13668" s="19" t="n"/>
      <c r="R13668" s="19" t="n"/>
      <c r="Y13668" s="19" t="n"/>
    </row>
    <row r="13669">
      <c r="C13669" s="18" t="n"/>
      <c r="J13669" s="19" t="n"/>
      <c r="P13669" s="20" t="n"/>
      <c r="Q13669" s="19" t="n"/>
      <c r="R13669" s="19" t="n"/>
      <c r="Y13669" s="19" t="n"/>
    </row>
    <row r="13670">
      <c r="C13670" s="18" t="n"/>
      <c r="J13670" s="19" t="n"/>
      <c r="P13670" s="20" t="n"/>
      <c r="Q13670" s="19" t="n"/>
      <c r="R13670" s="19" t="n"/>
      <c r="Y13670" s="19" t="n"/>
    </row>
    <row r="13671">
      <c r="C13671" s="18" t="n"/>
      <c r="J13671" s="19" t="n"/>
      <c r="P13671" s="20" t="n"/>
      <c r="Q13671" s="19" t="n"/>
      <c r="R13671" s="19" t="n"/>
      <c r="Y13671" s="19" t="n"/>
    </row>
    <row r="13672">
      <c r="C13672" s="18" t="n"/>
      <c r="J13672" s="19" t="n"/>
      <c r="P13672" s="20" t="n"/>
      <c r="Q13672" s="19" t="n"/>
      <c r="R13672" s="19" t="n"/>
      <c r="Y13672" s="19" t="n"/>
    </row>
    <row r="13673">
      <c r="C13673" s="18" t="n"/>
      <c r="J13673" s="19" t="n"/>
      <c r="P13673" s="20" t="n"/>
      <c r="Q13673" s="19" t="n"/>
      <c r="R13673" s="19" t="n"/>
      <c r="Y13673" s="19" t="n"/>
    </row>
    <row r="13674">
      <c r="C13674" s="18" t="n"/>
      <c r="J13674" s="19" t="n"/>
      <c r="P13674" s="20" t="n"/>
      <c r="Q13674" s="19" t="n"/>
      <c r="R13674" s="19" t="n"/>
      <c r="Y13674" s="19" t="n"/>
    </row>
    <row r="13675">
      <c r="C13675" s="18" t="n"/>
      <c r="J13675" s="19" t="n"/>
      <c r="P13675" s="20" t="n"/>
      <c r="Q13675" s="19" t="n"/>
      <c r="R13675" s="19" t="n"/>
      <c r="Y13675" s="19" t="n"/>
    </row>
    <row r="13676">
      <c r="C13676" s="18" t="n"/>
      <c r="J13676" s="19" t="n"/>
      <c r="P13676" s="20" t="n"/>
      <c r="Q13676" s="19" t="n"/>
      <c r="R13676" s="19" t="n"/>
      <c r="Y13676" s="19" t="n"/>
    </row>
    <row r="13677">
      <c r="C13677" s="18" t="n"/>
      <c r="J13677" s="19" t="n"/>
      <c r="P13677" s="20" t="n"/>
      <c r="Q13677" s="19" t="n"/>
      <c r="R13677" s="19" t="n"/>
      <c r="Y13677" s="19" t="n"/>
    </row>
    <row r="13678">
      <c r="C13678" s="18" t="n"/>
      <c r="J13678" s="19" t="n"/>
      <c r="P13678" s="20" t="n"/>
      <c r="Q13678" s="19" t="n"/>
      <c r="R13678" s="19" t="n"/>
      <c r="Y13678" s="19" t="n"/>
    </row>
    <row r="13679">
      <c r="C13679" s="18" t="n"/>
      <c r="J13679" s="19" t="n"/>
      <c r="P13679" s="20" t="n"/>
      <c r="Q13679" s="19" t="n"/>
      <c r="R13679" s="19" t="n"/>
      <c r="Y13679" s="19" t="n"/>
    </row>
    <row r="13680">
      <c r="C13680" s="18" t="n"/>
      <c r="J13680" s="19" t="n"/>
      <c r="P13680" s="20" t="n"/>
      <c r="Q13680" s="19" t="n"/>
      <c r="R13680" s="19" t="n"/>
      <c r="Y13680" s="19" t="n"/>
    </row>
    <row r="13681">
      <c r="C13681" s="18" t="n"/>
      <c r="J13681" s="19" t="n"/>
      <c r="P13681" s="20" t="n"/>
      <c r="Q13681" s="19" t="n"/>
      <c r="R13681" s="19" t="n"/>
      <c r="Y13681" s="19" t="n"/>
    </row>
    <row r="13682">
      <c r="C13682" s="18" t="n"/>
      <c r="J13682" s="19" t="n"/>
      <c r="P13682" s="20" t="n"/>
      <c r="Q13682" s="19" t="n"/>
      <c r="R13682" s="19" t="n"/>
      <c r="Y13682" s="19" t="n"/>
    </row>
    <row r="13683">
      <c r="C13683" s="18" t="n"/>
      <c r="J13683" s="19" t="n"/>
      <c r="P13683" s="20" t="n"/>
      <c r="Q13683" s="19" t="n"/>
      <c r="R13683" s="19" t="n"/>
      <c r="Y13683" s="19" t="n"/>
    </row>
    <row r="13684">
      <c r="C13684" s="18" t="n"/>
      <c r="J13684" s="19" t="n"/>
      <c r="P13684" s="20" t="n"/>
      <c r="Q13684" s="19" t="n"/>
      <c r="R13684" s="19" t="n"/>
      <c r="Y13684" s="19" t="n"/>
    </row>
    <row r="13685">
      <c r="C13685" s="18" t="n"/>
      <c r="J13685" s="19" t="n"/>
      <c r="P13685" s="20" t="n"/>
      <c r="Q13685" s="19" t="n"/>
      <c r="R13685" s="19" t="n"/>
      <c r="Y13685" s="19" t="n"/>
    </row>
    <row r="13686">
      <c r="C13686" s="18" t="n"/>
      <c r="J13686" s="19" t="n"/>
      <c r="P13686" s="20" t="n"/>
      <c r="Q13686" s="19" t="n"/>
      <c r="R13686" s="19" t="n"/>
      <c r="Y13686" s="19" t="n"/>
    </row>
    <row r="13687">
      <c r="C13687" s="18" t="n"/>
      <c r="J13687" s="19" t="n"/>
      <c r="P13687" s="20" t="n"/>
      <c r="Q13687" s="19" t="n"/>
      <c r="R13687" s="19" t="n"/>
      <c r="Y13687" s="19" t="n"/>
    </row>
    <row r="13688">
      <c r="C13688" s="18" t="n"/>
      <c r="J13688" s="19" t="n"/>
      <c r="P13688" s="20" t="n"/>
      <c r="Q13688" s="19" t="n"/>
      <c r="R13688" s="19" t="n"/>
      <c r="Y13688" s="19" t="n"/>
    </row>
    <row r="13689">
      <c r="C13689" s="18" t="n"/>
      <c r="J13689" s="19" t="n"/>
      <c r="P13689" s="20" t="n"/>
      <c r="Q13689" s="19" t="n"/>
      <c r="R13689" s="19" t="n"/>
      <c r="Y13689" s="19" t="n"/>
    </row>
    <row r="13690">
      <c r="C13690" s="18" t="n"/>
      <c r="J13690" s="19" t="n"/>
      <c r="P13690" s="20" t="n"/>
      <c r="Q13690" s="19" t="n"/>
      <c r="R13690" s="19" t="n"/>
      <c r="Y13690" s="19" t="n"/>
    </row>
    <row r="13691">
      <c r="C13691" s="18" t="n"/>
      <c r="J13691" s="19" t="n"/>
      <c r="P13691" s="20" t="n"/>
      <c r="Q13691" s="19" t="n"/>
      <c r="R13691" s="19" t="n"/>
      <c r="Y13691" s="19" t="n"/>
    </row>
    <row r="13692">
      <c r="C13692" s="18" t="n"/>
      <c r="J13692" s="19" t="n"/>
      <c r="P13692" s="20" t="n"/>
      <c r="Q13692" s="19" t="n"/>
      <c r="R13692" s="19" t="n"/>
      <c r="Y13692" s="19" t="n"/>
    </row>
    <row r="13693">
      <c r="C13693" s="18" t="n"/>
      <c r="J13693" s="19" t="n"/>
      <c r="P13693" s="20" t="n"/>
      <c r="Q13693" s="19" t="n"/>
      <c r="R13693" s="19" t="n"/>
      <c r="Y13693" s="19" t="n"/>
    </row>
    <row r="13694">
      <c r="C13694" s="18" t="n"/>
      <c r="J13694" s="19" t="n"/>
      <c r="P13694" s="20" t="n"/>
      <c r="Q13694" s="19" t="n"/>
      <c r="R13694" s="19" t="n"/>
      <c r="Y13694" s="19" t="n"/>
    </row>
    <row r="13695">
      <c r="C13695" s="18" t="n"/>
      <c r="J13695" s="19" t="n"/>
      <c r="P13695" s="20" t="n"/>
      <c r="Q13695" s="19" t="n"/>
      <c r="R13695" s="19" t="n"/>
      <c r="Y13695" s="19" t="n"/>
    </row>
    <row r="13696">
      <c r="C13696" s="18" t="n"/>
      <c r="J13696" s="19" t="n"/>
      <c r="P13696" s="20" t="n"/>
      <c r="Q13696" s="19" t="n"/>
      <c r="R13696" s="19" t="n"/>
      <c r="Y13696" s="19" t="n"/>
    </row>
    <row r="13697">
      <c r="C13697" s="18" t="n"/>
      <c r="J13697" s="19" t="n"/>
      <c r="P13697" s="20" t="n"/>
      <c r="Q13697" s="19" t="n"/>
      <c r="R13697" s="19" t="n"/>
      <c r="Y13697" s="19" t="n"/>
    </row>
    <row r="13698">
      <c r="C13698" s="18" t="n"/>
      <c r="J13698" s="19" t="n"/>
      <c r="P13698" s="20" t="n"/>
      <c r="Q13698" s="19" t="n"/>
      <c r="R13698" s="19" t="n"/>
      <c r="Y13698" s="19" t="n"/>
    </row>
    <row r="13699">
      <c r="C13699" s="18" t="n"/>
      <c r="J13699" s="19" t="n"/>
      <c r="P13699" s="20" t="n"/>
      <c r="Q13699" s="19" t="n"/>
      <c r="R13699" s="19" t="n"/>
      <c r="Y13699" s="19" t="n"/>
    </row>
    <row r="13700">
      <c r="C13700" s="18" t="n"/>
      <c r="J13700" s="19" t="n"/>
      <c r="P13700" s="20" t="n"/>
      <c r="Q13700" s="19" t="n"/>
      <c r="R13700" s="19" t="n"/>
      <c r="Y13700" s="19" t="n"/>
    </row>
    <row r="13701">
      <c r="C13701" s="18" t="n"/>
      <c r="J13701" s="19" t="n"/>
      <c r="P13701" s="20" t="n"/>
      <c r="Q13701" s="19" t="n"/>
      <c r="R13701" s="19" t="n"/>
      <c r="Y13701" s="19" t="n"/>
    </row>
    <row r="13702">
      <c r="C13702" s="18" t="n"/>
      <c r="J13702" s="19" t="n"/>
      <c r="P13702" s="20" t="n"/>
      <c r="Q13702" s="19" t="n"/>
      <c r="R13702" s="19" t="n"/>
      <c r="Y13702" s="19" t="n"/>
    </row>
    <row r="13703">
      <c r="C13703" s="18" t="n"/>
      <c r="J13703" s="19" t="n"/>
      <c r="P13703" s="20" t="n"/>
      <c r="Q13703" s="19" t="n"/>
      <c r="R13703" s="19" t="n"/>
      <c r="Y13703" s="19" t="n"/>
    </row>
    <row r="13704">
      <c r="C13704" s="18" t="n"/>
      <c r="J13704" s="19" t="n"/>
      <c r="P13704" s="20" t="n"/>
      <c r="Q13704" s="19" t="n"/>
      <c r="R13704" s="19" t="n"/>
      <c r="Y13704" s="19" t="n"/>
    </row>
    <row r="13705">
      <c r="C13705" s="18" t="n"/>
      <c r="J13705" s="19" t="n"/>
      <c r="P13705" s="20" t="n"/>
      <c r="Q13705" s="19" t="n"/>
      <c r="R13705" s="19" t="n"/>
      <c r="Y13705" s="19" t="n"/>
    </row>
    <row r="13706">
      <c r="C13706" s="18" t="n"/>
      <c r="J13706" s="19" t="n"/>
      <c r="P13706" s="20" t="n"/>
      <c r="Q13706" s="19" t="n"/>
      <c r="R13706" s="19" t="n"/>
      <c r="Y13706" s="19" t="n"/>
    </row>
    <row r="13707">
      <c r="C13707" s="18" t="n"/>
      <c r="J13707" s="19" t="n"/>
      <c r="P13707" s="20" t="n"/>
      <c r="Q13707" s="19" t="n"/>
      <c r="R13707" s="19" t="n"/>
      <c r="Y13707" s="19" t="n"/>
    </row>
    <row r="13708">
      <c r="C13708" s="18" t="n"/>
      <c r="J13708" s="19" t="n"/>
      <c r="P13708" s="20" t="n"/>
      <c r="Q13708" s="19" t="n"/>
      <c r="R13708" s="19" t="n"/>
      <c r="Y13708" s="19" t="n"/>
    </row>
    <row r="13709">
      <c r="C13709" s="18" t="n"/>
      <c r="J13709" s="19" t="n"/>
      <c r="P13709" s="20" t="n"/>
      <c r="Q13709" s="19" t="n"/>
      <c r="R13709" s="19" t="n"/>
      <c r="Y13709" s="19" t="n"/>
    </row>
    <row r="13710">
      <c r="C13710" s="18" t="n"/>
      <c r="J13710" s="19" t="n"/>
      <c r="P13710" s="20" t="n"/>
      <c r="Q13710" s="19" t="n"/>
      <c r="R13710" s="19" t="n"/>
      <c r="Y13710" s="19" t="n"/>
    </row>
    <row r="13711">
      <c r="C13711" s="18" t="n"/>
      <c r="J13711" s="19" t="n"/>
      <c r="P13711" s="20" t="n"/>
      <c r="Q13711" s="19" t="n"/>
      <c r="R13711" s="19" t="n"/>
      <c r="Y13711" s="19" t="n"/>
    </row>
    <row r="13712">
      <c r="C13712" s="18" t="n"/>
      <c r="J13712" s="19" t="n"/>
      <c r="P13712" s="20" t="n"/>
      <c r="Q13712" s="19" t="n"/>
      <c r="R13712" s="19" t="n"/>
      <c r="Y13712" s="19" t="n"/>
    </row>
    <row r="13713">
      <c r="C13713" s="18" t="n"/>
      <c r="J13713" s="19" t="n"/>
      <c r="P13713" s="20" t="n"/>
      <c r="Q13713" s="19" t="n"/>
      <c r="R13713" s="19" t="n"/>
      <c r="Y13713" s="19" t="n"/>
    </row>
    <row r="13714">
      <c r="C13714" s="18" t="n"/>
      <c r="J13714" s="19" t="n"/>
      <c r="P13714" s="20" t="n"/>
      <c r="Q13714" s="19" t="n"/>
      <c r="R13714" s="19" t="n"/>
      <c r="Y13714" s="19" t="n"/>
    </row>
    <row r="13715">
      <c r="C13715" s="18" t="n"/>
      <c r="J13715" s="19" t="n"/>
      <c r="P13715" s="20" t="n"/>
      <c r="Q13715" s="19" t="n"/>
      <c r="R13715" s="19" t="n"/>
      <c r="Y13715" s="19" t="n"/>
    </row>
    <row r="13716">
      <c r="C13716" s="18" t="n"/>
      <c r="J13716" s="19" t="n"/>
      <c r="P13716" s="20" t="n"/>
      <c r="Q13716" s="19" t="n"/>
      <c r="R13716" s="19" t="n"/>
      <c r="Y13716" s="19" t="n"/>
    </row>
    <row r="13717">
      <c r="C13717" s="18" t="n"/>
      <c r="J13717" s="19" t="n"/>
      <c r="P13717" s="20" t="n"/>
      <c r="Q13717" s="19" t="n"/>
      <c r="R13717" s="19" t="n"/>
      <c r="Y13717" s="19" t="n"/>
    </row>
    <row r="13718">
      <c r="C13718" s="18" t="n"/>
      <c r="J13718" s="19" t="n"/>
      <c r="P13718" s="20" t="n"/>
      <c r="Q13718" s="19" t="n"/>
      <c r="R13718" s="19" t="n"/>
      <c r="Y13718" s="19" t="n"/>
    </row>
    <row r="13719">
      <c r="C13719" s="18" t="n"/>
      <c r="J13719" s="19" t="n"/>
      <c r="P13719" s="20" t="n"/>
      <c r="Q13719" s="19" t="n"/>
      <c r="R13719" s="19" t="n"/>
      <c r="Y13719" s="19" t="n"/>
    </row>
    <row r="13720">
      <c r="C13720" s="18" t="n"/>
      <c r="J13720" s="19" t="n"/>
      <c r="P13720" s="20" t="n"/>
      <c r="Q13720" s="19" t="n"/>
      <c r="R13720" s="19" t="n"/>
      <c r="Y13720" s="19" t="n"/>
    </row>
    <row r="13721">
      <c r="C13721" s="18" t="n"/>
      <c r="J13721" s="19" t="n"/>
      <c r="P13721" s="20" t="n"/>
      <c r="Q13721" s="19" t="n"/>
      <c r="R13721" s="19" t="n"/>
      <c r="Y13721" s="19" t="n"/>
    </row>
    <row r="13722">
      <c r="C13722" s="18" t="n"/>
      <c r="J13722" s="19" t="n"/>
      <c r="P13722" s="20" t="n"/>
      <c r="Q13722" s="19" t="n"/>
      <c r="R13722" s="19" t="n"/>
      <c r="Y13722" s="19" t="n"/>
    </row>
    <row r="13723">
      <c r="C13723" s="18" t="n"/>
      <c r="J13723" s="19" t="n"/>
      <c r="P13723" s="20" t="n"/>
      <c r="Q13723" s="19" t="n"/>
      <c r="R13723" s="19" t="n"/>
      <c r="Y13723" s="19" t="n"/>
    </row>
    <row r="13724">
      <c r="C13724" s="18" t="n"/>
      <c r="J13724" s="19" t="n"/>
      <c r="P13724" s="20" t="n"/>
      <c r="Q13724" s="19" t="n"/>
      <c r="R13724" s="19" t="n"/>
      <c r="Y13724" s="19" t="n"/>
    </row>
    <row r="13725">
      <c r="C13725" s="18" t="n"/>
      <c r="J13725" s="19" t="n"/>
      <c r="P13725" s="20" t="n"/>
      <c r="Q13725" s="19" t="n"/>
      <c r="R13725" s="19" t="n"/>
      <c r="Y13725" s="19" t="n"/>
    </row>
    <row r="13726">
      <c r="C13726" s="18" t="n"/>
      <c r="J13726" s="19" t="n"/>
      <c r="P13726" s="20" t="n"/>
      <c r="Q13726" s="19" t="n"/>
      <c r="R13726" s="19" t="n"/>
      <c r="Y13726" s="19" t="n"/>
    </row>
    <row r="13727">
      <c r="C13727" s="18" t="n"/>
      <c r="J13727" s="19" t="n"/>
      <c r="P13727" s="20" t="n"/>
      <c r="Q13727" s="19" t="n"/>
      <c r="R13727" s="19" t="n"/>
      <c r="Y13727" s="19" t="n"/>
    </row>
    <row r="13728">
      <c r="C13728" s="18" t="n"/>
      <c r="J13728" s="19" t="n"/>
      <c r="P13728" s="20" t="n"/>
      <c r="Q13728" s="19" t="n"/>
      <c r="R13728" s="19" t="n"/>
      <c r="Y13728" s="19" t="n"/>
    </row>
    <row r="13729">
      <c r="C13729" s="18" t="n"/>
      <c r="J13729" s="19" t="n"/>
      <c r="P13729" s="20" t="n"/>
      <c r="Q13729" s="19" t="n"/>
      <c r="R13729" s="19" t="n"/>
      <c r="Y13729" s="19" t="n"/>
    </row>
    <row r="13730">
      <c r="C13730" s="18" t="n"/>
      <c r="J13730" s="19" t="n"/>
      <c r="P13730" s="20" t="n"/>
      <c r="Q13730" s="19" t="n"/>
      <c r="R13730" s="19" t="n"/>
      <c r="Y13730" s="19" t="n"/>
    </row>
    <row r="13731">
      <c r="C13731" s="18" t="n"/>
      <c r="J13731" s="19" t="n"/>
      <c r="P13731" s="20" t="n"/>
      <c r="Q13731" s="19" t="n"/>
      <c r="R13731" s="19" t="n"/>
      <c r="Y13731" s="19" t="n"/>
    </row>
    <row r="13732">
      <c r="C13732" s="18" t="n"/>
      <c r="J13732" s="19" t="n"/>
      <c r="P13732" s="20" t="n"/>
      <c r="Q13732" s="19" t="n"/>
      <c r="R13732" s="19" t="n"/>
      <c r="Y13732" s="19" t="n"/>
    </row>
    <row r="13733">
      <c r="C13733" s="18" t="n"/>
      <c r="J13733" s="19" t="n"/>
      <c r="P13733" s="20" t="n"/>
      <c r="Q13733" s="19" t="n"/>
      <c r="R13733" s="19" t="n"/>
      <c r="Y13733" s="19" t="n"/>
    </row>
    <row r="13734">
      <c r="C13734" s="18" t="n"/>
      <c r="J13734" s="19" t="n"/>
      <c r="P13734" s="20" t="n"/>
      <c r="Q13734" s="19" t="n"/>
      <c r="R13734" s="19" t="n"/>
      <c r="Y13734" s="19" t="n"/>
    </row>
    <row r="13735">
      <c r="C13735" s="18" t="n"/>
      <c r="J13735" s="19" t="n"/>
      <c r="P13735" s="20" t="n"/>
      <c r="Q13735" s="19" t="n"/>
      <c r="R13735" s="19" t="n"/>
      <c r="Y13735" s="19" t="n"/>
    </row>
    <row r="13736">
      <c r="C13736" s="18" t="n"/>
      <c r="J13736" s="19" t="n"/>
      <c r="P13736" s="20" t="n"/>
      <c r="Q13736" s="19" t="n"/>
      <c r="R13736" s="19" t="n"/>
      <c r="Y13736" s="19" t="n"/>
    </row>
    <row r="13737">
      <c r="C13737" s="18" t="n"/>
      <c r="J13737" s="19" t="n"/>
      <c r="P13737" s="20" t="n"/>
      <c r="Q13737" s="19" t="n"/>
      <c r="R13737" s="19" t="n"/>
      <c r="Y13737" s="19" t="n"/>
    </row>
    <row r="13738">
      <c r="C13738" s="18" t="n"/>
      <c r="J13738" s="19" t="n"/>
      <c r="P13738" s="20" t="n"/>
      <c r="Q13738" s="19" t="n"/>
      <c r="R13738" s="19" t="n"/>
      <c r="Y13738" s="19" t="n"/>
    </row>
    <row r="13739">
      <c r="C13739" s="18" t="n"/>
      <c r="J13739" s="19" t="n"/>
      <c r="P13739" s="20" t="n"/>
      <c r="Q13739" s="19" t="n"/>
      <c r="R13739" s="19" t="n"/>
      <c r="Y13739" s="19" t="n"/>
    </row>
    <row r="13740">
      <c r="C13740" s="18" t="n"/>
      <c r="J13740" s="19" t="n"/>
      <c r="P13740" s="20" t="n"/>
      <c r="Q13740" s="19" t="n"/>
      <c r="R13740" s="19" t="n"/>
      <c r="Y13740" s="19" t="n"/>
    </row>
    <row r="13741">
      <c r="C13741" s="18" t="n"/>
      <c r="J13741" s="19" t="n"/>
      <c r="P13741" s="20" t="n"/>
      <c r="Q13741" s="19" t="n"/>
      <c r="R13741" s="19" t="n"/>
      <c r="Y13741" s="19" t="n"/>
    </row>
    <row r="13742">
      <c r="C13742" s="18" t="n"/>
      <c r="J13742" s="19" t="n"/>
      <c r="P13742" s="20" t="n"/>
      <c r="Q13742" s="19" t="n"/>
      <c r="R13742" s="19" t="n"/>
      <c r="Y13742" s="19" t="n"/>
    </row>
    <row r="13743">
      <c r="C13743" s="18" t="n"/>
      <c r="J13743" s="19" t="n"/>
      <c r="P13743" s="20" t="n"/>
      <c r="Q13743" s="19" t="n"/>
      <c r="R13743" s="19" t="n"/>
      <c r="Y13743" s="19" t="n"/>
    </row>
    <row r="13744">
      <c r="C13744" s="18" t="n"/>
      <c r="J13744" s="19" t="n"/>
      <c r="P13744" s="20" t="n"/>
      <c r="Q13744" s="19" t="n"/>
      <c r="R13744" s="19" t="n"/>
      <c r="Y13744" s="19" t="n"/>
    </row>
    <row r="13745">
      <c r="C13745" s="18" t="n"/>
      <c r="J13745" s="19" t="n"/>
      <c r="P13745" s="20" t="n"/>
      <c r="Q13745" s="19" t="n"/>
      <c r="R13745" s="19" t="n"/>
      <c r="Y13745" s="19" t="n"/>
    </row>
    <row r="13746">
      <c r="C13746" s="18" t="n"/>
      <c r="J13746" s="19" t="n"/>
      <c r="P13746" s="20" t="n"/>
      <c r="Q13746" s="19" t="n"/>
      <c r="R13746" s="19" t="n"/>
      <c r="Y13746" s="19" t="n"/>
    </row>
    <row r="13747">
      <c r="C13747" s="18" t="n"/>
      <c r="J13747" s="19" t="n"/>
      <c r="P13747" s="20" t="n"/>
      <c r="Q13747" s="19" t="n"/>
      <c r="R13747" s="19" t="n"/>
      <c r="Y13747" s="19" t="n"/>
    </row>
    <row r="13748">
      <c r="C13748" s="18" t="n"/>
      <c r="J13748" s="19" t="n"/>
      <c r="P13748" s="20" t="n"/>
      <c r="Q13748" s="19" t="n"/>
      <c r="R13748" s="19" t="n"/>
      <c r="Y13748" s="19" t="n"/>
    </row>
    <row r="13749">
      <c r="C13749" s="18" t="n"/>
      <c r="J13749" s="19" t="n"/>
      <c r="P13749" s="20" t="n"/>
      <c r="Q13749" s="19" t="n"/>
      <c r="R13749" s="19" t="n"/>
      <c r="Y13749" s="19" t="n"/>
    </row>
    <row r="13750">
      <c r="C13750" s="18" t="n"/>
      <c r="J13750" s="19" t="n"/>
      <c r="P13750" s="20" t="n"/>
      <c r="Q13750" s="19" t="n"/>
      <c r="R13750" s="19" t="n"/>
      <c r="Y13750" s="19" t="n"/>
    </row>
    <row r="13751">
      <c r="C13751" s="18" t="n"/>
      <c r="J13751" s="19" t="n"/>
      <c r="P13751" s="20" t="n"/>
      <c r="Q13751" s="19" t="n"/>
      <c r="R13751" s="19" t="n"/>
      <c r="Y13751" s="19" t="n"/>
    </row>
    <row r="13752">
      <c r="C13752" s="18" t="n"/>
      <c r="J13752" s="19" t="n"/>
      <c r="P13752" s="20" t="n"/>
      <c r="Q13752" s="19" t="n"/>
      <c r="R13752" s="19" t="n"/>
      <c r="Y13752" s="19" t="n"/>
    </row>
    <row r="13753">
      <c r="C13753" s="18" t="n"/>
      <c r="J13753" s="19" t="n"/>
      <c r="P13753" s="20" t="n"/>
      <c r="Q13753" s="19" t="n"/>
      <c r="R13753" s="19" t="n"/>
      <c r="Y13753" s="19" t="n"/>
    </row>
    <row r="13754">
      <c r="C13754" s="18" t="n"/>
      <c r="J13754" s="19" t="n"/>
      <c r="P13754" s="20" t="n"/>
      <c r="Q13754" s="19" t="n"/>
      <c r="R13754" s="19" t="n"/>
      <c r="Y13754" s="19" t="n"/>
    </row>
    <row r="13755">
      <c r="C13755" s="18" t="n"/>
      <c r="J13755" s="19" t="n"/>
      <c r="P13755" s="20" t="n"/>
      <c r="Q13755" s="19" t="n"/>
      <c r="R13755" s="19" t="n"/>
      <c r="Y13755" s="19" t="n"/>
    </row>
    <row r="13756">
      <c r="C13756" s="18" t="n"/>
      <c r="J13756" s="19" t="n"/>
      <c r="P13756" s="20" t="n"/>
      <c r="Q13756" s="19" t="n"/>
      <c r="R13756" s="19" t="n"/>
      <c r="Y13756" s="19" t="n"/>
    </row>
    <row r="13757">
      <c r="C13757" s="18" t="n"/>
      <c r="J13757" s="19" t="n"/>
      <c r="P13757" s="20" t="n"/>
      <c r="Q13757" s="19" t="n"/>
      <c r="R13757" s="19" t="n"/>
      <c r="Y13757" s="19" t="n"/>
    </row>
    <row r="13758">
      <c r="C13758" s="18" t="n"/>
      <c r="J13758" s="19" t="n"/>
      <c r="P13758" s="20" t="n"/>
      <c r="Q13758" s="19" t="n"/>
      <c r="R13758" s="19" t="n"/>
      <c r="Y13758" s="19" t="n"/>
    </row>
    <row r="13759">
      <c r="C13759" s="18" t="n"/>
      <c r="J13759" s="19" t="n"/>
      <c r="P13759" s="20" t="n"/>
      <c r="Q13759" s="19" t="n"/>
      <c r="R13759" s="19" t="n"/>
      <c r="Y13759" s="19" t="n"/>
    </row>
    <row r="13760">
      <c r="C13760" s="18" t="n"/>
      <c r="J13760" s="19" t="n"/>
      <c r="P13760" s="20" t="n"/>
      <c r="Q13760" s="19" t="n"/>
      <c r="R13760" s="19" t="n"/>
      <c r="Y13760" s="19" t="n"/>
    </row>
    <row r="13761">
      <c r="C13761" s="18" t="n"/>
      <c r="J13761" s="19" t="n"/>
      <c r="P13761" s="20" t="n"/>
      <c r="Q13761" s="19" t="n"/>
      <c r="R13761" s="19" t="n"/>
      <c r="Y13761" s="19" t="n"/>
    </row>
    <row r="13762">
      <c r="C13762" s="18" t="n"/>
      <c r="J13762" s="19" t="n"/>
      <c r="P13762" s="20" t="n"/>
      <c r="Q13762" s="19" t="n"/>
      <c r="R13762" s="19" t="n"/>
      <c r="Y13762" s="19" t="n"/>
    </row>
    <row r="13763">
      <c r="C13763" s="18" t="n"/>
      <c r="J13763" s="19" t="n"/>
      <c r="P13763" s="20" t="n"/>
      <c r="Q13763" s="19" t="n"/>
      <c r="R13763" s="19" t="n"/>
      <c r="Y13763" s="19" t="n"/>
    </row>
    <row r="13764">
      <c r="C13764" s="18" t="n"/>
      <c r="J13764" s="19" t="n"/>
      <c r="P13764" s="20" t="n"/>
      <c r="Q13764" s="19" t="n"/>
      <c r="R13764" s="19" t="n"/>
      <c r="Y13764" s="19" t="n"/>
    </row>
    <row r="13765">
      <c r="C13765" s="18" t="n"/>
      <c r="J13765" s="19" t="n"/>
      <c r="P13765" s="20" t="n"/>
      <c r="Q13765" s="19" t="n"/>
      <c r="R13765" s="19" t="n"/>
      <c r="Y13765" s="19" t="n"/>
    </row>
    <row r="13766">
      <c r="C13766" s="18" t="n"/>
      <c r="J13766" s="19" t="n"/>
      <c r="P13766" s="20" t="n"/>
      <c r="Q13766" s="19" t="n"/>
      <c r="R13766" s="19" t="n"/>
      <c r="Y13766" s="19" t="n"/>
    </row>
    <row r="13767">
      <c r="C13767" s="18" t="n"/>
      <c r="J13767" s="19" t="n"/>
      <c r="P13767" s="20" t="n"/>
      <c r="Q13767" s="19" t="n"/>
      <c r="R13767" s="19" t="n"/>
      <c r="Y13767" s="19" t="n"/>
    </row>
    <row r="13768">
      <c r="C13768" s="18" t="n"/>
      <c r="J13768" s="19" t="n"/>
      <c r="P13768" s="20" t="n"/>
      <c r="Q13768" s="19" t="n"/>
      <c r="R13768" s="19" t="n"/>
      <c r="Y13768" s="19" t="n"/>
    </row>
    <row r="13769">
      <c r="C13769" s="18" t="n"/>
      <c r="J13769" s="19" t="n"/>
      <c r="P13769" s="20" t="n"/>
      <c r="Q13769" s="19" t="n"/>
      <c r="R13769" s="19" t="n"/>
      <c r="Y13769" s="19" t="n"/>
    </row>
    <row r="13770">
      <c r="C13770" s="18" t="n"/>
      <c r="J13770" s="19" t="n"/>
      <c r="P13770" s="20" t="n"/>
      <c r="Q13770" s="19" t="n"/>
      <c r="R13770" s="19" t="n"/>
      <c r="Y13770" s="19" t="n"/>
    </row>
    <row r="13771">
      <c r="C13771" s="18" t="n"/>
      <c r="J13771" s="19" t="n"/>
      <c r="P13771" s="20" t="n"/>
      <c r="Q13771" s="19" t="n"/>
      <c r="R13771" s="19" t="n"/>
      <c r="Y13771" s="19" t="n"/>
    </row>
    <row r="13772">
      <c r="C13772" s="18" t="n"/>
      <c r="J13772" s="19" t="n"/>
      <c r="P13772" s="20" t="n"/>
      <c r="Q13772" s="19" t="n"/>
      <c r="R13772" s="19" t="n"/>
      <c r="Y13772" s="19" t="n"/>
    </row>
    <row r="13773">
      <c r="C13773" s="18" t="n"/>
      <c r="J13773" s="19" t="n"/>
      <c r="P13773" s="20" t="n"/>
      <c r="Q13773" s="19" t="n"/>
      <c r="R13773" s="19" t="n"/>
      <c r="Y13773" s="19" t="n"/>
    </row>
    <row r="13774">
      <c r="C13774" s="18" t="n"/>
      <c r="J13774" s="19" t="n"/>
      <c r="P13774" s="20" t="n"/>
      <c r="Q13774" s="19" t="n"/>
      <c r="R13774" s="19" t="n"/>
      <c r="Y13774" s="19" t="n"/>
    </row>
    <row r="13775">
      <c r="C13775" s="18" t="n"/>
      <c r="J13775" s="19" t="n"/>
      <c r="P13775" s="20" t="n"/>
      <c r="Q13775" s="19" t="n"/>
      <c r="R13775" s="19" t="n"/>
      <c r="Y13775" s="19" t="n"/>
    </row>
    <row r="13776">
      <c r="C13776" s="18" t="n"/>
      <c r="J13776" s="19" t="n"/>
      <c r="P13776" s="20" t="n"/>
      <c r="Q13776" s="19" t="n"/>
      <c r="R13776" s="19" t="n"/>
      <c r="Y13776" s="19" t="n"/>
    </row>
    <row r="13777">
      <c r="C13777" s="18" t="n"/>
      <c r="J13777" s="19" t="n"/>
      <c r="P13777" s="20" t="n"/>
      <c r="Q13777" s="19" t="n"/>
      <c r="R13777" s="19" t="n"/>
      <c r="Y13777" s="19" t="n"/>
    </row>
    <row r="13778">
      <c r="C13778" s="18" t="n"/>
      <c r="J13778" s="19" t="n"/>
      <c r="P13778" s="20" t="n"/>
      <c r="Q13778" s="19" t="n"/>
      <c r="R13778" s="19" t="n"/>
      <c r="Y13778" s="19" t="n"/>
    </row>
    <row r="13779">
      <c r="C13779" s="18" t="n"/>
      <c r="J13779" s="19" t="n"/>
      <c r="P13779" s="20" t="n"/>
      <c r="Q13779" s="19" t="n"/>
      <c r="R13779" s="19" t="n"/>
      <c r="Y13779" s="19" t="n"/>
    </row>
    <row r="13780">
      <c r="C13780" s="18" t="n"/>
      <c r="J13780" s="19" t="n"/>
      <c r="P13780" s="20" t="n"/>
      <c r="Q13780" s="19" t="n"/>
      <c r="R13780" s="19" t="n"/>
      <c r="Y13780" s="19" t="n"/>
    </row>
    <row r="13781">
      <c r="C13781" s="18" t="n"/>
      <c r="J13781" s="19" t="n"/>
      <c r="P13781" s="20" t="n"/>
      <c r="Q13781" s="19" t="n"/>
      <c r="R13781" s="19" t="n"/>
      <c r="Y13781" s="19" t="n"/>
    </row>
    <row r="13782">
      <c r="C13782" s="18" t="n"/>
      <c r="J13782" s="19" t="n"/>
      <c r="P13782" s="20" t="n"/>
      <c r="Q13782" s="19" t="n"/>
      <c r="R13782" s="19" t="n"/>
      <c r="Y13782" s="19" t="n"/>
    </row>
    <row r="13783">
      <c r="C13783" s="18" t="n"/>
      <c r="J13783" s="19" t="n"/>
      <c r="P13783" s="20" t="n"/>
      <c r="Q13783" s="19" t="n"/>
      <c r="R13783" s="19" t="n"/>
      <c r="Y13783" s="19" t="n"/>
    </row>
    <row r="13784">
      <c r="C13784" s="18" t="n"/>
      <c r="J13784" s="19" t="n"/>
      <c r="P13784" s="20" t="n"/>
      <c r="Q13784" s="19" t="n"/>
      <c r="R13784" s="19" t="n"/>
      <c r="Y13784" s="19" t="n"/>
    </row>
    <row r="13785">
      <c r="C13785" s="18" t="n"/>
      <c r="J13785" s="19" t="n"/>
      <c r="P13785" s="20" t="n"/>
      <c r="Q13785" s="19" t="n"/>
      <c r="R13785" s="19" t="n"/>
      <c r="Y13785" s="19" t="n"/>
    </row>
    <row r="13786">
      <c r="C13786" s="18" t="n"/>
      <c r="J13786" s="19" t="n"/>
      <c r="P13786" s="20" t="n"/>
      <c r="Q13786" s="19" t="n"/>
      <c r="R13786" s="19" t="n"/>
      <c r="Y13786" s="19" t="n"/>
    </row>
    <row r="13787">
      <c r="C13787" s="18" t="n"/>
      <c r="J13787" s="19" t="n"/>
      <c r="P13787" s="20" t="n"/>
      <c r="Q13787" s="19" t="n"/>
      <c r="R13787" s="19" t="n"/>
      <c r="Y13787" s="19" t="n"/>
    </row>
    <row r="13788">
      <c r="C13788" s="18" t="n"/>
      <c r="J13788" s="19" t="n"/>
      <c r="P13788" s="20" t="n"/>
      <c r="Q13788" s="19" t="n"/>
      <c r="R13788" s="19" t="n"/>
      <c r="Y13788" s="19" t="n"/>
    </row>
    <row r="13789">
      <c r="C13789" s="18" t="n"/>
      <c r="J13789" s="19" t="n"/>
      <c r="P13789" s="20" t="n"/>
      <c r="Q13789" s="19" t="n"/>
      <c r="R13789" s="19" t="n"/>
      <c r="Y13789" s="19" t="n"/>
    </row>
    <row r="13790">
      <c r="C13790" s="18" t="n"/>
      <c r="J13790" s="19" t="n"/>
      <c r="P13790" s="20" t="n"/>
      <c r="Q13790" s="19" t="n"/>
      <c r="R13790" s="19" t="n"/>
      <c r="Y13790" s="19" t="n"/>
    </row>
    <row r="13791">
      <c r="C13791" s="18" t="n"/>
      <c r="J13791" s="19" t="n"/>
      <c r="P13791" s="20" t="n"/>
      <c r="Q13791" s="19" t="n"/>
      <c r="R13791" s="19" t="n"/>
      <c r="Y13791" s="19" t="n"/>
    </row>
    <row r="13792">
      <c r="C13792" s="18" t="n"/>
      <c r="J13792" s="19" t="n"/>
      <c r="P13792" s="20" t="n"/>
      <c r="Q13792" s="19" t="n"/>
      <c r="R13792" s="19" t="n"/>
      <c r="Y13792" s="19" t="n"/>
    </row>
    <row r="13793">
      <c r="C13793" s="18" t="n"/>
      <c r="J13793" s="19" t="n"/>
      <c r="P13793" s="20" t="n"/>
      <c r="Q13793" s="19" t="n"/>
      <c r="R13793" s="19" t="n"/>
      <c r="Y13793" s="19" t="n"/>
    </row>
    <row r="13794">
      <c r="C13794" s="18" t="n"/>
      <c r="J13794" s="19" t="n"/>
      <c r="P13794" s="20" t="n"/>
      <c r="Q13794" s="19" t="n"/>
      <c r="R13794" s="19" t="n"/>
      <c r="Y13794" s="19" t="n"/>
    </row>
    <row r="13795">
      <c r="C13795" s="18" t="n"/>
      <c r="J13795" s="19" t="n"/>
      <c r="P13795" s="20" t="n"/>
      <c r="Q13795" s="19" t="n"/>
      <c r="R13795" s="19" t="n"/>
      <c r="Y13795" s="19" t="n"/>
    </row>
    <row r="13796">
      <c r="C13796" s="18" t="n"/>
      <c r="J13796" s="19" t="n"/>
      <c r="P13796" s="20" t="n"/>
      <c r="Q13796" s="19" t="n"/>
      <c r="R13796" s="19" t="n"/>
      <c r="Y13796" s="19" t="n"/>
    </row>
    <row r="13797">
      <c r="C13797" s="18" t="n"/>
      <c r="J13797" s="19" t="n"/>
      <c r="P13797" s="20" t="n"/>
      <c r="Q13797" s="19" t="n"/>
      <c r="R13797" s="19" t="n"/>
      <c r="Y13797" s="19" t="n"/>
    </row>
    <row r="13798">
      <c r="C13798" s="18" t="n"/>
      <c r="J13798" s="19" t="n"/>
      <c r="P13798" s="20" t="n"/>
      <c r="Q13798" s="19" t="n"/>
      <c r="R13798" s="19" t="n"/>
      <c r="Y13798" s="19" t="n"/>
    </row>
    <row r="13799">
      <c r="C13799" s="18" t="n"/>
      <c r="J13799" s="19" t="n"/>
      <c r="P13799" s="20" t="n"/>
      <c r="Q13799" s="19" t="n"/>
      <c r="R13799" s="19" t="n"/>
      <c r="Y13799" s="19" t="n"/>
    </row>
    <row r="13800">
      <c r="C13800" s="18" t="n"/>
      <c r="J13800" s="19" t="n"/>
      <c r="P13800" s="20" t="n"/>
      <c r="Q13800" s="19" t="n"/>
      <c r="R13800" s="19" t="n"/>
      <c r="Y13800" s="19" t="n"/>
    </row>
    <row r="13801">
      <c r="C13801" s="18" t="n"/>
      <c r="J13801" s="19" t="n"/>
      <c r="P13801" s="20" t="n"/>
      <c r="Q13801" s="19" t="n"/>
      <c r="R13801" s="19" t="n"/>
      <c r="Y13801" s="19" t="n"/>
    </row>
    <row r="13802">
      <c r="C13802" s="18" t="n"/>
      <c r="J13802" s="19" t="n"/>
      <c r="P13802" s="20" t="n"/>
      <c r="Q13802" s="19" t="n"/>
      <c r="R13802" s="19" t="n"/>
      <c r="Y13802" s="19" t="n"/>
    </row>
    <row r="13803">
      <c r="C13803" s="18" t="n"/>
      <c r="J13803" s="19" t="n"/>
      <c r="P13803" s="20" t="n"/>
      <c r="Q13803" s="19" t="n"/>
      <c r="R13803" s="19" t="n"/>
      <c r="Y13803" s="19" t="n"/>
    </row>
    <row r="13804">
      <c r="C13804" s="18" t="n"/>
      <c r="J13804" s="19" t="n"/>
      <c r="P13804" s="20" t="n"/>
      <c r="Q13804" s="19" t="n"/>
      <c r="R13804" s="19" t="n"/>
      <c r="Y13804" s="19" t="n"/>
    </row>
    <row r="13805">
      <c r="C13805" s="18" t="n"/>
      <c r="J13805" s="19" t="n"/>
      <c r="P13805" s="20" t="n"/>
      <c r="Q13805" s="19" t="n"/>
      <c r="R13805" s="19" t="n"/>
      <c r="Y13805" s="19" t="n"/>
    </row>
    <row r="13806">
      <c r="C13806" s="18" t="n"/>
      <c r="J13806" s="19" t="n"/>
      <c r="P13806" s="20" t="n"/>
      <c r="Q13806" s="19" t="n"/>
      <c r="R13806" s="19" t="n"/>
      <c r="Y13806" s="19" t="n"/>
    </row>
    <row r="13807">
      <c r="C13807" s="18" t="n"/>
      <c r="J13807" s="19" t="n"/>
      <c r="P13807" s="20" t="n"/>
      <c r="Q13807" s="19" t="n"/>
      <c r="R13807" s="19" t="n"/>
      <c r="Y13807" s="19" t="n"/>
    </row>
    <row r="13808">
      <c r="C13808" s="18" t="n"/>
      <c r="J13808" s="19" t="n"/>
      <c r="P13808" s="20" t="n"/>
      <c r="Q13808" s="19" t="n"/>
      <c r="R13808" s="19" t="n"/>
      <c r="Y13808" s="19" t="n"/>
    </row>
    <row r="13809">
      <c r="C13809" s="18" t="n"/>
      <c r="J13809" s="19" t="n"/>
      <c r="P13809" s="20" t="n"/>
      <c r="Q13809" s="19" t="n"/>
      <c r="R13809" s="19" t="n"/>
      <c r="Y13809" s="19" t="n"/>
    </row>
    <row r="13810">
      <c r="C13810" s="18" t="n"/>
      <c r="J13810" s="19" t="n"/>
      <c r="P13810" s="20" t="n"/>
      <c r="Q13810" s="19" t="n"/>
      <c r="R13810" s="19" t="n"/>
      <c r="Y13810" s="19" t="n"/>
    </row>
    <row r="13811">
      <c r="C13811" s="18" t="n"/>
      <c r="J13811" s="19" t="n"/>
      <c r="P13811" s="20" t="n"/>
      <c r="Q13811" s="19" t="n"/>
      <c r="R13811" s="19" t="n"/>
      <c r="Y13811" s="19" t="n"/>
    </row>
    <row r="13812">
      <c r="C13812" s="18" t="n"/>
      <c r="J13812" s="19" t="n"/>
      <c r="P13812" s="20" t="n"/>
      <c r="Q13812" s="19" t="n"/>
      <c r="R13812" s="19" t="n"/>
      <c r="Y13812" s="19" t="n"/>
    </row>
    <row r="13813">
      <c r="C13813" s="18" t="n"/>
      <c r="J13813" s="19" t="n"/>
      <c r="P13813" s="20" t="n"/>
      <c r="Q13813" s="19" t="n"/>
      <c r="R13813" s="19" t="n"/>
      <c r="Y13813" s="19" t="n"/>
    </row>
    <row r="13814">
      <c r="C13814" s="18" t="n"/>
      <c r="J13814" s="19" t="n"/>
      <c r="P13814" s="20" t="n"/>
      <c r="Q13814" s="19" t="n"/>
      <c r="R13814" s="19" t="n"/>
      <c r="Y13814" s="19" t="n"/>
    </row>
    <row r="13815">
      <c r="C13815" s="18" t="n"/>
      <c r="J13815" s="19" t="n"/>
      <c r="P13815" s="20" t="n"/>
      <c r="Q13815" s="19" t="n"/>
      <c r="R13815" s="19" t="n"/>
      <c r="Y13815" s="19" t="n"/>
    </row>
    <row r="13816">
      <c r="C13816" s="18" t="n"/>
      <c r="J13816" s="19" t="n"/>
      <c r="P13816" s="20" t="n"/>
      <c r="Q13816" s="19" t="n"/>
      <c r="R13816" s="19" t="n"/>
      <c r="Y13816" s="19" t="n"/>
    </row>
    <row r="13817">
      <c r="C13817" s="18" t="n"/>
      <c r="J13817" s="19" t="n"/>
      <c r="P13817" s="20" t="n"/>
      <c r="Q13817" s="19" t="n"/>
      <c r="R13817" s="19" t="n"/>
      <c r="Y13817" s="19" t="n"/>
    </row>
    <row r="13818">
      <c r="C13818" s="18" t="n"/>
      <c r="J13818" s="19" t="n"/>
      <c r="P13818" s="20" t="n"/>
      <c r="Q13818" s="19" t="n"/>
      <c r="R13818" s="19" t="n"/>
      <c r="Y13818" s="19" t="n"/>
    </row>
    <row r="13819">
      <c r="C13819" s="18" t="n"/>
      <c r="J13819" s="19" t="n"/>
      <c r="P13819" s="20" t="n"/>
      <c r="Q13819" s="19" t="n"/>
      <c r="R13819" s="19" t="n"/>
      <c r="Y13819" s="19" t="n"/>
    </row>
    <row r="13820">
      <c r="C13820" s="18" t="n"/>
      <c r="J13820" s="19" t="n"/>
      <c r="P13820" s="20" t="n"/>
      <c r="Q13820" s="19" t="n"/>
      <c r="R13820" s="19" t="n"/>
      <c r="Y13820" s="19" t="n"/>
    </row>
    <row r="13821">
      <c r="C13821" s="18" t="n"/>
      <c r="J13821" s="19" t="n"/>
      <c r="P13821" s="20" t="n"/>
      <c r="Q13821" s="19" t="n"/>
      <c r="R13821" s="19" t="n"/>
      <c r="Y13821" s="19" t="n"/>
    </row>
    <row r="13822">
      <c r="C13822" s="18" t="n"/>
      <c r="J13822" s="19" t="n"/>
      <c r="P13822" s="20" t="n"/>
      <c r="Q13822" s="19" t="n"/>
      <c r="R13822" s="19" t="n"/>
      <c r="Y13822" s="19" t="n"/>
    </row>
    <row r="13823">
      <c r="C13823" s="18" t="n"/>
      <c r="J13823" s="19" t="n"/>
      <c r="P13823" s="20" t="n"/>
      <c r="Q13823" s="19" t="n"/>
      <c r="R13823" s="19" t="n"/>
      <c r="Y13823" s="19" t="n"/>
    </row>
    <row r="13824">
      <c r="C13824" s="18" t="n"/>
      <c r="J13824" s="19" t="n"/>
      <c r="P13824" s="20" t="n"/>
      <c r="Q13824" s="19" t="n"/>
      <c r="R13824" s="19" t="n"/>
      <c r="Y13824" s="19" t="n"/>
    </row>
    <row r="13825">
      <c r="C13825" s="18" t="n"/>
      <c r="J13825" s="19" t="n"/>
      <c r="P13825" s="20" t="n"/>
      <c r="Q13825" s="19" t="n"/>
      <c r="R13825" s="19" t="n"/>
      <c r="Y13825" s="19" t="n"/>
    </row>
    <row r="13826">
      <c r="C13826" s="18" t="n"/>
      <c r="J13826" s="19" t="n"/>
      <c r="P13826" s="20" t="n"/>
      <c r="Q13826" s="19" t="n"/>
      <c r="R13826" s="19" t="n"/>
      <c r="Y13826" s="19" t="n"/>
    </row>
    <row r="13827">
      <c r="C13827" s="18" t="n"/>
      <c r="J13827" s="19" t="n"/>
      <c r="P13827" s="20" t="n"/>
      <c r="Q13827" s="19" t="n"/>
      <c r="R13827" s="19" t="n"/>
      <c r="Y13827" s="19" t="n"/>
    </row>
    <row r="13828">
      <c r="C13828" s="18" t="n"/>
      <c r="J13828" s="19" t="n"/>
      <c r="P13828" s="20" t="n"/>
      <c r="Q13828" s="19" t="n"/>
      <c r="R13828" s="19" t="n"/>
      <c r="Y13828" s="19" t="n"/>
    </row>
    <row r="13829">
      <c r="C13829" s="18" t="n"/>
      <c r="J13829" s="19" t="n"/>
      <c r="P13829" s="20" t="n"/>
      <c r="Q13829" s="19" t="n"/>
      <c r="R13829" s="19" t="n"/>
      <c r="Y13829" s="19" t="n"/>
    </row>
    <row r="13830">
      <c r="C13830" s="18" t="n"/>
      <c r="J13830" s="19" t="n"/>
      <c r="P13830" s="20" t="n"/>
      <c r="Q13830" s="19" t="n"/>
      <c r="R13830" s="19" t="n"/>
      <c r="Y13830" s="19" t="n"/>
    </row>
    <row r="13831">
      <c r="C13831" s="18" t="n"/>
      <c r="J13831" s="19" t="n"/>
      <c r="P13831" s="20" t="n"/>
      <c r="Q13831" s="19" t="n"/>
      <c r="R13831" s="19" t="n"/>
      <c r="Y13831" s="19" t="n"/>
    </row>
    <row r="13832">
      <c r="C13832" s="18" t="n"/>
      <c r="J13832" s="19" t="n"/>
      <c r="P13832" s="20" t="n"/>
      <c r="Q13832" s="19" t="n"/>
      <c r="R13832" s="19" t="n"/>
      <c r="Y13832" s="19" t="n"/>
    </row>
    <row r="13833">
      <c r="C13833" s="18" t="n"/>
      <c r="J13833" s="19" t="n"/>
      <c r="P13833" s="20" t="n"/>
      <c r="Q13833" s="19" t="n"/>
      <c r="R13833" s="19" t="n"/>
      <c r="Y13833" s="19" t="n"/>
    </row>
    <row r="13834">
      <c r="C13834" s="18" t="n"/>
      <c r="J13834" s="19" t="n"/>
      <c r="P13834" s="20" t="n"/>
      <c r="Q13834" s="19" t="n"/>
      <c r="R13834" s="19" t="n"/>
      <c r="Y13834" s="19" t="n"/>
    </row>
    <row r="13835">
      <c r="C13835" s="18" t="n"/>
      <c r="J13835" s="19" t="n"/>
      <c r="P13835" s="20" t="n"/>
      <c r="Q13835" s="19" t="n"/>
      <c r="R13835" s="19" t="n"/>
      <c r="Y13835" s="19" t="n"/>
    </row>
    <row r="13836">
      <c r="C13836" s="18" t="n"/>
      <c r="J13836" s="19" t="n"/>
      <c r="P13836" s="20" t="n"/>
      <c r="Q13836" s="19" t="n"/>
      <c r="R13836" s="19" t="n"/>
      <c r="Y13836" s="19" t="n"/>
    </row>
    <row r="13837">
      <c r="C13837" s="18" t="n"/>
      <c r="J13837" s="19" t="n"/>
      <c r="P13837" s="20" t="n"/>
      <c r="Q13837" s="19" t="n"/>
      <c r="R13837" s="19" t="n"/>
      <c r="Y13837" s="19" t="n"/>
    </row>
    <row r="13838">
      <c r="C13838" s="18" t="n"/>
      <c r="J13838" s="19" t="n"/>
      <c r="P13838" s="20" t="n"/>
      <c r="Q13838" s="19" t="n"/>
      <c r="R13838" s="19" t="n"/>
      <c r="Y13838" s="19" t="n"/>
    </row>
    <row r="13839">
      <c r="C13839" s="18" t="n"/>
      <c r="J13839" s="19" t="n"/>
      <c r="P13839" s="20" t="n"/>
      <c r="Q13839" s="19" t="n"/>
      <c r="R13839" s="19" t="n"/>
      <c r="Y13839" s="19" t="n"/>
    </row>
    <row r="13840">
      <c r="C13840" s="18" t="n"/>
      <c r="J13840" s="19" t="n"/>
      <c r="P13840" s="20" t="n"/>
      <c r="Q13840" s="19" t="n"/>
      <c r="R13840" s="19" t="n"/>
      <c r="Y13840" s="19" t="n"/>
    </row>
    <row r="13841">
      <c r="C13841" s="18" t="n"/>
      <c r="J13841" s="19" t="n"/>
      <c r="P13841" s="20" t="n"/>
      <c r="Q13841" s="19" t="n"/>
      <c r="R13841" s="19" t="n"/>
      <c r="Y13841" s="19" t="n"/>
    </row>
    <row r="13842">
      <c r="C13842" s="18" t="n"/>
      <c r="J13842" s="19" t="n"/>
      <c r="P13842" s="20" t="n"/>
      <c r="Q13842" s="19" t="n"/>
      <c r="R13842" s="19" t="n"/>
      <c r="Y13842" s="19" t="n"/>
    </row>
    <row r="13843">
      <c r="C13843" s="18" t="n"/>
      <c r="J13843" s="19" t="n"/>
      <c r="P13843" s="20" t="n"/>
      <c r="Q13843" s="19" t="n"/>
      <c r="R13843" s="19" t="n"/>
      <c r="Y13843" s="19" t="n"/>
    </row>
    <row r="13844">
      <c r="C13844" s="18" t="n"/>
      <c r="J13844" s="19" t="n"/>
      <c r="P13844" s="20" t="n"/>
      <c r="Q13844" s="19" t="n"/>
      <c r="R13844" s="19" t="n"/>
      <c r="Y13844" s="19" t="n"/>
    </row>
    <row r="13845">
      <c r="C13845" s="18" t="n"/>
      <c r="J13845" s="19" t="n"/>
      <c r="P13845" s="20" t="n"/>
      <c r="Q13845" s="19" t="n"/>
      <c r="R13845" s="19" t="n"/>
      <c r="Y13845" s="19" t="n"/>
    </row>
    <row r="13846">
      <c r="C13846" s="18" t="n"/>
      <c r="J13846" s="19" t="n"/>
      <c r="P13846" s="20" t="n"/>
      <c r="Q13846" s="19" t="n"/>
      <c r="R13846" s="19" t="n"/>
      <c r="Y13846" s="19" t="n"/>
    </row>
    <row r="13847">
      <c r="C13847" s="18" t="n"/>
      <c r="J13847" s="19" t="n"/>
      <c r="P13847" s="20" t="n"/>
      <c r="Q13847" s="19" t="n"/>
      <c r="R13847" s="19" t="n"/>
      <c r="Y13847" s="19" t="n"/>
    </row>
    <row r="13848">
      <c r="C13848" s="18" t="n"/>
      <c r="J13848" s="19" t="n"/>
      <c r="P13848" s="20" t="n"/>
      <c r="Q13848" s="19" t="n"/>
      <c r="R13848" s="19" t="n"/>
      <c r="Y13848" s="19" t="n"/>
    </row>
    <row r="13849">
      <c r="C13849" s="18" t="n"/>
      <c r="J13849" s="19" t="n"/>
      <c r="P13849" s="20" t="n"/>
      <c r="Q13849" s="19" t="n"/>
      <c r="R13849" s="19" t="n"/>
      <c r="Y13849" s="19" t="n"/>
    </row>
    <row r="13850">
      <c r="C13850" s="18" t="n"/>
      <c r="J13850" s="19" t="n"/>
      <c r="P13850" s="20" t="n"/>
      <c r="Q13850" s="19" t="n"/>
      <c r="R13850" s="19" t="n"/>
      <c r="Y13850" s="19" t="n"/>
    </row>
    <row r="13851">
      <c r="C13851" s="18" t="n"/>
      <c r="J13851" s="19" t="n"/>
      <c r="P13851" s="20" t="n"/>
      <c r="Q13851" s="19" t="n"/>
      <c r="R13851" s="19" t="n"/>
      <c r="Y13851" s="19" t="n"/>
    </row>
    <row r="13852">
      <c r="C13852" s="18" t="n"/>
      <c r="J13852" s="19" t="n"/>
      <c r="P13852" s="20" t="n"/>
      <c r="Q13852" s="19" t="n"/>
      <c r="R13852" s="19" t="n"/>
      <c r="Y13852" s="19" t="n"/>
    </row>
    <row r="13853">
      <c r="C13853" s="18" t="n"/>
      <c r="J13853" s="19" t="n"/>
      <c r="P13853" s="20" t="n"/>
      <c r="Q13853" s="19" t="n"/>
      <c r="R13853" s="19" t="n"/>
      <c r="Y13853" s="19" t="n"/>
    </row>
    <row r="13854">
      <c r="C13854" s="18" t="n"/>
      <c r="J13854" s="19" t="n"/>
      <c r="P13854" s="20" t="n"/>
      <c r="Q13854" s="19" t="n"/>
      <c r="R13854" s="19" t="n"/>
      <c r="Y13854" s="19" t="n"/>
    </row>
    <row r="13855">
      <c r="C13855" s="18" t="n"/>
      <c r="J13855" s="19" t="n"/>
      <c r="P13855" s="20" t="n"/>
      <c r="Q13855" s="19" t="n"/>
      <c r="R13855" s="19" t="n"/>
      <c r="Y13855" s="19" t="n"/>
    </row>
    <row r="13856">
      <c r="C13856" s="18" t="n"/>
      <c r="J13856" s="19" t="n"/>
      <c r="P13856" s="20" t="n"/>
      <c r="Q13856" s="19" t="n"/>
      <c r="R13856" s="19" t="n"/>
      <c r="Y13856" s="19" t="n"/>
    </row>
    <row r="13857">
      <c r="C13857" s="18" t="n"/>
      <c r="J13857" s="19" t="n"/>
      <c r="P13857" s="20" t="n"/>
      <c r="Q13857" s="19" t="n"/>
      <c r="R13857" s="19" t="n"/>
      <c r="Y13857" s="19" t="n"/>
    </row>
    <row r="13858">
      <c r="C13858" s="18" t="n"/>
      <c r="J13858" s="19" t="n"/>
      <c r="P13858" s="20" t="n"/>
      <c r="Q13858" s="19" t="n"/>
      <c r="R13858" s="19" t="n"/>
      <c r="Y13858" s="19" t="n"/>
    </row>
    <row r="13859">
      <c r="C13859" s="18" t="n"/>
      <c r="J13859" s="19" t="n"/>
      <c r="P13859" s="20" t="n"/>
      <c r="Q13859" s="19" t="n"/>
      <c r="R13859" s="19" t="n"/>
      <c r="Y13859" s="19" t="n"/>
    </row>
    <row r="13860">
      <c r="C13860" s="18" t="n"/>
      <c r="J13860" s="19" t="n"/>
      <c r="P13860" s="20" t="n"/>
      <c r="Q13860" s="19" t="n"/>
      <c r="R13860" s="19" t="n"/>
      <c r="Y13860" s="19" t="n"/>
    </row>
    <row r="13861">
      <c r="C13861" s="18" t="n"/>
      <c r="J13861" s="19" t="n"/>
      <c r="P13861" s="20" t="n"/>
      <c r="Q13861" s="19" t="n"/>
      <c r="R13861" s="19" t="n"/>
      <c r="Y13861" s="19" t="n"/>
    </row>
    <row r="13862">
      <c r="C13862" s="18" t="n"/>
      <c r="J13862" s="19" t="n"/>
      <c r="P13862" s="20" t="n"/>
      <c r="Q13862" s="19" t="n"/>
      <c r="R13862" s="19" t="n"/>
      <c r="Y13862" s="19" t="n"/>
    </row>
    <row r="13863">
      <c r="C13863" s="18" t="n"/>
      <c r="J13863" s="19" t="n"/>
      <c r="P13863" s="20" t="n"/>
      <c r="Q13863" s="19" t="n"/>
      <c r="R13863" s="19" t="n"/>
      <c r="Y13863" s="19" t="n"/>
    </row>
    <row r="13864">
      <c r="C13864" s="18" t="n"/>
      <c r="J13864" s="19" t="n"/>
      <c r="P13864" s="20" t="n"/>
      <c r="Q13864" s="19" t="n"/>
      <c r="R13864" s="19" t="n"/>
      <c r="Y13864" s="19" t="n"/>
    </row>
    <row r="13865">
      <c r="C13865" s="18" t="n"/>
      <c r="J13865" s="19" t="n"/>
      <c r="P13865" s="20" t="n"/>
      <c r="Q13865" s="19" t="n"/>
      <c r="R13865" s="19" t="n"/>
      <c r="Y13865" s="19" t="n"/>
    </row>
    <row r="13866">
      <c r="C13866" s="18" t="n"/>
      <c r="J13866" s="19" t="n"/>
      <c r="P13866" s="20" t="n"/>
      <c r="Q13866" s="19" t="n"/>
      <c r="R13866" s="19" t="n"/>
      <c r="Y13866" s="19" t="n"/>
    </row>
    <row r="13867">
      <c r="C13867" s="18" t="n"/>
      <c r="J13867" s="19" t="n"/>
      <c r="P13867" s="20" t="n"/>
      <c r="Q13867" s="19" t="n"/>
      <c r="R13867" s="19" t="n"/>
      <c r="Y13867" s="19" t="n"/>
    </row>
    <row r="13868">
      <c r="C13868" s="18" t="n"/>
      <c r="J13868" s="19" t="n"/>
      <c r="P13868" s="20" t="n"/>
      <c r="Q13868" s="19" t="n"/>
      <c r="R13868" s="19" t="n"/>
      <c r="Y13868" s="19" t="n"/>
    </row>
    <row r="13869">
      <c r="C13869" s="18" t="n"/>
      <c r="J13869" s="19" t="n"/>
      <c r="P13869" s="20" t="n"/>
      <c r="Q13869" s="19" t="n"/>
      <c r="R13869" s="19" t="n"/>
      <c r="Y13869" s="19" t="n"/>
    </row>
    <row r="13870">
      <c r="C13870" s="18" t="n"/>
      <c r="J13870" s="19" t="n"/>
      <c r="P13870" s="20" t="n"/>
      <c r="Q13870" s="19" t="n"/>
      <c r="R13870" s="19" t="n"/>
      <c r="Y13870" s="19" t="n"/>
    </row>
    <row r="13871">
      <c r="C13871" s="18" t="n"/>
      <c r="J13871" s="19" t="n"/>
      <c r="P13871" s="20" t="n"/>
      <c r="Q13871" s="19" t="n"/>
      <c r="R13871" s="19" t="n"/>
      <c r="Y13871" s="19" t="n"/>
    </row>
    <row r="13872">
      <c r="C13872" s="18" t="n"/>
      <c r="J13872" s="19" t="n"/>
      <c r="P13872" s="20" t="n"/>
      <c r="Q13872" s="19" t="n"/>
      <c r="R13872" s="19" t="n"/>
      <c r="Y13872" s="19" t="n"/>
    </row>
    <row r="13873">
      <c r="C13873" s="18" t="n"/>
      <c r="J13873" s="19" t="n"/>
      <c r="P13873" s="20" t="n"/>
      <c r="Q13873" s="19" t="n"/>
      <c r="R13873" s="19" t="n"/>
      <c r="Y13873" s="19" t="n"/>
    </row>
    <row r="13874">
      <c r="C13874" s="18" t="n"/>
      <c r="J13874" s="19" t="n"/>
      <c r="P13874" s="20" t="n"/>
      <c r="Q13874" s="19" t="n"/>
      <c r="R13874" s="19" t="n"/>
      <c r="Y13874" s="19" t="n"/>
    </row>
    <row r="13875">
      <c r="C13875" s="18" t="n"/>
      <c r="J13875" s="19" t="n"/>
      <c r="P13875" s="20" t="n"/>
      <c r="Q13875" s="19" t="n"/>
      <c r="R13875" s="19" t="n"/>
      <c r="Y13875" s="19" t="n"/>
    </row>
    <row r="13876">
      <c r="C13876" s="18" t="n"/>
      <c r="J13876" s="19" t="n"/>
      <c r="P13876" s="20" t="n"/>
      <c r="Q13876" s="19" t="n"/>
      <c r="R13876" s="19" t="n"/>
      <c r="Y13876" s="19" t="n"/>
    </row>
    <row r="13877">
      <c r="C13877" s="18" t="n"/>
      <c r="J13877" s="19" t="n"/>
      <c r="P13877" s="20" t="n"/>
      <c r="Q13877" s="19" t="n"/>
      <c r="R13877" s="19" t="n"/>
      <c r="Y13877" s="19" t="n"/>
    </row>
    <row r="13878">
      <c r="C13878" s="18" t="n"/>
      <c r="J13878" s="19" t="n"/>
      <c r="P13878" s="20" t="n"/>
      <c r="Q13878" s="19" t="n"/>
      <c r="R13878" s="19" t="n"/>
      <c r="Y13878" s="19" t="n"/>
    </row>
    <row r="13879">
      <c r="C13879" s="18" t="n"/>
      <c r="J13879" s="19" t="n"/>
      <c r="P13879" s="20" t="n"/>
      <c r="Q13879" s="19" t="n"/>
      <c r="R13879" s="19" t="n"/>
      <c r="Y13879" s="19" t="n"/>
    </row>
    <row r="13880">
      <c r="C13880" s="18" t="n"/>
      <c r="J13880" s="19" t="n"/>
      <c r="P13880" s="20" t="n"/>
      <c r="Q13880" s="19" t="n"/>
      <c r="R13880" s="19" t="n"/>
      <c r="Y13880" s="19" t="n"/>
    </row>
    <row r="13881">
      <c r="C13881" s="18" t="n"/>
      <c r="J13881" s="19" t="n"/>
      <c r="P13881" s="20" t="n"/>
      <c r="Q13881" s="19" t="n"/>
      <c r="R13881" s="19" t="n"/>
      <c r="Y13881" s="19" t="n"/>
    </row>
    <row r="13882">
      <c r="C13882" s="18" t="n"/>
      <c r="J13882" s="19" t="n"/>
      <c r="P13882" s="20" t="n"/>
      <c r="Q13882" s="19" t="n"/>
      <c r="R13882" s="19" t="n"/>
      <c r="Y13882" s="19" t="n"/>
    </row>
    <row r="13883">
      <c r="C13883" s="18" t="n"/>
      <c r="J13883" s="19" t="n"/>
      <c r="P13883" s="20" t="n"/>
      <c r="Q13883" s="19" t="n"/>
      <c r="R13883" s="19" t="n"/>
      <c r="Y13883" s="19" t="n"/>
    </row>
    <row r="13884">
      <c r="C13884" s="18" t="n"/>
      <c r="J13884" s="19" t="n"/>
      <c r="P13884" s="20" t="n"/>
      <c r="Q13884" s="19" t="n"/>
      <c r="R13884" s="19" t="n"/>
      <c r="Y13884" s="19" t="n"/>
    </row>
    <row r="13885">
      <c r="C13885" s="18" t="n"/>
      <c r="J13885" s="19" t="n"/>
      <c r="P13885" s="20" t="n"/>
      <c r="Q13885" s="19" t="n"/>
      <c r="R13885" s="19" t="n"/>
      <c r="Y13885" s="19" t="n"/>
    </row>
    <row r="13886">
      <c r="C13886" s="18" t="n"/>
      <c r="J13886" s="19" t="n"/>
      <c r="P13886" s="20" t="n"/>
      <c r="Q13886" s="19" t="n"/>
      <c r="R13886" s="19" t="n"/>
      <c r="Y13886" s="19" t="n"/>
    </row>
    <row r="13887">
      <c r="C13887" s="18" t="n"/>
      <c r="J13887" s="19" t="n"/>
      <c r="P13887" s="20" t="n"/>
      <c r="Q13887" s="19" t="n"/>
      <c r="R13887" s="19" t="n"/>
      <c r="Y13887" s="19" t="n"/>
    </row>
    <row r="13888">
      <c r="C13888" s="18" t="n"/>
      <c r="J13888" s="19" t="n"/>
      <c r="P13888" s="20" t="n"/>
      <c r="Q13888" s="19" t="n"/>
      <c r="R13888" s="19" t="n"/>
      <c r="Y13888" s="19" t="n"/>
    </row>
    <row r="13889">
      <c r="C13889" s="18" t="n"/>
      <c r="J13889" s="19" t="n"/>
      <c r="P13889" s="20" t="n"/>
      <c r="Q13889" s="19" t="n"/>
      <c r="R13889" s="19" t="n"/>
      <c r="Y13889" s="19" t="n"/>
    </row>
    <row r="13890">
      <c r="C13890" s="18" t="n"/>
      <c r="J13890" s="19" t="n"/>
      <c r="P13890" s="20" t="n"/>
      <c r="Q13890" s="19" t="n"/>
      <c r="R13890" s="19" t="n"/>
      <c r="Y13890" s="19" t="n"/>
    </row>
    <row r="13891">
      <c r="C13891" s="18" t="n"/>
      <c r="J13891" s="19" t="n"/>
      <c r="P13891" s="20" t="n"/>
      <c r="Q13891" s="19" t="n"/>
      <c r="R13891" s="19" t="n"/>
      <c r="Y13891" s="19" t="n"/>
    </row>
    <row r="13892">
      <c r="C13892" s="18" t="n"/>
      <c r="J13892" s="19" t="n"/>
      <c r="P13892" s="20" t="n"/>
      <c r="Q13892" s="19" t="n"/>
      <c r="R13892" s="19" t="n"/>
      <c r="Y13892" s="19" t="n"/>
    </row>
    <row r="13893">
      <c r="C13893" s="18" t="n"/>
      <c r="J13893" s="19" t="n"/>
      <c r="P13893" s="20" t="n"/>
      <c r="Q13893" s="19" t="n"/>
      <c r="R13893" s="19" t="n"/>
      <c r="Y13893" s="19" t="n"/>
    </row>
    <row r="13894">
      <c r="C13894" s="18" t="n"/>
      <c r="J13894" s="19" t="n"/>
      <c r="P13894" s="20" t="n"/>
      <c r="Q13894" s="19" t="n"/>
      <c r="R13894" s="19" t="n"/>
      <c r="Y13894" s="19" t="n"/>
    </row>
    <row r="13895">
      <c r="C13895" s="18" t="n"/>
      <c r="J13895" s="19" t="n"/>
      <c r="P13895" s="20" t="n"/>
      <c r="Q13895" s="19" t="n"/>
      <c r="R13895" s="19" t="n"/>
      <c r="Y13895" s="19" t="n"/>
    </row>
    <row r="13896">
      <c r="C13896" s="18" t="n"/>
      <c r="J13896" s="19" t="n"/>
      <c r="P13896" s="20" t="n"/>
      <c r="Q13896" s="19" t="n"/>
      <c r="R13896" s="19" t="n"/>
      <c r="Y13896" s="19" t="n"/>
    </row>
    <row r="13897">
      <c r="C13897" s="18" t="n"/>
      <c r="J13897" s="19" t="n"/>
      <c r="P13897" s="20" t="n"/>
      <c r="Q13897" s="19" t="n"/>
      <c r="R13897" s="19" t="n"/>
      <c r="Y13897" s="19" t="n"/>
    </row>
    <row r="13898">
      <c r="C13898" s="18" t="n"/>
      <c r="J13898" s="19" t="n"/>
      <c r="P13898" s="20" t="n"/>
      <c r="Q13898" s="19" t="n"/>
      <c r="R13898" s="19" t="n"/>
      <c r="Y13898" s="19" t="n"/>
    </row>
    <row r="13899">
      <c r="C13899" s="18" t="n"/>
      <c r="J13899" s="19" t="n"/>
      <c r="P13899" s="20" t="n"/>
      <c r="Q13899" s="19" t="n"/>
      <c r="R13899" s="19" t="n"/>
      <c r="Y13899" s="19" t="n"/>
    </row>
    <row r="13900">
      <c r="C13900" s="18" t="n"/>
      <c r="J13900" s="19" t="n"/>
      <c r="P13900" s="20" t="n"/>
      <c r="Q13900" s="19" t="n"/>
      <c r="R13900" s="19" t="n"/>
      <c r="Y13900" s="19" t="n"/>
    </row>
    <row r="13901">
      <c r="C13901" s="18" t="n"/>
      <c r="J13901" s="19" t="n"/>
      <c r="P13901" s="20" t="n"/>
      <c r="Q13901" s="19" t="n"/>
      <c r="R13901" s="19" t="n"/>
      <c r="Y13901" s="19" t="n"/>
    </row>
    <row r="13902">
      <c r="C13902" s="18" t="n"/>
      <c r="J13902" s="19" t="n"/>
      <c r="P13902" s="20" t="n"/>
      <c r="Q13902" s="19" t="n"/>
      <c r="R13902" s="19" t="n"/>
      <c r="Y13902" s="19" t="n"/>
    </row>
    <row r="13903">
      <c r="C13903" s="18" t="n"/>
      <c r="J13903" s="19" t="n"/>
      <c r="P13903" s="20" t="n"/>
      <c r="Q13903" s="19" t="n"/>
      <c r="R13903" s="19" t="n"/>
      <c r="Y13903" s="19" t="n"/>
    </row>
    <row r="13904">
      <c r="C13904" s="18" t="n"/>
      <c r="J13904" s="19" t="n"/>
      <c r="P13904" s="20" t="n"/>
      <c r="Q13904" s="19" t="n"/>
      <c r="R13904" s="19" t="n"/>
      <c r="Y13904" s="19" t="n"/>
    </row>
    <row r="13905">
      <c r="C13905" s="18" t="n"/>
      <c r="J13905" s="19" t="n"/>
      <c r="P13905" s="20" t="n"/>
      <c r="Q13905" s="19" t="n"/>
      <c r="R13905" s="19" t="n"/>
      <c r="Y13905" s="19" t="n"/>
    </row>
    <row r="13906">
      <c r="C13906" s="18" t="n"/>
      <c r="J13906" s="19" t="n"/>
      <c r="P13906" s="20" t="n"/>
      <c r="Q13906" s="19" t="n"/>
      <c r="R13906" s="19" t="n"/>
      <c r="Y13906" s="19" t="n"/>
    </row>
    <row r="13907">
      <c r="C13907" s="18" t="n"/>
      <c r="J13907" s="19" t="n"/>
      <c r="P13907" s="20" t="n"/>
      <c r="Q13907" s="19" t="n"/>
      <c r="R13907" s="19" t="n"/>
      <c r="Y13907" s="19" t="n"/>
    </row>
    <row r="13908">
      <c r="C13908" s="18" t="n"/>
      <c r="J13908" s="19" t="n"/>
      <c r="P13908" s="20" t="n"/>
      <c r="Q13908" s="19" t="n"/>
      <c r="R13908" s="19" t="n"/>
      <c r="Y13908" s="19" t="n"/>
    </row>
    <row r="13909">
      <c r="C13909" s="18" t="n"/>
      <c r="J13909" s="19" t="n"/>
      <c r="P13909" s="20" t="n"/>
      <c r="Q13909" s="19" t="n"/>
      <c r="R13909" s="19" t="n"/>
      <c r="Y13909" s="19" t="n"/>
    </row>
    <row r="13910">
      <c r="C13910" s="18" t="n"/>
      <c r="J13910" s="19" t="n"/>
      <c r="P13910" s="20" t="n"/>
      <c r="Q13910" s="19" t="n"/>
      <c r="R13910" s="19" t="n"/>
      <c r="Y13910" s="19" t="n"/>
    </row>
    <row r="13911">
      <c r="C13911" s="18" t="n"/>
      <c r="J13911" s="19" t="n"/>
      <c r="P13911" s="20" t="n"/>
      <c r="Q13911" s="19" t="n"/>
      <c r="R13911" s="19" t="n"/>
      <c r="Y13911" s="19" t="n"/>
    </row>
    <row r="13912">
      <c r="C13912" s="18" t="n"/>
      <c r="J13912" s="19" t="n"/>
      <c r="P13912" s="20" t="n"/>
      <c r="Q13912" s="19" t="n"/>
      <c r="R13912" s="19" t="n"/>
      <c r="Y13912" s="19" t="n"/>
    </row>
    <row r="13913">
      <c r="C13913" s="18" t="n"/>
      <c r="J13913" s="19" t="n"/>
      <c r="P13913" s="20" t="n"/>
      <c r="Q13913" s="19" t="n"/>
      <c r="R13913" s="19" t="n"/>
      <c r="Y13913" s="19" t="n"/>
    </row>
    <row r="13914">
      <c r="C13914" s="18" t="n"/>
      <c r="J13914" s="19" t="n"/>
      <c r="P13914" s="20" t="n"/>
      <c r="Q13914" s="19" t="n"/>
      <c r="R13914" s="19" t="n"/>
      <c r="Y13914" s="19" t="n"/>
    </row>
    <row r="13915">
      <c r="C13915" s="18" t="n"/>
      <c r="J13915" s="19" t="n"/>
      <c r="P13915" s="20" t="n"/>
      <c r="Q13915" s="19" t="n"/>
      <c r="R13915" s="19" t="n"/>
      <c r="Y13915" s="19" t="n"/>
    </row>
    <row r="13916">
      <c r="C13916" s="18" t="n"/>
      <c r="J13916" s="19" t="n"/>
      <c r="P13916" s="20" t="n"/>
      <c r="Q13916" s="19" t="n"/>
      <c r="R13916" s="19" t="n"/>
      <c r="Y13916" s="19" t="n"/>
    </row>
    <row r="13917">
      <c r="C13917" s="18" t="n"/>
      <c r="J13917" s="19" t="n"/>
      <c r="P13917" s="20" t="n"/>
      <c r="Q13917" s="19" t="n"/>
      <c r="R13917" s="19" t="n"/>
      <c r="Y13917" s="19" t="n"/>
    </row>
    <row r="13918">
      <c r="C13918" s="18" t="n"/>
      <c r="J13918" s="19" t="n"/>
      <c r="P13918" s="20" t="n"/>
      <c r="Q13918" s="19" t="n"/>
      <c r="R13918" s="19" t="n"/>
      <c r="Y13918" s="19" t="n"/>
    </row>
    <row r="13919">
      <c r="C13919" s="18" t="n"/>
      <c r="J13919" s="19" t="n"/>
      <c r="P13919" s="20" t="n"/>
      <c r="Q13919" s="19" t="n"/>
      <c r="R13919" s="19" t="n"/>
      <c r="Y13919" s="19" t="n"/>
    </row>
    <row r="13920">
      <c r="C13920" s="18" t="n"/>
      <c r="J13920" s="19" t="n"/>
      <c r="P13920" s="20" t="n"/>
      <c r="Q13920" s="19" t="n"/>
      <c r="R13920" s="19" t="n"/>
      <c r="Y13920" s="19" t="n"/>
    </row>
    <row r="13921">
      <c r="C13921" s="18" t="n"/>
      <c r="J13921" s="19" t="n"/>
      <c r="P13921" s="20" t="n"/>
      <c r="Q13921" s="19" t="n"/>
      <c r="R13921" s="19" t="n"/>
      <c r="Y13921" s="19" t="n"/>
    </row>
    <row r="13922">
      <c r="C13922" s="18" t="n"/>
      <c r="J13922" s="19" t="n"/>
      <c r="P13922" s="20" t="n"/>
      <c r="Q13922" s="19" t="n"/>
      <c r="R13922" s="19" t="n"/>
      <c r="Y13922" s="19" t="n"/>
    </row>
    <row r="13923">
      <c r="C13923" s="18" t="n"/>
      <c r="J13923" s="19" t="n"/>
      <c r="P13923" s="20" t="n"/>
      <c r="Q13923" s="19" t="n"/>
      <c r="R13923" s="19" t="n"/>
      <c r="Y13923" s="19" t="n"/>
    </row>
    <row r="13924">
      <c r="C13924" s="18" t="n"/>
      <c r="J13924" s="19" t="n"/>
      <c r="P13924" s="20" t="n"/>
      <c r="Q13924" s="19" t="n"/>
      <c r="R13924" s="19" t="n"/>
      <c r="Y13924" s="19" t="n"/>
    </row>
    <row r="13925">
      <c r="C13925" s="18" t="n"/>
      <c r="J13925" s="19" t="n"/>
      <c r="P13925" s="20" t="n"/>
      <c r="Q13925" s="19" t="n"/>
      <c r="R13925" s="19" t="n"/>
      <c r="Y13925" s="19" t="n"/>
    </row>
    <row r="13926">
      <c r="C13926" s="18" t="n"/>
      <c r="J13926" s="19" t="n"/>
      <c r="P13926" s="20" t="n"/>
      <c r="Q13926" s="19" t="n"/>
      <c r="R13926" s="19" t="n"/>
      <c r="Y13926" s="19" t="n"/>
    </row>
    <row r="13927">
      <c r="C13927" s="18" t="n"/>
      <c r="J13927" s="19" t="n"/>
      <c r="P13927" s="20" t="n"/>
      <c r="Q13927" s="19" t="n"/>
      <c r="R13927" s="19" t="n"/>
      <c r="Y13927" s="19" t="n"/>
    </row>
    <row r="13928">
      <c r="C13928" s="18" t="n"/>
      <c r="J13928" s="19" t="n"/>
      <c r="P13928" s="20" t="n"/>
      <c r="Q13928" s="19" t="n"/>
      <c r="R13928" s="19" t="n"/>
      <c r="Y13928" s="19" t="n"/>
    </row>
    <row r="13929">
      <c r="C13929" s="18" t="n"/>
      <c r="J13929" s="19" t="n"/>
      <c r="P13929" s="20" t="n"/>
      <c r="Q13929" s="19" t="n"/>
      <c r="R13929" s="19" t="n"/>
      <c r="Y13929" s="19" t="n"/>
    </row>
    <row r="13930">
      <c r="C13930" s="18" t="n"/>
      <c r="J13930" s="19" t="n"/>
      <c r="P13930" s="20" t="n"/>
      <c r="Q13930" s="19" t="n"/>
      <c r="R13930" s="19" t="n"/>
      <c r="Y13930" s="19" t="n"/>
    </row>
    <row r="13931">
      <c r="C13931" s="18" t="n"/>
      <c r="J13931" s="19" t="n"/>
      <c r="P13931" s="20" t="n"/>
      <c r="Q13931" s="19" t="n"/>
      <c r="R13931" s="19" t="n"/>
      <c r="Y13931" s="19" t="n"/>
    </row>
    <row r="13932">
      <c r="C13932" s="18" t="n"/>
      <c r="J13932" s="19" t="n"/>
      <c r="P13932" s="20" t="n"/>
      <c r="Q13932" s="19" t="n"/>
      <c r="R13932" s="19" t="n"/>
      <c r="Y13932" s="19" t="n"/>
    </row>
    <row r="13933">
      <c r="C13933" s="18" t="n"/>
      <c r="J13933" s="19" t="n"/>
      <c r="P13933" s="20" t="n"/>
      <c r="Q13933" s="19" t="n"/>
      <c r="R13933" s="19" t="n"/>
      <c r="Y13933" s="19" t="n"/>
    </row>
    <row r="13934">
      <c r="C13934" s="18" t="n"/>
      <c r="J13934" s="19" t="n"/>
      <c r="P13934" s="20" t="n"/>
      <c r="Q13934" s="19" t="n"/>
      <c r="R13934" s="19" t="n"/>
      <c r="Y13934" s="19" t="n"/>
    </row>
    <row r="13935">
      <c r="C13935" s="18" t="n"/>
      <c r="J13935" s="19" t="n"/>
      <c r="P13935" s="20" t="n"/>
      <c r="Q13935" s="19" t="n"/>
      <c r="R13935" s="19" t="n"/>
      <c r="Y13935" s="19" t="n"/>
    </row>
    <row r="13936">
      <c r="C13936" s="18" t="n"/>
      <c r="J13936" s="19" t="n"/>
      <c r="P13936" s="20" t="n"/>
      <c r="Q13936" s="19" t="n"/>
      <c r="R13936" s="19" t="n"/>
      <c r="Y13936" s="19" t="n"/>
    </row>
    <row r="13937">
      <c r="C13937" s="18" t="n"/>
      <c r="J13937" s="19" t="n"/>
      <c r="P13937" s="20" t="n"/>
      <c r="Q13937" s="19" t="n"/>
      <c r="R13937" s="19" t="n"/>
      <c r="Y13937" s="19" t="n"/>
    </row>
    <row r="13938">
      <c r="C13938" s="18" t="n"/>
      <c r="J13938" s="19" t="n"/>
      <c r="P13938" s="20" t="n"/>
      <c r="Q13938" s="19" t="n"/>
      <c r="R13938" s="19" t="n"/>
      <c r="Y13938" s="19" t="n"/>
    </row>
    <row r="13939">
      <c r="C13939" s="18" t="n"/>
      <c r="J13939" s="19" t="n"/>
      <c r="P13939" s="20" t="n"/>
      <c r="Q13939" s="19" t="n"/>
      <c r="R13939" s="19" t="n"/>
      <c r="Y13939" s="19" t="n"/>
    </row>
    <row r="13940">
      <c r="C13940" s="18" t="n"/>
      <c r="J13940" s="19" t="n"/>
      <c r="P13940" s="20" t="n"/>
      <c r="Q13940" s="19" t="n"/>
      <c r="R13940" s="19" t="n"/>
      <c r="Y13940" s="19" t="n"/>
    </row>
    <row r="13941">
      <c r="C13941" s="18" t="n"/>
      <c r="J13941" s="19" t="n"/>
      <c r="P13941" s="20" t="n"/>
      <c r="Q13941" s="19" t="n"/>
      <c r="R13941" s="19" t="n"/>
      <c r="Y13941" s="19" t="n"/>
    </row>
    <row r="13942">
      <c r="C13942" s="18" t="n"/>
      <c r="J13942" s="19" t="n"/>
      <c r="P13942" s="20" t="n"/>
      <c r="Q13942" s="19" t="n"/>
      <c r="R13942" s="19" t="n"/>
      <c r="Y13942" s="19" t="n"/>
    </row>
    <row r="13943">
      <c r="C13943" s="18" t="n"/>
      <c r="J13943" s="19" t="n"/>
      <c r="P13943" s="20" t="n"/>
      <c r="Q13943" s="19" t="n"/>
      <c r="R13943" s="19" t="n"/>
      <c r="Y13943" s="19" t="n"/>
    </row>
    <row r="13944">
      <c r="C13944" s="18" t="n"/>
      <c r="J13944" s="19" t="n"/>
      <c r="P13944" s="20" t="n"/>
      <c r="Q13944" s="19" t="n"/>
      <c r="R13944" s="19" t="n"/>
      <c r="Y13944" s="19" t="n"/>
    </row>
    <row r="13945">
      <c r="C13945" s="18" t="n"/>
      <c r="J13945" s="19" t="n"/>
      <c r="P13945" s="20" t="n"/>
      <c r="Q13945" s="19" t="n"/>
      <c r="R13945" s="19" t="n"/>
      <c r="Y13945" s="19" t="n"/>
    </row>
    <row r="13946">
      <c r="C13946" s="18" t="n"/>
      <c r="J13946" s="19" t="n"/>
      <c r="P13946" s="20" t="n"/>
      <c r="Q13946" s="19" t="n"/>
      <c r="R13946" s="19" t="n"/>
      <c r="Y13946" s="19" t="n"/>
    </row>
    <row r="13947">
      <c r="C13947" s="18" t="n"/>
      <c r="J13947" s="19" t="n"/>
      <c r="P13947" s="20" t="n"/>
      <c r="Q13947" s="19" t="n"/>
      <c r="R13947" s="19" t="n"/>
      <c r="Y13947" s="19" t="n"/>
    </row>
    <row r="13948">
      <c r="C13948" s="18" t="n"/>
      <c r="J13948" s="19" t="n"/>
      <c r="P13948" s="20" t="n"/>
      <c r="Q13948" s="19" t="n"/>
      <c r="R13948" s="19" t="n"/>
      <c r="Y13948" s="19" t="n"/>
    </row>
    <row r="13949">
      <c r="C13949" s="18" t="n"/>
      <c r="J13949" s="19" t="n"/>
      <c r="P13949" s="20" t="n"/>
      <c r="Q13949" s="19" t="n"/>
      <c r="R13949" s="19" t="n"/>
      <c r="Y13949" s="19" t="n"/>
    </row>
    <row r="13950">
      <c r="C13950" s="18" t="n"/>
      <c r="J13950" s="19" t="n"/>
      <c r="P13950" s="20" t="n"/>
      <c r="Q13950" s="19" t="n"/>
      <c r="R13950" s="19" t="n"/>
      <c r="Y13950" s="19" t="n"/>
    </row>
    <row r="13951">
      <c r="C13951" s="18" t="n"/>
      <c r="J13951" s="19" t="n"/>
      <c r="P13951" s="20" t="n"/>
      <c r="Q13951" s="19" t="n"/>
      <c r="R13951" s="19" t="n"/>
      <c r="Y13951" s="19" t="n"/>
    </row>
    <row r="13952">
      <c r="C13952" s="18" t="n"/>
      <c r="J13952" s="19" t="n"/>
      <c r="P13952" s="20" t="n"/>
      <c r="Q13952" s="19" t="n"/>
      <c r="R13952" s="19" t="n"/>
      <c r="Y13952" s="19" t="n"/>
    </row>
    <row r="13953">
      <c r="C13953" s="18" t="n"/>
      <c r="J13953" s="19" t="n"/>
      <c r="P13953" s="20" t="n"/>
      <c r="Q13953" s="19" t="n"/>
      <c r="R13953" s="19" t="n"/>
      <c r="Y13953" s="19" t="n"/>
    </row>
    <row r="13954">
      <c r="C13954" s="18" t="n"/>
      <c r="J13954" s="19" t="n"/>
      <c r="P13954" s="20" t="n"/>
      <c r="Q13954" s="19" t="n"/>
      <c r="R13954" s="19" t="n"/>
      <c r="Y13954" s="19" t="n"/>
    </row>
    <row r="13955">
      <c r="C13955" s="18" t="n"/>
      <c r="J13955" s="19" t="n"/>
      <c r="P13955" s="20" t="n"/>
      <c r="Q13955" s="19" t="n"/>
      <c r="R13955" s="19" t="n"/>
      <c r="Y13955" s="19" t="n"/>
    </row>
    <row r="13956">
      <c r="C13956" s="18" t="n"/>
      <c r="J13956" s="19" t="n"/>
      <c r="P13956" s="20" t="n"/>
      <c r="Q13956" s="19" t="n"/>
      <c r="R13956" s="19" t="n"/>
      <c r="Y13956" s="19" t="n"/>
    </row>
    <row r="13957">
      <c r="C13957" s="18" t="n"/>
      <c r="J13957" s="19" t="n"/>
      <c r="P13957" s="20" t="n"/>
      <c r="Q13957" s="19" t="n"/>
      <c r="R13957" s="19" t="n"/>
      <c r="Y13957" s="19" t="n"/>
    </row>
    <row r="13958">
      <c r="C13958" s="18" t="n"/>
      <c r="J13958" s="19" t="n"/>
      <c r="P13958" s="20" t="n"/>
      <c r="Q13958" s="19" t="n"/>
      <c r="R13958" s="19" t="n"/>
      <c r="Y13958" s="19" t="n"/>
    </row>
    <row r="13959">
      <c r="C13959" s="18" t="n"/>
      <c r="J13959" s="19" t="n"/>
      <c r="P13959" s="20" t="n"/>
      <c r="Q13959" s="19" t="n"/>
      <c r="R13959" s="19" t="n"/>
      <c r="Y13959" s="19" t="n"/>
    </row>
    <row r="13960">
      <c r="C13960" s="18" t="n"/>
      <c r="J13960" s="19" t="n"/>
      <c r="P13960" s="20" t="n"/>
      <c r="Q13960" s="19" t="n"/>
      <c r="R13960" s="19" t="n"/>
      <c r="Y13960" s="19" t="n"/>
    </row>
    <row r="13961">
      <c r="C13961" s="18" t="n"/>
      <c r="J13961" s="19" t="n"/>
      <c r="P13961" s="20" t="n"/>
      <c r="Q13961" s="19" t="n"/>
      <c r="R13961" s="19" t="n"/>
      <c r="Y13961" s="19" t="n"/>
    </row>
    <row r="13962">
      <c r="C13962" s="18" t="n"/>
      <c r="J13962" s="19" t="n"/>
      <c r="P13962" s="20" t="n"/>
      <c r="Q13962" s="19" t="n"/>
      <c r="R13962" s="19" t="n"/>
      <c r="Y13962" s="19" t="n"/>
    </row>
    <row r="13963">
      <c r="C13963" s="18" t="n"/>
      <c r="J13963" s="19" t="n"/>
      <c r="P13963" s="20" t="n"/>
      <c r="Q13963" s="19" t="n"/>
      <c r="R13963" s="19" t="n"/>
      <c r="Y13963" s="19" t="n"/>
    </row>
    <row r="13964">
      <c r="C13964" s="18" t="n"/>
      <c r="J13964" s="19" t="n"/>
      <c r="P13964" s="20" t="n"/>
      <c r="Q13964" s="19" t="n"/>
      <c r="R13964" s="19" t="n"/>
      <c r="Y13964" s="19" t="n"/>
    </row>
    <row r="13965">
      <c r="C13965" s="18" t="n"/>
      <c r="J13965" s="19" t="n"/>
      <c r="P13965" s="20" t="n"/>
      <c r="Q13965" s="19" t="n"/>
      <c r="R13965" s="19" t="n"/>
      <c r="Y13965" s="19" t="n"/>
    </row>
    <row r="13966">
      <c r="C13966" s="18" t="n"/>
      <c r="J13966" s="19" t="n"/>
      <c r="P13966" s="20" t="n"/>
      <c r="Q13966" s="19" t="n"/>
      <c r="R13966" s="19" t="n"/>
      <c r="Y13966" s="19" t="n"/>
    </row>
    <row r="13967">
      <c r="C13967" s="18" t="n"/>
      <c r="J13967" s="19" t="n"/>
      <c r="P13967" s="20" t="n"/>
      <c r="Q13967" s="19" t="n"/>
      <c r="R13967" s="19" t="n"/>
      <c r="Y13967" s="19" t="n"/>
    </row>
    <row r="13968">
      <c r="C13968" s="18" t="n"/>
      <c r="J13968" s="19" t="n"/>
      <c r="P13968" s="20" t="n"/>
      <c r="Q13968" s="19" t="n"/>
      <c r="R13968" s="19" t="n"/>
      <c r="Y13968" s="19" t="n"/>
    </row>
    <row r="13969">
      <c r="C13969" s="18" t="n"/>
      <c r="J13969" s="19" t="n"/>
      <c r="P13969" s="20" t="n"/>
      <c r="Q13969" s="19" t="n"/>
      <c r="R13969" s="19" t="n"/>
      <c r="Y13969" s="19" t="n"/>
    </row>
    <row r="13970">
      <c r="C13970" s="18" t="n"/>
      <c r="J13970" s="19" t="n"/>
      <c r="P13970" s="20" t="n"/>
      <c r="Q13970" s="19" t="n"/>
      <c r="R13970" s="19" t="n"/>
      <c r="Y13970" s="19" t="n"/>
    </row>
    <row r="13971">
      <c r="C13971" s="18" t="n"/>
      <c r="J13971" s="19" t="n"/>
      <c r="P13971" s="20" t="n"/>
      <c r="Q13971" s="19" t="n"/>
      <c r="R13971" s="19" t="n"/>
      <c r="Y13971" s="19" t="n"/>
    </row>
    <row r="13972">
      <c r="C13972" s="18" t="n"/>
      <c r="J13972" s="19" t="n"/>
      <c r="P13972" s="20" t="n"/>
      <c r="Q13972" s="19" t="n"/>
      <c r="R13972" s="19" t="n"/>
      <c r="Y13972" s="19" t="n"/>
    </row>
    <row r="13973">
      <c r="C13973" s="18" t="n"/>
      <c r="J13973" s="19" t="n"/>
      <c r="P13973" s="20" t="n"/>
      <c r="Q13973" s="19" t="n"/>
      <c r="R13973" s="19" t="n"/>
      <c r="Y13973" s="19" t="n"/>
    </row>
    <row r="13974">
      <c r="C13974" s="18" t="n"/>
      <c r="J13974" s="19" t="n"/>
      <c r="P13974" s="20" t="n"/>
      <c r="Q13974" s="19" t="n"/>
      <c r="R13974" s="19" t="n"/>
      <c r="Y13974" s="19" t="n"/>
    </row>
    <row r="13975">
      <c r="C13975" s="18" t="n"/>
      <c r="J13975" s="19" t="n"/>
      <c r="P13975" s="20" t="n"/>
      <c r="Q13975" s="19" t="n"/>
      <c r="R13975" s="19" t="n"/>
      <c r="Y13975" s="19" t="n"/>
    </row>
    <row r="13976">
      <c r="C13976" s="18" t="n"/>
      <c r="J13976" s="19" t="n"/>
      <c r="P13976" s="20" t="n"/>
      <c r="Q13976" s="19" t="n"/>
      <c r="R13976" s="19" t="n"/>
      <c r="Y13976" s="19" t="n"/>
    </row>
    <row r="13977">
      <c r="C13977" s="18" t="n"/>
      <c r="J13977" s="19" t="n"/>
      <c r="P13977" s="20" t="n"/>
      <c r="Q13977" s="19" t="n"/>
      <c r="R13977" s="19" t="n"/>
      <c r="Y13977" s="19" t="n"/>
    </row>
    <row r="13978">
      <c r="C13978" s="18" t="n"/>
      <c r="J13978" s="19" t="n"/>
      <c r="P13978" s="20" t="n"/>
      <c r="Q13978" s="19" t="n"/>
      <c r="R13978" s="19" t="n"/>
      <c r="Y13978" s="19" t="n"/>
    </row>
    <row r="13979">
      <c r="C13979" s="18" t="n"/>
      <c r="J13979" s="19" t="n"/>
      <c r="P13979" s="20" t="n"/>
      <c r="Q13979" s="19" t="n"/>
      <c r="R13979" s="19" t="n"/>
      <c r="Y13979" s="19" t="n"/>
    </row>
    <row r="13980">
      <c r="C13980" s="18" t="n"/>
      <c r="J13980" s="19" t="n"/>
      <c r="P13980" s="20" t="n"/>
      <c r="Q13980" s="19" t="n"/>
      <c r="R13980" s="19" t="n"/>
      <c r="Y13980" s="19" t="n"/>
    </row>
    <row r="13981">
      <c r="C13981" s="18" t="n"/>
      <c r="J13981" s="19" t="n"/>
      <c r="P13981" s="20" t="n"/>
      <c r="Q13981" s="19" t="n"/>
      <c r="R13981" s="19" t="n"/>
      <c r="Y13981" s="19" t="n"/>
    </row>
    <row r="13982">
      <c r="C13982" s="18" t="n"/>
      <c r="J13982" s="19" t="n"/>
      <c r="P13982" s="20" t="n"/>
      <c r="Q13982" s="19" t="n"/>
      <c r="R13982" s="19" t="n"/>
      <c r="Y13982" s="19" t="n"/>
    </row>
    <row r="13983">
      <c r="C13983" s="18" t="n"/>
      <c r="J13983" s="19" t="n"/>
      <c r="P13983" s="20" t="n"/>
      <c r="Q13983" s="19" t="n"/>
      <c r="R13983" s="19" t="n"/>
      <c r="Y13983" s="19" t="n"/>
    </row>
    <row r="13984">
      <c r="C13984" s="18" t="n"/>
      <c r="J13984" s="19" t="n"/>
      <c r="P13984" s="20" t="n"/>
      <c r="Q13984" s="19" t="n"/>
      <c r="R13984" s="19" t="n"/>
      <c r="Y13984" s="19" t="n"/>
    </row>
    <row r="13985">
      <c r="C13985" s="18" t="n"/>
      <c r="J13985" s="19" t="n"/>
      <c r="P13985" s="20" t="n"/>
      <c r="Q13985" s="19" t="n"/>
      <c r="R13985" s="19" t="n"/>
      <c r="Y13985" s="19" t="n"/>
    </row>
    <row r="13986">
      <c r="C13986" s="18" t="n"/>
      <c r="J13986" s="19" t="n"/>
      <c r="P13986" s="20" t="n"/>
      <c r="Q13986" s="19" t="n"/>
      <c r="R13986" s="19" t="n"/>
      <c r="Y13986" s="19" t="n"/>
    </row>
    <row r="13987">
      <c r="C13987" s="18" t="n"/>
      <c r="J13987" s="19" t="n"/>
      <c r="P13987" s="20" t="n"/>
      <c r="Q13987" s="19" t="n"/>
      <c r="R13987" s="19" t="n"/>
      <c r="Y13987" s="19" t="n"/>
    </row>
    <row r="13988">
      <c r="C13988" s="18" t="n"/>
      <c r="J13988" s="19" t="n"/>
      <c r="P13988" s="20" t="n"/>
      <c r="Q13988" s="19" t="n"/>
      <c r="R13988" s="19" t="n"/>
      <c r="Y13988" s="19" t="n"/>
    </row>
    <row r="13989">
      <c r="C13989" s="18" t="n"/>
      <c r="J13989" s="19" t="n"/>
      <c r="P13989" s="20" t="n"/>
      <c r="Q13989" s="19" t="n"/>
      <c r="R13989" s="19" t="n"/>
      <c r="Y13989" s="19" t="n"/>
    </row>
    <row r="13990">
      <c r="C13990" s="18" t="n"/>
      <c r="J13990" s="19" t="n"/>
      <c r="P13990" s="20" t="n"/>
      <c r="Q13990" s="19" t="n"/>
      <c r="R13990" s="19" t="n"/>
      <c r="Y13990" s="19" t="n"/>
    </row>
    <row r="13991">
      <c r="C13991" s="18" t="n"/>
      <c r="J13991" s="19" t="n"/>
      <c r="P13991" s="20" t="n"/>
      <c r="Q13991" s="19" t="n"/>
      <c r="R13991" s="19" t="n"/>
      <c r="Y13991" s="19" t="n"/>
    </row>
    <row r="13992">
      <c r="C13992" s="18" t="n"/>
      <c r="J13992" s="19" t="n"/>
      <c r="P13992" s="20" t="n"/>
      <c r="Q13992" s="19" t="n"/>
      <c r="R13992" s="19" t="n"/>
      <c r="Y13992" s="19" t="n"/>
    </row>
    <row r="13993">
      <c r="C13993" s="18" t="n"/>
      <c r="J13993" s="19" t="n"/>
      <c r="P13993" s="20" t="n"/>
      <c r="Q13993" s="19" t="n"/>
      <c r="R13993" s="19" t="n"/>
      <c r="Y13993" s="19" t="n"/>
    </row>
    <row r="13994">
      <c r="C13994" s="18" t="n"/>
      <c r="J13994" s="19" t="n"/>
      <c r="P13994" s="20" t="n"/>
      <c r="Q13994" s="19" t="n"/>
      <c r="R13994" s="19" t="n"/>
      <c r="Y13994" s="19" t="n"/>
    </row>
    <row r="13995">
      <c r="C13995" s="18" t="n"/>
      <c r="J13995" s="19" t="n"/>
      <c r="P13995" s="20" t="n"/>
      <c r="Q13995" s="19" t="n"/>
      <c r="R13995" s="19" t="n"/>
      <c r="Y13995" s="19" t="n"/>
    </row>
    <row r="13996">
      <c r="C13996" s="18" t="n"/>
      <c r="J13996" s="19" t="n"/>
      <c r="P13996" s="20" t="n"/>
      <c r="Q13996" s="19" t="n"/>
      <c r="R13996" s="19" t="n"/>
      <c r="Y13996" s="19" t="n"/>
    </row>
    <row r="13997">
      <c r="C13997" s="18" t="n"/>
      <c r="J13997" s="19" t="n"/>
      <c r="P13997" s="20" t="n"/>
      <c r="Q13997" s="19" t="n"/>
      <c r="R13997" s="19" t="n"/>
      <c r="Y13997" s="19" t="n"/>
    </row>
    <row r="13998">
      <c r="C13998" s="18" t="n"/>
      <c r="J13998" s="19" t="n"/>
      <c r="P13998" s="20" t="n"/>
      <c r="Q13998" s="19" t="n"/>
      <c r="R13998" s="19" t="n"/>
      <c r="Y13998" s="19" t="n"/>
    </row>
    <row r="13999">
      <c r="C13999" s="18" t="n"/>
      <c r="J13999" s="19" t="n"/>
      <c r="P13999" s="20" t="n"/>
      <c r="Q13999" s="19" t="n"/>
      <c r="R13999" s="19" t="n"/>
      <c r="Y13999" s="19" t="n"/>
    </row>
    <row r="14000">
      <c r="C14000" s="18" t="n"/>
      <c r="J14000" s="19" t="n"/>
      <c r="P14000" s="20" t="n"/>
      <c r="Q14000" s="19" t="n"/>
      <c r="R14000" s="19" t="n"/>
      <c r="Y14000" s="19" t="n"/>
    </row>
    <row r="14001">
      <c r="C14001" s="18" t="n"/>
      <c r="J14001" s="19" t="n"/>
      <c r="P14001" s="20" t="n"/>
      <c r="Q14001" s="19" t="n"/>
      <c r="R14001" s="19" t="n"/>
      <c r="Y14001" s="19" t="n"/>
    </row>
    <row r="14002">
      <c r="C14002" s="18" t="n"/>
      <c r="J14002" s="19" t="n"/>
      <c r="P14002" s="20" t="n"/>
      <c r="Q14002" s="19" t="n"/>
      <c r="R14002" s="19" t="n"/>
      <c r="Y14002" s="19" t="n"/>
    </row>
    <row r="14003">
      <c r="C14003" s="18" t="n"/>
      <c r="J14003" s="19" t="n"/>
      <c r="P14003" s="20" t="n"/>
      <c r="Q14003" s="19" t="n"/>
      <c r="R14003" s="19" t="n"/>
      <c r="Y14003" s="19" t="n"/>
    </row>
    <row r="14004">
      <c r="C14004" s="18" t="n"/>
      <c r="J14004" s="19" t="n"/>
      <c r="P14004" s="20" t="n"/>
      <c r="Q14004" s="19" t="n"/>
      <c r="R14004" s="19" t="n"/>
      <c r="Y14004" s="19" t="n"/>
    </row>
    <row r="14005">
      <c r="C14005" s="18" t="n"/>
      <c r="J14005" s="19" t="n"/>
      <c r="P14005" s="20" t="n"/>
      <c r="Q14005" s="19" t="n"/>
      <c r="R14005" s="19" t="n"/>
      <c r="Y14005" s="19" t="n"/>
    </row>
    <row r="14006">
      <c r="C14006" s="18" t="n"/>
      <c r="J14006" s="19" t="n"/>
      <c r="P14006" s="20" t="n"/>
      <c r="Q14006" s="19" t="n"/>
      <c r="R14006" s="19" t="n"/>
      <c r="Y14006" s="19" t="n"/>
    </row>
    <row r="14007">
      <c r="C14007" s="18" t="n"/>
      <c r="J14007" s="19" t="n"/>
      <c r="P14007" s="20" t="n"/>
      <c r="Q14007" s="19" t="n"/>
      <c r="R14007" s="19" t="n"/>
      <c r="Y14007" s="19" t="n"/>
    </row>
    <row r="14008">
      <c r="C14008" s="18" t="n"/>
      <c r="J14008" s="19" t="n"/>
      <c r="P14008" s="20" t="n"/>
      <c r="Q14008" s="19" t="n"/>
      <c r="R14008" s="19" t="n"/>
      <c r="Y14008" s="19" t="n"/>
    </row>
    <row r="14009">
      <c r="C14009" s="18" t="n"/>
      <c r="J14009" s="19" t="n"/>
      <c r="P14009" s="20" t="n"/>
      <c r="Q14009" s="19" t="n"/>
      <c r="R14009" s="19" t="n"/>
      <c r="Y14009" s="19" t="n"/>
    </row>
    <row r="14010">
      <c r="C14010" s="18" t="n"/>
      <c r="J14010" s="19" t="n"/>
      <c r="P14010" s="20" t="n"/>
      <c r="Q14010" s="19" t="n"/>
      <c r="R14010" s="19" t="n"/>
      <c r="Y14010" s="19" t="n"/>
    </row>
    <row r="14011">
      <c r="C14011" s="18" t="n"/>
      <c r="J14011" s="19" t="n"/>
      <c r="P14011" s="20" t="n"/>
      <c r="Q14011" s="19" t="n"/>
      <c r="R14011" s="19" t="n"/>
      <c r="Y14011" s="19" t="n"/>
    </row>
    <row r="14012">
      <c r="C14012" s="18" t="n"/>
      <c r="J14012" s="19" t="n"/>
      <c r="P14012" s="20" t="n"/>
      <c r="Q14012" s="19" t="n"/>
      <c r="R14012" s="19" t="n"/>
      <c r="Y14012" s="19" t="n"/>
    </row>
    <row r="14013">
      <c r="C14013" s="18" t="n"/>
      <c r="J14013" s="19" t="n"/>
      <c r="P14013" s="20" t="n"/>
      <c r="Q14013" s="19" t="n"/>
      <c r="R14013" s="19" t="n"/>
      <c r="Y14013" s="19" t="n"/>
    </row>
    <row r="14014">
      <c r="C14014" s="18" t="n"/>
      <c r="J14014" s="19" t="n"/>
      <c r="P14014" s="20" t="n"/>
      <c r="Q14014" s="19" t="n"/>
      <c r="R14014" s="19" t="n"/>
      <c r="Y14014" s="19" t="n"/>
    </row>
    <row r="14015">
      <c r="C14015" s="18" t="n"/>
      <c r="J14015" s="19" t="n"/>
      <c r="P14015" s="20" t="n"/>
      <c r="Q14015" s="19" t="n"/>
      <c r="R14015" s="19" t="n"/>
      <c r="Y14015" s="19" t="n"/>
    </row>
    <row r="14016">
      <c r="C14016" s="18" t="n"/>
      <c r="J14016" s="19" t="n"/>
      <c r="P14016" s="20" t="n"/>
      <c r="Q14016" s="19" t="n"/>
      <c r="R14016" s="19" t="n"/>
      <c r="Y14016" s="19" t="n"/>
    </row>
    <row r="14017">
      <c r="C14017" s="18" t="n"/>
      <c r="J14017" s="19" t="n"/>
      <c r="P14017" s="20" t="n"/>
      <c r="Q14017" s="19" t="n"/>
      <c r="R14017" s="19" t="n"/>
      <c r="Y14017" s="19" t="n"/>
    </row>
    <row r="14018">
      <c r="C14018" s="18" t="n"/>
      <c r="J14018" s="19" t="n"/>
      <c r="P14018" s="20" t="n"/>
      <c r="Q14018" s="19" t="n"/>
      <c r="R14018" s="19" t="n"/>
      <c r="Y14018" s="19" t="n"/>
    </row>
    <row r="14019">
      <c r="C14019" s="18" t="n"/>
      <c r="J14019" s="19" t="n"/>
      <c r="P14019" s="20" t="n"/>
      <c r="Q14019" s="19" t="n"/>
      <c r="R14019" s="19" t="n"/>
      <c r="Y14019" s="19" t="n"/>
    </row>
    <row r="14020">
      <c r="C14020" s="18" t="n"/>
      <c r="J14020" s="19" t="n"/>
      <c r="P14020" s="20" t="n"/>
      <c r="Q14020" s="19" t="n"/>
      <c r="R14020" s="19" t="n"/>
      <c r="Y14020" s="19" t="n"/>
    </row>
    <row r="14021">
      <c r="C14021" s="18" t="n"/>
      <c r="J14021" s="19" t="n"/>
      <c r="P14021" s="20" t="n"/>
      <c r="Q14021" s="19" t="n"/>
      <c r="R14021" s="19" t="n"/>
      <c r="Y14021" s="19" t="n"/>
    </row>
    <row r="14022">
      <c r="C14022" s="18" t="n"/>
      <c r="J14022" s="19" t="n"/>
      <c r="P14022" s="20" t="n"/>
      <c r="Q14022" s="19" t="n"/>
      <c r="R14022" s="19" t="n"/>
      <c r="Y14022" s="19" t="n"/>
    </row>
    <row r="14023">
      <c r="C14023" s="18" t="n"/>
      <c r="J14023" s="19" t="n"/>
      <c r="P14023" s="20" t="n"/>
      <c r="Q14023" s="19" t="n"/>
      <c r="R14023" s="19" t="n"/>
      <c r="Y14023" s="19" t="n"/>
    </row>
    <row r="14024">
      <c r="C14024" s="18" t="n"/>
      <c r="J14024" s="19" t="n"/>
      <c r="P14024" s="20" t="n"/>
      <c r="Q14024" s="19" t="n"/>
      <c r="R14024" s="19" t="n"/>
      <c r="Y14024" s="19" t="n"/>
    </row>
    <row r="14025">
      <c r="C14025" s="18" t="n"/>
      <c r="J14025" s="19" t="n"/>
      <c r="P14025" s="20" t="n"/>
      <c r="Q14025" s="19" t="n"/>
      <c r="R14025" s="19" t="n"/>
      <c r="Y14025" s="19" t="n"/>
    </row>
    <row r="14026">
      <c r="C14026" s="18" t="n"/>
      <c r="J14026" s="19" t="n"/>
      <c r="P14026" s="20" t="n"/>
      <c r="Q14026" s="19" t="n"/>
      <c r="R14026" s="19" t="n"/>
      <c r="Y14026" s="19" t="n"/>
    </row>
    <row r="14027">
      <c r="C14027" s="18" t="n"/>
      <c r="J14027" s="19" t="n"/>
      <c r="P14027" s="20" t="n"/>
      <c r="Q14027" s="19" t="n"/>
      <c r="R14027" s="19" t="n"/>
      <c r="Y14027" s="19" t="n"/>
    </row>
    <row r="14028">
      <c r="C14028" s="18" t="n"/>
      <c r="J14028" s="19" t="n"/>
      <c r="P14028" s="20" t="n"/>
      <c r="Q14028" s="19" t="n"/>
      <c r="R14028" s="19" t="n"/>
      <c r="Y14028" s="19" t="n"/>
    </row>
    <row r="14029">
      <c r="C14029" s="18" t="n"/>
      <c r="J14029" s="19" t="n"/>
      <c r="P14029" s="20" t="n"/>
      <c r="Q14029" s="19" t="n"/>
      <c r="R14029" s="19" t="n"/>
      <c r="Y14029" s="19" t="n"/>
    </row>
    <row r="14030">
      <c r="C14030" s="18" t="n"/>
      <c r="J14030" s="19" t="n"/>
      <c r="P14030" s="20" t="n"/>
      <c r="Q14030" s="19" t="n"/>
      <c r="R14030" s="19" t="n"/>
      <c r="Y14030" s="19" t="n"/>
    </row>
    <row r="14031">
      <c r="C14031" s="18" t="n"/>
      <c r="J14031" s="19" t="n"/>
      <c r="P14031" s="20" t="n"/>
      <c r="Q14031" s="19" t="n"/>
      <c r="R14031" s="19" t="n"/>
      <c r="Y14031" s="19" t="n"/>
    </row>
    <row r="14032">
      <c r="C14032" s="18" t="n"/>
      <c r="J14032" s="19" t="n"/>
      <c r="P14032" s="20" t="n"/>
      <c r="Q14032" s="19" t="n"/>
      <c r="R14032" s="19" t="n"/>
      <c r="Y14032" s="19" t="n"/>
    </row>
    <row r="14033">
      <c r="C14033" s="18" t="n"/>
      <c r="J14033" s="19" t="n"/>
      <c r="P14033" s="20" t="n"/>
      <c r="Q14033" s="19" t="n"/>
      <c r="R14033" s="19" t="n"/>
      <c r="Y14033" s="19" t="n"/>
    </row>
    <row r="14034">
      <c r="C14034" s="18" t="n"/>
      <c r="J14034" s="19" t="n"/>
      <c r="P14034" s="20" t="n"/>
      <c r="Q14034" s="19" t="n"/>
      <c r="R14034" s="19" t="n"/>
      <c r="Y14034" s="19" t="n"/>
    </row>
    <row r="14035">
      <c r="C14035" s="18" t="n"/>
      <c r="J14035" s="19" t="n"/>
      <c r="P14035" s="20" t="n"/>
      <c r="Q14035" s="19" t="n"/>
      <c r="R14035" s="19" t="n"/>
      <c r="Y14035" s="19" t="n"/>
    </row>
    <row r="14036">
      <c r="C14036" s="18" t="n"/>
      <c r="J14036" s="19" t="n"/>
      <c r="P14036" s="20" t="n"/>
      <c r="Q14036" s="19" t="n"/>
      <c r="R14036" s="19" t="n"/>
      <c r="Y14036" s="19" t="n"/>
    </row>
    <row r="14037">
      <c r="C14037" s="18" t="n"/>
      <c r="J14037" s="19" t="n"/>
      <c r="P14037" s="20" t="n"/>
      <c r="Q14037" s="19" t="n"/>
      <c r="R14037" s="19" t="n"/>
      <c r="Y14037" s="19" t="n"/>
    </row>
    <row r="14038">
      <c r="C14038" s="18" t="n"/>
      <c r="J14038" s="19" t="n"/>
      <c r="P14038" s="20" t="n"/>
      <c r="Q14038" s="19" t="n"/>
      <c r="R14038" s="19" t="n"/>
      <c r="Y14038" s="19" t="n"/>
    </row>
    <row r="14039">
      <c r="C14039" s="18" t="n"/>
      <c r="J14039" s="19" t="n"/>
      <c r="P14039" s="20" t="n"/>
      <c r="Q14039" s="19" t="n"/>
      <c r="R14039" s="19" t="n"/>
      <c r="Y14039" s="19" t="n"/>
    </row>
    <row r="14040">
      <c r="C14040" s="18" t="n"/>
      <c r="J14040" s="19" t="n"/>
      <c r="P14040" s="20" t="n"/>
      <c r="Q14040" s="19" t="n"/>
      <c r="R14040" s="19" t="n"/>
      <c r="Y14040" s="19" t="n"/>
    </row>
    <row r="14041">
      <c r="C14041" s="18" t="n"/>
      <c r="J14041" s="19" t="n"/>
      <c r="P14041" s="20" t="n"/>
      <c r="Q14041" s="19" t="n"/>
      <c r="R14041" s="19" t="n"/>
      <c r="Y14041" s="19" t="n"/>
    </row>
    <row r="14042">
      <c r="C14042" s="18" t="n"/>
      <c r="J14042" s="19" t="n"/>
      <c r="P14042" s="20" t="n"/>
      <c r="Q14042" s="19" t="n"/>
      <c r="R14042" s="19" t="n"/>
      <c r="Y14042" s="19" t="n"/>
    </row>
    <row r="14043">
      <c r="C14043" s="18" t="n"/>
      <c r="J14043" s="19" t="n"/>
      <c r="P14043" s="20" t="n"/>
      <c r="Q14043" s="19" t="n"/>
      <c r="R14043" s="19" t="n"/>
      <c r="Y14043" s="19" t="n"/>
    </row>
    <row r="14044">
      <c r="C14044" s="18" t="n"/>
      <c r="J14044" s="19" t="n"/>
      <c r="P14044" s="20" t="n"/>
      <c r="Q14044" s="19" t="n"/>
      <c r="R14044" s="19" t="n"/>
      <c r="Y14044" s="19" t="n"/>
    </row>
    <row r="14045">
      <c r="C14045" s="18" t="n"/>
      <c r="J14045" s="19" t="n"/>
      <c r="P14045" s="20" t="n"/>
      <c r="Q14045" s="19" t="n"/>
      <c r="R14045" s="19" t="n"/>
      <c r="Y14045" s="19" t="n"/>
    </row>
    <row r="14046">
      <c r="C14046" s="18" t="n"/>
      <c r="J14046" s="19" t="n"/>
      <c r="P14046" s="20" t="n"/>
      <c r="Q14046" s="19" t="n"/>
      <c r="R14046" s="19" t="n"/>
      <c r="Y14046" s="19" t="n"/>
    </row>
    <row r="14047">
      <c r="C14047" s="18" t="n"/>
      <c r="J14047" s="19" t="n"/>
      <c r="P14047" s="20" t="n"/>
      <c r="Q14047" s="19" t="n"/>
      <c r="R14047" s="19" t="n"/>
      <c r="Y14047" s="19" t="n"/>
    </row>
    <row r="14048">
      <c r="C14048" s="18" t="n"/>
      <c r="J14048" s="19" t="n"/>
      <c r="P14048" s="20" t="n"/>
      <c r="Q14048" s="19" t="n"/>
      <c r="R14048" s="19" t="n"/>
      <c r="Y14048" s="19" t="n"/>
    </row>
    <row r="14049">
      <c r="C14049" s="18" t="n"/>
      <c r="J14049" s="19" t="n"/>
      <c r="P14049" s="20" t="n"/>
      <c r="Q14049" s="19" t="n"/>
      <c r="R14049" s="19" t="n"/>
      <c r="Y14049" s="19" t="n"/>
    </row>
    <row r="14050">
      <c r="C14050" s="18" t="n"/>
      <c r="J14050" s="19" t="n"/>
      <c r="P14050" s="20" t="n"/>
      <c r="Q14050" s="19" t="n"/>
      <c r="R14050" s="19" t="n"/>
      <c r="Y14050" s="19" t="n"/>
    </row>
    <row r="14051">
      <c r="C14051" s="18" t="n"/>
      <c r="J14051" s="19" t="n"/>
      <c r="P14051" s="20" t="n"/>
      <c r="Q14051" s="19" t="n"/>
      <c r="R14051" s="19" t="n"/>
      <c r="Y14051" s="19" t="n"/>
    </row>
    <row r="14052">
      <c r="C14052" s="18" t="n"/>
      <c r="J14052" s="19" t="n"/>
      <c r="P14052" s="20" t="n"/>
      <c r="Q14052" s="19" t="n"/>
      <c r="R14052" s="19" t="n"/>
      <c r="Y14052" s="19" t="n"/>
    </row>
    <row r="14053">
      <c r="C14053" s="18" t="n"/>
      <c r="J14053" s="19" t="n"/>
      <c r="P14053" s="20" t="n"/>
      <c r="Q14053" s="19" t="n"/>
      <c r="R14053" s="19" t="n"/>
      <c r="Y14053" s="19" t="n"/>
    </row>
    <row r="14054">
      <c r="C14054" s="18" t="n"/>
      <c r="J14054" s="19" t="n"/>
      <c r="P14054" s="20" t="n"/>
      <c r="Q14054" s="19" t="n"/>
      <c r="R14054" s="19" t="n"/>
      <c r="Y14054" s="19" t="n"/>
    </row>
    <row r="14055">
      <c r="C14055" s="18" t="n"/>
      <c r="J14055" s="19" t="n"/>
      <c r="P14055" s="20" t="n"/>
      <c r="Q14055" s="19" t="n"/>
      <c r="R14055" s="19" t="n"/>
      <c r="Y14055" s="19" t="n"/>
    </row>
    <row r="14056">
      <c r="C14056" s="18" t="n"/>
      <c r="J14056" s="19" t="n"/>
      <c r="P14056" s="20" t="n"/>
      <c r="Q14056" s="19" t="n"/>
      <c r="R14056" s="19" t="n"/>
      <c r="Y14056" s="19" t="n"/>
    </row>
    <row r="14057">
      <c r="C14057" s="18" t="n"/>
      <c r="J14057" s="19" t="n"/>
      <c r="P14057" s="20" t="n"/>
      <c r="Q14057" s="19" t="n"/>
      <c r="R14057" s="19" t="n"/>
      <c r="Y14057" s="19" t="n"/>
    </row>
    <row r="14058">
      <c r="C14058" s="18" t="n"/>
      <c r="J14058" s="19" t="n"/>
      <c r="P14058" s="20" t="n"/>
      <c r="Q14058" s="19" t="n"/>
      <c r="R14058" s="19" t="n"/>
      <c r="Y14058" s="19" t="n"/>
    </row>
    <row r="14059">
      <c r="C14059" s="18" t="n"/>
      <c r="J14059" s="19" t="n"/>
      <c r="P14059" s="20" t="n"/>
      <c r="Q14059" s="19" t="n"/>
      <c r="R14059" s="19" t="n"/>
      <c r="Y14059" s="19" t="n"/>
    </row>
    <row r="14060">
      <c r="C14060" s="18" t="n"/>
      <c r="J14060" s="19" t="n"/>
      <c r="P14060" s="20" t="n"/>
      <c r="Q14060" s="19" t="n"/>
      <c r="R14060" s="19" t="n"/>
      <c r="Y14060" s="19" t="n"/>
    </row>
    <row r="14061">
      <c r="C14061" s="18" t="n"/>
      <c r="J14061" s="19" t="n"/>
      <c r="P14061" s="20" t="n"/>
      <c r="Q14061" s="19" t="n"/>
      <c r="R14061" s="19" t="n"/>
      <c r="Y14061" s="19" t="n"/>
    </row>
    <row r="14062">
      <c r="C14062" s="18" t="n"/>
      <c r="J14062" s="19" t="n"/>
      <c r="P14062" s="20" t="n"/>
      <c r="Q14062" s="19" t="n"/>
      <c r="R14062" s="19" t="n"/>
      <c r="Y14062" s="19" t="n"/>
    </row>
    <row r="14063">
      <c r="C14063" s="18" t="n"/>
      <c r="J14063" s="19" t="n"/>
      <c r="P14063" s="20" t="n"/>
      <c r="Q14063" s="19" t="n"/>
      <c r="R14063" s="19" t="n"/>
      <c r="Y14063" s="19" t="n"/>
    </row>
    <row r="14064">
      <c r="C14064" s="18" t="n"/>
      <c r="J14064" s="19" t="n"/>
      <c r="P14064" s="20" t="n"/>
      <c r="Q14064" s="19" t="n"/>
      <c r="R14064" s="19" t="n"/>
      <c r="Y14064" s="19" t="n"/>
    </row>
    <row r="14065">
      <c r="C14065" s="18" t="n"/>
      <c r="J14065" s="19" t="n"/>
      <c r="P14065" s="20" t="n"/>
      <c r="Q14065" s="19" t="n"/>
      <c r="R14065" s="19" t="n"/>
      <c r="Y14065" s="19" t="n"/>
    </row>
    <row r="14066">
      <c r="C14066" s="18" t="n"/>
      <c r="J14066" s="19" t="n"/>
      <c r="P14066" s="20" t="n"/>
      <c r="Q14066" s="19" t="n"/>
      <c r="R14066" s="19" t="n"/>
      <c r="Y14066" s="19" t="n"/>
    </row>
    <row r="14067">
      <c r="C14067" s="18" t="n"/>
      <c r="J14067" s="19" t="n"/>
      <c r="P14067" s="20" t="n"/>
      <c r="Q14067" s="19" t="n"/>
      <c r="R14067" s="19" t="n"/>
      <c r="Y14067" s="19" t="n"/>
    </row>
    <row r="14068">
      <c r="C14068" s="18" t="n"/>
      <c r="J14068" s="19" t="n"/>
      <c r="P14068" s="20" t="n"/>
      <c r="Q14068" s="19" t="n"/>
      <c r="R14068" s="19" t="n"/>
      <c r="Y14068" s="19" t="n"/>
    </row>
    <row r="14069">
      <c r="C14069" s="18" t="n"/>
      <c r="J14069" s="19" t="n"/>
      <c r="P14069" s="20" t="n"/>
      <c r="Q14069" s="19" t="n"/>
      <c r="R14069" s="19" t="n"/>
      <c r="Y14069" s="19" t="n"/>
    </row>
    <row r="14070">
      <c r="C14070" s="18" t="n"/>
      <c r="J14070" s="19" t="n"/>
      <c r="P14070" s="20" t="n"/>
      <c r="Q14070" s="19" t="n"/>
      <c r="R14070" s="19" t="n"/>
      <c r="Y14070" s="19" t="n"/>
    </row>
    <row r="14071">
      <c r="C14071" s="18" t="n"/>
      <c r="J14071" s="19" t="n"/>
      <c r="P14071" s="20" t="n"/>
      <c r="Q14071" s="19" t="n"/>
      <c r="R14071" s="19" t="n"/>
      <c r="Y14071" s="19" t="n"/>
    </row>
    <row r="14072">
      <c r="C14072" s="18" t="n"/>
      <c r="J14072" s="19" t="n"/>
      <c r="P14072" s="20" t="n"/>
      <c r="Q14072" s="19" t="n"/>
      <c r="R14072" s="19" t="n"/>
      <c r="Y14072" s="19" t="n"/>
    </row>
    <row r="14073">
      <c r="C14073" s="18" t="n"/>
      <c r="J14073" s="19" t="n"/>
      <c r="P14073" s="20" t="n"/>
      <c r="Q14073" s="19" t="n"/>
      <c r="R14073" s="19" t="n"/>
      <c r="Y14073" s="19" t="n"/>
    </row>
    <row r="14074">
      <c r="C14074" s="18" t="n"/>
      <c r="J14074" s="19" t="n"/>
      <c r="P14074" s="20" t="n"/>
      <c r="Q14074" s="19" t="n"/>
      <c r="R14074" s="19" t="n"/>
      <c r="Y14074" s="19" t="n"/>
    </row>
    <row r="14075">
      <c r="C14075" s="18" t="n"/>
      <c r="J14075" s="19" t="n"/>
      <c r="P14075" s="20" t="n"/>
      <c r="Q14075" s="19" t="n"/>
      <c r="R14075" s="19" t="n"/>
      <c r="Y14075" s="19" t="n"/>
    </row>
    <row r="14076">
      <c r="C14076" s="18" t="n"/>
      <c r="J14076" s="19" t="n"/>
      <c r="P14076" s="20" t="n"/>
      <c r="Q14076" s="19" t="n"/>
      <c r="R14076" s="19" t="n"/>
      <c r="Y14076" s="19" t="n"/>
    </row>
    <row r="14077">
      <c r="C14077" s="18" t="n"/>
      <c r="J14077" s="19" t="n"/>
      <c r="P14077" s="20" t="n"/>
      <c r="Q14077" s="19" t="n"/>
      <c r="R14077" s="19" t="n"/>
      <c r="Y14077" s="19" t="n"/>
    </row>
    <row r="14078">
      <c r="C14078" s="18" t="n"/>
      <c r="J14078" s="19" t="n"/>
      <c r="P14078" s="20" t="n"/>
      <c r="Q14078" s="19" t="n"/>
      <c r="R14078" s="19" t="n"/>
      <c r="Y14078" s="19" t="n"/>
    </row>
    <row r="14079">
      <c r="C14079" s="18" t="n"/>
      <c r="J14079" s="19" t="n"/>
      <c r="P14079" s="20" t="n"/>
      <c r="Q14079" s="19" t="n"/>
      <c r="R14079" s="19" t="n"/>
      <c r="Y14079" s="19" t="n"/>
    </row>
    <row r="14080">
      <c r="C14080" s="18" t="n"/>
      <c r="J14080" s="19" t="n"/>
      <c r="P14080" s="20" t="n"/>
      <c r="Q14080" s="19" t="n"/>
      <c r="R14080" s="19" t="n"/>
      <c r="Y14080" s="19" t="n"/>
    </row>
    <row r="14081">
      <c r="C14081" s="18" t="n"/>
      <c r="J14081" s="19" t="n"/>
      <c r="P14081" s="20" t="n"/>
      <c r="Q14081" s="19" t="n"/>
      <c r="R14081" s="19" t="n"/>
      <c r="Y14081" s="19" t="n"/>
    </row>
    <row r="14082">
      <c r="C14082" s="18" t="n"/>
      <c r="J14082" s="19" t="n"/>
      <c r="P14082" s="20" t="n"/>
      <c r="Q14082" s="19" t="n"/>
      <c r="R14082" s="19" t="n"/>
      <c r="Y14082" s="19" t="n"/>
    </row>
    <row r="14083">
      <c r="C14083" s="18" t="n"/>
      <c r="J14083" s="19" t="n"/>
      <c r="P14083" s="20" t="n"/>
      <c r="Q14083" s="19" t="n"/>
      <c r="R14083" s="19" t="n"/>
      <c r="Y14083" s="19" t="n"/>
    </row>
    <row r="14084">
      <c r="C14084" s="18" t="n"/>
      <c r="J14084" s="19" t="n"/>
      <c r="P14084" s="20" t="n"/>
      <c r="Q14084" s="19" t="n"/>
      <c r="R14084" s="19" t="n"/>
      <c r="Y14084" s="19" t="n"/>
    </row>
    <row r="14085">
      <c r="C14085" s="18" t="n"/>
      <c r="J14085" s="19" t="n"/>
      <c r="P14085" s="20" t="n"/>
      <c r="Q14085" s="19" t="n"/>
      <c r="R14085" s="19" t="n"/>
      <c r="Y14085" s="19" t="n"/>
    </row>
    <row r="14086">
      <c r="C14086" s="18" t="n"/>
      <c r="J14086" s="19" t="n"/>
      <c r="P14086" s="20" t="n"/>
      <c r="Q14086" s="19" t="n"/>
      <c r="R14086" s="19" t="n"/>
      <c r="Y14086" s="19" t="n"/>
    </row>
    <row r="14087">
      <c r="C14087" s="18" t="n"/>
      <c r="J14087" s="19" t="n"/>
      <c r="P14087" s="20" t="n"/>
      <c r="Q14087" s="19" t="n"/>
      <c r="R14087" s="19" t="n"/>
      <c r="Y14087" s="19" t="n"/>
    </row>
    <row r="14088">
      <c r="C14088" s="18" t="n"/>
      <c r="J14088" s="19" t="n"/>
      <c r="P14088" s="20" t="n"/>
      <c r="Q14088" s="19" t="n"/>
      <c r="R14088" s="19" t="n"/>
      <c r="Y14088" s="19" t="n"/>
    </row>
    <row r="14089">
      <c r="C14089" s="18" t="n"/>
      <c r="J14089" s="19" t="n"/>
      <c r="P14089" s="20" t="n"/>
      <c r="Q14089" s="19" t="n"/>
      <c r="R14089" s="19" t="n"/>
      <c r="Y14089" s="19" t="n"/>
    </row>
    <row r="14090">
      <c r="C14090" s="18" t="n"/>
      <c r="J14090" s="19" t="n"/>
      <c r="P14090" s="20" t="n"/>
      <c r="Q14090" s="19" t="n"/>
      <c r="R14090" s="19" t="n"/>
      <c r="Y14090" s="19" t="n"/>
    </row>
    <row r="14091">
      <c r="C14091" s="18" t="n"/>
      <c r="J14091" s="19" t="n"/>
      <c r="P14091" s="20" t="n"/>
      <c r="Q14091" s="19" t="n"/>
      <c r="R14091" s="19" t="n"/>
      <c r="Y14091" s="19" t="n"/>
    </row>
    <row r="14092">
      <c r="C14092" s="18" t="n"/>
      <c r="J14092" s="19" t="n"/>
      <c r="P14092" s="20" t="n"/>
      <c r="Q14092" s="19" t="n"/>
      <c r="R14092" s="19" t="n"/>
      <c r="Y14092" s="19" t="n"/>
    </row>
    <row r="14093">
      <c r="C14093" s="18" t="n"/>
      <c r="J14093" s="19" t="n"/>
      <c r="P14093" s="20" t="n"/>
      <c r="Q14093" s="19" t="n"/>
      <c r="R14093" s="19" t="n"/>
      <c r="Y14093" s="19" t="n"/>
    </row>
    <row r="14094">
      <c r="C14094" s="18" t="n"/>
      <c r="J14094" s="19" t="n"/>
      <c r="P14094" s="20" t="n"/>
      <c r="Q14094" s="19" t="n"/>
      <c r="R14094" s="19" t="n"/>
      <c r="Y14094" s="19" t="n"/>
    </row>
    <row r="14095">
      <c r="C14095" s="18" t="n"/>
      <c r="J14095" s="19" t="n"/>
      <c r="P14095" s="20" t="n"/>
      <c r="Q14095" s="19" t="n"/>
      <c r="R14095" s="19" t="n"/>
      <c r="Y14095" s="19" t="n"/>
    </row>
    <row r="14096">
      <c r="C14096" s="18" t="n"/>
      <c r="J14096" s="19" t="n"/>
      <c r="P14096" s="20" t="n"/>
      <c r="Q14096" s="19" t="n"/>
      <c r="R14096" s="19" t="n"/>
      <c r="Y14096" s="19" t="n"/>
    </row>
    <row r="14097">
      <c r="C14097" s="18" t="n"/>
      <c r="J14097" s="19" t="n"/>
      <c r="P14097" s="20" t="n"/>
      <c r="Q14097" s="19" t="n"/>
      <c r="R14097" s="19" t="n"/>
      <c r="Y14097" s="19" t="n"/>
    </row>
    <row r="14098">
      <c r="C14098" s="18" t="n"/>
      <c r="J14098" s="19" t="n"/>
      <c r="P14098" s="20" t="n"/>
      <c r="Q14098" s="19" t="n"/>
      <c r="R14098" s="19" t="n"/>
      <c r="Y14098" s="19" t="n"/>
    </row>
    <row r="14099">
      <c r="C14099" s="18" t="n"/>
      <c r="J14099" s="19" t="n"/>
      <c r="P14099" s="20" t="n"/>
      <c r="Q14099" s="19" t="n"/>
      <c r="R14099" s="19" t="n"/>
      <c r="Y14099" s="19" t="n"/>
    </row>
    <row r="14100">
      <c r="C14100" s="18" t="n"/>
      <c r="J14100" s="19" t="n"/>
      <c r="P14100" s="20" t="n"/>
      <c r="Q14100" s="19" t="n"/>
      <c r="R14100" s="19" t="n"/>
      <c r="Y14100" s="19" t="n"/>
    </row>
    <row r="14101">
      <c r="C14101" s="18" t="n"/>
      <c r="J14101" s="19" t="n"/>
      <c r="P14101" s="20" t="n"/>
      <c r="Q14101" s="19" t="n"/>
      <c r="R14101" s="19" t="n"/>
      <c r="Y14101" s="19" t="n"/>
    </row>
    <row r="14102">
      <c r="C14102" s="18" t="n"/>
      <c r="J14102" s="19" t="n"/>
      <c r="P14102" s="20" t="n"/>
      <c r="Q14102" s="19" t="n"/>
      <c r="R14102" s="19" t="n"/>
      <c r="Y14102" s="19" t="n"/>
    </row>
    <row r="14103">
      <c r="C14103" s="18" t="n"/>
      <c r="J14103" s="19" t="n"/>
      <c r="P14103" s="20" t="n"/>
      <c r="Q14103" s="19" t="n"/>
      <c r="R14103" s="19" t="n"/>
      <c r="Y14103" s="19" t="n"/>
    </row>
    <row r="14104">
      <c r="C14104" s="18" t="n"/>
      <c r="J14104" s="19" t="n"/>
      <c r="P14104" s="20" t="n"/>
      <c r="Q14104" s="19" t="n"/>
      <c r="R14104" s="19" t="n"/>
      <c r="Y14104" s="19" t="n"/>
    </row>
    <row r="14105">
      <c r="C14105" s="18" t="n"/>
      <c r="J14105" s="19" t="n"/>
      <c r="P14105" s="20" t="n"/>
      <c r="Q14105" s="19" t="n"/>
      <c r="R14105" s="19" t="n"/>
      <c r="Y14105" s="19" t="n"/>
    </row>
    <row r="14106">
      <c r="C14106" s="18" t="n"/>
      <c r="J14106" s="19" t="n"/>
      <c r="P14106" s="20" t="n"/>
      <c r="Q14106" s="19" t="n"/>
      <c r="R14106" s="19" t="n"/>
      <c r="Y14106" s="19" t="n"/>
    </row>
    <row r="14107">
      <c r="C14107" s="18" t="n"/>
      <c r="J14107" s="19" t="n"/>
      <c r="P14107" s="20" t="n"/>
      <c r="Q14107" s="19" t="n"/>
      <c r="R14107" s="19" t="n"/>
      <c r="Y14107" s="19" t="n"/>
    </row>
    <row r="14108">
      <c r="C14108" s="18" t="n"/>
      <c r="J14108" s="19" t="n"/>
      <c r="P14108" s="20" t="n"/>
      <c r="Q14108" s="19" t="n"/>
      <c r="R14108" s="19" t="n"/>
      <c r="Y14108" s="19" t="n"/>
    </row>
    <row r="14109">
      <c r="C14109" s="18" t="n"/>
      <c r="J14109" s="19" t="n"/>
      <c r="P14109" s="20" t="n"/>
      <c r="Q14109" s="19" t="n"/>
      <c r="R14109" s="19" t="n"/>
      <c r="Y14109" s="19" t="n"/>
    </row>
    <row r="14110">
      <c r="C14110" s="18" t="n"/>
      <c r="J14110" s="19" t="n"/>
      <c r="P14110" s="20" t="n"/>
      <c r="Q14110" s="19" t="n"/>
      <c r="R14110" s="19" t="n"/>
      <c r="Y14110" s="19" t="n"/>
    </row>
    <row r="14111">
      <c r="C14111" s="18" t="n"/>
      <c r="J14111" s="19" t="n"/>
      <c r="P14111" s="20" t="n"/>
      <c r="Q14111" s="19" t="n"/>
      <c r="R14111" s="19" t="n"/>
      <c r="Y14111" s="19" t="n"/>
    </row>
    <row r="14112">
      <c r="C14112" s="18" t="n"/>
      <c r="J14112" s="19" t="n"/>
      <c r="P14112" s="20" t="n"/>
      <c r="Q14112" s="19" t="n"/>
      <c r="R14112" s="19" t="n"/>
      <c r="Y14112" s="19" t="n"/>
    </row>
    <row r="14113">
      <c r="C14113" s="18" t="n"/>
      <c r="J14113" s="19" t="n"/>
      <c r="P14113" s="20" t="n"/>
      <c r="Q14113" s="19" t="n"/>
      <c r="R14113" s="19" t="n"/>
      <c r="Y14113" s="19" t="n"/>
    </row>
    <row r="14114">
      <c r="C14114" s="18" t="n"/>
      <c r="J14114" s="19" t="n"/>
      <c r="P14114" s="20" t="n"/>
      <c r="Q14114" s="19" t="n"/>
      <c r="R14114" s="19" t="n"/>
      <c r="Y14114" s="19" t="n"/>
    </row>
    <row r="14115">
      <c r="C14115" s="18" t="n"/>
      <c r="J14115" s="19" t="n"/>
      <c r="P14115" s="20" t="n"/>
      <c r="Q14115" s="19" t="n"/>
      <c r="R14115" s="19" t="n"/>
      <c r="Y14115" s="19" t="n"/>
    </row>
    <row r="14116">
      <c r="C14116" s="18" t="n"/>
      <c r="J14116" s="19" t="n"/>
      <c r="P14116" s="20" t="n"/>
      <c r="Q14116" s="19" t="n"/>
      <c r="R14116" s="19" t="n"/>
      <c r="Y14116" s="19" t="n"/>
    </row>
    <row r="14117">
      <c r="C14117" s="18" t="n"/>
      <c r="J14117" s="19" t="n"/>
      <c r="P14117" s="20" t="n"/>
      <c r="Q14117" s="19" t="n"/>
      <c r="R14117" s="19" t="n"/>
      <c r="Y14117" s="19" t="n"/>
    </row>
    <row r="14118">
      <c r="C14118" s="18" t="n"/>
      <c r="J14118" s="19" t="n"/>
      <c r="P14118" s="20" t="n"/>
      <c r="Q14118" s="19" t="n"/>
      <c r="R14118" s="19" t="n"/>
      <c r="Y14118" s="19" t="n"/>
    </row>
    <row r="14119">
      <c r="C14119" s="18" t="n"/>
      <c r="J14119" s="19" t="n"/>
      <c r="P14119" s="20" t="n"/>
      <c r="Q14119" s="19" t="n"/>
      <c r="R14119" s="19" t="n"/>
      <c r="Y14119" s="19" t="n"/>
    </row>
    <row r="14120">
      <c r="C14120" s="18" t="n"/>
      <c r="J14120" s="19" t="n"/>
      <c r="P14120" s="20" t="n"/>
      <c r="Q14120" s="19" t="n"/>
      <c r="R14120" s="19" t="n"/>
      <c r="Y14120" s="19" t="n"/>
    </row>
    <row r="14121">
      <c r="C14121" s="18" t="n"/>
      <c r="J14121" s="19" t="n"/>
      <c r="P14121" s="20" t="n"/>
      <c r="Q14121" s="19" t="n"/>
      <c r="R14121" s="19" t="n"/>
      <c r="Y14121" s="19" t="n"/>
    </row>
    <row r="14122">
      <c r="C14122" s="18" t="n"/>
      <c r="J14122" s="19" t="n"/>
      <c r="P14122" s="20" t="n"/>
      <c r="Q14122" s="19" t="n"/>
      <c r="R14122" s="19" t="n"/>
      <c r="Y14122" s="19" t="n"/>
    </row>
    <row r="14123">
      <c r="C14123" s="18" t="n"/>
      <c r="J14123" s="19" t="n"/>
      <c r="P14123" s="20" t="n"/>
      <c r="Q14123" s="19" t="n"/>
      <c r="R14123" s="19" t="n"/>
      <c r="Y14123" s="19" t="n"/>
    </row>
    <row r="14124">
      <c r="C14124" s="18" t="n"/>
      <c r="J14124" s="19" t="n"/>
      <c r="P14124" s="20" t="n"/>
      <c r="Q14124" s="19" t="n"/>
      <c r="R14124" s="19" t="n"/>
      <c r="Y14124" s="19" t="n"/>
    </row>
    <row r="14125">
      <c r="C14125" s="18" t="n"/>
      <c r="J14125" s="19" t="n"/>
      <c r="P14125" s="20" t="n"/>
      <c r="Q14125" s="19" t="n"/>
      <c r="R14125" s="19" t="n"/>
      <c r="Y14125" s="19" t="n"/>
    </row>
    <row r="14126">
      <c r="C14126" s="18" t="n"/>
      <c r="J14126" s="19" t="n"/>
      <c r="P14126" s="20" t="n"/>
      <c r="Q14126" s="19" t="n"/>
      <c r="R14126" s="19" t="n"/>
      <c r="Y14126" s="19" t="n"/>
    </row>
    <row r="14127">
      <c r="C14127" s="18" t="n"/>
      <c r="J14127" s="19" t="n"/>
      <c r="P14127" s="20" t="n"/>
      <c r="Q14127" s="19" t="n"/>
      <c r="R14127" s="19" t="n"/>
      <c r="Y14127" s="19" t="n"/>
    </row>
    <row r="14128">
      <c r="C14128" s="18" t="n"/>
      <c r="J14128" s="19" t="n"/>
      <c r="P14128" s="20" t="n"/>
      <c r="Q14128" s="19" t="n"/>
      <c r="R14128" s="19" t="n"/>
      <c r="Y14128" s="19" t="n"/>
    </row>
    <row r="14129">
      <c r="C14129" s="18" t="n"/>
      <c r="J14129" s="19" t="n"/>
      <c r="P14129" s="20" t="n"/>
      <c r="Q14129" s="19" t="n"/>
      <c r="R14129" s="19" t="n"/>
      <c r="Y14129" s="19" t="n"/>
    </row>
    <row r="14130">
      <c r="C14130" s="18" t="n"/>
      <c r="J14130" s="19" t="n"/>
      <c r="P14130" s="20" t="n"/>
      <c r="Q14130" s="19" t="n"/>
      <c r="R14130" s="19" t="n"/>
      <c r="Y14130" s="19" t="n"/>
    </row>
    <row r="14131">
      <c r="C14131" s="18" t="n"/>
      <c r="J14131" s="19" t="n"/>
      <c r="P14131" s="20" t="n"/>
      <c r="Q14131" s="19" t="n"/>
      <c r="R14131" s="19" t="n"/>
      <c r="Y14131" s="19" t="n"/>
    </row>
    <row r="14132">
      <c r="C14132" s="18" t="n"/>
      <c r="J14132" s="19" t="n"/>
      <c r="P14132" s="20" t="n"/>
      <c r="Q14132" s="19" t="n"/>
      <c r="R14132" s="19" t="n"/>
      <c r="Y14132" s="19" t="n"/>
    </row>
    <row r="14133">
      <c r="C14133" s="18" t="n"/>
      <c r="J14133" s="19" t="n"/>
      <c r="P14133" s="20" t="n"/>
      <c r="Q14133" s="19" t="n"/>
      <c r="R14133" s="19" t="n"/>
      <c r="Y14133" s="19" t="n"/>
    </row>
    <row r="14134">
      <c r="C14134" s="18" t="n"/>
      <c r="J14134" s="19" t="n"/>
      <c r="P14134" s="20" t="n"/>
      <c r="Q14134" s="19" t="n"/>
      <c r="R14134" s="19" t="n"/>
      <c r="Y14134" s="19" t="n"/>
    </row>
    <row r="14135">
      <c r="C14135" s="18" t="n"/>
      <c r="J14135" s="19" t="n"/>
      <c r="P14135" s="20" t="n"/>
      <c r="Q14135" s="19" t="n"/>
      <c r="R14135" s="19" t="n"/>
      <c r="Y14135" s="19" t="n"/>
    </row>
    <row r="14136">
      <c r="C14136" s="18" t="n"/>
      <c r="J14136" s="19" t="n"/>
      <c r="P14136" s="20" t="n"/>
      <c r="Q14136" s="19" t="n"/>
      <c r="R14136" s="19" t="n"/>
      <c r="Y14136" s="19" t="n"/>
    </row>
    <row r="14137">
      <c r="C14137" s="18" t="n"/>
      <c r="J14137" s="19" t="n"/>
      <c r="P14137" s="20" t="n"/>
      <c r="Q14137" s="19" t="n"/>
      <c r="R14137" s="19" t="n"/>
      <c r="Y14137" s="19" t="n"/>
    </row>
    <row r="14138">
      <c r="C14138" s="18" t="n"/>
      <c r="J14138" s="19" t="n"/>
      <c r="P14138" s="20" t="n"/>
      <c r="Q14138" s="19" t="n"/>
      <c r="R14138" s="19" t="n"/>
      <c r="Y14138" s="19" t="n"/>
    </row>
    <row r="14139">
      <c r="C14139" s="18" t="n"/>
      <c r="J14139" s="19" t="n"/>
      <c r="P14139" s="20" t="n"/>
      <c r="Q14139" s="19" t="n"/>
      <c r="R14139" s="19" t="n"/>
      <c r="Y14139" s="19" t="n"/>
    </row>
    <row r="14140">
      <c r="C14140" s="18" t="n"/>
      <c r="J14140" s="19" t="n"/>
      <c r="P14140" s="20" t="n"/>
      <c r="Q14140" s="19" t="n"/>
      <c r="R14140" s="19" t="n"/>
      <c r="Y14140" s="19" t="n"/>
    </row>
    <row r="14141">
      <c r="C14141" s="18" t="n"/>
      <c r="J14141" s="19" t="n"/>
      <c r="P14141" s="20" t="n"/>
      <c r="Q14141" s="19" t="n"/>
      <c r="R14141" s="19" t="n"/>
      <c r="Y14141" s="19" t="n"/>
    </row>
    <row r="14142">
      <c r="C14142" s="18" t="n"/>
      <c r="J14142" s="19" t="n"/>
      <c r="P14142" s="20" t="n"/>
      <c r="Q14142" s="19" t="n"/>
      <c r="R14142" s="19" t="n"/>
      <c r="Y14142" s="19" t="n"/>
    </row>
    <row r="14143">
      <c r="C14143" s="18" t="n"/>
      <c r="J14143" s="19" t="n"/>
      <c r="P14143" s="20" t="n"/>
      <c r="Q14143" s="19" t="n"/>
      <c r="R14143" s="19" t="n"/>
      <c r="Y14143" s="19" t="n"/>
    </row>
    <row r="14144">
      <c r="C14144" s="18" t="n"/>
      <c r="J14144" s="19" t="n"/>
      <c r="P14144" s="20" t="n"/>
      <c r="Q14144" s="19" t="n"/>
      <c r="R14144" s="19" t="n"/>
      <c r="Y14144" s="19" t="n"/>
    </row>
    <row r="14145">
      <c r="C14145" s="18" t="n"/>
      <c r="J14145" s="19" t="n"/>
      <c r="P14145" s="20" t="n"/>
      <c r="Q14145" s="19" t="n"/>
      <c r="R14145" s="19" t="n"/>
      <c r="Y14145" s="19" t="n"/>
    </row>
    <row r="14146">
      <c r="C14146" s="18" t="n"/>
      <c r="J14146" s="19" t="n"/>
      <c r="P14146" s="20" t="n"/>
      <c r="Q14146" s="19" t="n"/>
      <c r="R14146" s="19" t="n"/>
      <c r="Y14146" s="19" t="n"/>
    </row>
    <row r="14147">
      <c r="C14147" s="18" t="n"/>
      <c r="J14147" s="19" t="n"/>
      <c r="P14147" s="20" t="n"/>
      <c r="Q14147" s="19" t="n"/>
      <c r="R14147" s="19" t="n"/>
      <c r="Y14147" s="19" t="n"/>
    </row>
    <row r="14148">
      <c r="C14148" s="18" t="n"/>
      <c r="J14148" s="19" t="n"/>
      <c r="P14148" s="20" t="n"/>
      <c r="Q14148" s="19" t="n"/>
      <c r="R14148" s="19" t="n"/>
      <c r="Y14148" s="19" t="n"/>
    </row>
    <row r="14149">
      <c r="C14149" s="18" t="n"/>
      <c r="J14149" s="19" t="n"/>
      <c r="P14149" s="20" t="n"/>
      <c r="Q14149" s="19" t="n"/>
      <c r="R14149" s="19" t="n"/>
      <c r="Y14149" s="19" t="n"/>
    </row>
    <row r="14150">
      <c r="C14150" s="18" t="n"/>
      <c r="J14150" s="19" t="n"/>
      <c r="P14150" s="20" t="n"/>
      <c r="Q14150" s="19" t="n"/>
      <c r="R14150" s="19" t="n"/>
      <c r="Y14150" s="19" t="n"/>
    </row>
    <row r="14151">
      <c r="C14151" s="18" t="n"/>
      <c r="J14151" s="19" t="n"/>
      <c r="P14151" s="20" t="n"/>
      <c r="Q14151" s="19" t="n"/>
      <c r="R14151" s="19" t="n"/>
      <c r="Y14151" s="19" t="n"/>
    </row>
    <row r="14152">
      <c r="C14152" s="18" t="n"/>
      <c r="J14152" s="19" t="n"/>
      <c r="P14152" s="20" t="n"/>
      <c r="Q14152" s="19" t="n"/>
      <c r="R14152" s="19" t="n"/>
      <c r="Y14152" s="19" t="n"/>
    </row>
    <row r="14153">
      <c r="C14153" s="18" t="n"/>
      <c r="J14153" s="19" t="n"/>
      <c r="P14153" s="20" t="n"/>
      <c r="Q14153" s="19" t="n"/>
      <c r="R14153" s="19" t="n"/>
      <c r="Y14153" s="19" t="n"/>
    </row>
    <row r="14154">
      <c r="C14154" s="18" t="n"/>
      <c r="J14154" s="19" t="n"/>
      <c r="P14154" s="20" t="n"/>
      <c r="Q14154" s="19" t="n"/>
      <c r="R14154" s="19" t="n"/>
      <c r="Y14154" s="19" t="n"/>
    </row>
    <row r="14155">
      <c r="C14155" s="18" t="n"/>
      <c r="J14155" s="19" t="n"/>
      <c r="P14155" s="20" t="n"/>
      <c r="Q14155" s="19" t="n"/>
      <c r="R14155" s="19" t="n"/>
      <c r="Y14155" s="19" t="n"/>
    </row>
    <row r="14156">
      <c r="C14156" s="18" t="n"/>
      <c r="J14156" s="19" t="n"/>
      <c r="P14156" s="20" t="n"/>
      <c r="Q14156" s="19" t="n"/>
      <c r="R14156" s="19" t="n"/>
      <c r="Y14156" s="19" t="n"/>
    </row>
    <row r="14157">
      <c r="C14157" s="18" t="n"/>
      <c r="J14157" s="19" t="n"/>
      <c r="P14157" s="20" t="n"/>
      <c r="Q14157" s="19" t="n"/>
      <c r="R14157" s="19" t="n"/>
      <c r="Y14157" s="19" t="n"/>
    </row>
    <row r="14158">
      <c r="C14158" s="18" t="n"/>
      <c r="J14158" s="19" t="n"/>
      <c r="P14158" s="20" t="n"/>
      <c r="Q14158" s="19" t="n"/>
      <c r="R14158" s="19" t="n"/>
      <c r="Y14158" s="19" t="n"/>
    </row>
    <row r="14159">
      <c r="C14159" s="18" t="n"/>
      <c r="J14159" s="19" t="n"/>
      <c r="P14159" s="20" t="n"/>
      <c r="Q14159" s="19" t="n"/>
      <c r="R14159" s="19" t="n"/>
      <c r="Y14159" s="19" t="n"/>
    </row>
    <row r="14160">
      <c r="C14160" s="18" t="n"/>
      <c r="J14160" s="19" t="n"/>
      <c r="P14160" s="20" t="n"/>
      <c r="Q14160" s="19" t="n"/>
      <c r="R14160" s="19" t="n"/>
      <c r="Y14160" s="19" t="n"/>
    </row>
    <row r="14161">
      <c r="C14161" s="18" t="n"/>
      <c r="J14161" s="19" t="n"/>
      <c r="P14161" s="20" t="n"/>
      <c r="Q14161" s="19" t="n"/>
      <c r="R14161" s="19" t="n"/>
      <c r="Y14161" s="19" t="n"/>
    </row>
    <row r="14162">
      <c r="C14162" s="18" t="n"/>
      <c r="J14162" s="19" t="n"/>
      <c r="P14162" s="20" t="n"/>
      <c r="Q14162" s="19" t="n"/>
      <c r="R14162" s="19" t="n"/>
      <c r="Y14162" s="19" t="n"/>
    </row>
    <row r="14163">
      <c r="C14163" s="18" t="n"/>
      <c r="J14163" s="19" t="n"/>
      <c r="P14163" s="20" t="n"/>
      <c r="Q14163" s="19" t="n"/>
      <c r="R14163" s="19" t="n"/>
      <c r="Y14163" s="19" t="n"/>
    </row>
    <row r="14164">
      <c r="C14164" s="18" t="n"/>
      <c r="J14164" s="19" t="n"/>
      <c r="P14164" s="20" t="n"/>
      <c r="Q14164" s="19" t="n"/>
      <c r="R14164" s="19" t="n"/>
      <c r="Y14164" s="19" t="n"/>
    </row>
    <row r="14165">
      <c r="C14165" s="18" t="n"/>
      <c r="J14165" s="19" t="n"/>
      <c r="P14165" s="20" t="n"/>
      <c r="Q14165" s="19" t="n"/>
      <c r="R14165" s="19" t="n"/>
      <c r="Y14165" s="19" t="n"/>
    </row>
    <row r="14166">
      <c r="C14166" s="18" t="n"/>
      <c r="J14166" s="19" t="n"/>
      <c r="P14166" s="20" t="n"/>
      <c r="Q14166" s="19" t="n"/>
      <c r="R14166" s="19" t="n"/>
      <c r="Y14166" s="19" t="n"/>
    </row>
    <row r="14167">
      <c r="C14167" s="18" t="n"/>
      <c r="J14167" s="19" t="n"/>
      <c r="P14167" s="20" t="n"/>
      <c r="Q14167" s="19" t="n"/>
      <c r="R14167" s="19" t="n"/>
      <c r="Y14167" s="19" t="n"/>
    </row>
    <row r="14168">
      <c r="C14168" s="18" t="n"/>
      <c r="J14168" s="19" t="n"/>
      <c r="P14168" s="20" t="n"/>
      <c r="Q14168" s="19" t="n"/>
      <c r="R14168" s="19" t="n"/>
      <c r="Y14168" s="19" t="n"/>
    </row>
    <row r="14169">
      <c r="C14169" s="18" t="n"/>
      <c r="J14169" s="19" t="n"/>
      <c r="P14169" s="20" t="n"/>
      <c r="Q14169" s="19" t="n"/>
      <c r="R14169" s="19" t="n"/>
      <c r="Y14169" s="19" t="n"/>
    </row>
    <row r="14170">
      <c r="C14170" s="18" t="n"/>
      <c r="J14170" s="19" t="n"/>
      <c r="P14170" s="20" t="n"/>
      <c r="Q14170" s="19" t="n"/>
      <c r="R14170" s="19" t="n"/>
      <c r="Y14170" s="19" t="n"/>
    </row>
    <row r="14171">
      <c r="C14171" s="18" t="n"/>
      <c r="J14171" s="19" t="n"/>
      <c r="P14171" s="20" t="n"/>
      <c r="Q14171" s="19" t="n"/>
      <c r="R14171" s="19" t="n"/>
      <c r="Y14171" s="19" t="n"/>
    </row>
    <row r="14172">
      <c r="C14172" s="18" t="n"/>
      <c r="J14172" s="19" t="n"/>
      <c r="P14172" s="20" t="n"/>
      <c r="Q14172" s="19" t="n"/>
      <c r="R14172" s="19" t="n"/>
      <c r="Y14172" s="19" t="n"/>
    </row>
    <row r="14173">
      <c r="C14173" s="18" t="n"/>
      <c r="J14173" s="19" t="n"/>
      <c r="P14173" s="20" t="n"/>
      <c r="Q14173" s="19" t="n"/>
      <c r="R14173" s="19" t="n"/>
      <c r="Y14173" s="19" t="n"/>
    </row>
    <row r="14174">
      <c r="C14174" s="18" t="n"/>
      <c r="J14174" s="19" t="n"/>
      <c r="P14174" s="20" t="n"/>
      <c r="Q14174" s="19" t="n"/>
      <c r="R14174" s="19" t="n"/>
      <c r="Y14174" s="19" t="n"/>
    </row>
    <row r="14175">
      <c r="C14175" s="18" t="n"/>
      <c r="J14175" s="19" t="n"/>
      <c r="P14175" s="20" t="n"/>
      <c r="Q14175" s="19" t="n"/>
      <c r="R14175" s="19" t="n"/>
      <c r="Y14175" s="19" t="n"/>
    </row>
    <row r="14176">
      <c r="C14176" s="18" t="n"/>
      <c r="J14176" s="19" t="n"/>
      <c r="P14176" s="20" t="n"/>
      <c r="Q14176" s="19" t="n"/>
      <c r="R14176" s="19" t="n"/>
      <c r="Y14176" s="19" t="n"/>
    </row>
    <row r="14177">
      <c r="C14177" s="18" t="n"/>
      <c r="J14177" s="19" t="n"/>
      <c r="P14177" s="20" t="n"/>
      <c r="Q14177" s="19" t="n"/>
      <c r="R14177" s="19" t="n"/>
      <c r="Y14177" s="19" t="n"/>
    </row>
    <row r="14178">
      <c r="C14178" s="18" t="n"/>
      <c r="J14178" s="19" t="n"/>
      <c r="P14178" s="20" t="n"/>
      <c r="Q14178" s="19" t="n"/>
      <c r="R14178" s="19" t="n"/>
      <c r="Y14178" s="19" t="n"/>
    </row>
    <row r="14179">
      <c r="C14179" s="18" t="n"/>
      <c r="J14179" s="19" t="n"/>
      <c r="P14179" s="20" t="n"/>
      <c r="Q14179" s="19" t="n"/>
      <c r="R14179" s="19" t="n"/>
      <c r="Y14179" s="19" t="n"/>
    </row>
    <row r="14180">
      <c r="C14180" s="18" t="n"/>
      <c r="J14180" s="19" t="n"/>
      <c r="P14180" s="20" t="n"/>
      <c r="Q14180" s="19" t="n"/>
      <c r="R14180" s="19" t="n"/>
      <c r="Y14180" s="19" t="n"/>
    </row>
    <row r="14181">
      <c r="C14181" s="18" t="n"/>
      <c r="J14181" s="19" t="n"/>
      <c r="P14181" s="20" t="n"/>
      <c r="Q14181" s="19" t="n"/>
      <c r="R14181" s="19" t="n"/>
      <c r="Y14181" s="19" t="n"/>
    </row>
    <row r="14182">
      <c r="C14182" s="18" t="n"/>
      <c r="J14182" s="19" t="n"/>
      <c r="P14182" s="20" t="n"/>
      <c r="Q14182" s="19" t="n"/>
      <c r="R14182" s="19" t="n"/>
      <c r="Y14182" s="19" t="n"/>
    </row>
    <row r="14183">
      <c r="C14183" s="18" t="n"/>
      <c r="J14183" s="19" t="n"/>
      <c r="P14183" s="20" t="n"/>
      <c r="Q14183" s="19" t="n"/>
      <c r="R14183" s="19" t="n"/>
      <c r="Y14183" s="19" t="n"/>
    </row>
    <row r="14184">
      <c r="C14184" s="18" t="n"/>
      <c r="J14184" s="19" t="n"/>
      <c r="P14184" s="20" t="n"/>
      <c r="Q14184" s="19" t="n"/>
      <c r="R14184" s="19" t="n"/>
      <c r="Y14184" s="19" t="n"/>
    </row>
    <row r="14185">
      <c r="C14185" s="18" t="n"/>
      <c r="J14185" s="19" t="n"/>
      <c r="P14185" s="20" t="n"/>
      <c r="Q14185" s="19" t="n"/>
      <c r="R14185" s="19" t="n"/>
      <c r="Y14185" s="19" t="n"/>
    </row>
    <row r="14186">
      <c r="C14186" s="18" t="n"/>
      <c r="J14186" s="19" t="n"/>
      <c r="P14186" s="20" t="n"/>
      <c r="Q14186" s="19" t="n"/>
      <c r="R14186" s="19" t="n"/>
      <c r="Y14186" s="19" t="n"/>
    </row>
    <row r="14187">
      <c r="C14187" s="18" t="n"/>
      <c r="J14187" s="19" t="n"/>
      <c r="P14187" s="20" t="n"/>
      <c r="Q14187" s="19" t="n"/>
      <c r="R14187" s="19" t="n"/>
      <c r="Y14187" s="19" t="n"/>
    </row>
    <row r="14188">
      <c r="C14188" s="18" t="n"/>
      <c r="J14188" s="19" t="n"/>
      <c r="P14188" s="20" t="n"/>
      <c r="Q14188" s="19" t="n"/>
      <c r="R14188" s="19" t="n"/>
      <c r="Y14188" s="19" t="n"/>
    </row>
    <row r="14189">
      <c r="C14189" s="18" t="n"/>
      <c r="J14189" s="19" t="n"/>
      <c r="P14189" s="20" t="n"/>
      <c r="Q14189" s="19" t="n"/>
      <c r="R14189" s="19" t="n"/>
      <c r="Y14189" s="19" t="n"/>
    </row>
    <row r="14190">
      <c r="C14190" s="18" t="n"/>
      <c r="J14190" s="19" t="n"/>
      <c r="P14190" s="20" t="n"/>
      <c r="Q14190" s="19" t="n"/>
      <c r="R14190" s="19" t="n"/>
      <c r="Y14190" s="19" t="n"/>
    </row>
    <row r="14191">
      <c r="C14191" s="18" t="n"/>
      <c r="J14191" s="19" t="n"/>
      <c r="P14191" s="20" t="n"/>
      <c r="Q14191" s="19" t="n"/>
      <c r="R14191" s="19" t="n"/>
      <c r="Y14191" s="19" t="n"/>
    </row>
    <row r="14192">
      <c r="C14192" s="18" t="n"/>
      <c r="J14192" s="19" t="n"/>
      <c r="P14192" s="20" t="n"/>
      <c r="Q14192" s="19" t="n"/>
      <c r="R14192" s="19" t="n"/>
      <c r="Y14192" s="19" t="n"/>
    </row>
    <row r="14193">
      <c r="C14193" s="18" t="n"/>
      <c r="J14193" s="19" t="n"/>
      <c r="P14193" s="20" t="n"/>
      <c r="Q14193" s="19" t="n"/>
      <c r="R14193" s="19" t="n"/>
      <c r="Y14193" s="19" t="n"/>
    </row>
    <row r="14194">
      <c r="C14194" s="18" t="n"/>
      <c r="J14194" s="19" t="n"/>
      <c r="P14194" s="20" t="n"/>
      <c r="Q14194" s="19" t="n"/>
      <c r="R14194" s="19" t="n"/>
      <c r="Y14194" s="19" t="n"/>
    </row>
    <row r="14195">
      <c r="C14195" s="18" t="n"/>
      <c r="J14195" s="19" t="n"/>
      <c r="P14195" s="20" t="n"/>
      <c r="Q14195" s="19" t="n"/>
      <c r="R14195" s="19" t="n"/>
      <c r="Y14195" s="19" t="n"/>
    </row>
    <row r="14196">
      <c r="C14196" s="18" t="n"/>
      <c r="J14196" s="19" t="n"/>
      <c r="P14196" s="20" t="n"/>
      <c r="Q14196" s="19" t="n"/>
      <c r="R14196" s="19" t="n"/>
      <c r="Y14196" s="19" t="n"/>
    </row>
    <row r="14197">
      <c r="C14197" s="18" t="n"/>
      <c r="J14197" s="19" t="n"/>
      <c r="P14197" s="20" t="n"/>
      <c r="Q14197" s="19" t="n"/>
      <c r="R14197" s="19" t="n"/>
      <c r="Y14197" s="19" t="n"/>
    </row>
    <row r="14198">
      <c r="C14198" s="18" t="n"/>
      <c r="J14198" s="19" t="n"/>
      <c r="P14198" s="20" t="n"/>
      <c r="Q14198" s="19" t="n"/>
      <c r="R14198" s="19" t="n"/>
      <c r="Y14198" s="19" t="n"/>
    </row>
    <row r="14199">
      <c r="C14199" s="18" t="n"/>
      <c r="J14199" s="19" t="n"/>
      <c r="P14199" s="20" t="n"/>
      <c r="Q14199" s="19" t="n"/>
      <c r="R14199" s="19" t="n"/>
      <c r="Y14199" s="19" t="n"/>
    </row>
    <row r="14200">
      <c r="C14200" s="18" t="n"/>
      <c r="J14200" s="19" t="n"/>
      <c r="P14200" s="20" t="n"/>
      <c r="Q14200" s="19" t="n"/>
      <c r="R14200" s="19" t="n"/>
      <c r="Y14200" s="19" t="n"/>
    </row>
    <row r="14201">
      <c r="C14201" s="18" t="n"/>
      <c r="J14201" s="19" t="n"/>
      <c r="P14201" s="20" t="n"/>
      <c r="Q14201" s="19" t="n"/>
      <c r="R14201" s="19" t="n"/>
      <c r="Y14201" s="19" t="n"/>
    </row>
    <row r="14202">
      <c r="C14202" s="18" t="n"/>
      <c r="J14202" s="19" t="n"/>
      <c r="P14202" s="20" t="n"/>
      <c r="Q14202" s="19" t="n"/>
      <c r="R14202" s="19" t="n"/>
      <c r="Y14202" s="19" t="n"/>
    </row>
    <row r="14203">
      <c r="C14203" s="18" t="n"/>
      <c r="J14203" s="19" t="n"/>
      <c r="P14203" s="20" t="n"/>
      <c r="Q14203" s="19" t="n"/>
      <c r="R14203" s="19" t="n"/>
      <c r="Y14203" s="19" t="n"/>
    </row>
    <row r="14204">
      <c r="C14204" s="18" t="n"/>
      <c r="J14204" s="19" t="n"/>
      <c r="P14204" s="20" t="n"/>
      <c r="Q14204" s="19" t="n"/>
      <c r="R14204" s="19" t="n"/>
      <c r="Y14204" s="19" t="n"/>
    </row>
    <row r="14205">
      <c r="C14205" s="18" t="n"/>
      <c r="J14205" s="19" t="n"/>
      <c r="P14205" s="20" t="n"/>
      <c r="Q14205" s="19" t="n"/>
      <c r="R14205" s="19" t="n"/>
      <c r="Y14205" s="19" t="n"/>
    </row>
    <row r="14206">
      <c r="C14206" s="18" t="n"/>
      <c r="J14206" s="19" t="n"/>
      <c r="P14206" s="20" t="n"/>
      <c r="Q14206" s="19" t="n"/>
      <c r="R14206" s="19" t="n"/>
      <c r="Y14206" s="19" t="n"/>
    </row>
    <row r="14207">
      <c r="C14207" s="18" t="n"/>
      <c r="J14207" s="19" t="n"/>
      <c r="P14207" s="20" t="n"/>
      <c r="Q14207" s="19" t="n"/>
      <c r="R14207" s="19" t="n"/>
      <c r="Y14207" s="19" t="n"/>
    </row>
    <row r="14208">
      <c r="C14208" s="18" t="n"/>
      <c r="J14208" s="19" t="n"/>
      <c r="P14208" s="20" t="n"/>
      <c r="Q14208" s="19" t="n"/>
      <c r="R14208" s="19" t="n"/>
      <c r="Y14208" s="19" t="n"/>
    </row>
    <row r="14209">
      <c r="C14209" s="18" t="n"/>
      <c r="J14209" s="19" t="n"/>
      <c r="P14209" s="20" t="n"/>
      <c r="Q14209" s="19" t="n"/>
      <c r="R14209" s="19" t="n"/>
      <c r="Y14209" s="19" t="n"/>
    </row>
    <row r="14210">
      <c r="C14210" s="18" t="n"/>
      <c r="J14210" s="19" t="n"/>
      <c r="P14210" s="20" t="n"/>
      <c r="Q14210" s="19" t="n"/>
      <c r="R14210" s="19" t="n"/>
      <c r="Y14210" s="19" t="n"/>
    </row>
    <row r="14211">
      <c r="C14211" s="18" t="n"/>
      <c r="J14211" s="19" t="n"/>
      <c r="P14211" s="20" t="n"/>
      <c r="Q14211" s="19" t="n"/>
      <c r="R14211" s="19" t="n"/>
      <c r="Y14211" s="19" t="n"/>
    </row>
    <row r="14212">
      <c r="C14212" s="18" t="n"/>
      <c r="J14212" s="19" t="n"/>
      <c r="P14212" s="20" t="n"/>
      <c r="Q14212" s="19" t="n"/>
      <c r="R14212" s="19" t="n"/>
      <c r="Y14212" s="19" t="n"/>
    </row>
    <row r="14213">
      <c r="C14213" s="18" t="n"/>
      <c r="J14213" s="19" t="n"/>
      <c r="P14213" s="20" t="n"/>
      <c r="Q14213" s="19" t="n"/>
      <c r="R14213" s="19" t="n"/>
      <c r="Y14213" s="19" t="n"/>
    </row>
    <row r="14214">
      <c r="C14214" s="18" t="n"/>
      <c r="J14214" s="19" t="n"/>
      <c r="P14214" s="20" t="n"/>
      <c r="Q14214" s="19" t="n"/>
      <c r="R14214" s="19" t="n"/>
      <c r="Y14214" s="19" t="n"/>
    </row>
    <row r="14215">
      <c r="C14215" s="18" t="n"/>
      <c r="J14215" s="19" t="n"/>
      <c r="P14215" s="20" t="n"/>
      <c r="Q14215" s="19" t="n"/>
      <c r="R14215" s="19" t="n"/>
      <c r="Y14215" s="19" t="n"/>
    </row>
    <row r="14216">
      <c r="C14216" s="18" t="n"/>
      <c r="J14216" s="19" t="n"/>
      <c r="P14216" s="20" t="n"/>
      <c r="Q14216" s="19" t="n"/>
      <c r="R14216" s="19" t="n"/>
      <c r="Y14216" s="19" t="n"/>
    </row>
    <row r="14217">
      <c r="C14217" s="18" t="n"/>
      <c r="J14217" s="19" t="n"/>
      <c r="P14217" s="20" t="n"/>
      <c r="Q14217" s="19" t="n"/>
      <c r="R14217" s="19" t="n"/>
      <c r="Y14217" s="19" t="n"/>
    </row>
    <row r="14218">
      <c r="C14218" s="18" t="n"/>
      <c r="J14218" s="19" t="n"/>
      <c r="P14218" s="20" t="n"/>
      <c r="Q14218" s="19" t="n"/>
      <c r="R14218" s="19" t="n"/>
      <c r="Y14218" s="19" t="n"/>
    </row>
    <row r="14219">
      <c r="C14219" s="18" t="n"/>
      <c r="J14219" s="19" t="n"/>
      <c r="P14219" s="20" t="n"/>
      <c r="Q14219" s="19" t="n"/>
      <c r="R14219" s="19" t="n"/>
      <c r="Y14219" s="19" t="n"/>
    </row>
    <row r="14220">
      <c r="C14220" s="18" t="n"/>
      <c r="J14220" s="19" t="n"/>
      <c r="P14220" s="20" t="n"/>
      <c r="Q14220" s="19" t="n"/>
      <c r="R14220" s="19" t="n"/>
      <c r="Y14220" s="19" t="n"/>
    </row>
    <row r="14221">
      <c r="C14221" s="18" t="n"/>
      <c r="J14221" s="19" t="n"/>
      <c r="P14221" s="20" t="n"/>
      <c r="Q14221" s="19" t="n"/>
      <c r="R14221" s="19" t="n"/>
      <c r="Y14221" s="19" t="n"/>
    </row>
    <row r="14222">
      <c r="C14222" s="18" t="n"/>
      <c r="J14222" s="19" t="n"/>
      <c r="P14222" s="20" t="n"/>
      <c r="Q14222" s="19" t="n"/>
      <c r="R14222" s="19" t="n"/>
      <c r="Y14222" s="19" t="n"/>
    </row>
    <row r="14223">
      <c r="C14223" s="18" t="n"/>
      <c r="J14223" s="19" t="n"/>
      <c r="P14223" s="20" t="n"/>
      <c r="Q14223" s="19" t="n"/>
      <c r="R14223" s="19" t="n"/>
      <c r="Y14223" s="19" t="n"/>
    </row>
    <row r="14224">
      <c r="C14224" s="18" t="n"/>
      <c r="J14224" s="19" t="n"/>
      <c r="P14224" s="20" t="n"/>
      <c r="Q14224" s="19" t="n"/>
      <c r="R14224" s="19" t="n"/>
      <c r="Y14224" s="19" t="n"/>
    </row>
    <row r="14225">
      <c r="C14225" s="18" t="n"/>
      <c r="J14225" s="19" t="n"/>
      <c r="P14225" s="20" t="n"/>
      <c r="Q14225" s="19" t="n"/>
      <c r="R14225" s="19" t="n"/>
      <c r="Y14225" s="19" t="n"/>
    </row>
    <row r="14226">
      <c r="C14226" s="18" t="n"/>
      <c r="J14226" s="19" t="n"/>
      <c r="P14226" s="20" t="n"/>
      <c r="Q14226" s="19" t="n"/>
      <c r="R14226" s="19" t="n"/>
      <c r="Y14226" s="19" t="n"/>
    </row>
    <row r="14227">
      <c r="C14227" s="18" t="n"/>
      <c r="J14227" s="19" t="n"/>
      <c r="P14227" s="20" t="n"/>
      <c r="Q14227" s="19" t="n"/>
      <c r="R14227" s="19" t="n"/>
      <c r="Y14227" s="19" t="n"/>
    </row>
    <row r="14228">
      <c r="C14228" s="18" t="n"/>
      <c r="J14228" s="19" t="n"/>
      <c r="P14228" s="20" t="n"/>
      <c r="Q14228" s="19" t="n"/>
      <c r="R14228" s="19" t="n"/>
      <c r="Y14228" s="19" t="n"/>
    </row>
    <row r="14229">
      <c r="C14229" s="18" t="n"/>
      <c r="J14229" s="19" t="n"/>
      <c r="P14229" s="20" t="n"/>
      <c r="Q14229" s="19" t="n"/>
      <c r="R14229" s="19" t="n"/>
      <c r="Y14229" s="19" t="n"/>
    </row>
    <row r="14230">
      <c r="C14230" s="18" t="n"/>
      <c r="J14230" s="19" t="n"/>
      <c r="P14230" s="20" t="n"/>
      <c r="Q14230" s="19" t="n"/>
      <c r="R14230" s="19" t="n"/>
      <c r="Y14230" s="19" t="n"/>
    </row>
    <row r="14231">
      <c r="C14231" s="18" t="n"/>
      <c r="J14231" s="19" t="n"/>
      <c r="P14231" s="20" t="n"/>
      <c r="Q14231" s="19" t="n"/>
      <c r="R14231" s="19" t="n"/>
      <c r="Y14231" s="19" t="n"/>
    </row>
    <row r="14232">
      <c r="C14232" s="18" t="n"/>
      <c r="J14232" s="19" t="n"/>
      <c r="P14232" s="20" t="n"/>
      <c r="Q14232" s="19" t="n"/>
      <c r="R14232" s="19" t="n"/>
      <c r="Y14232" s="19" t="n"/>
    </row>
    <row r="14233">
      <c r="C14233" s="18" t="n"/>
      <c r="J14233" s="19" t="n"/>
      <c r="P14233" s="20" t="n"/>
      <c r="Q14233" s="19" t="n"/>
      <c r="R14233" s="19" t="n"/>
      <c r="Y14233" s="19" t="n"/>
    </row>
    <row r="14234">
      <c r="C14234" s="18" t="n"/>
      <c r="J14234" s="19" t="n"/>
      <c r="P14234" s="20" t="n"/>
      <c r="Q14234" s="19" t="n"/>
      <c r="R14234" s="19" t="n"/>
      <c r="Y14234" s="19" t="n"/>
    </row>
    <row r="14235">
      <c r="C14235" s="18" t="n"/>
      <c r="J14235" s="19" t="n"/>
      <c r="P14235" s="20" t="n"/>
      <c r="Q14235" s="19" t="n"/>
      <c r="R14235" s="19" t="n"/>
      <c r="Y14235" s="19" t="n"/>
    </row>
    <row r="14236">
      <c r="C14236" s="18" t="n"/>
      <c r="J14236" s="19" t="n"/>
      <c r="P14236" s="20" t="n"/>
      <c r="Q14236" s="19" t="n"/>
      <c r="R14236" s="19" t="n"/>
      <c r="Y14236" s="19" t="n"/>
    </row>
    <row r="14237">
      <c r="C14237" s="18" t="n"/>
      <c r="J14237" s="19" t="n"/>
      <c r="P14237" s="20" t="n"/>
      <c r="Q14237" s="19" t="n"/>
      <c r="R14237" s="19" t="n"/>
      <c r="Y14237" s="19" t="n"/>
    </row>
    <row r="14238">
      <c r="C14238" s="18" t="n"/>
      <c r="J14238" s="19" t="n"/>
      <c r="P14238" s="20" t="n"/>
      <c r="Q14238" s="19" t="n"/>
      <c r="R14238" s="19" t="n"/>
      <c r="Y14238" s="19" t="n"/>
    </row>
    <row r="14239">
      <c r="C14239" s="18" t="n"/>
      <c r="J14239" s="19" t="n"/>
      <c r="P14239" s="20" t="n"/>
      <c r="Q14239" s="19" t="n"/>
      <c r="R14239" s="19" t="n"/>
      <c r="Y14239" s="19" t="n"/>
    </row>
    <row r="14240">
      <c r="C14240" s="18" t="n"/>
      <c r="J14240" s="19" t="n"/>
      <c r="P14240" s="20" t="n"/>
      <c r="Q14240" s="19" t="n"/>
      <c r="R14240" s="19" t="n"/>
      <c r="Y14240" s="19" t="n"/>
    </row>
    <row r="14241">
      <c r="C14241" s="18" t="n"/>
      <c r="J14241" s="19" t="n"/>
      <c r="P14241" s="20" t="n"/>
      <c r="Q14241" s="19" t="n"/>
      <c r="R14241" s="19" t="n"/>
      <c r="Y14241" s="19" t="n"/>
    </row>
    <row r="14242">
      <c r="C14242" s="18" t="n"/>
      <c r="J14242" s="19" t="n"/>
      <c r="P14242" s="20" t="n"/>
      <c r="Q14242" s="19" t="n"/>
      <c r="R14242" s="19" t="n"/>
      <c r="Y14242" s="19" t="n"/>
    </row>
    <row r="14243">
      <c r="C14243" s="18" t="n"/>
      <c r="J14243" s="19" t="n"/>
      <c r="P14243" s="20" t="n"/>
      <c r="Q14243" s="19" t="n"/>
      <c r="R14243" s="19" t="n"/>
      <c r="Y14243" s="19" t="n"/>
    </row>
    <row r="14244">
      <c r="C14244" s="18" t="n"/>
      <c r="J14244" s="19" t="n"/>
      <c r="P14244" s="20" t="n"/>
      <c r="Q14244" s="19" t="n"/>
      <c r="R14244" s="19" t="n"/>
      <c r="Y14244" s="19" t="n"/>
    </row>
    <row r="14245">
      <c r="C14245" s="18" t="n"/>
      <c r="J14245" s="19" t="n"/>
      <c r="P14245" s="20" t="n"/>
      <c r="Q14245" s="19" t="n"/>
      <c r="R14245" s="19" t="n"/>
      <c r="Y14245" s="19" t="n"/>
    </row>
    <row r="14246">
      <c r="C14246" s="18" t="n"/>
      <c r="J14246" s="19" t="n"/>
      <c r="P14246" s="20" t="n"/>
      <c r="Q14246" s="19" t="n"/>
      <c r="R14246" s="19" t="n"/>
      <c r="Y14246" s="19" t="n"/>
    </row>
    <row r="14247">
      <c r="C14247" s="18" t="n"/>
      <c r="J14247" s="19" t="n"/>
      <c r="P14247" s="20" t="n"/>
      <c r="Q14247" s="19" t="n"/>
      <c r="R14247" s="19" t="n"/>
      <c r="Y14247" s="19" t="n"/>
    </row>
    <row r="14248">
      <c r="C14248" s="18" t="n"/>
      <c r="J14248" s="19" t="n"/>
      <c r="P14248" s="20" t="n"/>
      <c r="Q14248" s="19" t="n"/>
      <c r="R14248" s="19" t="n"/>
      <c r="Y14248" s="19" t="n"/>
    </row>
    <row r="14249">
      <c r="C14249" s="18" t="n"/>
      <c r="J14249" s="19" t="n"/>
      <c r="P14249" s="20" t="n"/>
      <c r="Q14249" s="19" t="n"/>
      <c r="R14249" s="19" t="n"/>
      <c r="Y14249" s="19" t="n"/>
    </row>
    <row r="14250">
      <c r="C14250" s="18" t="n"/>
      <c r="J14250" s="19" t="n"/>
      <c r="P14250" s="20" t="n"/>
      <c r="Q14250" s="19" t="n"/>
      <c r="R14250" s="19" t="n"/>
      <c r="Y14250" s="19" t="n"/>
    </row>
    <row r="14251">
      <c r="C14251" s="18" t="n"/>
      <c r="J14251" s="19" t="n"/>
      <c r="P14251" s="20" t="n"/>
      <c r="Q14251" s="19" t="n"/>
      <c r="R14251" s="19" t="n"/>
      <c r="Y14251" s="19" t="n"/>
    </row>
    <row r="14252">
      <c r="C14252" s="18" t="n"/>
      <c r="J14252" s="19" t="n"/>
      <c r="P14252" s="20" t="n"/>
      <c r="Q14252" s="19" t="n"/>
      <c r="R14252" s="19" t="n"/>
      <c r="Y14252" s="19" t="n"/>
    </row>
    <row r="14253">
      <c r="C14253" s="18" t="n"/>
      <c r="J14253" s="19" t="n"/>
      <c r="P14253" s="20" t="n"/>
      <c r="Q14253" s="19" t="n"/>
      <c r="R14253" s="19" t="n"/>
      <c r="Y14253" s="19" t="n"/>
    </row>
    <row r="14254">
      <c r="C14254" s="18" t="n"/>
      <c r="J14254" s="19" t="n"/>
      <c r="P14254" s="20" t="n"/>
      <c r="Q14254" s="19" t="n"/>
      <c r="R14254" s="19" t="n"/>
      <c r="Y14254" s="19" t="n"/>
    </row>
    <row r="14255">
      <c r="C14255" s="18" t="n"/>
      <c r="J14255" s="19" t="n"/>
      <c r="P14255" s="20" t="n"/>
      <c r="Q14255" s="19" t="n"/>
      <c r="R14255" s="19" t="n"/>
      <c r="Y14255" s="19" t="n"/>
    </row>
    <row r="14256">
      <c r="C14256" s="18" t="n"/>
      <c r="J14256" s="19" t="n"/>
      <c r="P14256" s="20" t="n"/>
      <c r="Q14256" s="19" t="n"/>
      <c r="R14256" s="19" t="n"/>
      <c r="Y14256" s="19" t="n"/>
    </row>
    <row r="14257">
      <c r="C14257" s="18" t="n"/>
      <c r="J14257" s="19" t="n"/>
      <c r="P14257" s="20" t="n"/>
      <c r="Q14257" s="19" t="n"/>
      <c r="R14257" s="19" t="n"/>
      <c r="Y14257" s="19" t="n"/>
    </row>
    <row r="14258">
      <c r="C14258" s="18" t="n"/>
      <c r="J14258" s="19" t="n"/>
      <c r="P14258" s="20" t="n"/>
      <c r="Q14258" s="19" t="n"/>
      <c r="R14258" s="19" t="n"/>
      <c r="Y14258" s="19" t="n"/>
    </row>
    <row r="14259">
      <c r="C14259" s="18" t="n"/>
      <c r="J14259" s="19" t="n"/>
      <c r="P14259" s="20" t="n"/>
      <c r="Q14259" s="19" t="n"/>
      <c r="R14259" s="19" t="n"/>
      <c r="Y14259" s="19" t="n"/>
    </row>
    <row r="14260">
      <c r="C14260" s="18" t="n"/>
      <c r="J14260" s="19" t="n"/>
      <c r="P14260" s="20" t="n"/>
      <c r="Q14260" s="19" t="n"/>
      <c r="R14260" s="19" t="n"/>
      <c r="Y14260" s="19" t="n"/>
    </row>
    <row r="14261">
      <c r="C14261" s="18" t="n"/>
      <c r="J14261" s="19" t="n"/>
      <c r="P14261" s="20" t="n"/>
      <c r="Q14261" s="19" t="n"/>
      <c r="R14261" s="19" t="n"/>
      <c r="Y14261" s="19" t="n"/>
    </row>
    <row r="14262">
      <c r="C14262" s="18" t="n"/>
      <c r="J14262" s="19" t="n"/>
      <c r="P14262" s="20" t="n"/>
      <c r="Q14262" s="19" t="n"/>
      <c r="R14262" s="19" t="n"/>
      <c r="Y14262" s="19" t="n"/>
    </row>
    <row r="14263">
      <c r="C14263" s="18" t="n"/>
      <c r="J14263" s="19" t="n"/>
      <c r="P14263" s="20" t="n"/>
      <c r="Q14263" s="19" t="n"/>
      <c r="R14263" s="19" t="n"/>
      <c r="Y14263" s="19" t="n"/>
    </row>
    <row r="14264">
      <c r="C14264" s="18" t="n"/>
      <c r="J14264" s="19" t="n"/>
      <c r="P14264" s="20" t="n"/>
      <c r="Q14264" s="19" t="n"/>
      <c r="R14264" s="19" t="n"/>
      <c r="Y14264" s="19" t="n"/>
    </row>
    <row r="14265">
      <c r="C14265" s="18" t="n"/>
      <c r="J14265" s="19" t="n"/>
      <c r="P14265" s="20" t="n"/>
      <c r="Q14265" s="19" t="n"/>
      <c r="R14265" s="19" t="n"/>
      <c r="Y14265" s="19" t="n"/>
    </row>
    <row r="14266">
      <c r="C14266" s="18" t="n"/>
      <c r="J14266" s="19" t="n"/>
      <c r="P14266" s="20" t="n"/>
      <c r="Q14266" s="19" t="n"/>
      <c r="R14266" s="19" t="n"/>
      <c r="Y14266" s="19" t="n"/>
    </row>
    <row r="14267">
      <c r="C14267" s="18" t="n"/>
      <c r="J14267" s="19" t="n"/>
      <c r="P14267" s="20" t="n"/>
      <c r="Q14267" s="19" t="n"/>
      <c r="R14267" s="19" t="n"/>
      <c r="Y14267" s="19" t="n"/>
    </row>
    <row r="14268">
      <c r="C14268" s="18" t="n"/>
      <c r="J14268" s="19" t="n"/>
      <c r="P14268" s="20" t="n"/>
      <c r="Q14268" s="19" t="n"/>
      <c r="R14268" s="19" t="n"/>
      <c r="Y14268" s="19" t="n"/>
    </row>
    <row r="14269">
      <c r="C14269" s="18" t="n"/>
      <c r="J14269" s="19" t="n"/>
      <c r="P14269" s="20" t="n"/>
      <c r="Q14269" s="19" t="n"/>
      <c r="R14269" s="19" t="n"/>
      <c r="Y14269" s="19" t="n"/>
    </row>
    <row r="14270">
      <c r="C14270" s="18" t="n"/>
      <c r="J14270" s="19" t="n"/>
      <c r="P14270" s="20" t="n"/>
      <c r="Q14270" s="19" t="n"/>
      <c r="R14270" s="19" t="n"/>
      <c r="Y14270" s="19" t="n"/>
    </row>
    <row r="14271">
      <c r="C14271" s="18" t="n"/>
      <c r="J14271" s="19" t="n"/>
      <c r="P14271" s="20" t="n"/>
      <c r="Q14271" s="19" t="n"/>
      <c r="R14271" s="19" t="n"/>
      <c r="Y14271" s="19" t="n"/>
    </row>
    <row r="14272">
      <c r="C14272" s="18" t="n"/>
      <c r="J14272" s="19" t="n"/>
      <c r="P14272" s="20" t="n"/>
      <c r="Q14272" s="19" t="n"/>
      <c r="R14272" s="19" t="n"/>
      <c r="Y14272" s="19" t="n"/>
    </row>
    <row r="14273">
      <c r="C14273" s="18" t="n"/>
      <c r="J14273" s="19" t="n"/>
      <c r="P14273" s="20" t="n"/>
      <c r="Q14273" s="19" t="n"/>
      <c r="R14273" s="19" t="n"/>
      <c r="Y14273" s="19" t="n"/>
    </row>
    <row r="14274">
      <c r="C14274" s="18" t="n"/>
      <c r="J14274" s="19" t="n"/>
      <c r="P14274" s="20" t="n"/>
      <c r="Q14274" s="19" t="n"/>
      <c r="R14274" s="19" t="n"/>
      <c r="Y14274" s="19" t="n"/>
    </row>
    <row r="14275">
      <c r="C14275" s="18" t="n"/>
      <c r="J14275" s="19" t="n"/>
      <c r="P14275" s="20" t="n"/>
      <c r="Q14275" s="19" t="n"/>
      <c r="R14275" s="19" t="n"/>
      <c r="Y14275" s="19" t="n"/>
    </row>
    <row r="14276">
      <c r="C14276" s="18" t="n"/>
      <c r="J14276" s="19" t="n"/>
      <c r="P14276" s="20" t="n"/>
      <c r="Q14276" s="19" t="n"/>
      <c r="R14276" s="19" t="n"/>
      <c r="Y14276" s="19" t="n"/>
    </row>
    <row r="14277">
      <c r="C14277" s="18" t="n"/>
      <c r="J14277" s="19" t="n"/>
      <c r="P14277" s="20" t="n"/>
      <c r="Q14277" s="19" t="n"/>
      <c r="R14277" s="19" t="n"/>
      <c r="Y14277" s="19" t="n"/>
    </row>
    <row r="14278">
      <c r="C14278" s="18" t="n"/>
      <c r="J14278" s="19" t="n"/>
      <c r="P14278" s="20" t="n"/>
      <c r="Q14278" s="19" t="n"/>
      <c r="R14278" s="19" t="n"/>
      <c r="Y14278" s="19" t="n"/>
    </row>
    <row r="14279">
      <c r="C14279" s="18" t="n"/>
      <c r="J14279" s="19" t="n"/>
      <c r="P14279" s="20" t="n"/>
      <c r="Q14279" s="19" t="n"/>
      <c r="R14279" s="19" t="n"/>
      <c r="Y14279" s="19" t="n"/>
    </row>
    <row r="14280">
      <c r="C14280" s="18" t="n"/>
      <c r="J14280" s="19" t="n"/>
      <c r="P14280" s="20" t="n"/>
      <c r="Q14280" s="19" t="n"/>
      <c r="R14280" s="19" t="n"/>
      <c r="Y14280" s="19" t="n"/>
    </row>
    <row r="14281">
      <c r="C14281" s="18" t="n"/>
      <c r="J14281" s="19" t="n"/>
      <c r="P14281" s="20" t="n"/>
      <c r="Q14281" s="19" t="n"/>
      <c r="R14281" s="19" t="n"/>
      <c r="Y14281" s="19" t="n"/>
    </row>
    <row r="14282">
      <c r="C14282" s="18" t="n"/>
      <c r="J14282" s="19" t="n"/>
      <c r="P14282" s="20" t="n"/>
      <c r="Q14282" s="19" t="n"/>
      <c r="R14282" s="19" t="n"/>
      <c r="Y14282" s="19" t="n"/>
    </row>
    <row r="14283">
      <c r="C14283" s="18" t="n"/>
      <c r="J14283" s="19" t="n"/>
      <c r="P14283" s="20" t="n"/>
      <c r="Q14283" s="19" t="n"/>
      <c r="R14283" s="19" t="n"/>
      <c r="Y14283" s="19" t="n"/>
    </row>
    <row r="14284">
      <c r="C14284" s="18" t="n"/>
      <c r="J14284" s="19" t="n"/>
      <c r="P14284" s="20" t="n"/>
      <c r="Q14284" s="19" t="n"/>
      <c r="R14284" s="19" t="n"/>
      <c r="Y14284" s="19" t="n"/>
    </row>
    <row r="14285">
      <c r="C14285" s="18" t="n"/>
      <c r="J14285" s="19" t="n"/>
      <c r="P14285" s="20" t="n"/>
      <c r="Q14285" s="19" t="n"/>
      <c r="R14285" s="19" t="n"/>
      <c r="Y14285" s="19" t="n"/>
    </row>
    <row r="14286">
      <c r="C14286" s="18" t="n"/>
      <c r="J14286" s="19" t="n"/>
      <c r="P14286" s="20" t="n"/>
      <c r="Q14286" s="19" t="n"/>
      <c r="R14286" s="19" t="n"/>
      <c r="Y14286" s="19" t="n"/>
    </row>
    <row r="14287">
      <c r="C14287" s="18" t="n"/>
      <c r="J14287" s="19" t="n"/>
      <c r="P14287" s="20" t="n"/>
      <c r="Q14287" s="19" t="n"/>
      <c r="R14287" s="19" t="n"/>
      <c r="Y14287" s="19" t="n"/>
    </row>
    <row r="14288">
      <c r="C14288" s="18" t="n"/>
      <c r="J14288" s="19" t="n"/>
      <c r="P14288" s="20" t="n"/>
      <c r="Q14288" s="19" t="n"/>
      <c r="R14288" s="19" t="n"/>
      <c r="Y14288" s="19" t="n"/>
    </row>
    <row r="14289">
      <c r="C14289" s="18" t="n"/>
      <c r="J14289" s="19" t="n"/>
      <c r="P14289" s="20" t="n"/>
      <c r="Q14289" s="19" t="n"/>
      <c r="R14289" s="19" t="n"/>
      <c r="Y14289" s="19" t="n"/>
    </row>
    <row r="14290">
      <c r="C14290" s="18" t="n"/>
      <c r="J14290" s="19" t="n"/>
      <c r="P14290" s="20" t="n"/>
      <c r="Q14290" s="19" t="n"/>
      <c r="R14290" s="19" t="n"/>
      <c r="Y14290" s="19" t="n"/>
    </row>
    <row r="14291">
      <c r="C14291" s="18" t="n"/>
      <c r="J14291" s="19" t="n"/>
      <c r="P14291" s="20" t="n"/>
      <c r="Q14291" s="19" t="n"/>
      <c r="R14291" s="19" t="n"/>
      <c r="Y14291" s="19" t="n"/>
    </row>
    <row r="14292">
      <c r="C14292" s="18" t="n"/>
      <c r="J14292" s="19" t="n"/>
      <c r="P14292" s="20" t="n"/>
      <c r="Q14292" s="19" t="n"/>
      <c r="R14292" s="19" t="n"/>
      <c r="Y14292" s="19" t="n"/>
    </row>
    <row r="14293">
      <c r="C14293" s="18" t="n"/>
      <c r="J14293" s="19" t="n"/>
      <c r="P14293" s="20" t="n"/>
      <c r="Q14293" s="19" t="n"/>
      <c r="R14293" s="19" t="n"/>
      <c r="Y14293" s="19" t="n"/>
    </row>
    <row r="14294">
      <c r="C14294" s="18" t="n"/>
      <c r="J14294" s="19" t="n"/>
      <c r="P14294" s="20" t="n"/>
      <c r="Q14294" s="19" t="n"/>
      <c r="R14294" s="19" t="n"/>
      <c r="Y14294" s="19" t="n"/>
    </row>
    <row r="14295">
      <c r="C14295" s="18" t="n"/>
      <c r="J14295" s="19" t="n"/>
      <c r="P14295" s="20" t="n"/>
      <c r="Q14295" s="19" t="n"/>
      <c r="R14295" s="19" t="n"/>
      <c r="Y14295" s="19" t="n"/>
    </row>
    <row r="14296">
      <c r="C14296" s="18" t="n"/>
      <c r="J14296" s="19" t="n"/>
      <c r="P14296" s="20" t="n"/>
      <c r="Q14296" s="19" t="n"/>
      <c r="R14296" s="19" t="n"/>
      <c r="Y14296" s="19" t="n"/>
    </row>
    <row r="14297">
      <c r="C14297" s="18" t="n"/>
      <c r="J14297" s="19" t="n"/>
      <c r="P14297" s="20" t="n"/>
      <c r="Q14297" s="19" t="n"/>
      <c r="R14297" s="19" t="n"/>
      <c r="Y14297" s="19" t="n"/>
    </row>
    <row r="14298">
      <c r="C14298" s="18" t="n"/>
      <c r="J14298" s="19" t="n"/>
      <c r="P14298" s="20" t="n"/>
      <c r="Q14298" s="19" t="n"/>
      <c r="R14298" s="19" t="n"/>
      <c r="Y14298" s="19" t="n"/>
    </row>
    <row r="14299">
      <c r="C14299" s="18" t="n"/>
      <c r="J14299" s="19" t="n"/>
      <c r="P14299" s="20" t="n"/>
      <c r="Q14299" s="19" t="n"/>
      <c r="R14299" s="19" t="n"/>
      <c r="Y14299" s="19" t="n"/>
    </row>
    <row r="14300">
      <c r="C14300" s="18" t="n"/>
      <c r="J14300" s="19" t="n"/>
      <c r="P14300" s="20" t="n"/>
      <c r="Q14300" s="19" t="n"/>
      <c r="R14300" s="19" t="n"/>
      <c r="Y14300" s="19" t="n"/>
    </row>
    <row r="14301">
      <c r="C14301" s="18" t="n"/>
      <c r="J14301" s="19" t="n"/>
      <c r="P14301" s="20" t="n"/>
      <c r="Q14301" s="19" t="n"/>
      <c r="R14301" s="19" t="n"/>
      <c r="Y14301" s="19" t="n"/>
    </row>
    <row r="14302">
      <c r="C14302" s="18" t="n"/>
      <c r="J14302" s="19" t="n"/>
      <c r="P14302" s="20" t="n"/>
      <c r="Q14302" s="19" t="n"/>
      <c r="R14302" s="19" t="n"/>
      <c r="Y14302" s="19" t="n"/>
    </row>
    <row r="14303">
      <c r="C14303" s="18" t="n"/>
      <c r="J14303" s="19" t="n"/>
      <c r="P14303" s="20" t="n"/>
      <c r="Q14303" s="19" t="n"/>
      <c r="R14303" s="19" t="n"/>
      <c r="Y14303" s="19" t="n"/>
    </row>
    <row r="14304">
      <c r="C14304" s="18" t="n"/>
      <c r="J14304" s="19" t="n"/>
      <c r="P14304" s="20" t="n"/>
      <c r="Q14304" s="19" t="n"/>
      <c r="R14304" s="19" t="n"/>
      <c r="Y14304" s="19" t="n"/>
    </row>
    <row r="14305">
      <c r="C14305" s="18" t="n"/>
      <c r="J14305" s="19" t="n"/>
      <c r="P14305" s="20" t="n"/>
      <c r="Q14305" s="19" t="n"/>
      <c r="R14305" s="19" t="n"/>
      <c r="Y14305" s="19" t="n"/>
    </row>
    <row r="14306">
      <c r="C14306" s="18" t="n"/>
      <c r="J14306" s="19" t="n"/>
      <c r="P14306" s="20" t="n"/>
      <c r="Q14306" s="19" t="n"/>
      <c r="R14306" s="19" t="n"/>
      <c r="Y14306" s="19" t="n"/>
    </row>
    <row r="14307">
      <c r="C14307" s="18" t="n"/>
      <c r="J14307" s="19" t="n"/>
      <c r="P14307" s="20" t="n"/>
      <c r="Q14307" s="19" t="n"/>
      <c r="R14307" s="19" t="n"/>
      <c r="Y14307" s="19" t="n"/>
    </row>
    <row r="14308">
      <c r="C14308" s="18" t="n"/>
      <c r="J14308" s="19" t="n"/>
      <c r="P14308" s="20" t="n"/>
      <c r="Q14308" s="19" t="n"/>
      <c r="R14308" s="19" t="n"/>
      <c r="Y14308" s="19" t="n"/>
    </row>
    <row r="14309">
      <c r="C14309" s="18" t="n"/>
      <c r="J14309" s="19" t="n"/>
      <c r="P14309" s="20" t="n"/>
      <c r="Q14309" s="19" t="n"/>
      <c r="R14309" s="19" t="n"/>
      <c r="Y14309" s="19" t="n"/>
    </row>
    <row r="14310">
      <c r="C14310" s="18" t="n"/>
      <c r="J14310" s="19" t="n"/>
      <c r="P14310" s="20" t="n"/>
      <c r="Q14310" s="19" t="n"/>
      <c r="R14310" s="19" t="n"/>
      <c r="Y14310" s="19" t="n"/>
    </row>
    <row r="14311">
      <c r="C14311" s="18" t="n"/>
      <c r="J14311" s="19" t="n"/>
      <c r="P14311" s="20" t="n"/>
      <c r="Q14311" s="19" t="n"/>
      <c r="R14311" s="19" t="n"/>
      <c r="Y14311" s="19" t="n"/>
    </row>
    <row r="14312">
      <c r="C14312" s="18" t="n"/>
      <c r="J14312" s="19" t="n"/>
      <c r="P14312" s="20" t="n"/>
      <c r="Q14312" s="19" t="n"/>
      <c r="R14312" s="19" t="n"/>
      <c r="Y14312" s="19" t="n"/>
    </row>
    <row r="14313">
      <c r="C14313" s="18" t="n"/>
      <c r="J14313" s="19" t="n"/>
      <c r="P14313" s="20" t="n"/>
      <c r="Q14313" s="19" t="n"/>
      <c r="R14313" s="19" t="n"/>
      <c r="Y14313" s="19" t="n"/>
    </row>
    <row r="14314">
      <c r="C14314" s="18" t="n"/>
      <c r="J14314" s="19" t="n"/>
      <c r="P14314" s="20" t="n"/>
      <c r="Q14314" s="19" t="n"/>
      <c r="R14314" s="19" t="n"/>
      <c r="Y14314" s="19" t="n"/>
    </row>
    <row r="14315">
      <c r="C14315" s="18" t="n"/>
      <c r="J14315" s="19" t="n"/>
      <c r="P14315" s="20" t="n"/>
      <c r="Q14315" s="19" t="n"/>
      <c r="R14315" s="19" t="n"/>
      <c r="Y14315" s="19" t="n"/>
    </row>
    <row r="14316">
      <c r="C14316" s="18" t="n"/>
      <c r="J14316" s="19" t="n"/>
      <c r="P14316" s="20" t="n"/>
      <c r="Q14316" s="19" t="n"/>
      <c r="R14316" s="19" t="n"/>
      <c r="Y14316" s="19" t="n"/>
    </row>
    <row r="14317">
      <c r="C14317" s="18" t="n"/>
      <c r="J14317" s="19" t="n"/>
      <c r="P14317" s="20" t="n"/>
      <c r="Q14317" s="19" t="n"/>
      <c r="R14317" s="19" t="n"/>
      <c r="Y14317" s="19" t="n"/>
    </row>
    <row r="14318">
      <c r="C14318" s="18" t="n"/>
      <c r="J14318" s="19" t="n"/>
      <c r="P14318" s="20" t="n"/>
      <c r="Q14318" s="19" t="n"/>
      <c r="R14318" s="19" t="n"/>
      <c r="Y14318" s="19" t="n"/>
    </row>
    <row r="14319">
      <c r="C14319" s="18" t="n"/>
      <c r="J14319" s="19" t="n"/>
      <c r="P14319" s="20" t="n"/>
      <c r="Q14319" s="19" t="n"/>
      <c r="R14319" s="19" t="n"/>
      <c r="Y14319" s="19" t="n"/>
    </row>
    <row r="14320">
      <c r="C14320" s="18" t="n"/>
      <c r="J14320" s="19" t="n"/>
      <c r="P14320" s="20" t="n"/>
      <c r="Q14320" s="19" t="n"/>
      <c r="R14320" s="19" t="n"/>
      <c r="Y14320" s="19" t="n"/>
    </row>
    <row r="14321">
      <c r="C14321" s="18" t="n"/>
      <c r="J14321" s="19" t="n"/>
      <c r="P14321" s="20" t="n"/>
      <c r="Q14321" s="19" t="n"/>
      <c r="R14321" s="19" t="n"/>
      <c r="Y14321" s="19" t="n"/>
    </row>
    <row r="14322">
      <c r="C14322" s="18" t="n"/>
      <c r="J14322" s="19" t="n"/>
      <c r="P14322" s="20" t="n"/>
      <c r="Q14322" s="19" t="n"/>
      <c r="R14322" s="19" t="n"/>
      <c r="Y14322" s="19" t="n"/>
    </row>
    <row r="14323">
      <c r="C14323" s="18" t="n"/>
      <c r="J14323" s="19" t="n"/>
      <c r="P14323" s="20" t="n"/>
      <c r="Q14323" s="19" t="n"/>
      <c r="R14323" s="19" t="n"/>
      <c r="Y14323" s="19" t="n"/>
    </row>
    <row r="14324">
      <c r="C14324" s="18" t="n"/>
      <c r="J14324" s="19" t="n"/>
      <c r="P14324" s="20" t="n"/>
      <c r="Q14324" s="19" t="n"/>
      <c r="R14324" s="19" t="n"/>
      <c r="Y14324" s="19" t="n"/>
    </row>
    <row r="14325">
      <c r="C14325" s="18" t="n"/>
      <c r="J14325" s="19" t="n"/>
      <c r="P14325" s="20" t="n"/>
      <c r="Q14325" s="19" t="n"/>
      <c r="R14325" s="19" t="n"/>
      <c r="Y14325" s="19" t="n"/>
    </row>
    <row r="14326">
      <c r="C14326" s="18" t="n"/>
      <c r="J14326" s="19" t="n"/>
      <c r="P14326" s="20" t="n"/>
      <c r="Q14326" s="19" t="n"/>
      <c r="R14326" s="19" t="n"/>
      <c r="Y14326" s="19" t="n"/>
    </row>
    <row r="14327">
      <c r="C14327" s="18" t="n"/>
      <c r="J14327" s="19" t="n"/>
      <c r="P14327" s="20" t="n"/>
      <c r="Q14327" s="19" t="n"/>
      <c r="R14327" s="19" t="n"/>
      <c r="Y14327" s="19" t="n"/>
    </row>
    <row r="14328">
      <c r="C14328" s="18" t="n"/>
      <c r="J14328" s="19" t="n"/>
      <c r="P14328" s="20" t="n"/>
      <c r="Q14328" s="19" t="n"/>
      <c r="R14328" s="19" t="n"/>
      <c r="Y14328" s="19" t="n"/>
    </row>
    <row r="14329">
      <c r="C14329" s="18" t="n"/>
      <c r="J14329" s="19" t="n"/>
      <c r="P14329" s="20" t="n"/>
      <c r="Q14329" s="19" t="n"/>
      <c r="R14329" s="19" t="n"/>
      <c r="Y14329" s="19" t="n"/>
    </row>
    <row r="14330">
      <c r="C14330" s="18" t="n"/>
      <c r="J14330" s="19" t="n"/>
      <c r="P14330" s="20" t="n"/>
      <c r="Q14330" s="19" t="n"/>
      <c r="R14330" s="19" t="n"/>
      <c r="Y14330" s="19" t="n"/>
    </row>
    <row r="14331">
      <c r="C14331" s="18" t="n"/>
      <c r="J14331" s="19" t="n"/>
      <c r="P14331" s="20" t="n"/>
      <c r="Q14331" s="19" t="n"/>
      <c r="R14331" s="19" t="n"/>
      <c r="Y14331" s="19" t="n"/>
    </row>
    <row r="14332">
      <c r="C14332" s="18" t="n"/>
      <c r="J14332" s="19" t="n"/>
      <c r="P14332" s="20" t="n"/>
      <c r="Q14332" s="19" t="n"/>
      <c r="R14332" s="19" t="n"/>
      <c r="Y14332" s="19" t="n"/>
    </row>
    <row r="14333">
      <c r="C14333" s="18" t="n"/>
      <c r="J14333" s="19" t="n"/>
      <c r="P14333" s="20" t="n"/>
      <c r="Q14333" s="19" t="n"/>
      <c r="R14333" s="19" t="n"/>
      <c r="Y14333" s="19" t="n"/>
    </row>
    <row r="14334">
      <c r="C14334" s="18" t="n"/>
      <c r="J14334" s="19" t="n"/>
      <c r="P14334" s="20" t="n"/>
      <c r="Q14334" s="19" t="n"/>
      <c r="R14334" s="19" t="n"/>
      <c r="Y14334" s="19" t="n"/>
    </row>
    <row r="14335">
      <c r="C14335" s="18" t="n"/>
      <c r="J14335" s="19" t="n"/>
      <c r="P14335" s="20" t="n"/>
      <c r="Q14335" s="19" t="n"/>
      <c r="R14335" s="19" t="n"/>
      <c r="Y14335" s="19" t="n"/>
    </row>
    <row r="14336">
      <c r="C14336" s="18" t="n"/>
      <c r="J14336" s="19" t="n"/>
      <c r="P14336" s="20" t="n"/>
      <c r="Q14336" s="19" t="n"/>
      <c r="R14336" s="19" t="n"/>
      <c r="Y14336" s="19" t="n"/>
    </row>
    <row r="14337">
      <c r="C14337" s="18" t="n"/>
      <c r="J14337" s="19" t="n"/>
      <c r="P14337" s="20" t="n"/>
      <c r="Q14337" s="19" t="n"/>
      <c r="R14337" s="19" t="n"/>
      <c r="Y14337" s="19" t="n"/>
    </row>
    <row r="14338">
      <c r="C14338" s="18" t="n"/>
      <c r="J14338" s="19" t="n"/>
      <c r="P14338" s="20" t="n"/>
      <c r="Q14338" s="19" t="n"/>
      <c r="R14338" s="19" t="n"/>
      <c r="Y14338" s="19" t="n"/>
    </row>
    <row r="14339">
      <c r="C14339" s="18" t="n"/>
      <c r="J14339" s="19" t="n"/>
      <c r="P14339" s="20" t="n"/>
      <c r="Q14339" s="19" t="n"/>
      <c r="R14339" s="19" t="n"/>
      <c r="Y14339" s="19" t="n"/>
    </row>
    <row r="14340">
      <c r="C14340" s="18" t="n"/>
      <c r="J14340" s="19" t="n"/>
      <c r="P14340" s="20" t="n"/>
      <c r="Q14340" s="19" t="n"/>
      <c r="R14340" s="19" t="n"/>
      <c r="Y14340" s="19" t="n"/>
    </row>
    <row r="14341">
      <c r="C14341" s="18" t="n"/>
      <c r="J14341" s="19" t="n"/>
      <c r="P14341" s="20" t="n"/>
      <c r="Q14341" s="19" t="n"/>
      <c r="R14341" s="19" t="n"/>
      <c r="Y14341" s="19" t="n"/>
    </row>
    <row r="14342">
      <c r="C14342" s="18" t="n"/>
      <c r="J14342" s="19" t="n"/>
      <c r="P14342" s="20" t="n"/>
      <c r="Q14342" s="19" t="n"/>
      <c r="R14342" s="19" t="n"/>
      <c r="Y14342" s="19" t="n"/>
    </row>
    <row r="14343">
      <c r="C14343" s="18" t="n"/>
      <c r="J14343" s="19" t="n"/>
      <c r="P14343" s="20" t="n"/>
      <c r="Q14343" s="19" t="n"/>
      <c r="R14343" s="19" t="n"/>
      <c r="Y14343" s="19" t="n"/>
    </row>
    <row r="14344">
      <c r="C14344" s="18" t="n"/>
      <c r="J14344" s="19" t="n"/>
      <c r="P14344" s="20" t="n"/>
      <c r="Q14344" s="19" t="n"/>
      <c r="R14344" s="19" t="n"/>
      <c r="Y14344" s="19" t="n"/>
    </row>
    <row r="14345">
      <c r="C14345" s="18" t="n"/>
      <c r="J14345" s="19" t="n"/>
      <c r="P14345" s="20" t="n"/>
      <c r="Q14345" s="19" t="n"/>
      <c r="R14345" s="19" t="n"/>
      <c r="Y14345" s="19" t="n"/>
    </row>
    <row r="14346">
      <c r="C14346" s="18" t="n"/>
      <c r="J14346" s="19" t="n"/>
      <c r="P14346" s="20" t="n"/>
      <c r="Q14346" s="19" t="n"/>
      <c r="R14346" s="19" t="n"/>
      <c r="Y14346" s="19" t="n"/>
    </row>
    <row r="14347">
      <c r="C14347" s="18" t="n"/>
      <c r="J14347" s="19" t="n"/>
      <c r="P14347" s="20" t="n"/>
      <c r="Q14347" s="19" t="n"/>
      <c r="R14347" s="19" t="n"/>
      <c r="Y14347" s="19" t="n"/>
    </row>
    <row r="14348">
      <c r="C14348" s="18" t="n"/>
      <c r="J14348" s="19" t="n"/>
      <c r="P14348" s="20" t="n"/>
      <c r="Q14348" s="19" t="n"/>
      <c r="R14348" s="19" t="n"/>
      <c r="Y14348" s="19" t="n"/>
    </row>
    <row r="14349">
      <c r="C14349" s="18" t="n"/>
      <c r="J14349" s="19" t="n"/>
      <c r="P14349" s="20" t="n"/>
      <c r="Q14349" s="19" t="n"/>
      <c r="R14349" s="19" t="n"/>
      <c r="Y14349" s="19" t="n"/>
    </row>
    <row r="14350">
      <c r="C14350" s="18" t="n"/>
      <c r="J14350" s="19" t="n"/>
      <c r="P14350" s="20" t="n"/>
      <c r="Q14350" s="19" t="n"/>
      <c r="R14350" s="19" t="n"/>
      <c r="Y14350" s="19" t="n"/>
    </row>
    <row r="14351">
      <c r="C14351" s="18" t="n"/>
      <c r="J14351" s="19" t="n"/>
      <c r="P14351" s="20" t="n"/>
      <c r="Q14351" s="19" t="n"/>
      <c r="R14351" s="19" t="n"/>
      <c r="Y14351" s="19" t="n"/>
    </row>
    <row r="14352">
      <c r="C14352" s="18" t="n"/>
      <c r="J14352" s="19" t="n"/>
      <c r="P14352" s="20" t="n"/>
      <c r="Q14352" s="19" t="n"/>
      <c r="R14352" s="19" t="n"/>
      <c r="Y14352" s="19" t="n"/>
    </row>
    <row r="14353">
      <c r="C14353" s="18" t="n"/>
      <c r="J14353" s="19" t="n"/>
      <c r="P14353" s="20" t="n"/>
      <c r="Q14353" s="19" t="n"/>
      <c r="R14353" s="19" t="n"/>
      <c r="Y14353" s="19" t="n"/>
    </row>
    <row r="14354">
      <c r="C14354" s="18" t="n"/>
      <c r="J14354" s="19" t="n"/>
      <c r="P14354" s="20" t="n"/>
      <c r="Q14354" s="19" t="n"/>
      <c r="R14354" s="19" t="n"/>
      <c r="Y14354" s="19" t="n"/>
    </row>
    <row r="14355">
      <c r="C14355" s="18" t="n"/>
      <c r="J14355" s="19" t="n"/>
      <c r="P14355" s="20" t="n"/>
      <c r="Q14355" s="19" t="n"/>
      <c r="R14355" s="19" t="n"/>
      <c r="Y14355" s="19" t="n"/>
    </row>
    <row r="14356">
      <c r="C14356" s="18" t="n"/>
      <c r="J14356" s="19" t="n"/>
      <c r="P14356" s="20" t="n"/>
      <c r="Q14356" s="19" t="n"/>
      <c r="R14356" s="19" t="n"/>
      <c r="Y14356" s="19" t="n"/>
    </row>
    <row r="14357">
      <c r="C14357" s="18" t="n"/>
      <c r="J14357" s="19" t="n"/>
      <c r="P14357" s="20" t="n"/>
      <c r="Q14357" s="19" t="n"/>
      <c r="R14357" s="19" t="n"/>
      <c r="Y14357" s="19" t="n"/>
    </row>
    <row r="14358">
      <c r="C14358" s="18" t="n"/>
      <c r="J14358" s="19" t="n"/>
      <c r="P14358" s="20" t="n"/>
      <c r="Q14358" s="19" t="n"/>
      <c r="R14358" s="19" t="n"/>
      <c r="Y14358" s="19" t="n"/>
    </row>
    <row r="14359">
      <c r="C14359" s="18" t="n"/>
      <c r="J14359" s="19" t="n"/>
      <c r="P14359" s="20" t="n"/>
      <c r="Q14359" s="19" t="n"/>
      <c r="R14359" s="19" t="n"/>
      <c r="Y14359" s="19" t="n"/>
    </row>
    <row r="14360">
      <c r="C14360" s="18" t="n"/>
      <c r="J14360" s="19" t="n"/>
      <c r="P14360" s="20" t="n"/>
      <c r="Q14360" s="19" t="n"/>
      <c r="R14360" s="19" t="n"/>
      <c r="Y14360" s="19" t="n"/>
    </row>
    <row r="14361">
      <c r="C14361" s="18" t="n"/>
      <c r="J14361" s="19" t="n"/>
      <c r="P14361" s="20" t="n"/>
      <c r="Q14361" s="19" t="n"/>
      <c r="R14361" s="19" t="n"/>
      <c r="Y14361" s="19" t="n"/>
    </row>
    <row r="14362">
      <c r="C14362" s="18" t="n"/>
      <c r="J14362" s="19" t="n"/>
      <c r="P14362" s="20" t="n"/>
      <c r="Q14362" s="19" t="n"/>
      <c r="R14362" s="19" t="n"/>
      <c r="Y14362" s="19" t="n"/>
    </row>
    <row r="14363">
      <c r="C14363" s="18" t="n"/>
      <c r="J14363" s="19" t="n"/>
      <c r="P14363" s="20" t="n"/>
      <c r="Q14363" s="19" t="n"/>
      <c r="R14363" s="19" t="n"/>
      <c r="Y14363" s="19" t="n"/>
    </row>
    <row r="14364">
      <c r="C14364" s="18" t="n"/>
      <c r="J14364" s="19" t="n"/>
      <c r="P14364" s="20" t="n"/>
      <c r="Q14364" s="19" t="n"/>
      <c r="R14364" s="19" t="n"/>
      <c r="Y14364" s="19" t="n"/>
    </row>
    <row r="14365">
      <c r="C14365" s="18" t="n"/>
      <c r="J14365" s="19" t="n"/>
      <c r="P14365" s="20" t="n"/>
      <c r="Q14365" s="19" t="n"/>
      <c r="R14365" s="19" t="n"/>
      <c r="Y14365" s="19" t="n"/>
    </row>
    <row r="14366">
      <c r="C14366" s="18" t="n"/>
      <c r="J14366" s="19" t="n"/>
      <c r="P14366" s="20" t="n"/>
      <c r="Q14366" s="19" t="n"/>
      <c r="R14366" s="19" t="n"/>
      <c r="Y14366" s="19" t="n"/>
    </row>
    <row r="14367">
      <c r="C14367" s="18" t="n"/>
      <c r="J14367" s="19" t="n"/>
      <c r="P14367" s="20" t="n"/>
      <c r="Q14367" s="19" t="n"/>
      <c r="R14367" s="19" t="n"/>
      <c r="Y14367" s="19" t="n"/>
    </row>
    <row r="14368">
      <c r="C14368" s="18" t="n"/>
      <c r="J14368" s="19" t="n"/>
      <c r="P14368" s="20" t="n"/>
      <c r="Q14368" s="19" t="n"/>
      <c r="R14368" s="19" t="n"/>
      <c r="Y14368" s="19" t="n"/>
    </row>
    <row r="14369">
      <c r="C14369" s="18" t="n"/>
      <c r="J14369" s="19" t="n"/>
      <c r="P14369" s="20" t="n"/>
      <c r="Q14369" s="19" t="n"/>
      <c r="R14369" s="19" t="n"/>
      <c r="Y14369" s="19" t="n"/>
    </row>
    <row r="14370">
      <c r="C14370" s="18" t="n"/>
      <c r="J14370" s="19" t="n"/>
      <c r="P14370" s="20" t="n"/>
      <c r="Q14370" s="19" t="n"/>
      <c r="R14370" s="19" t="n"/>
      <c r="Y14370" s="19" t="n"/>
    </row>
    <row r="14371">
      <c r="C14371" s="18" t="n"/>
      <c r="J14371" s="19" t="n"/>
      <c r="P14371" s="20" t="n"/>
      <c r="Q14371" s="19" t="n"/>
      <c r="R14371" s="19" t="n"/>
      <c r="Y14371" s="19" t="n"/>
    </row>
    <row r="14372">
      <c r="C14372" s="18" t="n"/>
      <c r="J14372" s="19" t="n"/>
      <c r="P14372" s="20" t="n"/>
      <c r="Q14372" s="19" t="n"/>
      <c r="R14372" s="19" t="n"/>
      <c r="Y14372" s="19" t="n"/>
    </row>
    <row r="14373">
      <c r="C14373" s="18" t="n"/>
      <c r="J14373" s="19" t="n"/>
      <c r="P14373" s="20" t="n"/>
      <c r="Q14373" s="19" t="n"/>
      <c r="R14373" s="19" t="n"/>
      <c r="Y14373" s="19" t="n"/>
    </row>
    <row r="14374">
      <c r="C14374" s="18" t="n"/>
      <c r="J14374" s="19" t="n"/>
      <c r="P14374" s="20" t="n"/>
      <c r="Q14374" s="19" t="n"/>
      <c r="R14374" s="19" t="n"/>
      <c r="Y14374" s="19" t="n"/>
    </row>
    <row r="14375">
      <c r="C14375" s="18" t="n"/>
      <c r="J14375" s="19" t="n"/>
      <c r="P14375" s="20" t="n"/>
      <c r="Q14375" s="19" t="n"/>
      <c r="R14375" s="19" t="n"/>
      <c r="Y14375" s="19" t="n"/>
    </row>
    <row r="14376">
      <c r="C14376" s="18" t="n"/>
      <c r="J14376" s="19" t="n"/>
      <c r="P14376" s="20" t="n"/>
      <c r="Q14376" s="19" t="n"/>
      <c r="R14376" s="19" t="n"/>
      <c r="Y14376" s="19" t="n"/>
    </row>
    <row r="14377">
      <c r="C14377" s="18" t="n"/>
      <c r="J14377" s="19" t="n"/>
      <c r="P14377" s="20" t="n"/>
      <c r="Q14377" s="19" t="n"/>
      <c r="R14377" s="19" t="n"/>
      <c r="Y14377" s="19" t="n"/>
    </row>
    <row r="14378">
      <c r="C14378" s="18" t="n"/>
      <c r="J14378" s="19" t="n"/>
      <c r="P14378" s="20" t="n"/>
      <c r="Q14378" s="19" t="n"/>
      <c r="R14378" s="19" t="n"/>
      <c r="Y14378" s="19" t="n"/>
    </row>
    <row r="14379">
      <c r="C14379" s="18" t="n"/>
      <c r="J14379" s="19" t="n"/>
      <c r="P14379" s="20" t="n"/>
      <c r="Q14379" s="19" t="n"/>
      <c r="R14379" s="19" t="n"/>
      <c r="Y14379" s="19" t="n"/>
    </row>
    <row r="14380">
      <c r="C14380" s="18" t="n"/>
      <c r="J14380" s="19" t="n"/>
      <c r="P14380" s="20" t="n"/>
      <c r="Q14380" s="19" t="n"/>
      <c r="R14380" s="19" t="n"/>
      <c r="Y14380" s="19" t="n"/>
    </row>
    <row r="14381">
      <c r="C14381" s="18" t="n"/>
      <c r="J14381" s="19" t="n"/>
      <c r="P14381" s="20" t="n"/>
      <c r="Q14381" s="19" t="n"/>
      <c r="R14381" s="19" t="n"/>
      <c r="Y14381" s="19" t="n"/>
    </row>
    <row r="14382">
      <c r="C14382" s="18" t="n"/>
      <c r="J14382" s="19" t="n"/>
      <c r="P14382" s="20" t="n"/>
      <c r="Q14382" s="19" t="n"/>
      <c r="R14382" s="19" t="n"/>
      <c r="Y14382" s="19" t="n"/>
    </row>
    <row r="14383">
      <c r="C14383" s="18" t="n"/>
      <c r="J14383" s="19" t="n"/>
      <c r="P14383" s="20" t="n"/>
      <c r="Q14383" s="19" t="n"/>
      <c r="R14383" s="19" t="n"/>
      <c r="Y14383" s="19" t="n"/>
    </row>
    <row r="14384">
      <c r="C14384" s="18" t="n"/>
      <c r="J14384" s="19" t="n"/>
      <c r="P14384" s="20" t="n"/>
      <c r="Q14384" s="19" t="n"/>
      <c r="R14384" s="19" t="n"/>
      <c r="Y14384" s="19" t="n"/>
    </row>
    <row r="14385">
      <c r="C14385" s="18" t="n"/>
      <c r="J14385" s="19" t="n"/>
      <c r="P14385" s="20" t="n"/>
      <c r="Q14385" s="19" t="n"/>
      <c r="R14385" s="19" t="n"/>
      <c r="Y14385" s="19" t="n"/>
    </row>
    <row r="14386">
      <c r="C14386" s="18" t="n"/>
      <c r="J14386" s="19" t="n"/>
      <c r="P14386" s="20" t="n"/>
      <c r="Q14386" s="19" t="n"/>
      <c r="R14386" s="19" t="n"/>
      <c r="Y14386" s="19" t="n"/>
    </row>
    <row r="14387">
      <c r="C14387" s="18" t="n"/>
      <c r="J14387" s="19" t="n"/>
      <c r="P14387" s="20" t="n"/>
      <c r="Q14387" s="19" t="n"/>
      <c r="R14387" s="19" t="n"/>
      <c r="Y14387" s="19" t="n"/>
    </row>
    <row r="14388">
      <c r="C14388" s="18" t="n"/>
      <c r="J14388" s="19" t="n"/>
      <c r="P14388" s="20" t="n"/>
      <c r="Q14388" s="19" t="n"/>
      <c r="R14388" s="19" t="n"/>
      <c r="Y14388" s="19" t="n"/>
    </row>
    <row r="14389">
      <c r="C14389" s="18" t="n"/>
      <c r="J14389" s="19" t="n"/>
      <c r="P14389" s="20" t="n"/>
      <c r="Q14389" s="19" t="n"/>
      <c r="R14389" s="19" t="n"/>
      <c r="Y14389" s="19" t="n"/>
    </row>
    <row r="14390">
      <c r="C14390" s="18" t="n"/>
      <c r="J14390" s="19" t="n"/>
      <c r="P14390" s="20" t="n"/>
      <c r="Q14390" s="19" t="n"/>
      <c r="R14390" s="19" t="n"/>
      <c r="Y14390" s="19" t="n"/>
    </row>
    <row r="14391">
      <c r="C14391" s="18" t="n"/>
      <c r="J14391" s="19" t="n"/>
      <c r="P14391" s="20" t="n"/>
      <c r="Q14391" s="19" t="n"/>
      <c r="R14391" s="19" t="n"/>
      <c r="Y14391" s="19" t="n"/>
    </row>
    <row r="14392">
      <c r="C14392" s="18" t="n"/>
      <c r="J14392" s="19" t="n"/>
      <c r="P14392" s="20" t="n"/>
      <c r="Q14392" s="19" t="n"/>
      <c r="R14392" s="19" t="n"/>
      <c r="Y14392" s="19" t="n"/>
    </row>
    <row r="14393">
      <c r="C14393" s="18" t="n"/>
      <c r="J14393" s="19" t="n"/>
      <c r="P14393" s="20" t="n"/>
      <c r="Q14393" s="19" t="n"/>
      <c r="R14393" s="19" t="n"/>
      <c r="Y14393" s="19" t="n"/>
    </row>
    <row r="14394">
      <c r="C14394" s="18" t="n"/>
      <c r="J14394" s="19" t="n"/>
      <c r="P14394" s="20" t="n"/>
      <c r="Q14394" s="19" t="n"/>
      <c r="R14394" s="19" t="n"/>
      <c r="Y14394" s="19" t="n"/>
    </row>
    <row r="14395">
      <c r="C14395" s="18" t="n"/>
      <c r="J14395" s="19" t="n"/>
      <c r="P14395" s="20" t="n"/>
      <c r="Q14395" s="19" t="n"/>
      <c r="R14395" s="19" t="n"/>
      <c r="Y14395" s="19" t="n"/>
    </row>
    <row r="14396">
      <c r="C14396" s="18" t="n"/>
      <c r="J14396" s="19" t="n"/>
      <c r="P14396" s="20" t="n"/>
      <c r="Q14396" s="19" t="n"/>
      <c r="R14396" s="19" t="n"/>
      <c r="Y14396" s="19" t="n"/>
    </row>
    <row r="14397">
      <c r="C14397" s="18" t="n"/>
      <c r="J14397" s="19" t="n"/>
      <c r="P14397" s="20" t="n"/>
      <c r="Q14397" s="19" t="n"/>
      <c r="R14397" s="19" t="n"/>
      <c r="Y14397" s="19" t="n"/>
    </row>
    <row r="14398">
      <c r="C14398" s="18" t="n"/>
      <c r="J14398" s="19" t="n"/>
      <c r="P14398" s="20" t="n"/>
      <c r="Q14398" s="19" t="n"/>
      <c r="R14398" s="19" t="n"/>
      <c r="Y14398" s="19" t="n"/>
    </row>
    <row r="14399">
      <c r="C14399" s="18" t="n"/>
      <c r="J14399" s="19" t="n"/>
      <c r="P14399" s="20" t="n"/>
      <c r="Q14399" s="19" t="n"/>
      <c r="R14399" s="19" t="n"/>
      <c r="Y14399" s="19" t="n"/>
    </row>
    <row r="14400">
      <c r="C14400" s="18" t="n"/>
      <c r="J14400" s="19" t="n"/>
      <c r="P14400" s="20" t="n"/>
      <c r="Q14400" s="19" t="n"/>
      <c r="R14400" s="19" t="n"/>
      <c r="Y14400" s="19" t="n"/>
    </row>
    <row r="14401">
      <c r="C14401" s="18" t="n"/>
      <c r="J14401" s="19" t="n"/>
      <c r="P14401" s="20" t="n"/>
      <c r="Q14401" s="19" t="n"/>
      <c r="R14401" s="19" t="n"/>
      <c r="Y14401" s="19" t="n"/>
    </row>
    <row r="14402">
      <c r="C14402" s="18" t="n"/>
      <c r="J14402" s="19" t="n"/>
      <c r="P14402" s="20" t="n"/>
      <c r="Q14402" s="19" t="n"/>
      <c r="R14402" s="19" t="n"/>
      <c r="Y14402" s="19" t="n"/>
    </row>
    <row r="14403">
      <c r="C14403" s="18" t="n"/>
      <c r="J14403" s="19" t="n"/>
      <c r="P14403" s="20" t="n"/>
      <c r="Q14403" s="19" t="n"/>
      <c r="R14403" s="19" t="n"/>
      <c r="Y14403" s="19" t="n"/>
    </row>
    <row r="14404">
      <c r="C14404" s="18" t="n"/>
      <c r="J14404" s="19" t="n"/>
      <c r="P14404" s="20" t="n"/>
      <c r="Q14404" s="19" t="n"/>
      <c r="R14404" s="19" t="n"/>
      <c r="Y14404" s="19" t="n"/>
    </row>
    <row r="14405">
      <c r="C14405" s="18" t="n"/>
      <c r="J14405" s="19" t="n"/>
      <c r="P14405" s="20" t="n"/>
      <c r="Q14405" s="19" t="n"/>
      <c r="R14405" s="19" t="n"/>
      <c r="Y14405" s="19" t="n"/>
    </row>
    <row r="14406">
      <c r="C14406" s="18" t="n"/>
      <c r="J14406" s="19" t="n"/>
      <c r="P14406" s="20" t="n"/>
      <c r="Q14406" s="19" t="n"/>
      <c r="R14406" s="19" t="n"/>
      <c r="Y14406" s="19" t="n"/>
    </row>
    <row r="14407">
      <c r="C14407" s="18" t="n"/>
      <c r="J14407" s="19" t="n"/>
      <c r="P14407" s="20" t="n"/>
      <c r="Q14407" s="19" t="n"/>
      <c r="R14407" s="19" t="n"/>
      <c r="Y14407" s="19" t="n"/>
    </row>
    <row r="14408">
      <c r="C14408" s="18" t="n"/>
      <c r="J14408" s="19" t="n"/>
      <c r="P14408" s="20" t="n"/>
      <c r="Q14408" s="19" t="n"/>
      <c r="R14408" s="19" t="n"/>
      <c r="Y14408" s="19" t="n"/>
    </row>
    <row r="14409">
      <c r="C14409" s="18" t="n"/>
      <c r="J14409" s="19" t="n"/>
      <c r="P14409" s="20" t="n"/>
      <c r="Q14409" s="19" t="n"/>
      <c r="R14409" s="19" t="n"/>
      <c r="Y14409" s="19" t="n"/>
    </row>
    <row r="14410">
      <c r="C14410" s="18" t="n"/>
      <c r="J14410" s="19" t="n"/>
      <c r="P14410" s="20" t="n"/>
      <c r="Q14410" s="19" t="n"/>
      <c r="R14410" s="19" t="n"/>
      <c r="Y14410" s="19" t="n"/>
    </row>
    <row r="14411">
      <c r="C14411" s="18" t="n"/>
      <c r="J14411" s="19" t="n"/>
      <c r="P14411" s="20" t="n"/>
      <c r="Q14411" s="19" t="n"/>
      <c r="R14411" s="19" t="n"/>
      <c r="Y14411" s="19" t="n"/>
    </row>
    <row r="14412">
      <c r="C14412" s="18" t="n"/>
      <c r="J14412" s="19" t="n"/>
      <c r="P14412" s="20" t="n"/>
      <c r="Q14412" s="19" t="n"/>
      <c r="R14412" s="19" t="n"/>
      <c r="Y14412" s="19" t="n"/>
    </row>
    <row r="14413">
      <c r="C14413" s="18" t="n"/>
      <c r="J14413" s="19" t="n"/>
      <c r="P14413" s="20" t="n"/>
      <c r="Q14413" s="19" t="n"/>
      <c r="R14413" s="19" t="n"/>
      <c r="Y14413" s="19" t="n"/>
    </row>
    <row r="14414">
      <c r="C14414" s="18" t="n"/>
      <c r="J14414" s="19" t="n"/>
      <c r="P14414" s="20" t="n"/>
      <c r="Q14414" s="19" t="n"/>
      <c r="R14414" s="19" t="n"/>
      <c r="Y14414" s="19" t="n"/>
    </row>
    <row r="14415">
      <c r="C14415" s="18" t="n"/>
      <c r="J14415" s="19" t="n"/>
      <c r="P14415" s="20" t="n"/>
      <c r="Q14415" s="19" t="n"/>
      <c r="R14415" s="19" t="n"/>
      <c r="Y14415" s="19" t="n"/>
    </row>
    <row r="14416">
      <c r="C14416" s="18" t="n"/>
      <c r="J14416" s="19" t="n"/>
      <c r="P14416" s="20" t="n"/>
      <c r="Q14416" s="19" t="n"/>
      <c r="R14416" s="19" t="n"/>
      <c r="Y14416" s="19" t="n"/>
    </row>
    <row r="14417">
      <c r="C14417" s="18" t="n"/>
      <c r="J14417" s="19" t="n"/>
      <c r="P14417" s="20" t="n"/>
      <c r="Q14417" s="19" t="n"/>
      <c r="R14417" s="19" t="n"/>
      <c r="Y14417" s="19" t="n"/>
    </row>
    <row r="14418">
      <c r="C14418" s="18" t="n"/>
      <c r="J14418" s="19" t="n"/>
      <c r="P14418" s="20" t="n"/>
      <c r="Q14418" s="19" t="n"/>
      <c r="R14418" s="19" t="n"/>
      <c r="Y14418" s="19" t="n"/>
    </row>
    <row r="14419">
      <c r="C14419" s="18" t="n"/>
      <c r="J14419" s="19" t="n"/>
      <c r="P14419" s="20" t="n"/>
      <c r="Q14419" s="19" t="n"/>
      <c r="R14419" s="19" t="n"/>
      <c r="Y14419" s="19" t="n"/>
    </row>
    <row r="14420">
      <c r="C14420" s="18" t="n"/>
      <c r="J14420" s="19" t="n"/>
      <c r="P14420" s="20" t="n"/>
      <c r="Q14420" s="19" t="n"/>
      <c r="R14420" s="19" t="n"/>
      <c r="Y14420" s="19" t="n"/>
    </row>
    <row r="14421">
      <c r="C14421" s="18" t="n"/>
      <c r="J14421" s="19" t="n"/>
      <c r="P14421" s="20" t="n"/>
      <c r="Q14421" s="19" t="n"/>
      <c r="R14421" s="19" t="n"/>
      <c r="Y14421" s="19" t="n"/>
    </row>
    <row r="14422">
      <c r="C14422" s="18" t="n"/>
      <c r="J14422" s="19" t="n"/>
      <c r="P14422" s="20" t="n"/>
      <c r="Q14422" s="19" t="n"/>
      <c r="R14422" s="19" t="n"/>
      <c r="Y14422" s="19" t="n"/>
    </row>
    <row r="14423">
      <c r="C14423" s="18" t="n"/>
      <c r="J14423" s="19" t="n"/>
      <c r="P14423" s="20" t="n"/>
      <c r="Q14423" s="19" t="n"/>
      <c r="R14423" s="19" t="n"/>
      <c r="Y14423" s="19" t="n"/>
    </row>
    <row r="14424">
      <c r="C14424" s="18" t="n"/>
      <c r="J14424" s="19" t="n"/>
      <c r="P14424" s="20" t="n"/>
      <c r="Q14424" s="19" t="n"/>
      <c r="R14424" s="19" t="n"/>
      <c r="Y14424" s="19" t="n"/>
    </row>
    <row r="14425">
      <c r="C14425" s="18" t="n"/>
      <c r="J14425" s="19" t="n"/>
      <c r="P14425" s="20" t="n"/>
      <c r="Q14425" s="19" t="n"/>
      <c r="R14425" s="19" t="n"/>
      <c r="Y14425" s="19" t="n"/>
    </row>
    <row r="14426">
      <c r="C14426" s="18" t="n"/>
      <c r="J14426" s="19" t="n"/>
      <c r="P14426" s="20" t="n"/>
      <c r="Q14426" s="19" t="n"/>
      <c r="R14426" s="19" t="n"/>
      <c r="Y14426" s="19" t="n"/>
    </row>
    <row r="14427">
      <c r="C14427" s="18" t="n"/>
      <c r="J14427" s="19" t="n"/>
      <c r="P14427" s="20" t="n"/>
      <c r="Q14427" s="19" t="n"/>
      <c r="R14427" s="19" t="n"/>
      <c r="Y14427" s="19" t="n"/>
    </row>
    <row r="14428">
      <c r="C14428" s="18" t="n"/>
      <c r="J14428" s="19" t="n"/>
      <c r="P14428" s="20" t="n"/>
      <c r="Q14428" s="19" t="n"/>
      <c r="R14428" s="19" t="n"/>
      <c r="Y14428" s="19" t="n"/>
    </row>
    <row r="14429">
      <c r="C14429" s="18" t="n"/>
      <c r="J14429" s="19" t="n"/>
      <c r="P14429" s="20" t="n"/>
      <c r="Q14429" s="19" t="n"/>
      <c r="R14429" s="19" t="n"/>
      <c r="Y14429" s="19" t="n"/>
    </row>
    <row r="14430">
      <c r="C14430" s="18" t="n"/>
      <c r="J14430" s="19" t="n"/>
      <c r="P14430" s="20" t="n"/>
      <c r="Q14430" s="19" t="n"/>
      <c r="R14430" s="19" t="n"/>
      <c r="Y14430" s="19" t="n"/>
    </row>
    <row r="14431">
      <c r="C14431" s="18" t="n"/>
      <c r="J14431" s="19" t="n"/>
      <c r="P14431" s="20" t="n"/>
      <c r="Q14431" s="19" t="n"/>
      <c r="R14431" s="19" t="n"/>
      <c r="Y14431" s="19" t="n"/>
    </row>
    <row r="14432">
      <c r="C14432" s="18" t="n"/>
      <c r="J14432" s="19" t="n"/>
      <c r="P14432" s="20" t="n"/>
      <c r="Q14432" s="19" t="n"/>
      <c r="R14432" s="19" t="n"/>
      <c r="Y14432" s="19" t="n"/>
    </row>
    <row r="14433">
      <c r="C14433" s="18" t="n"/>
      <c r="J14433" s="19" t="n"/>
      <c r="P14433" s="20" t="n"/>
      <c r="Q14433" s="19" t="n"/>
      <c r="R14433" s="19" t="n"/>
      <c r="Y14433" s="19" t="n"/>
    </row>
    <row r="14434">
      <c r="C14434" s="18" t="n"/>
      <c r="J14434" s="19" t="n"/>
      <c r="P14434" s="20" t="n"/>
      <c r="Q14434" s="19" t="n"/>
      <c r="R14434" s="19" t="n"/>
      <c r="Y14434" s="19" t="n"/>
    </row>
    <row r="14435">
      <c r="C14435" s="18" t="n"/>
      <c r="J14435" s="19" t="n"/>
      <c r="P14435" s="20" t="n"/>
      <c r="Q14435" s="19" t="n"/>
      <c r="R14435" s="19" t="n"/>
      <c r="Y14435" s="19" t="n"/>
    </row>
    <row r="14436">
      <c r="C14436" s="18" t="n"/>
      <c r="J14436" s="19" t="n"/>
      <c r="P14436" s="20" t="n"/>
      <c r="Q14436" s="19" t="n"/>
      <c r="R14436" s="19" t="n"/>
      <c r="Y14436" s="19" t="n"/>
    </row>
    <row r="14437">
      <c r="C14437" s="18" t="n"/>
      <c r="J14437" s="19" t="n"/>
      <c r="P14437" s="20" t="n"/>
      <c r="Q14437" s="19" t="n"/>
      <c r="R14437" s="19" t="n"/>
      <c r="Y14437" s="19" t="n"/>
    </row>
    <row r="14438">
      <c r="C14438" s="18" t="n"/>
      <c r="J14438" s="19" t="n"/>
      <c r="P14438" s="20" t="n"/>
      <c r="Q14438" s="19" t="n"/>
      <c r="R14438" s="19" t="n"/>
      <c r="Y14438" s="19" t="n"/>
    </row>
    <row r="14439">
      <c r="C14439" s="18" t="n"/>
      <c r="J14439" s="19" t="n"/>
      <c r="P14439" s="20" t="n"/>
      <c r="Q14439" s="19" t="n"/>
      <c r="R14439" s="19" t="n"/>
      <c r="Y14439" s="19" t="n"/>
    </row>
    <row r="14440">
      <c r="C14440" s="18" t="n"/>
      <c r="J14440" s="19" t="n"/>
      <c r="P14440" s="20" t="n"/>
      <c r="Q14440" s="19" t="n"/>
      <c r="R14440" s="19" t="n"/>
      <c r="Y14440" s="19" t="n"/>
    </row>
    <row r="14441">
      <c r="C14441" s="18" t="n"/>
      <c r="J14441" s="19" t="n"/>
      <c r="P14441" s="20" t="n"/>
      <c r="Q14441" s="19" t="n"/>
      <c r="R14441" s="19" t="n"/>
      <c r="Y14441" s="19" t="n"/>
    </row>
    <row r="14442">
      <c r="C14442" s="18" t="n"/>
      <c r="J14442" s="19" t="n"/>
      <c r="P14442" s="20" t="n"/>
      <c r="Q14442" s="19" t="n"/>
      <c r="R14442" s="19" t="n"/>
      <c r="Y14442" s="19" t="n"/>
    </row>
    <row r="14443">
      <c r="C14443" s="18" t="n"/>
      <c r="J14443" s="19" t="n"/>
      <c r="P14443" s="20" t="n"/>
      <c r="Q14443" s="19" t="n"/>
      <c r="R14443" s="19" t="n"/>
      <c r="Y14443" s="19" t="n"/>
    </row>
    <row r="14444">
      <c r="C14444" s="18" t="n"/>
      <c r="J14444" s="19" t="n"/>
      <c r="P14444" s="20" t="n"/>
      <c r="Q14444" s="19" t="n"/>
      <c r="R14444" s="19" t="n"/>
      <c r="Y14444" s="19" t="n"/>
    </row>
    <row r="14445">
      <c r="C14445" s="18" t="n"/>
      <c r="J14445" s="19" t="n"/>
      <c r="P14445" s="20" t="n"/>
      <c r="Q14445" s="19" t="n"/>
      <c r="R14445" s="19" t="n"/>
      <c r="Y14445" s="19" t="n"/>
    </row>
    <row r="14446">
      <c r="C14446" s="18" t="n"/>
      <c r="J14446" s="19" t="n"/>
      <c r="P14446" s="20" t="n"/>
      <c r="Q14446" s="19" t="n"/>
      <c r="R14446" s="19" t="n"/>
      <c r="Y14446" s="19" t="n"/>
    </row>
    <row r="14447">
      <c r="C14447" s="18" t="n"/>
      <c r="J14447" s="19" t="n"/>
      <c r="P14447" s="20" t="n"/>
      <c r="Q14447" s="19" t="n"/>
      <c r="R14447" s="19" t="n"/>
      <c r="Y14447" s="19" t="n"/>
    </row>
    <row r="14448">
      <c r="C14448" s="18" t="n"/>
      <c r="J14448" s="19" t="n"/>
      <c r="P14448" s="20" t="n"/>
      <c r="Q14448" s="19" t="n"/>
      <c r="R14448" s="19" t="n"/>
      <c r="Y14448" s="19" t="n"/>
    </row>
    <row r="14449">
      <c r="C14449" s="18" t="n"/>
      <c r="J14449" s="19" t="n"/>
      <c r="P14449" s="20" t="n"/>
      <c r="Q14449" s="19" t="n"/>
      <c r="R14449" s="19" t="n"/>
      <c r="Y14449" s="19" t="n"/>
    </row>
    <row r="14450">
      <c r="C14450" s="18" t="n"/>
      <c r="J14450" s="19" t="n"/>
      <c r="P14450" s="20" t="n"/>
      <c r="Q14450" s="19" t="n"/>
      <c r="R14450" s="19" t="n"/>
      <c r="Y14450" s="19" t="n"/>
    </row>
    <row r="14451">
      <c r="C14451" s="18" t="n"/>
      <c r="J14451" s="19" t="n"/>
      <c r="P14451" s="20" t="n"/>
      <c r="Q14451" s="19" t="n"/>
      <c r="R14451" s="19" t="n"/>
      <c r="Y14451" s="19" t="n"/>
    </row>
    <row r="14452">
      <c r="C14452" s="18" t="n"/>
      <c r="J14452" s="19" t="n"/>
      <c r="P14452" s="20" t="n"/>
      <c r="Q14452" s="19" t="n"/>
      <c r="R14452" s="19" t="n"/>
      <c r="Y14452" s="19" t="n"/>
    </row>
    <row r="14453">
      <c r="C14453" s="18" t="n"/>
      <c r="J14453" s="19" t="n"/>
      <c r="P14453" s="20" t="n"/>
      <c r="Q14453" s="19" t="n"/>
      <c r="R14453" s="19" t="n"/>
      <c r="Y14453" s="19" t="n"/>
    </row>
    <row r="14454">
      <c r="C14454" s="18" t="n"/>
      <c r="J14454" s="19" t="n"/>
      <c r="P14454" s="20" t="n"/>
      <c r="Q14454" s="19" t="n"/>
      <c r="R14454" s="19" t="n"/>
      <c r="Y14454" s="19" t="n"/>
    </row>
    <row r="14455">
      <c r="C14455" s="18" t="n"/>
      <c r="J14455" s="19" t="n"/>
      <c r="P14455" s="20" t="n"/>
      <c r="Q14455" s="19" t="n"/>
      <c r="R14455" s="19" t="n"/>
      <c r="Y14455" s="19" t="n"/>
    </row>
    <row r="14456">
      <c r="C14456" s="18" t="n"/>
      <c r="J14456" s="19" t="n"/>
      <c r="P14456" s="20" t="n"/>
      <c r="Q14456" s="19" t="n"/>
      <c r="R14456" s="19" t="n"/>
      <c r="Y14456" s="19" t="n"/>
    </row>
    <row r="14457">
      <c r="C14457" s="18" t="n"/>
      <c r="J14457" s="19" t="n"/>
      <c r="P14457" s="20" t="n"/>
      <c r="Q14457" s="19" t="n"/>
      <c r="R14457" s="19" t="n"/>
      <c r="Y14457" s="19" t="n"/>
    </row>
    <row r="14458">
      <c r="C14458" s="18" t="n"/>
      <c r="J14458" s="19" t="n"/>
      <c r="P14458" s="20" t="n"/>
      <c r="Q14458" s="19" t="n"/>
      <c r="R14458" s="19" t="n"/>
      <c r="Y14458" s="19" t="n"/>
    </row>
    <row r="14459">
      <c r="C14459" s="18" t="n"/>
      <c r="J14459" s="19" t="n"/>
      <c r="P14459" s="20" t="n"/>
      <c r="Q14459" s="19" t="n"/>
      <c r="R14459" s="19" t="n"/>
      <c r="Y14459" s="19" t="n"/>
    </row>
    <row r="14460">
      <c r="C14460" s="18" t="n"/>
      <c r="J14460" s="19" t="n"/>
      <c r="P14460" s="20" t="n"/>
      <c r="Q14460" s="19" t="n"/>
      <c r="R14460" s="19" t="n"/>
      <c r="Y14460" s="19" t="n"/>
    </row>
    <row r="14461">
      <c r="C14461" s="18" t="n"/>
      <c r="J14461" s="19" t="n"/>
      <c r="P14461" s="20" t="n"/>
      <c r="Q14461" s="19" t="n"/>
      <c r="R14461" s="19" t="n"/>
      <c r="Y14461" s="19" t="n"/>
    </row>
    <row r="14462">
      <c r="C14462" s="18" t="n"/>
      <c r="J14462" s="19" t="n"/>
      <c r="P14462" s="20" t="n"/>
      <c r="Q14462" s="19" t="n"/>
      <c r="R14462" s="19" t="n"/>
      <c r="Y14462" s="19" t="n"/>
    </row>
    <row r="14463">
      <c r="C14463" s="18" t="n"/>
      <c r="J14463" s="19" t="n"/>
      <c r="P14463" s="20" t="n"/>
      <c r="Q14463" s="19" t="n"/>
      <c r="R14463" s="19" t="n"/>
      <c r="Y14463" s="19" t="n"/>
    </row>
    <row r="14464">
      <c r="C14464" s="18" t="n"/>
      <c r="J14464" s="19" t="n"/>
      <c r="P14464" s="20" t="n"/>
      <c r="Q14464" s="19" t="n"/>
      <c r="R14464" s="19" t="n"/>
      <c r="Y14464" s="19" t="n"/>
    </row>
    <row r="14465">
      <c r="C14465" s="18" t="n"/>
      <c r="J14465" s="19" t="n"/>
      <c r="P14465" s="20" t="n"/>
      <c r="Q14465" s="19" t="n"/>
      <c r="R14465" s="19" t="n"/>
      <c r="Y14465" s="19" t="n"/>
    </row>
    <row r="14466">
      <c r="C14466" s="18" t="n"/>
      <c r="J14466" s="19" t="n"/>
      <c r="P14466" s="20" t="n"/>
      <c r="Q14466" s="19" t="n"/>
      <c r="R14466" s="19" t="n"/>
      <c r="Y14466" s="19" t="n"/>
    </row>
    <row r="14467">
      <c r="C14467" s="18" t="n"/>
      <c r="J14467" s="19" t="n"/>
      <c r="P14467" s="20" t="n"/>
      <c r="Q14467" s="19" t="n"/>
      <c r="R14467" s="19" t="n"/>
      <c r="Y14467" s="19" t="n"/>
    </row>
    <row r="14468">
      <c r="C14468" s="18" t="n"/>
      <c r="J14468" s="19" t="n"/>
      <c r="P14468" s="20" t="n"/>
      <c r="Q14468" s="19" t="n"/>
      <c r="R14468" s="19" t="n"/>
      <c r="Y14468" s="19" t="n"/>
    </row>
    <row r="14469">
      <c r="C14469" s="18" t="n"/>
      <c r="J14469" s="19" t="n"/>
      <c r="P14469" s="20" t="n"/>
      <c r="Q14469" s="19" t="n"/>
      <c r="R14469" s="19" t="n"/>
      <c r="Y14469" s="19" t="n"/>
    </row>
    <row r="14470">
      <c r="C14470" s="18" t="n"/>
      <c r="J14470" s="19" t="n"/>
      <c r="P14470" s="20" t="n"/>
      <c r="Q14470" s="19" t="n"/>
      <c r="R14470" s="19" t="n"/>
      <c r="Y14470" s="19" t="n"/>
    </row>
    <row r="14471">
      <c r="C14471" s="18" t="n"/>
      <c r="J14471" s="19" t="n"/>
      <c r="P14471" s="20" t="n"/>
      <c r="Q14471" s="19" t="n"/>
      <c r="R14471" s="19" t="n"/>
      <c r="Y14471" s="19" t="n"/>
    </row>
    <row r="14472">
      <c r="C14472" s="18" t="n"/>
      <c r="J14472" s="19" t="n"/>
      <c r="P14472" s="20" t="n"/>
      <c r="Q14472" s="19" t="n"/>
      <c r="R14472" s="19" t="n"/>
      <c r="Y14472" s="19" t="n"/>
    </row>
    <row r="14473">
      <c r="C14473" s="18" t="n"/>
      <c r="J14473" s="19" t="n"/>
      <c r="P14473" s="20" t="n"/>
      <c r="Q14473" s="19" t="n"/>
      <c r="R14473" s="19" t="n"/>
      <c r="Y14473" s="19" t="n"/>
    </row>
    <row r="14474">
      <c r="C14474" s="18" t="n"/>
      <c r="J14474" s="19" t="n"/>
      <c r="P14474" s="20" t="n"/>
      <c r="Q14474" s="19" t="n"/>
      <c r="R14474" s="19" t="n"/>
      <c r="Y14474" s="19" t="n"/>
    </row>
    <row r="14475">
      <c r="C14475" s="18" t="n"/>
      <c r="J14475" s="19" t="n"/>
      <c r="P14475" s="20" t="n"/>
      <c r="Q14475" s="19" t="n"/>
      <c r="R14475" s="19" t="n"/>
      <c r="Y14475" s="19" t="n"/>
    </row>
    <row r="14476">
      <c r="C14476" s="18" t="n"/>
      <c r="J14476" s="19" t="n"/>
      <c r="P14476" s="20" t="n"/>
      <c r="Q14476" s="19" t="n"/>
      <c r="R14476" s="19" t="n"/>
      <c r="Y14476" s="19" t="n"/>
    </row>
    <row r="14477">
      <c r="C14477" s="18" t="n"/>
      <c r="J14477" s="19" t="n"/>
      <c r="P14477" s="20" t="n"/>
      <c r="Q14477" s="19" t="n"/>
      <c r="R14477" s="19" t="n"/>
      <c r="Y14477" s="19" t="n"/>
    </row>
    <row r="14478">
      <c r="C14478" s="18" t="n"/>
      <c r="J14478" s="19" t="n"/>
      <c r="P14478" s="20" t="n"/>
      <c r="Q14478" s="19" t="n"/>
      <c r="R14478" s="19" t="n"/>
      <c r="Y14478" s="19" t="n"/>
    </row>
    <row r="14479">
      <c r="C14479" s="18" t="n"/>
      <c r="J14479" s="19" t="n"/>
      <c r="P14479" s="20" t="n"/>
      <c r="Q14479" s="19" t="n"/>
      <c r="R14479" s="19" t="n"/>
      <c r="Y14479" s="19" t="n"/>
    </row>
    <row r="14480">
      <c r="C14480" s="18" t="n"/>
      <c r="J14480" s="19" t="n"/>
      <c r="P14480" s="20" t="n"/>
      <c r="Q14480" s="19" t="n"/>
      <c r="R14480" s="19" t="n"/>
      <c r="Y14480" s="19" t="n"/>
    </row>
    <row r="14481">
      <c r="C14481" s="18" t="n"/>
      <c r="J14481" s="19" t="n"/>
      <c r="P14481" s="20" t="n"/>
      <c r="Q14481" s="19" t="n"/>
      <c r="R14481" s="19" t="n"/>
      <c r="Y14481" s="19" t="n"/>
    </row>
    <row r="14482">
      <c r="C14482" s="18" t="n"/>
      <c r="J14482" s="19" t="n"/>
      <c r="P14482" s="20" t="n"/>
      <c r="Q14482" s="19" t="n"/>
      <c r="R14482" s="19" t="n"/>
      <c r="Y14482" s="19" t="n"/>
    </row>
    <row r="14483">
      <c r="C14483" s="18" t="n"/>
      <c r="J14483" s="19" t="n"/>
      <c r="P14483" s="20" t="n"/>
      <c r="Q14483" s="19" t="n"/>
      <c r="R14483" s="19" t="n"/>
      <c r="Y14483" s="19" t="n"/>
    </row>
    <row r="14484">
      <c r="C14484" s="18" t="n"/>
      <c r="J14484" s="19" t="n"/>
      <c r="P14484" s="20" t="n"/>
      <c r="Q14484" s="19" t="n"/>
      <c r="R14484" s="19" t="n"/>
      <c r="Y14484" s="19" t="n"/>
    </row>
    <row r="14485">
      <c r="C14485" s="18" t="n"/>
      <c r="J14485" s="19" t="n"/>
      <c r="P14485" s="20" t="n"/>
      <c r="Q14485" s="19" t="n"/>
      <c r="R14485" s="19" t="n"/>
      <c r="Y14485" s="19" t="n"/>
    </row>
    <row r="14486">
      <c r="C14486" s="18" t="n"/>
      <c r="J14486" s="19" t="n"/>
      <c r="P14486" s="20" t="n"/>
      <c r="Q14486" s="19" t="n"/>
      <c r="R14486" s="19" t="n"/>
      <c r="Y14486" s="19" t="n"/>
    </row>
    <row r="14487">
      <c r="C14487" s="18" t="n"/>
      <c r="J14487" s="19" t="n"/>
      <c r="P14487" s="20" t="n"/>
      <c r="Q14487" s="19" t="n"/>
      <c r="R14487" s="19" t="n"/>
      <c r="Y14487" s="19" t="n"/>
    </row>
    <row r="14488">
      <c r="C14488" s="18" t="n"/>
      <c r="J14488" s="19" t="n"/>
      <c r="P14488" s="20" t="n"/>
      <c r="Q14488" s="19" t="n"/>
      <c r="R14488" s="19" t="n"/>
      <c r="Y14488" s="19" t="n"/>
    </row>
    <row r="14489">
      <c r="C14489" s="18" t="n"/>
      <c r="J14489" s="19" t="n"/>
      <c r="P14489" s="20" t="n"/>
      <c r="Q14489" s="19" t="n"/>
      <c r="R14489" s="19" t="n"/>
      <c r="Y14489" s="19" t="n"/>
    </row>
    <row r="14490">
      <c r="C14490" s="18" t="n"/>
      <c r="J14490" s="19" t="n"/>
      <c r="P14490" s="20" t="n"/>
      <c r="Q14490" s="19" t="n"/>
      <c r="R14490" s="19" t="n"/>
      <c r="Y14490" s="19" t="n"/>
    </row>
    <row r="14491">
      <c r="C14491" s="18" t="n"/>
      <c r="J14491" s="19" t="n"/>
      <c r="P14491" s="20" t="n"/>
      <c r="Q14491" s="19" t="n"/>
      <c r="R14491" s="19" t="n"/>
      <c r="Y14491" s="19" t="n"/>
    </row>
    <row r="14492">
      <c r="C14492" s="18" t="n"/>
      <c r="J14492" s="19" t="n"/>
      <c r="P14492" s="20" t="n"/>
      <c r="Q14492" s="19" t="n"/>
      <c r="R14492" s="19" t="n"/>
      <c r="Y14492" s="19" t="n"/>
    </row>
    <row r="14493">
      <c r="C14493" s="18" t="n"/>
      <c r="J14493" s="19" t="n"/>
      <c r="P14493" s="20" t="n"/>
      <c r="Q14493" s="19" t="n"/>
      <c r="R14493" s="19" t="n"/>
      <c r="Y14493" s="19" t="n"/>
    </row>
    <row r="14494">
      <c r="C14494" s="18" t="n"/>
      <c r="J14494" s="19" t="n"/>
      <c r="P14494" s="20" t="n"/>
      <c r="Q14494" s="19" t="n"/>
      <c r="R14494" s="19" t="n"/>
      <c r="Y14494" s="19" t="n"/>
    </row>
    <row r="14495">
      <c r="C14495" s="18" t="n"/>
      <c r="J14495" s="19" t="n"/>
      <c r="P14495" s="20" t="n"/>
      <c r="Q14495" s="19" t="n"/>
      <c r="R14495" s="19" t="n"/>
      <c r="Y14495" s="19" t="n"/>
    </row>
    <row r="14496">
      <c r="C14496" s="18" t="n"/>
      <c r="J14496" s="19" t="n"/>
      <c r="P14496" s="20" t="n"/>
      <c r="Q14496" s="19" t="n"/>
      <c r="R14496" s="19" t="n"/>
      <c r="Y14496" s="19" t="n"/>
    </row>
    <row r="14497">
      <c r="C14497" s="18" t="n"/>
      <c r="J14497" s="19" t="n"/>
      <c r="P14497" s="20" t="n"/>
      <c r="Q14497" s="19" t="n"/>
      <c r="R14497" s="19" t="n"/>
      <c r="Y14497" s="19" t="n"/>
    </row>
    <row r="14498">
      <c r="C14498" s="18" t="n"/>
      <c r="J14498" s="19" t="n"/>
      <c r="P14498" s="20" t="n"/>
      <c r="Q14498" s="19" t="n"/>
      <c r="R14498" s="19" t="n"/>
      <c r="Y14498" s="19" t="n"/>
    </row>
    <row r="14499">
      <c r="C14499" s="18" t="n"/>
      <c r="J14499" s="19" t="n"/>
      <c r="P14499" s="20" t="n"/>
      <c r="Q14499" s="19" t="n"/>
      <c r="R14499" s="19" t="n"/>
      <c r="Y14499" s="19" t="n"/>
    </row>
    <row r="14500">
      <c r="C14500" s="18" t="n"/>
      <c r="J14500" s="19" t="n"/>
      <c r="P14500" s="20" t="n"/>
      <c r="Q14500" s="19" t="n"/>
      <c r="R14500" s="19" t="n"/>
      <c r="Y14500" s="19" t="n"/>
    </row>
    <row r="14501">
      <c r="C14501" s="18" t="n"/>
      <c r="J14501" s="19" t="n"/>
      <c r="P14501" s="20" t="n"/>
      <c r="Q14501" s="19" t="n"/>
      <c r="R14501" s="19" t="n"/>
      <c r="Y14501" s="19" t="n"/>
    </row>
    <row r="14502">
      <c r="C14502" s="18" t="n"/>
      <c r="J14502" s="19" t="n"/>
      <c r="P14502" s="20" t="n"/>
      <c r="Q14502" s="19" t="n"/>
      <c r="R14502" s="19" t="n"/>
      <c r="Y14502" s="19" t="n"/>
    </row>
    <row r="14503">
      <c r="C14503" s="18" t="n"/>
      <c r="J14503" s="19" t="n"/>
      <c r="P14503" s="20" t="n"/>
      <c r="Q14503" s="19" t="n"/>
      <c r="R14503" s="19" t="n"/>
      <c r="Y14503" s="19" t="n"/>
    </row>
    <row r="14504">
      <c r="C14504" s="18" t="n"/>
      <c r="J14504" s="19" t="n"/>
      <c r="P14504" s="20" t="n"/>
      <c r="Q14504" s="19" t="n"/>
      <c r="R14504" s="19" t="n"/>
      <c r="Y14504" s="19" t="n"/>
    </row>
    <row r="14505">
      <c r="C14505" s="18" t="n"/>
      <c r="J14505" s="19" t="n"/>
      <c r="P14505" s="20" t="n"/>
      <c r="Q14505" s="19" t="n"/>
      <c r="R14505" s="19" t="n"/>
      <c r="Y14505" s="19" t="n"/>
    </row>
    <row r="14506">
      <c r="C14506" s="18" t="n"/>
      <c r="J14506" s="19" t="n"/>
      <c r="P14506" s="20" t="n"/>
      <c r="Q14506" s="19" t="n"/>
      <c r="R14506" s="19" t="n"/>
      <c r="Y14506" s="19" t="n"/>
    </row>
    <row r="14507">
      <c r="C14507" s="18" t="n"/>
      <c r="J14507" s="19" t="n"/>
      <c r="P14507" s="20" t="n"/>
      <c r="Q14507" s="19" t="n"/>
      <c r="R14507" s="19" t="n"/>
      <c r="Y14507" s="19" t="n"/>
    </row>
    <row r="14508">
      <c r="C14508" s="18" t="n"/>
      <c r="J14508" s="19" t="n"/>
      <c r="P14508" s="20" t="n"/>
      <c r="Q14508" s="19" t="n"/>
      <c r="R14508" s="19" t="n"/>
      <c r="Y14508" s="19" t="n"/>
    </row>
    <row r="14509">
      <c r="C14509" s="18" t="n"/>
      <c r="J14509" s="19" t="n"/>
      <c r="P14509" s="20" t="n"/>
      <c r="Q14509" s="19" t="n"/>
      <c r="R14509" s="19" t="n"/>
      <c r="Y14509" s="19" t="n"/>
    </row>
    <row r="14510">
      <c r="C14510" s="18" t="n"/>
      <c r="J14510" s="19" t="n"/>
      <c r="P14510" s="20" t="n"/>
      <c r="Q14510" s="19" t="n"/>
      <c r="R14510" s="19" t="n"/>
      <c r="Y14510" s="19" t="n"/>
    </row>
    <row r="14511">
      <c r="C14511" s="18" t="n"/>
      <c r="J14511" s="19" t="n"/>
      <c r="P14511" s="20" t="n"/>
      <c r="Q14511" s="19" t="n"/>
      <c r="R14511" s="19" t="n"/>
      <c r="Y14511" s="19" t="n"/>
    </row>
    <row r="14512">
      <c r="C14512" s="18" t="n"/>
      <c r="J14512" s="19" t="n"/>
      <c r="P14512" s="20" t="n"/>
      <c r="Q14512" s="19" t="n"/>
      <c r="R14512" s="19" t="n"/>
      <c r="Y14512" s="19" t="n"/>
    </row>
    <row r="14513">
      <c r="C14513" s="18" t="n"/>
      <c r="J14513" s="19" t="n"/>
      <c r="P14513" s="20" t="n"/>
      <c r="Q14513" s="19" t="n"/>
      <c r="R14513" s="19" t="n"/>
      <c r="Y14513" s="19" t="n"/>
    </row>
    <row r="14514">
      <c r="C14514" s="18" t="n"/>
      <c r="J14514" s="19" t="n"/>
      <c r="P14514" s="20" t="n"/>
      <c r="Q14514" s="19" t="n"/>
      <c r="R14514" s="19" t="n"/>
      <c r="Y14514" s="19" t="n"/>
    </row>
    <row r="14515">
      <c r="C14515" s="18" t="n"/>
      <c r="J14515" s="19" t="n"/>
      <c r="P14515" s="20" t="n"/>
      <c r="Q14515" s="19" t="n"/>
      <c r="R14515" s="19" t="n"/>
      <c r="Y14515" s="19" t="n"/>
    </row>
    <row r="14516">
      <c r="C14516" s="18" t="n"/>
      <c r="J14516" s="19" t="n"/>
      <c r="P14516" s="20" t="n"/>
      <c r="Q14516" s="19" t="n"/>
      <c r="R14516" s="19" t="n"/>
      <c r="Y14516" s="19" t="n"/>
    </row>
    <row r="14517">
      <c r="C14517" s="18" t="n"/>
      <c r="J14517" s="19" t="n"/>
      <c r="P14517" s="20" t="n"/>
      <c r="Q14517" s="19" t="n"/>
      <c r="R14517" s="19" t="n"/>
      <c r="Y14517" s="19" t="n"/>
    </row>
    <row r="14518">
      <c r="C14518" s="18" t="n"/>
      <c r="J14518" s="19" t="n"/>
      <c r="P14518" s="20" t="n"/>
      <c r="Q14518" s="19" t="n"/>
      <c r="R14518" s="19" t="n"/>
      <c r="Y14518" s="19" t="n"/>
    </row>
    <row r="14519">
      <c r="C14519" s="18" t="n"/>
      <c r="J14519" s="19" t="n"/>
      <c r="P14519" s="20" t="n"/>
      <c r="Q14519" s="19" t="n"/>
      <c r="R14519" s="19" t="n"/>
      <c r="Y14519" s="19" t="n"/>
    </row>
    <row r="14520">
      <c r="C14520" s="18" t="n"/>
      <c r="J14520" s="19" t="n"/>
      <c r="P14520" s="20" t="n"/>
      <c r="Q14520" s="19" t="n"/>
      <c r="R14520" s="19" t="n"/>
      <c r="Y14520" s="19" t="n"/>
    </row>
    <row r="14521">
      <c r="C14521" s="18" t="n"/>
      <c r="J14521" s="19" t="n"/>
      <c r="P14521" s="20" t="n"/>
      <c r="Q14521" s="19" t="n"/>
      <c r="R14521" s="19" t="n"/>
      <c r="Y14521" s="19" t="n"/>
    </row>
    <row r="14522">
      <c r="C14522" s="18" t="n"/>
      <c r="J14522" s="19" t="n"/>
      <c r="P14522" s="20" t="n"/>
      <c r="Q14522" s="19" t="n"/>
      <c r="R14522" s="19" t="n"/>
      <c r="Y14522" s="19" t="n"/>
    </row>
    <row r="14523">
      <c r="C14523" s="18" t="n"/>
      <c r="J14523" s="19" t="n"/>
      <c r="P14523" s="20" t="n"/>
      <c r="Q14523" s="19" t="n"/>
      <c r="R14523" s="19" t="n"/>
      <c r="Y14523" s="19" t="n"/>
    </row>
    <row r="14524">
      <c r="C14524" s="18" t="n"/>
      <c r="J14524" s="19" t="n"/>
      <c r="P14524" s="20" t="n"/>
      <c r="Q14524" s="19" t="n"/>
      <c r="R14524" s="19" t="n"/>
      <c r="Y14524" s="19" t="n"/>
    </row>
    <row r="14525">
      <c r="C14525" s="18" t="n"/>
      <c r="J14525" s="19" t="n"/>
      <c r="P14525" s="20" t="n"/>
      <c r="Q14525" s="19" t="n"/>
      <c r="R14525" s="19" t="n"/>
      <c r="Y14525" s="19" t="n"/>
    </row>
    <row r="14526">
      <c r="C14526" s="18" t="n"/>
      <c r="J14526" s="19" t="n"/>
      <c r="P14526" s="20" t="n"/>
      <c r="Q14526" s="19" t="n"/>
      <c r="R14526" s="19" t="n"/>
      <c r="Y14526" s="19" t="n"/>
    </row>
    <row r="14527">
      <c r="C14527" s="18" t="n"/>
      <c r="J14527" s="19" t="n"/>
      <c r="P14527" s="20" t="n"/>
      <c r="Q14527" s="19" t="n"/>
      <c r="R14527" s="19" t="n"/>
      <c r="Y14527" s="19" t="n"/>
    </row>
    <row r="14528">
      <c r="C14528" s="18" t="n"/>
      <c r="J14528" s="19" t="n"/>
      <c r="P14528" s="20" t="n"/>
      <c r="Q14528" s="19" t="n"/>
      <c r="R14528" s="19" t="n"/>
      <c r="Y14528" s="19" t="n"/>
    </row>
    <row r="14529">
      <c r="C14529" s="18" t="n"/>
      <c r="J14529" s="19" t="n"/>
      <c r="P14529" s="20" t="n"/>
      <c r="Q14529" s="19" t="n"/>
      <c r="R14529" s="19" t="n"/>
      <c r="Y14529" s="19" t="n"/>
    </row>
    <row r="14530">
      <c r="C14530" s="18" t="n"/>
      <c r="J14530" s="19" t="n"/>
      <c r="P14530" s="20" t="n"/>
      <c r="Q14530" s="19" t="n"/>
      <c r="R14530" s="19" t="n"/>
      <c r="Y14530" s="19" t="n"/>
    </row>
    <row r="14531">
      <c r="C14531" s="18" t="n"/>
      <c r="J14531" s="19" t="n"/>
      <c r="P14531" s="20" t="n"/>
      <c r="Q14531" s="19" t="n"/>
      <c r="R14531" s="19" t="n"/>
      <c r="Y14531" s="19" t="n"/>
    </row>
    <row r="14532">
      <c r="C14532" s="18" t="n"/>
      <c r="J14532" s="19" t="n"/>
      <c r="P14532" s="20" t="n"/>
      <c r="Q14532" s="19" t="n"/>
      <c r="R14532" s="19" t="n"/>
      <c r="Y14532" s="19" t="n"/>
    </row>
    <row r="14533">
      <c r="C14533" s="18" t="n"/>
      <c r="J14533" s="19" t="n"/>
      <c r="P14533" s="20" t="n"/>
      <c r="Q14533" s="19" t="n"/>
      <c r="R14533" s="19" t="n"/>
      <c r="Y14533" s="19" t="n"/>
    </row>
    <row r="14534">
      <c r="C14534" s="18" t="n"/>
      <c r="J14534" s="19" t="n"/>
      <c r="P14534" s="20" t="n"/>
      <c r="Q14534" s="19" t="n"/>
      <c r="R14534" s="19" t="n"/>
      <c r="Y14534" s="19" t="n"/>
    </row>
    <row r="14535">
      <c r="C14535" s="18" t="n"/>
      <c r="J14535" s="19" t="n"/>
      <c r="P14535" s="20" t="n"/>
      <c r="Q14535" s="19" t="n"/>
      <c r="R14535" s="19" t="n"/>
      <c r="Y14535" s="19" t="n"/>
    </row>
    <row r="14536">
      <c r="C14536" s="18" t="n"/>
      <c r="J14536" s="19" t="n"/>
      <c r="P14536" s="20" t="n"/>
      <c r="Q14536" s="19" t="n"/>
      <c r="R14536" s="19" t="n"/>
      <c r="Y14536" s="19" t="n"/>
    </row>
    <row r="14537">
      <c r="C14537" s="18" t="n"/>
      <c r="J14537" s="19" t="n"/>
      <c r="P14537" s="20" t="n"/>
      <c r="Q14537" s="19" t="n"/>
      <c r="R14537" s="19" t="n"/>
      <c r="Y14537" s="19" t="n"/>
    </row>
    <row r="14538">
      <c r="C14538" s="18" t="n"/>
      <c r="J14538" s="19" t="n"/>
      <c r="P14538" s="20" t="n"/>
      <c r="Q14538" s="19" t="n"/>
      <c r="R14538" s="19" t="n"/>
      <c r="Y14538" s="19" t="n"/>
    </row>
    <row r="14539">
      <c r="C14539" s="18" t="n"/>
      <c r="J14539" s="19" t="n"/>
      <c r="P14539" s="20" t="n"/>
      <c r="Q14539" s="19" t="n"/>
      <c r="R14539" s="19" t="n"/>
      <c r="Y14539" s="19" t="n"/>
    </row>
    <row r="14540">
      <c r="C14540" s="18" t="n"/>
      <c r="J14540" s="19" t="n"/>
      <c r="P14540" s="20" t="n"/>
      <c r="Q14540" s="19" t="n"/>
      <c r="R14540" s="19" t="n"/>
      <c r="Y14540" s="19" t="n"/>
    </row>
    <row r="14541">
      <c r="C14541" s="18" t="n"/>
      <c r="J14541" s="19" t="n"/>
      <c r="P14541" s="20" t="n"/>
      <c r="Q14541" s="19" t="n"/>
      <c r="R14541" s="19" t="n"/>
      <c r="Y14541" s="19" t="n"/>
    </row>
    <row r="14542">
      <c r="C14542" s="18" t="n"/>
      <c r="J14542" s="19" t="n"/>
      <c r="P14542" s="20" t="n"/>
      <c r="Q14542" s="19" t="n"/>
      <c r="R14542" s="19" t="n"/>
      <c r="Y14542" s="19" t="n"/>
    </row>
    <row r="14543">
      <c r="C14543" s="18" t="n"/>
      <c r="J14543" s="19" t="n"/>
      <c r="P14543" s="20" t="n"/>
      <c r="Q14543" s="19" t="n"/>
      <c r="R14543" s="19" t="n"/>
      <c r="Y14543" s="19" t="n"/>
    </row>
    <row r="14544">
      <c r="C14544" s="18" t="n"/>
      <c r="J14544" s="19" t="n"/>
      <c r="P14544" s="20" t="n"/>
      <c r="Q14544" s="19" t="n"/>
      <c r="R14544" s="19" t="n"/>
      <c r="Y14544" s="19" t="n"/>
    </row>
    <row r="14545">
      <c r="C14545" s="18" t="n"/>
      <c r="J14545" s="19" t="n"/>
      <c r="P14545" s="20" t="n"/>
      <c r="Q14545" s="19" t="n"/>
      <c r="R14545" s="19" t="n"/>
      <c r="Y14545" s="19" t="n"/>
    </row>
    <row r="14546">
      <c r="C14546" s="18" t="n"/>
      <c r="J14546" s="19" t="n"/>
      <c r="P14546" s="20" t="n"/>
      <c r="Q14546" s="19" t="n"/>
      <c r="R14546" s="19" t="n"/>
      <c r="Y14546" s="19" t="n"/>
    </row>
    <row r="14547">
      <c r="C14547" s="18" t="n"/>
      <c r="J14547" s="19" t="n"/>
      <c r="P14547" s="20" t="n"/>
      <c r="Q14547" s="19" t="n"/>
      <c r="R14547" s="19" t="n"/>
      <c r="Y14547" s="19" t="n"/>
    </row>
    <row r="14548">
      <c r="C14548" s="18" t="n"/>
      <c r="J14548" s="19" t="n"/>
      <c r="P14548" s="20" t="n"/>
      <c r="Q14548" s="19" t="n"/>
      <c r="R14548" s="19" t="n"/>
      <c r="Y14548" s="19" t="n"/>
    </row>
    <row r="14549">
      <c r="C14549" s="18" t="n"/>
      <c r="J14549" s="19" t="n"/>
      <c r="P14549" s="20" t="n"/>
      <c r="Q14549" s="19" t="n"/>
      <c r="R14549" s="19" t="n"/>
      <c r="Y14549" s="19" t="n"/>
    </row>
    <row r="14550">
      <c r="C14550" s="18" t="n"/>
      <c r="J14550" s="19" t="n"/>
      <c r="P14550" s="20" t="n"/>
      <c r="Q14550" s="19" t="n"/>
      <c r="R14550" s="19" t="n"/>
      <c r="Y14550" s="19" t="n"/>
    </row>
    <row r="14551">
      <c r="C14551" s="18" t="n"/>
      <c r="J14551" s="19" t="n"/>
      <c r="P14551" s="20" t="n"/>
      <c r="Q14551" s="19" t="n"/>
      <c r="R14551" s="19" t="n"/>
      <c r="Y14551" s="19" t="n"/>
    </row>
    <row r="14552">
      <c r="C14552" s="18" t="n"/>
      <c r="J14552" s="19" t="n"/>
      <c r="P14552" s="20" t="n"/>
      <c r="Q14552" s="19" t="n"/>
      <c r="R14552" s="19" t="n"/>
      <c r="Y14552" s="19" t="n"/>
    </row>
    <row r="14553">
      <c r="C14553" s="18" t="n"/>
      <c r="J14553" s="19" t="n"/>
      <c r="P14553" s="20" t="n"/>
      <c r="Q14553" s="19" t="n"/>
      <c r="R14553" s="19" t="n"/>
      <c r="Y14553" s="19" t="n"/>
    </row>
    <row r="14554">
      <c r="C14554" s="18" t="n"/>
      <c r="J14554" s="19" t="n"/>
      <c r="P14554" s="20" t="n"/>
      <c r="Q14554" s="19" t="n"/>
      <c r="R14554" s="19" t="n"/>
      <c r="Y14554" s="19" t="n"/>
    </row>
    <row r="14555">
      <c r="C14555" s="18" t="n"/>
      <c r="J14555" s="19" t="n"/>
      <c r="P14555" s="20" t="n"/>
      <c r="Q14555" s="19" t="n"/>
      <c r="R14555" s="19" t="n"/>
      <c r="Y14555" s="19" t="n"/>
    </row>
    <row r="14556">
      <c r="C14556" s="18" t="n"/>
      <c r="J14556" s="19" t="n"/>
      <c r="P14556" s="20" t="n"/>
      <c r="Q14556" s="19" t="n"/>
      <c r="R14556" s="19" t="n"/>
      <c r="Y14556" s="19" t="n"/>
    </row>
    <row r="14557">
      <c r="C14557" s="18" t="n"/>
      <c r="J14557" s="19" t="n"/>
      <c r="P14557" s="20" t="n"/>
      <c r="Q14557" s="19" t="n"/>
      <c r="R14557" s="19" t="n"/>
      <c r="Y14557" s="19" t="n"/>
    </row>
    <row r="14558">
      <c r="C14558" s="18" t="n"/>
      <c r="J14558" s="19" t="n"/>
      <c r="P14558" s="20" t="n"/>
      <c r="Q14558" s="19" t="n"/>
      <c r="R14558" s="19" t="n"/>
      <c r="Y14558" s="19" t="n"/>
    </row>
    <row r="14559">
      <c r="C14559" s="18" t="n"/>
      <c r="J14559" s="19" t="n"/>
      <c r="P14559" s="20" t="n"/>
      <c r="Q14559" s="19" t="n"/>
      <c r="R14559" s="19" t="n"/>
      <c r="Y14559" s="19" t="n"/>
    </row>
    <row r="14560">
      <c r="C14560" s="18" t="n"/>
      <c r="J14560" s="19" t="n"/>
      <c r="P14560" s="20" t="n"/>
      <c r="Q14560" s="19" t="n"/>
      <c r="R14560" s="19" t="n"/>
      <c r="Y14560" s="19" t="n"/>
    </row>
    <row r="14561">
      <c r="C14561" s="18" t="n"/>
      <c r="J14561" s="19" t="n"/>
      <c r="P14561" s="20" t="n"/>
      <c r="Q14561" s="19" t="n"/>
      <c r="R14561" s="19" t="n"/>
      <c r="Y14561" s="19" t="n"/>
    </row>
    <row r="14562">
      <c r="C14562" s="18" t="n"/>
      <c r="J14562" s="19" t="n"/>
      <c r="P14562" s="20" t="n"/>
      <c r="Q14562" s="19" t="n"/>
      <c r="R14562" s="19" t="n"/>
      <c r="Y14562" s="19" t="n"/>
    </row>
    <row r="14563">
      <c r="C14563" s="18" t="n"/>
      <c r="J14563" s="19" t="n"/>
      <c r="P14563" s="20" t="n"/>
      <c r="Q14563" s="19" t="n"/>
      <c r="R14563" s="19" t="n"/>
      <c r="Y14563" s="19" t="n"/>
    </row>
    <row r="14564">
      <c r="C14564" s="18" t="n"/>
      <c r="J14564" s="19" t="n"/>
      <c r="P14564" s="20" t="n"/>
      <c r="Q14564" s="19" t="n"/>
      <c r="R14564" s="19" t="n"/>
      <c r="Y14564" s="19" t="n"/>
    </row>
    <row r="14565">
      <c r="C14565" s="18" t="n"/>
      <c r="J14565" s="19" t="n"/>
      <c r="P14565" s="20" t="n"/>
      <c r="Q14565" s="19" t="n"/>
      <c r="R14565" s="19" t="n"/>
      <c r="Y14565" s="19" t="n"/>
    </row>
    <row r="14566">
      <c r="C14566" s="18" t="n"/>
      <c r="J14566" s="19" t="n"/>
      <c r="P14566" s="20" t="n"/>
      <c r="Q14566" s="19" t="n"/>
      <c r="R14566" s="19" t="n"/>
      <c r="Y14566" s="19" t="n"/>
    </row>
    <row r="14567">
      <c r="C14567" s="18" t="n"/>
      <c r="J14567" s="19" t="n"/>
      <c r="P14567" s="20" t="n"/>
      <c r="Q14567" s="19" t="n"/>
      <c r="R14567" s="19" t="n"/>
      <c r="Y14567" s="19" t="n"/>
    </row>
    <row r="14568">
      <c r="C14568" s="18" t="n"/>
      <c r="J14568" s="19" t="n"/>
      <c r="P14568" s="20" t="n"/>
      <c r="Q14568" s="19" t="n"/>
      <c r="R14568" s="19" t="n"/>
      <c r="Y14568" s="19" t="n"/>
    </row>
    <row r="14569">
      <c r="C14569" s="18" t="n"/>
      <c r="J14569" s="19" t="n"/>
      <c r="P14569" s="20" t="n"/>
      <c r="Q14569" s="19" t="n"/>
      <c r="R14569" s="19" t="n"/>
      <c r="Y14569" s="19" t="n"/>
    </row>
    <row r="14570">
      <c r="C14570" s="18" t="n"/>
      <c r="J14570" s="19" t="n"/>
      <c r="P14570" s="20" t="n"/>
      <c r="Q14570" s="19" t="n"/>
      <c r="R14570" s="19" t="n"/>
      <c r="Y14570" s="19" t="n"/>
    </row>
    <row r="14571">
      <c r="C14571" s="18" t="n"/>
      <c r="J14571" s="19" t="n"/>
      <c r="P14571" s="20" t="n"/>
      <c r="Q14571" s="19" t="n"/>
      <c r="R14571" s="19" t="n"/>
      <c r="Y14571" s="19" t="n"/>
    </row>
    <row r="14572">
      <c r="C14572" s="18" t="n"/>
      <c r="J14572" s="19" t="n"/>
      <c r="P14572" s="20" t="n"/>
      <c r="Q14572" s="19" t="n"/>
      <c r="R14572" s="19" t="n"/>
      <c r="Y14572" s="19" t="n"/>
    </row>
    <row r="14573">
      <c r="C14573" s="18" t="n"/>
      <c r="J14573" s="19" t="n"/>
      <c r="P14573" s="20" t="n"/>
      <c r="Q14573" s="19" t="n"/>
      <c r="R14573" s="19" t="n"/>
      <c r="Y14573" s="19" t="n"/>
    </row>
    <row r="14574">
      <c r="C14574" s="18" t="n"/>
      <c r="J14574" s="19" t="n"/>
      <c r="P14574" s="20" t="n"/>
      <c r="Q14574" s="19" t="n"/>
      <c r="R14574" s="19" t="n"/>
      <c r="Y14574" s="19" t="n"/>
    </row>
    <row r="14575">
      <c r="C14575" s="18" t="n"/>
      <c r="J14575" s="19" t="n"/>
      <c r="P14575" s="20" t="n"/>
      <c r="Q14575" s="19" t="n"/>
      <c r="R14575" s="19" t="n"/>
      <c r="Y14575" s="19" t="n"/>
    </row>
    <row r="14576">
      <c r="C14576" s="18" t="n"/>
      <c r="J14576" s="19" t="n"/>
      <c r="P14576" s="20" t="n"/>
      <c r="Q14576" s="19" t="n"/>
      <c r="R14576" s="19" t="n"/>
      <c r="Y14576" s="19" t="n"/>
    </row>
    <row r="14577">
      <c r="C14577" s="18" t="n"/>
      <c r="J14577" s="19" t="n"/>
      <c r="P14577" s="20" t="n"/>
      <c r="Q14577" s="19" t="n"/>
      <c r="R14577" s="19" t="n"/>
      <c r="Y14577" s="19" t="n"/>
    </row>
    <row r="14578">
      <c r="C14578" s="18" t="n"/>
      <c r="J14578" s="19" t="n"/>
      <c r="P14578" s="20" t="n"/>
      <c r="Q14578" s="19" t="n"/>
      <c r="R14578" s="19" t="n"/>
      <c r="Y14578" s="19" t="n"/>
    </row>
    <row r="14579">
      <c r="C14579" s="18" t="n"/>
      <c r="J14579" s="19" t="n"/>
      <c r="P14579" s="20" t="n"/>
      <c r="Q14579" s="19" t="n"/>
      <c r="R14579" s="19" t="n"/>
      <c r="Y14579" s="19" t="n"/>
    </row>
    <row r="14580">
      <c r="C14580" s="18" t="n"/>
      <c r="J14580" s="19" t="n"/>
      <c r="P14580" s="20" t="n"/>
      <c r="Q14580" s="19" t="n"/>
      <c r="R14580" s="19" t="n"/>
      <c r="Y14580" s="19" t="n"/>
    </row>
    <row r="14581">
      <c r="C14581" s="18" t="n"/>
      <c r="J14581" s="19" t="n"/>
      <c r="P14581" s="20" t="n"/>
      <c r="Q14581" s="19" t="n"/>
      <c r="R14581" s="19" t="n"/>
      <c r="Y14581" s="19" t="n"/>
    </row>
    <row r="14582">
      <c r="C14582" s="18" t="n"/>
      <c r="J14582" s="19" t="n"/>
      <c r="P14582" s="20" t="n"/>
      <c r="Q14582" s="19" t="n"/>
      <c r="R14582" s="19" t="n"/>
      <c r="Y14582" s="19" t="n"/>
    </row>
    <row r="14583">
      <c r="C14583" s="18" t="n"/>
      <c r="J14583" s="19" t="n"/>
      <c r="P14583" s="20" t="n"/>
      <c r="Q14583" s="19" t="n"/>
      <c r="R14583" s="19" t="n"/>
      <c r="Y14583" s="19" t="n"/>
    </row>
    <row r="14584">
      <c r="C14584" s="18" t="n"/>
      <c r="J14584" s="19" t="n"/>
      <c r="P14584" s="20" t="n"/>
      <c r="Q14584" s="19" t="n"/>
      <c r="R14584" s="19" t="n"/>
      <c r="Y14584" s="19" t="n"/>
    </row>
    <row r="14585">
      <c r="C14585" s="18" t="n"/>
      <c r="J14585" s="19" t="n"/>
      <c r="P14585" s="20" t="n"/>
      <c r="Q14585" s="19" t="n"/>
      <c r="R14585" s="19" t="n"/>
      <c r="Y14585" s="19" t="n"/>
    </row>
    <row r="14586">
      <c r="C14586" s="18" t="n"/>
      <c r="J14586" s="19" t="n"/>
      <c r="P14586" s="20" t="n"/>
      <c r="Q14586" s="19" t="n"/>
      <c r="R14586" s="19" t="n"/>
      <c r="Y14586" s="19" t="n"/>
    </row>
    <row r="14587">
      <c r="C14587" s="18" t="n"/>
      <c r="J14587" s="19" t="n"/>
      <c r="P14587" s="20" t="n"/>
      <c r="Q14587" s="19" t="n"/>
      <c r="R14587" s="19" t="n"/>
      <c r="Y14587" s="19" t="n"/>
    </row>
    <row r="14588">
      <c r="C14588" s="18" t="n"/>
      <c r="J14588" s="19" t="n"/>
      <c r="P14588" s="20" t="n"/>
      <c r="Q14588" s="19" t="n"/>
      <c r="R14588" s="19" t="n"/>
      <c r="Y14588" s="19" t="n"/>
    </row>
    <row r="14589">
      <c r="C14589" s="18" t="n"/>
      <c r="J14589" s="19" t="n"/>
      <c r="P14589" s="20" t="n"/>
      <c r="Q14589" s="19" t="n"/>
      <c r="R14589" s="19" t="n"/>
      <c r="Y14589" s="19" t="n"/>
    </row>
    <row r="14590">
      <c r="C14590" s="18" t="n"/>
      <c r="J14590" s="19" t="n"/>
      <c r="P14590" s="20" t="n"/>
      <c r="Q14590" s="19" t="n"/>
      <c r="R14590" s="19" t="n"/>
      <c r="Y14590" s="19" t="n"/>
    </row>
    <row r="14591">
      <c r="C14591" s="18" t="n"/>
      <c r="J14591" s="19" t="n"/>
      <c r="P14591" s="20" t="n"/>
      <c r="Q14591" s="19" t="n"/>
      <c r="R14591" s="19" t="n"/>
      <c r="Y14591" s="19" t="n"/>
    </row>
    <row r="14592">
      <c r="C14592" s="18" t="n"/>
      <c r="J14592" s="19" t="n"/>
      <c r="P14592" s="20" t="n"/>
      <c r="Q14592" s="19" t="n"/>
      <c r="R14592" s="19" t="n"/>
      <c r="Y14592" s="19" t="n"/>
    </row>
    <row r="14593">
      <c r="C14593" s="18" t="n"/>
      <c r="J14593" s="19" t="n"/>
      <c r="P14593" s="20" t="n"/>
      <c r="Q14593" s="19" t="n"/>
      <c r="R14593" s="19" t="n"/>
      <c r="Y14593" s="19" t="n"/>
    </row>
    <row r="14594">
      <c r="C14594" s="18" t="n"/>
      <c r="J14594" s="19" t="n"/>
      <c r="P14594" s="20" t="n"/>
      <c r="Q14594" s="19" t="n"/>
      <c r="R14594" s="19" t="n"/>
      <c r="Y14594" s="19" t="n"/>
    </row>
    <row r="14595">
      <c r="C14595" s="18" t="n"/>
      <c r="J14595" s="19" t="n"/>
      <c r="P14595" s="20" t="n"/>
      <c r="Q14595" s="19" t="n"/>
      <c r="R14595" s="19" t="n"/>
      <c r="Y14595" s="19" t="n"/>
    </row>
    <row r="14596">
      <c r="C14596" s="18" t="n"/>
      <c r="J14596" s="19" t="n"/>
      <c r="P14596" s="20" t="n"/>
      <c r="Q14596" s="19" t="n"/>
      <c r="R14596" s="19" t="n"/>
      <c r="Y14596" s="19" t="n"/>
    </row>
    <row r="14597">
      <c r="C14597" s="18" t="n"/>
      <c r="J14597" s="19" t="n"/>
      <c r="P14597" s="20" t="n"/>
      <c r="Q14597" s="19" t="n"/>
      <c r="R14597" s="19" t="n"/>
      <c r="Y14597" s="19" t="n"/>
    </row>
    <row r="14598">
      <c r="C14598" s="18" t="n"/>
      <c r="J14598" s="19" t="n"/>
      <c r="P14598" s="20" t="n"/>
      <c r="Q14598" s="19" t="n"/>
      <c r="R14598" s="19" t="n"/>
      <c r="Y14598" s="19" t="n"/>
    </row>
    <row r="14599">
      <c r="C14599" s="18" t="n"/>
      <c r="J14599" s="19" t="n"/>
      <c r="P14599" s="20" t="n"/>
      <c r="Q14599" s="19" t="n"/>
      <c r="R14599" s="19" t="n"/>
      <c r="Y14599" s="19" t="n"/>
    </row>
    <row r="14600">
      <c r="C14600" s="18" t="n"/>
      <c r="J14600" s="19" t="n"/>
      <c r="P14600" s="20" t="n"/>
      <c r="Q14600" s="19" t="n"/>
      <c r="R14600" s="19" t="n"/>
      <c r="Y14600" s="19" t="n"/>
    </row>
    <row r="14601">
      <c r="C14601" s="18" t="n"/>
      <c r="J14601" s="19" t="n"/>
      <c r="P14601" s="20" t="n"/>
      <c r="Q14601" s="19" t="n"/>
      <c r="R14601" s="19" t="n"/>
      <c r="Y14601" s="19" t="n"/>
    </row>
    <row r="14602">
      <c r="C14602" s="18" t="n"/>
      <c r="J14602" s="19" t="n"/>
      <c r="P14602" s="20" t="n"/>
      <c r="Q14602" s="19" t="n"/>
      <c r="R14602" s="19" t="n"/>
      <c r="Y14602" s="19" t="n"/>
    </row>
    <row r="14603">
      <c r="C14603" s="18" t="n"/>
      <c r="J14603" s="19" t="n"/>
      <c r="P14603" s="20" t="n"/>
      <c r="Q14603" s="19" t="n"/>
      <c r="R14603" s="19" t="n"/>
      <c r="Y14603" s="19" t="n"/>
    </row>
    <row r="14604">
      <c r="C14604" s="18" t="n"/>
      <c r="J14604" s="19" t="n"/>
      <c r="P14604" s="20" t="n"/>
      <c r="Q14604" s="19" t="n"/>
      <c r="R14604" s="19" t="n"/>
      <c r="Y14604" s="19" t="n"/>
    </row>
    <row r="14605">
      <c r="C14605" s="18" t="n"/>
      <c r="J14605" s="19" t="n"/>
      <c r="P14605" s="20" t="n"/>
      <c r="Q14605" s="19" t="n"/>
      <c r="R14605" s="19" t="n"/>
      <c r="Y14605" s="19" t="n"/>
    </row>
    <row r="14606">
      <c r="C14606" s="18" t="n"/>
      <c r="J14606" s="19" t="n"/>
      <c r="P14606" s="20" t="n"/>
      <c r="Q14606" s="19" t="n"/>
      <c r="R14606" s="19" t="n"/>
      <c r="Y14606" s="19" t="n"/>
    </row>
    <row r="14607">
      <c r="C14607" s="18" t="n"/>
      <c r="J14607" s="19" t="n"/>
      <c r="P14607" s="20" t="n"/>
      <c r="Q14607" s="19" t="n"/>
      <c r="R14607" s="19" t="n"/>
      <c r="Y14607" s="19" t="n"/>
    </row>
    <row r="14608">
      <c r="C14608" s="18" t="n"/>
      <c r="J14608" s="19" t="n"/>
      <c r="P14608" s="20" t="n"/>
      <c r="Q14608" s="19" t="n"/>
      <c r="R14608" s="19" t="n"/>
      <c r="Y14608" s="19" t="n"/>
    </row>
    <row r="14609">
      <c r="C14609" s="18" t="n"/>
      <c r="J14609" s="19" t="n"/>
      <c r="P14609" s="20" t="n"/>
      <c r="Q14609" s="19" t="n"/>
      <c r="R14609" s="19" t="n"/>
      <c r="Y14609" s="19" t="n"/>
    </row>
    <row r="14610">
      <c r="C14610" s="18" t="n"/>
      <c r="J14610" s="19" t="n"/>
      <c r="P14610" s="20" t="n"/>
      <c r="Q14610" s="19" t="n"/>
      <c r="R14610" s="19" t="n"/>
      <c r="Y14610" s="19" t="n"/>
    </row>
    <row r="14611">
      <c r="C14611" s="18" t="n"/>
      <c r="J14611" s="19" t="n"/>
      <c r="P14611" s="20" t="n"/>
      <c r="Q14611" s="19" t="n"/>
      <c r="R14611" s="19" t="n"/>
      <c r="Y14611" s="19" t="n"/>
    </row>
    <row r="14612">
      <c r="C14612" s="18" t="n"/>
      <c r="J14612" s="19" t="n"/>
      <c r="P14612" s="20" t="n"/>
      <c r="Q14612" s="19" t="n"/>
      <c r="R14612" s="19" t="n"/>
      <c r="Y14612" s="19" t="n"/>
    </row>
    <row r="14613">
      <c r="C14613" s="18" t="n"/>
      <c r="J14613" s="19" t="n"/>
      <c r="P14613" s="20" t="n"/>
      <c r="Q14613" s="19" t="n"/>
      <c r="R14613" s="19" t="n"/>
      <c r="Y14613" s="19" t="n"/>
    </row>
    <row r="14614">
      <c r="C14614" s="18" t="n"/>
      <c r="J14614" s="19" t="n"/>
      <c r="P14614" s="20" t="n"/>
      <c r="Q14614" s="19" t="n"/>
      <c r="R14614" s="19" t="n"/>
      <c r="Y14614" s="19" t="n"/>
    </row>
    <row r="14615">
      <c r="C14615" s="18" t="n"/>
      <c r="J14615" s="19" t="n"/>
      <c r="P14615" s="20" t="n"/>
      <c r="Q14615" s="19" t="n"/>
      <c r="R14615" s="19" t="n"/>
      <c r="Y14615" s="19" t="n"/>
    </row>
    <row r="14616">
      <c r="C14616" s="18" t="n"/>
      <c r="J14616" s="19" t="n"/>
      <c r="P14616" s="20" t="n"/>
      <c r="Q14616" s="19" t="n"/>
      <c r="R14616" s="19" t="n"/>
      <c r="Y14616" s="19" t="n"/>
    </row>
    <row r="14617">
      <c r="C14617" s="18" t="n"/>
      <c r="J14617" s="19" t="n"/>
      <c r="P14617" s="20" t="n"/>
      <c r="Q14617" s="19" t="n"/>
      <c r="R14617" s="19" t="n"/>
      <c r="Y14617" s="19" t="n"/>
    </row>
    <row r="14618">
      <c r="C14618" s="18" t="n"/>
      <c r="J14618" s="19" t="n"/>
      <c r="P14618" s="20" t="n"/>
      <c r="Q14618" s="19" t="n"/>
      <c r="R14618" s="19" t="n"/>
      <c r="Y14618" s="19" t="n"/>
    </row>
    <row r="14619">
      <c r="C14619" s="18" t="n"/>
      <c r="J14619" s="19" t="n"/>
      <c r="P14619" s="20" t="n"/>
      <c r="Q14619" s="19" t="n"/>
      <c r="R14619" s="19" t="n"/>
      <c r="Y14619" s="19" t="n"/>
    </row>
    <row r="14620">
      <c r="C14620" s="18" t="n"/>
      <c r="J14620" s="19" t="n"/>
      <c r="P14620" s="20" t="n"/>
      <c r="Q14620" s="19" t="n"/>
      <c r="R14620" s="19" t="n"/>
      <c r="Y14620" s="19" t="n"/>
    </row>
    <row r="14621">
      <c r="C14621" s="18" t="n"/>
      <c r="J14621" s="19" t="n"/>
      <c r="P14621" s="20" t="n"/>
      <c r="Q14621" s="19" t="n"/>
      <c r="R14621" s="19" t="n"/>
      <c r="Y14621" s="19" t="n"/>
    </row>
    <row r="14622">
      <c r="C14622" s="18" t="n"/>
      <c r="J14622" s="19" t="n"/>
      <c r="P14622" s="20" t="n"/>
      <c r="Q14622" s="19" t="n"/>
      <c r="R14622" s="19" t="n"/>
      <c r="Y14622" s="19" t="n"/>
    </row>
    <row r="14623">
      <c r="C14623" s="18" t="n"/>
      <c r="J14623" s="19" t="n"/>
      <c r="P14623" s="20" t="n"/>
      <c r="Q14623" s="19" t="n"/>
      <c r="R14623" s="19" t="n"/>
      <c r="Y14623" s="19" t="n"/>
    </row>
    <row r="14624">
      <c r="C14624" s="18" t="n"/>
      <c r="J14624" s="19" t="n"/>
      <c r="P14624" s="20" t="n"/>
      <c r="Q14624" s="19" t="n"/>
      <c r="R14624" s="19" t="n"/>
      <c r="Y14624" s="19" t="n"/>
    </row>
    <row r="14625">
      <c r="C14625" s="18" t="n"/>
      <c r="J14625" s="19" t="n"/>
      <c r="P14625" s="20" t="n"/>
      <c r="Q14625" s="19" t="n"/>
      <c r="R14625" s="19" t="n"/>
      <c r="Y14625" s="19" t="n"/>
    </row>
    <row r="14626">
      <c r="C14626" s="18" t="n"/>
      <c r="J14626" s="19" t="n"/>
      <c r="P14626" s="20" t="n"/>
      <c r="Q14626" s="19" t="n"/>
      <c r="R14626" s="19" t="n"/>
      <c r="Y14626" s="19" t="n"/>
    </row>
    <row r="14627">
      <c r="C14627" s="18" t="n"/>
      <c r="J14627" s="19" t="n"/>
      <c r="P14627" s="20" t="n"/>
      <c r="Q14627" s="19" t="n"/>
      <c r="R14627" s="19" t="n"/>
      <c r="Y14627" s="19" t="n"/>
    </row>
    <row r="14628">
      <c r="C14628" s="18" t="n"/>
      <c r="J14628" s="19" t="n"/>
      <c r="P14628" s="20" t="n"/>
      <c r="Q14628" s="19" t="n"/>
      <c r="R14628" s="19" t="n"/>
      <c r="Y14628" s="19" t="n"/>
    </row>
    <row r="14629">
      <c r="C14629" s="18" t="n"/>
      <c r="J14629" s="19" t="n"/>
      <c r="P14629" s="20" t="n"/>
      <c r="Q14629" s="19" t="n"/>
      <c r="R14629" s="19" t="n"/>
      <c r="Y14629" s="19" t="n"/>
    </row>
    <row r="14630">
      <c r="C14630" s="18" t="n"/>
      <c r="J14630" s="19" t="n"/>
      <c r="P14630" s="20" t="n"/>
      <c r="Q14630" s="19" t="n"/>
      <c r="R14630" s="19" t="n"/>
      <c r="Y14630" s="19" t="n"/>
    </row>
    <row r="14631">
      <c r="C14631" s="18" t="n"/>
      <c r="J14631" s="19" t="n"/>
      <c r="P14631" s="20" t="n"/>
      <c r="Q14631" s="19" t="n"/>
      <c r="R14631" s="19" t="n"/>
      <c r="Y14631" s="19" t="n"/>
    </row>
    <row r="14632">
      <c r="C14632" s="18" t="n"/>
      <c r="J14632" s="19" t="n"/>
      <c r="P14632" s="20" t="n"/>
      <c r="Q14632" s="19" t="n"/>
      <c r="R14632" s="19" t="n"/>
      <c r="Y14632" s="19" t="n"/>
    </row>
    <row r="14633">
      <c r="C14633" s="18" t="n"/>
      <c r="J14633" s="19" t="n"/>
      <c r="P14633" s="20" t="n"/>
      <c r="Q14633" s="19" t="n"/>
      <c r="R14633" s="19" t="n"/>
      <c r="Y14633" s="19" t="n"/>
    </row>
    <row r="14634">
      <c r="C14634" s="18" t="n"/>
      <c r="J14634" s="19" t="n"/>
      <c r="P14634" s="20" t="n"/>
      <c r="Q14634" s="19" t="n"/>
      <c r="R14634" s="19" t="n"/>
      <c r="Y14634" s="19" t="n"/>
    </row>
    <row r="14635">
      <c r="C14635" s="18" t="n"/>
      <c r="J14635" s="19" t="n"/>
      <c r="P14635" s="20" t="n"/>
      <c r="Q14635" s="19" t="n"/>
      <c r="R14635" s="19" t="n"/>
      <c r="Y14635" s="19" t="n"/>
    </row>
    <row r="14636">
      <c r="C14636" s="18" t="n"/>
      <c r="J14636" s="19" t="n"/>
      <c r="P14636" s="20" t="n"/>
      <c r="Q14636" s="19" t="n"/>
      <c r="R14636" s="19" t="n"/>
      <c r="Y14636" s="19" t="n"/>
    </row>
    <row r="14637">
      <c r="C14637" s="18" t="n"/>
      <c r="J14637" s="19" t="n"/>
      <c r="P14637" s="20" t="n"/>
      <c r="Q14637" s="19" t="n"/>
      <c r="R14637" s="19" t="n"/>
      <c r="Y14637" s="19" t="n"/>
    </row>
    <row r="14638">
      <c r="C14638" s="18" t="n"/>
      <c r="J14638" s="19" t="n"/>
      <c r="P14638" s="20" t="n"/>
      <c r="Q14638" s="19" t="n"/>
      <c r="R14638" s="19" t="n"/>
      <c r="Y14638" s="19" t="n"/>
    </row>
    <row r="14639">
      <c r="C14639" s="18" t="n"/>
      <c r="J14639" s="19" t="n"/>
      <c r="P14639" s="20" t="n"/>
      <c r="Q14639" s="19" t="n"/>
      <c r="R14639" s="19" t="n"/>
      <c r="Y14639" s="19" t="n"/>
    </row>
    <row r="14640">
      <c r="C14640" s="18" t="n"/>
      <c r="J14640" s="19" t="n"/>
      <c r="P14640" s="20" t="n"/>
      <c r="Q14640" s="19" t="n"/>
      <c r="R14640" s="19" t="n"/>
      <c r="Y14640" s="19" t="n"/>
    </row>
    <row r="14641">
      <c r="C14641" s="18" t="n"/>
      <c r="J14641" s="19" t="n"/>
      <c r="P14641" s="20" t="n"/>
      <c r="Q14641" s="19" t="n"/>
      <c r="R14641" s="19" t="n"/>
      <c r="Y14641" s="19" t="n"/>
    </row>
    <row r="14642">
      <c r="C14642" s="18" t="n"/>
      <c r="J14642" s="19" t="n"/>
      <c r="P14642" s="20" t="n"/>
      <c r="Q14642" s="19" t="n"/>
      <c r="R14642" s="19" t="n"/>
      <c r="Y14642" s="19" t="n"/>
    </row>
    <row r="14643">
      <c r="C14643" s="18" t="n"/>
      <c r="J14643" s="19" t="n"/>
      <c r="P14643" s="20" t="n"/>
      <c r="Q14643" s="19" t="n"/>
      <c r="R14643" s="19" t="n"/>
      <c r="Y14643" s="19" t="n"/>
    </row>
    <row r="14644">
      <c r="C14644" s="18" t="n"/>
      <c r="J14644" s="19" t="n"/>
      <c r="P14644" s="20" t="n"/>
      <c r="Q14644" s="19" t="n"/>
      <c r="R14644" s="19" t="n"/>
      <c r="Y14644" s="19" t="n"/>
    </row>
    <row r="14645">
      <c r="C14645" s="18" t="n"/>
      <c r="J14645" s="19" t="n"/>
      <c r="P14645" s="20" t="n"/>
      <c r="Q14645" s="19" t="n"/>
      <c r="R14645" s="19" t="n"/>
      <c r="Y14645" s="19" t="n"/>
    </row>
    <row r="14646">
      <c r="C14646" s="18" t="n"/>
      <c r="J14646" s="19" t="n"/>
      <c r="P14646" s="20" t="n"/>
      <c r="Q14646" s="19" t="n"/>
      <c r="R14646" s="19" t="n"/>
      <c r="Y14646" s="19" t="n"/>
    </row>
    <row r="14647">
      <c r="C14647" s="18" t="n"/>
      <c r="J14647" s="19" t="n"/>
      <c r="P14647" s="20" t="n"/>
      <c r="Q14647" s="19" t="n"/>
      <c r="R14647" s="19" t="n"/>
      <c r="Y14647" s="19" t="n"/>
    </row>
    <row r="14648">
      <c r="C14648" s="18" t="n"/>
      <c r="J14648" s="19" t="n"/>
      <c r="P14648" s="20" t="n"/>
      <c r="Q14648" s="19" t="n"/>
      <c r="R14648" s="19" t="n"/>
      <c r="Y14648" s="19" t="n"/>
    </row>
    <row r="14649">
      <c r="C14649" s="18" t="n"/>
      <c r="J14649" s="19" t="n"/>
      <c r="P14649" s="20" t="n"/>
      <c r="Q14649" s="19" t="n"/>
      <c r="R14649" s="19" t="n"/>
      <c r="Y14649" s="19" t="n"/>
    </row>
    <row r="14650">
      <c r="C14650" s="18" t="n"/>
      <c r="J14650" s="19" t="n"/>
      <c r="P14650" s="20" t="n"/>
      <c r="Q14650" s="19" t="n"/>
      <c r="R14650" s="19" t="n"/>
      <c r="Y14650" s="19" t="n"/>
    </row>
    <row r="14651">
      <c r="C14651" s="18" t="n"/>
      <c r="J14651" s="19" t="n"/>
      <c r="P14651" s="20" t="n"/>
      <c r="Q14651" s="19" t="n"/>
      <c r="R14651" s="19" t="n"/>
      <c r="Y14651" s="19" t="n"/>
    </row>
    <row r="14652">
      <c r="C14652" s="18" t="n"/>
      <c r="J14652" s="19" t="n"/>
      <c r="P14652" s="20" t="n"/>
      <c r="Q14652" s="19" t="n"/>
      <c r="R14652" s="19" t="n"/>
      <c r="Y14652" s="19" t="n"/>
    </row>
    <row r="14653">
      <c r="C14653" s="18" t="n"/>
      <c r="J14653" s="19" t="n"/>
      <c r="P14653" s="20" t="n"/>
      <c r="Q14653" s="19" t="n"/>
      <c r="R14653" s="19" t="n"/>
      <c r="Y14653" s="19" t="n"/>
    </row>
    <row r="14654">
      <c r="C14654" s="18" t="n"/>
      <c r="J14654" s="19" t="n"/>
      <c r="P14654" s="20" t="n"/>
      <c r="Q14654" s="19" t="n"/>
      <c r="R14654" s="19" t="n"/>
      <c r="Y14654" s="19" t="n"/>
    </row>
    <row r="14655">
      <c r="C14655" s="18" t="n"/>
      <c r="J14655" s="19" t="n"/>
      <c r="P14655" s="20" t="n"/>
      <c r="Q14655" s="19" t="n"/>
      <c r="R14655" s="19" t="n"/>
      <c r="Y14655" s="19" t="n"/>
    </row>
    <row r="14656">
      <c r="C14656" s="18" t="n"/>
      <c r="J14656" s="19" t="n"/>
      <c r="P14656" s="20" t="n"/>
      <c r="Q14656" s="19" t="n"/>
      <c r="R14656" s="19" t="n"/>
      <c r="Y14656" s="19" t="n"/>
    </row>
    <row r="14657">
      <c r="C14657" s="18" t="n"/>
      <c r="J14657" s="19" t="n"/>
      <c r="P14657" s="20" t="n"/>
      <c r="Q14657" s="19" t="n"/>
      <c r="R14657" s="19" t="n"/>
      <c r="Y14657" s="19" t="n"/>
    </row>
    <row r="14658">
      <c r="C14658" s="18" t="n"/>
      <c r="J14658" s="19" t="n"/>
      <c r="P14658" s="20" t="n"/>
      <c r="Q14658" s="19" t="n"/>
      <c r="R14658" s="19" t="n"/>
      <c r="Y14658" s="19" t="n"/>
    </row>
    <row r="14659">
      <c r="C14659" s="18" t="n"/>
      <c r="J14659" s="19" t="n"/>
      <c r="P14659" s="20" t="n"/>
      <c r="Q14659" s="19" t="n"/>
      <c r="R14659" s="19" t="n"/>
      <c r="Y14659" s="19" t="n"/>
    </row>
    <row r="14660">
      <c r="C14660" s="18" t="n"/>
      <c r="J14660" s="19" t="n"/>
      <c r="P14660" s="20" t="n"/>
      <c r="Q14660" s="19" t="n"/>
      <c r="R14660" s="19" t="n"/>
      <c r="Y14660" s="19" t="n"/>
    </row>
    <row r="14661">
      <c r="C14661" s="18" t="n"/>
      <c r="J14661" s="19" t="n"/>
      <c r="P14661" s="20" t="n"/>
      <c r="Q14661" s="19" t="n"/>
      <c r="R14661" s="19" t="n"/>
      <c r="Y14661" s="19" t="n"/>
    </row>
    <row r="14662">
      <c r="C14662" s="18" t="n"/>
      <c r="J14662" s="19" t="n"/>
      <c r="P14662" s="20" t="n"/>
      <c r="Q14662" s="19" t="n"/>
      <c r="R14662" s="19" t="n"/>
      <c r="Y14662" s="19" t="n"/>
    </row>
    <row r="14663">
      <c r="C14663" s="18" t="n"/>
      <c r="J14663" s="19" t="n"/>
      <c r="P14663" s="20" t="n"/>
      <c r="Q14663" s="19" t="n"/>
      <c r="R14663" s="19" t="n"/>
      <c r="Y14663" s="19" t="n"/>
    </row>
    <row r="14664">
      <c r="C14664" s="18" t="n"/>
      <c r="J14664" s="19" t="n"/>
      <c r="P14664" s="20" t="n"/>
      <c r="Q14664" s="19" t="n"/>
      <c r="R14664" s="19" t="n"/>
      <c r="Y14664" s="19" t="n"/>
    </row>
    <row r="14665">
      <c r="C14665" s="18" t="n"/>
      <c r="J14665" s="19" t="n"/>
      <c r="P14665" s="20" t="n"/>
      <c r="Q14665" s="19" t="n"/>
      <c r="R14665" s="19" t="n"/>
      <c r="Y14665" s="19" t="n"/>
    </row>
    <row r="14666">
      <c r="C14666" s="18" t="n"/>
      <c r="J14666" s="19" t="n"/>
      <c r="P14666" s="20" t="n"/>
      <c r="Q14666" s="19" t="n"/>
      <c r="R14666" s="19" t="n"/>
      <c r="Y14666" s="19" t="n"/>
    </row>
    <row r="14667">
      <c r="C14667" s="18" t="n"/>
      <c r="J14667" s="19" t="n"/>
      <c r="P14667" s="20" t="n"/>
      <c r="Q14667" s="19" t="n"/>
      <c r="R14667" s="19" t="n"/>
      <c r="Y14667" s="19" t="n"/>
    </row>
    <row r="14668">
      <c r="C14668" s="18" t="n"/>
      <c r="J14668" s="19" t="n"/>
      <c r="P14668" s="20" t="n"/>
      <c r="Q14668" s="19" t="n"/>
      <c r="R14668" s="19" t="n"/>
      <c r="Y14668" s="19" t="n"/>
    </row>
    <row r="14669">
      <c r="C14669" s="18" t="n"/>
      <c r="J14669" s="19" t="n"/>
      <c r="P14669" s="20" t="n"/>
      <c r="Q14669" s="19" t="n"/>
      <c r="R14669" s="19" t="n"/>
      <c r="Y14669" s="19" t="n"/>
    </row>
    <row r="14670">
      <c r="C14670" s="18" t="n"/>
      <c r="J14670" s="19" t="n"/>
      <c r="P14670" s="20" t="n"/>
      <c r="Q14670" s="19" t="n"/>
      <c r="R14670" s="19" t="n"/>
      <c r="Y14670" s="19" t="n"/>
    </row>
    <row r="14671">
      <c r="C14671" s="18" t="n"/>
      <c r="J14671" s="19" t="n"/>
      <c r="P14671" s="20" t="n"/>
      <c r="Q14671" s="19" t="n"/>
      <c r="R14671" s="19" t="n"/>
      <c r="Y14671" s="19" t="n"/>
    </row>
    <row r="14672">
      <c r="C14672" s="18" t="n"/>
      <c r="J14672" s="19" t="n"/>
      <c r="P14672" s="20" t="n"/>
      <c r="Q14672" s="19" t="n"/>
      <c r="R14672" s="19" t="n"/>
      <c r="Y14672" s="19" t="n"/>
    </row>
    <row r="14673">
      <c r="C14673" s="18" t="n"/>
      <c r="J14673" s="19" t="n"/>
      <c r="P14673" s="20" t="n"/>
      <c r="Q14673" s="19" t="n"/>
      <c r="R14673" s="19" t="n"/>
      <c r="Y14673" s="19" t="n"/>
    </row>
    <row r="14674">
      <c r="C14674" s="18" t="n"/>
      <c r="J14674" s="19" t="n"/>
      <c r="P14674" s="20" t="n"/>
      <c r="Q14674" s="19" t="n"/>
      <c r="R14674" s="19" t="n"/>
      <c r="Y14674" s="19" t="n"/>
    </row>
    <row r="14675">
      <c r="C14675" s="18" t="n"/>
      <c r="J14675" s="19" t="n"/>
      <c r="P14675" s="20" t="n"/>
      <c r="Q14675" s="19" t="n"/>
      <c r="R14675" s="19" t="n"/>
      <c r="Y14675" s="19" t="n"/>
    </row>
    <row r="14676">
      <c r="C14676" s="18" t="n"/>
      <c r="J14676" s="19" t="n"/>
      <c r="P14676" s="20" t="n"/>
      <c r="Q14676" s="19" t="n"/>
      <c r="R14676" s="19" t="n"/>
      <c r="Y14676" s="19" t="n"/>
    </row>
    <row r="14677">
      <c r="C14677" s="18" t="n"/>
      <c r="J14677" s="19" t="n"/>
      <c r="P14677" s="20" t="n"/>
      <c r="Q14677" s="19" t="n"/>
      <c r="R14677" s="19" t="n"/>
      <c r="Y14677" s="19" t="n"/>
    </row>
    <row r="14678">
      <c r="C14678" s="18" t="n"/>
      <c r="J14678" s="19" t="n"/>
      <c r="P14678" s="20" t="n"/>
      <c r="Q14678" s="19" t="n"/>
      <c r="R14678" s="19" t="n"/>
      <c r="Y14678" s="19" t="n"/>
    </row>
    <row r="14679">
      <c r="C14679" s="18" t="n"/>
      <c r="J14679" s="19" t="n"/>
      <c r="P14679" s="20" t="n"/>
      <c r="Q14679" s="19" t="n"/>
      <c r="R14679" s="19" t="n"/>
      <c r="Y14679" s="19" t="n"/>
    </row>
    <row r="14680">
      <c r="C14680" s="18" t="n"/>
      <c r="J14680" s="19" t="n"/>
      <c r="P14680" s="20" t="n"/>
      <c r="Q14680" s="19" t="n"/>
      <c r="R14680" s="19" t="n"/>
      <c r="Y14680" s="19" t="n"/>
    </row>
    <row r="14681">
      <c r="C14681" s="18" t="n"/>
      <c r="J14681" s="19" t="n"/>
      <c r="P14681" s="20" t="n"/>
      <c r="Q14681" s="19" t="n"/>
      <c r="R14681" s="19" t="n"/>
      <c r="Y14681" s="19" t="n"/>
    </row>
    <row r="14682">
      <c r="C14682" s="18" t="n"/>
      <c r="J14682" s="19" t="n"/>
      <c r="P14682" s="20" t="n"/>
      <c r="Q14682" s="19" t="n"/>
      <c r="R14682" s="19" t="n"/>
      <c r="Y14682" s="19" t="n"/>
    </row>
    <row r="14683">
      <c r="C14683" s="18" t="n"/>
      <c r="J14683" s="19" t="n"/>
      <c r="P14683" s="20" t="n"/>
      <c r="Q14683" s="19" t="n"/>
      <c r="R14683" s="19" t="n"/>
      <c r="Y14683" s="19" t="n"/>
    </row>
    <row r="14684">
      <c r="C14684" s="18" t="n"/>
      <c r="J14684" s="19" t="n"/>
      <c r="P14684" s="20" t="n"/>
      <c r="Q14684" s="19" t="n"/>
      <c r="R14684" s="19" t="n"/>
      <c r="Y14684" s="19" t="n"/>
    </row>
    <row r="14685">
      <c r="C14685" s="18" t="n"/>
      <c r="J14685" s="19" t="n"/>
      <c r="P14685" s="20" t="n"/>
      <c r="Q14685" s="19" t="n"/>
      <c r="R14685" s="19" t="n"/>
      <c r="Y14685" s="19" t="n"/>
    </row>
    <row r="14686">
      <c r="C14686" s="18" t="n"/>
      <c r="J14686" s="19" t="n"/>
      <c r="P14686" s="20" t="n"/>
      <c r="Q14686" s="19" t="n"/>
      <c r="R14686" s="19" t="n"/>
      <c r="Y14686" s="19" t="n"/>
    </row>
    <row r="14687">
      <c r="C14687" s="18" t="n"/>
      <c r="J14687" s="19" t="n"/>
      <c r="P14687" s="20" t="n"/>
      <c r="Q14687" s="19" t="n"/>
      <c r="R14687" s="19" t="n"/>
      <c r="Y14687" s="19" t="n"/>
    </row>
    <row r="14688">
      <c r="C14688" s="18" t="n"/>
      <c r="J14688" s="19" t="n"/>
      <c r="P14688" s="20" t="n"/>
      <c r="Q14688" s="19" t="n"/>
      <c r="R14688" s="19" t="n"/>
      <c r="Y14688" s="19" t="n"/>
    </row>
    <row r="14689">
      <c r="C14689" s="18" t="n"/>
      <c r="J14689" s="19" t="n"/>
      <c r="P14689" s="20" t="n"/>
      <c r="Q14689" s="19" t="n"/>
      <c r="R14689" s="19" t="n"/>
      <c r="Y14689" s="19" t="n"/>
    </row>
    <row r="14690">
      <c r="C14690" s="18" t="n"/>
      <c r="J14690" s="19" t="n"/>
      <c r="P14690" s="20" t="n"/>
      <c r="Q14690" s="19" t="n"/>
      <c r="R14690" s="19" t="n"/>
      <c r="Y14690" s="19" t="n"/>
    </row>
    <row r="14691">
      <c r="C14691" s="18" t="n"/>
      <c r="J14691" s="19" t="n"/>
      <c r="P14691" s="20" t="n"/>
      <c r="Q14691" s="19" t="n"/>
      <c r="R14691" s="19" t="n"/>
      <c r="Y14691" s="19" t="n"/>
    </row>
    <row r="14692">
      <c r="C14692" s="18" t="n"/>
      <c r="J14692" s="19" t="n"/>
      <c r="P14692" s="20" t="n"/>
      <c r="Q14692" s="19" t="n"/>
      <c r="R14692" s="19" t="n"/>
      <c r="Y14692" s="19" t="n"/>
    </row>
    <row r="14693">
      <c r="C14693" s="18" t="n"/>
      <c r="J14693" s="19" t="n"/>
      <c r="P14693" s="20" t="n"/>
      <c r="Q14693" s="19" t="n"/>
      <c r="R14693" s="19" t="n"/>
      <c r="Y14693" s="19" t="n"/>
    </row>
    <row r="14694">
      <c r="C14694" s="18" t="n"/>
      <c r="J14694" s="19" t="n"/>
      <c r="P14694" s="20" t="n"/>
      <c r="Q14694" s="19" t="n"/>
      <c r="R14694" s="19" t="n"/>
      <c r="Y14694" s="19" t="n"/>
    </row>
    <row r="14695">
      <c r="C14695" s="18" t="n"/>
      <c r="J14695" s="19" t="n"/>
      <c r="P14695" s="20" t="n"/>
      <c r="Q14695" s="19" t="n"/>
      <c r="R14695" s="19" t="n"/>
      <c r="Y14695" s="19" t="n"/>
    </row>
    <row r="14696">
      <c r="C14696" s="18" t="n"/>
      <c r="J14696" s="19" t="n"/>
      <c r="P14696" s="20" t="n"/>
      <c r="Q14696" s="19" t="n"/>
      <c r="R14696" s="19" t="n"/>
      <c r="Y14696" s="19" t="n"/>
    </row>
    <row r="14697">
      <c r="C14697" s="18" t="n"/>
      <c r="J14697" s="19" t="n"/>
      <c r="P14697" s="20" t="n"/>
      <c r="Q14697" s="19" t="n"/>
      <c r="R14697" s="19" t="n"/>
      <c r="Y14697" s="19" t="n"/>
    </row>
    <row r="14698">
      <c r="C14698" s="18" t="n"/>
      <c r="J14698" s="19" t="n"/>
      <c r="P14698" s="20" t="n"/>
      <c r="Q14698" s="19" t="n"/>
      <c r="R14698" s="19" t="n"/>
      <c r="Y14698" s="19" t="n"/>
    </row>
    <row r="14699">
      <c r="C14699" s="18" t="n"/>
      <c r="J14699" s="19" t="n"/>
      <c r="P14699" s="20" t="n"/>
      <c r="Q14699" s="19" t="n"/>
      <c r="R14699" s="19" t="n"/>
      <c r="Y14699" s="19" t="n"/>
    </row>
    <row r="14700">
      <c r="C14700" s="18" t="n"/>
      <c r="J14700" s="19" t="n"/>
      <c r="P14700" s="20" t="n"/>
      <c r="Q14700" s="19" t="n"/>
      <c r="R14700" s="19" t="n"/>
      <c r="Y14700" s="19" t="n"/>
    </row>
    <row r="14701">
      <c r="C14701" s="18" t="n"/>
      <c r="J14701" s="19" t="n"/>
      <c r="P14701" s="20" t="n"/>
      <c r="Q14701" s="19" t="n"/>
      <c r="R14701" s="19" t="n"/>
      <c r="Y14701" s="19" t="n"/>
    </row>
    <row r="14702">
      <c r="C14702" s="18" t="n"/>
      <c r="J14702" s="19" t="n"/>
      <c r="P14702" s="20" t="n"/>
      <c r="Q14702" s="19" t="n"/>
      <c r="R14702" s="19" t="n"/>
      <c r="Y14702" s="19" t="n"/>
    </row>
    <row r="14703">
      <c r="C14703" s="18" t="n"/>
      <c r="J14703" s="19" t="n"/>
      <c r="P14703" s="20" t="n"/>
      <c r="Q14703" s="19" t="n"/>
      <c r="R14703" s="19" t="n"/>
      <c r="Y14703" s="19" t="n"/>
    </row>
    <row r="14704">
      <c r="C14704" s="18" t="n"/>
      <c r="J14704" s="19" t="n"/>
      <c r="P14704" s="20" t="n"/>
      <c r="Q14704" s="19" t="n"/>
      <c r="R14704" s="19" t="n"/>
      <c r="Y14704" s="19" t="n"/>
    </row>
    <row r="14705">
      <c r="C14705" s="18" t="n"/>
      <c r="J14705" s="19" t="n"/>
      <c r="P14705" s="20" t="n"/>
      <c r="Q14705" s="19" t="n"/>
      <c r="R14705" s="19" t="n"/>
      <c r="Y14705" s="19" t="n"/>
    </row>
    <row r="14706">
      <c r="C14706" s="18" t="n"/>
      <c r="J14706" s="19" t="n"/>
      <c r="P14706" s="20" t="n"/>
      <c r="Q14706" s="19" t="n"/>
      <c r="R14706" s="19" t="n"/>
      <c r="Y14706" s="19" t="n"/>
    </row>
    <row r="14707">
      <c r="C14707" s="18" t="n"/>
      <c r="J14707" s="19" t="n"/>
      <c r="P14707" s="20" t="n"/>
      <c r="Q14707" s="19" t="n"/>
      <c r="R14707" s="19" t="n"/>
      <c r="Y14707" s="19" t="n"/>
    </row>
    <row r="14708">
      <c r="C14708" s="18" t="n"/>
      <c r="J14708" s="19" t="n"/>
      <c r="P14708" s="20" t="n"/>
      <c r="Q14708" s="19" t="n"/>
      <c r="R14708" s="19" t="n"/>
      <c r="Y14708" s="19" t="n"/>
    </row>
    <row r="14709">
      <c r="C14709" s="18" t="n"/>
      <c r="J14709" s="19" t="n"/>
      <c r="P14709" s="20" t="n"/>
      <c r="Q14709" s="19" t="n"/>
      <c r="R14709" s="19" t="n"/>
      <c r="Y14709" s="19" t="n"/>
    </row>
    <row r="14710">
      <c r="C14710" s="18" t="n"/>
      <c r="J14710" s="19" t="n"/>
      <c r="P14710" s="20" t="n"/>
      <c r="Q14710" s="19" t="n"/>
      <c r="R14710" s="19" t="n"/>
      <c r="Y14710" s="19" t="n"/>
    </row>
    <row r="14711">
      <c r="C14711" s="18" t="n"/>
      <c r="J14711" s="19" t="n"/>
      <c r="P14711" s="20" t="n"/>
      <c r="Q14711" s="19" t="n"/>
      <c r="R14711" s="19" t="n"/>
      <c r="Y14711" s="19" t="n"/>
    </row>
    <row r="14712">
      <c r="C14712" s="18" t="n"/>
      <c r="J14712" s="19" t="n"/>
      <c r="P14712" s="20" t="n"/>
      <c r="Q14712" s="19" t="n"/>
      <c r="R14712" s="19" t="n"/>
      <c r="Y14712" s="19" t="n"/>
    </row>
    <row r="14713">
      <c r="C14713" s="18" t="n"/>
      <c r="J14713" s="19" t="n"/>
      <c r="P14713" s="20" t="n"/>
      <c r="Q14713" s="19" t="n"/>
      <c r="R14713" s="19" t="n"/>
      <c r="Y14713" s="19" t="n"/>
    </row>
    <row r="14714">
      <c r="C14714" s="18" t="n"/>
      <c r="J14714" s="19" t="n"/>
      <c r="P14714" s="20" t="n"/>
      <c r="Q14714" s="19" t="n"/>
      <c r="R14714" s="19" t="n"/>
      <c r="Y14714" s="19" t="n"/>
    </row>
    <row r="14715">
      <c r="C14715" s="18" t="n"/>
      <c r="J14715" s="19" t="n"/>
      <c r="P14715" s="20" t="n"/>
      <c r="Q14715" s="19" t="n"/>
      <c r="R14715" s="19" t="n"/>
      <c r="Y14715" s="19" t="n"/>
    </row>
    <row r="14716">
      <c r="C14716" s="18" t="n"/>
      <c r="J14716" s="19" t="n"/>
      <c r="P14716" s="20" t="n"/>
      <c r="Q14716" s="19" t="n"/>
      <c r="R14716" s="19" t="n"/>
      <c r="Y14716" s="19" t="n"/>
    </row>
    <row r="14717">
      <c r="C14717" s="18" t="n"/>
      <c r="J14717" s="19" t="n"/>
      <c r="P14717" s="20" t="n"/>
      <c r="Q14717" s="19" t="n"/>
      <c r="R14717" s="19" t="n"/>
      <c r="Y14717" s="19" t="n"/>
    </row>
    <row r="14718">
      <c r="C14718" s="18" t="n"/>
      <c r="J14718" s="19" t="n"/>
      <c r="P14718" s="20" t="n"/>
      <c r="Q14718" s="19" t="n"/>
      <c r="R14718" s="19" t="n"/>
      <c r="Y14718" s="19" t="n"/>
    </row>
    <row r="14719">
      <c r="C14719" s="18" t="n"/>
      <c r="J14719" s="19" t="n"/>
      <c r="P14719" s="20" t="n"/>
      <c r="Q14719" s="19" t="n"/>
      <c r="R14719" s="19" t="n"/>
      <c r="Y14719" s="19" t="n"/>
    </row>
    <row r="14720">
      <c r="C14720" s="18" t="n"/>
      <c r="J14720" s="19" t="n"/>
      <c r="P14720" s="20" t="n"/>
      <c r="Q14720" s="19" t="n"/>
      <c r="R14720" s="19" t="n"/>
      <c r="Y14720" s="19" t="n"/>
    </row>
    <row r="14721">
      <c r="C14721" s="18" t="n"/>
      <c r="J14721" s="19" t="n"/>
      <c r="P14721" s="20" t="n"/>
      <c r="Q14721" s="19" t="n"/>
      <c r="R14721" s="19" t="n"/>
      <c r="Y14721" s="19" t="n"/>
    </row>
    <row r="14722">
      <c r="C14722" s="18" t="n"/>
      <c r="J14722" s="19" t="n"/>
      <c r="P14722" s="20" t="n"/>
      <c r="Q14722" s="19" t="n"/>
      <c r="R14722" s="19" t="n"/>
      <c r="Y14722" s="19" t="n"/>
    </row>
    <row r="14723">
      <c r="C14723" s="18" t="n"/>
      <c r="J14723" s="19" t="n"/>
      <c r="P14723" s="20" t="n"/>
      <c r="Q14723" s="19" t="n"/>
      <c r="R14723" s="19" t="n"/>
      <c r="Y14723" s="19" t="n"/>
    </row>
    <row r="14724">
      <c r="C14724" s="18" t="n"/>
      <c r="J14724" s="19" t="n"/>
      <c r="P14724" s="20" t="n"/>
      <c r="Q14724" s="19" t="n"/>
      <c r="R14724" s="19" t="n"/>
      <c r="Y14724" s="19" t="n"/>
    </row>
    <row r="14725">
      <c r="C14725" s="18" t="n"/>
      <c r="J14725" s="19" t="n"/>
      <c r="P14725" s="20" t="n"/>
      <c r="Q14725" s="19" t="n"/>
      <c r="R14725" s="19" t="n"/>
      <c r="Y14725" s="19" t="n"/>
    </row>
    <row r="14726">
      <c r="C14726" s="18" t="n"/>
      <c r="J14726" s="19" t="n"/>
      <c r="P14726" s="20" t="n"/>
      <c r="Q14726" s="19" t="n"/>
      <c r="R14726" s="19" t="n"/>
      <c r="Y14726" s="19" t="n"/>
    </row>
    <row r="14727">
      <c r="C14727" s="18" t="n"/>
      <c r="J14727" s="19" t="n"/>
      <c r="P14727" s="20" t="n"/>
      <c r="Q14727" s="19" t="n"/>
      <c r="R14727" s="19" t="n"/>
      <c r="Y14727" s="19" t="n"/>
    </row>
    <row r="14728">
      <c r="C14728" s="18" t="n"/>
      <c r="J14728" s="19" t="n"/>
      <c r="P14728" s="20" t="n"/>
      <c r="Q14728" s="19" t="n"/>
      <c r="R14728" s="19" t="n"/>
      <c r="Y14728" s="19" t="n"/>
    </row>
    <row r="14729">
      <c r="C14729" s="18" t="n"/>
      <c r="J14729" s="19" t="n"/>
      <c r="P14729" s="20" t="n"/>
      <c r="Q14729" s="19" t="n"/>
      <c r="R14729" s="19" t="n"/>
      <c r="Y14729" s="19" t="n"/>
    </row>
    <row r="14730">
      <c r="C14730" s="18" t="n"/>
      <c r="J14730" s="19" t="n"/>
      <c r="P14730" s="20" t="n"/>
      <c r="Q14730" s="19" t="n"/>
      <c r="R14730" s="19" t="n"/>
      <c r="Y14730" s="19" t="n"/>
    </row>
    <row r="14731">
      <c r="C14731" s="18" t="n"/>
      <c r="J14731" s="19" t="n"/>
      <c r="P14731" s="20" t="n"/>
      <c r="Q14731" s="19" t="n"/>
      <c r="R14731" s="19" t="n"/>
      <c r="Y14731" s="19" t="n"/>
    </row>
    <row r="14732">
      <c r="C14732" s="18" t="n"/>
      <c r="J14732" s="19" t="n"/>
      <c r="P14732" s="20" t="n"/>
      <c r="Q14732" s="19" t="n"/>
      <c r="R14732" s="19" t="n"/>
      <c r="Y14732" s="19" t="n"/>
    </row>
    <row r="14733">
      <c r="C14733" s="18" t="n"/>
      <c r="J14733" s="19" t="n"/>
      <c r="P14733" s="20" t="n"/>
      <c r="Q14733" s="19" t="n"/>
      <c r="R14733" s="19" t="n"/>
      <c r="Y14733" s="19" t="n"/>
    </row>
    <row r="14734">
      <c r="C14734" s="18" t="n"/>
      <c r="J14734" s="19" t="n"/>
      <c r="P14734" s="20" t="n"/>
      <c r="Q14734" s="19" t="n"/>
      <c r="R14734" s="19" t="n"/>
      <c r="Y14734" s="19" t="n"/>
    </row>
    <row r="14735">
      <c r="C14735" s="18" t="n"/>
      <c r="J14735" s="19" t="n"/>
      <c r="P14735" s="20" t="n"/>
      <c r="Q14735" s="19" t="n"/>
      <c r="R14735" s="19" t="n"/>
      <c r="Y14735" s="19" t="n"/>
    </row>
    <row r="14736">
      <c r="C14736" s="18" t="n"/>
      <c r="J14736" s="19" t="n"/>
      <c r="P14736" s="20" t="n"/>
      <c r="Q14736" s="19" t="n"/>
      <c r="R14736" s="19" t="n"/>
      <c r="Y14736" s="19" t="n"/>
    </row>
    <row r="14737">
      <c r="C14737" s="18" t="n"/>
      <c r="J14737" s="19" t="n"/>
      <c r="P14737" s="20" t="n"/>
      <c r="Q14737" s="19" t="n"/>
      <c r="R14737" s="19" t="n"/>
      <c r="Y14737" s="19" t="n"/>
    </row>
    <row r="14738">
      <c r="C14738" s="18" t="n"/>
      <c r="J14738" s="19" t="n"/>
      <c r="P14738" s="20" t="n"/>
      <c r="Q14738" s="19" t="n"/>
      <c r="R14738" s="19" t="n"/>
      <c r="Y14738" s="19" t="n"/>
    </row>
    <row r="14739">
      <c r="C14739" s="18" t="n"/>
      <c r="J14739" s="19" t="n"/>
      <c r="P14739" s="20" t="n"/>
      <c r="Q14739" s="19" t="n"/>
      <c r="R14739" s="19" t="n"/>
      <c r="Y14739" s="19" t="n"/>
    </row>
    <row r="14740">
      <c r="C14740" s="18" t="n"/>
      <c r="J14740" s="19" t="n"/>
      <c r="P14740" s="20" t="n"/>
      <c r="Q14740" s="19" t="n"/>
      <c r="R14740" s="19" t="n"/>
      <c r="Y14740" s="19" t="n"/>
    </row>
    <row r="14741">
      <c r="C14741" s="18" t="n"/>
      <c r="J14741" s="19" t="n"/>
      <c r="P14741" s="20" t="n"/>
      <c r="Q14741" s="19" t="n"/>
      <c r="R14741" s="19" t="n"/>
      <c r="Y14741" s="19" t="n"/>
    </row>
    <row r="14742">
      <c r="C14742" s="18" t="n"/>
      <c r="J14742" s="19" t="n"/>
      <c r="P14742" s="20" t="n"/>
      <c r="Q14742" s="19" t="n"/>
      <c r="R14742" s="19" t="n"/>
      <c r="Y14742" s="19" t="n"/>
    </row>
    <row r="14743">
      <c r="C14743" s="18" t="n"/>
      <c r="J14743" s="19" t="n"/>
      <c r="P14743" s="20" t="n"/>
      <c r="Q14743" s="19" t="n"/>
      <c r="R14743" s="19" t="n"/>
      <c r="Y14743" s="19" t="n"/>
    </row>
    <row r="14744">
      <c r="C14744" s="18" t="n"/>
      <c r="J14744" s="19" t="n"/>
      <c r="P14744" s="20" t="n"/>
      <c r="Q14744" s="19" t="n"/>
      <c r="R14744" s="19" t="n"/>
      <c r="Y14744" s="19" t="n"/>
    </row>
    <row r="14745">
      <c r="C14745" s="18" t="n"/>
      <c r="J14745" s="19" t="n"/>
      <c r="P14745" s="20" t="n"/>
      <c r="Q14745" s="19" t="n"/>
      <c r="R14745" s="19" t="n"/>
      <c r="Y14745" s="19" t="n"/>
    </row>
    <row r="14746">
      <c r="C14746" s="18" t="n"/>
      <c r="J14746" s="19" t="n"/>
      <c r="P14746" s="20" t="n"/>
      <c r="Q14746" s="19" t="n"/>
      <c r="R14746" s="19" t="n"/>
      <c r="Y14746" s="19" t="n"/>
    </row>
    <row r="14747">
      <c r="C14747" s="18" t="n"/>
      <c r="J14747" s="19" t="n"/>
      <c r="P14747" s="20" t="n"/>
      <c r="Q14747" s="19" t="n"/>
      <c r="R14747" s="19" t="n"/>
      <c r="Y14747" s="19" t="n"/>
    </row>
    <row r="14748">
      <c r="C14748" s="18" t="n"/>
      <c r="J14748" s="19" t="n"/>
      <c r="P14748" s="20" t="n"/>
      <c r="Q14748" s="19" t="n"/>
      <c r="R14748" s="19" t="n"/>
      <c r="Y14748" s="19" t="n"/>
    </row>
    <row r="14749">
      <c r="C14749" s="18" t="n"/>
      <c r="J14749" s="19" t="n"/>
      <c r="P14749" s="20" t="n"/>
      <c r="Q14749" s="19" t="n"/>
      <c r="R14749" s="19" t="n"/>
      <c r="Y14749" s="19" t="n"/>
    </row>
    <row r="14750">
      <c r="C14750" s="18" t="n"/>
      <c r="J14750" s="19" t="n"/>
      <c r="P14750" s="20" t="n"/>
      <c r="Q14750" s="19" t="n"/>
      <c r="R14750" s="19" t="n"/>
      <c r="Y14750" s="19" t="n"/>
    </row>
    <row r="14751">
      <c r="C14751" s="18" t="n"/>
      <c r="J14751" s="19" t="n"/>
      <c r="P14751" s="20" t="n"/>
      <c r="Q14751" s="19" t="n"/>
      <c r="R14751" s="19" t="n"/>
      <c r="Y14751" s="19" t="n"/>
    </row>
    <row r="14752">
      <c r="C14752" s="18" t="n"/>
      <c r="J14752" s="19" t="n"/>
      <c r="P14752" s="20" t="n"/>
      <c r="Q14752" s="19" t="n"/>
      <c r="R14752" s="19" t="n"/>
      <c r="Y14752" s="19" t="n"/>
    </row>
    <row r="14753">
      <c r="C14753" s="18" t="n"/>
      <c r="J14753" s="19" t="n"/>
      <c r="P14753" s="20" t="n"/>
      <c r="Q14753" s="19" t="n"/>
      <c r="R14753" s="19" t="n"/>
      <c r="Y14753" s="19" t="n"/>
    </row>
    <row r="14754">
      <c r="C14754" s="18" t="n"/>
      <c r="J14754" s="19" t="n"/>
      <c r="P14754" s="20" t="n"/>
      <c r="Q14754" s="19" t="n"/>
      <c r="R14754" s="19" t="n"/>
      <c r="Y14754" s="19" t="n"/>
    </row>
    <row r="14755">
      <c r="C14755" s="18" t="n"/>
      <c r="J14755" s="19" t="n"/>
      <c r="P14755" s="20" t="n"/>
      <c r="Q14755" s="19" t="n"/>
      <c r="R14755" s="19" t="n"/>
      <c r="Y14755" s="19" t="n"/>
    </row>
    <row r="14756">
      <c r="C14756" s="18" t="n"/>
      <c r="J14756" s="19" t="n"/>
      <c r="P14756" s="20" t="n"/>
      <c r="Q14756" s="19" t="n"/>
      <c r="R14756" s="19" t="n"/>
      <c r="Y14756" s="19" t="n"/>
    </row>
    <row r="14757">
      <c r="C14757" s="18" t="n"/>
      <c r="J14757" s="19" t="n"/>
      <c r="P14757" s="20" t="n"/>
      <c r="Q14757" s="19" t="n"/>
      <c r="R14757" s="19" t="n"/>
      <c r="Y14757" s="19" t="n"/>
    </row>
    <row r="14758">
      <c r="C14758" s="18" t="n"/>
      <c r="J14758" s="19" t="n"/>
      <c r="P14758" s="20" t="n"/>
      <c r="Q14758" s="19" t="n"/>
      <c r="R14758" s="19" t="n"/>
      <c r="Y14758" s="19" t="n"/>
    </row>
    <row r="14759">
      <c r="C14759" s="18" t="n"/>
      <c r="J14759" s="19" t="n"/>
      <c r="P14759" s="20" t="n"/>
      <c r="Q14759" s="19" t="n"/>
      <c r="R14759" s="19" t="n"/>
      <c r="Y14759" s="19" t="n"/>
    </row>
    <row r="14760">
      <c r="C14760" s="18" t="n"/>
      <c r="J14760" s="19" t="n"/>
      <c r="P14760" s="20" t="n"/>
      <c r="Q14760" s="19" t="n"/>
      <c r="R14760" s="19" t="n"/>
      <c r="Y14760" s="19" t="n"/>
    </row>
    <row r="14761">
      <c r="C14761" s="18" t="n"/>
      <c r="J14761" s="19" t="n"/>
      <c r="P14761" s="20" t="n"/>
      <c r="Q14761" s="19" t="n"/>
      <c r="R14761" s="19" t="n"/>
      <c r="Y14761" s="19" t="n"/>
    </row>
    <row r="14762">
      <c r="C14762" s="18" t="n"/>
      <c r="J14762" s="19" t="n"/>
      <c r="P14762" s="20" t="n"/>
      <c r="Q14762" s="19" t="n"/>
      <c r="R14762" s="19" t="n"/>
      <c r="Y14762" s="19" t="n"/>
    </row>
    <row r="14763">
      <c r="C14763" s="18" t="n"/>
      <c r="J14763" s="19" t="n"/>
      <c r="P14763" s="20" t="n"/>
      <c r="Q14763" s="19" t="n"/>
      <c r="R14763" s="19" t="n"/>
      <c r="Y14763" s="19" t="n"/>
    </row>
    <row r="14764">
      <c r="C14764" s="18" t="n"/>
      <c r="J14764" s="19" t="n"/>
      <c r="P14764" s="20" t="n"/>
      <c r="Q14764" s="19" t="n"/>
      <c r="R14764" s="19" t="n"/>
      <c r="Y14764" s="19" t="n"/>
    </row>
    <row r="14765">
      <c r="C14765" s="18" t="n"/>
      <c r="J14765" s="19" t="n"/>
      <c r="P14765" s="20" t="n"/>
      <c r="Q14765" s="19" t="n"/>
      <c r="R14765" s="19" t="n"/>
      <c r="Y14765" s="19" t="n"/>
    </row>
    <row r="14766">
      <c r="C14766" s="18" t="n"/>
      <c r="J14766" s="19" t="n"/>
      <c r="P14766" s="20" t="n"/>
      <c r="Q14766" s="19" t="n"/>
      <c r="R14766" s="19" t="n"/>
      <c r="Y14766" s="19" t="n"/>
    </row>
    <row r="14767">
      <c r="C14767" s="18" t="n"/>
      <c r="J14767" s="19" t="n"/>
      <c r="P14767" s="20" t="n"/>
      <c r="Q14767" s="19" t="n"/>
      <c r="R14767" s="19" t="n"/>
      <c r="Y14767" s="19" t="n"/>
    </row>
    <row r="14768">
      <c r="C14768" s="18" t="n"/>
      <c r="J14768" s="19" t="n"/>
      <c r="P14768" s="20" t="n"/>
      <c r="Q14768" s="19" t="n"/>
      <c r="R14768" s="19" t="n"/>
      <c r="Y14768" s="19" t="n"/>
    </row>
    <row r="14769">
      <c r="C14769" s="18" t="n"/>
      <c r="J14769" s="19" t="n"/>
      <c r="P14769" s="20" t="n"/>
      <c r="Q14769" s="19" t="n"/>
      <c r="R14769" s="19" t="n"/>
      <c r="Y14769" s="19" t="n"/>
    </row>
    <row r="14770">
      <c r="C14770" s="18" t="n"/>
      <c r="J14770" s="19" t="n"/>
      <c r="P14770" s="20" t="n"/>
      <c r="Q14770" s="19" t="n"/>
      <c r="R14770" s="19" t="n"/>
      <c r="Y14770" s="19" t="n"/>
    </row>
    <row r="14771">
      <c r="C14771" s="18" t="n"/>
      <c r="J14771" s="19" t="n"/>
      <c r="P14771" s="20" t="n"/>
      <c r="Q14771" s="19" t="n"/>
      <c r="R14771" s="19" t="n"/>
      <c r="Y14771" s="19" t="n"/>
    </row>
    <row r="14772">
      <c r="C14772" s="18" t="n"/>
      <c r="J14772" s="19" t="n"/>
      <c r="P14772" s="20" t="n"/>
      <c r="Q14772" s="19" t="n"/>
      <c r="R14772" s="19" t="n"/>
      <c r="Y14772" s="19" t="n"/>
    </row>
    <row r="14773">
      <c r="C14773" s="18" t="n"/>
      <c r="J14773" s="19" t="n"/>
      <c r="P14773" s="20" t="n"/>
      <c r="Q14773" s="19" t="n"/>
      <c r="R14773" s="19" t="n"/>
      <c r="Y14773" s="19" t="n"/>
    </row>
    <row r="14774">
      <c r="C14774" s="18" t="n"/>
      <c r="J14774" s="19" t="n"/>
      <c r="P14774" s="20" t="n"/>
      <c r="Q14774" s="19" t="n"/>
      <c r="R14774" s="19" t="n"/>
      <c r="Y14774" s="19" t="n"/>
    </row>
    <row r="14775">
      <c r="C14775" s="18" t="n"/>
      <c r="J14775" s="19" t="n"/>
      <c r="P14775" s="20" t="n"/>
      <c r="Q14775" s="19" t="n"/>
      <c r="R14775" s="19" t="n"/>
      <c r="Y14775" s="19" t="n"/>
    </row>
    <row r="14776">
      <c r="C14776" s="18" t="n"/>
      <c r="J14776" s="19" t="n"/>
      <c r="P14776" s="20" t="n"/>
      <c r="Q14776" s="19" t="n"/>
      <c r="R14776" s="19" t="n"/>
      <c r="Y14776" s="19" t="n"/>
    </row>
    <row r="14777">
      <c r="C14777" s="18" t="n"/>
      <c r="J14777" s="19" t="n"/>
      <c r="P14777" s="20" t="n"/>
      <c r="Q14777" s="19" t="n"/>
      <c r="R14777" s="19" t="n"/>
      <c r="Y14777" s="19" t="n"/>
    </row>
    <row r="14778">
      <c r="C14778" s="18" t="n"/>
      <c r="J14778" s="19" t="n"/>
      <c r="P14778" s="20" t="n"/>
      <c r="Q14778" s="19" t="n"/>
      <c r="R14778" s="19" t="n"/>
      <c r="Y14778" s="19" t="n"/>
    </row>
    <row r="14779">
      <c r="C14779" s="18" t="n"/>
      <c r="J14779" s="19" t="n"/>
      <c r="P14779" s="20" t="n"/>
      <c r="Q14779" s="19" t="n"/>
      <c r="R14779" s="19" t="n"/>
      <c r="Y14779" s="19" t="n"/>
    </row>
    <row r="14780">
      <c r="C14780" s="18" t="n"/>
      <c r="J14780" s="19" t="n"/>
      <c r="P14780" s="20" t="n"/>
      <c r="Q14780" s="19" t="n"/>
      <c r="R14780" s="19" t="n"/>
      <c r="Y14780" s="19" t="n"/>
    </row>
    <row r="14781">
      <c r="C14781" s="18" t="n"/>
      <c r="J14781" s="19" t="n"/>
      <c r="P14781" s="20" t="n"/>
      <c r="Q14781" s="19" t="n"/>
      <c r="R14781" s="19" t="n"/>
      <c r="Y14781" s="19" t="n"/>
    </row>
    <row r="14782">
      <c r="C14782" s="18" t="n"/>
      <c r="J14782" s="19" t="n"/>
      <c r="P14782" s="20" t="n"/>
      <c r="Q14782" s="19" t="n"/>
      <c r="R14782" s="19" t="n"/>
      <c r="Y14782" s="19" t="n"/>
    </row>
    <row r="14783">
      <c r="C14783" s="18" t="n"/>
      <c r="J14783" s="19" t="n"/>
      <c r="P14783" s="20" t="n"/>
      <c r="Q14783" s="19" t="n"/>
      <c r="R14783" s="19" t="n"/>
      <c r="Y14783" s="19" t="n"/>
    </row>
    <row r="14784">
      <c r="C14784" s="18" t="n"/>
      <c r="J14784" s="19" t="n"/>
      <c r="P14784" s="20" t="n"/>
      <c r="Q14784" s="19" t="n"/>
      <c r="R14784" s="19" t="n"/>
      <c r="Y14784" s="19" t="n"/>
    </row>
    <row r="14785">
      <c r="C14785" s="18" t="n"/>
      <c r="J14785" s="19" t="n"/>
      <c r="P14785" s="20" t="n"/>
      <c r="Q14785" s="19" t="n"/>
      <c r="R14785" s="19" t="n"/>
      <c r="Y14785" s="19" t="n"/>
    </row>
    <row r="14786">
      <c r="C14786" s="18" t="n"/>
      <c r="J14786" s="19" t="n"/>
      <c r="P14786" s="20" t="n"/>
      <c r="Q14786" s="19" t="n"/>
      <c r="R14786" s="19" t="n"/>
      <c r="Y14786" s="19" t="n"/>
    </row>
    <row r="14787">
      <c r="C14787" s="18" t="n"/>
      <c r="J14787" s="19" t="n"/>
      <c r="P14787" s="20" t="n"/>
      <c r="Q14787" s="19" t="n"/>
      <c r="R14787" s="19" t="n"/>
      <c r="Y14787" s="19" t="n"/>
    </row>
    <row r="14788">
      <c r="C14788" s="18" t="n"/>
      <c r="J14788" s="19" t="n"/>
      <c r="P14788" s="20" t="n"/>
      <c r="Q14788" s="19" t="n"/>
      <c r="R14788" s="19" t="n"/>
      <c r="Y14788" s="19" t="n"/>
    </row>
    <row r="14789">
      <c r="C14789" s="18" t="n"/>
      <c r="J14789" s="19" t="n"/>
      <c r="P14789" s="20" t="n"/>
      <c r="Q14789" s="19" t="n"/>
      <c r="R14789" s="19" t="n"/>
      <c r="Y14789" s="19" t="n"/>
    </row>
    <row r="14790">
      <c r="C14790" s="18" t="n"/>
      <c r="J14790" s="19" t="n"/>
      <c r="P14790" s="20" t="n"/>
      <c r="Q14790" s="19" t="n"/>
      <c r="R14790" s="19" t="n"/>
      <c r="Y14790" s="19" t="n"/>
    </row>
    <row r="14791">
      <c r="C14791" s="18" t="n"/>
      <c r="J14791" s="19" t="n"/>
      <c r="P14791" s="20" t="n"/>
      <c r="Q14791" s="19" t="n"/>
      <c r="R14791" s="19" t="n"/>
      <c r="Y14791" s="19" t="n"/>
    </row>
    <row r="14792">
      <c r="C14792" s="18" t="n"/>
      <c r="J14792" s="19" t="n"/>
      <c r="P14792" s="20" t="n"/>
      <c r="Q14792" s="19" t="n"/>
      <c r="R14792" s="19" t="n"/>
      <c r="Y14792" s="19" t="n"/>
    </row>
    <row r="14793">
      <c r="C14793" s="18" t="n"/>
      <c r="J14793" s="19" t="n"/>
      <c r="P14793" s="20" t="n"/>
      <c r="Q14793" s="19" t="n"/>
      <c r="R14793" s="19" t="n"/>
      <c r="Y14793" s="19" t="n"/>
    </row>
    <row r="14794">
      <c r="C14794" s="18" t="n"/>
      <c r="J14794" s="19" t="n"/>
      <c r="P14794" s="20" t="n"/>
      <c r="Q14794" s="19" t="n"/>
      <c r="R14794" s="19" t="n"/>
      <c r="Y14794" s="19" t="n"/>
    </row>
    <row r="14795">
      <c r="C14795" s="18" t="n"/>
      <c r="J14795" s="19" t="n"/>
      <c r="P14795" s="20" t="n"/>
      <c r="Q14795" s="19" t="n"/>
      <c r="R14795" s="19" t="n"/>
      <c r="Y14795" s="19" t="n"/>
    </row>
    <row r="14796">
      <c r="C14796" s="18" t="n"/>
      <c r="J14796" s="19" t="n"/>
      <c r="P14796" s="20" t="n"/>
      <c r="Q14796" s="19" t="n"/>
      <c r="R14796" s="19" t="n"/>
      <c r="Y14796" s="19" t="n"/>
    </row>
    <row r="14797">
      <c r="C14797" s="18" t="n"/>
      <c r="J14797" s="19" t="n"/>
      <c r="P14797" s="20" t="n"/>
      <c r="Q14797" s="19" t="n"/>
      <c r="R14797" s="19" t="n"/>
      <c r="Y14797" s="19" t="n"/>
    </row>
    <row r="14798">
      <c r="C14798" s="18" t="n"/>
      <c r="J14798" s="19" t="n"/>
      <c r="P14798" s="20" t="n"/>
      <c r="Q14798" s="19" t="n"/>
      <c r="R14798" s="19" t="n"/>
      <c r="Y14798" s="19" t="n"/>
    </row>
    <row r="14799">
      <c r="C14799" s="18" t="n"/>
      <c r="J14799" s="19" t="n"/>
      <c r="P14799" s="20" t="n"/>
      <c r="Q14799" s="19" t="n"/>
      <c r="R14799" s="19" t="n"/>
      <c r="Y14799" s="19" t="n"/>
    </row>
    <row r="14800">
      <c r="C14800" s="18" t="n"/>
      <c r="J14800" s="19" t="n"/>
      <c r="P14800" s="20" t="n"/>
      <c r="Q14800" s="19" t="n"/>
      <c r="R14800" s="19" t="n"/>
      <c r="Y14800" s="19" t="n"/>
    </row>
    <row r="14801">
      <c r="C14801" s="18" t="n"/>
      <c r="J14801" s="19" t="n"/>
      <c r="P14801" s="20" t="n"/>
      <c r="Q14801" s="19" t="n"/>
      <c r="R14801" s="19" t="n"/>
      <c r="Y14801" s="19" t="n"/>
    </row>
    <row r="14802">
      <c r="C14802" s="18" t="n"/>
      <c r="J14802" s="19" t="n"/>
      <c r="P14802" s="20" t="n"/>
      <c r="Q14802" s="19" t="n"/>
      <c r="R14802" s="19" t="n"/>
      <c r="Y14802" s="19" t="n"/>
    </row>
    <row r="14803">
      <c r="C14803" s="18" t="n"/>
      <c r="J14803" s="19" t="n"/>
      <c r="P14803" s="20" t="n"/>
      <c r="Q14803" s="19" t="n"/>
      <c r="R14803" s="19" t="n"/>
      <c r="Y14803" s="19" t="n"/>
    </row>
    <row r="14804">
      <c r="C14804" s="18" t="n"/>
      <c r="J14804" s="19" t="n"/>
      <c r="P14804" s="20" t="n"/>
      <c r="Q14804" s="19" t="n"/>
      <c r="R14804" s="19" t="n"/>
      <c r="Y14804" s="19" t="n"/>
    </row>
    <row r="14805">
      <c r="C14805" s="18" t="n"/>
      <c r="J14805" s="19" t="n"/>
      <c r="P14805" s="20" t="n"/>
      <c r="Q14805" s="19" t="n"/>
      <c r="R14805" s="19" t="n"/>
      <c r="Y14805" s="19" t="n"/>
    </row>
    <row r="14806">
      <c r="C14806" s="18" t="n"/>
      <c r="J14806" s="19" t="n"/>
      <c r="P14806" s="20" t="n"/>
      <c r="Q14806" s="19" t="n"/>
      <c r="R14806" s="19" t="n"/>
      <c r="Y14806" s="19" t="n"/>
    </row>
    <row r="14807">
      <c r="C14807" s="18" t="n"/>
      <c r="J14807" s="19" t="n"/>
      <c r="P14807" s="20" t="n"/>
      <c r="Q14807" s="19" t="n"/>
      <c r="R14807" s="19" t="n"/>
      <c r="Y14807" s="19" t="n"/>
    </row>
    <row r="14808">
      <c r="C14808" s="18" t="n"/>
      <c r="J14808" s="19" t="n"/>
      <c r="P14808" s="20" t="n"/>
      <c r="Q14808" s="19" t="n"/>
      <c r="R14808" s="19" t="n"/>
      <c r="Y14808" s="19" t="n"/>
    </row>
    <row r="14809">
      <c r="C14809" s="18" t="n"/>
      <c r="J14809" s="19" t="n"/>
      <c r="P14809" s="20" t="n"/>
      <c r="Q14809" s="19" t="n"/>
      <c r="R14809" s="19" t="n"/>
      <c r="Y14809" s="19" t="n"/>
    </row>
    <row r="14810">
      <c r="C14810" s="18" t="n"/>
      <c r="J14810" s="19" t="n"/>
      <c r="P14810" s="20" t="n"/>
      <c r="Q14810" s="19" t="n"/>
      <c r="R14810" s="19" t="n"/>
      <c r="Y14810" s="19" t="n"/>
    </row>
    <row r="14811">
      <c r="C14811" s="18" t="n"/>
      <c r="J14811" s="19" t="n"/>
      <c r="P14811" s="20" t="n"/>
      <c r="Q14811" s="19" t="n"/>
      <c r="R14811" s="19" t="n"/>
      <c r="Y14811" s="19" t="n"/>
    </row>
    <row r="14812">
      <c r="C14812" s="18" t="n"/>
      <c r="J14812" s="19" t="n"/>
      <c r="P14812" s="20" t="n"/>
      <c r="Q14812" s="19" t="n"/>
      <c r="R14812" s="19" t="n"/>
      <c r="Y14812" s="19" t="n"/>
    </row>
    <row r="14813">
      <c r="C14813" s="18" t="n"/>
      <c r="J14813" s="19" t="n"/>
      <c r="P14813" s="20" t="n"/>
      <c r="Q14813" s="19" t="n"/>
      <c r="R14813" s="19" t="n"/>
      <c r="Y14813" s="19" t="n"/>
    </row>
    <row r="14814">
      <c r="C14814" s="18" t="n"/>
      <c r="J14814" s="19" t="n"/>
      <c r="P14814" s="20" t="n"/>
      <c r="Q14814" s="19" t="n"/>
      <c r="R14814" s="19" t="n"/>
      <c r="Y14814" s="19" t="n"/>
    </row>
    <row r="14815">
      <c r="C14815" s="18" t="n"/>
      <c r="J14815" s="19" t="n"/>
      <c r="P14815" s="20" t="n"/>
      <c r="Q14815" s="19" t="n"/>
      <c r="R14815" s="19" t="n"/>
      <c r="Y14815" s="19" t="n"/>
    </row>
    <row r="14816">
      <c r="C14816" s="18" t="n"/>
      <c r="J14816" s="19" t="n"/>
      <c r="P14816" s="20" t="n"/>
      <c r="Q14816" s="19" t="n"/>
      <c r="R14816" s="19" t="n"/>
      <c r="Y14816" s="19" t="n"/>
    </row>
    <row r="14817">
      <c r="C14817" s="18" t="n"/>
      <c r="J14817" s="19" t="n"/>
      <c r="P14817" s="20" t="n"/>
      <c r="Q14817" s="19" t="n"/>
      <c r="R14817" s="19" t="n"/>
      <c r="Y14817" s="19" t="n"/>
    </row>
    <row r="14818">
      <c r="C14818" s="18" t="n"/>
      <c r="J14818" s="19" t="n"/>
      <c r="P14818" s="20" t="n"/>
      <c r="Q14818" s="19" t="n"/>
      <c r="R14818" s="19" t="n"/>
      <c r="Y14818" s="19" t="n"/>
    </row>
    <row r="14819">
      <c r="C14819" s="18" t="n"/>
      <c r="J14819" s="19" t="n"/>
      <c r="P14819" s="20" t="n"/>
      <c r="Q14819" s="19" t="n"/>
      <c r="R14819" s="19" t="n"/>
      <c r="Y14819" s="19" t="n"/>
    </row>
    <row r="14820">
      <c r="C14820" s="18" t="n"/>
      <c r="J14820" s="19" t="n"/>
      <c r="P14820" s="20" t="n"/>
      <c r="Q14820" s="19" t="n"/>
      <c r="R14820" s="19" t="n"/>
      <c r="Y14820" s="19" t="n"/>
    </row>
    <row r="14821">
      <c r="C14821" s="18" t="n"/>
      <c r="J14821" s="19" t="n"/>
      <c r="P14821" s="20" t="n"/>
      <c r="Q14821" s="19" t="n"/>
      <c r="R14821" s="19" t="n"/>
      <c r="Y14821" s="19" t="n"/>
    </row>
    <row r="14822">
      <c r="C14822" s="18" t="n"/>
      <c r="J14822" s="19" t="n"/>
      <c r="P14822" s="20" t="n"/>
      <c r="Q14822" s="19" t="n"/>
      <c r="R14822" s="19" t="n"/>
      <c r="Y14822" s="19" t="n"/>
    </row>
    <row r="14823">
      <c r="C14823" s="18" t="n"/>
      <c r="J14823" s="19" t="n"/>
      <c r="P14823" s="20" t="n"/>
      <c r="Q14823" s="19" t="n"/>
      <c r="R14823" s="19" t="n"/>
      <c r="Y14823" s="19" t="n"/>
    </row>
    <row r="14824">
      <c r="C14824" s="18" t="n"/>
      <c r="J14824" s="19" t="n"/>
      <c r="P14824" s="20" t="n"/>
      <c r="Q14824" s="19" t="n"/>
      <c r="R14824" s="19" t="n"/>
      <c r="Y14824" s="19" t="n"/>
    </row>
    <row r="14825">
      <c r="C14825" s="18" t="n"/>
      <c r="J14825" s="19" t="n"/>
      <c r="P14825" s="20" t="n"/>
      <c r="Q14825" s="19" t="n"/>
      <c r="R14825" s="19" t="n"/>
      <c r="Y14825" s="19" t="n"/>
    </row>
    <row r="14826">
      <c r="C14826" s="18" t="n"/>
      <c r="J14826" s="19" t="n"/>
      <c r="P14826" s="20" t="n"/>
      <c r="Q14826" s="19" t="n"/>
      <c r="R14826" s="19" t="n"/>
      <c r="Y14826" s="19" t="n"/>
    </row>
    <row r="14827">
      <c r="C14827" s="18" t="n"/>
      <c r="J14827" s="19" t="n"/>
      <c r="P14827" s="20" t="n"/>
      <c r="Q14827" s="19" t="n"/>
      <c r="R14827" s="19" t="n"/>
      <c r="Y14827" s="19" t="n"/>
    </row>
    <row r="14828">
      <c r="C14828" s="18" t="n"/>
      <c r="J14828" s="19" t="n"/>
      <c r="P14828" s="20" t="n"/>
      <c r="Q14828" s="19" t="n"/>
      <c r="R14828" s="19" t="n"/>
      <c r="Y14828" s="19" t="n"/>
    </row>
    <row r="14829">
      <c r="C14829" s="18" t="n"/>
      <c r="J14829" s="19" t="n"/>
      <c r="P14829" s="20" t="n"/>
      <c r="Q14829" s="19" t="n"/>
      <c r="R14829" s="19" t="n"/>
      <c r="Y14829" s="19" t="n"/>
    </row>
    <row r="14830">
      <c r="C14830" s="18" t="n"/>
      <c r="J14830" s="19" t="n"/>
      <c r="P14830" s="20" t="n"/>
      <c r="Q14830" s="19" t="n"/>
      <c r="R14830" s="19" t="n"/>
      <c r="Y14830" s="19" t="n"/>
    </row>
    <row r="14831">
      <c r="C14831" s="18" t="n"/>
      <c r="J14831" s="19" t="n"/>
      <c r="P14831" s="20" t="n"/>
      <c r="Q14831" s="19" t="n"/>
      <c r="R14831" s="19" t="n"/>
      <c r="Y14831" s="19" t="n"/>
    </row>
    <row r="14832">
      <c r="C14832" s="18" t="n"/>
      <c r="J14832" s="19" t="n"/>
      <c r="P14832" s="20" t="n"/>
      <c r="Q14832" s="19" t="n"/>
      <c r="R14832" s="19" t="n"/>
      <c r="Y14832" s="19" t="n"/>
    </row>
    <row r="14833">
      <c r="C14833" s="18" t="n"/>
      <c r="J14833" s="19" t="n"/>
      <c r="P14833" s="20" t="n"/>
      <c r="Q14833" s="19" t="n"/>
      <c r="R14833" s="19" t="n"/>
      <c r="Y14833" s="19" t="n"/>
    </row>
    <row r="14834">
      <c r="C14834" s="18" t="n"/>
      <c r="J14834" s="19" t="n"/>
      <c r="P14834" s="20" t="n"/>
      <c r="Q14834" s="19" t="n"/>
      <c r="R14834" s="19" t="n"/>
      <c r="Y14834" s="19" t="n"/>
    </row>
    <row r="14835">
      <c r="C14835" s="18" t="n"/>
      <c r="J14835" s="19" t="n"/>
      <c r="P14835" s="20" t="n"/>
      <c r="Q14835" s="19" t="n"/>
      <c r="R14835" s="19" t="n"/>
      <c r="Y14835" s="19" t="n"/>
    </row>
    <row r="14836">
      <c r="C14836" s="18" t="n"/>
      <c r="J14836" s="19" t="n"/>
      <c r="P14836" s="20" t="n"/>
      <c r="Q14836" s="19" t="n"/>
      <c r="R14836" s="19" t="n"/>
      <c r="Y14836" s="19" t="n"/>
    </row>
    <row r="14837">
      <c r="C14837" s="18" t="n"/>
      <c r="J14837" s="19" t="n"/>
      <c r="P14837" s="20" t="n"/>
      <c r="Q14837" s="19" t="n"/>
      <c r="R14837" s="19" t="n"/>
      <c r="Y14837" s="19" t="n"/>
    </row>
    <row r="14838">
      <c r="C14838" s="18" t="n"/>
      <c r="J14838" s="19" t="n"/>
      <c r="P14838" s="20" t="n"/>
      <c r="Q14838" s="19" t="n"/>
      <c r="R14838" s="19" t="n"/>
      <c r="Y14838" s="19" t="n"/>
    </row>
    <row r="14839">
      <c r="C14839" s="18" t="n"/>
      <c r="J14839" s="19" t="n"/>
      <c r="P14839" s="20" t="n"/>
      <c r="Q14839" s="19" t="n"/>
      <c r="R14839" s="19" t="n"/>
      <c r="Y14839" s="19" t="n"/>
    </row>
    <row r="14840">
      <c r="C14840" s="18" t="n"/>
      <c r="J14840" s="19" t="n"/>
      <c r="P14840" s="20" t="n"/>
      <c r="Q14840" s="19" t="n"/>
      <c r="R14840" s="19" t="n"/>
      <c r="Y14840" s="19" t="n"/>
    </row>
    <row r="14841">
      <c r="C14841" s="18" t="n"/>
      <c r="J14841" s="19" t="n"/>
      <c r="P14841" s="20" t="n"/>
      <c r="Q14841" s="19" t="n"/>
      <c r="R14841" s="19" t="n"/>
      <c r="Y14841" s="19" t="n"/>
    </row>
    <row r="14842">
      <c r="C14842" s="18" t="n"/>
      <c r="J14842" s="19" t="n"/>
      <c r="P14842" s="20" t="n"/>
      <c r="Q14842" s="19" t="n"/>
      <c r="R14842" s="19" t="n"/>
      <c r="Y14842" s="19" t="n"/>
    </row>
    <row r="14843">
      <c r="C14843" s="18" t="n"/>
      <c r="J14843" s="19" t="n"/>
      <c r="P14843" s="20" t="n"/>
      <c r="Q14843" s="19" t="n"/>
      <c r="R14843" s="19" t="n"/>
      <c r="Y14843" s="19" t="n"/>
    </row>
    <row r="14844">
      <c r="C14844" s="18" t="n"/>
      <c r="J14844" s="19" t="n"/>
      <c r="P14844" s="20" t="n"/>
      <c r="Q14844" s="19" t="n"/>
      <c r="R14844" s="19" t="n"/>
      <c r="Y14844" s="19" t="n"/>
    </row>
    <row r="14845">
      <c r="C14845" s="18" t="n"/>
      <c r="J14845" s="19" t="n"/>
      <c r="P14845" s="20" t="n"/>
      <c r="Q14845" s="19" t="n"/>
      <c r="R14845" s="19" t="n"/>
      <c r="Y14845" s="19" t="n"/>
    </row>
    <row r="14846">
      <c r="C14846" s="18" t="n"/>
      <c r="J14846" s="19" t="n"/>
      <c r="P14846" s="20" t="n"/>
      <c r="Q14846" s="19" t="n"/>
      <c r="R14846" s="19" t="n"/>
      <c r="Y14846" s="19" t="n"/>
    </row>
    <row r="14847">
      <c r="C14847" s="18" t="n"/>
      <c r="J14847" s="19" t="n"/>
      <c r="P14847" s="20" t="n"/>
      <c r="Q14847" s="19" t="n"/>
      <c r="R14847" s="19" t="n"/>
      <c r="Y14847" s="19" t="n"/>
    </row>
    <row r="14848">
      <c r="C14848" s="18" t="n"/>
      <c r="J14848" s="19" t="n"/>
      <c r="P14848" s="20" t="n"/>
      <c r="Q14848" s="19" t="n"/>
      <c r="R14848" s="19" t="n"/>
      <c r="Y14848" s="19" t="n"/>
    </row>
    <row r="14849">
      <c r="C14849" s="18" t="n"/>
      <c r="J14849" s="19" t="n"/>
      <c r="P14849" s="20" t="n"/>
      <c r="Q14849" s="19" t="n"/>
      <c r="R14849" s="19" t="n"/>
      <c r="Y14849" s="19" t="n"/>
    </row>
    <row r="14850">
      <c r="C14850" s="18" t="n"/>
      <c r="J14850" s="19" t="n"/>
      <c r="P14850" s="20" t="n"/>
      <c r="Q14850" s="19" t="n"/>
      <c r="R14850" s="19" t="n"/>
      <c r="Y14850" s="19" t="n"/>
    </row>
    <row r="14851">
      <c r="C14851" s="18" t="n"/>
      <c r="J14851" s="19" t="n"/>
      <c r="P14851" s="20" t="n"/>
      <c r="Q14851" s="19" t="n"/>
      <c r="R14851" s="19" t="n"/>
      <c r="Y14851" s="19" t="n"/>
    </row>
    <row r="14852">
      <c r="C14852" s="18" t="n"/>
      <c r="J14852" s="19" t="n"/>
      <c r="P14852" s="20" t="n"/>
      <c r="Q14852" s="19" t="n"/>
      <c r="R14852" s="19" t="n"/>
      <c r="Y14852" s="19" t="n"/>
    </row>
    <row r="14853">
      <c r="C14853" s="18" t="n"/>
      <c r="J14853" s="19" t="n"/>
      <c r="P14853" s="20" t="n"/>
      <c r="Q14853" s="19" t="n"/>
      <c r="R14853" s="19" t="n"/>
      <c r="Y14853" s="19" t="n"/>
    </row>
    <row r="14854">
      <c r="C14854" s="18" t="n"/>
      <c r="J14854" s="19" t="n"/>
      <c r="P14854" s="20" t="n"/>
      <c r="Q14854" s="19" t="n"/>
      <c r="R14854" s="19" t="n"/>
      <c r="Y14854" s="19" t="n"/>
    </row>
    <row r="14855">
      <c r="C14855" s="18" t="n"/>
      <c r="J14855" s="19" t="n"/>
      <c r="P14855" s="20" t="n"/>
      <c r="Q14855" s="19" t="n"/>
      <c r="R14855" s="19" t="n"/>
      <c r="Y14855" s="19" t="n"/>
    </row>
    <row r="14856">
      <c r="C14856" s="18" t="n"/>
      <c r="J14856" s="19" t="n"/>
      <c r="P14856" s="20" t="n"/>
      <c r="Q14856" s="19" t="n"/>
      <c r="R14856" s="19" t="n"/>
      <c r="Y14856" s="19" t="n"/>
    </row>
    <row r="14857">
      <c r="C14857" s="18" t="n"/>
      <c r="J14857" s="19" t="n"/>
      <c r="P14857" s="20" t="n"/>
      <c r="Q14857" s="19" t="n"/>
      <c r="R14857" s="19" t="n"/>
      <c r="Y14857" s="19" t="n"/>
    </row>
    <row r="14858">
      <c r="C14858" s="18" t="n"/>
      <c r="J14858" s="19" t="n"/>
      <c r="P14858" s="20" t="n"/>
      <c r="Q14858" s="19" t="n"/>
      <c r="R14858" s="19" t="n"/>
      <c r="Y14858" s="19" t="n"/>
    </row>
    <row r="14859">
      <c r="C14859" s="18" t="n"/>
      <c r="J14859" s="19" t="n"/>
      <c r="P14859" s="20" t="n"/>
      <c r="Q14859" s="19" t="n"/>
      <c r="R14859" s="19" t="n"/>
      <c r="Y14859" s="19" t="n"/>
    </row>
    <row r="14860">
      <c r="C14860" s="18" t="n"/>
      <c r="J14860" s="19" t="n"/>
      <c r="P14860" s="20" t="n"/>
      <c r="Q14860" s="19" t="n"/>
      <c r="R14860" s="19" t="n"/>
      <c r="Y14860" s="19" t="n"/>
    </row>
    <row r="14861">
      <c r="C14861" s="18" t="n"/>
      <c r="J14861" s="19" t="n"/>
      <c r="P14861" s="20" t="n"/>
      <c r="Q14861" s="19" t="n"/>
      <c r="R14861" s="19" t="n"/>
      <c r="Y14861" s="19" t="n"/>
    </row>
    <row r="14862">
      <c r="C14862" s="18" t="n"/>
      <c r="J14862" s="19" t="n"/>
      <c r="P14862" s="20" t="n"/>
      <c r="Q14862" s="19" t="n"/>
      <c r="R14862" s="19" t="n"/>
      <c r="Y14862" s="19" t="n"/>
    </row>
    <row r="14863">
      <c r="C14863" s="18" t="n"/>
      <c r="J14863" s="19" t="n"/>
      <c r="P14863" s="20" t="n"/>
      <c r="Q14863" s="19" t="n"/>
      <c r="R14863" s="19" t="n"/>
      <c r="Y14863" s="19" t="n"/>
    </row>
    <row r="14864">
      <c r="C14864" s="18" t="n"/>
      <c r="J14864" s="19" t="n"/>
      <c r="P14864" s="20" t="n"/>
      <c r="Q14864" s="19" t="n"/>
      <c r="R14864" s="19" t="n"/>
      <c r="Y14864" s="19" t="n"/>
    </row>
    <row r="14865">
      <c r="C14865" s="18" t="n"/>
      <c r="J14865" s="19" t="n"/>
      <c r="P14865" s="20" t="n"/>
      <c r="Q14865" s="19" t="n"/>
      <c r="R14865" s="19" t="n"/>
      <c r="Y14865" s="19" t="n"/>
    </row>
    <row r="14866">
      <c r="C14866" s="18" t="n"/>
      <c r="J14866" s="19" t="n"/>
      <c r="P14866" s="20" t="n"/>
      <c r="Q14866" s="19" t="n"/>
      <c r="R14866" s="19" t="n"/>
      <c r="Y14866" s="19" t="n"/>
    </row>
    <row r="14867">
      <c r="C14867" s="18" t="n"/>
      <c r="J14867" s="19" t="n"/>
      <c r="P14867" s="20" t="n"/>
      <c r="Q14867" s="19" t="n"/>
      <c r="R14867" s="19" t="n"/>
      <c r="Y14867" s="19" t="n"/>
    </row>
    <row r="14868">
      <c r="C14868" s="18" t="n"/>
      <c r="J14868" s="19" t="n"/>
      <c r="P14868" s="20" t="n"/>
      <c r="Q14868" s="19" t="n"/>
      <c r="R14868" s="19" t="n"/>
      <c r="Y14868" s="19" t="n"/>
    </row>
    <row r="14869">
      <c r="C14869" s="18" t="n"/>
      <c r="J14869" s="19" t="n"/>
      <c r="P14869" s="20" t="n"/>
      <c r="Q14869" s="19" t="n"/>
      <c r="R14869" s="19" t="n"/>
      <c r="Y14869" s="19" t="n"/>
    </row>
    <row r="14870">
      <c r="C14870" s="18" t="n"/>
      <c r="J14870" s="19" t="n"/>
      <c r="P14870" s="20" t="n"/>
      <c r="Q14870" s="19" t="n"/>
      <c r="R14870" s="19" t="n"/>
      <c r="Y14870" s="19" t="n"/>
    </row>
    <row r="14871">
      <c r="C14871" s="18" t="n"/>
      <c r="J14871" s="19" t="n"/>
      <c r="P14871" s="20" t="n"/>
      <c r="Q14871" s="19" t="n"/>
      <c r="R14871" s="19" t="n"/>
      <c r="Y14871" s="19" t="n"/>
    </row>
    <row r="14872">
      <c r="C14872" s="18" t="n"/>
      <c r="J14872" s="19" t="n"/>
      <c r="P14872" s="20" t="n"/>
      <c r="Q14872" s="19" t="n"/>
      <c r="R14872" s="19" t="n"/>
      <c r="Y14872" s="19" t="n"/>
    </row>
    <row r="14873">
      <c r="C14873" s="18" t="n"/>
      <c r="J14873" s="19" t="n"/>
      <c r="P14873" s="20" t="n"/>
      <c r="Q14873" s="19" t="n"/>
      <c r="R14873" s="19" t="n"/>
      <c r="Y14873" s="19" t="n"/>
    </row>
    <row r="14874">
      <c r="C14874" s="18" t="n"/>
      <c r="J14874" s="19" t="n"/>
      <c r="P14874" s="20" t="n"/>
      <c r="Q14874" s="19" t="n"/>
      <c r="R14874" s="19" t="n"/>
      <c r="Y14874" s="19" t="n"/>
    </row>
    <row r="14875">
      <c r="C14875" s="18" t="n"/>
      <c r="J14875" s="19" t="n"/>
      <c r="P14875" s="20" t="n"/>
      <c r="Q14875" s="19" t="n"/>
      <c r="R14875" s="19" t="n"/>
      <c r="Y14875" s="19" t="n"/>
    </row>
    <row r="14876">
      <c r="C14876" s="18" t="n"/>
      <c r="J14876" s="19" t="n"/>
      <c r="P14876" s="20" t="n"/>
      <c r="Q14876" s="19" t="n"/>
      <c r="R14876" s="19" t="n"/>
      <c r="Y14876" s="19" t="n"/>
    </row>
    <row r="14877">
      <c r="C14877" s="18" t="n"/>
      <c r="J14877" s="19" t="n"/>
      <c r="P14877" s="20" t="n"/>
      <c r="Q14877" s="19" t="n"/>
      <c r="R14877" s="19" t="n"/>
      <c r="Y14877" s="19" t="n"/>
    </row>
    <row r="14878">
      <c r="C14878" s="18" t="n"/>
      <c r="J14878" s="19" t="n"/>
      <c r="P14878" s="20" t="n"/>
      <c r="Q14878" s="19" t="n"/>
      <c r="R14878" s="19" t="n"/>
      <c r="Y14878" s="19" t="n"/>
    </row>
    <row r="14879">
      <c r="C14879" s="18" t="n"/>
      <c r="J14879" s="19" t="n"/>
      <c r="P14879" s="20" t="n"/>
      <c r="Q14879" s="19" t="n"/>
      <c r="R14879" s="19" t="n"/>
      <c r="Y14879" s="19" t="n"/>
    </row>
    <row r="14880">
      <c r="C14880" s="18" t="n"/>
      <c r="J14880" s="19" t="n"/>
      <c r="P14880" s="20" t="n"/>
      <c r="Q14880" s="19" t="n"/>
      <c r="R14880" s="19" t="n"/>
      <c r="Y14880" s="19" t="n"/>
    </row>
    <row r="14881">
      <c r="C14881" s="18" t="n"/>
      <c r="J14881" s="19" t="n"/>
      <c r="P14881" s="20" t="n"/>
      <c r="Q14881" s="19" t="n"/>
      <c r="R14881" s="19" t="n"/>
      <c r="Y14881" s="19" t="n"/>
    </row>
    <row r="14882">
      <c r="C14882" s="18" t="n"/>
      <c r="J14882" s="19" t="n"/>
      <c r="P14882" s="20" t="n"/>
      <c r="Q14882" s="19" t="n"/>
      <c r="R14882" s="19" t="n"/>
      <c r="Y14882" s="19" t="n"/>
    </row>
    <row r="14883">
      <c r="C14883" s="18" t="n"/>
      <c r="J14883" s="19" t="n"/>
      <c r="P14883" s="20" t="n"/>
      <c r="Q14883" s="19" t="n"/>
      <c r="R14883" s="19" t="n"/>
      <c r="Y14883" s="19" t="n"/>
    </row>
    <row r="14884">
      <c r="C14884" s="18" t="n"/>
      <c r="J14884" s="19" t="n"/>
      <c r="P14884" s="20" t="n"/>
      <c r="Q14884" s="19" t="n"/>
      <c r="R14884" s="19" t="n"/>
      <c r="Y14884" s="19" t="n"/>
    </row>
    <row r="14885">
      <c r="C14885" s="18" t="n"/>
      <c r="J14885" s="19" t="n"/>
      <c r="P14885" s="20" t="n"/>
      <c r="Q14885" s="19" t="n"/>
      <c r="R14885" s="19" t="n"/>
      <c r="Y14885" s="19" t="n"/>
    </row>
    <row r="14886">
      <c r="C14886" s="18" t="n"/>
      <c r="J14886" s="19" t="n"/>
      <c r="P14886" s="20" t="n"/>
      <c r="Q14886" s="19" t="n"/>
      <c r="R14886" s="19" t="n"/>
      <c r="Y14886" s="19" t="n"/>
    </row>
    <row r="14887">
      <c r="C14887" s="18" t="n"/>
      <c r="J14887" s="19" t="n"/>
      <c r="P14887" s="20" t="n"/>
      <c r="Q14887" s="19" t="n"/>
      <c r="R14887" s="19" t="n"/>
      <c r="Y14887" s="19" t="n"/>
    </row>
    <row r="14888">
      <c r="C14888" s="18" t="n"/>
      <c r="J14888" s="19" t="n"/>
      <c r="P14888" s="20" t="n"/>
      <c r="Q14888" s="19" t="n"/>
      <c r="R14888" s="19" t="n"/>
      <c r="Y14888" s="19" t="n"/>
    </row>
    <row r="14889">
      <c r="C14889" s="18" t="n"/>
      <c r="J14889" s="19" t="n"/>
      <c r="P14889" s="20" t="n"/>
      <c r="Q14889" s="19" t="n"/>
      <c r="R14889" s="19" t="n"/>
      <c r="Y14889" s="19" t="n"/>
    </row>
    <row r="14890">
      <c r="C14890" s="18" t="n"/>
      <c r="J14890" s="19" t="n"/>
      <c r="P14890" s="20" t="n"/>
      <c r="Q14890" s="19" t="n"/>
      <c r="R14890" s="19" t="n"/>
      <c r="Y14890" s="19" t="n"/>
    </row>
    <row r="14891">
      <c r="C14891" s="18" t="n"/>
      <c r="J14891" s="19" t="n"/>
      <c r="P14891" s="20" t="n"/>
      <c r="Q14891" s="19" t="n"/>
      <c r="R14891" s="19" t="n"/>
      <c r="Y14891" s="19" t="n"/>
    </row>
    <row r="14892">
      <c r="C14892" s="18" t="n"/>
      <c r="J14892" s="19" t="n"/>
      <c r="P14892" s="20" t="n"/>
      <c r="Q14892" s="19" t="n"/>
      <c r="R14892" s="19" t="n"/>
      <c r="Y14892" s="19" t="n"/>
    </row>
    <row r="14893">
      <c r="C14893" s="18" t="n"/>
      <c r="J14893" s="19" t="n"/>
      <c r="P14893" s="20" t="n"/>
      <c r="Q14893" s="19" t="n"/>
      <c r="R14893" s="19" t="n"/>
      <c r="Y14893" s="19" t="n"/>
    </row>
    <row r="14894">
      <c r="C14894" s="18" t="n"/>
      <c r="J14894" s="19" t="n"/>
      <c r="P14894" s="20" t="n"/>
      <c r="Q14894" s="19" t="n"/>
      <c r="R14894" s="19" t="n"/>
      <c r="Y14894" s="19" t="n"/>
    </row>
    <row r="14895">
      <c r="C14895" s="18" t="n"/>
      <c r="J14895" s="19" t="n"/>
      <c r="P14895" s="20" t="n"/>
      <c r="Q14895" s="19" t="n"/>
      <c r="R14895" s="19" t="n"/>
      <c r="Y14895" s="19" t="n"/>
    </row>
    <row r="14896">
      <c r="C14896" s="18" t="n"/>
      <c r="J14896" s="19" t="n"/>
      <c r="P14896" s="20" t="n"/>
      <c r="Q14896" s="19" t="n"/>
      <c r="R14896" s="19" t="n"/>
      <c r="Y14896" s="19" t="n"/>
    </row>
    <row r="14897">
      <c r="C14897" s="18" t="n"/>
      <c r="J14897" s="19" t="n"/>
      <c r="P14897" s="20" t="n"/>
      <c r="Q14897" s="19" t="n"/>
      <c r="R14897" s="19" t="n"/>
      <c r="Y14897" s="19" t="n"/>
    </row>
    <row r="14898">
      <c r="C14898" s="18" t="n"/>
      <c r="J14898" s="19" t="n"/>
      <c r="P14898" s="20" t="n"/>
      <c r="Q14898" s="19" t="n"/>
      <c r="R14898" s="19" t="n"/>
      <c r="Y14898" s="19" t="n"/>
    </row>
    <row r="14899">
      <c r="C14899" s="18" t="n"/>
      <c r="J14899" s="19" t="n"/>
      <c r="P14899" s="20" t="n"/>
      <c r="Q14899" s="19" t="n"/>
      <c r="R14899" s="19" t="n"/>
      <c r="Y14899" s="19" t="n"/>
    </row>
    <row r="14900">
      <c r="C14900" s="18" t="n"/>
      <c r="J14900" s="19" t="n"/>
      <c r="P14900" s="20" t="n"/>
      <c r="Q14900" s="19" t="n"/>
      <c r="R14900" s="19" t="n"/>
      <c r="Y14900" s="19" t="n"/>
    </row>
    <row r="14901">
      <c r="C14901" s="18" t="n"/>
      <c r="J14901" s="19" t="n"/>
      <c r="P14901" s="20" t="n"/>
      <c r="Q14901" s="19" t="n"/>
      <c r="R14901" s="19" t="n"/>
      <c r="Y14901" s="19" t="n"/>
    </row>
    <row r="14902">
      <c r="C14902" s="18" t="n"/>
      <c r="J14902" s="19" t="n"/>
      <c r="P14902" s="20" t="n"/>
      <c r="Q14902" s="19" t="n"/>
      <c r="R14902" s="19" t="n"/>
      <c r="Y14902" s="19" t="n"/>
    </row>
    <row r="14903">
      <c r="C14903" s="18" t="n"/>
      <c r="J14903" s="19" t="n"/>
      <c r="P14903" s="20" t="n"/>
      <c r="Q14903" s="19" t="n"/>
      <c r="R14903" s="19" t="n"/>
      <c r="Y14903" s="19" t="n"/>
    </row>
    <row r="14904">
      <c r="C14904" s="18" t="n"/>
      <c r="J14904" s="19" t="n"/>
      <c r="P14904" s="20" t="n"/>
      <c r="Q14904" s="19" t="n"/>
      <c r="R14904" s="19" t="n"/>
      <c r="Y14904" s="19" t="n"/>
    </row>
    <row r="14905">
      <c r="C14905" s="18" t="n"/>
      <c r="J14905" s="19" t="n"/>
      <c r="P14905" s="20" t="n"/>
      <c r="Q14905" s="19" t="n"/>
      <c r="R14905" s="19" t="n"/>
      <c r="Y14905" s="19" t="n"/>
    </row>
    <row r="14906">
      <c r="C14906" s="18" t="n"/>
      <c r="J14906" s="19" t="n"/>
      <c r="P14906" s="20" t="n"/>
      <c r="Q14906" s="19" t="n"/>
      <c r="R14906" s="19" t="n"/>
      <c r="Y14906" s="19" t="n"/>
    </row>
    <row r="14907">
      <c r="C14907" s="18" t="n"/>
      <c r="J14907" s="19" t="n"/>
      <c r="P14907" s="20" t="n"/>
      <c r="Q14907" s="19" t="n"/>
      <c r="R14907" s="19" t="n"/>
      <c r="Y14907" s="19" t="n"/>
    </row>
    <row r="14908">
      <c r="C14908" s="18" t="n"/>
      <c r="J14908" s="19" t="n"/>
      <c r="P14908" s="20" t="n"/>
      <c r="Q14908" s="19" t="n"/>
      <c r="R14908" s="19" t="n"/>
      <c r="Y14908" s="19" t="n"/>
    </row>
    <row r="14909">
      <c r="C14909" s="18" t="n"/>
      <c r="J14909" s="19" t="n"/>
      <c r="P14909" s="20" t="n"/>
      <c r="Q14909" s="19" t="n"/>
      <c r="R14909" s="19" t="n"/>
      <c r="Y14909" s="19" t="n"/>
    </row>
    <row r="14910">
      <c r="C14910" s="18" t="n"/>
      <c r="J14910" s="19" t="n"/>
      <c r="P14910" s="20" t="n"/>
      <c r="Q14910" s="19" t="n"/>
      <c r="R14910" s="19" t="n"/>
      <c r="Y14910" s="19" t="n"/>
    </row>
    <row r="14911">
      <c r="C14911" s="18" t="n"/>
      <c r="J14911" s="19" t="n"/>
      <c r="P14911" s="20" t="n"/>
      <c r="Q14911" s="19" t="n"/>
      <c r="R14911" s="19" t="n"/>
      <c r="Y14911" s="19" t="n"/>
    </row>
    <row r="14912">
      <c r="C14912" s="18" t="n"/>
      <c r="J14912" s="19" t="n"/>
      <c r="P14912" s="20" t="n"/>
      <c r="Q14912" s="19" t="n"/>
      <c r="R14912" s="19" t="n"/>
      <c r="Y14912" s="19" t="n"/>
    </row>
    <row r="14913">
      <c r="C14913" s="18" t="n"/>
      <c r="J14913" s="19" t="n"/>
      <c r="P14913" s="20" t="n"/>
      <c r="Q14913" s="19" t="n"/>
      <c r="R14913" s="19" t="n"/>
      <c r="Y14913" s="19" t="n"/>
    </row>
    <row r="14914">
      <c r="C14914" s="18" t="n"/>
      <c r="J14914" s="19" t="n"/>
      <c r="P14914" s="20" t="n"/>
      <c r="Q14914" s="19" t="n"/>
      <c r="R14914" s="19" t="n"/>
      <c r="Y14914" s="19" t="n"/>
    </row>
    <row r="14915">
      <c r="C14915" s="18" t="n"/>
      <c r="J14915" s="19" t="n"/>
      <c r="P14915" s="20" t="n"/>
      <c r="Q14915" s="19" t="n"/>
      <c r="R14915" s="19" t="n"/>
      <c r="Y14915" s="19" t="n"/>
    </row>
    <row r="14916">
      <c r="C14916" s="18" t="n"/>
      <c r="J14916" s="19" t="n"/>
      <c r="P14916" s="20" t="n"/>
      <c r="Q14916" s="19" t="n"/>
      <c r="R14916" s="19" t="n"/>
      <c r="Y14916" s="19" t="n"/>
    </row>
    <row r="14917">
      <c r="C14917" s="18" t="n"/>
      <c r="J14917" s="19" t="n"/>
      <c r="P14917" s="20" t="n"/>
      <c r="Q14917" s="19" t="n"/>
      <c r="R14917" s="19" t="n"/>
      <c r="Y14917" s="19" t="n"/>
    </row>
    <row r="14918">
      <c r="C14918" s="18" t="n"/>
      <c r="J14918" s="19" t="n"/>
      <c r="P14918" s="20" t="n"/>
      <c r="Q14918" s="19" t="n"/>
      <c r="R14918" s="19" t="n"/>
      <c r="Y14918" s="19" t="n"/>
    </row>
    <row r="14919">
      <c r="C14919" s="18" t="n"/>
      <c r="J14919" s="19" t="n"/>
      <c r="P14919" s="20" t="n"/>
      <c r="Q14919" s="19" t="n"/>
      <c r="R14919" s="19" t="n"/>
      <c r="Y14919" s="19" t="n"/>
    </row>
    <row r="14920">
      <c r="C14920" s="18" t="n"/>
      <c r="J14920" s="19" t="n"/>
      <c r="P14920" s="20" t="n"/>
      <c r="Q14920" s="19" t="n"/>
      <c r="R14920" s="19" t="n"/>
      <c r="Y14920" s="19" t="n"/>
    </row>
    <row r="14921">
      <c r="C14921" s="18" t="n"/>
      <c r="J14921" s="19" t="n"/>
      <c r="P14921" s="20" t="n"/>
      <c r="Q14921" s="19" t="n"/>
      <c r="R14921" s="19" t="n"/>
      <c r="Y14921" s="19" t="n"/>
    </row>
    <row r="14922">
      <c r="C14922" s="18" t="n"/>
      <c r="J14922" s="19" t="n"/>
      <c r="P14922" s="20" t="n"/>
      <c r="Q14922" s="19" t="n"/>
      <c r="R14922" s="19" t="n"/>
      <c r="Y14922" s="19" t="n"/>
    </row>
    <row r="14923">
      <c r="C14923" s="18" t="n"/>
      <c r="J14923" s="19" t="n"/>
      <c r="P14923" s="20" t="n"/>
      <c r="Q14923" s="19" t="n"/>
      <c r="R14923" s="19" t="n"/>
      <c r="Y14923" s="19" t="n"/>
    </row>
    <row r="14924">
      <c r="C14924" s="18" t="n"/>
      <c r="J14924" s="19" t="n"/>
      <c r="P14924" s="20" t="n"/>
      <c r="Q14924" s="19" t="n"/>
      <c r="R14924" s="19" t="n"/>
      <c r="Y14924" s="19" t="n"/>
    </row>
    <row r="14925">
      <c r="C14925" s="18" t="n"/>
      <c r="J14925" s="19" t="n"/>
      <c r="P14925" s="20" t="n"/>
      <c r="Q14925" s="19" t="n"/>
      <c r="R14925" s="19" t="n"/>
      <c r="Y14925" s="19" t="n"/>
    </row>
    <row r="14926">
      <c r="C14926" s="18" t="n"/>
      <c r="J14926" s="19" t="n"/>
      <c r="P14926" s="20" t="n"/>
      <c r="Q14926" s="19" t="n"/>
      <c r="R14926" s="19" t="n"/>
      <c r="Y14926" s="19" t="n"/>
    </row>
    <row r="14927">
      <c r="C14927" s="18" t="n"/>
      <c r="J14927" s="19" t="n"/>
      <c r="P14927" s="20" t="n"/>
      <c r="Q14927" s="19" t="n"/>
      <c r="R14927" s="19" t="n"/>
      <c r="Y14927" s="19" t="n"/>
    </row>
    <row r="14928">
      <c r="C14928" s="18" t="n"/>
      <c r="J14928" s="19" t="n"/>
      <c r="P14928" s="20" t="n"/>
      <c r="Q14928" s="19" t="n"/>
      <c r="R14928" s="19" t="n"/>
      <c r="Y14928" s="19" t="n"/>
    </row>
    <row r="14929">
      <c r="C14929" s="18" t="n"/>
      <c r="J14929" s="19" t="n"/>
      <c r="P14929" s="20" t="n"/>
      <c r="Q14929" s="19" t="n"/>
      <c r="R14929" s="19" t="n"/>
      <c r="Y14929" s="19" t="n"/>
    </row>
    <row r="14930">
      <c r="C14930" s="18" t="n"/>
      <c r="J14930" s="19" t="n"/>
      <c r="P14930" s="20" t="n"/>
      <c r="Q14930" s="19" t="n"/>
      <c r="R14930" s="19" t="n"/>
      <c r="Y14930" s="19" t="n"/>
    </row>
    <row r="14931">
      <c r="C14931" s="18" t="n"/>
      <c r="J14931" s="19" t="n"/>
      <c r="P14931" s="20" t="n"/>
      <c r="Q14931" s="19" t="n"/>
      <c r="R14931" s="19" t="n"/>
      <c r="Y14931" s="19" t="n"/>
    </row>
    <row r="14932">
      <c r="C14932" s="18" t="n"/>
      <c r="J14932" s="19" t="n"/>
      <c r="P14932" s="20" t="n"/>
      <c r="Q14932" s="19" t="n"/>
      <c r="R14932" s="19" t="n"/>
      <c r="Y14932" s="19" t="n"/>
    </row>
    <row r="14933">
      <c r="C14933" s="18" t="n"/>
      <c r="J14933" s="19" t="n"/>
      <c r="P14933" s="20" t="n"/>
      <c r="Q14933" s="19" t="n"/>
      <c r="R14933" s="19" t="n"/>
      <c r="Y14933" s="19" t="n"/>
    </row>
    <row r="14934">
      <c r="C14934" s="18" t="n"/>
      <c r="J14934" s="19" t="n"/>
      <c r="P14934" s="20" t="n"/>
      <c r="Q14934" s="19" t="n"/>
      <c r="R14934" s="19" t="n"/>
      <c r="Y14934" s="19" t="n"/>
    </row>
    <row r="14935">
      <c r="C14935" s="18" t="n"/>
      <c r="J14935" s="19" t="n"/>
      <c r="P14935" s="20" t="n"/>
      <c r="Q14935" s="19" t="n"/>
      <c r="R14935" s="19" t="n"/>
      <c r="Y14935" s="19" t="n"/>
    </row>
    <row r="14936">
      <c r="C14936" s="18" t="n"/>
      <c r="J14936" s="19" t="n"/>
      <c r="P14936" s="20" t="n"/>
      <c r="Q14936" s="19" t="n"/>
      <c r="R14936" s="19" t="n"/>
      <c r="Y14936" s="19" t="n"/>
    </row>
    <row r="14937">
      <c r="C14937" s="18" t="n"/>
      <c r="J14937" s="19" t="n"/>
      <c r="P14937" s="20" t="n"/>
      <c r="Q14937" s="19" t="n"/>
      <c r="R14937" s="19" t="n"/>
      <c r="Y14937" s="19" t="n"/>
    </row>
    <row r="14938">
      <c r="C14938" s="18" t="n"/>
      <c r="J14938" s="19" t="n"/>
      <c r="P14938" s="20" t="n"/>
      <c r="Q14938" s="19" t="n"/>
      <c r="R14938" s="19" t="n"/>
      <c r="Y14938" s="19" t="n"/>
    </row>
    <row r="14939">
      <c r="C14939" s="18" t="n"/>
      <c r="J14939" s="19" t="n"/>
      <c r="P14939" s="20" t="n"/>
      <c r="Q14939" s="19" t="n"/>
      <c r="R14939" s="19" t="n"/>
      <c r="Y14939" s="19" t="n"/>
    </row>
    <row r="14940">
      <c r="C14940" s="18" t="n"/>
      <c r="J14940" s="19" t="n"/>
      <c r="P14940" s="20" t="n"/>
      <c r="Q14940" s="19" t="n"/>
      <c r="R14940" s="19" t="n"/>
      <c r="Y14940" s="19" t="n"/>
    </row>
    <row r="14941">
      <c r="C14941" s="18" t="n"/>
      <c r="J14941" s="19" t="n"/>
      <c r="P14941" s="20" t="n"/>
      <c r="Q14941" s="19" t="n"/>
      <c r="R14941" s="19" t="n"/>
      <c r="Y14941" s="19" t="n"/>
    </row>
    <row r="14942">
      <c r="C14942" s="18" t="n"/>
      <c r="J14942" s="19" t="n"/>
      <c r="P14942" s="20" t="n"/>
      <c r="Q14942" s="19" t="n"/>
      <c r="R14942" s="19" t="n"/>
      <c r="Y14942" s="19" t="n"/>
    </row>
    <row r="14943">
      <c r="C14943" s="18" t="n"/>
      <c r="J14943" s="19" t="n"/>
      <c r="P14943" s="20" t="n"/>
      <c r="Q14943" s="19" t="n"/>
      <c r="R14943" s="19" t="n"/>
      <c r="Y14943" s="19" t="n"/>
    </row>
    <row r="14944">
      <c r="C14944" s="18" t="n"/>
      <c r="J14944" s="19" t="n"/>
      <c r="P14944" s="20" t="n"/>
      <c r="Q14944" s="19" t="n"/>
      <c r="R14944" s="19" t="n"/>
      <c r="Y14944" s="19" t="n"/>
    </row>
    <row r="14945">
      <c r="C14945" s="18" t="n"/>
      <c r="J14945" s="19" t="n"/>
      <c r="P14945" s="20" t="n"/>
      <c r="Q14945" s="19" t="n"/>
      <c r="R14945" s="19" t="n"/>
      <c r="Y14945" s="19" t="n"/>
    </row>
    <row r="14946">
      <c r="C14946" s="18" t="n"/>
      <c r="J14946" s="19" t="n"/>
      <c r="P14946" s="20" t="n"/>
      <c r="Q14946" s="19" t="n"/>
      <c r="R14946" s="19" t="n"/>
      <c r="Y14946" s="19" t="n"/>
    </row>
    <row r="14947">
      <c r="C14947" s="18" t="n"/>
      <c r="J14947" s="19" t="n"/>
      <c r="P14947" s="20" t="n"/>
      <c r="Q14947" s="19" t="n"/>
      <c r="R14947" s="19" t="n"/>
      <c r="Y14947" s="19" t="n"/>
    </row>
    <row r="14948">
      <c r="C14948" s="18" t="n"/>
      <c r="J14948" s="19" t="n"/>
      <c r="P14948" s="20" t="n"/>
      <c r="Q14948" s="19" t="n"/>
      <c r="R14948" s="19" t="n"/>
      <c r="Y14948" s="19" t="n"/>
    </row>
    <row r="14949">
      <c r="C14949" s="18" t="n"/>
      <c r="J14949" s="19" t="n"/>
      <c r="P14949" s="20" t="n"/>
      <c r="Q14949" s="19" t="n"/>
      <c r="R14949" s="19" t="n"/>
      <c r="Y14949" s="19" t="n"/>
    </row>
    <row r="14950">
      <c r="C14950" s="18" t="n"/>
      <c r="J14950" s="19" t="n"/>
      <c r="P14950" s="20" t="n"/>
      <c r="Q14950" s="19" t="n"/>
      <c r="R14950" s="19" t="n"/>
      <c r="Y14950" s="19" t="n"/>
    </row>
    <row r="14951">
      <c r="C14951" s="18" t="n"/>
      <c r="J14951" s="19" t="n"/>
      <c r="P14951" s="20" t="n"/>
      <c r="Q14951" s="19" t="n"/>
      <c r="R14951" s="19" t="n"/>
      <c r="Y14951" s="19" t="n"/>
    </row>
    <row r="14952">
      <c r="C14952" s="18" t="n"/>
      <c r="J14952" s="19" t="n"/>
      <c r="P14952" s="20" t="n"/>
      <c r="Q14952" s="19" t="n"/>
      <c r="R14952" s="19" t="n"/>
      <c r="Y14952" s="19" t="n"/>
    </row>
    <row r="14953">
      <c r="C14953" s="18" t="n"/>
      <c r="J14953" s="19" t="n"/>
      <c r="P14953" s="20" t="n"/>
      <c r="Q14953" s="19" t="n"/>
      <c r="R14953" s="19" t="n"/>
      <c r="Y14953" s="19" t="n"/>
    </row>
    <row r="14954">
      <c r="C14954" s="18" t="n"/>
      <c r="J14954" s="19" t="n"/>
      <c r="P14954" s="20" t="n"/>
      <c r="Q14954" s="19" t="n"/>
      <c r="R14954" s="19" t="n"/>
      <c r="Y14954" s="19" t="n"/>
    </row>
    <row r="14955">
      <c r="C14955" s="18" t="n"/>
      <c r="J14955" s="19" t="n"/>
      <c r="P14955" s="20" t="n"/>
      <c r="Q14955" s="19" t="n"/>
      <c r="R14955" s="19" t="n"/>
      <c r="Y14955" s="19" t="n"/>
    </row>
    <row r="14956">
      <c r="C14956" s="18" t="n"/>
      <c r="J14956" s="19" t="n"/>
      <c r="P14956" s="20" t="n"/>
      <c r="Q14956" s="19" t="n"/>
      <c r="R14956" s="19" t="n"/>
      <c r="Y14956" s="19" t="n"/>
    </row>
    <row r="14957">
      <c r="C14957" s="18" t="n"/>
      <c r="J14957" s="19" t="n"/>
      <c r="P14957" s="20" t="n"/>
      <c r="Q14957" s="19" t="n"/>
      <c r="R14957" s="19" t="n"/>
      <c r="Y14957" s="19" t="n"/>
    </row>
    <row r="14958">
      <c r="C14958" s="18" t="n"/>
      <c r="J14958" s="19" t="n"/>
      <c r="P14958" s="20" t="n"/>
      <c r="Q14958" s="19" t="n"/>
      <c r="R14958" s="19" t="n"/>
      <c r="Y14958" s="19" t="n"/>
    </row>
    <row r="14959">
      <c r="C14959" s="18" t="n"/>
      <c r="J14959" s="19" t="n"/>
      <c r="P14959" s="20" t="n"/>
      <c r="Q14959" s="19" t="n"/>
      <c r="R14959" s="19" t="n"/>
      <c r="Y14959" s="19" t="n"/>
    </row>
    <row r="14960">
      <c r="C14960" s="18" t="n"/>
      <c r="J14960" s="19" t="n"/>
      <c r="P14960" s="20" t="n"/>
      <c r="Q14960" s="19" t="n"/>
      <c r="R14960" s="19" t="n"/>
      <c r="Y14960" s="19" t="n"/>
    </row>
    <row r="14961">
      <c r="C14961" s="18" t="n"/>
      <c r="J14961" s="19" t="n"/>
      <c r="P14961" s="20" t="n"/>
      <c r="Q14961" s="19" t="n"/>
      <c r="R14961" s="19" t="n"/>
      <c r="Y14961" s="19" t="n"/>
    </row>
    <row r="14962">
      <c r="C14962" s="18" t="n"/>
      <c r="J14962" s="19" t="n"/>
      <c r="P14962" s="20" t="n"/>
      <c r="Q14962" s="19" t="n"/>
      <c r="R14962" s="19" t="n"/>
      <c r="Y14962" s="19" t="n"/>
    </row>
    <row r="14963">
      <c r="C14963" s="18" t="n"/>
      <c r="J14963" s="19" t="n"/>
      <c r="P14963" s="20" t="n"/>
      <c r="Q14963" s="19" t="n"/>
      <c r="R14963" s="19" t="n"/>
      <c r="Y14963" s="19" t="n"/>
    </row>
    <row r="14964">
      <c r="C14964" s="18" t="n"/>
      <c r="J14964" s="19" t="n"/>
      <c r="P14964" s="20" t="n"/>
      <c r="Q14964" s="19" t="n"/>
      <c r="R14964" s="19" t="n"/>
      <c r="Y14964" s="19" t="n"/>
    </row>
    <row r="14965">
      <c r="C14965" s="18" t="n"/>
      <c r="J14965" s="19" t="n"/>
      <c r="P14965" s="20" t="n"/>
      <c r="Q14965" s="19" t="n"/>
      <c r="R14965" s="19" t="n"/>
      <c r="Y14965" s="19" t="n"/>
    </row>
    <row r="14966">
      <c r="C14966" s="18" t="n"/>
      <c r="J14966" s="19" t="n"/>
      <c r="P14966" s="20" t="n"/>
      <c r="Q14966" s="19" t="n"/>
      <c r="R14966" s="19" t="n"/>
      <c r="Y14966" s="19" t="n"/>
    </row>
    <row r="14967">
      <c r="C14967" s="18" t="n"/>
      <c r="J14967" s="19" t="n"/>
      <c r="P14967" s="20" t="n"/>
      <c r="Q14967" s="19" t="n"/>
      <c r="R14967" s="19" t="n"/>
      <c r="Y14967" s="19" t="n"/>
    </row>
    <row r="14968">
      <c r="C14968" s="18" t="n"/>
      <c r="J14968" s="19" t="n"/>
      <c r="P14968" s="20" t="n"/>
      <c r="Q14968" s="19" t="n"/>
      <c r="R14968" s="19" t="n"/>
      <c r="Y14968" s="19" t="n"/>
    </row>
    <row r="14969">
      <c r="C14969" s="18" t="n"/>
      <c r="J14969" s="19" t="n"/>
      <c r="P14969" s="20" t="n"/>
      <c r="Q14969" s="19" t="n"/>
      <c r="R14969" s="19" t="n"/>
      <c r="Y14969" s="19" t="n"/>
    </row>
    <row r="14970">
      <c r="C14970" s="18" t="n"/>
      <c r="J14970" s="19" t="n"/>
      <c r="P14970" s="20" t="n"/>
      <c r="Q14970" s="19" t="n"/>
      <c r="R14970" s="19" t="n"/>
      <c r="Y14970" s="19" t="n"/>
    </row>
    <row r="14971">
      <c r="C14971" s="18" t="n"/>
      <c r="J14971" s="19" t="n"/>
      <c r="P14971" s="20" t="n"/>
      <c r="Q14971" s="19" t="n"/>
      <c r="R14971" s="19" t="n"/>
      <c r="Y14971" s="19" t="n"/>
    </row>
    <row r="14972">
      <c r="C14972" s="18" t="n"/>
      <c r="J14972" s="19" t="n"/>
      <c r="P14972" s="20" t="n"/>
      <c r="Q14972" s="19" t="n"/>
      <c r="R14972" s="19" t="n"/>
      <c r="Y14972" s="19" t="n"/>
    </row>
    <row r="14973">
      <c r="C14973" s="18" t="n"/>
      <c r="J14973" s="19" t="n"/>
      <c r="P14973" s="20" t="n"/>
      <c r="Q14973" s="19" t="n"/>
      <c r="R14973" s="19" t="n"/>
      <c r="Y14973" s="19" t="n"/>
    </row>
    <row r="14974">
      <c r="C14974" s="18" t="n"/>
      <c r="J14974" s="19" t="n"/>
      <c r="P14974" s="20" t="n"/>
      <c r="Q14974" s="19" t="n"/>
      <c r="R14974" s="19" t="n"/>
      <c r="Y14974" s="19" t="n"/>
    </row>
    <row r="14975">
      <c r="C14975" s="18" t="n"/>
      <c r="J14975" s="19" t="n"/>
      <c r="P14975" s="20" t="n"/>
      <c r="Q14975" s="19" t="n"/>
      <c r="R14975" s="19" t="n"/>
      <c r="Y14975" s="19" t="n"/>
    </row>
    <row r="14976">
      <c r="C14976" s="18" t="n"/>
      <c r="J14976" s="19" t="n"/>
      <c r="P14976" s="20" t="n"/>
      <c r="Q14976" s="19" t="n"/>
      <c r="R14976" s="19" t="n"/>
      <c r="Y14976" s="19" t="n"/>
    </row>
    <row r="14977">
      <c r="C14977" s="18" t="n"/>
      <c r="J14977" s="19" t="n"/>
      <c r="P14977" s="20" t="n"/>
      <c r="Q14977" s="19" t="n"/>
      <c r="R14977" s="19" t="n"/>
      <c r="Y14977" s="19" t="n"/>
    </row>
    <row r="14978">
      <c r="C14978" s="18" t="n"/>
      <c r="J14978" s="19" t="n"/>
      <c r="P14978" s="20" t="n"/>
      <c r="Q14978" s="19" t="n"/>
      <c r="R14978" s="19" t="n"/>
      <c r="Y14978" s="19" t="n"/>
    </row>
    <row r="14979">
      <c r="C14979" s="18" t="n"/>
      <c r="J14979" s="19" t="n"/>
      <c r="P14979" s="20" t="n"/>
      <c r="Q14979" s="19" t="n"/>
      <c r="R14979" s="19" t="n"/>
      <c r="Y14979" s="19" t="n"/>
    </row>
    <row r="14980">
      <c r="C14980" s="18" t="n"/>
      <c r="J14980" s="19" t="n"/>
      <c r="P14980" s="20" t="n"/>
      <c r="Q14980" s="19" t="n"/>
      <c r="R14980" s="19" t="n"/>
      <c r="Y14980" s="19" t="n"/>
    </row>
    <row r="14981">
      <c r="C14981" s="18" t="n"/>
      <c r="J14981" s="19" t="n"/>
      <c r="P14981" s="20" t="n"/>
      <c r="Q14981" s="19" t="n"/>
      <c r="R14981" s="19" t="n"/>
      <c r="Y14981" s="19" t="n"/>
    </row>
    <row r="14982">
      <c r="C14982" s="18" t="n"/>
      <c r="J14982" s="19" t="n"/>
      <c r="P14982" s="20" t="n"/>
      <c r="Q14982" s="19" t="n"/>
      <c r="R14982" s="19" t="n"/>
      <c r="Y14982" s="19" t="n"/>
    </row>
    <row r="14983">
      <c r="C14983" s="18" t="n"/>
      <c r="J14983" s="19" t="n"/>
      <c r="P14983" s="20" t="n"/>
      <c r="Q14983" s="19" t="n"/>
      <c r="R14983" s="19" t="n"/>
      <c r="Y14983" s="19" t="n"/>
    </row>
    <row r="14984">
      <c r="C14984" s="18" t="n"/>
      <c r="J14984" s="19" t="n"/>
      <c r="P14984" s="20" t="n"/>
      <c r="Q14984" s="19" t="n"/>
      <c r="R14984" s="19" t="n"/>
      <c r="Y14984" s="19" t="n"/>
    </row>
    <row r="14985">
      <c r="C14985" s="18" t="n"/>
      <c r="J14985" s="19" t="n"/>
      <c r="P14985" s="20" t="n"/>
      <c r="Q14985" s="19" t="n"/>
      <c r="R14985" s="19" t="n"/>
      <c r="Y14985" s="19" t="n"/>
    </row>
    <row r="14986">
      <c r="C14986" s="18" t="n"/>
      <c r="J14986" s="19" t="n"/>
      <c r="P14986" s="20" t="n"/>
      <c r="Q14986" s="19" t="n"/>
      <c r="R14986" s="19" t="n"/>
      <c r="Y14986" s="19" t="n"/>
    </row>
    <row r="14987">
      <c r="C14987" s="18" t="n"/>
      <c r="J14987" s="19" t="n"/>
      <c r="P14987" s="20" t="n"/>
      <c r="Q14987" s="19" t="n"/>
      <c r="R14987" s="19" t="n"/>
      <c r="Y14987" s="19" t="n"/>
    </row>
    <row r="14988">
      <c r="C14988" s="18" t="n"/>
      <c r="J14988" s="19" t="n"/>
      <c r="P14988" s="20" t="n"/>
      <c r="Q14988" s="19" t="n"/>
      <c r="R14988" s="19" t="n"/>
      <c r="Y14988" s="19" t="n"/>
    </row>
    <row r="14989">
      <c r="C14989" s="18" t="n"/>
      <c r="J14989" s="19" t="n"/>
      <c r="P14989" s="20" t="n"/>
      <c r="Q14989" s="19" t="n"/>
      <c r="R14989" s="19" t="n"/>
      <c r="Y14989" s="19" t="n"/>
    </row>
    <row r="14990">
      <c r="C14990" s="18" t="n"/>
      <c r="J14990" s="19" t="n"/>
      <c r="P14990" s="20" t="n"/>
      <c r="Q14990" s="19" t="n"/>
      <c r="R14990" s="19" t="n"/>
      <c r="Y14990" s="19" t="n"/>
    </row>
    <row r="14991">
      <c r="C14991" s="18" t="n"/>
      <c r="J14991" s="19" t="n"/>
      <c r="P14991" s="20" t="n"/>
      <c r="Q14991" s="19" t="n"/>
      <c r="R14991" s="19" t="n"/>
      <c r="Y14991" s="19" t="n"/>
    </row>
    <row r="14992">
      <c r="C14992" s="18" t="n"/>
      <c r="J14992" s="19" t="n"/>
      <c r="P14992" s="20" t="n"/>
      <c r="Q14992" s="19" t="n"/>
      <c r="R14992" s="19" t="n"/>
      <c r="Y14992" s="19" t="n"/>
    </row>
    <row r="14993">
      <c r="C14993" s="18" t="n"/>
      <c r="J14993" s="19" t="n"/>
      <c r="P14993" s="20" t="n"/>
      <c r="Q14993" s="19" t="n"/>
      <c r="R14993" s="19" t="n"/>
      <c r="Y14993" s="19" t="n"/>
    </row>
    <row r="14994">
      <c r="C14994" s="18" t="n"/>
      <c r="J14994" s="19" t="n"/>
      <c r="P14994" s="20" t="n"/>
      <c r="Q14994" s="19" t="n"/>
      <c r="R14994" s="19" t="n"/>
      <c r="Y14994" s="19" t="n"/>
    </row>
    <row r="14995">
      <c r="C14995" s="18" t="n"/>
      <c r="J14995" s="19" t="n"/>
      <c r="P14995" s="20" t="n"/>
      <c r="Q14995" s="19" t="n"/>
      <c r="R14995" s="19" t="n"/>
      <c r="Y14995" s="19" t="n"/>
    </row>
    <row r="14996">
      <c r="C14996" s="18" t="n"/>
      <c r="J14996" s="19" t="n"/>
      <c r="P14996" s="20" t="n"/>
      <c r="Q14996" s="19" t="n"/>
      <c r="R14996" s="19" t="n"/>
      <c r="Y14996" s="19" t="n"/>
    </row>
    <row r="14997">
      <c r="C14997" s="18" t="n"/>
      <c r="J14997" s="19" t="n"/>
      <c r="P14997" s="20" t="n"/>
      <c r="Q14997" s="19" t="n"/>
      <c r="R14997" s="19" t="n"/>
      <c r="Y14997" s="19" t="n"/>
    </row>
    <row r="14998">
      <c r="C14998" s="18" t="n"/>
      <c r="J14998" s="19" t="n"/>
      <c r="P14998" s="20" t="n"/>
      <c r="Q14998" s="19" t="n"/>
      <c r="R14998" s="19" t="n"/>
      <c r="Y14998" s="19" t="n"/>
    </row>
    <row r="14999">
      <c r="C14999" s="18" t="n"/>
      <c r="J14999" s="19" t="n"/>
      <c r="P14999" s="20" t="n"/>
      <c r="Q14999" s="19" t="n"/>
      <c r="R14999" s="19" t="n"/>
      <c r="Y14999" s="19" t="n"/>
    </row>
    <row r="15000">
      <c r="C15000" s="18" t="n"/>
      <c r="J15000" s="19" t="n"/>
      <c r="P15000" s="20" t="n"/>
      <c r="Q15000" s="19" t="n"/>
      <c r="R15000" s="19" t="n"/>
      <c r="Y15000" s="19" t="n"/>
    </row>
    <row r="15001">
      <c r="C15001" s="18" t="n"/>
      <c r="J15001" s="19" t="n"/>
      <c r="P15001" s="20" t="n"/>
      <c r="Q15001" s="19" t="n"/>
      <c r="R15001" s="19" t="n"/>
      <c r="Y15001" s="19" t="n"/>
    </row>
    <row r="15002">
      <c r="C15002" s="18" t="n"/>
      <c r="J15002" s="19" t="n"/>
      <c r="P15002" s="20" t="n"/>
      <c r="Q15002" s="19" t="n"/>
      <c r="R15002" s="19" t="n"/>
      <c r="Y15002" s="19" t="n"/>
    </row>
    <row r="15003">
      <c r="C15003" s="18" t="n"/>
      <c r="J15003" s="19" t="n"/>
      <c r="P15003" s="20" t="n"/>
      <c r="Q15003" s="19" t="n"/>
      <c r="R15003" s="19" t="n"/>
      <c r="Y15003" s="19" t="n"/>
    </row>
    <row r="15004">
      <c r="C15004" s="18" t="n"/>
      <c r="J15004" s="19" t="n"/>
      <c r="P15004" s="20" t="n"/>
      <c r="Q15004" s="19" t="n"/>
      <c r="R15004" s="19" t="n"/>
      <c r="Y15004" s="19" t="n"/>
    </row>
    <row r="15005">
      <c r="C15005" s="18" t="n"/>
      <c r="J15005" s="19" t="n"/>
      <c r="P15005" s="20" t="n"/>
      <c r="Q15005" s="19" t="n"/>
      <c r="R15005" s="19" t="n"/>
      <c r="Y15005" s="19" t="n"/>
    </row>
    <row r="15006">
      <c r="C15006" s="18" t="n"/>
      <c r="J15006" s="19" t="n"/>
      <c r="P15006" s="20" t="n"/>
      <c r="Q15006" s="19" t="n"/>
      <c r="R15006" s="19" t="n"/>
      <c r="Y15006" s="19" t="n"/>
    </row>
    <row r="15007">
      <c r="C15007" s="18" t="n"/>
      <c r="J15007" s="19" t="n"/>
      <c r="P15007" s="20" t="n"/>
      <c r="Q15007" s="19" t="n"/>
      <c r="R15007" s="19" t="n"/>
      <c r="Y15007" s="19" t="n"/>
    </row>
    <row r="15008">
      <c r="C15008" s="18" t="n"/>
      <c r="J15008" s="19" t="n"/>
      <c r="P15008" s="20" t="n"/>
      <c r="Q15008" s="19" t="n"/>
      <c r="R15008" s="19" t="n"/>
      <c r="Y15008" s="19" t="n"/>
    </row>
    <row r="15009">
      <c r="C15009" s="18" t="n"/>
      <c r="J15009" s="19" t="n"/>
      <c r="P15009" s="20" t="n"/>
      <c r="Q15009" s="19" t="n"/>
      <c r="R15009" s="19" t="n"/>
      <c r="Y15009" s="19" t="n"/>
    </row>
    <row r="15010">
      <c r="C15010" s="18" t="n"/>
      <c r="J15010" s="19" t="n"/>
      <c r="P15010" s="20" t="n"/>
      <c r="Q15010" s="19" t="n"/>
      <c r="R15010" s="19" t="n"/>
      <c r="Y15010" s="19" t="n"/>
    </row>
    <row r="15011">
      <c r="C15011" s="18" t="n"/>
      <c r="J15011" s="19" t="n"/>
      <c r="P15011" s="20" t="n"/>
      <c r="Q15011" s="19" t="n"/>
      <c r="R15011" s="19" t="n"/>
      <c r="Y15011" s="19" t="n"/>
    </row>
    <row r="15012">
      <c r="C15012" s="18" t="n"/>
      <c r="J15012" s="19" t="n"/>
      <c r="P15012" s="20" t="n"/>
      <c r="Q15012" s="19" t="n"/>
      <c r="R15012" s="19" t="n"/>
      <c r="Y15012" s="19" t="n"/>
    </row>
    <row r="15013">
      <c r="C15013" s="18" t="n"/>
      <c r="J15013" s="19" t="n"/>
      <c r="P15013" s="20" t="n"/>
      <c r="Q15013" s="19" t="n"/>
      <c r="R15013" s="19" t="n"/>
      <c r="Y15013" s="19" t="n"/>
    </row>
    <row r="15014">
      <c r="C15014" s="18" t="n"/>
      <c r="J15014" s="19" t="n"/>
      <c r="P15014" s="20" t="n"/>
      <c r="Q15014" s="19" t="n"/>
      <c r="R15014" s="19" t="n"/>
      <c r="Y15014" s="19" t="n"/>
    </row>
    <row r="15015">
      <c r="C15015" s="18" t="n"/>
      <c r="J15015" s="19" t="n"/>
      <c r="P15015" s="20" t="n"/>
      <c r="Q15015" s="19" t="n"/>
      <c r="R15015" s="19" t="n"/>
      <c r="Y15015" s="19" t="n"/>
    </row>
    <row r="15016">
      <c r="C15016" s="18" t="n"/>
      <c r="J15016" s="19" t="n"/>
      <c r="P15016" s="20" t="n"/>
      <c r="Q15016" s="19" t="n"/>
      <c r="R15016" s="19" t="n"/>
      <c r="Y15016" s="19" t="n"/>
    </row>
    <row r="15017">
      <c r="C15017" s="18" t="n"/>
      <c r="J15017" s="19" t="n"/>
      <c r="P15017" s="20" t="n"/>
      <c r="Q15017" s="19" t="n"/>
      <c r="R15017" s="19" t="n"/>
      <c r="Y15017" s="19" t="n"/>
    </row>
    <row r="15018">
      <c r="C15018" s="18" t="n"/>
      <c r="J15018" s="19" t="n"/>
      <c r="P15018" s="20" t="n"/>
      <c r="Q15018" s="19" t="n"/>
      <c r="R15018" s="19" t="n"/>
      <c r="Y15018" s="19" t="n"/>
    </row>
    <row r="15019">
      <c r="C15019" s="18" t="n"/>
      <c r="J15019" s="19" t="n"/>
      <c r="P15019" s="20" t="n"/>
      <c r="Q15019" s="19" t="n"/>
      <c r="R15019" s="19" t="n"/>
      <c r="Y15019" s="19" t="n"/>
    </row>
    <row r="15020">
      <c r="C15020" s="18" t="n"/>
      <c r="J15020" s="19" t="n"/>
      <c r="P15020" s="20" t="n"/>
      <c r="Q15020" s="19" t="n"/>
      <c r="R15020" s="19" t="n"/>
      <c r="Y15020" s="19" t="n"/>
    </row>
    <row r="15021">
      <c r="C15021" s="18" t="n"/>
      <c r="J15021" s="19" t="n"/>
      <c r="P15021" s="20" t="n"/>
      <c r="Q15021" s="19" t="n"/>
      <c r="R15021" s="19" t="n"/>
      <c r="Y15021" s="19" t="n"/>
    </row>
    <row r="15022">
      <c r="C15022" s="18" t="n"/>
      <c r="J15022" s="19" t="n"/>
      <c r="P15022" s="20" t="n"/>
      <c r="Q15022" s="19" t="n"/>
      <c r="R15022" s="19" t="n"/>
      <c r="Y15022" s="19" t="n"/>
    </row>
    <row r="15023">
      <c r="C15023" s="18" t="n"/>
      <c r="J15023" s="19" t="n"/>
      <c r="P15023" s="20" t="n"/>
      <c r="Q15023" s="19" t="n"/>
      <c r="R15023" s="19" t="n"/>
      <c r="Y15023" s="19" t="n"/>
    </row>
    <row r="15024">
      <c r="C15024" s="18" t="n"/>
      <c r="J15024" s="19" t="n"/>
      <c r="P15024" s="20" t="n"/>
      <c r="Q15024" s="19" t="n"/>
      <c r="R15024" s="19" t="n"/>
      <c r="Y15024" s="19" t="n"/>
    </row>
    <row r="15025">
      <c r="C15025" s="18" t="n"/>
      <c r="J15025" s="19" t="n"/>
      <c r="P15025" s="20" t="n"/>
      <c r="Q15025" s="19" t="n"/>
      <c r="R15025" s="19" t="n"/>
      <c r="Y15025" s="19" t="n"/>
    </row>
    <row r="15026">
      <c r="C15026" s="18" t="n"/>
      <c r="J15026" s="19" t="n"/>
      <c r="P15026" s="20" t="n"/>
      <c r="Q15026" s="19" t="n"/>
      <c r="R15026" s="19" t="n"/>
      <c r="Y15026" s="19" t="n"/>
    </row>
    <row r="15027">
      <c r="C15027" s="18" t="n"/>
      <c r="J15027" s="19" t="n"/>
      <c r="P15027" s="20" t="n"/>
      <c r="Q15027" s="19" t="n"/>
      <c r="R15027" s="19" t="n"/>
      <c r="Y15027" s="19" t="n"/>
    </row>
    <row r="15028">
      <c r="C15028" s="18" t="n"/>
      <c r="J15028" s="19" t="n"/>
      <c r="P15028" s="20" t="n"/>
      <c r="Q15028" s="19" t="n"/>
      <c r="R15028" s="19" t="n"/>
      <c r="Y15028" s="19" t="n"/>
    </row>
    <row r="15029">
      <c r="C15029" s="18" t="n"/>
      <c r="J15029" s="19" t="n"/>
      <c r="P15029" s="20" t="n"/>
      <c r="Q15029" s="19" t="n"/>
      <c r="R15029" s="19" t="n"/>
      <c r="Y15029" s="19" t="n"/>
    </row>
    <row r="15030">
      <c r="C15030" s="18" t="n"/>
      <c r="J15030" s="19" t="n"/>
      <c r="P15030" s="20" t="n"/>
      <c r="Q15030" s="19" t="n"/>
      <c r="R15030" s="19" t="n"/>
      <c r="Y15030" s="19" t="n"/>
    </row>
    <row r="15031">
      <c r="C15031" s="18" t="n"/>
      <c r="J15031" s="19" t="n"/>
      <c r="P15031" s="20" t="n"/>
      <c r="Q15031" s="19" t="n"/>
      <c r="R15031" s="19" t="n"/>
      <c r="Y15031" s="19" t="n"/>
    </row>
    <row r="15032">
      <c r="C15032" s="18" t="n"/>
      <c r="J15032" s="19" t="n"/>
      <c r="P15032" s="20" t="n"/>
      <c r="Q15032" s="19" t="n"/>
      <c r="R15032" s="19" t="n"/>
      <c r="Y15032" s="19" t="n"/>
    </row>
    <row r="15033">
      <c r="C15033" s="18" t="n"/>
      <c r="J15033" s="19" t="n"/>
      <c r="P15033" s="20" t="n"/>
      <c r="Q15033" s="19" t="n"/>
      <c r="R15033" s="19" t="n"/>
      <c r="Y15033" s="19" t="n"/>
    </row>
    <row r="15034">
      <c r="C15034" s="18" t="n"/>
      <c r="J15034" s="19" t="n"/>
      <c r="P15034" s="20" t="n"/>
      <c r="Q15034" s="19" t="n"/>
      <c r="R15034" s="19" t="n"/>
      <c r="Y15034" s="19" t="n"/>
    </row>
    <row r="15035">
      <c r="C15035" s="18" t="n"/>
      <c r="J15035" s="19" t="n"/>
      <c r="P15035" s="20" t="n"/>
      <c r="Q15035" s="19" t="n"/>
      <c r="R15035" s="19" t="n"/>
      <c r="Y15035" s="19" t="n"/>
    </row>
    <row r="15036">
      <c r="C15036" s="18" t="n"/>
      <c r="J15036" s="19" t="n"/>
      <c r="P15036" s="20" t="n"/>
      <c r="Q15036" s="19" t="n"/>
      <c r="R15036" s="19" t="n"/>
      <c r="Y15036" s="19" t="n"/>
    </row>
    <row r="15037">
      <c r="C15037" s="18" t="n"/>
      <c r="J15037" s="19" t="n"/>
      <c r="P15037" s="20" t="n"/>
      <c r="Q15037" s="19" t="n"/>
      <c r="R15037" s="19" t="n"/>
      <c r="Y15037" s="19" t="n"/>
    </row>
    <row r="15038">
      <c r="C15038" s="18" t="n"/>
      <c r="J15038" s="19" t="n"/>
      <c r="P15038" s="20" t="n"/>
      <c r="Q15038" s="19" t="n"/>
      <c r="R15038" s="19" t="n"/>
      <c r="Y15038" s="19" t="n"/>
    </row>
    <row r="15039">
      <c r="C15039" s="18" t="n"/>
      <c r="J15039" s="19" t="n"/>
      <c r="P15039" s="20" t="n"/>
      <c r="Q15039" s="19" t="n"/>
      <c r="R15039" s="19" t="n"/>
      <c r="Y15039" s="19" t="n"/>
    </row>
    <row r="15040">
      <c r="C15040" s="18" t="n"/>
      <c r="J15040" s="19" t="n"/>
      <c r="P15040" s="20" t="n"/>
      <c r="Q15040" s="19" t="n"/>
      <c r="R15040" s="19" t="n"/>
      <c r="Y15040" s="19" t="n"/>
    </row>
    <row r="15041">
      <c r="C15041" s="18" t="n"/>
      <c r="J15041" s="19" t="n"/>
      <c r="P15041" s="20" t="n"/>
      <c r="Q15041" s="19" t="n"/>
      <c r="R15041" s="19" t="n"/>
      <c r="Y15041" s="19" t="n"/>
    </row>
    <row r="15042">
      <c r="C15042" s="18" t="n"/>
      <c r="J15042" s="19" t="n"/>
      <c r="P15042" s="20" t="n"/>
      <c r="Q15042" s="19" t="n"/>
      <c r="R15042" s="19" t="n"/>
      <c r="Y15042" s="19" t="n"/>
    </row>
    <row r="15043">
      <c r="C15043" s="18" t="n"/>
      <c r="J15043" s="19" t="n"/>
      <c r="P15043" s="20" t="n"/>
      <c r="Q15043" s="19" t="n"/>
      <c r="R15043" s="19" t="n"/>
      <c r="Y15043" s="19" t="n"/>
    </row>
    <row r="15044">
      <c r="C15044" s="18" t="n"/>
      <c r="J15044" s="19" t="n"/>
      <c r="P15044" s="20" t="n"/>
      <c r="Q15044" s="19" t="n"/>
      <c r="R15044" s="19" t="n"/>
      <c r="Y15044" s="19" t="n"/>
    </row>
    <row r="15045">
      <c r="C15045" s="18" t="n"/>
      <c r="J15045" s="19" t="n"/>
      <c r="P15045" s="20" t="n"/>
      <c r="Q15045" s="19" t="n"/>
      <c r="R15045" s="19" t="n"/>
      <c r="Y15045" s="19" t="n"/>
    </row>
    <row r="15046">
      <c r="C15046" s="18" t="n"/>
      <c r="J15046" s="19" t="n"/>
      <c r="P15046" s="20" t="n"/>
      <c r="Q15046" s="19" t="n"/>
      <c r="R15046" s="19" t="n"/>
      <c r="Y15046" s="19" t="n"/>
    </row>
    <row r="15047">
      <c r="C15047" s="18" t="n"/>
      <c r="J15047" s="19" t="n"/>
      <c r="P15047" s="20" t="n"/>
      <c r="Q15047" s="19" t="n"/>
      <c r="R15047" s="19" t="n"/>
      <c r="Y15047" s="19" t="n"/>
    </row>
    <row r="15048">
      <c r="C15048" s="18" t="n"/>
      <c r="J15048" s="19" t="n"/>
      <c r="P15048" s="20" t="n"/>
      <c r="Q15048" s="19" t="n"/>
      <c r="R15048" s="19" t="n"/>
      <c r="Y15048" s="19" t="n"/>
    </row>
    <row r="15049">
      <c r="C15049" s="18" t="n"/>
      <c r="J15049" s="19" t="n"/>
      <c r="P15049" s="20" t="n"/>
      <c r="Q15049" s="19" t="n"/>
      <c r="R15049" s="19" t="n"/>
      <c r="Y15049" s="19" t="n"/>
    </row>
    <row r="15050">
      <c r="C15050" s="18" t="n"/>
      <c r="J15050" s="19" t="n"/>
      <c r="P15050" s="20" t="n"/>
      <c r="Q15050" s="19" t="n"/>
      <c r="R15050" s="19" t="n"/>
      <c r="Y15050" s="19" t="n"/>
    </row>
    <row r="15051">
      <c r="C15051" s="18" t="n"/>
      <c r="J15051" s="19" t="n"/>
      <c r="P15051" s="20" t="n"/>
      <c r="Q15051" s="19" t="n"/>
      <c r="R15051" s="19" t="n"/>
      <c r="Y15051" s="19" t="n"/>
    </row>
    <row r="15052">
      <c r="C15052" s="18" t="n"/>
      <c r="J15052" s="19" t="n"/>
      <c r="P15052" s="20" t="n"/>
      <c r="Q15052" s="19" t="n"/>
      <c r="R15052" s="19" t="n"/>
      <c r="Y15052" s="19" t="n"/>
    </row>
    <row r="15053">
      <c r="C15053" s="18" t="n"/>
      <c r="J15053" s="19" t="n"/>
      <c r="P15053" s="20" t="n"/>
      <c r="Q15053" s="19" t="n"/>
      <c r="R15053" s="19" t="n"/>
      <c r="Y15053" s="19" t="n"/>
    </row>
    <row r="15054">
      <c r="C15054" s="18" t="n"/>
      <c r="J15054" s="19" t="n"/>
      <c r="P15054" s="20" t="n"/>
      <c r="Q15054" s="19" t="n"/>
      <c r="R15054" s="19" t="n"/>
      <c r="Y15054" s="19" t="n"/>
    </row>
    <row r="15055">
      <c r="C15055" s="18" t="n"/>
      <c r="J15055" s="19" t="n"/>
      <c r="P15055" s="20" t="n"/>
      <c r="Q15055" s="19" t="n"/>
      <c r="R15055" s="19" t="n"/>
      <c r="Y15055" s="19" t="n"/>
    </row>
    <row r="15056">
      <c r="C15056" s="18" t="n"/>
      <c r="J15056" s="19" t="n"/>
      <c r="P15056" s="20" t="n"/>
      <c r="Q15056" s="19" t="n"/>
      <c r="R15056" s="19" t="n"/>
      <c r="Y15056" s="19" t="n"/>
    </row>
    <row r="15057">
      <c r="C15057" s="18" t="n"/>
      <c r="J15057" s="19" t="n"/>
      <c r="P15057" s="20" t="n"/>
      <c r="Q15057" s="19" t="n"/>
      <c r="R15057" s="19" t="n"/>
      <c r="Y15057" s="19" t="n"/>
    </row>
    <row r="15058">
      <c r="C15058" s="18" t="n"/>
      <c r="J15058" s="19" t="n"/>
      <c r="P15058" s="20" t="n"/>
      <c r="Q15058" s="19" t="n"/>
      <c r="R15058" s="19" t="n"/>
      <c r="Y15058" s="19" t="n"/>
    </row>
    <row r="15059">
      <c r="C15059" s="18" t="n"/>
      <c r="J15059" s="19" t="n"/>
      <c r="P15059" s="20" t="n"/>
      <c r="Q15059" s="19" t="n"/>
      <c r="R15059" s="19" t="n"/>
      <c r="Y15059" s="19" t="n"/>
    </row>
    <row r="15060">
      <c r="C15060" s="18" t="n"/>
      <c r="J15060" s="19" t="n"/>
      <c r="P15060" s="20" t="n"/>
      <c r="Q15060" s="19" t="n"/>
      <c r="R15060" s="19" t="n"/>
      <c r="Y15060" s="19" t="n"/>
    </row>
    <row r="15061">
      <c r="C15061" s="18" t="n"/>
      <c r="J15061" s="19" t="n"/>
      <c r="P15061" s="20" t="n"/>
      <c r="Q15061" s="19" t="n"/>
      <c r="R15061" s="19" t="n"/>
      <c r="Y15061" s="19" t="n"/>
    </row>
    <row r="15062">
      <c r="C15062" s="18" t="n"/>
      <c r="J15062" s="19" t="n"/>
      <c r="P15062" s="20" t="n"/>
      <c r="Q15062" s="19" t="n"/>
      <c r="R15062" s="19" t="n"/>
      <c r="Y15062" s="19" t="n"/>
    </row>
    <row r="15063">
      <c r="C15063" s="18" t="n"/>
      <c r="J15063" s="19" t="n"/>
      <c r="P15063" s="20" t="n"/>
      <c r="Q15063" s="19" t="n"/>
      <c r="R15063" s="19" t="n"/>
      <c r="Y15063" s="19" t="n"/>
    </row>
    <row r="15064">
      <c r="C15064" s="18" t="n"/>
      <c r="J15064" s="19" t="n"/>
      <c r="P15064" s="20" t="n"/>
      <c r="Q15064" s="19" t="n"/>
      <c r="R15064" s="19" t="n"/>
      <c r="Y15064" s="19" t="n"/>
    </row>
    <row r="15065">
      <c r="C15065" s="18" t="n"/>
      <c r="J15065" s="19" t="n"/>
      <c r="P15065" s="20" t="n"/>
      <c r="Q15065" s="19" t="n"/>
      <c r="R15065" s="19" t="n"/>
      <c r="Y15065" s="19" t="n"/>
    </row>
    <row r="15066">
      <c r="C15066" s="18" t="n"/>
      <c r="J15066" s="19" t="n"/>
      <c r="P15066" s="20" t="n"/>
      <c r="Q15066" s="19" t="n"/>
      <c r="R15066" s="19" t="n"/>
      <c r="Y15066" s="19" t="n"/>
    </row>
    <row r="15067">
      <c r="C15067" s="18" t="n"/>
      <c r="J15067" s="19" t="n"/>
      <c r="P15067" s="20" t="n"/>
      <c r="Q15067" s="19" t="n"/>
      <c r="R15067" s="19" t="n"/>
      <c r="Y15067" s="19" t="n"/>
    </row>
    <row r="15068">
      <c r="C15068" s="18" t="n"/>
      <c r="J15068" s="19" t="n"/>
      <c r="P15068" s="20" t="n"/>
      <c r="Q15068" s="19" t="n"/>
      <c r="R15068" s="19" t="n"/>
      <c r="Y15068" s="19" t="n"/>
    </row>
    <row r="15069">
      <c r="C15069" s="18" t="n"/>
      <c r="J15069" s="19" t="n"/>
      <c r="P15069" s="20" t="n"/>
      <c r="Q15069" s="19" t="n"/>
      <c r="R15069" s="19" t="n"/>
      <c r="Y15069" s="19" t="n"/>
    </row>
    <row r="15070">
      <c r="C15070" s="18" t="n"/>
      <c r="J15070" s="19" t="n"/>
      <c r="P15070" s="20" t="n"/>
      <c r="Q15070" s="19" t="n"/>
      <c r="R15070" s="19" t="n"/>
      <c r="Y15070" s="19" t="n"/>
    </row>
    <row r="15071">
      <c r="C15071" s="18" t="n"/>
      <c r="J15071" s="19" t="n"/>
      <c r="P15071" s="20" t="n"/>
      <c r="Q15071" s="19" t="n"/>
      <c r="R15071" s="19" t="n"/>
      <c r="Y15071" s="19" t="n"/>
    </row>
    <row r="15072">
      <c r="C15072" s="18" t="n"/>
      <c r="J15072" s="19" t="n"/>
      <c r="P15072" s="20" t="n"/>
      <c r="Q15072" s="19" t="n"/>
      <c r="R15072" s="19" t="n"/>
      <c r="Y15072" s="19" t="n"/>
    </row>
    <row r="15073">
      <c r="C15073" s="18" t="n"/>
      <c r="J15073" s="19" t="n"/>
      <c r="P15073" s="20" t="n"/>
      <c r="Q15073" s="19" t="n"/>
      <c r="R15073" s="19" t="n"/>
      <c r="Y15073" s="19" t="n"/>
    </row>
    <row r="15074">
      <c r="C15074" s="18" t="n"/>
      <c r="J15074" s="19" t="n"/>
      <c r="P15074" s="20" t="n"/>
      <c r="Q15074" s="19" t="n"/>
      <c r="R15074" s="19" t="n"/>
      <c r="Y15074" s="19" t="n"/>
    </row>
    <row r="15075">
      <c r="C15075" s="18" t="n"/>
      <c r="J15075" s="19" t="n"/>
      <c r="P15075" s="20" t="n"/>
      <c r="Q15075" s="19" t="n"/>
      <c r="R15075" s="19" t="n"/>
      <c r="Y15075" s="19" t="n"/>
    </row>
    <row r="15076">
      <c r="C15076" s="18" t="n"/>
      <c r="J15076" s="19" t="n"/>
      <c r="P15076" s="20" t="n"/>
      <c r="Q15076" s="19" t="n"/>
      <c r="R15076" s="19" t="n"/>
      <c r="Y15076" s="19" t="n"/>
    </row>
    <row r="15077">
      <c r="C15077" s="18" t="n"/>
      <c r="J15077" s="19" t="n"/>
      <c r="P15077" s="20" t="n"/>
      <c r="Q15077" s="19" t="n"/>
      <c r="R15077" s="19" t="n"/>
      <c r="Y15077" s="19" t="n"/>
    </row>
    <row r="15078">
      <c r="C15078" s="18" t="n"/>
      <c r="J15078" s="19" t="n"/>
      <c r="P15078" s="20" t="n"/>
      <c r="Q15078" s="19" t="n"/>
      <c r="R15078" s="19" t="n"/>
      <c r="Y15078" s="19" t="n"/>
    </row>
    <row r="15079">
      <c r="C15079" s="18" t="n"/>
      <c r="J15079" s="19" t="n"/>
      <c r="P15079" s="20" t="n"/>
      <c r="Q15079" s="19" t="n"/>
      <c r="R15079" s="19" t="n"/>
      <c r="Y15079" s="19" t="n"/>
    </row>
    <row r="15080">
      <c r="C15080" s="18" t="n"/>
      <c r="J15080" s="19" t="n"/>
      <c r="P15080" s="20" t="n"/>
      <c r="Q15080" s="19" t="n"/>
      <c r="R15080" s="19" t="n"/>
      <c r="Y15080" s="19" t="n"/>
    </row>
    <row r="15081">
      <c r="C15081" s="18" t="n"/>
      <c r="J15081" s="19" t="n"/>
      <c r="P15081" s="20" t="n"/>
      <c r="Q15081" s="19" t="n"/>
      <c r="R15081" s="19" t="n"/>
      <c r="Y15081" s="19" t="n"/>
    </row>
    <row r="15082">
      <c r="C15082" s="18" t="n"/>
      <c r="J15082" s="19" t="n"/>
      <c r="P15082" s="20" t="n"/>
      <c r="Q15082" s="19" t="n"/>
      <c r="R15082" s="19" t="n"/>
      <c r="Y15082" s="19" t="n"/>
    </row>
    <row r="15083">
      <c r="C15083" s="18" t="n"/>
      <c r="J15083" s="19" t="n"/>
      <c r="P15083" s="20" t="n"/>
      <c r="Q15083" s="19" t="n"/>
      <c r="R15083" s="19" t="n"/>
      <c r="Y15083" s="19" t="n"/>
    </row>
    <row r="15084">
      <c r="C15084" s="18" t="n"/>
      <c r="J15084" s="19" t="n"/>
      <c r="P15084" s="20" t="n"/>
      <c r="Q15084" s="19" t="n"/>
      <c r="R15084" s="19" t="n"/>
      <c r="Y15084" s="19" t="n"/>
    </row>
    <row r="15085">
      <c r="C15085" s="18" t="n"/>
      <c r="J15085" s="19" t="n"/>
      <c r="P15085" s="20" t="n"/>
      <c r="Q15085" s="19" t="n"/>
      <c r="R15085" s="19" t="n"/>
      <c r="Y15085" s="19" t="n"/>
    </row>
    <row r="15086">
      <c r="C15086" s="18" t="n"/>
      <c r="J15086" s="19" t="n"/>
      <c r="P15086" s="20" t="n"/>
      <c r="Q15086" s="19" t="n"/>
      <c r="R15086" s="19" t="n"/>
      <c r="Y15086" s="19" t="n"/>
    </row>
    <row r="15087">
      <c r="C15087" s="18" t="n"/>
      <c r="J15087" s="19" t="n"/>
      <c r="P15087" s="20" t="n"/>
      <c r="Q15087" s="19" t="n"/>
      <c r="R15087" s="19" t="n"/>
      <c r="Y15087" s="19" t="n"/>
    </row>
    <row r="15088">
      <c r="C15088" s="18" t="n"/>
      <c r="J15088" s="19" t="n"/>
      <c r="P15088" s="20" t="n"/>
      <c r="Q15088" s="19" t="n"/>
      <c r="R15088" s="19" t="n"/>
      <c r="Y15088" s="19" t="n"/>
    </row>
    <row r="15089">
      <c r="C15089" s="18" t="n"/>
      <c r="J15089" s="19" t="n"/>
      <c r="P15089" s="20" t="n"/>
      <c r="Q15089" s="19" t="n"/>
      <c r="R15089" s="19" t="n"/>
      <c r="Y15089" s="19" t="n"/>
    </row>
    <row r="15090">
      <c r="C15090" s="18" t="n"/>
      <c r="J15090" s="19" t="n"/>
      <c r="P15090" s="20" t="n"/>
      <c r="Q15090" s="19" t="n"/>
      <c r="R15090" s="19" t="n"/>
      <c r="Y15090" s="19" t="n"/>
    </row>
    <row r="15091">
      <c r="C15091" s="18" t="n"/>
      <c r="J15091" s="19" t="n"/>
      <c r="P15091" s="20" t="n"/>
      <c r="Q15091" s="19" t="n"/>
      <c r="R15091" s="19" t="n"/>
      <c r="Y15091" s="19" t="n"/>
    </row>
    <row r="15092">
      <c r="C15092" s="18" t="n"/>
      <c r="J15092" s="19" t="n"/>
      <c r="P15092" s="20" t="n"/>
      <c r="Q15092" s="19" t="n"/>
      <c r="R15092" s="19" t="n"/>
      <c r="Y15092" s="19" t="n"/>
    </row>
    <row r="15093">
      <c r="C15093" s="18" t="n"/>
      <c r="J15093" s="19" t="n"/>
      <c r="P15093" s="20" t="n"/>
      <c r="Q15093" s="19" t="n"/>
      <c r="R15093" s="19" t="n"/>
      <c r="Y15093" s="19" t="n"/>
    </row>
    <row r="15094">
      <c r="C15094" s="18" t="n"/>
      <c r="J15094" s="19" t="n"/>
      <c r="P15094" s="20" t="n"/>
      <c r="Q15094" s="19" t="n"/>
      <c r="R15094" s="19" t="n"/>
      <c r="Y15094" s="19" t="n"/>
    </row>
    <row r="15095">
      <c r="C15095" s="18" t="n"/>
      <c r="J15095" s="19" t="n"/>
      <c r="P15095" s="20" t="n"/>
      <c r="Q15095" s="19" t="n"/>
      <c r="R15095" s="19" t="n"/>
      <c r="Y15095" s="19" t="n"/>
    </row>
    <row r="15096">
      <c r="C15096" s="18" t="n"/>
      <c r="J15096" s="19" t="n"/>
      <c r="P15096" s="20" t="n"/>
      <c r="Q15096" s="19" t="n"/>
      <c r="R15096" s="19" t="n"/>
      <c r="Y15096" s="19" t="n"/>
    </row>
    <row r="15097">
      <c r="C15097" s="18" t="n"/>
      <c r="J15097" s="19" t="n"/>
      <c r="P15097" s="20" t="n"/>
      <c r="Q15097" s="19" t="n"/>
      <c r="R15097" s="19" t="n"/>
      <c r="Y15097" s="19" t="n"/>
    </row>
    <row r="15098">
      <c r="C15098" s="18" t="n"/>
      <c r="J15098" s="19" t="n"/>
      <c r="P15098" s="20" t="n"/>
      <c r="Q15098" s="19" t="n"/>
      <c r="R15098" s="19" t="n"/>
      <c r="Y15098" s="19" t="n"/>
    </row>
    <row r="15099">
      <c r="C15099" s="18" t="n"/>
      <c r="J15099" s="19" t="n"/>
      <c r="P15099" s="20" t="n"/>
      <c r="Q15099" s="19" t="n"/>
      <c r="R15099" s="19" t="n"/>
      <c r="Y15099" s="19" t="n"/>
    </row>
    <row r="15100">
      <c r="C15100" s="18" t="n"/>
      <c r="J15100" s="19" t="n"/>
      <c r="P15100" s="20" t="n"/>
      <c r="Q15100" s="19" t="n"/>
      <c r="R15100" s="19" t="n"/>
      <c r="Y15100" s="19" t="n"/>
    </row>
    <row r="15101">
      <c r="C15101" s="18" t="n"/>
      <c r="J15101" s="19" t="n"/>
      <c r="P15101" s="20" t="n"/>
      <c r="Q15101" s="19" t="n"/>
      <c r="R15101" s="19" t="n"/>
      <c r="Y15101" s="19" t="n"/>
    </row>
    <row r="15102">
      <c r="C15102" s="18" t="n"/>
      <c r="J15102" s="19" t="n"/>
      <c r="P15102" s="20" t="n"/>
      <c r="Q15102" s="19" t="n"/>
      <c r="R15102" s="19" t="n"/>
      <c r="Y15102" s="19" t="n"/>
    </row>
    <row r="15103">
      <c r="C15103" s="18" t="n"/>
      <c r="J15103" s="19" t="n"/>
      <c r="P15103" s="20" t="n"/>
      <c r="Q15103" s="19" t="n"/>
      <c r="R15103" s="19" t="n"/>
      <c r="Y15103" s="19" t="n"/>
    </row>
    <row r="15104">
      <c r="C15104" s="18" t="n"/>
      <c r="J15104" s="19" t="n"/>
      <c r="P15104" s="20" t="n"/>
      <c r="Q15104" s="19" t="n"/>
      <c r="R15104" s="19" t="n"/>
      <c r="Y15104" s="19" t="n"/>
    </row>
    <row r="15105">
      <c r="C15105" s="18" t="n"/>
      <c r="J15105" s="19" t="n"/>
      <c r="P15105" s="20" t="n"/>
      <c r="Q15105" s="19" t="n"/>
      <c r="R15105" s="19" t="n"/>
      <c r="Y15105" s="19" t="n"/>
    </row>
    <row r="15106">
      <c r="C15106" s="18" t="n"/>
      <c r="J15106" s="19" t="n"/>
      <c r="P15106" s="20" t="n"/>
      <c r="Q15106" s="19" t="n"/>
      <c r="R15106" s="19" t="n"/>
      <c r="Y15106" s="19" t="n"/>
    </row>
    <row r="15107">
      <c r="C15107" s="18" t="n"/>
      <c r="J15107" s="19" t="n"/>
      <c r="P15107" s="20" t="n"/>
      <c r="Q15107" s="19" t="n"/>
      <c r="R15107" s="19" t="n"/>
      <c r="Y15107" s="19" t="n"/>
    </row>
    <row r="15108">
      <c r="C15108" s="18" t="n"/>
      <c r="J15108" s="19" t="n"/>
      <c r="P15108" s="20" t="n"/>
      <c r="Q15108" s="19" t="n"/>
      <c r="R15108" s="19" t="n"/>
      <c r="Y15108" s="19" t="n"/>
    </row>
    <row r="15109">
      <c r="C15109" s="18" t="n"/>
      <c r="J15109" s="19" t="n"/>
      <c r="P15109" s="20" t="n"/>
      <c r="Q15109" s="19" t="n"/>
      <c r="R15109" s="19" t="n"/>
      <c r="Y15109" s="19" t="n"/>
    </row>
    <row r="15110">
      <c r="C15110" s="18" t="n"/>
      <c r="J15110" s="19" t="n"/>
      <c r="P15110" s="20" t="n"/>
      <c r="Q15110" s="19" t="n"/>
      <c r="R15110" s="19" t="n"/>
      <c r="Y15110" s="19" t="n"/>
    </row>
    <row r="15111">
      <c r="C15111" s="18" t="n"/>
      <c r="J15111" s="19" t="n"/>
      <c r="P15111" s="20" t="n"/>
      <c r="Q15111" s="19" t="n"/>
      <c r="R15111" s="19" t="n"/>
      <c r="Y15111" s="19" t="n"/>
    </row>
    <row r="15112">
      <c r="C15112" s="18" t="n"/>
      <c r="J15112" s="19" t="n"/>
      <c r="P15112" s="20" t="n"/>
      <c r="Q15112" s="19" t="n"/>
      <c r="R15112" s="19" t="n"/>
      <c r="Y15112" s="19" t="n"/>
    </row>
    <row r="15113">
      <c r="C15113" s="18" t="n"/>
      <c r="J15113" s="19" t="n"/>
      <c r="P15113" s="20" t="n"/>
      <c r="Q15113" s="19" t="n"/>
      <c r="R15113" s="19" t="n"/>
      <c r="Y15113" s="19" t="n"/>
    </row>
    <row r="15114">
      <c r="C15114" s="18" t="n"/>
      <c r="J15114" s="19" t="n"/>
      <c r="P15114" s="20" t="n"/>
      <c r="Q15114" s="19" t="n"/>
      <c r="R15114" s="19" t="n"/>
      <c r="Y15114" s="19" t="n"/>
    </row>
    <row r="15115">
      <c r="C15115" s="18" t="n"/>
      <c r="J15115" s="19" t="n"/>
      <c r="P15115" s="20" t="n"/>
      <c r="Q15115" s="19" t="n"/>
      <c r="R15115" s="19" t="n"/>
      <c r="Y15115" s="19" t="n"/>
    </row>
    <row r="15116">
      <c r="C15116" s="18" t="n"/>
      <c r="J15116" s="19" t="n"/>
      <c r="P15116" s="20" t="n"/>
      <c r="Q15116" s="19" t="n"/>
      <c r="R15116" s="19" t="n"/>
      <c r="Y15116" s="19" t="n"/>
    </row>
    <row r="15117">
      <c r="C15117" s="18" t="n"/>
      <c r="J15117" s="19" t="n"/>
      <c r="P15117" s="20" t="n"/>
      <c r="Q15117" s="19" t="n"/>
      <c r="R15117" s="19" t="n"/>
      <c r="Y15117" s="19" t="n"/>
    </row>
    <row r="15118">
      <c r="C15118" s="18" t="n"/>
      <c r="J15118" s="19" t="n"/>
      <c r="P15118" s="20" t="n"/>
      <c r="Q15118" s="19" t="n"/>
      <c r="R15118" s="19" t="n"/>
      <c r="Y15118" s="19" t="n"/>
    </row>
    <row r="15119">
      <c r="C15119" s="18" t="n"/>
      <c r="J15119" s="19" t="n"/>
      <c r="P15119" s="20" t="n"/>
      <c r="Q15119" s="19" t="n"/>
      <c r="R15119" s="19" t="n"/>
      <c r="Y15119" s="19" t="n"/>
    </row>
    <row r="15120">
      <c r="C15120" s="18" t="n"/>
      <c r="J15120" s="19" t="n"/>
      <c r="P15120" s="20" t="n"/>
      <c r="Q15120" s="19" t="n"/>
      <c r="R15120" s="19" t="n"/>
      <c r="Y15120" s="19" t="n"/>
    </row>
    <row r="15121">
      <c r="C15121" s="18" t="n"/>
      <c r="J15121" s="19" t="n"/>
      <c r="P15121" s="20" t="n"/>
      <c r="Q15121" s="19" t="n"/>
      <c r="R15121" s="19" t="n"/>
      <c r="Y15121" s="19" t="n"/>
    </row>
    <row r="15122">
      <c r="C15122" s="18" t="n"/>
      <c r="J15122" s="19" t="n"/>
      <c r="P15122" s="20" t="n"/>
      <c r="Q15122" s="19" t="n"/>
      <c r="R15122" s="19" t="n"/>
      <c r="Y15122" s="19" t="n"/>
    </row>
    <row r="15123">
      <c r="C15123" s="18" t="n"/>
      <c r="J15123" s="19" t="n"/>
      <c r="P15123" s="20" t="n"/>
      <c r="Q15123" s="19" t="n"/>
      <c r="R15123" s="19" t="n"/>
      <c r="Y15123" s="19" t="n"/>
    </row>
    <row r="15124">
      <c r="C15124" s="18" t="n"/>
      <c r="J15124" s="19" t="n"/>
      <c r="P15124" s="20" t="n"/>
      <c r="Q15124" s="19" t="n"/>
      <c r="R15124" s="19" t="n"/>
      <c r="Y15124" s="19" t="n"/>
    </row>
    <row r="15125">
      <c r="C15125" s="18" t="n"/>
      <c r="J15125" s="19" t="n"/>
      <c r="P15125" s="20" t="n"/>
      <c r="Q15125" s="19" t="n"/>
      <c r="R15125" s="19" t="n"/>
      <c r="Y15125" s="19" t="n"/>
    </row>
    <row r="15126">
      <c r="C15126" s="18" t="n"/>
      <c r="J15126" s="19" t="n"/>
      <c r="P15126" s="20" t="n"/>
      <c r="Q15126" s="19" t="n"/>
      <c r="R15126" s="19" t="n"/>
      <c r="Y15126" s="19" t="n"/>
    </row>
    <row r="15127">
      <c r="C15127" s="18" t="n"/>
      <c r="J15127" s="19" t="n"/>
      <c r="P15127" s="20" t="n"/>
      <c r="Q15127" s="19" t="n"/>
      <c r="R15127" s="19" t="n"/>
      <c r="Y15127" s="19" t="n"/>
    </row>
    <row r="15128">
      <c r="C15128" s="18" t="n"/>
      <c r="J15128" s="19" t="n"/>
      <c r="P15128" s="20" t="n"/>
      <c r="Q15128" s="19" t="n"/>
      <c r="R15128" s="19" t="n"/>
      <c r="Y15128" s="19" t="n"/>
    </row>
    <row r="15129">
      <c r="C15129" s="18" t="n"/>
      <c r="J15129" s="19" t="n"/>
      <c r="P15129" s="20" t="n"/>
      <c r="Q15129" s="19" t="n"/>
      <c r="R15129" s="19" t="n"/>
      <c r="Y15129" s="19" t="n"/>
    </row>
    <row r="15130">
      <c r="C15130" s="18" t="n"/>
      <c r="J15130" s="19" t="n"/>
      <c r="P15130" s="20" t="n"/>
      <c r="Q15130" s="19" t="n"/>
      <c r="R15130" s="19" t="n"/>
      <c r="Y15130" s="19" t="n"/>
    </row>
    <row r="15131">
      <c r="C15131" s="18" t="n"/>
      <c r="J15131" s="19" t="n"/>
      <c r="P15131" s="20" t="n"/>
      <c r="Q15131" s="19" t="n"/>
      <c r="R15131" s="19" t="n"/>
      <c r="Y15131" s="19" t="n"/>
    </row>
    <row r="15132">
      <c r="C15132" s="18" t="n"/>
      <c r="J15132" s="19" t="n"/>
      <c r="P15132" s="20" t="n"/>
      <c r="Q15132" s="19" t="n"/>
      <c r="R15132" s="19" t="n"/>
      <c r="Y15132" s="19" t="n"/>
    </row>
    <row r="15133">
      <c r="C15133" s="18" t="n"/>
      <c r="J15133" s="19" t="n"/>
      <c r="P15133" s="20" t="n"/>
      <c r="Q15133" s="19" t="n"/>
      <c r="R15133" s="19" t="n"/>
      <c r="Y15133" s="19" t="n"/>
    </row>
    <row r="15134">
      <c r="C15134" s="18" t="n"/>
      <c r="J15134" s="19" t="n"/>
      <c r="P15134" s="20" t="n"/>
      <c r="Q15134" s="19" t="n"/>
      <c r="R15134" s="19" t="n"/>
      <c r="Y15134" s="19" t="n"/>
    </row>
    <row r="15135">
      <c r="C15135" s="18" t="n"/>
      <c r="J15135" s="19" t="n"/>
      <c r="P15135" s="20" t="n"/>
      <c r="Q15135" s="19" t="n"/>
      <c r="R15135" s="19" t="n"/>
      <c r="Y15135" s="19" t="n"/>
    </row>
    <row r="15136">
      <c r="C15136" s="18" t="n"/>
      <c r="J15136" s="19" t="n"/>
      <c r="P15136" s="20" t="n"/>
      <c r="Q15136" s="19" t="n"/>
      <c r="R15136" s="19" t="n"/>
      <c r="Y15136" s="19" t="n"/>
    </row>
    <row r="15137">
      <c r="C15137" s="18" t="n"/>
      <c r="J15137" s="19" t="n"/>
      <c r="P15137" s="20" t="n"/>
      <c r="Q15137" s="19" t="n"/>
      <c r="R15137" s="19" t="n"/>
      <c r="Y15137" s="19" t="n"/>
    </row>
    <row r="15138">
      <c r="C15138" s="18" t="n"/>
      <c r="J15138" s="19" t="n"/>
      <c r="P15138" s="20" t="n"/>
      <c r="Q15138" s="19" t="n"/>
      <c r="R15138" s="19" t="n"/>
      <c r="Y15138" s="19" t="n"/>
    </row>
    <row r="15139">
      <c r="C15139" s="18" t="n"/>
      <c r="J15139" s="19" t="n"/>
      <c r="P15139" s="20" t="n"/>
      <c r="Q15139" s="19" t="n"/>
      <c r="R15139" s="19" t="n"/>
      <c r="Y15139" s="19" t="n"/>
    </row>
    <row r="15140">
      <c r="C15140" s="18" t="n"/>
      <c r="J15140" s="19" t="n"/>
      <c r="P15140" s="20" t="n"/>
      <c r="Q15140" s="19" t="n"/>
      <c r="R15140" s="19" t="n"/>
      <c r="Y15140" s="19" t="n"/>
    </row>
    <row r="15141">
      <c r="C15141" s="18" t="n"/>
      <c r="J15141" s="19" t="n"/>
      <c r="P15141" s="20" t="n"/>
      <c r="Q15141" s="19" t="n"/>
      <c r="R15141" s="19" t="n"/>
      <c r="Y15141" s="19" t="n"/>
    </row>
    <row r="15142">
      <c r="C15142" s="18" t="n"/>
      <c r="J15142" s="19" t="n"/>
      <c r="P15142" s="20" t="n"/>
      <c r="Q15142" s="19" t="n"/>
      <c r="R15142" s="19" t="n"/>
      <c r="Y15142" s="19" t="n"/>
    </row>
    <row r="15143">
      <c r="C15143" s="18" t="n"/>
      <c r="J15143" s="19" t="n"/>
      <c r="P15143" s="20" t="n"/>
      <c r="Q15143" s="19" t="n"/>
      <c r="R15143" s="19" t="n"/>
      <c r="Y15143" s="19" t="n"/>
    </row>
    <row r="15144">
      <c r="C15144" s="18" t="n"/>
      <c r="J15144" s="19" t="n"/>
      <c r="P15144" s="20" t="n"/>
      <c r="Q15144" s="19" t="n"/>
      <c r="R15144" s="19" t="n"/>
      <c r="Y15144" s="19" t="n"/>
    </row>
    <row r="15145">
      <c r="C15145" s="18" t="n"/>
      <c r="J15145" s="19" t="n"/>
      <c r="P15145" s="20" t="n"/>
      <c r="Q15145" s="19" t="n"/>
      <c r="R15145" s="19" t="n"/>
      <c r="Y15145" s="19" t="n"/>
    </row>
    <row r="15146">
      <c r="C15146" s="18" t="n"/>
      <c r="J15146" s="19" t="n"/>
      <c r="P15146" s="20" t="n"/>
      <c r="Q15146" s="19" t="n"/>
      <c r="R15146" s="19" t="n"/>
      <c r="Y15146" s="19" t="n"/>
    </row>
    <row r="15147">
      <c r="C15147" s="18" t="n"/>
      <c r="J15147" s="19" t="n"/>
      <c r="P15147" s="20" t="n"/>
      <c r="Q15147" s="19" t="n"/>
      <c r="R15147" s="19" t="n"/>
      <c r="Y15147" s="19" t="n"/>
    </row>
    <row r="15148">
      <c r="C15148" s="18" t="n"/>
      <c r="J15148" s="19" t="n"/>
      <c r="P15148" s="20" t="n"/>
      <c r="Q15148" s="19" t="n"/>
      <c r="R15148" s="19" t="n"/>
      <c r="Y15148" s="19" t="n"/>
    </row>
    <row r="15149">
      <c r="C15149" s="18" t="n"/>
      <c r="J15149" s="19" t="n"/>
      <c r="P15149" s="20" t="n"/>
      <c r="Q15149" s="19" t="n"/>
      <c r="R15149" s="19" t="n"/>
      <c r="Y15149" s="19" t="n"/>
    </row>
    <row r="15150">
      <c r="C15150" s="18" t="n"/>
      <c r="J15150" s="19" t="n"/>
      <c r="P15150" s="20" t="n"/>
      <c r="Q15150" s="19" t="n"/>
      <c r="R15150" s="19" t="n"/>
      <c r="Y15150" s="19" t="n"/>
    </row>
    <row r="15151">
      <c r="C15151" s="18" t="n"/>
      <c r="J15151" s="19" t="n"/>
      <c r="P15151" s="20" t="n"/>
      <c r="Q15151" s="19" t="n"/>
      <c r="R15151" s="19" t="n"/>
      <c r="Y15151" s="19" t="n"/>
    </row>
    <row r="15152">
      <c r="C15152" s="18" t="n"/>
      <c r="J15152" s="19" t="n"/>
      <c r="P15152" s="20" t="n"/>
      <c r="Q15152" s="19" t="n"/>
      <c r="R15152" s="19" t="n"/>
      <c r="Y15152" s="19" t="n"/>
    </row>
    <row r="15153">
      <c r="C15153" s="18" t="n"/>
      <c r="J15153" s="19" t="n"/>
      <c r="P15153" s="20" t="n"/>
      <c r="Q15153" s="19" t="n"/>
      <c r="R15153" s="19" t="n"/>
      <c r="Y15153" s="19" t="n"/>
    </row>
    <row r="15154">
      <c r="C15154" s="18" t="n"/>
      <c r="J15154" s="19" t="n"/>
      <c r="P15154" s="20" t="n"/>
      <c r="Q15154" s="19" t="n"/>
      <c r="R15154" s="19" t="n"/>
      <c r="Y15154" s="19" t="n"/>
    </row>
    <row r="15155">
      <c r="C15155" s="18" t="n"/>
      <c r="J15155" s="19" t="n"/>
      <c r="P15155" s="20" t="n"/>
      <c r="Q15155" s="19" t="n"/>
      <c r="R15155" s="19" t="n"/>
      <c r="Y15155" s="19" t="n"/>
    </row>
    <row r="15156">
      <c r="C15156" s="18" t="n"/>
      <c r="J15156" s="19" t="n"/>
      <c r="P15156" s="20" t="n"/>
      <c r="Q15156" s="19" t="n"/>
      <c r="R15156" s="19" t="n"/>
      <c r="Y15156" s="19" t="n"/>
    </row>
    <row r="15157">
      <c r="C15157" s="18" t="n"/>
      <c r="J15157" s="19" t="n"/>
      <c r="P15157" s="20" t="n"/>
      <c r="Q15157" s="19" t="n"/>
      <c r="R15157" s="19" t="n"/>
      <c r="Y15157" s="19" t="n"/>
    </row>
    <row r="15158">
      <c r="C15158" s="18" t="n"/>
      <c r="J15158" s="19" t="n"/>
      <c r="P15158" s="20" t="n"/>
      <c r="Q15158" s="19" t="n"/>
      <c r="R15158" s="19" t="n"/>
      <c r="Y15158" s="19" t="n"/>
    </row>
    <row r="15159">
      <c r="C15159" s="18" t="n"/>
      <c r="J15159" s="19" t="n"/>
      <c r="P15159" s="20" t="n"/>
      <c r="Q15159" s="19" t="n"/>
      <c r="R15159" s="19" t="n"/>
      <c r="Y15159" s="19" t="n"/>
    </row>
    <row r="15160">
      <c r="C15160" s="18" t="n"/>
      <c r="J15160" s="19" t="n"/>
      <c r="P15160" s="20" t="n"/>
      <c r="Q15160" s="19" t="n"/>
      <c r="R15160" s="19" t="n"/>
      <c r="Y15160" s="19" t="n"/>
    </row>
    <row r="15161">
      <c r="C15161" s="18" t="n"/>
      <c r="J15161" s="19" t="n"/>
      <c r="P15161" s="20" t="n"/>
      <c r="Q15161" s="19" t="n"/>
      <c r="R15161" s="19" t="n"/>
      <c r="Y15161" s="19" t="n"/>
    </row>
    <row r="15162">
      <c r="C15162" s="18" t="n"/>
      <c r="J15162" s="19" t="n"/>
      <c r="P15162" s="20" t="n"/>
      <c r="Q15162" s="19" t="n"/>
      <c r="R15162" s="19" t="n"/>
      <c r="Y15162" s="19" t="n"/>
    </row>
    <row r="15163">
      <c r="C15163" s="18" t="n"/>
      <c r="J15163" s="19" t="n"/>
      <c r="P15163" s="20" t="n"/>
      <c r="Q15163" s="19" t="n"/>
      <c r="R15163" s="19" t="n"/>
      <c r="Y15163" s="19" t="n"/>
    </row>
    <row r="15164">
      <c r="C15164" s="18" t="n"/>
      <c r="J15164" s="19" t="n"/>
      <c r="P15164" s="20" t="n"/>
      <c r="Q15164" s="19" t="n"/>
      <c r="R15164" s="19" t="n"/>
      <c r="Y15164" s="19" t="n"/>
    </row>
    <row r="15165">
      <c r="C15165" s="18" t="n"/>
      <c r="J15165" s="19" t="n"/>
      <c r="P15165" s="20" t="n"/>
      <c r="Q15165" s="19" t="n"/>
      <c r="R15165" s="19" t="n"/>
      <c r="Y15165" s="19" t="n"/>
    </row>
    <row r="15166">
      <c r="C15166" s="18" t="n"/>
      <c r="J15166" s="19" t="n"/>
      <c r="P15166" s="20" t="n"/>
      <c r="Q15166" s="19" t="n"/>
      <c r="R15166" s="19" t="n"/>
      <c r="Y15166" s="19" t="n"/>
    </row>
    <row r="15167">
      <c r="C15167" s="18" t="n"/>
      <c r="J15167" s="19" t="n"/>
      <c r="P15167" s="20" t="n"/>
      <c r="Q15167" s="19" t="n"/>
      <c r="R15167" s="19" t="n"/>
      <c r="Y15167" s="19" t="n"/>
    </row>
    <row r="15168">
      <c r="C15168" s="18" t="n"/>
      <c r="J15168" s="19" t="n"/>
      <c r="P15168" s="20" t="n"/>
      <c r="Q15168" s="19" t="n"/>
      <c r="R15168" s="19" t="n"/>
      <c r="Y15168" s="19" t="n"/>
    </row>
    <row r="15169">
      <c r="C15169" s="18" t="n"/>
      <c r="J15169" s="19" t="n"/>
      <c r="P15169" s="20" t="n"/>
      <c r="Q15169" s="19" t="n"/>
      <c r="R15169" s="19" t="n"/>
      <c r="Y15169" s="19" t="n"/>
    </row>
    <row r="15170">
      <c r="C15170" s="18" t="n"/>
      <c r="J15170" s="19" t="n"/>
      <c r="P15170" s="20" t="n"/>
      <c r="Q15170" s="19" t="n"/>
      <c r="R15170" s="19" t="n"/>
      <c r="Y15170" s="19" t="n"/>
    </row>
    <row r="15171">
      <c r="C15171" s="18" t="n"/>
      <c r="J15171" s="19" t="n"/>
      <c r="P15171" s="20" t="n"/>
      <c r="Q15171" s="19" t="n"/>
      <c r="R15171" s="19" t="n"/>
      <c r="Y15171" s="19" t="n"/>
    </row>
    <row r="15172">
      <c r="C15172" s="18" t="n"/>
      <c r="J15172" s="19" t="n"/>
      <c r="P15172" s="20" t="n"/>
      <c r="Q15172" s="19" t="n"/>
      <c r="R15172" s="19" t="n"/>
      <c r="Y15172" s="19" t="n"/>
    </row>
    <row r="15173">
      <c r="C15173" s="18" t="n"/>
      <c r="J15173" s="19" t="n"/>
      <c r="P15173" s="20" t="n"/>
      <c r="Q15173" s="19" t="n"/>
      <c r="R15173" s="19" t="n"/>
      <c r="Y15173" s="19" t="n"/>
    </row>
    <row r="15174">
      <c r="C15174" s="18" t="n"/>
      <c r="J15174" s="19" t="n"/>
      <c r="P15174" s="20" t="n"/>
      <c r="Q15174" s="19" t="n"/>
      <c r="R15174" s="19" t="n"/>
      <c r="Y15174" s="19" t="n"/>
    </row>
    <row r="15175">
      <c r="C15175" s="18" t="n"/>
      <c r="J15175" s="19" t="n"/>
      <c r="P15175" s="20" t="n"/>
      <c r="Q15175" s="19" t="n"/>
      <c r="R15175" s="19" t="n"/>
      <c r="Y15175" s="19" t="n"/>
    </row>
    <row r="15176">
      <c r="C15176" s="18" t="n"/>
      <c r="J15176" s="19" t="n"/>
      <c r="P15176" s="20" t="n"/>
      <c r="Q15176" s="19" t="n"/>
      <c r="R15176" s="19" t="n"/>
      <c r="Y15176" s="19" t="n"/>
    </row>
    <row r="15177">
      <c r="C15177" s="18" t="n"/>
      <c r="J15177" s="19" t="n"/>
      <c r="P15177" s="20" t="n"/>
      <c r="Q15177" s="19" t="n"/>
      <c r="R15177" s="19" t="n"/>
      <c r="Y15177" s="19" t="n"/>
    </row>
    <row r="15178">
      <c r="C15178" s="18" t="n"/>
      <c r="J15178" s="19" t="n"/>
      <c r="P15178" s="20" t="n"/>
      <c r="Q15178" s="19" t="n"/>
      <c r="R15178" s="19" t="n"/>
      <c r="Y15178" s="19" t="n"/>
    </row>
    <row r="15179">
      <c r="C15179" s="18" t="n"/>
      <c r="J15179" s="19" t="n"/>
      <c r="P15179" s="20" t="n"/>
      <c r="Q15179" s="19" t="n"/>
      <c r="R15179" s="19" t="n"/>
      <c r="Y15179" s="19" t="n"/>
    </row>
    <row r="15180">
      <c r="C15180" s="18" t="n"/>
      <c r="J15180" s="19" t="n"/>
      <c r="P15180" s="20" t="n"/>
      <c r="Q15180" s="19" t="n"/>
      <c r="R15180" s="19" t="n"/>
      <c r="Y15180" s="19" t="n"/>
    </row>
    <row r="15181">
      <c r="C15181" s="18" t="n"/>
      <c r="J15181" s="19" t="n"/>
      <c r="P15181" s="20" t="n"/>
      <c r="Q15181" s="19" t="n"/>
      <c r="R15181" s="19" t="n"/>
      <c r="Y15181" s="19" t="n"/>
    </row>
    <row r="15182">
      <c r="C15182" s="18" t="n"/>
      <c r="J15182" s="19" t="n"/>
      <c r="P15182" s="20" t="n"/>
      <c r="Q15182" s="19" t="n"/>
      <c r="R15182" s="19" t="n"/>
      <c r="Y15182" s="19" t="n"/>
    </row>
    <row r="15183">
      <c r="C15183" s="18" t="n"/>
      <c r="J15183" s="19" t="n"/>
      <c r="P15183" s="20" t="n"/>
      <c r="Q15183" s="19" t="n"/>
      <c r="R15183" s="19" t="n"/>
      <c r="Y15183" s="19" t="n"/>
    </row>
    <row r="15184">
      <c r="C15184" s="18" t="n"/>
      <c r="J15184" s="19" t="n"/>
      <c r="P15184" s="20" t="n"/>
      <c r="Q15184" s="19" t="n"/>
      <c r="R15184" s="19" t="n"/>
      <c r="Y15184" s="19" t="n"/>
    </row>
    <row r="15185">
      <c r="C15185" s="18" t="n"/>
      <c r="J15185" s="19" t="n"/>
      <c r="P15185" s="20" t="n"/>
      <c r="Q15185" s="19" t="n"/>
      <c r="R15185" s="19" t="n"/>
      <c r="Y15185" s="19" t="n"/>
    </row>
    <row r="15186">
      <c r="C15186" s="18" t="n"/>
      <c r="J15186" s="19" t="n"/>
      <c r="P15186" s="20" t="n"/>
      <c r="Q15186" s="19" t="n"/>
      <c r="R15186" s="19" t="n"/>
      <c r="Y15186" s="19" t="n"/>
    </row>
    <row r="15187">
      <c r="C15187" s="18" t="n"/>
      <c r="J15187" s="19" t="n"/>
      <c r="P15187" s="20" t="n"/>
      <c r="Q15187" s="19" t="n"/>
      <c r="R15187" s="19" t="n"/>
      <c r="Y15187" s="19" t="n"/>
    </row>
    <row r="15188">
      <c r="C15188" s="18" t="n"/>
      <c r="J15188" s="19" t="n"/>
      <c r="P15188" s="20" t="n"/>
      <c r="Q15188" s="19" t="n"/>
      <c r="R15188" s="19" t="n"/>
      <c r="Y15188" s="19" t="n"/>
    </row>
    <row r="15189">
      <c r="C15189" s="18" t="n"/>
      <c r="J15189" s="19" t="n"/>
      <c r="P15189" s="20" t="n"/>
      <c r="Q15189" s="19" t="n"/>
      <c r="R15189" s="19" t="n"/>
      <c r="Y15189" s="19" t="n"/>
    </row>
    <row r="15190">
      <c r="C15190" s="18" t="n"/>
      <c r="J15190" s="19" t="n"/>
      <c r="P15190" s="20" t="n"/>
      <c r="Q15190" s="19" t="n"/>
      <c r="R15190" s="19" t="n"/>
      <c r="Y15190" s="19" t="n"/>
    </row>
    <row r="15191">
      <c r="C15191" s="18" t="n"/>
      <c r="J15191" s="19" t="n"/>
      <c r="P15191" s="20" t="n"/>
      <c r="Q15191" s="19" t="n"/>
      <c r="R15191" s="19" t="n"/>
      <c r="Y15191" s="19" t="n"/>
    </row>
    <row r="15192">
      <c r="C15192" s="18" t="n"/>
      <c r="J15192" s="19" t="n"/>
      <c r="P15192" s="20" t="n"/>
      <c r="Q15192" s="19" t="n"/>
      <c r="R15192" s="19" t="n"/>
      <c r="Y15192" s="19" t="n"/>
    </row>
    <row r="15193">
      <c r="C15193" s="18" t="n"/>
      <c r="J15193" s="19" t="n"/>
      <c r="P15193" s="20" t="n"/>
      <c r="Q15193" s="19" t="n"/>
      <c r="R15193" s="19" t="n"/>
      <c r="Y15193" s="19" t="n"/>
    </row>
    <row r="15194">
      <c r="C15194" s="18" t="n"/>
      <c r="J15194" s="19" t="n"/>
      <c r="P15194" s="20" t="n"/>
      <c r="Q15194" s="19" t="n"/>
      <c r="R15194" s="19" t="n"/>
      <c r="Y15194" s="19" t="n"/>
    </row>
    <row r="15195">
      <c r="C15195" s="18" t="n"/>
      <c r="J15195" s="19" t="n"/>
      <c r="P15195" s="20" t="n"/>
      <c r="Q15195" s="19" t="n"/>
      <c r="R15195" s="19" t="n"/>
      <c r="Y15195" s="19" t="n"/>
    </row>
    <row r="15196">
      <c r="C15196" s="18" t="n"/>
      <c r="J15196" s="19" t="n"/>
      <c r="P15196" s="20" t="n"/>
      <c r="Q15196" s="19" t="n"/>
      <c r="R15196" s="19" t="n"/>
      <c r="Y15196" s="19" t="n"/>
    </row>
    <row r="15197">
      <c r="C15197" s="18" t="n"/>
      <c r="J15197" s="19" t="n"/>
      <c r="P15197" s="20" t="n"/>
      <c r="Q15197" s="19" t="n"/>
      <c r="R15197" s="19" t="n"/>
      <c r="Y15197" s="19" t="n"/>
    </row>
    <row r="15198">
      <c r="C15198" s="18" t="n"/>
      <c r="J15198" s="19" t="n"/>
      <c r="P15198" s="20" t="n"/>
      <c r="Q15198" s="19" t="n"/>
      <c r="R15198" s="19" t="n"/>
      <c r="Y15198" s="19" t="n"/>
    </row>
    <row r="15199">
      <c r="C15199" s="18" t="n"/>
      <c r="J15199" s="19" t="n"/>
      <c r="P15199" s="20" t="n"/>
      <c r="Q15199" s="19" t="n"/>
      <c r="R15199" s="19" t="n"/>
      <c r="Y15199" s="19" t="n"/>
    </row>
    <row r="15200">
      <c r="C15200" s="18" t="n"/>
      <c r="J15200" s="19" t="n"/>
      <c r="P15200" s="20" t="n"/>
      <c r="Q15200" s="19" t="n"/>
      <c r="R15200" s="19" t="n"/>
      <c r="Y15200" s="19" t="n"/>
    </row>
    <row r="15201">
      <c r="C15201" s="18" t="n"/>
      <c r="J15201" s="19" t="n"/>
      <c r="P15201" s="20" t="n"/>
      <c r="Q15201" s="19" t="n"/>
      <c r="R15201" s="19" t="n"/>
      <c r="Y15201" s="19" t="n"/>
    </row>
    <row r="15202">
      <c r="C15202" s="18" t="n"/>
      <c r="J15202" s="19" t="n"/>
      <c r="P15202" s="20" t="n"/>
      <c r="Q15202" s="19" t="n"/>
      <c r="R15202" s="19" t="n"/>
      <c r="Y15202" s="19" t="n"/>
    </row>
    <row r="15203">
      <c r="C15203" s="18" t="n"/>
      <c r="J15203" s="19" t="n"/>
      <c r="P15203" s="20" t="n"/>
      <c r="Q15203" s="19" t="n"/>
      <c r="R15203" s="19" t="n"/>
      <c r="Y15203" s="19" t="n"/>
    </row>
    <row r="15204">
      <c r="C15204" s="18" t="n"/>
      <c r="J15204" s="19" t="n"/>
      <c r="P15204" s="20" t="n"/>
      <c r="Q15204" s="19" t="n"/>
      <c r="R15204" s="19" t="n"/>
      <c r="Y15204" s="19" t="n"/>
    </row>
    <row r="15205">
      <c r="C15205" s="18" t="n"/>
      <c r="J15205" s="19" t="n"/>
      <c r="P15205" s="20" t="n"/>
      <c r="Q15205" s="19" t="n"/>
      <c r="R15205" s="19" t="n"/>
      <c r="Y15205" s="19" t="n"/>
    </row>
    <row r="15206">
      <c r="C15206" s="18" t="n"/>
      <c r="J15206" s="19" t="n"/>
      <c r="P15206" s="20" t="n"/>
      <c r="Q15206" s="19" t="n"/>
      <c r="R15206" s="19" t="n"/>
      <c r="Y15206" s="19" t="n"/>
    </row>
    <row r="15207">
      <c r="C15207" s="18" t="n"/>
      <c r="J15207" s="19" t="n"/>
      <c r="P15207" s="20" t="n"/>
      <c r="Q15207" s="19" t="n"/>
      <c r="R15207" s="19" t="n"/>
      <c r="Y15207" s="19" t="n"/>
    </row>
    <row r="15208">
      <c r="C15208" s="18" t="n"/>
      <c r="J15208" s="19" t="n"/>
      <c r="P15208" s="20" t="n"/>
      <c r="Q15208" s="19" t="n"/>
      <c r="R15208" s="19" t="n"/>
      <c r="Y15208" s="19" t="n"/>
    </row>
    <row r="15209">
      <c r="C15209" s="18" t="n"/>
      <c r="J15209" s="19" t="n"/>
      <c r="P15209" s="20" t="n"/>
      <c r="Q15209" s="19" t="n"/>
      <c r="R15209" s="19" t="n"/>
      <c r="Y15209" s="19" t="n"/>
    </row>
    <row r="15210">
      <c r="C15210" s="18" t="n"/>
      <c r="J15210" s="19" t="n"/>
      <c r="P15210" s="20" t="n"/>
      <c r="Q15210" s="19" t="n"/>
      <c r="R15210" s="19" t="n"/>
      <c r="Y15210" s="19" t="n"/>
    </row>
    <row r="15211">
      <c r="C15211" s="18" t="n"/>
      <c r="J15211" s="19" t="n"/>
      <c r="P15211" s="20" t="n"/>
      <c r="Q15211" s="19" t="n"/>
      <c r="R15211" s="19" t="n"/>
      <c r="Y15211" s="19" t="n"/>
    </row>
    <row r="15212">
      <c r="C15212" s="18" t="n"/>
      <c r="J15212" s="19" t="n"/>
      <c r="P15212" s="20" t="n"/>
      <c r="Q15212" s="19" t="n"/>
      <c r="R15212" s="19" t="n"/>
      <c r="Y15212" s="19" t="n"/>
    </row>
    <row r="15213">
      <c r="C15213" s="18" t="n"/>
      <c r="J15213" s="19" t="n"/>
      <c r="P15213" s="20" t="n"/>
      <c r="Q15213" s="19" t="n"/>
      <c r="R15213" s="19" t="n"/>
      <c r="Y15213" s="19" t="n"/>
    </row>
    <row r="15214">
      <c r="C15214" s="18" t="n"/>
      <c r="J15214" s="19" t="n"/>
      <c r="P15214" s="20" t="n"/>
      <c r="Q15214" s="19" t="n"/>
      <c r="R15214" s="19" t="n"/>
      <c r="Y15214" s="19" t="n"/>
    </row>
    <row r="15215">
      <c r="C15215" s="18" t="n"/>
      <c r="J15215" s="19" t="n"/>
      <c r="P15215" s="20" t="n"/>
      <c r="Q15215" s="19" t="n"/>
      <c r="R15215" s="19" t="n"/>
      <c r="Y15215" s="19" t="n"/>
    </row>
    <row r="15216">
      <c r="C15216" s="18" t="n"/>
      <c r="J15216" s="19" t="n"/>
      <c r="P15216" s="20" t="n"/>
      <c r="Q15216" s="19" t="n"/>
      <c r="R15216" s="19" t="n"/>
      <c r="Y15216" s="19" t="n"/>
    </row>
    <row r="15217">
      <c r="C15217" s="18" t="n"/>
      <c r="J15217" s="19" t="n"/>
      <c r="P15217" s="20" t="n"/>
      <c r="Q15217" s="19" t="n"/>
      <c r="R15217" s="19" t="n"/>
      <c r="Y15217" s="19" t="n"/>
    </row>
    <row r="15218">
      <c r="C15218" s="18" t="n"/>
      <c r="J15218" s="19" t="n"/>
      <c r="P15218" s="20" t="n"/>
      <c r="Q15218" s="19" t="n"/>
      <c r="R15218" s="19" t="n"/>
      <c r="Y15218" s="19" t="n"/>
    </row>
    <row r="15219">
      <c r="C15219" s="18" t="n"/>
      <c r="J15219" s="19" t="n"/>
      <c r="P15219" s="20" t="n"/>
      <c r="Q15219" s="19" t="n"/>
      <c r="R15219" s="19" t="n"/>
      <c r="Y15219" s="19" t="n"/>
    </row>
    <row r="15220">
      <c r="C15220" s="18" t="n"/>
      <c r="J15220" s="19" t="n"/>
      <c r="P15220" s="20" t="n"/>
      <c r="Q15220" s="19" t="n"/>
      <c r="R15220" s="19" t="n"/>
      <c r="Y15220" s="19" t="n"/>
    </row>
    <row r="15221">
      <c r="C15221" s="18" t="n"/>
      <c r="J15221" s="19" t="n"/>
      <c r="P15221" s="20" t="n"/>
      <c r="Q15221" s="19" t="n"/>
      <c r="R15221" s="19" t="n"/>
      <c r="Y15221" s="19" t="n"/>
    </row>
    <row r="15222">
      <c r="C15222" s="18" t="n"/>
      <c r="J15222" s="19" t="n"/>
      <c r="P15222" s="20" t="n"/>
      <c r="Q15222" s="19" t="n"/>
      <c r="R15222" s="19" t="n"/>
      <c r="Y15222" s="19" t="n"/>
    </row>
    <row r="15223">
      <c r="C15223" s="18" t="n"/>
      <c r="J15223" s="19" t="n"/>
      <c r="P15223" s="20" t="n"/>
      <c r="Q15223" s="19" t="n"/>
      <c r="R15223" s="19" t="n"/>
      <c r="Y15223" s="19" t="n"/>
    </row>
    <row r="15224">
      <c r="C15224" s="18" t="n"/>
      <c r="J15224" s="19" t="n"/>
      <c r="P15224" s="20" t="n"/>
      <c r="Q15224" s="19" t="n"/>
      <c r="R15224" s="19" t="n"/>
      <c r="Y15224" s="19" t="n"/>
    </row>
    <row r="15225">
      <c r="C15225" s="18" t="n"/>
      <c r="J15225" s="19" t="n"/>
      <c r="P15225" s="20" t="n"/>
      <c r="Q15225" s="19" t="n"/>
      <c r="R15225" s="19" t="n"/>
      <c r="Y15225" s="19" t="n"/>
    </row>
    <row r="15226">
      <c r="C15226" s="18" t="n"/>
      <c r="J15226" s="19" t="n"/>
      <c r="P15226" s="20" t="n"/>
      <c r="Q15226" s="19" t="n"/>
      <c r="R15226" s="19" t="n"/>
      <c r="Y15226" s="19" t="n"/>
    </row>
    <row r="15227">
      <c r="C15227" s="18" t="n"/>
      <c r="J15227" s="19" t="n"/>
      <c r="P15227" s="20" t="n"/>
      <c r="Q15227" s="19" t="n"/>
      <c r="R15227" s="19" t="n"/>
      <c r="Y15227" s="19" t="n"/>
    </row>
    <row r="15228">
      <c r="C15228" s="18" t="n"/>
      <c r="J15228" s="19" t="n"/>
      <c r="P15228" s="20" t="n"/>
      <c r="Q15228" s="19" t="n"/>
      <c r="R15228" s="19" t="n"/>
      <c r="Y15228" s="19" t="n"/>
    </row>
    <row r="15229">
      <c r="C15229" s="18" t="n"/>
      <c r="J15229" s="19" t="n"/>
      <c r="P15229" s="20" t="n"/>
      <c r="Q15229" s="19" t="n"/>
      <c r="R15229" s="19" t="n"/>
      <c r="Y15229" s="19" t="n"/>
    </row>
    <row r="15230">
      <c r="C15230" s="18" t="n"/>
      <c r="J15230" s="19" t="n"/>
      <c r="P15230" s="20" t="n"/>
      <c r="Q15230" s="19" t="n"/>
      <c r="R15230" s="19" t="n"/>
      <c r="Y15230" s="19" t="n"/>
    </row>
    <row r="15231">
      <c r="C15231" s="18" t="n"/>
      <c r="J15231" s="19" t="n"/>
      <c r="P15231" s="20" t="n"/>
      <c r="Q15231" s="19" t="n"/>
      <c r="R15231" s="19" t="n"/>
      <c r="Y15231" s="19" t="n"/>
    </row>
    <row r="15232">
      <c r="C15232" s="18" t="n"/>
      <c r="J15232" s="19" t="n"/>
      <c r="P15232" s="20" t="n"/>
      <c r="Q15232" s="19" t="n"/>
      <c r="R15232" s="19" t="n"/>
      <c r="Y15232" s="19" t="n"/>
    </row>
    <row r="15233">
      <c r="C15233" s="18" t="n"/>
      <c r="J15233" s="19" t="n"/>
      <c r="P15233" s="20" t="n"/>
      <c r="Q15233" s="19" t="n"/>
      <c r="R15233" s="19" t="n"/>
      <c r="Y15233" s="19" t="n"/>
    </row>
    <row r="15234">
      <c r="C15234" s="18" t="n"/>
      <c r="J15234" s="19" t="n"/>
      <c r="P15234" s="20" t="n"/>
      <c r="Q15234" s="19" t="n"/>
      <c r="R15234" s="19" t="n"/>
      <c r="Y15234" s="19" t="n"/>
    </row>
    <row r="15235">
      <c r="C15235" s="18" t="n"/>
      <c r="J15235" s="19" t="n"/>
      <c r="P15235" s="20" t="n"/>
      <c r="Q15235" s="19" t="n"/>
      <c r="R15235" s="19" t="n"/>
      <c r="Y15235" s="19" t="n"/>
    </row>
    <row r="15236">
      <c r="C15236" s="18" t="n"/>
      <c r="J15236" s="19" t="n"/>
      <c r="P15236" s="20" t="n"/>
      <c r="Q15236" s="19" t="n"/>
      <c r="R15236" s="19" t="n"/>
      <c r="Y15236" s="19" t="n"/>
    </row>
    <row r="15237">
      <c r="C15237" s="18" t="n"/>
      <c r="J15237" s="19" t="n"/>
      <c r="P15237" s="20" t="n"/>
      <c r="Q15237" s="19" t="n"/>
      <c r="R15237" s="19" t="n"/>
      <c r="Y15237" s="19" t="n"/>
    </row>
    <row r="15238">
      <c r="C15238" s="18" t="n"/>
      <c r="J15238" s="19" t="n"/>
      <c r="P15238" s="20" t="n"/>
      <c r="Q15238" s="19" t="n"/>
      <c r="R15238" s="19" t="n"/>
      <c r="Y15238" s="19" t="n"/>
    </row>
    <row r="15239">
      <c r="C15239" s="18" t="n"/>
      <c r="J15239" s="19" t="n"/>
      <c r="P15239" s="20" t="n"/>
      <c r="Q15239" s="19" t="n"/>
      <c r="R15239" s="19" t="n"/>
      <c r="Y15239" s="19" t="n"/>
    </row>
    <row r="15240">
      <c r="C15240" s="18" t="n"/>
      <c r="J15240" s="19" t="n"/>
      <c r="P15240" s="20" t="n"/>
      <c r="Q15240" s="19" t="n"/>
      <c r="R15240" s="19" t="n"/>
      <c r="Y15240" s="19" t="n"/>
    </row>
    <row r="15241">
      <c r="C15241" s="18" t="n"/>
      <c r="J15241" s="19" t="n"/>
      <c r="P15241" s="20" t="n"/>
      <c r="Q15241" s="19" t="n"/>
      <c r="R15241" s="19" t="n"/>
      <c r="Y15241" s="19" t="n"/>
    </row>
    <row r="15242">
      <c r="C15242" s="18" t="n"/>
      <c r="J15242" s="19" t="n"/>
      <c r="P15242" s="20" t="n"/>
      <c r="Q15242" s="19" t="n"/>
      <c r="R15242" s="19" t="n"/>
      <c r="Y15242" s="19" t="n"/>
    </row>
    <row r="15243">
      <c r="C15243" s="18" t="n"/>
      <c r="J15243" s="19" t="n"/>
      <c r="P15243" s="20" t="n"/>
      <c r="Q15243" s="19" t="n"/>
      <c r="R15243" s="19" t="n"/>
      <c r="Y15243" s="19" t="n"/>
    </row>
    <row r="15244">
      <c r="C15244" s="18" t="n"/>
      <c r="J15244" s="19" t="n"/>
      <c r="P15244" s="20" t="n"/>
      <c r="Q15244" s="19" t="n"/>
      <c r="R15244" s="19" t="n"/>
      <c r="Y15244" s="19" t="n"/>
    </row>
    <row r="15245">
      <c r="C15245" s="18" t="n"/>
      <c r="J15245" s="19" t="n"/>
      <c r="P15245" s="20" t="n"/>
      <c r="Q15245" s="19" t="n"/>
      <c r="R15245" s="19" t="n"/>
      <c r="Y15245" s="19" t="n"/>
    </row>
    <row r="15246">
      <c r="C15246" s="18" t="n"/>
      <c r="J15246" s="19" t="n"/>
      <c r="P15246" s="20" t="n"/>
      <c r="Q15246" s="19" t="n"/>
      <c r="R15246" s="19" t="n"/>
      <c r="Y15246" s="19" t="n"/>
    </row>
    <row r="15247">
      <c r="C15247" s="18" t="n"/>
      <c r="J15247" s="19" t="n"/>
      <c r="P15247" s="20" t="n"/>
      <c r="Q15247" s="19" t="n"/>
      <c r="R15247" s="19" t="n"/>
      <c r="Y15247" s="19" t="n"/>
    </row>
    <row r="15248">
      <c r="C15248" s="18" t="n"/>
      <c r="J15248" s="19" t="n"/>
      <c r="P15248" s="20" t="n"/>
      <c r="Q15248" s="19" t="n"/>
      <c r="R15248" s="19" t="n"/>
      <c r="Y15248" s="19" t="n"/>
    </row>
    <row r="15249">
      <c r="C15249" s="18" t="n"/>
      <c r="J15249" s="19" t="n"/>
      <c r="P15249" s="20" t="n"/>
      <c r="Q15249" s="19" t="n"/>
      <c r="R15249" s="19" t="n"/>
      <c r="Y15249" s="19" t="n"/>
    </row>
    <row r="15250">
      <c r="C15250" s="18" t="n"/>
      <c r="J15250" s="19" t="n"/>
      <c r="P15250" s="20" t="n"/>
      <c r="Q15250" s="19" t="n"/>
      <c r="R15250" s="19" t="n"/>
      <c r="Y15250" s="19" t="n"/>
    </row>
    <row r="15251">
      <c r="C15251" s="18" t="n"/>
      <c r="J15251" s="19" t="n"/>
      <c r="P15251" s="20" t="n"/>
      <c r="Q15251" s="19" t="n"/>
      <c r="R15251" s="19" t="n"/>
      <c r="Y15251" s="19" t="n"/>
    </row>
    <row r="15252">
      <c r="C15252" s="18" t="n"/>
      <c r="J15252" s="19" t="n"/>
      <c r="P15252" s="20" t="n"/>
      <c r="Q15252" s="19" t="n"/>
      <c r="R15252" s="19" t="n"/>
      <c r="Y15252" s="19" t="n"/>
    </row>
    <row r="15253">
      <c r="C15253" s="18" t="n"/>
      <c r="J15253" s="19" t="n"/>
      <c r="P15253" s="20" t="n"/>
      <c r="Q15253" s="19" t="n"/>
      <c r="R15253" s="19" t="n"/>
      <c r="Y15253" s="19" t="n"/>
    </row>
    <row r="15254">
      <c r="C15254" s="18" t="n"/>
      <c r="J15254" s="19" t="n"/>
      <c r="P15254" s="20" t="n"/>
      <c r="Q15254" s="19" t="n"/>
      <c r="R15254" s="19" t="n"/>
      <c r="Y15254" s="19" t="n"/>
    </row>
    <row r="15255">
      <c r="C15255" s="18" t="n"/>
      <c r="J15255" s="19" t="n"/>
      <c r="P15255" s="20" t="n"/>
      <c r="Q15255" s="19" t="n"/>
      <c r="R15255" s="19" t="n"/>
      <c r="Y15255" s="19" t="n"/>
    </row>
    <row r="15256">
      <c r="C15256" s="18" t="n"/>
      <c r="J15256" s="19" t="n"/>
      <c r="P15256" s="20" t="n"/>
      <c r="Q15256" s="19" t="n"/>
      <c r="R15256" s="19" t="n"/>
      <c r="Y15256" s="19" t="n"/>
    </row>
    <row r="15257">
      <c r="C15257" s="18" t="n"/>
      <c r="J15257" s="19" t="n"/>
      <c r="P15257" s="20" t="n"/>
      <c r="Q15257" s="19" t="n"/>
      <c r="R15257" s="19" t="n"/>
      <c r="Y15257" s="19" t="n"/>
    </row>
    <row r="15258">
      <c r="C15258" s="18" t="n"/>
      <c r="J15258" s="19" t="n"/>
      <c r="P15258" s="20" t="n"/>
      <c r="Q15258" s="19" t="n"/>
      <c r="R15258" s="19" t="n"/>
      <c r="Y15258" s="19" t="n"/>
    </row>
    <row r="15259">
      <c r="C15259" s="18" t="n"/>
      <c r="J15259" s="19" t="n"/>
      <c r="P15259" s="20" t="n"/>
      <c r="Q15259" s="19" t="n"/>
      <c r="R15259" s="19" t="n"/>
      <c r="Y15259" s="19" t="n"/>
    </row>
    <row r="15260">
      <c r="C15260" s="18" t="n"/>
      <c r="J15260" s="19" t="n"/>
      <c r="P15260" s="20" t="n"/>
      <c r="Q15260" s="19" t="n"/>
      <c r="R15260" s="19" t="n"/>
      <c r="Y15260" s="19" t="n"/>
    </row>
    <row r="15261">
      <c r="C15261" s="18" t="n"/>
      <c r="J15261" s="19" t="n"/>
      <c r="P15261" s="20" t="n"/>
      <c r="Q15261" s="19" t="n"/>
      <c r="R15261" s="19" t="n"/>
      <c r="Y15261" s="19" t="n"/>
    </row>
    <row r="15262">
      <c r="C15262" s="18" t="n"/>
      <c r="J15262" s="19" t="n"/>
      <c r="P15262" s="20" t="n"/>
      <c r="Q15262" s="19" t="n"/>
      <c r="R15262" s="19" t="n"/>
      <c r="Y15262" s="19" t="n"/>
    </row>
    <row r="15263">
      <c r="C15263" s="18" t="n"/>
      <c r="J15263" s="19" t="n"/>
      <c r="P15263" s="20" t="n"/>
      <c r="Q15263" s="19" t="n"/>
      <c r="R15263" s="19" t="n"/>
      <c r="Y15263" s="19" t="n"/>
    </row>
    <row r="15264">
      <c r="C15264" s="18" t="n"/>
      <c r="J15264" s="19" t="n"/>
      <c r="P15264" s="20" t="n"/>
      <c r="Q15264" s="19" t="n"/>
      <c r="R15264" s="19" t="n"/>
      <c r="Y15264" s="19" t="n"/>
    </row>
    <row r="15265">
      <c r="C15265" s="18" t="n"/>
      <c r="J15265" s="19" t="n"/>
      <c r="P15265" s="20" t="n"/>
      <c r="Q15265" s="19" t="n"/>
      <c r="R15265" s="19" t="n"/>
      <c r="Y15265" s="19" t="n"/>
    </row>
    <row r="15266">
      <c r="C15266" s="18" t="n"/>
      <c r="J15266" s="19" t="n"/>
      <c r="P15266" s="20" t="n"/>
      <c r="Q15266" s="19" t="n"/>
      <c r="R15266" s="19" t="n"/>
      <c r="Y15266" s="19" t="n"/>
    </row>
    <row r="15267">
      <c r="C15267" s="18" t="n"/>
      <c r="J15267" s="19" t="n"/>
      <c r="P15267" s="20" t="n"/>
      <c r="Q15267" s="19" t="n"/>
      <c r="R15267" s="19" t="n"/>
      <c r="Y15267" s="19" t="n"/>
    </row>
    <row r="15268">
      <c r="C15268" s="18" t="n"/>
      <c r="J15268" s="19" t="n"/>
      <c r="P15268" s="20" t="n"/>
      <c r="Q15268" s="19" t="n"/>
      <c r="R15268" s="19" t="n"/>
      <c r="Y15268" s="19" t="n"/>
    </row>
    <row r="15269">
      <c r="C15269" s="18" t="n"/>
      <c r="J15269" s="19" t="n"/>
      <c r="P15269" s="20" t="n"/>
      <c r="Q15269" s="19" t="n"/>
      <c r="R15269" s="19" t="n"/>
      <c r="Y15269" s="19" t="n"/>
    </row>
    <row r="15270">
      <c r="C15270" s="18" t="n"/>
      <c r="J15270" s="19" t="n"/>
      <c r="P15270" s="20" t="n"/>
      <c r="Q15270" s="19" t="n"/>
      <c r="R15270" s="19" t="n"/>
      <c r="Y15270" s="19" t="n"/>
    </row>
    <row r="15271">
      <c r="C15271" s="18" t="n"/>
      <c r="J15271" s="19" t="n"/>
      <c r="P15271" s="20" t="n"/>
      <c r="Q15271" s="19" t="n"/>
      <c r="R15271" s="19" t="n"/>
      <c r="Y15271" s="19" t="n"/>
    </row>
    <row r="15272">
      <c r="C15272" s="18" t="n"/>
      <c r="J15272" s="19" t="n"/>
      <c r="P15272" s="20" t="n"/>
      <c r="Q15272" s="19" t="n"/>
      <c r="R15272" s="19" t="n"/>
      <c r="Y15272" s="19" t="n"/>
    </row>
    <row r="15273">
      <c r="C15273" s="18" t="n"/>
      <c r="J15273" s="19" t="n"/>
      <c r="P15273" s="20" t="n"/>
      <c r="Q15273" s="19" t="n"/>
      <c r="R15273" s="19" t="n"/>
      <c r="Y15273" s="19" t="n"/>
    </row>
    <row r="15274">
      <c r="C15274" s="18" t="n"/>
      <c r="J15274" s="19" t="n"/>
      <c r="P15274" s="20" t="n"/>
      <c r="Q15274" s="19" t="n"/>
      <c r="R15274" s="19" t="n"/>
      <c r="Y15274" s="19" t="n"/>
    </row>
    <row r="15275">
      <c r="C15275" s="18" t="n"/>
      <c r="J15275" s="19" t="n"/>
      <c r="P15275" s="20" t="n"/>
      <c r="Q15275" s="19" t="n"/>
      <c r="R15275" s="19" t="n"/>
      <c r="Y15275" s="19" t="n"/>
    </row>
    <row r="15276">
      <c r="C15276" s="18" t="n"/>
      <c r="J15276" s="19" t="n"/>
      <c r="P15276" s="20" t="n"/>
      <c r="Q15276" s="19" t="n"/>
      <c r="R15276" s="19" t="n"/>
      <c r="Y15276" s="19" t="n"/>
    </row>
    <row r="15277">
      <c r="C15277" s="18" t="n"/>
      <c r="J15277" s="19" t="n"/>
      <c r="P15277" s="20" t="n"/>
      <c r="Q15277" s="19" t="n"/>
      <c r="R15277" s="19" t="n"/>
      <c r="Y15277" s="19" t="n"/>
    </row>
    <row r="15278">
      <c r="C15278" s="18" t="n"/>
      <c r="J15278" s="19" t="n"/>
      <c r="P15278" s="20" t="n"/>
      <c r="Q15278" s="19" t="n"/>
      <c r="R15278" s="19" t="n"/>
      <c r="Y15278" s="19" t="n"/>
    </row>
    <row r="15279">
      <c r="C15279" s="18" t="n"/>
      <c r="J15279" s="19" t="n"/>
      <c r="P15279" s="20" t="n"/>
      <c r="Q15279" s="19" t="n"/>
      <c r="R15279" s="19" t="n"/>
      <c r="Y15279" s="19" t="n"/>
    </row>
    <row r="15280">
      <c r="C15280" s="18" t="n"/>
      <c r="J15280" s="19" t="n"/>
      <c r="P15280" s="20" t="n"/>
      <c r="Q15280" s="19" t="n"/>
      <c r="R15280" s="19" t="n"/>
      <c r="Y15280" s="19" t="n"/>
    </row>
    <row r="15281">
      <c r="C15281" s="18" t="n"/>
      <c r="J15281" s="19" t="n"/>
      <c r="P15281" s="20" t="n"/>
      <c r="Q15281" s="19" t="n"/>
      <c r="R15281" s="19" t="n"/>
      <c r="Y15281" s="19" t="n"/>
    </row>
    <row r="15282">
      <c r="C15282" s="18" t="n"/>
      <c r="J15282" s="19" t="n"/>
      <c r="P15282" s="20" t="n"/>
      <c r="Q15282" s="19" t="n"/>
      <c r="R15282" s="19" t="n"/>
      <c r="Y15282" s="19" t="n"/>
    </row>
    <row r="15283">
      <c r="C15283" s="18" t="n"/>
      <c r="J15283" s="19" t="n"/>
      <c r="P15283" s="20" t="n"/>
      <c r="Q15283" s="19" t="n"/>
      <c r="R15283" s="19" t="n"/>
      <c r="Y15283" s="19" t="n"/>
    </row>
    <row r="15284">
      <c r="C15284" s="18" t="n"/>
      <c r="J15284" s="19" t="n"/>
      <c r="P15284" s="20" t="n"/>
      <c r="Q15284" s="19" t="n"/>
      <c r="R15284" s="19" t="n"/>
      <c r="Y15284" s="19" t="n"/>
    </row>
    <row r="15285">
      <c r="C15285" s="18" t="n"/>
      <c r="J15285" s="19" t="n"/>
      <c r="P15285" s="20" t="n"/>
      <c r="Q15285" s="19" t="n"/>
      <c r="R15285" s="19" t="n"/>
      <c r="Y15285" s="19" t="n"/>
    </row>
    <row r="15286">
      <c r="C15286" s="18" t="n"/>
      <c r="J15286" s="19" t="n"/>
      <c r="P15286" s="20" t="n"/>
      <c r="Q15286" s="19" t="n"/>
      <c r="R15286" s="19" t="n"/>
      <c r="Y15286" s="19" t="n"/>
    </row>
    <row r="15287">
      <c r="C15287" s="18" t="n"/>
      <c r="J15287" s="19" t="n"/>
      <c r="P15287" s="20" t="n"/>
      <c r="Q15287" s="19" t="n"/>
      <c r="R15287" s="19" t="n"/>
      <c r="Y15287" s="19" t="n"/>
    </row>
    <row r="15288">
      <c r="C15288" s="18" t="n"/>
      <c r="J15288" s="19" t="n"/>
      <c r="P15288" s="20" t="n"/>
      <c r="Q15288" s="19" t="n"/>
      <c r="R15288" s="19" t="n"/>
      <c r="Y15288" s="19" t="n"/>
    </row>
    <row r="15289">
      <c r="C15289" s="18" t="n"/>
      <c r="J15289" s="19" t="n"/>
      <c r="P15289" s="20" t="n"/>
      <c r="Q15289" s="19" t="n"/>
      <c r="R15289" s="19" t="n"/>
      <c r="Y15289" s="19" t="n"/>
    </row>
    <row r="15290">
      <c r="C15290" s="18" t="n"/>
      <c r="J15290" s="19" t="n"/>
      <c r="P15290" s="20" t="n"/>
      <c r="Q15290" s="19" t="n"/>
      <c r="R15290" s="19" t="n"/>
      <c r="Y15290" s="19" t="n"/>
    </row>
    <row r="15291">
      <c r="C15291" s="18" t="n"/>
      <c r="J15291" s="19" t="n"/>
      <c r="P15291" s="20" t="n"/>
      <c r="Q15291" s="19" t="n"/>
      <c r="R15291" s="19" t="n"/>
      <c r="Y15291" s="19" t="n"/>
    </row>
    <row r="15292">
      <c r="C15292" s="18" t="n"/>
      <c r="J15292" s="19" t="n"/>
      <c r="P15292" s="20" t="n"/>
      <c r="Q15292" s="19" t="n"/>
      <c r="R15292" s="19" t="n"/>
      <c r="Y15292" s="19" t="n"/>
    </row>
    <row r="15293">
      <c r="C15293" s="18" t="n"/>
      <c r="J15293" s="19" t="n"/>
      <c r="P15293" s="20" t="n"/>
      <c r="Q15293" s="19" t="n"/>
      <c r="R15293" s="19" t="n"/>
      <c r="Y15293" s="19" t="n"/>
    </row>
    <row r="15294">
      <c r="C15294" s="18" t="n"/>
      <c r="J15294" s="19" t="n"/>
      <c r="P15294" s="20" t="n"/>
      <c r="Q15294" s="19" t="n"/>
      <c r="R15294" s="19" t="n"/>
      <c r="Y15294" s="19" t="n"/>
    </row>
    <row r="15295">
      <c r="C15295" s="18" t="n"/>
      <c r="J15295" s="19" t="n"/>
      <c r="P15295" s="20" t="n"/>
      <c r="Q15295" s="19" t="n"/>
      <c r="R15295" s="19" t="n"/>
      <c r="Y15295" s="19" t="n"/>
    </row>
    <row r="15296">
      <c r="C15296" s="18" t="n"/>
      <c r="J15296" s="19" t="n"/>
      <c r="P15296" s="20" t="n"/>
      <c r="Q15296" s="19" t="n"/>
      <c r="R15296" s="19" t="n"/>
      <c r="Y15296" s="19" t="n"/>
    </row>
    <row r="15297">
      <c r="C15297" s="18" t="n"/>
      <c r="J15297" s="19" t="n"/>
      <c r="P15297" s="20" t="n"/>
      <c r="Q15297" s="19" t="n"/>
      <c r="R15297" s="19" t="n"/>
      <c r="Y15297" s="19" t="n"/>
    </row>
    <row r="15298">
      <c r="C15298" s="18" t="n"/>
      <c r="J15298" s="19" t="n"/>
      <c r="P15298" s="20" t="n"/>
      <c r="Q15298" s="19" t="n"/>
      <c r="R15298" s="19" t="n"/>
      <c r="Y15298" s="19" t="n"/>
    </row>
    <row r="15299">
      <c r="C15299" s="18" t="n"/>
      <c r="J15299" s="19" t="n"/>
      <c r="P15299" s="20" t="n"/>
      <c r="Q15299" s="19" t="n"/>
      <c r="R15299" s="19" t="n"/>
      <c r="Y15299" s="19" t="n"/>
    </row>
    <row r="15300">
      <c r="C15300" s="18" t="n"/>
      <c r="J15300" s="19" t="n"/>
      <c r="P15300" s="20" t="n"/>
      <c r="Q15300" s="19" t="n"/>
      <c r="R15300" s="19" t="n"/>
      <c r="Y15300" s="19" t="n"/>
    </row>
    <row r="15301">
      <c r="C15301" s="18" t="n"/>
      <c r="J15301" s="19" t="n"/>
      <c r="P15301" s="20" t="n"/>
      <c r="Q15301" s="19" t="n"/>
      <c r="R15301" s="19" t="n"/>
      <c r="Y15301" s="19" t="n"/>
    </row>
    <row r="15302">
      <c r="C15302" s="18" t="n"/>
      <c r="J15302" s="19" t="n"/>
      <c r="P15302" s="20" t="n"/>
      <c r="Q15302" s="19" t="n"/>
      <c r="R15302" s="19" t="n"/>
      <c r="Y15302" s="19" t="n"/>
    </row>
    <row r="15303">
      <c r="C15303" s="18" t="n"/>
      <c r="J15303" s="19" t="n"/>
      <c r="P15303" s="20" t="n"/>
      <c r="Q15303" s="19" t="n"/>
      <c r="R15303" s="19" t="n"/>
      <c r="Y15303" s="19" t="n"/>
    </row>
    <row r="15304">
      <c r="C15304" s="18" t="n"/>
      <c r="J15304" s="19" t="n"/>
      <c r="P15304" s="20" t="n"/>
      <c r="Q15304" s="19" t="n"/>
      <c r="R15304" s="19" t="n"/>
      <c r="Y15304" s="19" t="n"/>
    </row>
    <row r="15305">
      <c r="C15305" s="18" t="n"/>
      <c r="J15305" s="19" t="n"/>
      <c r="P15305" s="20" t="n"/>
      <c r="Q15305" s="19" t="n"/>
      <c r="R15305" s="19" t="n"/>
      <c r="Y15305" s="19" t="n"/>
    </row>
    <row r="15306">
      <c r="C15306" s="18" t="n"/>
      <c r="J15306" s="19" t="n"/>
      <c r="P15306" s="20" t="n"/>
      <c r="Q15306" s="19" t="n"/>
      <c r="R15306" s="19" t="n"/>
      <c r="Y15306" s="19" t="n"/>
    </row>
    <row r="15307">
      <c r="C15307" s="18" t="n"/>
      <c r="J15307" s="19" t="n"/>
      <c r="P15307" s="20" t="n"/>
      <c r="Q15307" s="19" t="n"/>
      <c r="R15307" s="19" t="n"/>
      <c r="Y15307" s="19" t="n"/>
    </row>
    <row r="15308">
      <c r="C15308" s="18" t="n"/>
      <c r="J15308" s="19" t="n"/>
      <c r="P15308" s="20" t="n"/>
      <c r="Q15308" s="19" t="n"/>
      <c r="R15308" s="19" t="n"/>
      <c r="Y15308" s="19" t="n"/>
    </row>
    <row r="15309">
      <c r="C15309" s="18" t="n"/>
      <c r="J15309" s="19" t="n"/>
      <c r="P15309" s="20" t="n"/>
      <c r="Q15309" s="19" t="n"/>
      <c r="R15309" s="19" t="n"/>
      <c r="Y15309" s="19" t="n"/>
    </row>
    <row r="15310">
      <c r="C15310" s="18" t="n"/>
      <c r="J15310" s="19" t="n"/>
      <c r="P15310" s="20" t="n"/>
      <c r="Q15310" s="19" t="n"/>
      <c r="R15310" s="19" t="n"/>
      <c r="Y15310" s="19" t="n"/>
    </row>
    <row r="15311">
      <c r="C15311" s="18" t="n"/>
      <c r="J15311" s="19" t="n"/>
      <c r="P15311" s="20" t="n"/>
      <c r="Q15311" s="19" t="n"/>
      <c r="R15311" s="19" t="n"/>
      <c r="Y15311" s="19" t="n"/>
    </row>
    <row r="15312">
      <c r="C15312" s="18" t="n"/>
      <c r="J15312" s="19" t="n"/>
      <c r="P15312" s="20" t="n"/>
      <c r="Q15312" s="19" t="n"/>
      <c r="R15312" s="19" t="n"/>
      <c r="Y15312" s="19" t="n"/>
    </row>
    <row r="15313">
      <c r="C15313" s="18" t="n"/>
      <c r="J15313" s="19" t="n"/>
      <c r="P15313" s="20" t="n"/>
      <c r="Q15313" s="19" t="n"/>
      <c r="R15313" s="19" t="n"/>
      <c r="Y15313" s="19" t="n"/>
    </row>
    <row r="15314">
      <c r="C15314" s="18" t="n"/>
      <c r="J15314" s="19" t="n"/>
      <c r="P15314" s="20" t="n"/>
      <c r="Q15314" s="19" t="n"/>
      <c r="R15314" s="19" t="n"/>
      <c r="Y15314" s="19" t="n"/>
    </row>
    <row r="15315">
      <c r="C15315" s="18" t="n"/>
      <c r="J15315" s="19" t="n"/>
      <c r="P15315" s="20" t="n"/>
      <c r="Q15315" s="19" t="n"/>
      <c r="R15315" s="19" t="n"/>
      <c r="Y15315" s="19" t="n"/>
    </row>
    <row r="15316">
      <c r="C15316" s="18" t="n"/>
      <c r="J15316" s="19" t="n"/>
      <c r="P15316" s="20" t="n"/>
      <c r="Q15316" s="19" t="n"/>
      <c r="R15316" s="19" t="n"/>
      <c r="Y15316" s="19" t="n"/>
    </row>
    <row r="15317">
      <c r="C15317" s="18" t="n"/>
      <c r="J15317" s="19" t="n"/>
      <c r="P15317" s="20" t="n"/>
      <c r="Q15317" s="19" t="n"/>
      <c r="R15317" s="19" t="n"/>
      <c r="Y15317" s="19" t="n"/>
    </row>
    <row r="15318">
      <c r="C15318" s="18" t="n"/>
      <c r="J15318" s="19" t="n"/>
      <c r="P15318" s="20" t="n"/>
      <c r="Q15318" s="19" t="n"/>
      <c r="R15318" s="19" t="n"/>
      <c r="Y15318" s="19" t="n"/>
    </row>
    <row r="15319">
      <c r="C15319" s="18" t="n"/>
      <c r="J15319" s="19" t="n"/>
      <c r="P15319" s="20" t="n"/>
      <c r="Q15319" s="19" t="n"/>
      <c r="R15319" s="19" t="n"/>
      <c r="Y15319" s="19" t="n"/>
    </row>
    <row r="15320">
      <c r="C15320" s="18" t="n"/>
      <c r="J15320" s="19" t="n"/>
      <c r="P15320" s="20" t="n"/>
      <c r="Q15320" s="19" t="n"/>
      <c r="R15320" s="19" t="n"/>
      <c r="Y15320" s="19" t="n"/>
    </row>
    <row r="15321">
      <c r="C15321" s="18" t="n"/>
      <c r="J15321" s="19" t="n"/>
      <c r="P15321" s="20" t="n"/>
      <c r="Q15321" s="19" t="n"/>
      <c r="R15321" s="19" t="n"/>
      <c r="Y15321" s="19" t="n"/>
    </row>
    <row r="15322">
      <c r="C15322" s="18" t="n"/>
      <c r="J15322" s="19" t="n"/>
      <c r="P15322" s="20" t="n"/>
      <c r="Q15322" s="19" t="n"/>
      <c r="R15322" s="19" t="n"/>
      <c r="Y15322" s="19" t="n"/>
    </row>
    <row r="15323">
      <c r="C15323" s="18" t="n"/>
      <c r="J15323" s="19" t="n"/>
      <c r="P15323" s="20" t="n"/>
      <c r="Q15323" s="19" t="n"/>
      <c r="R15323" s="19" t="n"/>
      <c r="Y15323" s="19" t="n"/>
    </row>
    <row r="15324">
      <c r="C15324" s="18" t="n"/>
      <c r="J15324" s="19" t="n"/>
      <c r="P15324" s="20" t="n"/>
      <c r="Q15324" s="19" t="n"/>
      <c r="R15324" s="19" t="n"/>
      <c r="Y15324" s="19" t="n"/>
    </row>
    <row r="15325">
      <c r="C15325" s="18" t="n"/>
      <c r="J15325" s="19" t="n"/>
      <c r="P15325" s="20" t="n"/>
      <c r="Q15325" s="19" t="n"/>
      <c r="R15325" s="19" t="n"/>
      <c r="Y15325" s="19" t="n"/>
    </row>
    <row r="15326">
      <c r="C15326" s="18" t="n"/>
      <c r="J15326" s="19" t="n"/>
      <c r="P15326" s="20" t="n"/>
      <c r="Q15326" s="19" t="n"/>
      <c r="R15326" s="19" t="n"/>
      <c r="Y15326" s="19" t="n"/>
    </row>
    <row r="15327">
      <c r="C15327" s="18" t="n"/>
      <c r="J15327" s="19" t="n"/>
      <c r="P15327" s="20" t="n"/>
      <c r="Q15327" s="19" t="n"/>
      <c r="R15327" s="19" t="n"/>
      <c r="Y15327" s="19" t="n"/>
    </row>
    <row r="15328">
      <c r="C15328" s="18" t="n"/>
      <c r="J15328" s="19" t="n"/>
      <c r="P15328" s="20" t="n"/>
      <c r="Q15328" s="19" t="n"/>
      <c r="R15328" s="19" t="n"/>
      <c r="Y15328" s="19" t="n"/>
    </row>
    <row r="15329">
      <c r="C15329" s="18" t="n"/>
      <c r="J15329" s="19" t="n"/>
      <c r="P15329" s="20" t="n"/>
      <c r="Q15329" s="19" t="n"/>
      <c r="R15329" s="19" t="n"/>
      <c r="Y15329" s="19" t="n"/>
    </row>
    <row r="15330">
      <c r="C15330" s="18" t="n"/>
      <c r="J15330" s="19" t="n"/>
      <c r="P15330" s="20" t="n"/>
      <c r="Q15330" s="19" t="n"/>
      <c r="R15330" s="19" t="n"/>
      <c r="Y15330" s="19" t="n"/>
    </row>
    <row r="15331">
      <c r="C15331" s="18" t="n"/>
      <c r="J15331" s="19" t="n"/>
      <c r="P15331" s="20" t="n"/>
      <c r="Q15331" s="19" t="n"/>
      <c r="R15331" s="19" t="n"/>
      <c r="Y15331" s="19" t="n"/>
    </row>
    <row r="15332">
      <c r="C15332" s="18" t="n"/>
      <c r="J15332" s="19" t="n"/>
      <c r="P15332" s="20" t="n"/>
      <c r="Q15332" s="19" t="n"/>
      <c r="R15332" s="19" t="n"/>
      <c r="Y15332" s="19" t="n"/>
    </row>
    <row r="15333">
      <c r="C15333" s="18" t="n"/>
      <c r="J15333" s="19" t="n"/>
      <c r="P15333" s="20" t="n"/>
      <c r="Q15333" s="19" t="n"/>
      <c r="R15333" s="19" t="n"/>
      <c r="Y15333" s="19" t="n"/>
    </row>
    <row r="15334">
      <c r="C15334" s="18" t="n"/>
      <c r="J15334" s="19" t="n"/>
      <c r="P15334" s="20" t="n"/>
      <c r="Q15334" s="19" t="n"/>
      <c r="R15334" s="19" t="n"/>
      <c r="Y15334" s="19" t="n"/>
    </row>
    <row r="15335">
      <c r="C15335" s="18" t="n"/>
      <c r="J15335" s="19" t="n"/>
      <c r="P15335" s="20" t="n"/>
      <c r="Q15335" s="19" t="n"/>
      <c r="R15335" s="19" t="n"/>
      <c r="Y15335" s="19" t="n"/>
    </row>
    <row r="15336">
      <c r="C15336" s="18" t="n"/>
      <c r="J15336" s="19" t="n"/>
      <c r="P15336" s="20" t="n"/>
      <c r="Q15336" s="19" t="n"/>
      <c r="R15336" s="19" t="n"/>
      <c r="Y15336" s="19" t="n"/>
    </row>
    <row r="15337">
      <c r="C15337" s="18" t="n"/>
      <c r="J15337" s="19" t="n"/>
      <c r="P15337" s="20" t="n"/>
      <c r="Q15337" s="19" t="n"/>
      <c r="R15337" s="19" t="n"/>
      <c r="Y15337" s="19" t="n"/>
    </row>
    <row r="15338">
      <c r="C15338" s="18" t="n"/>
      <c r="J15338" s="19" t="n"/>
      <c r="P15338" s="20" t="n"/>
      <c r="Q15338" s="19" t="n"/>
      <c r="R15338" s="19" t="n"/>
      <c r="Y15338" s="19" t="n"/>
    </row>
    <row r="15339">
      <c r="C15339" s="18" t="n"/>
      <c r="J15339" s="19" t="n"/>
      <c r="P15339" s="20" t="n"/>
      <c r="Q15339" s="19" t="n"/>
      <c r="R15339" s="19" t="n"/>
      <c r="Y15339" s="19" t="n"/>
    </row>
    <row r="15340">
      <c r="C15340" s="18" t="n"/>
      <c r="J15340" s="19" t="n"/>
      <c r="P15340" s="20" t="n"/>
      <c r="Q15340" s="19" t="n"/>
      <c r="R15340" s="19" t="n"/>
      <c r="Y15340" s="19" t="n"/>
    </row>
    <row r="15341">
      <c r="C15341" s="18" t="n"/>
      <c r="J15341" s="19" t="n"/>
      <c r="P15341" s="20" t="n"/>
      <c r="Q15341" s="19" t="n"/>
      <c r="R15341" s="19" t="n"/>
      <c r="Y15341" s="19" t="n"/>
    </row>
    <row r="15342">
      <c r="C15342" s="18" t="n"/>
      <c r="J15342" s="19" t="n"/>
      <c r="P15342" s="20" t="n"/>
      <c r="Q15342" s="19" t="n"/>
      <c r="R15342" s="19" t="n"/>
      <c r="Y15342" s="19" t="n"/>
    </row>
    <row r="15343">
      <c r="C15343" s="18" t="n"/>
      <c r="J15343" s="19" t="n"/>
      <c r="P15343" s="20" t="n"/>
      <c r="Q15343" s="19" t="n"/>
      <c r="R15343" s="19" t="n"/>
      <c r="Y15343" s="19" t="n"/>
    </row>
    <row r="15344">
      <c r="C15344" s="18" t="n"/>
      <c r="J15344" s="19" t="n"/>
      <c r="P15344" s="20" t="n"/>
      <c r="Q15344" s="19" t="n"/>
      <c r="R15344" s="19" t="n"/>
      <c r="Y15344" s="19" t="n"/>
    </row>
    <row r="15345">
      <c r="C15345" s="18" t="n"/>
      <c r="J15345" s="19" t="n"/>
      <c r="P15345" s="20" t="n"/>
      <c r="Q15345" s="19" t="n"/>
      <c r="R15345" s="19" t="n"/>
      <c r="Y15345" s="19" t="n"/>
    </row>
    <row r="15346">
      <c r="C15346" s="18" t="n"/>
      <c r="J15346" s="19" t="n"/>
      <c r="P15346" s="20" t="n"/>
      <c r="Q15346" s="19" t="n"/>
      <c r="R15346" s="19" t="n"/>
      <c r="Y15346" s="19" t="n"/>
    </row>
    <row r="15347">
      <c r="C15347" s="18" t="n"/>
      <c r="J15347" s="19" t="n"/>
      <c r="P15347" s="20" t="n"/>
      <c r="Q15347" s="19" t="n"/>
      <c r="R15347" s="19" t="n"/>
      <c r="Y15347" s="19" t="n"/>
    </row>
    <row r="15348">
      <c r="C15348" s="18" t="n"/>
      <c r="J15348" s="19" t="n"/>
      <c r="P15348" s="20" t="n"/>
      <c r="Q15348" s="19" t="n"/>
      <c r="R15348" s="19" t="n"/>
      <c r="Y15348" s="19" t="n"/>
    </row>
    <row r="15349">
      <c r="C15349" s="18" t="n"/>
      <c r="J15349" s="19" t="n"/>
      <c r="P15349" s="20" t="n"/>
      <c r="Q15349" s="19" t="n"/>
      <c r="R15349" s="19" t="n"/>
      <c r="Y15349" s="19" t="n"/>
    </row>
    <row r="15350">
      <c r="C15350" s="18" t="n"/>
      <c r="J15350" s="19" t="n"/>
      <c r="P15350" s="20" t="n"/>
      <c r="Q15350" s="19" t="n"/>
      <c r="R15350" s="19" t="n"/>
      <c r="Y15350" s="19" t="n"/>
    </row>
    <row r="15351">
      <c r="C15351" s="18" t="n"/>
      <c r="J15351" s="19" t="n"/>
      <c r="P15351" s="20" t="n"/>
      <c r="Q15351" s="19" t="n"/>
      <c r="R15351" s="19" t="n"/>
      <c r="Y15351" s="19" t="n"/>
    </row>
    <row r="15352">
      <c r="C15352" s="18" t="n"/>
      <c r="J15352" s="19" t="n"/>
      <c r="P15352" s="20" t="n"/>
      <c r="Q15352" s="19" t="n"/>
      <c r="R15352" s="19" t="n"/>
      <c r="Y15352" s="19" t="n"/>
    </row>
    <row r="15353">
      <c r="C15353" s="18" t="n"/>
      <c r="J15353" s="19" t="n"/>
      <c r="P15353" s="20" t="n"/>
      <c r="Q15353" s="19" t="n"/>
      <c r="R15353" s="19" t="n"/>
      <c r="Y15353" s="19" t="n"/>
    </row>
    <row r="15354">
      <c r="C15354" s="18" t="n"/>
      <c r="J15354" s="19" t="n"/>
      <c r="P15354" s="20" t="n"/>
      <c r="Q15354" s="19" t="n"/>
      <c r="R15354" s="19" t="n"/>
      <c r="Y15354" s="19" t="n"/>
    </row>
    <row r="15355">
      <c r="C15355" s="18" t="n"/>
      <c r="J15355" s="19" t="n"/>
      <c r="P15355" s="20" t="n"/>
      <c r="Q15355" s="19" t="n"/>
      <c r="R15355" s="19" t="n"/>
      <c r="Y15355" s="19" t="n"/>
    </row>
    <row r="15356">
      <c r="C15356" s="18" t="n"/>
      <c r="J15356" s="19" t="n"/>
      <c r="P15356" s="20" t="n"/>
      <c r="Q15356" s="19" t="n"/>
      <c r="R15356" s="19" t="n"/>
      <c r="Y15356" s="19" t="n"/>
    </row>
    <row r="15357">
      <c r="C15357" s="18" t="n"/>
      <c r="J15357" s="19" t="n"/>
      <c r="P15357" s="20" t="n"/>
      <c r="Q15357" s="19" t="n"/>
      <c r="R15357" s="19" t="n"/>
      <c r="Y15357" s="19" t="n"/>
    </row>
    <row r="15358">
      <c r="C15358" s="18" t="n"/>
      <c r="J15358" s="19" t="n"/>
      <c r="P15358" s="20" t="n"/>
      <c r="Q15358" s="19" t="n"/>
      <c r="R15358" s="19" t="n"/>
      <c r="Y15358" s="19" t="n"/>
    </row>
    <row r="15359">
      <c r="C15359" s="18" t="n"/>
      <c r="J15359" s="19" t="n"/>
      <c r="P15359" s="20" t="n"/>
      <c r="Q15359" s="19" t="n"/>
      <c r="R15359" s="19" t="n"/>
      <c r="Y15359" s="19" t="n"/>
    </row>
    <row r="15360">
      <c r="C15360" s="18" t="n"/>
      <c r="J15360" s="19" t="n"/>
      <c r="P15360" s="20" t="n"/>
      <c r="Q15360" s="19" t="n"/>
      <c r="R15360" s="19" t="n"/>
      <c r="Y15360" s="19" t="n"/>
    </row>
    <row r="15361">
      <c r="C15361" s="18" t="n"/>
      <c r="J15361" s="19" t="n"/>
      <c r="P15361" s="20" t="n"/>
      <c r="Q15361" s="19" t="n"/>
      <c r="R15361" s="19" t="n"/>
      <c r="Y15361" s="19" t="n"/>
    </row>
    <row r="15362">
      <c r="C15362" s="18" t="n"/>
      <c r="J15362" s="19" t="n"/>
      <c r="P15362" s="20" t="n"/>
      <c r="Q15362" s="19" t="n"/>
      <c r="R15362" s="19" t="n"/>
      <c r="Y15362" s="19" t="n"/>
    </row>
    <row r="15363">
      <c r="C15363" s="18" t="n"/>
      <c r="J15363" s="19" t="n"/>
      <c r="P15363" s="20" t="n"/>
      <c r="Q15363" s="19" t="n"/>
      <c r="R15363" s="19" t="n"/>
      <c r="Y15363" s="19" t="n"/>
    </row>
    <row r="15364">
      <c r="C15364" s="18" t="n"/>
      <c r="J15364" s="19" t="n"/>
      <c r="P15364" s="20" t="n"/>
      <c r="Q15364" s="19" t="n"/>
      <c r="R15364" s="19" t="n"/>
      <c r="Y15364" s="19" t="n"/>
    </row>
    <row r="15365">
      <c r="C15365" s="18" t="n"/>
      <c r="J15365" s="19" t="n"/>
      <c r="P15365" s="20" t="n"/>
      <c r="Q15365" s="19" t="n"/>
      <c r="R15365" s="19" t="n"/>
      <c r="Y15365" s="19" t="n"/>
    </row>
    <row r="15366">
      <c r="C15366" s="18" t="n"/>
      <c r="J15366" s="19" t="n"/>
      <c r="P15366" s="20" t="n"/>
      <c r="Q15366" s="19" t="n"/>
      <c r="R15366" s="19" t="n"/>
      <c r="Y15366" s="19" t="n"/>
    </row>
    <row r="15367">
      <c r="C15367" s="18" t="n"/>
      <c r="J15367" s="19" t="n"/>
      <c r="P15367" s="20" t="n"/>
      <c r="Q15367" s="19" t="n"/>
      <c r="R15367" s="19" t="n"/>
      <c r="Y15367" s="19" t="n"/>
    </row>
    <row r="15368">
      <c r="C15368" s="18" t="n"/>
      <c r="J15368" s="19" t="n"/>
      <c r="P15368" s="20" t="n"/>
      <c r="Q15368" s="19" t="n"/>
      <c r="R15368" s="19" t="n"/>
      <c r="Y15368" s="19" t="n"/>
    </row>
    <row r="15369">
      <c r="C15369" s="18" t="n"/>
      <c r="J15369" s="19" t="n"/>
      <c r="P15369" s="20" t="n"/>
      <c r="Q15369" s="19" t="n"/>
      <c r="R15369" s="19" t="n"/>
      <c r="Y15369" s="19" t="n"/>
    </row>
    <row r="15370">
      <c r="C15370" s="18" t="n"/>
      <c r="J15370" s="19" t="n"/>
      <c r="P15370" s="20" t="n"/>
      <c r="Q15370" s="19" t="n"/>
      <c r="R15370" s="19" t="n"/>
      <c r="Y15370" s="19" t="n"/>
    </row>
    <row r="15371">
      <c r="C15371" s="18" t="n"/>
      <c r="J15371" s="19" t="n"/>
      <c r="P15371" s="20" t="n"/>
      <c r="Q15371" s="19" t="n"/>
      <c r="R15371" s="19" t="n"/>
      <c r="Y15371" s="19" t="n"/>
    </row>
    <row r="15372">
      <c r="C15372" s="18" t="n"/>
      <c r="J15372" s="19" t="n"/>
      <c r="P15372" s="20" t="n"/>
      <c r="Q15372" s="19" t="n"/>
      <c r="R15372" s="19" t="n"/>
      <c r="Y15372" s="19" t="n"/>
    </row>
    <row r="15373">
      <c r="C15373" s="18" t="n"/>
      <c r="J15373" s="19" t="n"/>
      <c r="P15373" s="20" t="n"/>
      <c r="Q15373" s="19" t="n"/>
      <c r="R15373" s="19" t="n"/>
      <c r="Y15373" s="19" t="n"/>
    </row>
    <row r="15374">
      <c r="C15374" s="18" t="n"/>
      <c r="J15374" s="19" t="n"/>
      <c r="P15374" s="20" t="n"/>
      <c r="Q15374" s="19" t="n"/>
      <c r="R15374" s="19" t="n"/>
      <c r="Y15374" s="19" t="n"/>
    </row>
    <row r="15375">
      <c r="C15375" s="18" t="n"/>
      <c r="J15375" s="19" t="n"/>
      <c r="P15375" s="20" t="n"/>
      <c r="Q15375" s="19" t="n"/>
      <c r="R15375" s="19" t="n"/>
      <c r="Y15375" s="19" t="n"/>
    </row>
    <row r="15376">
      <c r="C15376" s="18" t="n"/>
      <c r="J15376" s="19" t="n"/>
      <c r="P15376" s="20" t="n"/>
      <c r="Q15376" s="19" t="n"/>
      <c r="R15376" s="19" t="n"/>
      <c r="Y15376" s="19" t="n"/>
    </row>
    <row r="15377">
      <c r="C15377" s="18" t="n"/>
      <c r="J15377" s="19" t="n"/>
      <c r="P15377" s="20" t="n"/>
      <c r="Q15377" s="19" t="n"/>
      <c r="R15377" s="19" t="n"/>
      <c r="Y15377" s="19" t="n"/>
    </row>
    <row r="15378">
      <c r="C15378" s="18" t="n"/>
      <c r="J15378" s="19" t="n"/>
      <c r="P15378" s="20" t="n"/>
      <c r="Q15378" s="19" t="n"/>
      <c r="R15378" s="19" t="n"/>
      <c r="Y15378" s="19" t="n"/>
    </row>
    <row r="15379">
      <c r="C15379" s="18" t="n"/>
      <c r="J15379" s="19" t="n"/>
      <c r="P15379" s="20" t="n"/>
      <c r="Q15379" s="19" t="n"/>
      <c r="R15379" s="19" t="n"/>
      <c r="Y15379" s="19" t="n"/>
    </row>
    <row r="15380">
      <c r="C15380" s="18" t="n"/>
      <c r="J15380" s="19" t="n"/>
      <c r="P15380" s="20" t="n"/>
      <c r="Q15380" s="19" t="n"/>
      <c r="R15380" s="19" t="n"/>
      <c r="Y15380" s="19" t="n"/>
    </row>
    <row r="15381">
      <c r="C15381" s="18" t="n"/>
      <c r="J15381" s="19" t="n"/>
      <c r="P15381" s="20" t="n"/>
      <c r="Q15381" s="19" t="n"/>
      <c r="R15381" s="19" t="n"/>
      <c r="Y15381" s="19" t="n"/>
    </row>
    <row r="15382">
      <c r="C15382" s="18" t="n"/>
      <c r="J15382" s="19" t="n"/>
      <c r="P15382" s="20" t="n"/>
      <c r="Q15382" s="19" t="n"/>
      <c r="R15382" s="19" t="n"/>
      <c r="Y15382" s="19" t="n"/>
    </row>
    <row r="15383">
      <c r="C15383" s="18" t="n"/>
      <c r="J15383" s="19" t="n"/>
      <c r="P15383" s="20" t="n"/>
      <c r="Q15383" s="19" t="n"/>
      <c r="R15383" s="19" t="n"/>
      <c r="Y15383" s="19" t="n"/>
    </row>
    <row r="15384">
      <c r="C15384" s="18" t="n"/>
      <c r="J15384" s="19" t="n"/>
      <c r="P15384" s="20" t="n"/>
      <c r="Q15384" s="19" t="n"/>
      <c r="R15384" s="19" t="n"/>
      <c r="Y15384" s="19" t="n"/>
    </row>
    <row r="15385">
      <c r="C15385" s="18" t="n"/>
      <c r="J15385" s="19" t="n"/>
      <c r="P15385" s="20" t="n"/>
      <c r="Q15385" s="19" t="n"/>
      <c r="R15385" s="19" t="n"/>
      <c r="Y15385" s="19" t="n"/>
    </row>
    <row r="15386">
      <c r="C15386" s="18" t="n"/>
      <c r="J15386" s="19" t="n"/>
      <c r="P15386" s="20" t="n"/>
      <c r="Q15386" s="19" t="n"/>
      <c r="R15386" s="19" t="n"/>
      <c r="Y15386" s="19" t="n"/>
    </row>
    <row r="15387">
      <c r="C15387" s="18" t="n"/>
      <c r="J15387" s="19" t="n"/>
      <c r="P15387" s="20" t="n"/>
      <c r="Q15387" s="19" t="n"/>
      <c r="R15387" s="19" t="n"/>
      <c r="Y15387" s="19" t="n"/>
    </row>
    <row r="15388">
      <c r="C15388" s="18" t="n"/>
      <c r="J15388" s="19" t="n"/>
      <c r="P15388" s="20" t="n"/>
      <c r="Q15388" s="19" t="n"/>
      <c r="R15388" s="19" t="n"/>
      <c r="Y15388" s="19" t="n"/>
    </row>
    <row r="15389">
      <c r="C15389" s="18" t="n"/>
      <c r="J15389" s="19" t="n"/>
      <c r="P15389" s="20" t="n"/>
      <c r="Q15389" s="19" t="n"/>
      <c r="R15389" s="19" t="n"/>
      <c r="Y15389" s="19" t="n"/>
    </row>
    <row r="15390">
      <c r="C15390" s="18" t="n"/>
      <c r="J15390" s="19" t="n"/>
      <c r="P15390" s="20" t="n"/>
      <c r="Q15390" s="19" t="n"/>
      <c r="R15390" s="19" t="n"/>
      <c r="Y15390" s="19" t="n"/>
    </row>
    <row r="15391">
      <c r="C15391" s="18" t="n"/>
      <c r="J15391" s="19" t="n"/>
      <c r="P15391" s="20" t="n"/>
      <c r="Q15391" s="19" t="n"/>
      <c r="R15391" s="19" t="n"/>
      <c r="Y15391" s="19" t="n"/>
    </row>
    <row r="15392">
      <c r="C15392" s="18" t="n"/>
      <c r="J15392" s="19" t="n"/>
      <c r="P15392" s="20" t="n"/>
      <c r="Q15392" s="19" t="n"/>
      <c r="R15392" s="19" t="n"/>
      <c r="Y15392" s="19" t="n"/>
    </row>
    <row r="15393">
      <c r="C15393" s="18" t="n"/>
      <c r="J15393" s="19" t="n"/>
      <c r="P15393" s="20" t="n"/>
      <c r="Q15393" s="19" t="n"/>
      <c r="R15393" s="19" t="n"/>
      <c r="Y15393" s="19" t="n"/>
    </row>
    <row r="15394">
      <c r="C15394" s="18" t="n"/>
      <c r="J15394" s="19" t="n"/>
      <c r="P15394" s="20" t="n"/>
      <c r="Q15394" s="19" t="n"/>
      <c r="R15394" s="19" t="n"/>
      <c r="Y15394" s="19" t="n"/>
    </row>
    <row r="15395">
      <c r="C15395" s="18" t="n"/>
      <c r="J15395" s="19" t="n"/>
      <c r="P15395" s="20" t="n"/>
      <c r="Q15395" s="19" t="n"/>
      <c r="R15395" s="19" t="n"/>
      <c r="Y15395" s="19" t="n"/>
    </row>
    <row r="15396">
      <c r="C15396" s="18" t="n"/>
      <c r="J15396" s="19" t="n"/>
      <c r="P15396" s="20" t="n"/>
      <c r="Q15396" s="19" t="n"/>
      <c r="R15396" s="19" t="n"/>
      <c r="Y15396" s="19" t="n"/>
    </row>
    <row r="15397">
      <c r="C15397" s="18" t="n"/>
      <c r="J15397" s="19" t="n"/>
      <c r="P15397" s="20" t="n"/>
      <c r="Q15397" s="19" t="n"/>
      <c r="R15397" s="19" t="n"/>
      <c r="Y15397" s="19" t="n"/>
    </row>
    <row r="15398">
      <c r="C15398" s="18" t="n"/>
      <c r="J15398" s="19" t="n"/>
      <c r="P15398" s="20" t="n"/>
      <c r="Q15398" s="19" t="n"/>
      <c r="R15398" s="19" t="n"/>
      <c r="Y15398" s="19" t="n"/>
    </row>
    <row r="15399">
      <c r="C15399" s="18" t="n"/>
      <c r="J15399" s="19" t="n"/>
      <c r="P15399" s="20" t="n"/>
      <c r="Q15399" s="19" t="n"/>
      <c r="R15399" s="19" t="n"/>
      <c r="Y15399" s="19" t="n"/>
    </row>
    <row r="15400">
      <c r="C15400" s="18" t="n"/>
      <c r="J15400" s="19" t="n"/>
      <c r="P15400" s="20" t="n"/>
      <c r="Q15400" s="19" t="n"/>
      <c r="R15400" s="19" t="n"/>
      <c r="Y15400" s="19" t="n"/>
    </row>
    <row r="15401">
      <c r="C15401" s="18" t="n"/>
      <c r="J15401" s="19" t="n"/>
      <c r="P15401" s="20" t="n"/>
      <c r="Q15401" s="19" t="n"/>
      <c r="R15401" s="19" t="n"/>
      <c r="Y15401" s="19" t="n"/>
    </row>
    <row r="15402">
      <c r="C15402" s="18" t="n"/>
      <c r="J15402" s="19" t="n"/>
      <c r="P15402" s="20" t="n"/>
      <c r="Q15402" s="19" t="n"/>
      <c r="R15402" s="19" t="n"/>
      <c r="Y15402" s="19" t="n"/>
    </row>
    <row r="15403">
      <c r="C15403" s="18" t="n"/>
      <c r="J15403" s="19" t="n"/>
      <c r="P15403" s="20" t="n"/>
      <c r="Q15403" s="19" t="n"/>
      <c r="R15403" s="19" t="n"/>
      <c r="Y15403" s="19" t="n"/>
    </row>
    <row r="15404">
      <c r="C15404" s="18" t="n"/>
      <c r="J15404" s="19" t="n"/>
      <c r="P15404" s="20" t="n"/>
      <c r="Q15404" s="19" t="n"/>
      <c r="R15404" s="19" t="n"/>
      <c r="Y15404" s="19" t="n"/>
    </row>
    <row r="15405">
      <c r="C15405" s="18" t="n"/>
      <c r="J15405" s="19" t="n"/>
      <c r="P15405" s="20" t="n"/>
      <c r="Q15405" s="19" t="n"/>
      <c r="R15405" s="19" t="n"/>
      <c r="Y15405" s="19" t="n"/>
    </row>
    <row r="15406">
      <c r="C15406" s="18" t="n"/>
      <c r="J15406" s="19" t="n"/>
      <c r="P15406" s="20" t="n"/>
      <c r="Q15406" s="19" t="n"/>
      <c r="R15406" s="19" t="n"/>
      <c r="Y15406" s="19" t="n"/>
    </row>
    <row r="15407">
      <c r="C15407" s="18" t="n"/>
      <c r="J15407" s="19" t="n"/>
      <c r="P15407" s="20" t="n"/>
      <c r="Q15407" s="19" t="n"/>
      <c r="R15407" s="19" t="n"/>
      <c r="Y15407" s="19" t="n"/>
    </row>
    <row r="15408">
      <c r="C15408" s="18" t="n"/>
      <c r="J15408" s="19" t="n"/>
      <c r="P15408" s="20" t="n"/>
      <c r="Q15408" s="19" t="n"/>
      <c r="R15408" s="19" t="n"/>
      <c r="Y15408" s="19" t="n"/>
    </row>
    <row r="15409">
      <c r="C15409" s="18" t="n"/>
      <c r="J15409" s="19" t="n"/>
      <c r="P15409" s="20" t="n"/>
      <c r="Q15409" s="19" t="n"/>
      <c r="R15409" s="19" t="n"/>
      <c r="Y15409" s="19" t="n"/>
    </row>
    <row r="15410">
      <c r="C15410" s="18" t="n"/>
      <c r="J15410" s="19" t="n"/>
      <c r="P15410" s="20" t="n"/>
      <c r="Q15410" s="19" t="n"/>
      <c r="R15410" s="19" t="n"/>
      <c r="Y15410" s="19" t="n"/>
    </row>
    <row r="15411">
      <c r="C15411" s="18" t="n"/>
      <c r="J15411" s="19" t="n"/>
      <c r="P15411" s="20" t="n"/>
      <c r="Q15411" s="19" t="n"/>
      <c r="R15411" s="19" t="n"/>
      <c r="Y15411" s="19" t="n"/>
    </row>
    <row r="15412">
      <c r="C15412" s="18" t="n"/>
      <c r="J15412" s="19" t="n"/>
      <c r="P15412" s="20" t="n"/>
      <c r="Q15412" s="19" t="n"/>
      <c r="R15412" s="19" t="n"/>
      <c r="Y15412" s="19" t="n"/>
    </row>
    <row r="15413">
      <c r="C15413" s="18" t="n"/>
      <c r="J15413" s="19" t="n"/>
      <c r="P15413" s="20" t="n"/>
      <c r="Q15413" s="19" t="n"/>
      <c r="R15413" s="19" t="n"/>
      <c r="Y15413" s="19" t="n"/>
    </row>
    <row r="15414">
      <c r="C15414" s="18" t="n"/>
      <c r="J15414" s="19" t="n"/>
      <c r="P15414" s="20" t="n"/>
      <c r="Q15414" s="19" t="n"/>
      <c r="R15414" s="19" t="n"/>
      <c r="Y15414" s="19" t="n"/>
    </row>
    <row r="15415">
      <c r="C15415" s="18" t="n"/>
      <c r="J15415" s="19" t="n"/>
      <c r="P15415" s="20" t="n"/>
      <c r="Q15415" s="19" t="n"/>
      <c r="R15415" s="19" t="n"/>
      <c r="Y15415" s="19" t="n"/>
    </row>
    <row r="15416">
      <c r="C15416" s="18" t="n"/>
      <c r="J15416" s="19" t="n"/>
      <c r="P15416" s="20" t="n"/>
      <c r="Q15416" s="19" t="n"/>
      <c r="R15416" s="19" t="n"/>
      <c r="Y15416" s="19" t="n"/>
    </row>
    <row r="15417">
      <c r="C15417" s="18" t="n"/>
      <c r="J15417" s="19" t="n"/>
      <c r="P15417" s="20" t="n"/>
      <c r="Q15417" s="19" t="n"/>
      <c r="R15417" s="19" t="n"/>
      <c r="Y15417" s="19" t="n"/>
    </row>
    <row r="15418">
      <c r="C15418" s="18" t="n"/>
      <c r="J15418" s="19" t="n"/>
      <c r="P15418" s="20" t="n"/>
      <c r="Q15418" s="19" t="n"/>
      <c r="R15418" s="19" t="n"/>
      <c r="Y15418" s="19" t="n"/>
    </row>
    <row r="15419">
      <c r="C15419" s="18" t="n"/>
      <c r="J15419" s="19" t="n"/>
      <c r="P15419" s="20" t="n"/>
      <c r="Q15419" s="19" t="n"/>
      <c r="R15419" s="19" t="n"/>
      <c r="Y15419" s="19" t="n"/>
    </row>
    <row r="15420">
      <c r="C15420" s="18" t="n"/>
      <c r="J15420" s="19" t="n"/>
      <c r="P15420" s="20" t="n"/>
      <c r="Q15420" s="19" t="n"/>
      <c r="R15420" s="19" t="n"/>
      <c r="Y15420" s="19" t="n"/>
    </row>
    <row r="15421">
      <c r="C15421" s="18" t="n"/>
      <c r="J15421" s="19" t="n"/>
      <c r="P15421" s="20" t="n"/>
      <c r="Q15421" s="19" t="n"/>
      <c r="R15421" s="19" t="n"/>
      <c r="Y15421" s="19" t="n"/>
    </row>
    <row r="15422">
      <c r="C15422" s="18" t="n"/>
      <c r="J15422" s="19" t="n"/>
      <c r="P15422" s="20" t="n"/>
      <c r="Q15422" s="19" t="n"/>
      <c r="R15422" s="19" t="n"/>
      <c r="Y15422" s="19" t="n"/>
    </row>
    <row r="15423">
      <c r="C15423" s="18" t="n"/>
      <c r="J15423" s="19" t="n"/>
      <c r="P15423" s="20" t="n"/>
      <c r="Q15423" s="19" t="n"/>
      <c r="R15423" s="19" t="n"/>
      <c r="Y15423" s="19" t="n"/>
    </row>
    <row r="15424">
      <c r="C15424" s="18" t="n"/>
      <c r="J15424" s="19" t="n"/>
      <c r="P15424" s="20" t="n"/>
      <c r="Q15424" s="19" t="n"/>
      <c r="R15424" s="19" t="n"/>
      <c r="Y15424" s="19" t="n"/>
    </row>
    <row r="15425">
      <c r="C15425" s="18" t="n"/>
      <c r="J15425" s="19" t="n"/>
      <c r="P15425" s="20" t="n"/>
      <c r="Q15425" s="19" t="n"/>
      <c r="R15425" s="19" t="n"/>
      <c r="Y15425" s="19" t="n"/>
    </row>
    <row r="15426">
      <c r="C15426" s="18" t="n"/>
      <c r="J15426" s="19" t="n"/>
      <c r="P15426" s="20" t="n"/>
      <c r="Q15426" s="19" t="n"/>
      <c r="R15426" s="19" t="n"/>
      <c r="Y15426" s="19" t="n"/>
    </row>
    <row r="15427">
      <c r="C15427" s="18" t="n"/>
      <c r="J15427" s="19" t="n"/>
      <c r="P15427" s="20" t="n"/>
      <c r="Q15427" s="19" t="n"/>
      <c r="R15427" s="19" t="n"/>
      <c r="Y15427" s="19" t="n"/>
    </row>
    <row r="15428">
      <c r="C15428" s="18" t="n"/>
      <c r="J15428" s="19" t="n"/>
      <c r="P15428" s="20" t="n"/>
      <c r="Q15428" s="19" t="n"/>
      <c r="R15428" s="19" t="n"/>
      <c r="Y15428" s="19" t="n"/>
    </row>
    <row r="15429">
      <c r="C15429" s="18" t="n"/>
      <c r="J15429" s="19" t="n"/>
      <c r="P15429" s="20" t="n"/>
      <c r="Q15429" s="19" t="n"/>
      <c r="R15429" s="19" t="n"/>
      <c r="Y15429" s="19" t="n"/>
    </row>
    <row r="15430">
      <c r="C15430" s="18" t="n"/>
      <c r="J15430" s="19" t="n"/>
      <c r="P15430" s="20" t="n"/>
      <c r="Q15430" s="19" t="n"/>
      <c r="R15430" s="19" t="n"/>
      <c r="Y15430" s="19" t="n"/>
    </row>
    <row r="15431">
      <c r="C15431" s="18" t="n"/>
      <c r="J15431" s="19" t="n"/>
      <c r="P15431" s="20" t="n"/>
      <c r="Q15431" s="19" t="n"/>
      <c r="R15431" s="19" t="n"/>
      <c r="Y15431" s="19" t="n"/>
    </row>
    <row r="15432">
      <c r="C15432" s="18" t="n"/>
      <c r="J15432" s="19" t="n"/>
      <c r="P15432" s="20" t="n"/>
      <c r="Q15432" s="19" t="n"/>
      <c r="R15432" s="19" t="n"/>
      <c r="Y15432" s="19" t="n"/>
    </row>
    <row r="15433">
      <c r="C15433" s="18" t="n"/>
      <c r="J15433" s="19" t="n"/>
      <c r="P15433" s="20" t="n"/>
      <c r="Q15433" s="19" t="n"/>
      <c r="R15433" s="19" t="n"/>
      <c r="Y15433" s="19" t="n"/>
    </row>
    <row r="15434">
      <c r="C15434" s="18" t="n"/>
      <c r="J15434" s="19" t="n"/>
      <c r="P15434" s="20" t="n"/>
      <c r="Q15434" s="19" t="n"/>
      <c r="R15434" s="19" t="n"/>
      <c r="Y15434" s="19" t="n"/>
    </row>
    <row r="15435">
      <c r="C15435" s="18" t="n"/>
      <c r="J15435" s="19" t="n"/>
      <c r="P15435" s="20" t="n"/>
      <c r="Q15435" s="19" t="n"/>
      <c r="R15435" s="19" t="n"/>
      <c r="Y15435" s="19" t="n"/>
    </row>
    <row r="15436">
      <c r="C15436" s="18" t="n"/>
      <c r="J15436" s="19" t="n"/>
      <c r="P15436" s="20" t="n"/>
      <c r="Q15436" s="19" t="n"/>
      <c r="R15436" s="19" t="n"/>
      <c r="Y15436" s="19" t="n"/>
    </row>
    <row r="15437">
      <c r="C15437" s="18" t="n"/>
      <c r="J15437" s="19" t="n"/>
      <c r="P15437" s="20" t="n"/>
      <c r="Q15437" s="19" t="n"/>
      <c r="R15437" s="19" t="n"/>
      <c r="Y15437" s="19" t="n"/>
    </row>
    <row r="15438">
      <c r="C15438" s="18" t="n"/>
      <c r="J15438" s="19" t="n"/>
      <c r="P15438" s="20" t="n"/>
      <c r="Q15438" s="19" t="n"/>
      <c r="R15438" s="19" t="n"/>
      <c r="Y15438" s="19" t="n"/>
    </row>
    <row r="15439">
      <c r="C15439" s="18" t="n"/>
      <c r="J15439" s="19" t="n"/>
      <c r="P15439" s="20" t="n"/>
      <c r="Q15439" s="19" t="n"/>
      <c r="R15439" s="19" t="n"/>
      <c r="Y15439" s="19" t="n"/>
    </row>
    <row r="15440">
      <c r="C15440" s="18" t="n"/>
      <c r="J15440" s="19" t="n"/>
      <c r="P15440" s="20" t="n"/>
      <c r="Q15440" s="19" t="n"/>
      <c r="R15440" s="19" t="n"/>
      <c r="Y15440" s="19" t="n"/>
    </row>
    <row r="15441">
      <c r="C15441" s="18" t="n"/>
      <c r="J15441" s="19" t="n"/>
      <c r="P15441" s="20" t="n"/>
      <c r="Q15441" s="19" t="n"/>
      <c r="R15441" s="19" t="n"/>
      <c r="Y15441" s="19" t="n"/>
    </row>
    <row r="15442">
      <c r="C15442" s="18" t="n"/>
      <c r="J15442" s="19" t="n"/>
      <c r="P15442" s="20" t="n"/>
      <c r="Q15442" s="19" t="n"/>
      <c r="R15442" s="19" t="n"/>
      <c r="Y15442" s="19" t="n"/>
    </row>
    <row r="15443">
      <c r="C15443" s="18" t="n"/>
      <c r="J15443" s="19" t="n"/>
      <c r="P15443" s="20" t="n"/>
      <c r="Q15443" s="19" t="n"/>
      <c r="R15443" s="19" t="n"/>
      <c r="Y15443" s="19" t="n"/>
    </row>
    <row r="15444">
      <c r="C15444" s="18" t="n"/>
      <c r="J15444" s="19" t="n"/>
      <c r="P15444" s="20" t="n"/>
      <c r="Q15444" s="19" t="n"/>
      <c r="R15444" s="19" t="n"/>
      <c r="Y15444" s="19" t="n"/>
    </row>
    <row r="15445">
      <c r="C15445" s="18" t="n"/>
      <c r="J15445" s="19" t="n"/>
      <c r="P15445" s="20" t="n"/>
      <c r="Q15445" s="19" t="n"/>
      <c r="R15445" s="19" t="n"/>
      <c r="Y15445" s="19" t="n"/>
    </row>
    <row r="15446">
      <c r="C15446" s="18" t="n"/>
      <c r="J15446" s="19" t="n"/>
      <c r="P15446" s="20" t="n"/>
      <c r="Q15446" s="19" t="n"/>
      <c r="R15446" s="19" t="n"/>
      <c r="Y15446" s="19" t="n"/>
    </row>
    <row r="15447">
      <c r="C15447" s="18" t="n"/>
      <c r="J15447" s="19" t="n"/>
      <c r="P15447" s="20" t="n"/>
      <c r="Q15447" s="19" t="n"/>
      <c r="R15447" s="19" t="n"/>
      <c r="Y15447" s="19" t="n"/>
    </row>
    <row r="15448">
      <c r="C15448" s="18" t="n"/>
      <c r="J15448" s="19" t="n"/>
      <c r="P15448" s="20" t="n"/>
      <c r="Q15448" s="19" t="n"/>
      <c r="R15448" s="19" t="n"/>
      <c r="Y15448" s="19" t="n"/>
    </row>
    <row r="15449">
      <c r="C15449" s="18" t="n"/>
      <c r="J15449" s="19" t="n"/>
      <c r="P15449" s="20" t="n"/>
      <c r="Q15449" s="19" t="n"/>
      <c r="R15449" s="19" t="n"/>
      <c r="Y15449" s="19" t="n"/>
    </row>
    <row r="15450">
      <c r="C15450" s="18" t="n"/>
      <c r="J15450" s="19" t="n"/>
      <c r="P15450" s="20" t="n"/>
      <c r="Q15450" s="19" t="n"/>
      <c r="R15450" s="19" t="n"/>
      <c r="Y15450" s="19" t="n"/>
    </row>
    <row r="15451">
      <c r="C15451" s="18" t="n"/>
      <c r="J15451" s="19" t="n"/>
      <c r="P15451" s="20" t="n"/>
      <c r="Q15451" s="19" t="n"/>
      <c r="R15451" s="19" t="n"/>
      <c r="Y15451" s="19" t="n"/>
    </row>
    <row r="15452">
      <c r="C15452" s="18" t="n"/>
      <c r="J15452" s="19" t="n"/>
      <c r="P15452" s="20" t="n"/>
      <c r="Q15452" s="19" t="n"/>
      <c r="R15452" s="19" t="n"/>
      <c r="Y15452" s="19" t="n"/>
    </row>
    <row r="15453">
      <c r="C15453" s="18" t="n"/>
      <c r="J15453" s="19" t="n"/>
      <c r="P15453" s="20" t="n"/>
      <c r="Q15453" s="19" t="n"/>
      <c r="R15453" s="19" t="n"/>
      <c r="Y15453" s="19" t="n"/>
    </row>
    <row r="15454">
      <c r="C15454" s="18" t="n"/>
      <c r="J15454" s="19" t="n"/>
      <c r="P15454" s="20" t="n"/>
      <c r="Q15454" s="19" t="n"/>
      <c r="R15454" s="19" t="n"/>
      <c r="Y15454" s="19" t="n"/>
    </row>
    <row r="15455">
      <c r="C15455" s="18" t="n"/>
      <c r="J15455" s="19" t="n"/>
      <c r="P15455" s="20" t="n"/>
      <c r="Q15455" s="19" t="n"/>
      <c r="R15455" s="19" t="n"/>
      <c r="Y15455" s="19" t="n"/>
    </row>
    <row r="15456">
      <c r="C15456" s="18" t="n"/>
      <c r="J15456" s="19" t="n"/>
      <c r="P15456" s="20" t="n"/>
      <c r="Q15456" s="19" t="n"/>
      <c r="R15456" s="19" t="n"/>
      <c r="Y15456" s="19" t="n"/>
    </row>
    <row r="15457">
      <c r="C15457" s="18" t="n"/>
      <c r="J15457" s="19" t="n"/>
      <c r="P15457" s="20" t="n"/>
      <c r="Q15457" s="19" t="n"/>
      <c r="R15457" s="19" t="n"/>
      <c r="Y15457" s="19" t="n"/>
    </row>
    <row r="15458">
      <c r="C15458" s="18" t="n"/>
      <c r="J15458" s="19" t="n"/>
      <c r="P15458" s="20" t="n"/>
      <c r="Q15458" s="19" t="n"/>
      <c r="R15458" s="19" t="n"/>
      <c r="Y15458" s="19" t="n"/>
    </row>
    <row r="15459">
      <c r="C15459" s="18" t="n"/>
      <c r="J15459" s="19" t="n"/>
      <c r="P15459" s="20" t="n"/>
      <c r="Q15459" s="19" t="n"/>
      <c r="R15459" s="19" t="n"/>
      <c r="Y15459" s="19" t="n"/>
    </row>
    <row r="15460">
      <c r="C15460" s="18" t="n"/>
      <c r="J15460" s="19" t="n"/>
      <c r="P15460" s="20" t="n"/>
      <c r="Q15460" s="19" t="n"/>
      <c r="R15460" s="19" t="n"/>
      <c r="Y15460" s="19" t="n"/>
    </row>
    <row r="15461">
      <c r="C15461" s="18" t="n"/>
      <c r="J15461" s="19" t="n"/>
      <c r="P15461" s="20" t="n"/>
      <c r="Q15461" s="19" t="n"/>
      <c r="R15461" s="19" t="n"/>
      <c r="Y15461" s="19" t="n"/>
    </row>
    <row r="15462">
      <c r="C15462" s="18" t="n"/>
      <c r="J15462" s="19" t="n"/>
      <c r="P15462" s="20" t="n"/>
      <c r="Q15462" s="19" t="n"/>
      <c r="R15462" s="19" t="n"/>
      <c r="Y15462" s="19" t="n"/>
    </row>
    <row r="15463">
      <c r="C15463" s="18" t="n"/>
      <c r="J15463" s="19" t="n"/>
      <c r="P15463" s="20" t="n"/>
      <c r="Q15463" s="19" t="n"/>
      <c r="R15463" s="19" t="n"/>
      <c r="Y15463" s="19" t="n"/>
    </row>
    <row r="15464">
      <c r="C15464" s="18" t="n"/>
      <c r="J15464" s="19" t="n"/>
      <c r="P15464" s="20" t="n"/>
      <c r="Q15464" s="19" t="n"/>
      <c r="R15464" s="19" t="n"/>
      <c r="Y15464" s="19" t="n"/>
    </row>
    <row r="15465">
      <c r="C15465" s="18" t="n"/>
      <c r="J15465" s="19" t="n"/>
      <c r="P15465" s="20" t="n"/>
      <c r="Q15465" s="19" t="n"/>
      <c r="R15465" s="19" t="n"/>
      <c r="Y15465" s="19" t="n"/>
    </row>
    <row r="15466">
      <c r="C15466" s="18" t="n"/>
      <c r="J15466" s="19" t="n"/>
      <c r="P15466" s="20" t="n"/>
      <c r="Q15466" s="19" t="n"/>
      <c r="R15466" s="19" t="n"/>
      <c r="Y15466" s="19" t="n"/>
    </row>
    <row r="15467">
      <c r="C15467" s="18" t="n"/>
      <c r="J15467" s="19" t="n"/>
      <c r="P15467" s="20" t="n"/>
      <c r="Q15467" s="19" t="n"/>
      <c r="R15467" s="19" t="n"/>
      <c r="Y15467" s="19" t="n"/>
    </row>
    <row r="15468">
      <c r="C15468" s="18" t="n"/>
      <c r="J15468" s="19" t="n"/>
      <c r="P15468" s="20" t="n"/>
      <c r="Q15468" s="19" t="n"/>
      <c r="R15468" s="19" t="n"/>
      <c r="Y15468" s="19" t="n"/>
    </row>
    <row r="15469">
      <c r="C15469" s="18" t="n"/>
      <c r="J15469" s="19" t="n"/>
      <c r="P15469" s="20" t="n"/>
      <c r="Q15469" s="19" t="n"/>
      <c r="R15469" s="19" t="n"/>
      <c r="Y15469" s="19" t="n"/>
    </row>
    <row r="15470">
      <c r="C15470" s="18" t="n"/>
      <c r="J15470" s="19" t="n"/>
      <c r="P15470" s="20" t="n"/>
      <c r="Q15470" s="19" t="n"/>
      <c r="R15470" s="19" t="n"/>
      <c r="Y15470" s="19" t="n"/>
    </row>
    <row r="15471">
      <c r="C15471" s="18" t="n"/>
      <c r="J15471" s="19" t="n"/>
      <c r="P15471" s="20" t="n"/>
      <c r="Q15471" s="19" t="n"/>
      <c r="R15471" s="19" t="n"/>
      <c r="Y15471" s="19" t="n"/>
    </row>
    <row r="15472">
      <c r="C15472" s="18" t="n"/>
      <c r="J15472" s="19" t="n"/>
      <c r="P15472" s="20" t="n"/>
      <c r="Q15472" s="19" t="n"/>
      <c r="R15472" s="19" t="n"/>
      <c r="Y15472" s="19" t="n"/>
    </row>
    <row r="15473">
      <c r="C15473" s="18" t="n"/>
      <c r="J15473" s="19" t="n"/>
      <c r="P15473" s="20" t="n"/>
      <c r="Q15473" s="19" t="n"/>
      <c r="R15473" s="19" t="n"/>
      <c r="Y15473" s="19" t="n"/>
    </row>
    <row r="15474">
      <c r="C15474" s="18" t="n"/>
      <c r="J15474" s="19" t="n"/>
      <c r="P15474" s="20" t="n"/>
      <c r="Q15474" s="19" t="n"/>
      <c r="R15474" s="19" t="n"/>
      <c r="Y15474" s="19" t="n"/>
    </row>
    <row r="15475">
      <c r="C15475" s="18" t="n"/>
      <c r="J15475" s="19" t="n"/>
      <c r="P15475" s="20" t="n"/>
      <c r="Q15475" s="19" t="n"/>
      <c r="R15475" s="19" t="n"/>
      <c r="Y15475" s="19" t="n"/>
    </row>
    <row r="15476">
      <c r="C15476" s="18" t="n"/>
      <c r="J15476" s="19" t="n"/>
      <c r="P15476" s="20" t="n"/>
      <c r="Q15476" s="19" t="n"/>
      <c r="R15476" s="19" t="n"/>
      <c r="Y15476" s="19" t="n"/>
    </row>
    <row r="15477">
      <c r="C15477" s="18" t="n"/>
      <c r="J15477" s="19" t="n"/>
      <c r="P15477" s="20" t="n"/>
      <c r="Q15477" s="19" t="n"/>
      <c r="R15477" s="19" t="n"/>
      <c r="Y15477" s="19" t="n"/>
    </row>
    <row r="15478">
      <c r="C15478" s="18" t="n"/>
      <c r="J15478" s="19" t="n"/>
      <c r="P15478" s="20" t="n"/>
      <c r="Q15478" s="19" t="n"/>
      <c r="R15478" s="19" t="n"/>
      <c r="Y15478" s="19" t="n"/>
    </row>
    <row r="15479">
      <c r="C15479" s="18" t="n"/>
      <c r="J15479" s="19" t="n"/>
      <c r="P15479" s="20" t="n"/>
      <c r="Q15479" s="19" t="n"/>
      <c r="R15479" s="19" t="n"/>
      <c r="Y15479" s="19" t="n"/>
    </row>
    <row r="15480">
      <c r="C15480" s="18" t="n"/>
      <c r="J15480" s="19" t="n"/>
      <c r="P15480" s="20" t="n"/>
      <c r="Q15480" s="19" t="n"/>
      <c r="R15480" s="19" t="n"/>
      <c r="Y15480" s="19" t="n"/>
    </row>
    <row r="15481">
      <c r="C15481" s="18" t="n"/>
      <c r="J15481" s="19" t="n"/>
      <c r="P15481" s="20" t="n"/>
      <c r="Q15481" s="19" t="n"/>
      <c r="R15481" s="19" t="n"/>
      <c r="Y15481" s="19" t="n"/>
    </row>
    <row r="15482">
      <c r="C15482" s="18" t="n"/>
      <c r="J15482" s="19" t="n"/>
      <c r="P15482" s="20" t="n"/>
      <c r="Q15482" s="19" t="n"/>
      <c r="R15482" s="19" t="n"/>
      <c r="Y15482" s="19" t="n"/>
    </row>
    <row r="15483">
      <c r="C15483" s="18" t="n"/>
      <c r="J15483" s="19" t="n"/>
      <c r="P15483" s="20" t="n"/>
      <c r="Q15483" s="19" t="n"/>
      <c r="R15483" s="19" t="n"/>
      <c r="Y15483" s="19" t="n"/>
    </row>
    <row r="15484">
      <c r="C15484" s="18" t="n"/>
      <c r="J15484" s="19" t="n"/>
      <c r="P15484" s="20" t="n"/>
      <c r="Q15484" s="19" t="n"/>
      <c r="R15484" s="19" t="n"/>
      <c r="Y15484" s="19" t="n"/>
    </row>
    <row r="15485">
      <c r="C15485" s="18" t="n"/>
      <c r="J15485" s="19" t="n"/>
      <c r="P15485" s="20" t="n"/>
      <c r="Q15485" s="19" t="n"/>
      <c r="R15485" s="19" t="n"/>
      <c r="Y15485" s="19" t="n"/>
    </row>
    <row r="15486">
      <c r="C15486" s="18" t="n"/>
      <c r="J15486" s="19" t="n"/>
      <c r="P15486" s="20" t="n"/>
      <c r="Q15486" s="19" t="n"/>
      <c r="R15486" s="19" t="n"/>
      <c r="Y15486" s="19" t="n"/>
    </row>
    <row r="15487">
      <c r="C15487" s="18" t="n"/>
      <c r="J15487" s="19" t="n"/>
      <c r="P15487" s="20" t="n"/>
      <c r="Q15487" s="19" t="n"/>
      <c r="R15487" s="19" t="n"/>
      <c r="Y15487" s="19" t="n"/>
    </row>
    <row r="15488">
      <c r="C15488" s="18" t="n"/>
      <c r="J15488" s="19" t="n"/>
      <c r="P15488" s="20" t="n"/>
      <c r="Q15488" s="19" t="n"/>
      <c r="R15488" s="19" t="n"/>
      <c r="Y15488" s="19" t="n"/>
    </row>
    <row r="15489">
      <c r="C15489" s="18" t="n"/>
      <c r="J15489" s="19" t="n"/>
      <c r="P15489" s="20" t="n"/>
      <c r="Q15489" s="19" t="n"/>
      <c r="R15489" s="19" t="n"/>
      <c r="Y15489" s="19" t="n"/>
    </row>
    <row r="15490">
      <c r="C15490" s="18" t="n"/>
      <c r="J15490" s="19" t="n"/>
      <c r="P15490" s="20" t="n"/>
      <c r="Q15490" s="19" t="n"/>
      <c r="R15490" s="19" t="n"/>
      <c r="Y15490" s="19" t="n"/>
    </row>
    <row r="15491">
      <c r="C15491" s="18" t="n"/>
      <c r="J15491" s="19" t="n"/>
      <c r="P15491" s="20" t="n"/>
      <c r="Q15491" s="19" t="n"/>
      <c r="R15491" s="19" t="n"/>
      <c r="Y15491" s="19" t="n"/>
    </row>
    <row r="15492">
      <c r="C15492" s="18" t="n"/>
      <c r="J15492" s="19" t="n"/>
      <c r="P15492" s="20" t="n"/>
      <c r="Q15492" s="19" t="n"/>
      <c r="R15492" s="19" t="n"/>
      <c r="Y15492" s="19" t="n"/>
    </row>
    <row r="15493">
      <c r="C15493" s="18" t="n"/>
      <c r="J15493" s="19" t="n"/>
      <c r="P15493" s="20" t="n"/>
      <c r="Q15493" s="19" t="n"/>
      <c r="R15493" s="19" t="n"/>
      <c r="Y15493" s="19" t="n"/>
    </row>
    <row r="15494">
      <c r="C15494" s="18" t="n"/>
      <c r="J15494" s="19" t="n"/>
      <c r="P15494" s="20" t="n"/>
      <c r="Q15494" s="19" t="n"/>
      <c r="R15494" s="19" t="n"/>
      <c r="Y15494" s="19" t="n"/>
    </row>
    <row r="15495">
      <c r="C15495" s="18" t="n"/>
      <c r="J15495" s="19" t="n"/>
      <c r="P15495" s="20" t="n"/>
      <c r="Q15495" s="19" t="n"/>
      <c r="R15495" s="19" t="n"/>
      <c r="Y15495" s="19" t="n"/>
    </row>
    <row r="15496">
      <c r="C15496" s="18" t="n"/>
      <c r="J15496" s="19" t="n"/>
      <c r="P15496" s="20" t="n"/>
      <c r="Q15496" s="19" t="n"/>
      <c r="R15496" s="19" t="n"/>
      <c r="Y15496" s="19" t="n"/>
    </row>
    <row r="15497">
      <c r="C15497" s="18" t="n"/>
      <c r="J15497" s="19" t="n"/>
      <c r="P15497" s="20" t="n"/>
      <c r="Q15497" s="19" t="n"/>
      <c r="R15497" s="19" t="n"/>
      <c r="Y15497" s="19" t="n"/>
    </row>
    <row r="15498">
      <c r="C15498" s="18" t="n"/>
      <c r="J15498" s="19" t="n"/>
      <c r="P15498" s="20" t="n"/>
      <c r="Q15498" s="19" t="n"/>
      <c r="R15498" s="19" t="n"/>
      <c r="Y15498" s="19" t="n"/>
    </row>
    <row r="15499">
      <c r="C15499" s="18" t="n"/>
      <c r="J15499" s="19" t="n"/>
      <c r="P15499" s="20" t="n"/>
      <c r="Q15499" s="19" t="n"/>
      <c r="R15499" s="19" t="n"/>
      <c r="Y15499" s="19" t="n"/>
    </row>
    <row r="15500">
      <c r="C15500" s="18" t="n"/>
      <c r="J15500" s="19" t="n"/>
      <c r="P15500" s="20" t="n"/>
      <c r="Q15500" s="19" t="n"/>
      <c r="R15500" s="19" t="n"/>
      <c r="Y15500" s="19" t="n"/>
    </row>
    <row r="15501">
      <c r="C15501" s="18" t="n"/>
      <c r="J15501" s="19" t="n"/>
      <c r="P15501" s="20" t="n"/>
      <c r="Q15501" s="19" t="n"/>
      <c r="R15501" s="19" t="n"/>
      <c r="Y15501" s="19" t="n"/>
    </row>
    <row r="15502">
      <c r="C15502" s="18" t="n"/>
      <c r="J15502" s="19" t="n"/>
      <c r="P15502" s="20" t="n"/>
      <c r="Q15502" s="19" t="n"/>
      <c r="R15502" s="19" t="n"/>
      <c r="Y15502" s="19" t="n"/>
    </row>
    <row r="15503">
      <c r="C15503" s="18" t="n"/>
      <c r="J15503" s="19" t="n"/>
      <c r="P15503" s="20" t="n"/>
      <c r="Q15503" s="19" t="n"/>
      <c r="R15503" s="19" t="n"/>
      <c r="Y15503" s="19" t="n"/>
    </row>
    <row r="15504">
      <c r="C15504" s="18" t="n"/>
      <c r="J15504" s="19" t="n"/>
      <c r="P15504" s="20" t="n"/>
      <c r="Q15504" s="19" t="n"/>
      <c r="R15504" s="19" t="n"/>
      <c r="Y15504" s="19" t="n"/>
    </row>
    <row r="15505">
      <c r="C15505" s="18" t="n"/>
      <c r="J15505" s="19" t="n"/>
      <c r="P15505" s="20" t="n"/>
      <c r="Q15505" s="19" t="n"/>
      <c r="R15505" s="19" t="n"/>
      <c r="Y15505" s="19" t="n"/>
    </row>
    <row r="15506">
      <c r="C15506" s="18" t="n"/>
      <c r="J15506" s="19" t="n"/>
      <c r="P15506" s="20" t="n"/>
      <c r="Q15506" s="19" t="n"/>
      <c r="R15506" s="19" t="n"/>
      <c r="Y15506" s="19" t="n"/>
    </row>
    <row r="15507">
      <c r="C15507" s="18" t="n"/>
      <c r="J15507" s="19" t="n"/>
      <c r="P15507" s="20" t="n"/>
      <c r="Q15507" s="19" t="n"/>
      <c r="R15507" s="19" t="n"/>
      <c r="Y15507" s="19" t="n"/>
    </row>
    <row r="15508">
      <c r="C15508" s="18" t="n"/>
      <c r="J15508" s="19" t="n"/>
      <c r="P15508" s="20" t="n"/>
      <c r="Q15508" s="19" t="n"/>
      <c r="R15508" s="19" t="n"/>
      <c r="Y15508" s="19" t="n"/>
    </row>
    <row r="15509">
      <c r="C15509" s="18" t="n"/>
      <c r="J15509" s="19" t="n"/>
      <c r="P15509" s="20" t="n"/>
      <c r="Q15509" s="19" t="n"/>
      <c r="R15509" s="19" t="n"/>
      <c r="Y15509" s="19" t="n"/>
    </row>
    <row r="15510">
      <c r="C15510" s="18" t="n"/>
      <c r="J15510" s="19" t="n"/>
      <c r="P15510" s="20" t="n"/>
      <c r="Q15510" s="19" t="n"/>
      <c r="R15510" s="19" t="n"/>
      <c r="Y15510" s="19" t="n"/>
    </row>
    <row r="15511">
      <c r="C15511" s="18" t="n"/>
      <c r="J15511" s="19" t="n"/>
      <c r="P15511" s="20" t="n"/>
      <c r="Q15511" s="19" t="n"/>
      <c r="R15511" s="19" t="n"/>
      <c r="Y15511" s="19" t="n"/>
    </row>
    <row r="15512">
      <c r="C15512" s="18" t="n"/>
      <c r="J15512" s="19" t="n"/>
      <c r="P15512" s="20" t="n"/>
      <c r="Q15512" s="19" t="n"/>
      <c r="R15512" s="19" t="n"/>
      <c r="Y15512" s="19" t="n"/>
    </row>
    <row r="15513">
      <c r="C15513" s="18" t="n"/>
      <c r="J15513" s="19" t="n"/>
      <c r="P15513" s="20" t="n"/>
      <c r="Q15513" s="19" t="n"/>
      <c r="R15513" s="19" t="n"/>
      <c r="Y15513" s="19" t="n"/>
    </row>
    <row r="15514">
      <c r="C15514" s="18" t="n"/>
      <c r="J15514" s="19" t="n"/>
      <c r="P15514" s="20" t="n"/>
      <c r="Q15514" s="19" t="n"/>
      <c r="R15514" s="19" t="n"/>
      <c r="Y15514" s="19" t="n"/>
    </row>
    <row r="15515">
      <c r="C15515" s="18" t="n"/>
      <c r="J15515" s="19" t="n"/>
      <c r="P15515" s="20" t="n"/>
      <c r="Q15515" s="19" t="n"/>
      <c r="R15515" s="19" t="n"/>
      <c r="Y15515" s="19" t="n"/>
    </row>
    <row r="15516">
      <c r="C15516" s="18" t="n"/>
      <c r="J15516" s="19" t="n"/>
      <c r="P15516" s="20" t="n"/>
      <c r="Q15516" s="19" t="n"/>
      <c r="R15516" s="19" t="n"/>
      <c r="Y15516" s="19" t="n"/>
    </row>
    <row r="15517">
      <c r="C15517" s="18" t="n"/>
      <c r="J15517" s="19" t="n"/>
      <c r="P15517" s="20" t="n"/>
      <c r="Q15517" s="19" t="n"/>
      <c r="R15517" s="19" t="n"/>
      <c r="Y15517" s="19" t="n"/>
    </row>
    <row r="15518">
      <c r="C15518" s="18" t="n"/>
      <c r="J15518" s="19" t="n"/>
      <c r="P15518" s="20" t="n"/>
      <c r="Q15518" s="19" t="n"/>
      <c r="R15518" s="19" t="n"/>
      <c r="Y15518" s="19" t="n"/>
    </row>
    <row r="15519">
      <c r="C15519" s="18" t="n"/>
      <c r="J15519" s="19" t="n"/>
      <c r="P15519" s="20" t="n"/>
      <c r="Q15519" s="19" t="n"/>
      <c r="R15519" s="19" t="n"/>
      <c r="Y15519" s="19" t="n"/>
    </row>
    <row r="15520">
      <c r="C15520" s="18" t="n"/>
      <c r="J15520" s="19" t="n"/>
      <c r="P15520" s="20" t="n"/>
      <c r="Q15520" s="19" t="n"/>
      <c r="R15520" s="19" t="n"/>
      <c r="Y15520" s="19" t="n"/>
    </row>
    <row r="15521">
      <c r="C15521" s="18" t="n"/>
      <c r="J15521" s="19" t="n"/>
      <c r="P15521" s="20" t="n"/>
      <c r="Q15521" s="19" t="n"/>
      <c r="R15521" s="19" t="n"/>
      <c r="Y15521" s="19" t="n"/>
    </row>
    <row r="15522">
      <c r="C15522" s="18" t="n"/>
      <c r="J15522" s="19" t="n"/>
      <c r="P15522" s="20" t="n"/>
      <c r="Q15522" s="19" t="n"/>
      <c r="R15522" s="19" t="n"/>
      <c r="Y15522" s="19" t="n"/>
    </row>
    <row r="15523">
      <c r="C15523" s="18" t="n"/>
      <c r="J15523" s="19" t="n"/>
      <c r="P15523" s="20" t="n"/>
      <c r="Q15523" s="19" t="n"/>
      <c r="R15523" s="19" t="n"/>
      <c r="Y15523" s="19" t="n"/>
    </row>
    <row r="15524">
      <c r="C15524" s="18" t="n"/>
      <c r="J15524" s="19" t="n"/>
      <c r="P15524" s="20" t="n"/>
      <c r="Q15524" s="19" t="n"/>
      <c r="R15524" s="19" t="n"/>
      <c r="Y15524" s="19" t="n"/>
    </row>
    <row r="15525">
      <c r="C15525" s="18" t="n"/>
      <c r="J15525" s="19" t="n"/>
      <c r="P15525" s="20" t="n"/>
      <c r="Q15525" s="19" t="n"/>
      <c r="R15525" s="19" t="n"/>
      <c r="Y15525" s="19" t="n"/>
    </row>
    <row r="15526">
      <c r="C15526" s="18" t="n"/>
      <c r="J15526" s="19" t="n"/>
      <c r="P15526" s="20" t="n"/>
      <c r="Q15526" s="19" t="n"/>
      <c r="R15526" s="19" t="n"/>
      <c r="Y15526" s="19" t="n"/>
    </row>
    <row r="15527">
      <c r="C15527" s="18" t="n"/>
      <c r="J15527" s="19" t="n"/>
      <c r="P15527" s="20" t="n"/>
      <c r="Q15527" s="19" t="n"/>
      <c r="R15527" s="19" t="n"/>
      <c r="Y15527" s="19" t="n"/>
    </row>
    <row r="15528">
      <c r="C15528" s="18" t="n"/>
      <c r="J15528" s="19" t="n"/>
      <c r="P15528" s="20" t="n"/>
      <c r="Q15528" s="19" t="n"/>
      <c r="R15528" s="19" t="n"/>
      <c r="Y15528" s="19" t="n"/>
    </row>
    <row r="15529">
      <c r="C15529" s="18" t="n"/>
      <c r="J15529" s="19" t="n"/>
      <c r="P15529" s="20" t="n"/>
      <c r="Q15529" s="19" t="n"/>
      <c r="R15529" s="19" t="n"/>
      <c r="Y15529" s="19" t="n"/>
    </row>
    <row r="15530">
      <c r="C15530" s="18" t="n"/>
      <c r="J15530" s="19" t="n"/>
      <c r="P15530" s="20" t="n"/>
      <c r="Q15530" s="19" t="n"/>
      <c r="R15530" s="19" t="n"/>
      <c r="Y15530" s="19" t="n"/>
    </row>
    <row r="15531">
      <c r="C15531" s="18" t="n"/>
      <c r="J15531" s="19" t="n"/>
      <c r="P15531" s="20" t="n"/>
      <c r="Q15531" s="19" t="n"/>
      <c r="R15531" s="19" t="n"/>
      <c r="Y15531" s="19" t="n"/>
    </row>
    <row r="15532">
      <c r="C15532" s="18" t="n"/>
      <c r="J15532" s="19" t="n"/>
      <c r="P15532" s="20" t="n"/>
      <c r="Q15532" s="19" t="n"/>
      <c r="R15532" s="19" t="n"/>
      <c r="Y15532" s="19" t="n"/>
    </row>
    <row r="15533">
      <c r="C15533" s="18" t="n"/>
      <c r="J15533" s="19" t="n"/>
      <c r="P15533" s="20" t="n"/>
      <c r="Q15533" s="19" t="n"/>
      <c r="R15533" s="19" t="n"/>
      <c r="Y15533" s="19" t="n"/>
    </row>
    <row r="15534">
      <c r="C15534" s="18" t="n"/>
      <c r="J15534" s="19" t="n"/>
      <c r="P15534" s="20" t="n"/>
      <c r="Q15534" s="19" t="n"/>
      <c r="R15534" s="19" t="n"/>
      <c r="Y15534" s="19" t="n"/>
    </row>
    <row r="15535">
      <c r="C15535" s="18" t="n"/>
      <c r="J15535" s="19" t="n"/>
      <c r="P15535" s="20" t="n"/>
      <c r="Q15535" s="19" t="n"/>
      <c r="R15535" s="19" t="n"/>
      <c r="Y15535" s="19" t="n"/>
    </row>
    <row r="15536">
      <c r="C15536" s="18" t="n"/>
      <c r="J15536" s="19" t="n"/>
      <c r="P15536" s="20" t="n"/>
      <c r="Q15536" s="19" t="n"/>
      <c r="R15536" s="19" t="n"/>
      <c r="Y15536" s="19" t="n"/>
    </row>
    <row r="15537">
      <c r="C15537" s="18" t="n"/>
      <c r="J15537" s="19" t="n"/>
      <c r="P15537" s="20" t="n"/>
      <c r="Q15537" s="19" t="n"/>
      <c r="R15537" s="19" t="n"/>
      <c r="Y15537" s="19" t="n"/>
    </row>
    <row r="15538">
      <c r="C15538" s="18" t="n"/>
      <c r="J15538" s="19" t="n"/>
      <c r="P15538" s="20" t="n"/>
      <c r="Q15538" s="19" t="n"/>
      <c r="R15538" s="19" t="n"/>
      <c r="Y15538" s="19" t="n"/>
    </row>
    <row r="15539">
      <c r="C15539" s="18" t="n"/>
      <c r="J15539" s="19" t="n"/>
      <c r="P15539" s="20" t="n"/>
      <c r="Q15539" s="19" t="n"/>
      <c r="R15539" s="19" t="n"/>
      <c r="Y15539" s="19" t="n"/>
    </row>
    <row r="15540">
      <c r="C15540" s="18" t="n"/>
      <c r="J15540" s="19" t="n"/>
      <c r="P15540" s="20" t="n"/>
      <c r="Q15540" s="19" t="n"/>
      <c r="R15540" s="19" t="n"/>
      <c r="Y15540" s="19" t="n"/>
    </row>
    <row r="15541">
      <c r="C15541" s="18" t="n"/>
      <c r="J15541" s="19" t="n"/>
      <c r="P15541" s="20" t="n"/>
      <c r="Q15541" s="19" t="n"/>
      <c r="R15541" s="19" t="n"/>
      <c r="Y15541" s="19" t="n"/>
    </row>
    <row r="15542">
      <c r="C15542" s="18" t="n"/>
      <c r="J15542" s="19" t="n"/>
      <c r="P15542" s="20" t="n"/>
      <c r="Q15542" s="19" t="n"/>
      <c r="R15542" s="19" t="n"/>
      <c r="Y15542" s="19" t="n"/>
    </row>
    <row r="15543">
      <c r="C15543" s="18" t="n"/>
      <c r="J15543" s="19" t="n"/>
      <c r="P15543" s="20" t="n"/>
      <c r="Q15543" s="19" t="n"/>
      <c r="R15543" s="19" t="n"/>
      <c r="Y15543" s="19" t="n"/>
    </row>
    <row r="15544">
      <c r="C15544" s="18" t="n"/>
      <c r="J15544" s="19" t="n"/>
      <c r="P15544" s="20" t="n"/>
      <c r="Q15544" s="19" t="n"/>
      <c r="R15544" s="19" t="n"/>
      <c r="Y15544" s="19" t="n"/>
    </row>
    <row r="15545">
      <c r="C15545" s="18" t="n"/>
      <c r="J15545" s="19" t="n"/>
      <c r="P15545" s="20" t="n"/>
      <c r="Q15545" s="19" t="n"/>
      <c r="R15545" s="19" t="n"/>
      <c r="Y15545" s="19" t="n"/>
    </row>
    <row r="15546">
      <c r="C15546" s="18" t="n"/>
      <c r="J15546" s="19" t="n"/>
      <c r="P15546" s="20" t="n"/>
      <c r="Q15546" s="19" t="n"/>
      <c r="R15546" s="19" t="n"/>
      <c r="Y15546" s="19" t="n"/>
    </row>
    <row r="15547">
      <c r="C15547" s="18" t="n"/>
      <c r="J15547" s="19" t="n"/>
      <c r="P15547" s="20" t="n"/>
      <c r="Q15547" s="19" t="n"/>
      <c r="R15547" s="19" t="n"/>
      <c r="Y15547" s="19" t="n"/>
    </row>
    <row r="15548">
      <c r="C15548" s="18" t="n"/>
      <c r="J15548" s="19" t="n"/>
      <c r="P15548" s="20" t="n"/>
      <c r="Q15548" s="19" t="n"/>
      <c r="R15548" s="19" t="n"/>
      <c r="Y15548" s="19" t="n"/>
    </row>
    <row r="15549">
      <c r="C15549" s="18" t="n"/>
      <c r="J15549" s="19" t="n"/>
      <c r="P15549" s="20" t="n"/>
      <c r="Q15549" s="19" t="n"/>
      <c r="R15549" s="19" t="n"/>
      <c r="Y15549" s="19" t="n"/>
    </row>
    <row r="15550">
      <c r="C15550" s="18" t="n"/>
      <c r="J15550" s="19" t="n"/>
      <c r="P15550" s="20" t="n"/>
      <c r="Q15550" s="19" t="n"/>
      <c r="R15550" s="19" t="n"/>
      <c r="Y15550" s="19" t="n"/>
    </row>
    <row r="15551">
      <c r="C15551" s="18" t="n"/>
      <c r="J15551" s="19" t="n"/>
      <c r="P15551" s="20" t="n"/>
      <c r="Q15551" s="19" t="n"/>
      <c r="R15551" s="19" t="n"/>
      <c r="Y15551" s="19" t="n"/>
    </row>
    <row r="15552">
      <c r="C15552" s="18" t="n"/>
      <c r="J15552" s="19" t="n"/>
      <c r="P15552" s="20" t="n"/>
      <c r="Q15552" s="19" t="n"/>
      <c r="R15552" s="19" t="n"/>
      <c r="Y15552" s="19" t="n"/>
    </row>
    <row r="15553">
      <c r="C15553" s="18" t="n"/>
      <c r="J15553" s="19" t="n"/>
      <c r="P15553" s="20" t="n"/>
      <c r="Q15553" s="19" t="n"/>
      <c r="R15553" s="19" t="n"/>
      <c r="Y15553" s="19" t="n"/>
    </row>
    <row r="15554">
      <c r="C15554" s="18" t="n"/>
      <c r="J15554" s="19" t="n"/>
      <c r="P15554" s="20" t="n"/>
      <c r="Q15554" s="19" t="n"/>
      <c r="R15554" s="19" t="n"/>
      <c r="Y15554" s="19" t="n"/>
    </row>
    <row r="15555">
      <c r="C15555" s="18" t="n"/>
      <c r="J15555" s="19" t="n"/>
      <c r="P15555" s="20" t="n"/>
      <c r="Q15555" s="19" t="n"/>
      <c r="R15555" s="19" t="n"/>
      <c r="Y15555" s="19" t="n"/>
    </row>
    <row r="15556">
      <c r="C15556" s="18" t="n"/>
      <c r="J15556" s="19" t="n"/>
      <c r="P15556" s="20" t="n"/>
      <c r="Q15556" s="19" t="n"/>
      <c r="R15556" s="19" t="n"/>
      <c r="Y15556" s="19" t="n"/>
    </row>
    <row r="15557">
      <c r="C15557" s="18" t="n"/>
      <c r="J15557" s="19" t="n"/>
      <c r="P15557" s="20" t="n"/>
      <c r="Q15557" s="19" t="n"/>
      <c r="R15557" s="19" t="n"/>
      <c r="Y15557" s="19" t="n"/>
    </row>
    <row r="15558">
      <c r="C15558" s="18" t="n"/>
      <c r="J15558" s="19" t="n"/>
      <c r="P15558" s="20" t="n"/>
      <c r="Q15558" s="19" t="n"/>
      <c r="R15558" s="19" t="n"/>
      <c r="Y15558" s="19" t="n"/>
    </row>
    <row r="15559">
      <c r="C15559" s="18" t="n"/>
      <c r="J15559" s="19" t="n"/>
      <c r="P15559" s="20" t="n"/>
      <c r="Q15559" s="19" t="n"/>
      <c r="R15559" s="19" t="n"/>
      <c r="Y15559" s="19" t="n"/>
    </row>
    <row r="15560">
      <c r="C15560" s="18" t="n"/>
      <c r="J15560" s="19" t="n"/>
      <c r="P15560" s="20" t="n"/>
      <c r="Q15560" s="19" t="n"/>
      <c r="R15560" s="19" t="n"/>
      <c r="Y15560" s="19" t="n"/>
    </row>
    <row r="15561">
      <c r="C15561" s="18" t="n"/>
      <c r="J15561" s="19" t="n"/>
      <c r="P15561" s="20" t="n"/>
      <c r="Q15561" s="19" t="n"/>
      <c r="R15561" s="19" t="n"/>
      <c r="Y15561" s="19" t="n"/>
    </row>
    <row r="15562">
      <c r="C15562" s="18" t="n"/>
      <c r="J15562" s="19" t="n"/>
      <c r="P15562" s="20" t="n"/>
      <c r="Q15562" s="19" t="n"/>
      <c r="R15562" s="19" t="n"/>
      <c r="Y15562" s="19" t="n"/>
    </row>
    <row r="15563">
      <c r="C15563" s="18" t="n"/>
      <c r="J15563" s="19" t="n"/>
      <c r="P15563" s="20" t="n"/>
      <c r="Q15563" s="19" t="n"/>
      <c r="R15563" s="19" t="n"/>
      <c r="Y15563" s="19" t="n"/>
    </row>
    <row r="15564">
      <c r="C15564" s="18" t="n"/>
      <c r="J15564" s="19" t="n"/>
      <c r="P15564" s="20" t="n"/>
      <c r="Q15564" s="19" t="n"/>
      <c r="R15564" s="19" t="n"/>
      <c r="Y15564" s="19" t="n"/>
    </row>
    <row r="15565">
      <c r="C15565" s="18" t="n"/>
      <c r="J15565" s="19" t="n"/>
      <c r="P15565" s="20" t="n"/>
      <c r="Q15565" s="19" t="n"/>
      <c r="R15565" s="19" t="n"/>
      <c r="Y15565" s="19" t="n"/>
    </row>
    <row r="15566">
      <c r="C15566" s="18" t="n"/>
      <c r="J15566" s="19" t="n"/>
      <c r="P15566" s="20" t="n"/>
      <c r="Q15566" s="19" t="n"/>
      <c r="R15566" s="19" t="n"/>
      <c r="Y15566" s="19" t="n"/>
    </row>
    <row r="15567">
      <c r="C15567" s="18" t="n"/>
      <c r="J15567" s="19" t="n"/>
      <c r="P15567" s="20" t="n"/>
      <c r="Q15567" s="19" t="n"/>
      <c r="R15567" s="19" t="n"/>
      <c r="Y15567" s="19" t="n"/>
    </row>
    <row r="15568">
      <c r="C15568" s="18" t="n"/>
      <c r="J15568" s="19" t="n"/>
      <c r="P15568" s="20" t="n"/>
      <c r="Q15568" s="19" t="n"/>
      <c r="R15568" s="19" t="n"/>
      <c r="Y15568" s="19" t="n"/>
    </row>
    <row r="15569">
      <c r="C15569" s="18" t="n"/>
      <c r="J15569" s="19" t="n"/>
      <c r="P15569" s="20" t="n"/>
      <c r="Q15569" s="19" t="n"/>
      <c r="R15569" s="19" t="n"/>
      <c r="Y15569" s="19" t="n"/>
    </row>
    <row r="15570">
      <c r="C15570" s="18" t="n"/>
      <c r="J15570" s="19" t="n"/>
      <c r="P15570" s="20" t="n"/>
      <c r="Q15570" s="19" t="n"/>
      <c r="R15570" s="19" t="n"/>
      <c r="Y15570" s="19" t="n"/>
    </row>
    <row r="15571">
      <c r="C15571" s="18" t="n"/>
      <c r="J15571" s="19" t="n"/>
      <c r="P15571" s="20" t="n"/>
      <c r="Q15571" s="19" t="n"/>
      <c r="R15571" s="19" t="n"/>
      <c r="Y15571" s="19" t="n"/>
    </row>
    <row r="15572">
      <c r="C15572" s="18" t="n"/>
      <c r="J15572" s="19" t="n"/>
      <c r="P15572" s="20" t="n"/>
      <c r="Q15572" s="19" t="n"/>
      <c r="R15572" s="19" t="n"/>
      <c r="Y15572" s="19" t="n"/>
    </row>
    <row r="15573">
      <c r="C15573" s="18" t="n"/>
      <c r="J15573" s="19" t="n"/>
      <c r="P15573" s="20" t="n"/>
      <c r="Q15573" s="19" t="n"/>
      <c r="R15573" s="19" t="n"/>
      <c r="Y15573" s="19" t="n"/>
    </row>
    <row r="15574">
      <c r="C15574" s="18" t="n"/>
      <c r="J15574" s="19" t="n"/>
      <c r="P15574" s="20" t="n"/>
      <c r="Q15574" s="19" t="n"/>
      <c r="R15574" s="19" t="n"/>
      <c r="Y15574" s="19" t="n"/>
    </row>
    <row r="15575">
      <c r="C15575" s="18" t="n"/>
      <c r="J15575" s="19" t="n"/>
      <c r="P15575" s="20" t="n"/>
      <c r="Q15575" s="19" t="n"/>
      <c r="R15575" s="19" t="n"/>
      <c r="Y15575" s="19" t="n"/>
    </row>
    <row r="15576">
      <c r="C15576" s="18" t="n"/>
      <c r="J15576" s="19" t="n"/>
      <c r="P15576" s="20" t="n"/>
      <c r="Q15576" s="19" t="n"/>
      <c r="R15576" s="19" t="n"/>
      <c r="Y15576" s="19" t="n"/>
    </row>
    <row r="15577">
      <c r="C15577" s="18" t="n"/>
      <c r="J15577" s="19" t="n"/>
      <c r="P15577" s="20" t="n"/>
      <c r="Q15577" s="19" t="n"/>
      <c r="R15577" s="19" t="n"/>
      <c r="Y15577" s="19" t="n"/>
    </row>
    <row r="15578">
      <c r="C15578" s="18" t="n"/>
      <c r="J15578" s="19" t="n"/>
      <c r="P15578" s="20" t="n"/>
      <c r="Q15578" s="19" t="n"/>
      <c r="R15578" s="19" t="n"/>
      <c r="Y15578" s="19" t="n"/>
    </row>
    <row r="15579">
      <c r="C15579" s="18" t="n"/>
      <c r="J15579" s="19" t="n"/>
      <c r="P15579" s="20" t="n"/>
      <c r="Q15579" s="19" t="n"/>
      <c r="R15579" s="19" t="n"/>
      <c r="Y15579" s="19" t="n"/>
    </row>
    <row r="15580">
      <c r="C15580" s="18" t="n"/>
      <c r="J15580" s="19" t="n"/>
      <c r="P15580" s="20" t="n"/>
      <c r="Q15580" s="19" t="n"/>
      <c r="R15580" s="19" t="n"/>
      <c r="Y15580" s="19" t="n"/>
    </row>
    <row r="15581">
      <c r="C15581" s="18" t="n"/>
      <c r="J15581" s="19" t="n"/>
      <c r="P15581" s="20" t="n"/>
      <c r="Q15581" s="19" t="n"/>
      <c r="R15581" s="19" t="n"/>
      <c r="Y15581" s="19" t="n"/>
    </row>
    <row r="15582">
      <c r="C15582" s="18" t="n"/>
      <c r="J15582" s="19" t="n"/>
      <c r="P15582" s="20" t="n"/>
      <c r="Q15582" s="19" t="n"/>
      <c r="R15582" s="19" t="n"/>
      <c r="Y15582" s="19" t="n"/>
    </row>
    <row r="15583">
      <c r="C15583" s="18" t="n"/>
      <c r="J15583" s="19" t="n"/>
      <c r="P15583" s="20" t="n"/>
      <c r="Q15583" s="19" t="n"/>
      <c r="R15583" s="19" t="n"/>
      <c r="Y15583" s="19" t="n"/>
    </row>
    <row r="15584">
      <c r="C15584" s="18" t="n"/>
      <c r="J15584" s="19" t="n"/>
      <c r="P15584" s="20" t="n"/>
      <c r="Q15584" s="19" t="n"/>
      <c r="R15584" s="19" t="n"/>
      <c r="Y15584" s="19" t="n"/>
    </row>
    <row r="15585">
      <c r="C15585" s="18" t="n"/>
      <c r="J15585" s="19" t="n"/>
      <c r="P15585" s="20" t="n"/>
      <c r="Q15585" s="19" t="n"/>
      <c r="R15585" s="19" t="n"/>
      <c r="Y15585" s="19" t="n"/>
    </row>
    <row r="15586">
      <c r="C15586" s="18" t="n"/>
      <c r="J15586" s="19" t="n"/>
      <c r="P15586" s="20" t="n"/>
      <c r="Q15586" s="19" t="n"/>
      <c r="R15586" s="19" t="n"/>
      <c r="Y15586" s="19" t="n"/>
    </row>
    <row r="15587">
      <c r="C15587" s="18" t="n"/>
      <c r="J15587" s="19" t="n"/>
      <c r="P15587" s="20" t="n"/>
      <c r="Q15587" s="19" t="n"/>
      <c r="R15587" s="19" t="n"/>
      <c r="Y15587" s="19" t="n"/>
    </row>
    <row r="15588">
      <c r="C15588" s="18" t="n"/>
      <c r="J15588" s="19" t="n"/>
      <c r="P15588" s="20" t="n"/>
      <c r="Q15588" s="19" t="n"/>
      <c r="R15588" s="19" t="n"/>
      <c r="Y15588" s="19" t="n"/>
    </row>
    <row r="15589">
      <c r="C15589" s="18" t="n"/>
      <c r="J15589" s="19" t="n"/>
      <c r="P15589" s="20" t="n"/>
      <c r="Q15589" s="19" t="n"/>
      <c r="R15589" s="19" t="n"/>
      <c r="Y15589" s="19" t="n"/>
    </row>
    <row r="15590">
      <c r="C15590" s="18" t="n"/>
      <c r="J15590" s="19" t="n"/>
      <c r="P15590" s="20" t="n"/>
      <c r="Q15590" s="19" t="n"/>
      <c r="R15590" s="19" t="n"/>
      <c r="Y15590" s="19" t="n"/>
    </row>
    <row r="15591">
      <c r="C15591" s="18" t="n"/>
      <c r="J15591" s="19" t="n"/>
      <c r="P15591" s="20" t="n"/>
      <c r="Q15591" s="19" t="n"/>
      <c r="R15591" s="19" t="n"/>
      <c r="Y15591" s="19" t="n"/>
    </row>
    <row r="15592">
      <c r="C15592" s="18" t="n"/>
      <c r="J15592" s="19" t="n"/>
      <c r="P15592" s="20" t="n"/>
      <c r="Q15592" s="19" t="n"/>
      <c r="R15592" s="19" t="n"/>
      <c r="Y15592" s="19" t="n"/>
    </row>
    <row r="15593">
      <c r="C15593" s="18" t="n"/>
      <c r="J15593" s="19" t="n"/>
      <c r="P15593" s="20" t="n"/>
      <c r="Q15593" s="19" t="n"/>
      <c r="R15593" s="19" t="n"/>
      <c r="Y15593" s="19" t="n"/>
    </row>
    <row r="15594">
      <c r="C15594" s="18" t="n"/>
      <c r="J15594" s="19" t="n"/>
      <c r="P15594" s="20" t="n"/>
      <c r="Q15594" s="19" t="n"/>
      <c r="R15594" s="19" t="n"/>
      <c r="Y15594" s="19" t="n"/>
    </row>
    <row r="15595">
      <c r="C15595" s="18" t="n"/>
      <c r="J15595" s="19" t="n"/>
      <c r="P15595" s="20" t="n"/>
      <c r="Q15595" s="19" t="n"/>
      <c r="R15595" s="19" t="n"/>
      <c r="Y15595" s="19" t="n"/>
    </row>
    <row r="15596">
      <c r="C15596" s="18" t="n"/>
      <c r="J15596" s="19" t="n"/>
      <c r="P15596" s="20" t="n"/>
      <c r="Q15596" s="19" t="n"/>
      <c r="R15596" s="19" t="n"/>
      <c r="Y15596" s="19" t="n"/>
    </row>
    <row r="15597">
      <c r="C15597" s="18" t="n"/>
      <c r="J15597" s="19" t="n"/>
      <c r="P15597" s="20" t="n"/>
      <c r="Q15597" s="19" t="n"/>
      <c r="R15597" s="19" t="n"/>
      <c r="Y15597" s="19" t="n"/>
    </row>
    <row r="15598">
      <c r="C15598" s="18" t="n"/>
      <c r="J15598" s="19" t="n"/>
      <c r="P15598" s="20" t="n"/>
      <c r="Q15598" s="19" t="n"/>
      <c r="R15598" s="19" t="n"/>
      <c r="Y15598" s="19" t="n"/>
    </row>
    <row r="15599">
      <c r="C15599" s="18" t="n"/>
      <c r="J15599" s="19" t="n"/>
      <c r="P15599" s="20" t="n"/>
      <c r="Q15599" s="19" t="n"/>
      <c r="R15599" s="19" t="n"/>
      <c r="Y15599" s="19" t="n"/>
    </row>
    <row r="15600">
      <c r="C15600" s="18" t="n"/>
      <c r="J15600" s="19" t="n"/>
      <c r="P15600" s="20" t="n"/>
      <c r="Q15600" s="19" t="n"/>
      <c r="R15600" s="19" t="n"/>
      <c r="Y15600" s="19" t="n"/>
    </row>
    <row r="15601">
      <c r="C15601" s="18" t="n"/>
      <c r="J15601" s="19" t="n"/>
      <c r="P15601" s="20" t="n"/>
      <c r="Q15601" s="19" t="n"/>
      <c r="R15601" s="19" t="n"/>
      <c r="Y15601" s="19" t="n"/>
    </row>
    <row r="15602">
      <c r="C15602" s="18" t="n"/>
      <c r="J15602" s="19" t="n"/>
      <c r="P15602" s="20" t="n"/>
      <c r="Q15602" s="19" t="n"/>
      <c r="R15602" s="19" t="n"/>
      <c r="Y15602" s="19" t="n"/>
    </row>
    <row r="15603">
      <c r="C15603" s="18" t="n"/>
      <c r="J15603" s="19" t="n"/>
      <c r="P15603" s="20" t="n"/>
      <c r="Q15603" s="19" t="n"/>
      <c r="R15603" s="19" t="n"/>
      <c r="Y15603" s="19" t="n"/>
    </row>
    <row r="15604">
      <c r="C15604" s="18" t="n"/>
      <c r="J15604" s="19" t="n"/>
      <c r="P15604" s="20" t="n"/>
      <c r="Q15604" s="19" t="n"/>
      <c r="R15604" s="19" t="n"/>
      <c r="Y15604" s="19" t="n"/>
    </row>
    <row r="15605">
      <c r="C15605" s="18" t="n"/>
      <c r="J15605" s="19" t="n"/>
      <c r="P15605" s="20" t="n"/>
      <c r="Q15605" s="19" t="n"/>
      <c r="R15605" s="19" t="n"/>
      <c r="Y15605" s="19" t="n"/>
    </row>
    <row r="15606">
      <c r="C15606" s="18" t="n"/>
      <c r="J15606" s="19" t="n"/>
      <c r="P15606" s="20" t="n"/>
      <c r="Q15606" s="19" t="n"/>
      <c r="R15606" s="19" t="n"/>
      <c r="Y15606" s="19" t="n"/>
    </row>
    <row r="15607">
      <c r="C15607" s="18" t="n"/>
      <c r="J15607" s="19" t="n"/>
      <c r="P15607" s="20" t="n"/>
      <c r="Q15607" s="19" t="n"/>
      <c r="R15607" s="19" t="n"/>
      <c r="Y15607" s="19" t="n"/>
    </row>
    <row r="15608">
      <c r="C15608" s="18" t="n"/>
      <c r="J15608" s="19" t="n"/>
      <c r="P15608" s="20" t="n"/>
      <c r="Q15608" s="19" t="n"/>
      <c r="R15608" s="19" t="n"/>
      <c r="Y15608" s="19" t="n"/>
    </row>
    <row r="15609">
      <c r="C15609" s="18" t="n"/>
      <c r="J15609" s="19" t="n"/>
      <c r="P15609" s="20" t="n"/>
      <c r="Q15609" s="19" t="n"/>
      <c r="R15609" s="19" t="n"/>
      <c r="Y15609" s="19" t="n"/>
    </row>
    <row r="15610">
      <c r="C15610" s="18" t="n"/>
      <c r="J15610" s="19" t="n"/>
      <c r="P15610" s="20" t="n"/>
      <c r="Q15610" s="19" t="n"/>
      <c r="R15610" s="19" t="n"/>
      <c r="Y15610" s="19" t="n"/>
    </row>
    <row r="15611">
      <c r="C15611" s="18" t="n"/>
      <c r="J15611" s="19" t="n"/>
      <c r="P15611" s="20" t="n"/>
      <c r="Q15611" s="19" t="n"/>
      <c r="R15611" s="19" t="n"/>
      <c r="Y15611" s="19" t="n"/>
    </row>
    <row r="15612">
      <c r="C15612" s="18" t="n"/>
      <c r="J15612" s="19" t="n"/>
      <c r="P15612" s="20" t="n"/>
      <c r="Q15612" s="19" t="n"/>
      <c r="R15612" s="19" t="n"/>
      <c r="Y15612" s="19" t="n"/>
    </row>
    <row r="15613">
      <c r="C15613" s="18" t="n"/>
      <c r="J15613" s="19" t="n"/>
      <c r="P15613" s="20" t="n"/>
      <c r="Q15613" s="19" t="n"/>
      <c r="R15613" s="19" t="n"/>
      <c r="Y15613" s="19" t="n"/>
    </row>
    <row r="15614">
      <c r="C15614" s="18" t="n"/>
      <c r="J15614" s="19" t="n"/>
      <c r="P15614" s="20" t="n"/>
      <c r="Q15614" s="19" t="n"/>
      <c r="R15614" s="19" t="n"/>
      <c r="Y15614" s="19" t="n"/>
    </row>
    <row r="15615">
      <c r="C15615" s="18" t="n"/>
      <c r="J15615" s="19" t="n"/>
      <c r="P15615" s="20" t="n"/>
      <c r="Q15615" s="19" t="n"/>
      <c r="R15615" s="19" t="n"/>
      <c r="Y15615" s="19" t="n"/>
    </row>
    <row r="15616">
      <c r="C15616" s="18" t="n"/>
      <c r="J15616" s="19" t="n"/>
      <c r="P15616" s="20" t="n"/>
      <c r="Q15616" s="19" t="n"/>
      <c r="R15616" s="19" t="n"/>
      <c r="Y15616" s="19" t="n"/>
    </row>
    <row r="15617">
      <c r="C15617" s="18" t="n"/>
      <c r="J15617" s="19" t="n"/>
      <c r="P15617" s="20" t="n"/>
      <c r="Q15617" s="19" t="n"/>
      <c r="R15617" s="19" t="n"/>
      <c r="Y15617" s="19" t="n"/>
    </row>
    <row r="15618">
      <c r="C15618" s="18" t="n"/>
      <c r="J15618" s="19" t="n"/>
      <c r="P15618" s="20" t="n"/>
      <c r="Q15618" s="19" t="n"/>
      <c r="R15618" s="19" t="n"/>
      <c r="Y15618" s="19" t="n"/>
    </row>
    <row r="15619">
      <c r="C15619" s="18" t="n"/>
      <c r="J15619" s="19" t="n"/>
      <c r="P15619" s="20" t="n"/>
      <c r="Q15619" s="19" t="n"/>
      <c r="R15619" s="19" t="n"/>
      <c r="Y15619" s="19" t="n"/>
    </row>
    <row r="15620">
      <c r="C15620" s="18" t="n"/>
      <c r="J15620" s="19" t="n"/>
      <c r="P15620" s="20" t="n"/>
      <c r="Q15620" s="19" t="n"/>
      <c r="R15620" s="19" t="n"/>
      <c r="Y15620" s="19" t="n"/>
    </row>
    <row r="15621">
      <c r="C15621" s="18" t="n"/>
      <c r="J15621" s="19" t="n"/>
      <c r="P15621" s="20" t="n"/>
      <c r="Q15621" s="19" t="n"/>
      <c r="R15621" s="19" t="n"/>
      <c r="Y15621" s="19" t="n"/>
    </row>
    <row r="15622">
      <c r="C15622" s="18" t="n"/>
      <c r="J15622" s="19" t="n"/>
      <c r="P15622" s="20" t="n"/>
      <c r="Q15622" s="19" t="n"/>
      <c r="R15622" s="19" t="n"/>
      <c r="Y15622" s="19" t="n"/>
    </row>
    <row r="15623">
      <c r="C15623" s="18" t="n"/>
      <c r="J15623" s="19" t="n"/>
      <c r="P15623" s="20" t="n"/>
      <c r="Q15623" s="19" t="n"/>
      <c r="R15623" s="19" t="n"/>
      <c r="Y15623" s="19" t="n"/>
    </row>
    <row r="15624">
      <c r="C15624" s="18" t="n"/>
      <c r="J15624" s="19" t="n"/>
      <c r="P15624" s="20" t="n"/>
      <c r="Q15624" s="19" t="n"/>
      <c r="R15624" s="19" t="n"/>
      <c r="Y15624" s="19" t="n"/>
    </row>
    <row r="15625">
      <c r="C15625" s="18" t="n"/>
      <c r="J15625" s="19" t="n"/>
      <c r="P15625" s="20" t="n"/>
      <c r="Q15625" s="19" t="n"/>
      <c r="R15625" s="19" t="n"/>
      <c r="Y15625" s="19" t="n"/>
    </row>
    <row r="15626">
      <c r="C15626" s="18" t="n"/>
      <c r="J15626" s="19" t="n"/>
      <c r="P15626" s="20" t="n"/>
      <c r="Q15626" s="19" t="n"/>
      <c r="R15626" s="19" t="n"/>
      <c r="Y15626" s="19" t="n"/>
    </row>
    <row r="15627">
      <c r="C15627" s="18" t="n"/>
      <c r="J15627" s="19" t="n"/>
      <c r="P15627" s="20" t="n"/>
      <c r="Q15627" s="19" t="n"/>
      <c r="R15627" s="19" t="n"/>
      <c r="Y15627" s="19" t="n"/>
    </row>
    <row r="15628">
      <c r="C15628" s="18" t="n"/>
      <c r="J15628" s="19" t="n"/>
      <c r="P15628" s="20" t="n"/>
      <c r="Q15628" s="19" t="n"/>
      <c r="R15628" s="19" t="n"/>
      <c r="Y15628" s="19" t="n"/>
    </row>
    <row r="15629">
      <c r="C15629" s="18" t="n"/>
      <c r="J15629" s="19" t="n"/>
      <c r="P15629" s="20" t="n"/>
      <c r="Q15629" s="19" t="n"/>
      <c r="R15629" s="19" t="n"/>
      <c r="Y15629" s="19" t="n"/>
    </row>
    <row r="15630">
      <c r="C15630" s="18" t="n"/>
      <c r="J15630" s="19" t="n"/>
      <c r="P15630" s="20" t="n"/>
      <c r="Q15630" s="19" t="n"/>
      <c r="R15630" s="19" t="n"/>
      <c r="Y15630" s="19" t="n"/>
    </row>
    <row r="15631">
      <c r="C15631" s="18" t="n"/>
      <c r="J15631" s="19" t="n"/>
      <c r="P15631" s="20" t="n"/>
      <c r="Q15631" s="19" t="n"/>
      <c r="R15631" s="19" t="n"/>
      <c r="Y15631" s="19" t="n"/>
    </row>
    <row r="15632">
      <c r="C15632" s="18" t="n"/>
      <c r="J15632" s="19" t="n"/>
      <c r="P15632" s="20" t="n"/>
      <c r="Q15632" s="19" t="n"/>
      <c r="R15632" s="19" t="n"/>
      <c r="Y15632" s="19" t="n"/>
    </row>
    <row r="15633">
      <c r="C15633" s="18" t="n"/>
      <c r="J15633" s="19" t="n"/>
      <c r="P15633" s="20" t="n"/>
      <c r="Q15633" s="19" t="n"/>
      <c r="R15633" s="19" t="n"/>
      <c r="Y15633" s="19" t="n"/>
    </row>
    <row r="15634">
      <c r="C15634" s="18" t="n"/>
      <c r="J15634" s="19" t="n"/>
      <c r="P15634" s="20" t="n"/>
      <c r="Q15634" s="19" t="n"/>
      <c r="R15634" s="19" t="n"/>
      <c r="Y15634" s="19" t="n"/>
    </row>
    <row r="15635">
      <c r="C15635" s="18" t="n"/>
      <c r="J15635" s="19" t="n"/>
      <c r="P15635" s="20" t="n"/>
      <c r="Q15635" s="19" t="n"/>
      <c r="R15635" s="19" t="n"/>
      <c r="Y15635" s="19" t="n"/>
    </row>
    <row r="15636">
      <c r="C15636" s="18" t="n"/>
      <c r="J15636" s="19" t="n"/>
      <c r="P15636" s="20" t="n"/>
      <c r="Q15636" s="19" t="n"/>
      <c r="R15636" s="19" t="n"/>
      <c r="Y15636" s="19" t="n"/>
    </row>
    <row r="15637">
      <c r="C15637" s="18" t="n"/>
      <c r="J15637" s="19" t="n"/>
      <c r="P15637" s="20" t="n"/>
      <c r="Q15637" s="19" t="n"/>
      <c r="R15637" s="19" t="n"/>
      <c r="Y15637" s="19" t="n"/>
    </row>
    <row r="15638">
      <c r="C15638" s="18" t="n"/>
      <c r="J15638" s="19" t="n"/>
      <c r="P15638" s="20" t="n"/>
      <c r="Q15638" s="19" t="n"/>
      <c r="R15638" s="19" t="n"/>
      <c r="Y15638" s="19" t="n"/>
    </row>
    <row r="15639">
      <c r="C15639" s="18" t="n"/>
      <c r="J15639" s="19" t="n"/>
      <c r="P15639" s="20" t="n"/>
      <c r="Q15639" s="19" t="n"/>
      <c r="R15639" s="19" t="n"/>
      <c r="Y15639" s="19" t="n"/>
    </row>
    <row r="15640">
      <c r="C15640" s="18" t="n"/>
      <c r="J15640" s="19" t="n"/>
      <c r="P15640" s="20" t="n"/>
      <c r="Q15640" s="19" t="n"/>
      <c r="R15640" s="19" t="n"/>
      <c r="Y15640" s="19" t="n"/>
    </row>
    <row r="15641">
      <c r="C15641" s="18" t="n"/>
      <c r="J15641" s="19" t="n"/>
      <c r="P15641" s="20" t="n"/>
      <c r="Q15641" s="19" t="n"/>
      <c r="R15641" s="19" t="n"/>
      <c r="Y15641" s="19" t="n"/>
    </row>
    <row r="15642">
      <c r="C15642" s="18" t="n"/>
      <c r="J15642" s="19" t="n"/>
      <c r="P15642" s="20" t="n"/>
      <c r="Q15642" s="19" t="n"/>
      <c r="R15642" s="19" t="n"/>
      <c r="Y15642" s="19" t="n"/>
    </row>
    <row r="15643">
      <c r="C15643" s="18" t="n"/>
      <c r="J15643" s="19" t="n"/>
      <c r="P15643" s="20" t="n"/>
      <c r="Q15643" s="19" t="n"/>
      <c r="R15643" s="19" t="n"/>
      <c r="Y15643" s="19" t="n"/>
    </row>
    <row r="15644">
      <c r="C15644" s="18" t="n"/>
      <c r="J15644" s="19" t="n"/>
      <c r="P15644" s="20" t="n"/>
      <c r="Q15644" s="19" t="n"/>
      <c r="R15644" s="19" t="n"/>
      <c r="Y15644" s="19" t="n"/>
    </row>
    <row r="15645">
      <c r="C15645" s="18" t="n"/>
      <c r="J15645" s="19" t="n"/>
      <c r="P15645" s="20" t="n"/>
      <c r="Q15645" s="19" t="n"/>
      <c r="R15645" s="19" t="n"/>
      <c r="Y15645" s="19" t="n"/>
    </row>
    <row r="15646">
      <c r="C15646" s="18" t="n"/>
      <c r="J15646" s="19" t="n"/>
      <c r="P15646" s="20" t="n"/>
      <c r="Q15646" s="19" t="n"/>
      <c r="R15646" s="19" t="n"/>
      <c r="Y15646" s="19" t="n"/>
    </row>
    <row r="15647">
      <c r="C15647" s="18" t="n"/>
      <c r="J15647" s="19" t="n"/>
      <c r="P15647" s="20" t="n"/>
      <c r="Q15647" s="19" t="n"/>
      <c r="R15647" s="19" t="n"/>
      <c r="Y15647" s="19" t="n"/>
    </row>
    <row r="15648">
      <c r="C15648" s="18" t="n"/>
      <c r="J15648" s="19" t="n"/>
      <c r="P15648" s="20" t="n"/>
      <c r="Q15648" s="19" t="n"/>
      <c r="R15648" s="19" t="n"/>
      <c r="Y15648" s="19" t="n"/>
    </row>
    <row r="15649">
      <c r="C15649" s="18" t="n"/>
      <c r="J15649" s="19" t="n"/>
      <c r="P15649" s="20" t="n"/>
      <c r="Q15649" s="19" t="n"/>
      <c r="R15649" s="19" t="n"/>
      <c r="Y15649" s="19" t="n"/>
    </row>
    <row r="15650">
      <c r="C15650" s="18" t="n"/>
      <c r="J15650" s="19" t="n"/>
      <c r="P15650" s="20" t="n"/>
      <c r="Q15650" s="19" t="n"/>
      <c r="R15650" s="19" t="n"/>
      <c r="Y15650" s="19" t="n"/>
    </row>
    <row r="15651">
      <c r="C15651" s="18" t="n"/>
      <c r="J15651" s="19" t="n"/>
      <c r="P15651" s="20" t="n"/>
      <c r="Q15651" s="19" t="n"/>
      <c r="R15651" s="19" t="n"/>
      <c r="Y15651" s="19" t="n"/>
    </row>
    <row r="15652">
      <c r="C15652" s="18" t="n"/>
      <c r="J15652" s="19" t="n"/>
      <c r="P15652" s="20" t="n"/>
      <c r="Q15652" s="19" t="n"/>
      <c r="R15652" s="19" t="n"/>
      <c r="Y15652" s="19" t="n"/>
    </row>
    <row r="15653">
      <c r="C15653" s="18" t="n"/>
      <c r="J15653" s="19" t="n"/>
      <c r="P15653" s="20" t="n"/>
      <c r="Q15653" s="19" t="n"/>
      <c r="R15653" s="19" t="n"/>
      <c r="Y15653" s="19" t="n"/>
    </row>
    <row r="15654">
      <c r="C15654" s="18" t="n"/>
      <c r="J15654" s="19" t="n"/>
      <c r="P15654" s="20" t="n"/>
      <c r="Q15654" s="19" t="n"/>
      <c r="R15654" s="19" t="n"/>
      <c r="Y15654" s="19" t="n"/>
    </row>
    <row r="15655">
      <c r="C15655" s="18" t="n"/>
      <c r="J15655" s="19" t="n"/>
      <c r="P15655" s="20" t="n"/>
      <c r="Q15655" s="19" t="n"/>
      <c r="R15655" s="19" t="n"/>
      <c r="Y15655" s="19" t="n"/>
    </row>
    <row r="15656">
      <c r="C15656" s="18" t="n"/>
      <c r="J15656" s="19" t="n"/>
      <c r="P15656" s="20" t="n"/>
      <c r="Q15656" s="19" t="n"/>
      <c r="R15656" s="19" t="n"/>
      <c r="Y15656" s="19" t="n"/>
    </row>
    <row r="15657">
      <c r="C15657" s="18" t="n"/>
      <c r="J15657" s="19" t="n"/>
      <c r="P15657" s="20" t="n"/>
      <c r="Q15657" s="19" t="n"/>
      <c r="R15657" s="19" t="n"/>
      <c r="Y15657" s="19" t="n"/>
    </row>
    <row r="15658">
      <c r="C15658" s="18" t="n"/>
      <c r="J15658" s="19" t="n"/>
      <c r="P15658" s="20" t="n"/>
      <c r="Q15658" s="19" t="n"/>
      <c r="R15658" s="19" t="n"/>
      <c r="Y15658" s="19" t="n"/>
    </row>
    <row r="15659">
      <c r="C15659" s="18" t="n"/>
      <c r="J15659" s="19" t="n"/>
      <c r="P15659" s="20" t="n"/>
      <c r="Q15659" s="19" t="n"/>
      <c r="R15659" s="19" t="n"/>
      <c r="Y15659" s="19" t="n"/>
    </row>
    <row r="15660">
      <c r="C15660" s="18" t="n"/>
      <c r="J15660" s="19" t="n"/>
      <c r="P15660" s="20" t="n"/>
      <c r="Q15660" s="19" t="n"/>
      <c r="R15660" s="19" t="n"/>
      <c r="Y15660" s="19" t="n"/>
    </row>
    <row r="15661">
      <c r="C15661" s="18" t="n"/>
      <c r="J15661" s="19" t="n"/>
      <c r="P15661" s="20" t="n"/>
      <c r="Q15661" s="19" t="n"/>
      <c r="R15661" s="19" t="n"/>
      <c r="Y15661" s="19" t="n"/>
    </row>
    <row r="15662">
      <c r="C15662" s="18" t="n"/>
      <c r="J15662" s="19" t="n"/>
      <c r="P15662" s="20" t="n"/>
      <c r="Q15662" s="19" t="n"/>
      <c r="R15662" s="19" t="n"/>
      <c r="Y15662" s="19" t="n"/>
    </row>
    <row r="15663">
      <c r="C15663" s="18" t="n"/>
      <c r="J15663" s="19" t="n"/>
      <c r="P15663" s="20" t="n"/>
      <c r="Q15663" s="19" t="n"/>
      <c r="R15663" s="19" t="n"/>
      <c r="Y15663" s="19" t="n"/>
    </row>
    <row r="15664">
      <c r="C15664" s="18" t="n"/>
      <c r="J15664" s="19" t="n"/>
      <c r="P15664" s="20" t="n"/>
      <c r="Q15664" s="19" t="n"/>
      <c r="R15664" s="19" t="n"/>
      <c r="Y15664" s="19" t="n"/>
    </row>
    <row r="15665">
      <c r="C15665" s="18" t="n"/>
      <c r="J15665" s="19" t="n"/>
      <c r="P15665" s="20" t="n"/>
      <c r="Q15665" s="19" t="n"/>
      <c r="R15665" s="19" t="n"/>
      <c r="Y15665" s="19" t="n"/>
    </row>
    <row r="15666">
      <c r="C15666" s="18" t="n"/>
      <c r="J15666" s="19" t="n"/>
      <c r="P15666" s="20" t="n"/>
      <c r="Q15666" s="19" t="n"/>
      <c r="R15666" s="19" t="n"/>
      <c r="Y15666" s="19" t="n"/>
    </row>
    <row r="15667">
      <c r="C15667" s="18" t="n"/>
      <c r="J15667" s="19" t="n"/>
      <c r="P15667" s="20" t="n"/>
      <c r="Q15667" s="19" t="n"/>
      <c r="R15667" s="19" t="n"/>
      <c r="Y15667" s="19" t="n"/>
    </row>
    <row r="15668">
      <c r="C15668" s="18" t="n"/>
      <c r="J15668" s="19" t="n"/>
      <c r="P15668" s="20" t="n"/>
      <c r="Q15668" s="19" t="n"/>
      <c r="R15668" s="19" t="n"/>
      <c r="Y15668" s="19" t="n"/>
    </row>
    <row r="15669">
      <c r="C15669" s="18" t="n"/>
      <c r="J15669" s="19" t="n"/>
      <c r="P15669" s="20" t="n"/>
      <c r="Q15669" s="19" t="n"/>
      <c r="R15669" s="19" t="n"/>
      <c r="Y15669" s="19" t="n"/>
    </row>
    <row r="15670">
      <c r="C15670" s="18" t="n"/>
      <c r="J15670" s="19" t="n"/>
      <c r="P15670" s="20" t="n"/>
      <c r="Q15670" s="19" t="n"/>
      <c r="R15670" s="19" t="n"/>
      <c r="Y15670" s="19" t="n"/>
    </row>
    <row r="15671">
      <c r="C15671" s="18" t="n"/>
      <c r="J15671" s="19" t="n"/>
      <c r="P15671" s="20" t="n"/>
      <c r="Q15671" s="19" t="n"/>
      <c r="R15671" s="19" t="n"/>
      <c r="Y15671" s="19" t="n"/>
    </row>
    <row r="15672">
      <c r="C15672" s="18" t="n"/>
      <c r="J15672" s="19" t="n"/>
      <c r="P15672" s="20" t="n"/>
      <c r="Q15672" s="19" t="n"/>
      <c r="R15672" s="19" t="n"/>
      <c r="Y15672" s="19" t="n"/>
    </row>
    <row r="15673">
      <c r="C15673" s="18" t="n"/>
      <c r="J15673" s="19" t="n"/>
      <c r="P15673" s="20" t="n"/>
      <c r="Q15673" s="19" t="n"/>
      <c r="R15673" s="19" t="n"/>
      <c r="Y15673" s="19" t="n"/>
    </row>
    <row r="15674">
      <c r="C15674" s="18" t="n"/>
      <c r="J15674" s="19" t="n"/>
      <c r="P15674" s="20" t="n"/>
      <c r="Q15674" s="19" t="n"/>
      <c r="R15674" s="19" t="n"/>
      <c r="Y15674" s="19" t="n"/>
    </row>
    <row r="15675">
      <c r="C15675" s="18" t="n"/>
      <c r="J15675" s="19" t="n"/>
      <c r="P15675" s="20" t="n"/>
      <c r="Q15675" s="19" t="n"/>
      <c r="R15675" s="19" t="n"/>
      <c r="Y15675" s="19" t="n"/>
    </row>
    <row r="15676">
      <c r="C15676" s="18" t="n"/>
      <c r="J15676" s="19" t="n"/>
      <c r="P15676" s="20" t="n"/>
      <c r="Q15676" s="19" t="n"/>
      <c r="R15676" s="19" t="n"/>
      <c r="Y15676" s="19" t="n"/>
    </row>
    <row r="15677">
      <c r="C15677" s="18" t="n"/>
      <c r="J15677" s="19" t="n"/>
      <c r="P15677" s="20" t="n"/>
      <c r="Q15677" s="19" t="n"/>
      <c r="R15677" s="19" t="n"/>
      <c r="Y15677" s="19" t="n"/>
    </row>
    <row r="15678">
      <c r="C15678" s="18" t="n"/>
      <c r="J15678" s="19" t="n"/>
      <c r="P15678" s="20" t="n"/>
      <c r="Q15678" s="19" t="n"/>
      <c r="R15678" s="19" t="n"/>
      <c r="Y15678" s="19" t="n"/>
    </row>
    <row r="15679">
      <c r="C15679" s="18" t="n"/>
      <c r="J15679" s="19" t="n"/>
      <c r="P15679" s="20" t="n"/>
      <c r="Q15679" s="19" t="n"/>
      <c r="R15679" s="19" t="n"/>
      <c r="Y15679" s="19" t="n"/>
    </row>
    <row r="15680">
      <c r="C15680" s="18" t="n"/>
      <c r="J15680" s="19" t="n"/>
      <c r="P15680" s="20" t="n"/>
      <c r="Q15680" s="19" t="n"/>
      <c r="R15680" s="19" t="n"/>
      <c r="Y15680" s="19" t="n"/>
    </row>
    <row r="15681">
      <c r="C15681" s="18" t="n"/>
      <c r="J15681" s="19" t="n"/>
      <c r="P15681" s="20" t="n"/>
      <c r="Q15681" s="19" t="n"/>
      <c r="R15681" s="19" t="n"/>
      <c r="Y15681" s="19" t="n"/>
    </row>
    <row r="15682">
      <c r="C15682" s="18" t="n"/>
      <c r="J15682" s="19" t="n"/>
      <c r="P15682" s="20" t="n"/>
      <c r="Q15682" s="19" t="n"/>
      <c r="R15682" s="19" t="n"/>
      <c r="Y15682" s="19" t="n"/>
    </row>
    <row r="15683">
      <c r="C15683" s="18" t="n"/>
      <c r="J15683" s="19" t="n"/>
      <c r="P15683" s="20" t="n"/>
      <c r="Q15683" s="19" t="n"/>
      <c r="R15683" s="19" t="n"/>
      <c r="Y15683" s="19" t="n"/>
    </row>
    <row r="15684">
      <c r="C15684" s="18" t="n"/>
      <c r="J15684" s="19" t="n"/>
      <c r="P15684" s="20" t="n"/>
      <c r="Q15684" s="19" t="n"/>
      <c r="R15684" s="19" t="n"/>
      <c r="Y15684" s="19" t="n"/>
    </row>
    <row r="15685">
      <c r="C15685" s="18" t="n"/>
      <c r="J15685" s="19" t="n"/>
      <c r="P15685" s="20" t="n"/>
      <c r="Q15685" s="19" t="n"/>
      <c r="R15685" s="19" t="n"/>
      <c r="Y15685" s="19" t="n"/>
    </row>
    <row r="15686">
      <c r="C15686" s="18" t="n"/>
      <c r="J15686" s="19" t="n"/>
      <c r="P15686" s="20" t="n"/>
      <c r="Q15686" s="19" t="n"/>
      <c r="R15686" s="19" t="n"/>
      <c r="Y15686" s="19" t="n"/>
    </row>
    <row r="15687">
      <c r="C15687" s="18" t="n"/>
      <c r="J15687" s="19" t="n"/>
      <c r="P15687" s="20" t="n"/>
      <c r="Q15687" s="19" t="n"/>
      <c r="R15687" s="19" t="n"/>
      <c r="Y15687" s="19" t="n"/>
    </row>
    <row r="15688">
      <c r="C15688" s="18" t="n"/>
      <c r="J15688" s="19" t="n"/>
      <c r="P15688" s="20" t="n"/>
      <c r="Q15688" s="19" t="n"/>
      <c r="R15688" s="19" t="n"/>
      <c r="Y15688" s="19" t="n"/>
    </row>
    <row r="15689">
      <c r="C15689" s="18" t="n"/>
      <c r="J15689" s="19" t="n"/>
      <c r="P15689" s="20" t="n"/>
      <c r="Q15689" s="19" t="n"/>
      <c r="R15689" s="19" t="n"/>
      <c r="Y15689" s="19" t="n"/>
    </row>
    <row r="15690">
      <c r="C15690" s="18" t="n"/>
      <c r="J15690" s="19" t="n"/>
      <c r="P15690" s="20" t="n"/>
      <c r="Q15690" s="19" t="n"/>
      <c r="R15690" s="19" t="n"/>
      <c r="Y15690" s="19" t="n"/>
    </row>
    <row r="15691">
      <c r="C15691" s="18" t="n"/>
      <c r="J15691" s="19" t="n"/>
      <c r="P15691" s="20" t="n"/>
      <c r="Q15691" s="19" t="n"/>
      <c r="R15691" s="19" t="n"/>
      <c r="Y15691" s="19" t="n"/>
    </row>
    <row r="15692">
      <c r="C15692" s="18" t="n"/>
      <c r="J15692" s="19" t="n"/>
      <c r="P15692" s="20" t="n"/>
      <c r="Q15692" s="19" t="n"/>
      <c r="R15692" s="19" t="n"/>
      <c r="Y15692" s="19" t="n"/>
    </row>
    <row r="15693">
      <c r="C15693" s="18" t="n"/>
      <c r="J15693" s="19" t="n"/>
      <c r="P15693" s="20" t="n"/>
      <c r="Q15693" s="19" t="n"/>
      <c r="R15693" s="19" t="n"/>
      <c r="Y15693" s="19" t="n"/>
    </row>
    <row r="15694">
      <c r="C15694" s="18" t="n"/>
      <c r="J15694" s="19" t="n"/>
      <c r="P15694" s="20" t="n"/>
      <c r="Q15694" s="19" t="n"/>
      <c r="R15694" s="19" t="n"/>
      <c r="Y15694" s="19" t="n"/>
    </row>
    <row r="15695">
      <c r="C15695" s="18" t="n"/>
      <c r="J15695" s="19" t="n"/>
      <c r="P15695" s="20" t="n"/>
      <c r="Q15695" s="19" t="n"/>
      <c r="R15695" s="19" t="n"/>
      <c r="Y15695" s="19" t="n"/>
    </row>
    <row r="15696">
      <c r="C15696" s="18" t="n"/>
      <c r="J15696" s="19" t="n"/>
      <c r="P15696" s="20" t="n"/>
      <c r="Q15696" s="19" t="n"/>
      <c r="R15696" s="19" t="n"/>
      <c r="Y15696" s="19" t="n"/>
    </row>
    <row r="15697">
      <c r="C15697" s="18" t="n"/>
      <c r="J15697" s="19" t="n"/>
      <c r="P15697" s="20" t="n"/>
      <c r="Q15697" s="19" t="n"/>
      <c r="R15697" s="19" t="n"/>
      <c r="Y15697" s="19" t="n"/>
    </row>
    <row r="15698">
      <c r="C15698" s="18" t="n"/>
      <c r="J15698" s="19" t="n"/>
      <c r="P15698" s="20" t="n"/>
      <c r="Q15698" s="19" t="n"/>
      <c r="R15698" s="19" t="n"/>
      <c r="Y15698" s="19" t="n"/>
    </row>
    <row r="15699">
      <c r="C15699" s="18" t="n"/>
      <c r="J15699" s="19" t="n"/>
      <c r="P15699" s="20" t="n"/>
      <c r="Q15699" s="19" t="n"/>
      <c r="R15699" s="19" t="n"/>
      <c r="Y15699" s="19" t="n"/>
    </row>
    <row r="15700">
      <c r="C15700" s="18" t="n"/>
      <c r="J15700" s="19" t="n"/>
      <c r="P15700" s="20" t="n"/>
      <c r="Q15700" s="19" t="n"/>
      <c r="R15700" s="19" t="n"/>
      <c r="Y15700" s="19" t="n"/>
    </row>
    <row r="15701">
      <c r="C15701" s="18" t="n"/>
      <c r="J15701" s="19" t="n"/>
      <c r="P15701" s="20" t="n"/>
      <c r="Q15701" s="19" t="n"/>
      <c r="R15701" s="19" t="n"/>
      <c r="Y15701" s="19" t="n"/>
    </row>
    <row r="15702">
      <c r="C15702" s="18" t="n"/>
      <c r="J15702" s="19" t="n"/>
      <c r="P15702" s="20" t="n"/>
      <c r="Q15702" s="19" t="n"/>
      <c r="R15702" s="19" t="n"/>
      <c r="Y15702" s="19" t="n"/>
    </row>
    <row r="15703">
      <c r="C15703" s="18" t="n"/>
      <c r="J15703" s="19" t="n"/>
      <c r="P15703" s="20" t="n"/>
      <c r="Q15703" s="19" t="n"/>
      <c r="R15703" s="19" t="n"/>
      <c r="Y15703" s="19" t="n"/>
    </row>
    <row r="15704">
      <c r="C15704" s="18" t="n"/>
      <c r="J15704" s="19" t="n"/>
      <c r="P15704" s="20" t="n"/>
      <c r="Q15704" s="19" t="n"/>
      <c r="R15704" s="19" t="n"/>
      <c r="Y15704" s="19" t="n"/>
    </row>
    <row r="15705">
      <c r="C15705" s="18" t="n"/>
      <c r="J15705" s="19" t="n"/>
      <c r="P15705" s="20" t="n"/>
      <c r="Q15705" s="19" t="n"/>
      <c r="R15705" s="19" t="n"/>
      <c r="Y15705" s="19" t="n"/>
    </row>
    <row r="15706">
      <c r="C15706" s="18" t="n"/>
      <c r="J15706" s="19" t="n"/>
      <c r="P15706" s="20" t="n"/>
      <c r="Q15706" s="19" t="n"/>
      <c r="R15706" s="19" t="n"/>
      <c r="Y15706" s="19" t="n"/>
    </row>
    <row r="15707">
      <c r="C15707" s="18" t="n"/>
      <c r="J15707" s="19" t="n"/>
      <c r="P15707" s="20" t="n"/>
      <c r="Q15707" s="19" t="n"/>
      <c r="R15707" s="19" t="n"/>
      <c r="Y15707" s="19" t="n"/>
    </row>
    <row r="15708">
      <c r="C15708" s="18" t="n"/>
      <c r="J15708" s="19" t="n"/>
      <c r="P15708" s="20" t="n"/>
      <c r="Q15708" s="19" t="n"/>
      <c r="R15708" s="19" t="n"/>
      <c r="Y15708" s="19" t="n"/>
    </row>
    <row r="15709">
      <c r="C15709" s="18" t="n"/>
      <c r="J15709" s="19" t="n"/>
      <c r="P15709" s="20" t="n"/>
      <c r="Q15709" s="19" t="n"/>
      <c r="R15709" s="19" t="n"/>
      <c r="Y15709" s="19" t="n"/>
    </row>
    <row r="15710">
      <c r="C15710" s="18" t="n"/>
      <c r="J15710" s="19" t="n"/>
      <c r="P15710" s="20" t="n"/>
      <c r="Q15710" s="19" t="n"/>
      <c r="R15710" s="19" t="n"/>
      <c r="Y15710" s="19" t="n"/>
    </row>
    <row r="15711">
      <c r="C15711" s="18" t="n"/>
      <c r="J15711" s="19" t="n"/>
      <c r="P15711" s="20" t="n"/>
      <c r="Q15711" s="19" t="n"/>
      <c r="R15711" s="19" t="n"/>
      <c r="Y15711" s="19" t="n"/>
    </row>
    <row r="15712">
      <c r="C15712" s="18" t="n"/>
      <c r="J15712" s="19" t="n"/>
      <c r="P15712" s="20" t="n"/>
      <c r="Q15712" s="19" t="n"/>
      <c r="R15712" s="19" t="n"/>
      <c r="Y15712" s="19" t="n"/>
    </row>
    <row r="15713">
      <c r="C15713" s="18" t="n"/>
      <c r="J15713" s="19" t="n"/>
      <c r="P15713" s="20" t="n"/>
      <c r="Q15713" s="19" t="n"/>
      <c r="R15713" s="19" t="n"/>
      <c r="Y15713" s="19" t="n"/>
    </row>
    <row r="15714">
      <c r="C15714" s="18" t="n"/>
      <c r="J15714" s="19" t="n"/>
      <c r="P15714" s="20" t="n"/>
      <c r="Q15714" s="19" t="n"/>
      <c r="R15714" s="19" t="n"/>
      <c r="Y15714" s="19" t="n"/>
    </row>
    <row r="15715">
      <c r="C15715" s="18" t="n"/>
      <c r="J15715" s="19" t="n"/>
      <c r="P15715" s="20" t="n"/>
      <c r="Q15715" s="19" t="n"/>
      <c r="R15715" s="19" t="n"/>
      <c r="Y15715" s="19" t="n"/>
    </row>
    <row r="15716">
      <c r="C15716" s="18" t="n"/>
      <c r="J15716" s="19" t="n"/>
      <c r="P15716" s="20" t="n"/>
      <c r="Q15716" s="19" t="n"/>
      <c r="R15716" s="19" t="n"/>
      <c r="Y15716" s="19" t="n"/>
    </row>
    <row r="15717">
      <c r="C15717" s="18" t="n"/>
      <c r="J15717" s="19" t="n"/>
      <c r="P15717" s="20" t="n"/>
      <c r="Q15717" s="19" t="n"/>
      <c r="R15717" s="19" t="n"/>
      <c r="Y15717" s="19" t="n"/>
    </row>
    <row r="15718">
      <c r="C15718" s="18" t="n"/>
      <c r="J15718" s="19" t="n"/>
      <c r="P15718" s="20" t="n"/>
      <c r="Q15718" s="19" t="n"/>
      <c r="R15718" s="19" t="n"/>
      <c r="Y15718" s="19" t="n"/>
    </row>
    <row r="15719">
      <c r="C15719" s="18" t="n"/>
      <c r="J15719" s="19" t="n"/>
      <c r="P15719" s="20" t="n"/>
      <c r="Q15719" s="19" t="n"/>
      <c r="R15719" s="19" t="n"/>
      <c r="Y15719" s="19" t="n"/>
    </row>
    <row r="15720">
      <c r="C15720" s="18" t="n"/>
      <c r="J15720" s="19" t="n"/>
      <c r="P15720" s="20" t="n"/>
      <c r="Q15720" s="19" t="n"/>
      <c r="R15720" s="19" t="n"/>
      <c r="Y15720" s="19" t="n"/>
    </row>
    <row r="15721">
      <c r="C15721" s="18" t="n"/>
      <c r="J15721" s="19" t="n"/>
      <c r="P15721" s="20" t="n"/>
      <c r="Q15721" s="19" t="n"/>
      <c r="R15721" s="19" t="n"/>
      <c r="Y15721" s="19" t="n"/>
    </row>
    <row r="15722">
      <c r="C15722" s="18" t="n"/>
      <c r="J15722" s="19" t="n"/>
      <c r="P15722" s="20" t="n"/>
      <c r="Q15722" s="19" t="n"/>
      <c r="R15722" s="19" t="n"/>
      <c r="Y15722" s="19" t="n"/>
    </row>
    <row r="15723">
      <c r="C15723" s="18" t="n"/>
      <c r="J15723" s="19" t="n"/>
      <c r="P15723" s="20" t="n"/>
      <c r="Q15723" s="19" t="n"/>
      <c r="R15723" s="19" t="n"/>
      <c r="Y15723" s="19" t="n"/>
    </row>
    <row r="15724">
      <c r="C15724" s="18" t="n"/>
      <c r="J15724" s="19" t="n"/>
      <c r="P15724" s="20" t="n"/>
      <c r="Q15724" s="19" t="n"/>
      <c r="R15724" s="19" t="n"/>
      <c r="Y15724" s="19" t="n"/>
    </row>
    <row r="15725">
      <c r="C15725" s="18" t="n"/>
      <c r="J15725" s="19" t="n"/>
      <c r="P15725" s="20" t="n"/>
      <c r="Q15725" s="19" t="n"/>
      <c r="R15725" s="19" t="n"/>
      <c r="Y15725" s="19" t="n"/>
    </row>
    <row r="15726">
      <c r="C15726" s="18" t="n"/>
      <c r="J15726" s="19" t="n"/>
      <c r="P15726" s="20" t="n"/>
      <c r="Q15726" s="19" t="n"/>
      <c r="R15726" s="19" t="n"/>
      <c r="Y15726" s="19" t="n"/>
    </row>
    <row r="15727">
      <c r="C15727" s="18" t="n"/>
      <c r="J15727" s="19" t="n"/>
      <c r="P15727" s="20" t="n"/>
      <c r="Q15727" s="19" t="n"/>
      <c r="R15727" s="19" t="n"/>
      <c r="Y15727" s="19" t="n"/>
    </row>
    <row r="15728">
      <c r="C15728" s="18" t="n"/>
      <c r="J15728" s="19" t="n"/>
      <c r="P15728" s="20" t="n"/>
      <c r="Q15728" s="19" t="n"/>
      <c r="R15728" s="19" t="n"/>
      <c r="Y15728" s="19" t="n"/>
    </row>
    <row r="15729">
      <c r="C15729" s="18" t="n"/>
      <c r="J15729" s="19" t="n"/>
      <c r="P15729" s="20" t="n"/>
      <c r="Q15729" s="19" t="n"/>
      <c r="R15729" s="19" t="n"/>
      <c r="Y15729" s="19" t="n"/>
    </row>
    <row r="15730">
      <c r="C15730" s="18" t="n"/>
      <c r="J15730" s="19" t="n"/>
      <c r="P15730" s="20" t="n"/>
      <c r="Q15730" s="19" t="n"/>
      <c r="R15730" s="19" t="n"/>
      <c r="Y15730" s="19" t="n"/>
    </row>
    <row r="15731">
      <c r="C15731" s="18" t="n"/>
      <c r="J15731" s="19" t="n"/>
      <c r="P15731" s="20" t="n"/>
      <c r="Q15731" s="19" t="n"/>
      <c r="R15731" s="19" t="n"/>
      <c r="Y15731" s="19" t="n"/>
    </row>
    <row r="15732">
      <c r="C15732" s="18" t="n"/>
      <c r="J15732" s="19" t="n"/>
      <c r="P15732" s="20" t="n"/>
      <c r="Q15732" s="19" t="n"/>
      <c r="R15732" s="19" t="n"/>
      <c r="Y15732" s="19" t="n"/>
    </row>
    <row r="15733">
      <c r="C15733" s="18" t="n"/>
      <c r="J15733" s="19" t="n"/>
      <c r="P15733" s="20" t="n"/>
      <c r="Q15733" s="19" t="n"/>
      <c r="R15733" s="19" t="n"/>
      <c r="Y15733" s="19" t="n"/>
    </row>
    <row r="15734">
      <c r="C15734" s="18" t="n"/>
      <c r="J15734" s="19" t="n"/>
      <c r="P15734" s="20" t="n"/>
      <c r="Q15734" s="19" t="n"/>
      <c r="R15734" s="19" t="n"/>
      <c r="Y15734" s="19" t="n"/>
    </row>
    <row r="15735">
      <c r="C15735" s="18" t="n"/>
      <c r="J15735" s="19" t="n"/>
      <c r="P15735" s="20" t="n"/>
      <c r="Q15735" s="19" t="n"/>
      <c r="R15735" s="19" t="n"/>
      <c r="Y15735" s="19" t="n"/>
    </row>
    <row r="15736">
      <c r="C15736" s="18" t="n"/>
      <c r="J15736" s="19" t="n"/>
      <c r="P15736" s="20" t="n"/>
      <c r="Q15736" s="19" t="n"/>
      <c r="R15736" s="19" t="n"/>
      <c r="Y15736" s="19" t="n"/>
    </row>
    <row r="15737">
      <c r="C15737" s="18" t="n"/>
      <c r="J15737" s="19" t="n"/>
      <c r="P15737" s="20" t="n"/>
      <c r="Q15737" s="19" t="n"/>
      <c r="R15737" s="19" t="n"/>
      <c r="Y15737" s="19" t="n"/>
    </row>
    <row r="15738">
      <c r="C15738" s="18" t="n"/>
      <c r="J15738" s="19" t="n"/>
      <c r="P15738" s="20" t="n"/>
      <c r="Q15738" s="19" t="n"/>
      <c r="R15738" s="19" t="n"/>
      <c r="Y15738" s="19" t="n"/>
    </row>
    <row r="15739">
      <c r="C15739" s="18" t="n"/>
      <c r="J15739" s="19" t="n"/>
      <c r="P15739" s="20" t="n"/>
      <c r="Q15739" s="19" t="n"/>
      <c r="R15739" s="19" t="n"/>
      <c r="Y15739" s="19" t="n"/>
    </row>
    <row r="15740">
      <c r="C15740" s="18" t="n"/>
      <c r="J15740" s="19" t="n"/>
      <c r="P15740" s="20" t="n"/>
      <c r="Q15740" s="19" t="n"/>
      <c r="R15740" s="19" t="n"/>
      <c r="Y15740" s="19" t="n"/>
    </row>
    <row r="15741">
      <c r="C15741" s="18" t="n"/>
      <c r="J15741" s="19" t="n"/>
      <c r="P15741" s="20" t="n"/>
      <c r="Q15741" s="19" t="n"/>
      <c r="R15741" s="19" t="n"/>
      <c r="Y15741" s="19" t="n"/>
    </row>
    <row r="15742">
      <c r="C15742" s="18" t="n"/>
      <c r="J15742" s="19" t="n"/>
      <c r="P15742" s="20" t="n"/>
      <c r="Q15742" s="19" t="n"/>
      <c r="R15742" s="19" t="n"/>
      <c r="Y15742" s="19" t="n"/>
    </row>
    <row r="15743">
      <c r="C15743" s="18" t="n"/>
      <c r="J15743" s="19" t="n"/>
      <c r="P15743" s="20" t="n"/>
      <c r="Q15743" s="19" t="n"/>
      <c r="R15743" s="19" t="n"/>
      <c r="Y15743" s="19" t="n"/>
    </row>
    <row r="15744">
      <c r="C15744" s="18" t="n"/>
      <c r="J15744" s="19" t="n"/>
      <c r="P15744" s="20" t="n"/>
      <c r="Q15744" s="19" t="n"/>
      <c r="R15744" s="19" t="n"/>
      <c r="Y15744" s="19" t="n"/>
    </row>
    <row r="15745">
      <c r="C15745" s="18" t="n"/>
      <c r="J15745" s="19" t="n"/>
      <c r="P15745" s="20" t="n"/>
      <c r="Q15745" s="19" t="n"/>
      <c r="R15745" s="19" t="n"/>
      <c r="Y15745" s="19" t="n"/>
    </row>
    <row r="15746">
      <c r="C15746" s="18" t="n"/>
      <c r="J15746" s="19" t="n"/>
      <c r="P15746" s="20" t="n"/>
      <c r="Q15746" s="19" t="n"/>
      <c r="R15746" s="19" t="n"/>
      <c r="Y15746" s="19" t="n"/>
    </row>
    <row r="15747">
      <c r="C15747" s="18" t="n"/>
      <c r="J15747" s="19" t="n"/>
      <c r="P15747" s="20" t="n"/>
      <c r="Q15747" s="19" t="n"/>
      <c r="R15747" s="19" t="n"/>
      <c r="Y15747" s="19" t="n"/>
    </row>
    <row r="15748">
      <c r="C15748" s="18" t="n"/>
      <c r="J15748" s="19" t="n"/>
      <c r="P15748" s="20" t="n"/>
      <c r="Q15748" s="19" t="n"/>
      <c r="R15748" s="19" t="n"/>
      <c r="Y15748" s="19" t="n"/>
    </row>
    <row r="15749">
      <c r="C15749" s="18" t="n"/>
      <c r="J15749" s="19" t="n"/>
      <c r="P15749" s="20" t="n"/>
      <c r="Q15749" s="19" t="n"/>
      <c r="R15749" s="19" t="n"/>
      <c r="Y15749" s="19" t="n"/>
    </row>
    <row r="15750">
      <c r="C15750" s="18" t="n"/>
      <c r="J15750" s="19" t="n"/>
      <c r="P15750" s="20" t="n"/>
      <c r="Q15750" s="19" t="n"/>
      <c r="R15750" s="19" t="n"/>
      <c r="Y15750" s="19" t="n"/>
    </row>
    <row r="15751">
      <c r="C15751" s="18" t="n"/>
      <c r="J15751" s="19" t="n"/>
      <c r="P15751" s="20" t="n"/>
      <c r="Q15751" s="19" t="n"/>
      <c r="R15751" s="19" t="n"/>
      <c r="Y15751" s="19" t="n"/>
    </row>
    <row r="15752">
      <c r="C15752" s="18" t="n"/>
      <c r="J15752" s="19" t="n"/>
      <c r="P15752" s="20" t="n"/>
      <c r="Q15752" s="19" t="n"/>
      <c r="R15752" s="19" t="n"/>
      <c r="Y15752" s="19" t="n"/>
    </row>
    <row r="15753">
      <c r="C15753" s="18" t="n"/>
      <c r="J15753" s="19" t="n"/>
      <c r="P15753" s="20" t="n"/>
      <c r="Q15753" s="19" t="n"/>
      <c r="R15753" s="19" t="n"/>
      <c r="Y15753" s="19" t="n"/>
    </row>
    <row r="15754">
      <c r="C15754" s="18" t="n"/>
      <c r="J15754" s="19" t="n"/>
      <c r="P15754" s="20" t="n"/>
      <c r="Q15754" s="19" t="n"/>
      <c r="R15754" s="19" t="n"/>
      <c r="Y15754" s="19" t="n"/>
    </row>
    <row r="15755">
      <c r="C15755" s="18" t="n"/>
      <c r="J15755" s="19" t="n"/>
      <c r="P15755" s="20" t="n"/>
      <c r="Q15755" s="19" t="n"/>
      <c r="R15755" s="19" t="n"/>
      <c r="Y15755" s="19" t="n"/>
    </row>
    <row r="15756">
      <c r="C15756" s="18" t="n"/>
      <c r="J15756" s="19" t="n"/>
      <c r="P15756" s="20" t="n"/>
      <c r="Q15756" s="19" t="n"/>
      <c r="R15756" s="19" t="n"/>
      <c r="Y15756" s="19" t="n"/>
    </row>
    <row r="15757">
      <c r="C15757" s="18" t="n"/>
      <c r="J15757" s="19" t="n"/>
      <c r="P15757" s="20" t="n"/>
      <c r="Q15757" s="19" t="n"/>
      <c r="R15757" s="19" t="n"/>
      <c r="Y15757" s="19" t="n"/>
    </row>
    <row r="15758">
      <c r="C15758" s="18" t="n"/>
      <c r="J15758" s="19" t="n"/>
      <c r="P15758" s="20" t="n"/>
      <c r="Q15758" s="19" t="n"/>
      <c r="R15758" s="19" t="n"/>
      <c r="Y15758" s="19" t="n"/>
    </row>
    <row r="15759">
      <c r="C15759" s="18" t="n"/>
      <c r="J15759" s="19" t="n"/>
      <c r="P15759" s="20" t="n"/>
      <c r="Q15759" s="19" t="n"/>
      <c r="R15759" s="19" t="n"/>
      <c r="Y15759" s="19" t="n"/>
    </row>
    <row r="15760">
      <c r="C15760" s="18" t="n"/>
      <c r="J15760" s="19" t="n"/>
      <c r="P15760" s="20" t="n"/>
      <c r="Q15760" s="19" t="n"/>
      <c r="R15760" s="19" t="n"/>
      <c r="Y15760" s="19" t="n"/>
    </row>
    <row r="15761">
      <c r="C15761" s="18" t="n"/>
      <c r="J15761" s="19" t="n"/>
      <c r="P15761" s="20" t="n"/>
      <c r="Q15761" s="19" t="n"/>
      <c r="R15761" s="19" t="n"/>
      <c r="Y15761" s="19" t="n"/>
    </row>
    <row r="15762">
      <c r="C15762" s="18" t="n"/>
      <c r="J15762" s="19" t="n"/>
      <c r="P15762" s="20" t="n"/>
      <c r="Q15762" s="19" t="n"/>
      <c r="R15762" s="19" t="n"/>
      <c r="Y15762" s="19" t="n"/>
    </row>
    <row r="15763">
      <c r="C15763" s="18" t="n"/>
      <c r="J15763" s="19" t="n"/>
      <c r="P15763" s="20" t="n"/>
      <c r="Q15763" s="19" t="n"/>
      <c r="R15763" s="19" t="n"/>
      <c r="Y15763" s="19" t="n"/>
    </row>
    <row r="15764">
      <c r="C15764" s="18" t="n"/>
      <c r="J15764" s="19" t="n"/>
      <c r="P15764" s="20" t="n"/>
      <c r="Q15764" s="19" t="n"/>
      <c r="R15764" s="19" t="n"/>
      <c r="Y15764" s="19" t="n"/>
    </row>
    <row r="15765">
      <c r="C15765" s="18" t="n"/>
      <c r="J15765" s="19" t="n"/>
      <c r="P15765" s="20" t="n"/>
      <c r="Q15765" s="19" t="n"/>
      <c r="R15765" s="19" t="n"/>
      <c r="Y15765" s="19" t="n"/>
    </row>
    <row r="15766">
      <c r="C15766" s="18" t="n"/>
      <c r="J15766" s="19" t="n"/>
      <c r="P15766" s="20" t="n"/>
      <c r="Q15766" s="19" t="n"/>
      <c r="R15766" s="19" t="n"/>
      <c r="Y15766" s="19" t="n"/>
    </row>
    <row r="15767">
      <c r="C15767" s="18" t="n"/>
      <c r="J15767" s="19" t="n"/>
      <c r="P15767" s="20" t="n"/>
      <c r="Q15767" s="19" t="n"/>
      <c r="R15767" s="19" t="n"/>
      <c r="Y15767" s="19" t="n"/>
    </row>
    <row r="15768">
      <c r="C15768" s="18" t="n"/>
      <c r="J15768" s="19" t="n"/>
      <c r="P15768" s="20" t="n"/>
      <c r="Q15768" s="19" t="n"/>
      <c r="R15768" s="19" t="n"/>
      <c r="Y15768" s="19" t="n"/>
    </row>
    <row r="15769">
      <c r="C15769" s="18" t="n"/>
      <c r="J15769" s="19" t="n"/>
      <c r="P15769" s="20" t="n"/>
      <c r="Q15769" s="19" t="n"/>
      <c r="R15769" s="19" t="n"/>
      <c r="Y15769" s="19" t="n"/>
    </row>
    <row r="15770">
      <c r="C15770" s="18" t="n"/>
      <c r="J15770" s="19" t="n"/>
      <c r="P15770" s="20" t="n"/>
      <c r="Q15770" s="19" t="n"/>
      <c r="R15770" s="19" t="n"/>
      <c r="Y15770" s="19" t="n"/>
    </row>
    <row r="15771">
      <c r="C15771" s="18" t="n"/>
      <c r="J15771" s="19" t="n"/>
      <c r="P15771" s="20" t="n"/>
      <c r="Q15771" s="19" t="n"/>
      <c r="R15771" s="19" t="n"/>
      <c r="Y15771" s="19" t="n"/>
    </row>
    <row r="15772">
      <c r="C15772" s="18" t="n"/>
      <c r="J15772" s="19" t="n"/>
      <c r="P15772" s="20" t="n"/>
      <c r="Q15772" s="19" t="n"/>
      <c r="R15772" s="19" t="n"/>
      <c r="Y15772" s="19" t="n"/>
    </row>
    <row r="15773">
      <c r="C15773" s="18" t="n"/>
      <c r="J15773" s="19" t="n"/>
      <c r="P15773" s="20" t="n"/>
      <c r="Q15773" s="19" t="n"/>
      <c r="R15773" s="19" t="n"/>
      <c r="Y15773" s="19" t="n"/>
    </row>
    <row r="15774">
      <c r="C15774" s="18" t="n"/>
      <c r="J15774" s="19" t="n"/>
      <c r="P15774" s="20" t="n"/>
      <c r="Q15774" s="19" t="n"/>
      <c r="R15774" s="19" t="n"/>
      <c r="Y15774" s="19" t="n"/>
    </row>
    <row r="15775">
      <c r="C15775" s="18" t="n"/>
      <c r="J15775" s="19" t="n"/>
      <c r="P15775" s="20" t="n"/>
      <c r="Q15775" s="19" t="n"/>
      <c r="R15775" s="19" t="n"/>
      <c r="Y15775" s="19" t="n"/>
    </row>
    <row r="15776">
      <c r="C15776" s="18" t="n"/>
      <c r="J15776" s="19" t="n"/>
      <c r="P15776" s="20" t="n"/>
      <c r="Q15776" s="19" t="n"/>
      <c r="R15776" s="19" t="n"/>
      <c r="Y15776" s="19" t="n"/>
    </row>
    <row r="15777">
      <c r="C15777" s="18" t="n"/>
      <c r="J15777" s="19" t="n"/>
      <c r="P15777" s="20" t="n"/>
      <c r="Q15777" s="19" t="n"/>
      <c r="R15777" s="19" t="n"/>
      <c r="Y15777" s="19" t="n"/>
    </row>
    <row r="15778">
      <c r="C15778" s="18" t="n"/>
      <c r="J15778" s="19" t="n"/>
      <c r="P15778" s="20" t="n"/>
      <c r="Q15778" s="19" t="n"/>
      <c r="R15778" s="19" t="n"/>
      <c r="Y15778" s="19" t="n"/>
    </row>
    <row r="15779">
      <c r="C15779" s="18" t="n"/>
      <c r="J15779" s="19" t="n"/>
      <c r="P15779" s="20" t="n"/>
      <c r="Q15779" s="19" t="n"/>
      <c r="R15779" s="19" t="n"/>
      <c r="Y15779" s="19" t="n"/>
    </row>
    <row r="15780">
      <c r="C15780" s="18" t="n"/>
      <c r="J15780" s="19" t="n"/>
      <c r="P15780" s="20" t="n"/>
      <c r="Q15780" s="19" t="n"/>
      <c r="R15780" s="19" t="n"/>
      <c r="Y15780" s="19" t="n"/>
    </row>
    <row r="15781">
      <c r="C15781" s="18" t="n"/>
      <c r="J15781" s="19" t="n"/>
      <c r="P15781" s="20" t="n"/>
      <c r="Q15781" s="19" t="n"/>
      <c r="R15781" s="19" t="n"/>
      <c r="Y15781" s="19" t="n"/>
    </row>
    <row r="15782">
      <c r="C15782" s="18" t="n"/>
      <c r="J15782" s="19" t="n"/>
      <c r="P15782" s="20" t="n"/>
      <c r="Q15782" s="19" t="n"/>
      <c r="R15782" s="19" t="n"/>
      <c r="Y15782" s="19" t="n"/>
    </row>
    <row r="15783">
      <c r="C15783" s="18" t="n"/>
      <c r="J15783" s="19" t="n"/>
      <c r="P15783" s="20" t="n"/>
      <c r="Q15783" s="19" t="n"/>
      <c r="R15783" s="19" t="n"/>
      <c r="Y15783" s="19" t="n"/>
    </row>
    <row r="15784">
      <c r="C15784" s="18" t="n"/>
      <c r="J15784" s="19" t="n"/>
      <c r="P15784" s="20" t="n"/>
      <c r="Q15784" s="19" t="n"/>
      <c r="R15784" s="19" t="n"/>
      <c r="Y15784" s="19" t="n"/>
    </row>
    <row r="15785">
      <c r="C15785" s="18" t="n"/>
      <c r="J15785" s="19" t="n"/>
      <c r="P15785" s="20" t="n"/>
      <c r="Q15785" s="19" t="n"/>
      <c r="R15785" s="19" t="n"/>
      <c r="Y15785" s="19" t="n"/>
    </row>
    <row r="15786">
      <c r="C15786" s="18" t="n"/>
      <c r="J15786" s="19" t="n"/>
      <c r="P15786" s="20" t="n"/>
      <c r="Q15786" s="19" t="n"/>
      <c r="R15786" s="19" t="n"/>
      <c r="Y15786" s="19" t="n"/>
    </row>
    <row r="15787">
      <c r="C15787" s="18" t="n"/>
      <c r="J15787" s="19" t="n"/>
      <c r="P15787" s="20" t="n"/>
      <c r="Q15787" s="19" t="n"/>
      <c r="R15787" s="19" t="n"/>
      <c r="Y15787" s="19" t="n"/>
    </row>
    <row r="15788">
      <c r="C15788" s="18" t="n"/>
      <c r="J15788" s="19" t="n"/>
      <c r="P15788" s="20" t="n"/>
      <c r="Q15788" s="19" t="n"/>
      <c r="R15788" s="19" t="n"/>
      <c r="Y15788" s="19" t="n"/>
    </row>
    <row r="15789">
      <c r="C15789" s="18" t="n"/>
      <c r="J15789" s="19" t="n"/>
      <c r="P15789" s="20" t="n"/>
      <c r="Q15789" s="19" t="n"/>
      <c r="R15789" s="19" t="n"/>
      <c r="Y15789" s="19" t="n"/>
    </row>
    <row r="15790">
      <c r="C15790" s="18" t="n"/>
      <c r="J15790" s="19" t="n"/>
      <c r="P15790" s="20" t="n"/>
      <c r="Q15790" s="19" t="n"/>
      <c r="R15790" s="19" t="n"/>
      <c r="Y15790" s="19" t="n"/>
    </row>
    <row r="15791">
      <c r="C15791" s="18" t="n"/>
      <c r="J15791" s="19" t="n"/>
      <c r="P15791" s="20" t="n"/>
      <c r="Q15791" s="19" t="n"/>
      <c r="R15791" s="19" t="n"/>
      <c r="Y15791" s="19" t="n"/>
    </row>
    <row r="15792">
      <c r="C15792" s="18" t="n"/>
      <c r="J15792" s="19" t="n"/>
      <c r="P15792" s="20" t="n"/>
      <c r="Q15792" s="19" t="n"/>
      <c r="R15792" s="19" t="n"/>
      <c r="Y15792" s="19" t="n"/>
    </row>
    <row r="15793">
      <c r="C15793" s="18" t="n"/>
      <c r="J15793" s="19" t="n"/>
      <c r="P15793" s="20" t="n"/>
      <c r="Q15793" s="19" t="n"/>
      <c r="R15793" s="19" t="n"/>
      <c r="Y15793" s="19" t="n"/>
    </row>
    <row r="15794">
      <c r="C15794" s="18" t="n"/>
      <c r="J15794" s="19" t="n"/>
      <c r="P15794" s="20" t="n"/>
      <c r="Q15794" s="19" t="n"/>
      <c r="R15794" s="19" t="n"/>
      <c r="Y15794" s="19" t="n"/>
    </row>
    <row r="15795">
      <c r="C15795" s="18" t="n"/>
      <c r="J15795" s="19" t="n"/>
      <c r="P15795" s="20" t="n"/>
      <c r="Q15795" s="19" t="n"/>
      <c r="R15795" s="19" t="n"/>
      <c r="Y15795" s="19" t="n"/>
    </row>
    <row r="15796">
      <c r="C15796" s="18" t="n"/>
      <c r="J15796" s="19" t="n"/>
      <c r="P15796" s="20" t="n"/>
      <c r="Q15796" s="19" t="n"/>
      <c r="R15796" s="19" t="n"/>
      <c r="Y15796" s="19" t="n"/>
    </row>
    <row r="15797">
      <c r="C15797" s="18" t="n"/>
      <c r="J15797" s="19" t="n"/>
      <c r="P15797" s="20" t="n"/>
      <c r="Q15797" s="19" t="n"/>
      <c r="R15797" s="19" t="n"/>
      <c r="Y15797" s="19" t="n"/>
    </row>
    <row r="15798">
      <c r="C15798" s="18" t="n"/>
      <c r="J15798" s="19" t="n"/>
      <c r="P15798" s="20" t="n"/>
      <c r="Q15798" s="19" t="n"/>
      <c r="R15798" s="19" t="n"/>
      <c r="Y15798" s="19" t="n"/>
    </row>
    <row r="15799">
      <c r="C15799" s="18" t="n"/>
      <c r="J15799" s="19" t="n"/>
      <c r="P15799" s="20" t="n"/>
      <c r="Q15799" s="19" t="n"/>
      <c r="R15799" s="19" t="n"/>
      <c r="Y15799" s="19" t="n"/>
    </row>
    <row r="15800">
      <c r="C15800" s="18" t="n"/>
      <c r="J15800" s="19" t="n"/>
      <c r="P15800" s="20" t="n"/>
      <c r="Q15800" s="19" t="n"/>
      <c r="R15800" s="19" t="n"/>
      <c r="Y15800" s="19" t="n"/>
    </row>
    <row r="15801">
      <c r="C15801" s="18" t="n"/>
      <c r="J15801" s="19" t="n"/>
      <c r="P15801" s="20" t="n"/>
      <c r="Q15801" s="19" t="n"/>
      <c r="R15801" s="19" t="n"/>
      <c r="Y15801" s="19" t="n"/>
    </row>
    <row r="15802">
      <c r="C15802" s="18" t="n"/>
      <c r="J15802" s="19" t="n"/>
      <c r="P15802" s="20" t="n"/>
      <c r="Q15802" s="19" t="n"/>
      <c r="R15802" s="19" t="n"/>
      <c r="Y15802" s="19" t="n"/>
    </row>
    <row r="15803">
      <c r="C15803" s="18" t="n"/>
      <c r="J15803" s="19" t="n"/>
      <c r="P15803" s="20" t="n"/>
      <c r="Q15803" s="19" t="n"/>
      <c r="R15803" s="19" t="n"/>
      <c r="Y15803" s="19" t="n"/>
    </row>
    <row r="15804">
      <c r="C15804" s="18" t="n"/>
      <c r="J15804" s="19" t="n"/>
      <c r="P15804" s="20" t="n"/>
      <c r="Q15804" s="19" t="n"/>
      <c r="R15804" s="19" t="n"/>
      <c r="Y15804" s="19" t="n"/>
    </row>
    <row r="15805">
      <c r="C15805" s="18" t="n"/>
      <c r="J15805" s="19" t="n"/>
      <c r="P15805" s="20" t="n"/>
      <c r="Q15805" s="19" t="n"/>
      <c r="R15805" s="19" t="n"/>
      <c r="Y15805" s="19" t="n"/>
    </row>
    <row r="15806">
      <c r="C15806" s="18" t="n"/>
      <c r="J15806" s="19" t="n"/>
      <c r="P15806" s="20" t="n"/>
      <c r="Q15806" s="19" t="n"/>
      <c r="R15806" s="19" t="n"/>
      <c r="Y15806" s="19" t="n"/>
    </row>
    <row r="15807">
      <c r="C15807" s="18" t="n"/>
      <c r="J15807" s="19" t="n"/>
      <c r="P15807" s="20" t="n"/>
      <c r="Q15807" s="19" t="n"/>
      <c r="R15807" s="19" t="n"/>
      <c r="Y15807" s="19" t="n"/>
    </row>
    <row r="15808">
      <c r="C15808" s="18" t="n"/>
      <c r="J15808" s="19" t="n"/>
      <c r="P15808" s="20" t="n"/>
      <c r="Q15808" s="19" t="n"/>
      <c r="R15808" s="19" t="n"/>
      <c r="Y15808" s="19" t="n"/>
    </row>
    <row r="15809">
      <c r="C15809" s="18" t="n"/>
      <c r="J15809" s="19" t="n"/>
      <c r="P15809" s="20" t="n"/>
      <c r="Q15809" s="19" t="n"/>
      <c r="R15809" s="19" t="n"/>
      <c r="Y15809" s="19" t="n"/>
    </row>
    <row r="15810">
      <c r="C15810" s="18" t="n"/>
      <c r="J15810" s="19" t="n"/>
      <c r="P15810" s="20" t="n"/>
      <c r="Q15810" s="19" t="n"/>
      <c r="R15810" s="19" t="n"/>
      <c r="Y15810" s="19" t="n"/>
    </row>
    <row r="15811">
      <c r="C15811" s="18" t="n"/>
      <c r="J15811" s="19" t="n"/>
      <c r="P15811" s="20" t="n"/>
      <c r="Q15811" s="19" t="n"/>
      <c r="R15811" s="19" t="n"/>
      <c r="Y15811" s="19" t="n"/>
    </row>
    <row r="15812">
      <c r="C15812" s="18" t="n"/>
      <c r="J15812" s="19" t="n"/>
      <c r="P15812" s="20" t="n"/>
      <c r="Q15812" s="19" t="n"/>
      <c r="R15812" s="19" t="n"/>
      <c r="Y15812" s="19" t="n"/>
    </row>
    <row r="15813">
      <c r="C15813" s="18" t="n"/>
      <c r="J15813" s="19" t="n"/>
      <c r="P15813" s="20" t="n"/>
      <c r="Q15813" s="19" t="n"/>
      <c r="R15813" s="19" t="n"/>
      <c r="Y15813" s="19" t="n"/>
    </row>
    <row r="15814">
      <c r="C15814" s="18" t="n"/>
      <c r="J15814" s="19" t="n"/>
      <c r="P15814" s="20" t="n"/>
      <c r="Q15814" s="19" t="n"/>
      <c r="R15814" s="19" t="n"/>
      <c r="Y15814" s="19" t="n"/>
    </row>
    <row r="15815">
      <c r="C15815" s="18" t="n"/>
      <c r="J15815" s="19" t="n"/>
      <c r="P15815" s="20" t="n"/>
      <c r="Q15815" s="19" t="n"/>
      <c r="R15815" s="19" t="n"/>
      <c r="Y15815" s="19" t="n"/>
    </row>
    <row r="15816">
      <c r="C15816" s="18" t="n"/>
      <c r="J15816" s="19" t="n"/>
      <c r="P15816" s="20" t="n"/>
      <c r="Q15816" s="19" t="n"/>
      <c r="R15816" s="19" t="n"/>
      <c r="Y15816" s="19" t="n"/>
    </row>
    <row r="15817">
      <c r="C15817" s="18" t="n"/>
      <c r="J15817" s="19" t="n"/>
      <c r="P15817" s="20" t="n"/>
      <c r="Q15817" s="19" t="n"/>
      <c r="R15817" s="19" t="n"/>
      <c r="Y15817" s="19" t="n"/>
    </row>
    <row r="15818">
      <c r="C15818" s="18" t="n"/>
      <c r="J15818" s="19" t="n"/>
      <c r="P15818" s="20" t="n"/>
      <c r="Q15818" s="19" t="n"/>
      <c r="R15818" s="19" t="n"/>
      <c r="Y15818" s="19" t="n"/>
    </row>
    <row r="15819">
      <c r="C15819" s="18" t="n"/>
      <c r="J15819" s="19" t="n"/>
      <c r="P15819" s="20" t="n"/>
      <c r="Q15819" s="19" t="n"/>
      <c r="R15819" s="19" t="n"/>
      <c r="Y15819" s="19" t="n"/>
    </row>
    <row r="15820">
      <c r="C15820" s="18" t="n"/>
      <c r="J15820" s="19" t="n"/>
      <c r="P15820" s="20" t="n"/>
      <c r="Q15820" s="19" t="n"/>
      <c r="R15820" s="19" t="n"/>
      <c r="Y15820" s="19" t="n"/>
    </row>
    <row r="15821">
      <c r="C15821" s="18" t="n"/>
      <c r="J15821" s="19" t="n"/>
      <c r="P15821" s="20" t="n"/>
      <c r="Q15821" s="19" t="n"/>
      <c r="R15821" s="19" t="n"/>
      <c r="Y15821" s="19" t="n"/>
    </row>
    <row r="15822">
      <c r="C15822" s="18" t="n"/>
      <c r="J15822" s="19" t="n"/>
      <c r="P15822" s="20" t="n"/>
      <c r="Q15822" s="19" t="n"/>
      <c r="R15822" s="19" t="n"/>
      <c r="Y15822" s="19" t="n"/>
    </row>
    <row r="15823">
      <c r="C15823" s="18" t="n"/>
      <c r="J15823" s="19" t="n"/>
      <c r="P15823" s="20" t="n"/>
      <c r="Q15823" s="19" t="n"/>
      <c r="R15823" s="19" t="n"/>
      <c r="Y15823" s="19" t="n"/>
    </row>
    <row r="15824">
      <c r="C15824" s="18" t="n"/>
      <c r="J15824" s="19" t="n"/>
      <c r="P15824" s="20" t="n"/>
      <c r="Q15824" s="19" t="n"/>
      <c r="R15824" s="19" t="n"/>
      <c r="Y15824" s="19" t="n"/>
    </row>
    <row r="15825">
      <c r="C15825" s="18" t="n"/>
      <c r="J15825" s="19" t="n"/>
      <c r="P15825" s="20" t="n"/>
      <c r="Q15825" s="19" t="n"/>
      <c r="R15825" s="19" t="n"/>
      <c r="Y15825" s="19" t="n"/>
    </row>
    <row r="15826">
      <c r="C15826" s="18" t="n"/>
      <c r="J15826" s="19" t="n"/>
      <c r="P15826" s="20" t="n"/>
      <c r="Q15826" s="19" t="n"/>
      <c r="R15826" s="19" t="n"/>
      <c r="Y15826" s="19" t="n"/>
    </row>
    <row r="15827">
      <c r="C15827" s="18" t="n"/>
      <c r="J15827" s="19" t="n"/>
      <c r="P15827" s="20" t="n"/>
      <c r="Q15827" s="19" t="n"/>
      <c r="R15827" s="19" t="n"/>
      <c r="Y15827" s="19" t="n"/>
    </row>
    <row r="15828">
      <c r="C15828" s="18" t="n"/>
      <c r="J15828" s="19" t="n"/>
      <c r="P15828" s="20" t="n"/>
      <c r="Q15828" s="19" t="n"/>
      <c r="R15828" s="19" t="n"/>
      <c r="Y15828" s="19" t="n"/>
    </row>
    <row r="15829">
      <c r="C15829" s="18" t="n"/>
      <c r="J15829" s="19" t="n"/>
      <c r="P15829" s="20" t="n"/>
      <c r="Q15829" s="19" t="n"/>
      <c r="R15829" s="19" t="n"/>
      <c r="Y15829" s="19" t="n"/>
    </row>
    <row r="15830">
      <c r="C15830" s="18" t="n"/>
      <c r="J15830" s="19" t="n"/>
      <c r="P15830" s="20" t="n"/>
      <c r="Q15830" s="19" t="n"/>
      <c r="R15830" s="19" t="n"/>
      <c r="Y15830" s="19" t="n"/>
    </row>
    <row r="15831">
      <c r="C15831" s="18" t="n"/>
      <c r="J15831" s="19" t="n"/>
      <c r="P15831" s="20" t="n"/>
      <c r="Q15831" s="19" t="n"/>
      <c r="R15831" s="19" t="n"/>
      <c r="Y15831" s="19" t="n"/>
    </row>
    <row r="15832">
      <c r="C15832" s="18" t="n"/>
      <c r="J15832" s="19" t="n"/>
      <c r="P15832" s="20" t="n"/>
      <c r="Q15832" s="19" t="n"/>
      <c r="R15832" s="19" t="n"/>
      <c r="Y15832" s="19" t="n"/>
    </row>
    <row r="15833">
      <c r="C15833" s="18" t="n"/>
      <c r="J15833" s="19" t="n"/>
      <c r="P15833" s="20" t="n"/>
      <c r="Q15833" s="19" t="n"/>
      <c r="R15833" s="19" t="n"/>
      <c r="Y15833" s="19" t="n"/>
    </row>
    <row r="15834">
      <c r="C15834" s="18" t="n"/>
      <c r="J15834" s="19" t="n"/>
      <c r="P15834" s="20" t="n"/>
      <c r="Q15834" s="19" t="n"/>
      <c r="R15834" s="19" t="n"/>
      <c r="Y15834" s="19" t="n"/>
    </row>
    <row r="15835">
      <c r="C15835" s="18" t="n"/>
      <c r="J15835" s="19" t="n"/>
      <c r="P15835" s="20" t="n"/>
      <c r="Q15835" s="19" t="n"/>
      <c r="R15835" s="19" t="n"/>
      <c r="Y15835" s="19" t="n"/>
    </row>
    <row r="15836">
      <c r="C15836" s="18" t="n"/>
      <c r="J15836" s="19" t="n"/>
      <c r="P15836" s="20" t="n"/>
      <c r="Q15836" s="19" t="n"/>
      <c r="R15836" s="19" t="n"/>
      <c r="Y15836" s="19" t="n"/>
    </row>
    <row r="15837">
      <c r="C15837" s="18" t="n"/>
      <c r="J15837" s="19" t="n"/>
      <c r="P15837" s="20" t="n"/>
      <c r="Q15837" s="19" t="n"/>
      <c r="R15837" s="19" t="n"/>
      <c r="Y15837" s="19" t="n"/>
    </row>
    <row r="15838">
      <c r="C15838" s="18" t="n"/>
      <c r="J15838" s="19" t="n"/>
      <c r="P15838" s="20" t="n"/>
      <c r="Q15838" s="19" t="n"/>
      <c r="R15838" s="19" t="n"/>
      <c r="Y15838" s="19" t="n"/>
    </row>
    <row r="15839">
      <c r="C15839" s="18" t="n"/>
      <c r="J15839" s="19" t="n"/>
      <c r="P15839" s="20" t="n"/>
      <c r="Q15839" s="19" t="n"/>
      <c r="R15839" s="19" t="n"/>
      <c r="Y15839" s="19" t="n"/>
    </row>
    <row r="15840">
      <c r="C15840" s="18" t="n"/>
      <c r="J15840" s="19" t="n"/>
      <c r="P15840" s="20" t="n"/>
      <c r="Q15840" s="19" t="n"/>
      <c r="R15840" s="19" t="n"/>
      <c r="Y15840" s="19" t="n"/>
    </row>
    <row r="15841">
      <c r="C15841" s="18" t="n"/>
      <c r="J15841" s="19" t="n"/>
      <c r="P15841" s="20" t="n"/>
      <c r="Q15841" s="19" t="n"/>
      <c r="R15841" s="19" t="n"/>
      <c r="Y15841" s="19" t="n"/>
    </row>
    <row r="15842">
      <c r="C15842" s="18" t="n"/>
      <c r="J15842" s="19" t="n"/>
      <c r="P15842" s="20" t="n"/>
      <c r="Q15842" s="19" t="n"/>
      <c r="R15842" s="19" t="n"/>
      <c r="Y15842" s="19" t="n"/>
    </row>
    <row r="15843">
      <c r="C15843" s="18" t="n"/>
      <c r="J15843" s="19" t="n"/>
      <c r="P15843" s="20" t="n"/>
      <c r="Q15843" s="19" t="n"/>
      <c r="R15843" s="19" t="n"/>
      <c r="Y15843" s="19" t="n"/>
    </row>
    <row r="15844">
      <c r="C15844" s="18" t="n"/>
      <c r="J15844" s="19" t="n"/>
      <c r="P15844" s="20" t="n"/>
      <c r="Q15844" s="19" t="n"/>
      <c r="R15844" s="19" t="n"/>
      <c r="Y15844" s="19" t="n"/>
    </row>
    <row r="15845">
      <c r="C15845" s="18" t="n"/>
      <c r="J15845" s="19" t="n"/>
      <c r="P15845" s="20" t="n"/>
      <c r="Q15845" s="19" t="n"/>
      <c r="R15845" s="19" t="n"/>
      <c r="Y15845" s="19" t="n"/>
    </row>
    <row r="15846">
      <c r="C15846" s="18" t="n"/>
      <c r="J15846" s="19" t="n"/>
      <c r="P15846" s="20" t="n"/>
      <c r="Q15846" s="19" t="n"/>
      <c r="R15846" s="19" t="n"/>
      <c r="Y15846" s="19" t="n"/>
    </row>
    <row r="15847">
      <c r="C15847" s="18" t="n"/>
      <c r="J15847" s="19" t="n"/>
      <c r="P15847" s="20" t="n"/>
      <c r="Q15847" s="19" t="n"/>
      <c r="R15847" s="19" t="n"/>
      <c r="Y15847" s="19" t="n"/>
    </row>
    <row r="15848">
      <c r="C15848" s="18" t="n"/>
      <c r="J15848" s="19" t="n"/>
      <c r="P15848" s="20" t="n"/>
      <c r="Q15848" s="19" t="n"/>
      <c r="R15848" s="19" t="n"/>
      <c r="Y15848" s="19" t="n"/>
    </row>
    <row r="15849">
      <c r="C15849" s="18" t="n"/>
      <c r="J15849" s="19" t="n"/>
      <c r="P15849" s="20" t="n"/>
      <c r="Q15849" s="19" t="n"/>
      <c r="R15849" s="19" t="n"/>
      <c r="Y15849" s="19" t="n"/>
    </row>
    <row r="15850">
      <c r="C15850" s="18" t="n"/>
      <c r="J15850" s="19" t="n"/>
      <c r="P15850" s="20" t="n"/>
      <c r="Q15850" s="19" t="n"/>
      <c r="R15850" s="19" t="n"/>
      <c r="Y15850" s="19" t="n"/>
    </row>
    <row r="15851">
      <c r="C15851" s="18" t="n"/>
      <c r="J15851" s="19" t="n"/>
      <c r="P15851" s="20" t="n"/>
      <c r="Q15851" s="19" t="n"/>
      <c r="R15851" s="19" t="n"/>
      <c r="Y15851" s="19" t="n"/>
    </row>
    <row r="15852">
      <c r="C15852" s="18" t="n"/>
      <c r="J15852" s="19" t="n"/>
      <c r="P15852" s="20" t="n"/>
      <c r="Q15852" s="19" t="n"/>
      <c r="R15852" s="19" t="n"/>
      <c r="Y15852" s="19" t="n"/>
    </row>
    <row r="15853">
      <c r="C15853" s="18" t="n"/>
      <c r="J15853" s="19" t="n"/>
      <c r="P15853" s="20" t="n"/>
      <c r="Q15853" s="19" t="n"/>
      <c r="R15853" s="19" t="n"/>
      <c r="Y15853" s="19" t="n"/>
    </row>
    <row r="15854">
      <c r="C15854" s="18" t="n"/>
      <c r="J15854" s="19" t="n"/>
      <c r="P15854" s="20" t="n"/>
      <c r="Q15854" s="19" t="n"/>
      <c r="R15854" s="19" t="n"/>
      <c r="Y15854" s="19" t="n"/>
    </row>
    <row r="15855">
      <c r="C15855" s="18" t="n"/>
      <c r="J15855" s="19" t="n"/>
      <c r="P15855" s="20" t="n"/>
      <c r="Q15855" s="19" t="n"/>
      <c r="R15855" s="19" t="n"/>
      <c r="Y15855" s="19" t="n"/>
    </row>
    <row r="15856">
      <c r="C15856" s="18" t="n"/>
      <c r="J15856" s="19" t="n"/>
      <c r="P15856" s="20" t="n"/>
      <c r="Q15856" s="19" t="n"/>
      <c r="R15856" s="19" t="n"/>
      <c r="Y15856" s="19" t="n"/>
    </row>
    <row r="15857">
      <c r="C15857" s="18" t="n"/>
      <c r="J15857" s="19" t="n"/>
      <c r="P15857" s="20" t="n"/>
      <c r="Q15857" s="19" t="n"/>
      <c r="R15857" s="19" t="n"/>
      <c r="Y15857" s="19" t="n"/>
    </row>
    <row r="15858">
      <c r="C15858" s="18" t="n"/>
      <c r="J15858" s="19" t="n"/>
      <c r="P15858" s="20" t="n"/>
      <c r="Q15858" s="19" t="n"/>
      <c r="R15858" s="19" t="n"/>
      <c r="Y15858" s="19" t="n"/>
    </row>
    <row r="15859">
      <c r="C15859" s="18" t="n"/>
      <c r="J15859" s="19" t="n"/>
      <c r="P15859" s="20" t="n"/>
      <c r="Q15859" s="19" t="n"/>
      <c r="R15859" s="19" t="n"/>
      <c r="Y15859" s="19" t="n"/>
    </row>
    <row r="15860">
      <c r="C15860" s="18" t="n"/>
      <c r="J15860" s="19" t="n"/>
      <c r="P15860" s="20" t="n"/>
      <c r="Q15860" s="19" t="n"/>
      <c r="R15860" s="19" t="n"/>
      <c r="Y15860" s="19" t="n"/>
    </row>
    <row r="15861">
      <c r="C15861" s="18" t="n"/>
      <c r="J15861" s="19" t="n"/>
      <c r="P15861" s="20" t="n"/>
      <c r="Q15861" s="19" t="n"/>
      <c r="R15861" s="19" t="n"/>
      <c r="Y15861" s="19" t="n"/>
    </row>
    <row r="15862">
      <c r="C15862" s="18" t="n"/>
      <c r="J15862" s="19" t="n"/>
      <c r="P15862" s="20" t="n"/>
      <c r="Q15862" s="19" t="n"/>
      <c r="R15862" s="19" t="n"/>
      <c r="Y15862" s="19" t="n"/>
    </row>
    <row r="15863">
      <c r="C15863" s="18" t="n"/>
      <c r="J15863" s="19" t="n"/>
      <c r="P15863" s="20" t="n"/>
      <c r="Q15863" s="19" t="n"/>
      <c r="R15863" s="19" t="n"/>
      <c r="Y15863" s="19" t="n"/>
    </row>
    <row r="15864">
      <c r="C15864" s="18" t="n"/>
      <c r="J15864" s="19" t="n"/>
      <c r="P15864" s="20" t="n"/>
      <c r="Q15864" s="19" t="n"/>
      <c r="R15864" s="19" t="n"/>
      <c r="Y15864" s="19" t="n"/>
    </row>
    <row r="15865">
      <c r="C15865" s="18" t="n"/>
      <c r="J15865" s="19" t="n"/>
      <c r="P15865" s="20" t="n"/>
      <c r="Q15865" s="19" t="n"/>
      <c r="R15865" s="19" t="n"/>
      <c r="Y15865" s="19" t="n"/>
    </row>
    <row r="15866">
      <c r="C15866" s="18" t="n"/>
      <c r="J15866" s="19" t="n"/>
      <c r="P15866" s="20" t="n"/>
      <c r="Q15866" s="19" t="n"/>
      <c r="R15866" s="19" t="n"/>
      <c r="Y15866" s="19" t="n"/>
    </row>
    <row r="15867">
      <c r="C15867" s="18" t="n"/>
      <c r="J15867" s="19" t="n"/>
      <c r="P15867" s="20" t="n"/>
      <c r="Q15867" s="19" t="n"/>
      <c r="R15867" s="19" t="n"/>
      <c r="Y15867" s="19" t="n"/>
    </row>
    <row r="15868">
      <c r="C15868" s="18" t="n"/>
      <c r="J15868" s="19" t="n"/>
      <c r="P15868" s="20" t="n"/>
      <c r="Q15868" s="19" t="n"/>
      <c r="R15868" s="19" t="n"/>
      <c r="Y15868" s="19" t="n"/>
    </row>
    <row r="15869">
      <c r="C15869" s="18" t="n"/>
      <c r="J15869" s="19" t="n"/>
      <c r="P15869" s="20" t="n"/>
      <c r="Q15869" s="19" t="n"/>
      <c r="R15869" s="19" t="n"/>
      <c r="Y15869" s="19" t="n"/>
    </row>
    <row r="15870">
      <c r="C15870" s="18" t="n"/>
      <c r="J15870" s="19" t="n"/>
      <c r="P15870" s="20" t="n"/>
      <c r="Q15870" s="19" t="n"/>
      <c r="R15870" s="19" t="n"/>
      <c r="Y15870" s="19" t="n"/>
    </row>
    <row r="15871">
      <c r="C15871" s="18" t="n"/>
      <c r="J15871" s="19" t="n"/>
      <c r="P15871" s="20" t="n"/>
      <c r="Q15871" s="19" t="n"/>
      <c r="R15871" s="19" t="n"/>
      <c r="Y15871" s="19" t="n"/>
    </row>
    <row r="15872">
      <c r="C15872" s="18" t="n"/>
      <c r="J15872" s="19" t="n"/>
      <c r="P15872" s="20" t="n"/>
      <c r="Q15872" s="19" t="n"/>
      <c r="R15872" s="19" t="n"/>
      <c r="Y15872" s="19" t="n"/>
    </row>
    <row r="15873">
      <c r="C15873" s="18" t="n"/>
      <c r="J15873" s="19" t="n"/>
      <c r="P15873" s="20" t="n"/>
      <c r="Q15873" s="19" t="n"/>
      <c r="R15873" s="19" t="n"/>
      <c r="Y15873" s="19" t="n"/>
    </row>
    <row r="15874">
      <c r="C15874" s="18" t="n"/>
      <c r="J15874" s="19" t="n"/>
      <c r="P15874" s="20" t="n"/>
      <c r="Q15874" s="19" t="n"/>
      <c r="R15874" s="19" t="n"/>
      <c r="Y15874" s="19" t="n"/>
    </row>
    <row r="15875">
      <c r="C15875" s="18" t="n"/>
      <c r="J15875" s="19" t="n"/>
      <c r="P15875" s="20" t="n"/>
      <c r="Q15875" s="19" t="n"/>
      <c r="R15875" s="19" t="n"/>
      <c r="Y15875" s="19" t="n"/>
    </row>
    <row r="15876">
      <c r="C15876" s="18" t="n"/>
      <c r="J15876" s="19" t="n"/>
      <c r="P15876" s="20" t="n"/>
      <c r="Q15876" s="19" t="n"/>
      <c r="R15876" s="19" t="n"/>
      <c r="Y15876" s="19" t="n"/>
    </row>
    <row r="15877">
      <c r="C15877" s="18" t="n"/>
      <c r="J15877" s="19" t="n"/>
      <c r="P15877" s="20" t="n"/>
      <c r="Q15877" s="19" t="n"/>
      <c r="R15877" s="19" t="n"/>
      <c r="Y15877" s="19" t="n"/>
    </row>
    <row r="15878">
      <c r="C15878" s="18" t="n"/>
      <c r="J15878" s="19" t="n"/>
      <c r="P15878" s="20" t="n"/>
      <c r="Q15878" s="19" t="n"/>
      <c r="R15878" s="19" t="n"/>
      <c r="Y15878" s="19" t="n"/>
    </row>
    <row r="15879">
      <c r="C15879" s="18" t="n"/>
      <c r="J15879" s="19" t="n"/>
      <c r="P15879" s="20" t="n"/>
      <c r="Q15879" s="19" t="n"/>
      <c r="R15879" s="19" t="n"/>
      <c r="Y15879" s="19" t="n"/>
    </row>
    <row r="15880">
      <c r="C15880" s="18" t="n"/>
      <c r="J15880" s="19" t="n"/>
      <c r="P15880" s="20" t="n"/>
      <c r="Q15880" s="19" t="n"/>
      <c r="R15880" s="19" t="n"/>
      <c r="Y15880" s="19" t="n"/>
    </row>
    <row r="15881">
      <c r="C15881" s="18" t="n"/>
      <c r="J15881" s="19" t="n"/>
      <c r="P15881" s="20" t="n"/>
      <c r="Q15881" s="19" t="n"/>
      <c r="R15881" s="19" t="n"/>
      <c r="Y15881" s="19" t="n"/>
    </row>
    <row r="15882">
      <c r="C15882" s="18" t="n"/>
      <c r="J15882" s="19" t="n"/>
      <c r="P15882" s="20" t="n"/>
      <c r="Q15882" s="19" t="n"/>
      <c r="R15882" s="19" t="n"/>
      <c r="Y15882" s="19" t="n"/>
    </row>
    <row r="15883">
      <c r="C15883" s="18" t="n"/>
      <c r="J15883" s="19" t="n"/>
      <c r="P15883" s="20" t="n"/>
      <c r="Q15883" s="19" t="n"/>
      <c r="R15883" s="19" t="n"/>
      <c r="Y15883" s="19" t="n"/>
    </row>
    <row r="15884">
      <c r="C15884" s="18" t="n"/>
      <c r="J15884" s="19" t="n"/>
      <c r="P15884" s="20" t="n"/>
      <c r="Q15884" s="19" t="n"/>
      <c r="R15884" s="19" t="n"/>
      <c r="Y15884" s="19" t="n"/>
    </row>
    <row r="15885">
      <c r="C15885" s="18" t="n"/>
      <c r="J15885" s="19" t="n"/>
      <c r="P15885" s="20" t="n"/>
      <c r="Q15885" s="19" t="n"/>
      <c r="R15885" s="19" t="n"/>
      <c r="Y15885" s="19" t="n"/>
    </row>
    <row r="15886">
      <c r="C15886" s="18" t="n"/>
      <c r="J15886" s="19" t="n"/>
      <c r="P15886" s="20" t="n"/>
      <c r="Q15886" s="19" t="n"/>
      <c r="R15886" s="19" t="n"/>
      <c r="Y15886" s="19" t="n"/>
    </row>
    <row r="15887">
      <c r="C15887" s="18" t="n"/>
      <c r="J15887" s="19" t="n"/>
      <c r="P15887" s="20" t="n"/>
      <c r="Q15887" s="19" t="n"/>
      <c r="R15887" s="19" t="n"/>
      <c r="Y15887" s="19" t="n"/>
    </row>
    <row r="15888">
      <c r="C15888" s="18" t="n"/>
      <c r="J15888" s="19" t="n"/>
      <c r="P15888" s="20" t="n"/>
      <c r="Q15888" s="19" t="n"/>
      <c r="R15888" s="19" t="n"/>
      <c r="Y15888" s="19" t="n"/>
    </row>
    <row r="15889">
      <c r="C15889" s="18" t="n"/>
      <c r="J15889" s="19" t="n"/>
      <c r="P15889" s="20" t="n"/>
      <c r="Q15889" s="19" t="n"/>
      <c r="R15889" s="19" t="n"/>
      <c r="Y15889" s="19" t="n"/>
    </row>
    <row r="15890">
      <c r="C15890" s="18" t="n"/>
      <c r="J15890" s="19" t="n"/>
      <c r="P15890" s="20" t="n"/>
      <c r="Q15890" s="19" t="n"/>
      <c r="R15890" s="19" t="n"/>
      <c r="Y15890" s="19" t="n"/>
    </row>
    <row r="15891">
      <c r="C15891" s="18" t="n"/>
      <c r="J15891" s="19" t="n"/>
      <c r="P15891" s="20" t="n"/>
      <c r="Q15891" s="19" t="n"/>
      <c r="R15891" s="19" t="n"/>
      <c r="Y15891" s="19" t="n"/>
    </row>
    <row r="15892">
      <c r="C15892" s="18" t="n"/>
      <c r="J15892" s="19" t="n"/>
      <c r="P15892" s="20" t="n"/>
      <c r="Q15892" s="19" t="n"/>
      <c r="R15892" s="19" t="n"/>
      <c r="Y15892" s="19" t="n"/>
    </row>
    <row r="15893">
      <c r="C15893" s="18" t="n"/>
      <c r="J15893" s="19" t="n"/>
      <c r="P15893" s="20" t="n"/>
      <c r="Q15893" s="19" t="n"/>
      <c r="R15893" s="19" t="n"/>
      <c r="Y15893" s="19" t="n"/>
    </row>
    <row r="15894">
      <c r="C15894" s="18" t="n"/>
      <c r="J15894" s="19" t="n"/>
      <c r="P15894" s="20" t="n"/>
      <c r="Q15894" s="19" t="n"/>
      <c r="R15894" s="19" t="n"/>
      <c r="Y15894" s="19" t="n"/>
    </row>
    <row r="15895">
      <c r="C15895" s="18" t="n"/>
      <c r="J15895" s="19" t="n"/>
      <c r="P15895" s="20" t="n"/>
      <c r="Q15895" s="19" t="n"/>
      <c r="R15895" s="19" t="n"/>
      <c r="Y15895" s="19" t="n"/>
    </row>
    <row r="15896">
      <c r="C15896" s="18" t="n"/>
      <c r="J15896" s="19" t="n"/>
      <c r="P15896" s="20" t="n"/>
      <c r="Q15896" s="19" t="n"/>
      <c r="R15896" s="19" t="n"/>
      <c r="Y15896" s="19" t="n"/>
    </row>
    <row r="15897">
      <c r="C15897" s="18" t="n"/>
      <c r="J15897" s="19" t="n"/>
      <c r="P15897" s="20" t="n"/>
      <c r="Q15897" s="19" t="n"/>
      <c r="R15897" s="19" t="n"/>
      <c r="Y15897" s="19" t="n"/>
    </row>
    <row r="15898">
      <c r="C15898" s="18" t="n"/>
      <c r="J15898" s="19" t="n"/>
      <c r="P15898" s="20" t="n"/>
      <c r="Q15898" s="19" t="n"/>
      <c r="R15898" s="19" t="n"/>
      <c r="Y15898" s="19" t="n"/>
    </row>
    <row r="15899">
      <c r="C15899" s="18" t="n"/>
      <c r="J15899" s="19" t="n"/>
      <c r="P15899" s="20" t="n"/>
      <c r="Q15899" s="19" t="n"/>
      <c r="R15899" s="19" t="n"/>
      <c r="Y15899" s="19" t="n"/>
    </row>
    <row r="15900">
      <c r="C15900" s="18" t="n"/>
      <c r="J15900" s="19" t="n"/>
      <c r="P15900" s="20" t="n"/>
      <c r="Q15900" s="19" t="n"/>
      <c r="R15900" s="19" t="n"/>
      <c r="Y15900" s="19" t="n"/>
    </row>
    <row r="15901">
      <c r="C15901" s="18" t="n"/>
      <c r="J15901" s="19" t="n"/>
      <c r="P15901" s="20" t="n"/>
      <c r="Q15901" s="19" t="n"/>
      <c r="R15901" s="19" t="n"/>
      <c r="Y15901" s="19" t="n"/>
    </row>
    <row r="15902">
      <c r="C15902" s="18" t="n"/>
      <c r="J15902" s="19" t="n"/>
      <c r="P15902" s="20" t="n"/>
      <c r="Q15902" s="19" t="n"/>
      <c r="R15902" s="19" t="n"/>
      <c r="Y15902" s="19" t="n"/>
    </row>
    <row r="15903">
      <c r="C15903" s="18" t="n"/>
      <c r="J15903" s="19" t="n"/>
      <c r="P15903" s="20" t="n"/>
      <c r="Q15903" s="19" t="n"/>
      <c r="R15903" s="19" t="n"/>
      <c r="Y15903" s="19" t="n"/>
    </row>
    <row r="15904">
      <c r="C15904" s="18" t="n"/>
      <c r="J15904" s="19" t="n"/>
      <c r="P15904" s="20" t="n"/>
      <c r="Q15904" s="19" t="n"/>
      <c r="R15904" s="19" t="n"/>
      <c r="Y15904" s="19" t="n"/>
    </row>
    <row r="15905">
      <c r="C15905" s="18" t="n"/>
      <c r="J15905" s="19" t="n"/>
      <c r="P15905" s="20" t="n"/>
      <c r="Q15905" s="19" t="n"/>
      <c r="R15905" s="19" t="n"/>
      <c r="Y15905" s="19" t="n"/>
    </row>
    <row r="15906">
      <c r="C15906" s="18" t="n"/>
      <c r="J15906" s="19" t="n"/>
      <c r="P15906" s="20" t="n"/>
      <c r="Q15906" s="19" t="n"/>
      <c r="R15906" s="19" t="n"/>
      <c r="Y15906" s="19" t="n"/>
    </row>
    <row r="15907">
      <c r="C15907" s="18" t="n"/>
      <c r="J15907" s="19" t="n"/>
      <c r="P15907" s="20" t="n"/>
      <c r="Q15907" s="19" t="n"/>
      <c r="R15907" s="19" t="n"/>
      <c r="Y15907" s="19" t="n"/>
    </row>
    <row r="15908">
      <c r="C15908" s="18" t="n"/>
      <c r="J15908" s="19" t="n"/>
      <c r="P15908" s="20" t="n"/>
      <c r="Q15908" s="19" t="n"/>
      <c r="R15908" s="19" t="n"/>
      <c r="Y15908" s="19" t="n"/>
    </row>
    <row r="15909">
      <c r="C15909" s="18" t="n"/>
      <c r="J15909" s="19" t="n"/>
      <c r="P15909" s="20" t="n"/>
      <c r="Q15909" s="19" t="n"/>
      <c r="R15909" s="19" t="n"/>
      <c r="Y15909" s="19" t="n"/>
    </row>
    <row r="15910">
      <c r="C15910" s="18" t="n"/>
      <c r="J15910" s="19" t="n"/>
      <c r="P15910" s="20" t="n"/>
      <c r="Q15910" s="19" t="n"/>
      <c r="R15910" s="19" t="n"/>
      <c r="Y15910" s="19" t="n"/>
    </row>
    <row r="15911">
      <c r="C15911" s="18" t="n"/>
      <c r="J15911" s="19" t="n"/>
      <c r="P15911" s="20" t="n"/>
      <c r="Q15911" s="19" t="n"/>
      <c r="R15911" s="19" t="n"/>
      <c r="Y15911" s="19" t="n"/>
    </row>
    <row r="15912">
      <c r="C15912" s="18" t="n"/>
      <c r="J15912" s="19" t="n"/>
      <c r="P15912" s="20" t="n"/>
      <c r="Q15912" s="19" t="n"/>
      <c r="R15912" s="19" t="n"/>
      <c r="Y15912" s="19" t="n"/>
    </row>
    <row r="15913">
      <c r="C15913" s="18" t="n"/>
      <c r="J15913" s="19" t="n"/>
      <c r="P15913" s="20" t="n"/>
      <c r="Q15913" s="19" t="n"/>
      <c r="R15913" s="19" t="n"/>
      <c r="Y15913" s="19" t="n"/>
    </row>
    <row r="15914">
      <c r="C15914" s="18" t="n"/>
      <c r="J15914" s="19" t="n"/>
      <c r="P15914" s="20" t="n"/>
      <c r="Q15914" s="19" t="n"/>
      <c r="R15914" s="19" t="n"/>
      <c r="Y15914" s="19" t="n"/>
    </row>
    <row r="15915">
      <c r="C15915" s="18" t="n"/>
      <c r="J15915" s="19" t="n"/>
      <c r="P15915" s="20" t="n"/>
      <c r="Q15915" s="19" t="n"/>
      <c r="R15915" s="19" t="n"/>
      <c r="Y15915" s="19" t="n"/>
    </row>
    <row r="15916">
      <c r="C15916" s="18" t="n"/>
      <c r="J15916" s="19" t="n"/>
      <c r="P15916" s="20" t="n"/>
      <c r="Q15916" s="19" t="n"/>
      <c r="R15916" s="19" t="n"/>
      <c r="Y15916" s="19" t="n"/>
    </row>
    <row r="15917">
      <c r="C15917" s="18" t="n"/>
      <c r="J15917" s="19" t="n"/>
      <c r="P15917" s="20" t="n"/>
      <c r="Q15917" s="19" t="n"/>
      <c r="R15917" s="19" t="n"/>
      <c r="Y15917" s="19" t="n"/>
    </row>
    <row r="15918">
      <c r="C15918" s="18" t="n"/>
      <c r="J15918" s="19" t="n"/>
      <c r="P15918" s="20" t="n"/>
      <c r="Q15918" s="19" t="n"/>
      <c r="R15918" s="19" t="n"/>
      <c r="Y15918" s="19" t="n"/>
    </row>
    <row r="15919">
      <c r="C15919" s="18" t="n"/>
      <c r="J15919" s="19" t="n"/>
      <c r="P15919" s="20" t="n"/>
      <c r="Q15919" s="19" t="n"/>
      <c r="R15919" s="19" t="n"/>
      <c r="Y15919" s="19" t="n"/>
    </row>
    <row r="15920">
      <c r="C15920" s="18" t="n"/>
      <c r="J15920" s="19" t="n"/>
      <c r="P15920" s="20" t="n"/>
      <c r="Q15920" s="19" t="n"/>
      <c r="R15920" s="19" t="n"/>
      <c r="Y15920" s="19" t="n"/>
    </row>
    <row r="15921">
      <c r="C15921" s="18" t="n"/>
      <c r="J15921" s="19" t="n"/>
      <c r="P15921" s="20" t="n"/>
      <c r="Q15921" s="19" t="n"/>
      <c r="R15921" s="19" t="n"/>
      <c r="Y15921" s="19" t="n"/>
    </row>
    <row r="15922">
      <c r="C15922" s="18" t="n"/>
      <c r="J15922" s="19" t="n"/>
      <c r="P15922" s="20" t="n"/>
      <c r="Q15922" s="19" t="n"/>
      <c r="R15922" s="19" t="n"/>
      <c r="Y15922" s="19" t="n"/>
    </row>
    <row r="15923">
      <c r="C15923" s="18" t="n"/>
      <c r="J15923" s="19" t="n"/>
      <c r="P15923" s="20" t="n"/>
      <c r="Q15923" s="19" t="n"/>
      <c r="R15923" s="19" t="n"/>
      <c r="Y15923" s="19" t="n"/>
    </row>
    <row r="15924">
      <c r="C15924" s="18" t="n"/>
      <c r="J15924" s="19" t="n"/>
      <c r="P15924" s="20" t="n"/>
      <c r="Q15924" s="19" t="n"/>
      <c r="R15924" s="19" t="n"/>
      <c r="Y15924" s="19" t="n"/>
    </row>
    <row r="15925">
      <c r="C15925" s="18" t="n"/>
      <c r="J15925" s="19" t="n"/>
      <c r="P15925" s="20" t="n"/>
      <c r="Q15925" s="19" t="n"/>
      <c r="R15925" s="19" t="n"/>
      <c r="Y15925" s="19" t="n"/>
    </row>
    <row r="15926">
      <c r="C15926" s="18" t="n"/>
      <c r="J15926" s="19" t="n"/>
      <c r="P15926" s="20" t="n"/>
      <c r="Q15926" s="19" t="n"/>
      <c r="R15926" s="19" t="n"/>
      <c r="Y15926" s="19" t="n"/>
    </row>
    <row r="15927">
      <c r="C15927" s="18" t="n"/>
      <c r="J15927" s="19" t="n"/>
      <c r="P15927" s="20" t="n"/>
      <c r="Q15927" s="19" t="n"/>
      <c r="R15927" s="19" t="n"/>
      <c r="Y15927" s="19" t="n"/>
    </row>
    <row r="15928">
      <c r="C15928" s="18" t="n"/>
      <c r="J15928" s="19" t="n"/>
      <c r="P15928" s="20" t="n"/>
      <c r="Q15928" s="19" t="n"/>
      <c r="R15928" s="19" t="n"/>
      <c r="Y15928" s="19" t="n"/>
    </row>
    <row r="15929">
      <c r="C15929" s="18" t="n"/>
      <c r="J15929" s="19" t="n"/>
      <c r="P15929" s="20" t="n"/>
      <c r="Q15929" s="19" t="n"/>
      <c r="R15929" s="19" t="n"/>
      <c r="Y15929" s="19" t="n"/>
    </row>
    <row r="15930">
      <c r="C15930" s="18" t="n"/>
      <c r="J15930" s="19" t="n"/>
      <c r="P15930" s="20" t="n"/>
      <c r="Q15930" s="19" t="n"/>
      <c r="R15930" s="19" t="n"/>
      <c r="Y15930" s="19" t="n"/>
    </row>
    <row r="15931">
      <c r="C15931" s="18" t="n"/>
      <c r="J15931" s="19" t="n"/>
      <c r="P15931" s="20" t="n"/>
      <c r="Q15931" s="19" t="n"/>
      <c r="R15931" s="19" t="n"/>
      <c r="Y15931" s="19" t="n"/>
    </row>
    <row r="15932">
      <c r="C15932" s="18" t="n"/>
      <c r="J15932" s="19" t="n"/>
      <c r="P15932" s="20" t="n"/>
      <c r="Q15932" s="19" t="n"/>
      <c r="R15932" s="19" t="n"/>
      <c r="Y15932" s="19" t="n"/>
    </row>
    <row r="15933">
      <c r="C15933" s="18" t="n"/>
      <c r="J15933" s="19" t="n"/>
      <c r="P15933" s="20" t="n"/>
      <c r="Q15933" s="19" t="n"/>
      <c r="R15933" s="19" t="n"/>
      <c r="Y15933" s="19" t="n"/>
    </row>
    <row r="15934">
      <c r="C15934" s="18" t="n"/>
      <c r="J15934" s="19" t="n"/>
      <c r="P15934" s="20" t="n"/>
      <c r="Q15934" s="19" t="n"/>
      <c r="R15934" s="19" t="n"/>
      <c r="Y15934" s="19" t="n"/>
    </row>
    <row r="15935">
      <c r="C15935" s="18" t="n"/>
      <c r="J15935" s="19" t="n"/>
      <c r="P15935" s="20" t="n"/>
      <c r="Q15935" s="19" t="n"/>
      <c r="R15935" s="19" t="n"/>
      <c r="Y15935" s="19" t="n"/>
    </row>
    <row r="15936">
      <c r="C15936" s="18" t="n"/>
      <c r="J15936" s="19" t="n"/>
      <c r="P15936" s="20" t="n"/>
      <c r="Q15936" s="19" t="n"/>
      <c r="R15936" s="19" t="n"/>
      <c r="Y15936" s="19" t="n"/>
    </row>
    <row r="15937">
      <c r="C15937" s="18" t="n"/>
      <c r="J15937" s="19" t="n"/>
      <c r="P15937" s="20" t="n"/>
      <c r="Q15937" s="19" t="n"/>
      <c r="R15937" s="19" t="n"/>
      <c r="Y15937" s="19" t="n"/>
    </row>
    <row r="15938">
      <c r="C15938" s="18" t="n"/>
      <c r="J15938" s="19" t="n"/>
      <c r="P15938" s="20" t="n"/>
      <c r="Q15938" s="19" t="n"/>
      <c r="R15938" s="19" t="n"/>
      <c r="Y15938" s="19" t="n"/>
    </row>
    <row r="15939">
      <c r="C15939" s="18" t="n"/>
      <c r="J15939" s="19" t="n"/>
      <c r="P15939" s="20" t="n"/>
      <c r="Q15939" s="19" t="n"/>
      <c r="R15939" s="19" t="n"/>
      <c r="Y15939" s="19" t="n"/>
    </row>
    <row r="15940">
      <c r="C15940" s="18" t="n"/>
      <c r="J15940" s="19" t="n"/>
      <c r="P15940" s="20" t="n"/>
      <c r="Q15940" s="19" t="n"/>
      <c r="R15940" s="19" t="n"/>
      <c r="Y15940" s="19" t="n"/>
    </row>
    <row r="15941">
      <c r="C15941" s="18" t="n"/>
      <c r="J15941" s="19" t="n"/>
      <c r="P15941" s="20" t="n"/>
      <c r="Q15941" s="19" t="n"/>
      <c r="R15941" s="19" t="n"/>
      <c r="Y15941" s="19" t="n"/>
    </row>
    <row r="15942">
      <c r="C15942" s="18" t="n"/>
      <c r="J15942" s="19" t="n"/>
      <c r="P15942" s="20" t="n"/>
      <c r="Q15942" s="19" t="n"/>
      <c r="R15942" s="19" t="n"/>
      <c r="Y15942" s="19" t="n"/>
    </row>
    <row r="15943">
      <c r="C15943" s="18" t="n"/>
      <c r="J15943" s="19" t="n"/>
      <c r="P15943" s="20" t="n"/>
      <c r="Q15943" s="19" t="n"/>
      <c r="R15943" s="19" t="n"/>
      <c r="Y15943" s="19" t="n"/>
    </row>
    <row r="15944">
      <c r="C15944" s="18" t="n"/>
      <c r="J15944" s="19" t="n"/>
      <c r="P15944" s="20" t="n"/>
      <c r="Q15944" s="19" t="n"/>
      <c r="R15944" s="19" t="n"/>
      <c r="Y15944" s="19" t="n"/>
    </row>
    <row r="15945">
      <c r="C15945" s="18" t="n"/>
      <c r="J15945" s="19" t="n"/>
      <c r="P15945" s="20" t="n"/>
      <c r="Q15945" s="19" t="n"/>
      <c r="R15945" s="19" t="n"/>
      <c r="Y15945" s="19" t="n"/>
    </row>
    <row r="15946">
      <c r="C15946" s="18" t="n"/>
      <c r="J15946" s="19" t="n"/>
      <c r="P15946" s="20" t="n"/>
      <c r="Q15946" s="19" t="n"/>
      <c r="R15946" s="19" t="n"/>
      <c r="Y15946" s="19" t="n"/>
    </row>
    <row r="15947">
      <c r="C15947" s="18" t="n"/>
      <c r="J15947" s="19" t="n"/>
      <c r="P15947" s="20" t="n"/>
      <c r="Q15947" s="19" t="n"/>
      <c r="R15947" s="19" t="n"/>
      <c r="Y15947" s="19" t="n"/>
    </row>
    <row r="15948">
      <c r="C15948" s="18" t="n"/>
      <c r="J15948" s="19" t="n"/>
      <c r="P15948" s="20" t="n"/>
      <c r="Q15948" s="19" t="n"/>
      <c r="R15948" s="19" t="n"/>
      <c r="Y15948" s="19" t="n"/>
    </row>
    <row r="15949">
      <c r="C15949" s="18" t="n"/>
      <c r="J15949" s="19" t="n"/>
      <c r="P15949" s="20" t="n"/>
      <c r="Q15949" s="19" t="n"/>
      <c r="R15949" s="19" t="n"/>
      <c r="Y15949" s="19" t="n"/>
    </row>
    <row r="15950">
      <c r="C15950" s="18" t="n"/>
      <c r="J15950" s="19" t="n"/>
      <c r="P15950" s="20" t="n"/>
      <c r="Q15950" s="19" t="n"/>
      <c r="R15950" s="19" t="n"/>
      <c r="Y15950" s="19" t="n"/>
    </row>
    <row r="15951">
      <c r="C15951" s="18" t="n"/>
      <c r="J15951" s="19" t="n"/>
      <c r="P15951" s="20" t="n"/>
      <c r="Q15951" s="19" t="n"/>
      <c r="R15951" s="19" t="n"/>
      <c r="Y15951" s="19" t="n"/>
    </row>
    <row r="15952">
      <c r="C15952" s="18" t="n"/>
      <c r="J15952" s="19" t="n"/>
      <c r="P15952" s="20" t="n"/>
      <c r="Q15952" s="19" t="n"/>
      <c r="R15952" s="19" t="n"/>
      <c r="Y15952" s="19" t="n"/>
    </row>
    <row r="15953">
      <c r="C15953" s="18" t="n"/>
      <c r="J15953" s="19" t="n"/>
      <c r="P15953" s="20" t="n"/>
      <c r="Q15953" s="19" t="n"/>
      <c r="R15953" s="19" t="n"/>
      <c r="Y15953" s="19" t="n"/>
    </row>
    <row r="15954">
      <c r="C15954" s="18" t="n"/>
      <c r="J15954" s="19" t="n"/>
      <c r="P15954" s="20" t="n"/>
      <c r="Q15954" s="19" t="n"/>
      <c r="R15954" s="19" t="n"/>
      <c r="Y15954" s="19" t="n"/>
    </row>
    <row r="15955">
      <c r="C15955" s="18" t="n"/>
      <c r="J15955" s="19" t="n"/>
      <c r="P15955" s="20" t="n"/>
      <c r="Q15955" s="19" t="n"/>
      <c r="R15955" s="19" t="n"/>
      <c r="Y15955" s="19" t="n"/>
    </row>
    <row r="15956">
      <c r="C15956" s="18" t="n"/>
      <c r="J15956" s="19" t="n"/>
      <c r="P15956" s="20" t="n"/>
      <c r="Q15956" s="19" t="n"/>
      <c r="R15956" s="19" t="n"/>
      <c r="Y15956" s="19" t="n"/>
    </row>
    <row r="15957">
      <c r="C15957" s="18" t="n"/>
      <c r="J15957" s="19" t="n"/>
      <c r="P15957" s="20" t="n"/>
      <c r="Q15957" s="19" t="n"/>
      <c r="R15957" s="19" t="n"/>
      <c r="Y15957" s="19" t="n"/>
    </row>
    <row r="15958">
      <c r="C15958" s="18" t="n"/>
      <c r="J15958" s="19" t="n"/>
      <c r="P15958" s="20" t="n"/>
      <c r="Q15958" s="19" t="n"/>
      <c r="R15958" s="19" t="n"/>
      <c r="Y15958" s="19" t="n"/>
    </row>
    <row r="15959">
      <c r="C15959" s="18" t="n"/>
      <c r="J15959" s="19" t="n"/>
      <c r="P15959" s="20" t="n"/>
      <c r="Q15959" s="19" t="n"/>
      <c r="R15959" s="19" t="n"/>
      <c r="Y15959" s="19" t="n"/>
    </row>
    <row r="15960">
      <c r="C15960" s="18" t="n"/>
      <c r="J15960" s="19" t="n"/>
      <c r="P15960" s="20" t="n"/>
      <c r="Q15960" s="19" t="n"/>
      <c r="R15960" s="19" t="n"/>
      <c r="Y15960" s="19" t="n"/>
    </row>
    <row r="15961">
      <c r="C15961" s="18" t="n"/>
      <c r="J15961" s="19" t="n"/>
      <c r="P15961" s="20" t="n"/>
      <c r="Q15961" s="19" t="n"/>
      <c r="R15961" s="19" t="n"/>
      <c r="Y15961" s="19" t="n"/>
    </row>
    <row r="15962">
      <c r="C15962" s="18" t="n"/>
      <c r="J15962" s="19" t="n"/>
      <c r="P15962" s="20" t="n"/>
      <c r="Q15962" s="19" t="n"/>
      <c r="R15962" s="19" t="n"/>
      <c r="Y15962" s="19" t="n"/>
    </row>
    <row r="15963">
      <c r="C15963" s="18" t="n"/>
      <c r="J15963" s="19" t="n"/>
      <c r="P15963" s="20" t="n"/>
      <c r="Q15963" s="19" t="n"/>
      <c r="R15963" s="19" t="n"/>
      <c r="Y15963" s="19" t="n"/>
    </row>
    <row r="15964">
      <c r="C15964" s="18" t="n"/>
      <c r="J15964" s="19" t="n"/>
      <c r="P15964" s="20" t="n"/>
      <c r="Q15964" s="19" t="n"/>
      <c r="R15964" s="19" t="n"/>
      <c r="Y15964" s="19" t="n"/>
    </row>
    <row r="15965">
      <c r="C15965" s="18" t="n"/>
      <c r="J15965" s="19" t="n"/>
      <c r="P15965" s="20" t="n"/>
      <c r="Q15965" s="19" t="n"/>
      <c r="R15965" s="19" t="n"/>
      <c r="Y15965" s="19" t="n"/>
    </row>
    <row r="15966">
      <c r="C15966" s="18" t="n"/>
      <c r="J15966" s="19" t="n"/>
      <c r="P15966" s="20" t="n"/>
      <c r="Q15966" s="19" t="n"/>
      <c r="R15966" s="19" t="n"/>
      <c r="Y15966" s="19" t="n"/>
    </row>
    <row r="15967">
      <c r="C15967" s="18" t="n"/>
      <c r="J15967" s="19" t="n"/>
      <c r="P15967" s="20" t="n"/>
      <c r="Q15967" s="19" t="n"/>
      <c r="R15967" s="19" t="n"/>
      <c r="Y15967" s="19" t="n"/>
    </row>
    <row r="15968">
      <c r="C15968" s="18" t="n"/>
      <c r="J15968" s="19" t="n"/>
      <c r="P15968" s="20" t="n"/>
      <c r="Q15968" s="19" t="n"/>
      <c r="R15968" s="19" t="n"/>
      <c r="Y15968" s="19" t="n"/>
    </row>
    <row r="15969">
      <c r="C15969" s="18" t="n"/>
      <c r="J15969" s="19" t="n"/>
      <c r="P15969" s="20" t="n"/>
      <c r="Q15969" s="19" t="n"/>
      <c r="R15969" s="19" t="n"/>
      <c r="Y15969" s="19" t="n"/>
    </row>
    <row r="15970">
      <c r="C15970" s="18" t="n"/>
      <c r="J15970" s="19" t="n"/>
      <c r="P15970" s="20" t="n"/>
      <c r="Q15970" s="19" t="n"/>
      <c r="R15970" s="19" t="n"/>
      <c r="Y15970" s="19" t="n"/>
    </row>
    <row r="15971">
      <c r="C15971" s="18" t="n"/>
      <c r="J15971" s="19" t="n"/>
      <c r="P15971" s="20" t="n"/>
      <c r="Q15971" s="19" t="n"/>
      <c r="R15971" s="19" t="n"/>
      <c r="Y15971" s="19" t="n"/>
    </row>
    <row r="15972">
      <c r="C15972" s="18" t="n"/>
      <c r="J15972" s="19" t="n"/>
      <c r="P15972" s="20" t="n"/>
      <c r="Q15972" s="19" t="n"/>
      <c r="R15972" s="19" t="n"/>
      <c r="Y15972" s="19" t="n"/>
    </row>
    <row r="15973">
      <c r="C15973" s="18" t="n"/>
      <c r="J15973" s="19" t="n"/>
      <c r="P15973" s="20" t="n"/>
      <c r="Q15973" s="19" t="n"/>
      <c r="R15973" s="19" t="n"/>
      <c r="Y15973" s="19" t="n"/>
    </row>
    <row r="15974">
      <c r="C15974" s="18" t="n"/>
      <c r="J15974" s="19" t="n"/>
      <c r="P15974" s="20" t="n"/>
      <c r="Q15974" s="19" t="n"/>
      <c r="R15974" s="19" t="n"/>
      <c r="Y15974" s="19" t="n"/>
    </row>
    <row r="15975">
      <c r="C15975" s="18" t="n"/>
      <c r="J15975" s="19" t="n"/>
      <c r="P15975" s="20" t="n"/>
      <c r="Q15975" s="19" t="n"/>
      <c r="R15975" s="19" t="n"/>
      <c r="Y15975" s="19" t="n"/>
    </row>
    <row r="15976">
      <c r="C15976" s="18" t="n"/>
      <c r="J15976" s="19" t="n"/>
      <c r="P15976" s="20" t="n"/>
      <c r="Q15976" s="19" t="n"/>
      <c r="R15976" s="19" t="n"/>
      <c r="Y15976" s="19" t="n"/>
    </row>
    <row r="15977">
      <c r="C15977" s="18" t="n"/>
      <c r="J15977" s="19" t="n"/>
      <c r="P15977" s="20" t="n"/>
      <c r="Q15977" s="19" t="n"/>
      <c r="R15977" s="19" t="n"/>
      <c r="Y15977" s="19" t="n"/>
    </row>
    <row r="15978">
      <c r="C15978" s="18" t="n"/>
      <c r="J15978" s="19" t="n"/>
      <c r="P15978" s="20" t="n"/>
      <c r="Q15978" s="19" t="n"/>
      <c r="R15978" s="19" t="n"/>
      <c r="Y15978" s="19" t="n"/>
    </row>
    <row r="15979">
      <c r="C15979" s="18" t="n"/>
      <c r="J15979" s="19" t="n"/>
      <c r="P15979" s="20" t="n"/>
      <c r="Q15979" s="19" t="n"/>
      <c r="R15979" s="19" t="n"/>
      <c r="Y15979" s="19" t="n"/>
    </row>
    <row r="15980">
      <c r="C15980" s="18" t="n"/>
      <c r="J15980" s="19" t="n"/>
      <c r="P15980" s="20" t="n"/>
      <c r="Q15980" s="19" t="n"/>
      <c r="R15980" s="19" t="n"/>
      <c r="Y15980" s="19" t="n"/>
    </row>
    <row r="15981">
      <c r="C15981" s="18" t="n"/>
      <c r="J15981" s="19" t="n"/>
      <c r="P15981" s="20" t="n"/>
      <c r="Q15981" s="19" t="n"/>
      <c r="R15981" s="19" t="n"/>
      <c r="Y15981" s="19" t="n"/>
    </row>
    <row r="15982">
      <c r="C15982" s="18" t="n"/>
      <c r="J15982" s="19" t="n"/>
      <c r="P15982" s="20" t="n"/>
      <c r="Q15982" s="19" t="n"/>
      <c r="R15982" s="19" t="n"/>
      <c r="Y15982" s="19" t="n"/>
    </row>
    <row r="15983">
      <c r="C15983" s="18" t="n"/>
      <c r="J15983" s="19" t="n"/>
      <c r="P15983" s="20" t="n"/>
      <c r="Q15983" s="19" t="n"/>
      <c r="R15983" s="19" t="n"/>
      <c r="Y15983" s="19" t="n"/>
    </row>
    <row r="15984">
      <c r="C15984" s="18" t="n"/>
      <c r="J15984" s="19" t="n"/>
      <c r="P15984" s="20" t="n"/>
      <c r="Q15984" s="19" t="n"/>
      <c r="R15984" s="19" t="n"/>
      <c r="Y15984" s="19" t="n"/>
    </row>
    <row r="15985">
      <c r="C15985" s="18" t="n"/>
      <c r="J15985" s="19" t="n"/>
      <c r="P15985" s="20" t="n"/>
      <c r="Q15985" s="19" t="n"/>
      <c r="R15985" s="19" t="n"/>
      <c r="Y15985" s="19" t="n"/>
    </row>
    <row r="15986">
      <c r="C15986" s="18" t="n"/>
      <c r="J15986" s="19" t="n"/>
      <c r="P15986" s="20" t="n"/>
      <c r="Q15986" s="19" t="n"/>
      <c r="R15986" s="19" t="n"/>
      <c r="Y15986" s="19" t="n"/>
    </row>
    <row r="15987">
      <c r="C15987" s="18" t="n"/>
      <c r="J15987" s="19" t="n"/>
      <c r="P15987" s="20" t="n"/>
      <c r="Q15987" s="19" t="n"/>
      <c r="R15987" s="19" t="n"/>
      <c r="Y15987" s="19" t="n"/>
    </row>
    <row r="15988">
      <c r="C15988" s="18" t="n"/>
      <c r="J15988" s="19" t="n"/>
      <c r="P15988" s="20" t="n"/>
      <c r="Q15988" s="19" t="n"/>
      <c r="R15988" s="19" t="n"/>
      <c r="Y15988" s="19" t="n"/>
    </row>
    <row r="15989">
      <c r="C15989" s="18" t="n"/>
      <c r="J15989" s="19" t="n"/>
      <c r="P15989" s="20" t="n"/>
      <c r="Q15989" s="19" t="n"/>
      <c r="R15989" s="19" t="n"/>
      <c r="Y15989" s="19" t="n"/>
    </row>
    <row r="15990">
      <c r="C15990" s="18" t="n"/>
      <c r="J15990" s="19" t="n"/>
      <c r="P15990" s="20" t="n"/>
      <c r="Q15990" s="19" t="n"/>
      <c r="R15990" s="19" t="n"/>
      <c r="Y15990" s="19" t="n"/>
    </row>
    <row r="15991">
      <c r="C15991" s="18" t="n"/>
      <c r="J15991" s="19" t="n"/>
      <c r="P15991" s="20" t="n"/>
      <c r="Q15991" s="19" t="n"/>
      <c r="R15991" s="19" t="n"/>
      <c r="Y15991" s="19" t="n"/>
    </row>
    <row r="15992">
      <c r="C15992" s="18" t="n"/>
      <c r="J15992" s="19" t="n"/>
      <c r="P15992" s="20" t="n"/>
      <c r="Q15992" s="19" t="n"/>
      <c r="R15992" s="19" t="n"/>
      <c r="Y15992" s="19" t="n"/>
    </row>
    <row r="15993">
      <c r="C15993" s="18" t="n"/>
      <c r="J15993" s="19" t="n"/>
      <c r="P15993" s="20" t="n"/>
      <c r="Q15993" s="19" t="n"/>
      <c r="R15993" s="19" t="n"/>
      <c r="Y15993" s="19" t="n"/>
    </row>
    <row r="15994">
      <c r="C15994" s="18" t="n"/>
      <c r="J15994" s="19" t="n"/>
      <c r="P15994" s="20" t="n"/>
      <c r="Q15994" s="19" t="n"/>
      <c r="R15994" s="19" t="n"/>
      <c r="Y15994" s="19" t="n"/>
    </row>
    <row r="15995">
      <c r="C15995" s="18" t="n"/>
      <c r="J15995" s="19" t="n"/>
      <c r="P15995" s="20" t="n"/>
      <c r="Q15995" s="19" t="n"/>
      <c r="R15995" s="19" t="n"/>
      <c r="Y15995" s="19" t="n"/>
    </row>
    <row r="15996">
      <c r="C15996" s="18" t="n"/>
      <c r="J15996" s="19" t="n"/>
      <c r="P15996" s="20" t="n"/>
      <c r="Q15996" s="19" t="n"/>
      <c r="R15996" s="19" t="n"/>
      <c r="Y15996" s="19" t="n"/>
    </row>
    <row r="15997">
      <c r="C15997" s="18" t="n"/>
      <c r="J15997" s="19" t="n"/>
      <c r="P15997" s="20" t="n"/>
      <c r="Q15997" s="19" t="n"/>
      <c r="R15997" s="19" t="n"/>
      <c r="Y15997" s="19" t="n"/>
    </row>
    <row r="15998">
      <c r="C15998" s="18" t="n"/>
      <c r="J15998" s="19" t="n"/>
      <c r="P15998" s="20" t="n"/>
      <c r="Q15998" s="19" t="n"/>
      <c r="R15998" s="19" t="n"/>
      <c r="Y15998" s="19" t="n"/>
    </row>
    <row r="15999">
      <c r="C15999" s="18" t="n"/>
      <c r="J15999" s="19" t="n"/>
      <c r="P15999" s="20" t="n"/>
      <c r="Q15999" s="19" t="n"/>
      <c r="R15999" s="19" t="n"/>
      <c r="Y15999" s="19" t="n"/>
    </row>
    <row r="16000">
      <c r="C16000" s="18" t="n"/>
      <c r="J16000" s="19" t="n"/>
      <c r="P16000" s="20" t="n"/>
      <c r="Q16000" s="19" t="n"/>
      <c r="R16000" s="19" t="n"/>
      <c r="Y16000" s="19" t="n"/>
    </row>
    <row r="16001">
      <c r="C16001" s="18" t="n"/>
      <c r="J16001" s="19" t="n"/>
      <c r="P16001" s="20" t="n"/>
      <c r="Q16001" s="19" t="n"/>
      <c r="R16001" s="19" t="n"/>
      <c r="Y16001" s="19" t="n"/>
    </row>
    <row r="16002">
      <c r="C16002" s="18" t="n"/>
      <c r="J16002" s="19" t="n"/>
      <c r="P16002" s="20" t="n"/>
      <c r="Q16002" s="19" t="n"/>
      <c r="R16002" s="19" t="n"/>
      <c r="Y16002" s="19" t="n"/>
    </row>
    <row r="16003">
      <c r="C16003" s="18" t="n"/>
      <c r="J16003" s="19" t="n"/>
      <c r="P16003" s="20" t="n"/>
      <c r="Q16003" s="19" t="n"/>
      <c r="R16003" s="19" t="n"/>
      <c r="Y16003" s="19" t="n"/>
    </row>
    <row r="16004">
      <c r="C16004" s="18" t="n"/>
      <c r="J16004" s="19" t="n"/>
      <c r="P16004" s="20" t="n"/>
      <c r="Q16004" s="19" t="n"/>
      <c r="R16004" s="19" t="n"/>
      <c r="Y16004" s="19" t="n"/>
    </row>
    <row r="16005">
      <c r="C16005" s="18" t="n"/>
      <c r="J16005" s="19" t="n"/>
      <c r="P16005" s="20" t="n"/>
      <c r="Q16005" s="19" t="n"/>
      <c r="R16005" s="19" t="n"/>
      <c r="Y16005" s="19" t="n"/>
    </row>
    <row r="16006">
      <c r="C16006" s="18" t="n"/>
      <c r="J16006" s="19" t="n"/>
      <c r="P16006" s="20" t="n"/>
      <c r="Q16006" s="19" t="n"/>
      <c r="R16006" s="19" t="n"/>
      <c r="Y16006" s="19" t="n"/>
    </row>
    <row r="16007">
      <c r="C16007" s="18" t="n"/>
      <c r="J16007" s="19" t="n"/>
      <c r="P16007" s="20" t="n"/>
      <c r="Q16007" s="19" t="n"/>
      <c r="R16007" s="19" t="n"/>
      <c r="Y16007" s="19" t="n"/>
    </row>
    <row r="16008">
      <c r="C16008" s="18" t="n"/>
      <c r="J16008" s="19" t="n"/>
      <c r="P16008" s="20" t="n"/>
      <c r="Q16008" s="19" t="n"/>
      <c r="R16008" s="19" t="n"/>
      <c r="Y16008" s="19" t="n"/>
    </row>
    <row r="16009">
      <c r="C16009" s="18" t="n"/>
      <c r="J16009" s="19" t="n"/>
      <c r="P16009" s="20" t="n"/>
      <c r="Q16009" s="19" t="n"/>
      <c r="R16009" s="19" t="n"/>
      <c r="Y16009" s="19" t="n"/>
    </row>
    <row r="16010">
      <c r="C16010" s="18" t="n"/>
      <c r="J16010" s="19" t="n"/>
      <c r="P16010" s="20" t="n"/>
      <c r="Q16010" s="19" t="n"/>
      <c r="R16010" s="19" t="n"/>
      <c r="Y16010" s="19" t="n"/>
    </row>
    <row r="16011">
      <c r="C16011" s="18" t="n"/>
      <c r="J16011" s="19" t="n"/>
      <c r="P16011" s="20" t="n"/>
      <c r="Q16011" s="19" t="n"/>
      <c r="R16011" s="19" t="n"/>
      <c r="Y16011" s="19" t="n"/>
    </row>
    <row r="16012">
      <c r="C16012" s="18" t="n"/>
      <c r="J16012" s="19" t="n"/>
      <c r="P16012" s="20" t="n"/>
      <c r="Q16012" s="19" t="n"/>
      <c r="R16012" s="19" t="n"/>
      <c r="Y16012" s="19" t="n"/>
    </row>
    <row r="16013">
      <c r="C16013" s="18" t="n"/>
      <c r="J16013" s="19" t="n"/>
      <c r="P16013" s="20" t="n"/>
      <c r="Q16013" s="19" t="n"/>
      <c r="R16013" s="19" t="n"/>
      <c r="Y16013" s="19" t="n"/>
    </row>
    <row r="16014">
      <c r="C16014" s="18" t="n"/>
      <c r="J16014" s="19" t="n"/>
      <c r="P16014" s="20" t="n"/>
      <c r="Q16014" s="19" t="n"/>
      <c r="R16014" s="19" t="n"/>
      <c r="Y16014" s="19" t="n"/>
    </row>
    <row r="16015">
      <c r="C16015" s="18" t="n"/>
      <c r="J16015" s="19" t="n"/>
      <c r="P16015" s="20" t="n"/>
      <c r="Q16015" s="19" t="n"/>
      <c r="R16015" s="19" t="n"/>
      <c r="Y16015" s="19" t="n"/>
    </row>
    <row r="16016">
      <c r="C16016" s="18" t="n"/>
      <c r="J16016" s="19" t="n"/>
      <c r="P16016" s="20" t="n"/>
      <c r="Q16016" s="19" t="n"/>
      <c r="R16016" s="19" t="n"/>
      <c r="Y16016" s="19" t="n"/>
    </row>
    <row r="16017">
      <c r="C16017" s="18" t="n"/>
      <c r="J16017" s="19" t="n"/>
      <c r="P16017" s="20" t="n"/>
      <c r="Q16017" s="19" t="n"/>
      <c r="R16017" s="19" t="n"/>
      <c r="Y16017" s="19" t="n"/>
    </row>
    <row r="16018">
      <c r="C16018" s="18" t="n"/>
      <c r="J16018" s="19" t="n"/>
      <c r="P16018" s="20" t="n"/>
      <c r="Q16018" s="19" t="n"/>
      <c r="R16018" s="19" t="n"/>
      <c r="Y16018" s="19" t="n"/>
    </row>
    <row r="16019">
      <c r="C16019" s="18" t="n"/>
      <c r="J16019" s="19" t="n"/>
      <c r="P16019" s="20" t="n"/>
      <c r="Q16019" s="19" t="n"/>
      <c r="R16019" s="19" t="n"/>
      <c r="Y16019" s="19" t="n"/>
    </row>
    <row r="16020">
      <c r="C16020" s="18" t="n"/>
      <c r="J16020" s="19" t="n"/>
      <c r="P16020" s="20" t="n"/>
      <c r="Q16020" s="19" t="n"/>
      <c r="R16020" s="19" t="n"/>
      <c r="Y16020" s="19" t="n"/>
    </row>
    <row r="16021">
      <c r="C16021" s="18" t="n"/>
      <c r="J16021" s="19" t="n"/>
      <c r="P16021" s="20" t="n"/>
      <c r="Q16021" s="19" t="n"/>
      <c r="R16021" s="19" t="n"/>
      <c r="Y16021" s="19" t="n"/>
    </row>
    <row r="16022">
      <c r="C16022" s="18" t="n"/>
      <c r="J16022" s="19" t="n"/>
      <c r="P16022" s="20" t="n"/>
      <c r="Q16022" s="19" t="n"/>
      <c r="R16022" s="19" t="n"/>
      <c r="Y16022" s="19" t="n"/>
    </row>
    <row r="16023">
      <c r="C16023" s="18" t="n"/>
      <c r="J16023" s="19" t="n"/>
      <c r="P16023" s="20" t="n"/>
      <c r="Q16023" s="19" t="n"/>
      <c r="R16023" s="19" t="n"/>
      <c r="Y16023" s="19" t="n"/>
    </row>
    <row r="16024">
      <c r="C16024" s="18" t="n"/>
      <c r="J16024" s="19" t="n"/>
      <c r="P16024" s="20" t="n"/>
      <c r="Q16024" s="19" t="n"/>
      <c r="R16024" s="19" t="n"/>
      <c r="Y16024" s="19" t="n"/>
    </row>
    <row r="16025">
      <c r="C16025" s="18" t="n"/>
      <c r="J16025" s="19" t="n"/>
      <c r="P16025" s="20" t="n"/>
      <c r="Q16025" s="19" t="n"/>
      <c r="R16025" s="19" t="n"/>
      <c r="Y16025" s="19" t="n"/>
    </row>
    <row r="16026">
      <c r="C16026" s="18" t="n"/>
      <c r="J16026" s="19" t="n"/>
      <c r="P16026" s="20" t="n"/>
      <c r="Q16026" s="19" t="n"/>
      <c r="R16026" s="19" t="n"/>
      <c r="Y16026" s="19" t="n"/>
    </row>
    <row r="16027">
      <c r="C16027" s="18" t="n"/>
      <c r="J16027" s="19" t="n"/>
      <c r="P16027" s="20" t="n"/>
      <c r="Q16027" s="19" t="n"/>
      <c r="R16027" s="19" t="n"/>
      <c r="Y16027" s="19" t="n"/>
    </row>
    <row r="16028">
      <c r="C16028" s="18" t="n"/>
      <c r="J16028" s="19" t="n"/>
      <c r="P16028" s="20" t="n"/>
      <c r="Q16028" s="19" t="n"/>
      <c r="R16028" s="19" t="n"/>
      <c r="Y16028" s="19" t="n"/>
    </row>
    <row r="16029">
      <c r="C16029" s="18" t="n"/>
      <c r="J16029" s="19" t="n"/>
      <c r="P16029" s="20" t="n"/>
      <c r="Q16029" s="19" t="n"/>
      <c r="R16029" s="19" t="n"/>
      <c r="Y16029" s="19" t="n"/>
    </row>
    <row r="16030">
      <c r="C16030" s="18" t="n"/>
      <c r="J16030" s="19" t="n"/>
      <c r="P16030" s="20" t="n"/>
      <c r="Q16030" s="19" t="n"/>
      <c r="R16030" s="19" t="n"/>
      <c r="Y16030" s="19" t="n"/>
    </row>
    <row r="16031">
      <c r="C16031" s="18" t="n"/>
      <c r="J16031" s="19" t="n"/>
      <c r="P16031" s="20" t="n"/>
      <c r="Q16031" s="19" t="n"/>
      <c r="R16031" s="19" t="n"/>
      <c r="Y16031" s="19" t="n"/>
    </row>
    <row r="16032">
      <c r="C16032" s="18" t="n"/>
      <c r="J16032" s="19" t="n"/>
      <c r="P16032" s="20" t="n"/>
      <c r="Q16032" s="19" t="n"/>
      <c r="R16032" s="19" t="n"/>
      <c r="Y16032" s="19" t="n"/>
    </row>
    <row r="16033">
      <c r="C16033" s="18" t="n"/>
      <c r="J16033" s="19" t="n"/>
      <c r="P16033" s="20" t="n"/>
      <c r="Q16033" s="19" t="n"/>
      <c r="R16033" s="19" t="n"/>
      <c r="Y16033" s="19" t="n"/>
    </row>
    <row r="16034">
      <c r="C16034" s="18" t="n"/>
      <c r="J16034" s="19" t="n"/>
      <c r="P16034" s="20" t="n"/>
      <c r="Q16034" s="19" t="n"/>
      <c r="R16034" s="19" t="n"/>
      <c r="Y16034" s="19" t="n"/>
    </row>
    <row r="16035">
      <c r="C16035" s="18" t="n"/>
      <c r="J16035" s="19" t="n"/>
      <c r="P16035" s="20" t="n"/>
      <c r="Q16035" s="19" t="n"/>
      <c r="R16035" s="19" t="n"/>
      <c r="Y16035" s="19" t="n"/>
    </row>
    <row r="16036">
      <c r="C16036" s="18" t="n"/>
      <c r="J16036" s="19" t="n"/>
      <c r="P16036" s="20" t="n"/>
      <c r="Q16036" s="19" t="n"/>
      <c r="R16036" s="19" t="n"/>
      <c r="Y16036" s="19" t="n"/>
    </row>
    <row r="16037">
      <c r="C16037" s="18" t="n"/>
      <c r="J16037" s="19" t="n"/>
      <c r="P16037" s="20" t="n"/>
      <c r="Q16037" s="19" t="n"/>
      <c r="R16037" s="19" t="n"/>
      <c r="Y16037" s="19" t="n"/>
    </row>
    <row r="16038">
      <c r="C16038" s="18" t="n"/>
      <c r="J16038" s="19" t="n"/>
      <c r="P16038" s="20" t="n"/>
      <c r="Q16038" s="19" t="n"/>
      <c r="R16038" s="19" t="n"/>
      <c r="Y16038" s="19" t="n"/>
    </row>
    <row r="16039">
      <c r="C16039" s="18" t="n"/>
      <c r="J16039" s="19" t="n"/>
      <c r="P16039" s="20" t="n"/>
      <c r="Q16039" s="19" t="n"/>
      <c r="R16039" s="19" t="n"/>
      <c r="Y16039" s="19" t="n"/>
    </row>
    <row r="16040">
      <c r="C16040" s="18" t="n"/>
      <c r="J16040" s="19" t="n"/>
      <c r="P16040" s="20" t="n"/>
      <c r="Q16040" s="19" t="n"/>
      <c r="R16040" s="19" t="n"/>
      <c r="Y16040" s="19" t="n"/>
    </row>
    <row r="16041">
      <c r="C16041" s="18" t="n"/>
      <c r="J16041" s="19" t="n"/>
      <c r="P16041" s="20" t="n"/>
      <c r="Q16041" s="19" t="n"/>
      <c r="R16041" s="19" t="n"/>
      <c r="Y16041" s="19" t="n"/>
    </row>
    <row r="16042">
      <c r="C16042" s="18" t="n"/>
      <c r="J16042" s="19" t="n"/>
      <c r="P16042" s="20" t="n"/>
      <c r="Q16042" s="19" t="n"/>
      <c r="R16042" s="19" t="n"/>
      <c r="Y16042" s="19" t="n"/>
    </row>
    <row r="16043">
      <c r="C16043" s="18" t="n"/>
      <c r="J16043" s="19" t="n"/>
      <c r="P16043" s="20" t="n"/>
      <c r="Q16043" s="19" t="n"/>
      <c r="R16043" s="19" t="n"/>
      <c r="Y16043" s="19" t="n"/>
    </row>
    <row r="16044">
      <c r="C16044" s="18" t="n"/>
      <c r="J16044" s="19" t="n"/>
      <c r="P16044" s="20" t="n"/>
      <c r="Q16044" s="19" t="n"/>
      <c r="R16044" s="19" t="n"/>
      <c r="Y16044" s="19" t="n"/>
    </row>
    <row r="16045">
      <c r="C16045" s="18" t="n"/>
      <c r="J16045" s="19" t="n"/>
      <c r="P16045" s="20" t="n"/>
      <c r="Q16045" s="19" t="n"/>
      <c r="R16045" s="19" t="n"/>
      <c r="Y16045" s="19" t="n"/>
    </row>
    <row r="16046">
      <c r="C16046" s="18" t="n"/>
      <c r="J16046" s="19" t="n"/>
      <c r="P16046" s="20" t="n"/>
      <c r="Q16046" s="19" t="n"/>
      <c r="R16046" s="19" t="n"/>
      <c r="Y16046" s="19" t="n"/>
    </row>
    <row r="16047">
      <c r="C16047" s="18" t="n"/>
      <c r="J16047" s="19" t="n"/>
      <c r="P16047" s="20" t="n"/>
      <c r="Q16047" s="19" t="n"/>
      <c r="R16047" s="19" t="n"/>
      <c r="Y16047" s="19" t="n"/>
    </row>
    <row r="16048">
      <c r="C16048" s="18" t="n"/>
      <c r="J16048" s="19" t="n"/>
      <c r="P16048" s="20" t="n"/>
      <c r="Q16048" s="19" t="n"/>
      <c r="R16048" s="19" t="n"/>
      <c r="Y16048" s="19" t="n"/>
    </row>
    <row r="16049">
      <c r="C16049" s="18" t="n"/>
      <c r="J16049" s="19" t="n"/>
      <c r="P16049" s="20" t="n"/>
      <c r="Q16049" s="19" t="n"/>
      <c r="R16049" s="19" t="n"/>
      <c r="Y16049" s="19" t="n"/>
    </row>
    <row r="16050">
      <c r="C16050" s="18" t="n"/>
      <c r="J16050" s="19" t="n"/>
      <c r="P16050" s="20" t="n"/>
      <c r="Q16050" s="19" t="n"/>
      <c r="R16050" s="19" t="n"/>
      <c r="Y16050" s="19" t="n"/>
    </row>
    <row r="16051">
      <c r="C16051" s="18" t="n"/>
      <c r="J16051" s="19" t="n"/>
      <c r="P16051" s="20" t="n"/>
      <c r="Q16051" s="19" t="n"/>
      <c r="R16051" s="19" t="n"/>
      <c r="Y16051" s="19" t="n"/>
    </row>
    <row r="16052">
      <c r="C16052" s="18" t="n"/>
      <c r="J16052" s="19" t="n"/>
      <c r="P16052" s="20" t="n"/>
      <c r="Q16052" s="19" t="n"/>
      <c r="R16052" s="19" t="n"/>
      <c r="Y16052" s="19" t="n"/>
    </row>
    <row r="16053">
      <c r="C16053" s="18" t="n"/>
      <c r="J16053" s="19" t="n"/>
      <c r="P16053" s="20" t="n"/>
      <c r="Q16053" s="19" t="n"/>
      <c r="R16053" s="19" t="n"/>
      <c r="Y16053" s="19" t="n"/>
    </row>
    <row r="16054">
      <c r="C16054" s="18" t="n"/>
      <c r="J16054" s="19" t="n"/>
      <c r="P16054" s="20" t="n"/>
      <c r="Q16054" s="19" t="n"/>
      <c r="R16054" s="19" t="n"/>
      <c r="Y16054" s="19" t="n"/>
    </row>
    <row r="16055">
      <c r="C16055" s="18" t="n"/>
      <c r="J16055" s="19" t="n"/>
      <c r="P16055" s="20" t="n"/>
      <c r="Q16055" s="19" t="n"/>
      <c r="R16055" s="19" t="n"/>
      <c r="Y16055" s="19" t="n"/>
    </row>
    <row r="16056">
      <c r="C16056" s="18" t="n"/>
      <c r="J16056" s="19" t="n"/>
      <c r="P16056" s="20" t="n"/>
      <c r="Q16056" s="19" t="n"/>
      <c r="R16056" s="19" t="n"/>
      <c r="Y16056" s="19" t="n"/>
    </row>
    <row r="16057">
      <c r="C16057" s="18" t="n"/>
      <c r="J16057" s="19" t="n"/>
      <c r="P16057" s="20" t="n"/>
      <c r="Q16057" s="19" t="n"/>
      <c r="R16057" s="19" t="n"/>
      <c r="Y16057" s="19" t="n"/>
    </row>
    <row r="16058">
      <c r="C16058" s="18" t="n"/>
      <c r="J16058" s="19" t="n"/>
      <c r="P16058" s="20" t="n"/>
      <c r="Q16058" s="19" t="n"/>
      <c r="R16058" s="19" t="n"/>
      <c r="Y16058" s="19" t="n"/>
    </row>
    <row r="16059">
      <c r="C16059" s="18" t="n"/>
      <c r="J16059" s="19" t="n"/>
      <c r="P16059" s="20" t="n"/>
      <c r="Q16059" s="19" t="n"/>
      <c r="R16059" s="19" t="n"/>
      <c r="Y16059" s="19" t="n"/>
    </row>
    <row r="16060">
      <c r="C16060" s="18" t="n"/>
      <c r="J16060" s="19" t="n"/>
      <c r="P16060" s="20" t="n"/>
      <c r="Q16060" s="19" t="n"/>
      <c r="R16060" s="19" t="n"/>
      <c r="Y16060" s="19" t="n"/>
    </row>
    <row r="16061">
      <c r="C16061" s="18" t="n"/>
      <c r="J16061" s="19" t="n"/>
      <c r="P16061" s="20" t="n"/>
      <c r="Q16061" s="19" t="n"/>
      <c r="R16061" s="19" t="n"/>
      <c r="Y16061" s="19" t="n"/>
    </row>
    <row r="16062">
      <c r="C16062" s="18" t="n"/>
      <c r="J16062" s="19" t="n"/>
      <c r="P16062" s="20" t="n"/>
      <c r="Q16062" s="19" t="n"/>
      <c r="R16062" s="19" t="n"/>
      <c r="Y16062" s="19" t="n"/>
    </row>
    <row r="16063">
      <c r="C16063" s="18" t="n"/>
      <c r="J16063" s="19" t="n"/>
      <c r="P16063" s="20" t="n"/>
      <c r="Q16063" s="19" t="n"/>
      <c r="R16063" s="19" t="n"/>
      <c r="Y16063" s="19" t="n"/>
    </row>
    <row r="16064">
      <c r="C16064" s="18" t="n"/>
      <c r="J16064" s="19" t="n"/>
      <c r="P16064" s="20" t="n"/>
      <c r="Q16064" s="19" t="n"/>
      <c r="R16064" s="19" t="n"/>
      <c r="Y16064" s="19" t="n"/>
    </row>
    <row r="16065">
      <c r="C16065" s="18" t="n"/>
      <c r="J16065" s="19" t="n"/>
      <c r="P16065" s="20" t="n"/>
      <c r="Q16065" s="19" t="n"/>
      <c r="R16065" s="19" t="n"/>
      <c r="Y16065" s="19" t="n"/>
    </row>
    <row r="16066">
      <c r="C16066" s="18" t="n"/>
      <c r="J16066" s="19" t="n"/>
      <c r="P16066" s="20" t="n"/>
      <c r="Q16066" s="19" t="n"/>
      <c r="R16066" s="19" t="n"/>
      <c r="Y16066" s="19" t="n"/>
    </row>
    <row r="16067">
      <c r="C16067" s="18" t="n"/>
      <c r="J16067" s="19" t="n"/>
      <c r="P16067" s="20" t="n"/>
      <c r="Q16067" s="19" t="n"/>
      <c r="R16067" s="19" t="n"/>
      <c r="Y16067" s="19" t="n"/>
    </row>
    <row r="16068">
      <c r="C16068" s="18" t="n"/>
      <c r="J16068" s="19" t="n"/>
      <c r="P16068" s="20" t="n"/>
      <c r="Q16068" s="19" t="n"/>
      <c r="R16068" s="19" t="n"/>
      <c r="Y16068" s="19" t="n"/>
    </row>
    <row r="16069">
      <c r="C16069" s="18" t="n"/>
      <c r="J16069" s="19" t="n"/>
      <c r="P16069" s="20" t="n"/>
      <c r="Q16069" s="19" t="n"/>
      <c r="R16069" s="19" t="n"/>
      <c r="Y16069" s="19" t="n"/>
    </row>
    <row r="16070">
      <c r="C16070" s="18" t="n"/>
      <c r="J16070" s="19" t="n"/>
      <c r="P16070" s="20" t="n"/>
      <c r="Q16070" s="19" t="n"/>
      <c r="R16070" s="19" t="n"/>
      <c r="Y16070" s="19" t="n"/>
    </row>
    <row r="16071">
      <c r="C16071" s="18" t="n"/>
      <c r="J16071" s="19" t="n"/>
      <c r="P16071" s="20" t="n"/>
      <c r="Q16071" s="19" t="n"/>
      <c r="R16071" s="19" t="n"/>
      <c r="Y16071" s="19" t="n"/>
    </row>
    <row r="16072">
      <c r="C16072" s="18" t="n"/>
      <c r="J16072" s="19" t="n"/>
      <c r="P16072" s="20" t="n"/>
      <c r="Q16072" s="19" t="n"/>
      <c r="R16072" s="19" t="n"/>
      <c r="Y16072" s="19" t="n"/>
    </row>
    <row r="16073">
      <c r="C16073" s="18" t="n"/>
      <c r="J16073" s="19" t="n"/>
      <c r="P16073" s="20" t="n"/>
      <c r="Q16073" s="19" t="n"/>
      <c r="R16073" s="19" t="n"/>
      <c r="Y16073" s="19" t="n"/>
    </row>
    <row r="16074">
      <c r="C16074" s="18" t="n"/>
      <c r="J16074" s="19" t="n"/>
      <c r="P16074" s="20" t="n"/>
      <c r="Q16074" s="19" t="n"/>
      <c r="R16074" s="19" t="n"/>
      <c r="Y16074" s="19" t="n"/>
    </row>
    <row r="16075">
      <c r="C16075" s="18" t="n"/>
      <c r="J16075" s="19" t="n"/>
      <c r="P16075" s="20" t="n"/>
      <c r="Q16075" s="19" t="n"/>
      <c r="R16075" s="19" t="n"/>
      <c r="Y16075" s="19" t="n"/>
    </row>
    <row r="16076">
      <c r="C16076" s="18" t="n"/>
      <c r="J16076" s="19" t="n"/>
      <c r="P16076" s="20" t="n"/>
      <c r="Q16076" s="19" t="n"/>
      <c r="R16076" s="19" t="n"/>
      <c r="Y16076" s="19" t="n"/>
    </row>
    <row r="16077">
      <c r="C16077" s="18" t="n"/>
      <c r="J16077" s="19" t="n"/>
      <c r="P16077" s="20" t="n"/>
      <c r="Q16077" s="19" t="n"/>
      <c r="R16077" s="19" t="n"/>
      <c r="Y16077" s="19" t="n"/>
    </row>
    <row r="16078">
      <c r="C16078" s="18" t="n"/>
      <c r="J16078" s="19" t="n"/>
      <c r="P16078" s="20" t="n"/>
      <c r="Q16078" s="19" t="n"/>
      <c r="R16078" s="19" t="n"/>
      <c r="Y16078" s="19" t="n"/>
    </row>
    <row r="16079">
      <c r="C16079" s="18" t="n"/>
      <c r="J16079" s="19" t="n"/>
      <c r="P16079" s="20" t="n"/>
      <c r="Q16079" s="19" t="n"/>
      <c r="R16079" s="19" t="n"/>
      <c r="Y16079" s="19" t="n"/>
    </row>
    <row r="16080">
      <c r="C16080" s="18" t="n"/>
      <c r="J16080" s="19" t="n"/>
      <c r="P16080" s="20" t="n"/>
      <c r="Q16080" s="19" t="n"/>
      <c r="R16080" s="19" t="n"/>
      <c r="Y16080" s="19" t="n"/>
    </row>
    <row r="16081">
      <c r="C16081" s="18" t="n"/>
      <c r="J16081" s="19" t="n"/>
      <c r="P16081" s="20" t="n"/>
      <c r="Q16081" s="19" t="n"/>
      <c r="R16081" s="19" t="n"/>
      <c r="Y16081" s="19" t="n"/>
    </row>
    <row r="16082">
      <c r="C16082" s="18" t="n"/>
      <c r="J16082" s="19" t="n"/>
      <c r="P16082" s="20" t="n"/>
      <c r="Q16082" s="19" t="n"/>
      <c r="R16082" s="19" t="n"/>
      <c r="Y16082" s="19" t="n"/>
    </row>
    <row r="16083">
      <c r="C16083" s="18" t="n"/>
      <c r="J16083" s="19" t="n"/>
      <c r="P16083" s="20" t="n"/>
      <c r="Q16083" s="19" t="n"/>
      <c r="R16083" s="19" t="n"/>
      <c r="Y16083" s="19" t="n"/>
    </row>
    <row r="16084">
      <c r="C16084" s="18" t="n"/>
      <c r="J16084" s="19" t="n"/>
      <c r="P16084" s="20" t="n"/>
      <c r="Q16084" s="19" t="n"/>
      <c r="R16084" s="19" t="n"/>
      <c r="Y16084" s="19" t="n"/>
    </row>
    <row r="16085">
      <c r="C16085" s="18" t="n"/>
      <c r="J16085" s="19" t="n"/>
      <c r="P16085" s="20" t="n"/>
      <c r="Q16085" s="19" t="n"/>
      <c r="R16085" s="19" t="n"/>
      <c r="Y16085" s="19" t="n"/>
    </row>
    <row r="16086">
      <c r="C16086" s="18" t="n"/>
      <c r="J16086" s="19" t="n"/>
      <c r="P16086" s="20" t="n"/>
      <c r="Q16086" s="19" t="n"/>
      <c r="R16086" s="19" t="n"/>
      <c r="Y16086" s="19" t="n"/>
    </row>
    <row r="16087">
      <c r="C16087" s="18" t="n"/>
      <c r="J16087" s="19" t="n"/>
      <c r="P16087" s="20" t="n"/>
      <c r="Q16087" s="19" t="n"/>
      <c r="R16087" s="19" t="n"/>
      <c r="Y16087" s="19" t="n"/>
    </row>
    <row r="16088">
      <c r="C16088" s="18" t="n"/>
      <c r="J16088" s="19" t="n"/>
      <c r="P16088" s="20" t="n"/>
      <c r="Q16088" s="19" t="n"/>
      <c r="R16088" s="19" t="n"/>
      <c r="Y16088" s="19" t="n"/>
    </row>
    <row r="16089">
      <c r="C16089" s="18" t="n"/>
      <c r="J16089" s="19" t="n"/>
      <c r="P16089" s="20" t="n"/>
      <c r="Q16089" s="19" t="n"/>
      <c r="R16089" s="19" t="n"/>
      <c r="Y16089" s="19" t="n"/>
    </row>
    <row r="16090">
      <c r="C16090" s="18" t="n"/>
      <c r="J16090" s="19" t="n"/>
      <c r="P16090" s="20" t="n"/>
      <c r="Q16090" s="19" t="n"/>
      <c r="R16090" s="19" t="n"/>
      <c r="Y16090" s="19" t="n"/>
    </row>
    <row r="16091">
      <c r="C16091" s="18" t="n"/>
      <c r="J16091" s="19" t="n"/>
      <c r="P16091" s="20" t="n"/>
      <c r="Q16091" s="19" t="n"/>
      <c r="R16091" s="19" t="n"/>
      <c r="Y16091" s="19" t="n"/>
    </row>
    <row r="16092">
      <c r="C16092" s="18" t="n"/>
      <c r="J16092" s="19" t="n"/>
      <c r="P16092" s="20" t="n"/>
      <c r="Q16092" s="19" t="n"/>
      <c r="R16092" s="19" t="n"/>
      <c r="Y16092" s="19" t="n"/>
    </row>
    <row r="16093">
      <c r="C16093" s="18" t="n"/>
      <c r="J16093" s="19" t="n"/>
      <c r="P16093" s="20" t="n"/>
      <c r="Q16093" s="19" t="n"/>
      <c r="R16093" s="19" t="n"/>
      <c r="Y16093" s="19" t="n"/>
    </row>
    <row r="16094">
      <c r="C16094" s="18" t="n"/>
      <c r="J16094" s="19" t="n"/>
      <c r="P16094" s="20" t="n"/>
      <c r="Q16094" s="19" t="n"/>
      <c r="R16094" s="19" t="n"/>
      <c r="Y16094" s="19" t="n"/>
    </row>
    <row r="16095">
      <c r="C16095" s="18" t="n"/>
      <c r="J16095" s="19" t="n"/>
      <c r="P16095" s="20" t="n"/>
      <c r="Q16095" s="19" t="n"/>
      <c r="R16095" s="19" t="n"/>
      <c r="Y16095" s="19" t="n"/>
    </row>
    <row r="16096">
      <c r="C16096" s="18" t="n"/>
      <c r="J16096" s="19" t="n"/>
      <c r="P16096" s="20" t="n"/>
      <c r="Q16096" s="19" t="n"/>
      <c r="R16096" s="19" t="n"/>
      <c r="Y16096" s="19" t="n"/>
    </row>
    <row r="16097">
      <c r="C16097" s="18" t="n"/>
      <c r="J16097" s="19" t="n"/>
      <c r="P16097" s="20" t="n"/>
      <c r="Q16097" s="19" t="n"/>
      <c r="R16097" s="19" t="n"/>
      <c r="Y16097" s="19" t="n"/>
    </row>
    <row r="16098">
      <c r="C16098" s="18" t="n"/>
      <c r="J16098" s="19" t="n"/>
      <c r="P16098" s="20" t="n"/>
      <c r="Q16098" s="19" t="n"/>
      <c r="R16098" s="19" t="n"/>
      <c r="Y16098" s="19" t="n"/>
    </row>
    <row r="16099">
      <c r="C16099" s="18" t="n"/>
      <c r="J16099" s="19" t="n"/>
      <c r="P16099" s="20" t="n"/>
      <c r="Q16099" s="19" t="n"/>
      <c r="R16099" s="19" t="n"/>
      <c r="Y16099" s="19" t="n"/>
    </row>
    <row r="16100">
      <c r="C16100" s="18" t="n"/>
      <c r="J16100" s="19" t="n"/>
      <c r="P16100" s="20" t="n"/>
      <c r="Q16100" s="19" t="n"/>
      <c r="R16100" s="19" t="n"/>
      <c r="Y16100" s="19" t="n"/>
    </row>
    <row r="16101">
      <c r="C16101" s="18" t="n"/>
      <c r="J16101" s="19" t="n"/>
      <c r="P16101" s="20" t="n"/>
      <c r="Q16101" s="19" t="n"/>
      <c r="R16101" s="19" t="n"/>
      <c r="Y16101" s="19" t="n"/>
    </row>
    <row r="16102">
      <c r="C16102" s="18" t="n"/>
      <c r="J16102" s="19" t="n"/>
      <c r="P16102" s="20" t="n"/>
      <c r="Q16102" s="19" t="n"/>
      <c r="R16102" s="19" t="n"/>
      <c r="Y16102" s="19" t="n"/>
    </row>
    <row r="16103">
      <c r="C16103" s="18" t="n"/>
      <c r="J16103" s="19" t="n"/>
      <c r="P16103" s="20" t="n"/>
      <c r="Q16103" s="19" t="n"/>
      <c r="R16103" s="19" t="n"/>
      <c r="Y16103" s="19" t="n"/>
    </row>
    <row r="16104">
      <c r="C16104" s="18" t="n"/>
      <c r="J16104" s="19" t="n"/>
      <c r="P16104" s="20" t="n"/>
      <c r="Q16104" s="19" t="n"/>
      <c r="R16104" s="19" t="n"/>
      <c r="Y16104" s="19" t="n"/>
    </row>
    <row r="16105">
      <c r="C16105" s="18" t="n"/>
      <c r="J16105" s="19" t="n"/>
      <c r="P16105" s="20" t="n"/>
      <c r="Q16105" s="19" t="n"/>
      <c r="R16105" s="19" t="n"/>
      <c r="Y16105" s="19" t="n"/>
    </row>
    <row r="16106">
      <c r="C16106" s="18" t="n"/>
      <c r="J16106" s="19" t="n"/>
      <c r="P16106" s="20" t="n"/>
      <c r="Q16106" s="19" t="n"/>
      <c r="R16106" s="19" t="n"/>
      <c r="Y16106" s="19" t="n"/>
    </row>
    <row r="16107">
      <c r="C16107" s="18" t="n"/>
      <c r="J16107" s="19" t="n"/>
      <c r="P16107" s="20" t="n"/>
      <c r="Q16107" s="19" t="n"/>
      <c r="R16107" s="19" t="n"/>
      <c r="Y16107" s="19" t="n"/>
    </row>
    <row r="16108">
      <c r="C16108" s="18" t="n"/>
      <c r="J16108" s="19" t="n"/>
      <c r="P16108" s="20" t="n"/>
      <c r="Q16108" s="19" t="n"/>
      <c r="R16108" s="19" t="n"/>
      <c r="Y16108" s="19" t="n"/>
    </row>
    <row r="16109">
      <c r="C16109" s="18" t="n"/>
      <c r="J16109" s="19" t="n"/>
      <c r="P16109" s="20" t="n"/>
      <c r="Q16109" s="19" t="n"/>
      <c r="R16109" s="19" t="n"/>
      <c r="Y16109" s="19" t="n"/>
    </row>
    <row r="16110">
      <c r="C16110" s="18" t="n"/>
      <c r="J16110" s="19" t="n"/>
      <c r="P16110" s="20" t="n"/>
      <c r="Q16110" s="19" t="n"/>
      <c r="R16110" s="19" t="n"/>
      <c r="Y16110" s="19" t="n"/>
    </row>
    <row r="16111">
      <c r="C16111" s="18" t="n"/>
      <c r="J16111" s="19" t="n"/>
      <c r="P16111" s="20" t="n"/>
      <c r="Q16111" s="19" t="n"/>
      <c r="R16111" s="19" t="n"/>
      <c r="Y16111" s="19" t="n"/>
    </row>
    <row r="16112">
      <c r="C16112" s="18" t="n"/>
      <c r="J16112" s="19" t="n"/>
      <c r="P16112" s="20" t="n"/>
      <c r="Q16112" s="19" t="n"/>
      <c r="R16112" s="19" t="n"/>
      <c r="Y16112" s="19" t="n"/>
    </row>
    <row r="16113">
      <c r="C16113" s="18" t="n"/>
      <c r="J16113" s="19" t="n"/>
      <c r="P16113" s="20" t="n"/>
      <c r="Q16113" s="19" t="n"/>
      <c r="R16113" s="19" t="n"/>
      <c r="Y16113" s="19" t="n"/>
    </row>
    <row r="16114">
      <c r="C16114" s="18" t="n"/>
      <c r="J16114" s="19" t="n"/>
      <c r="P16114" s="20" t="n"/>
      <c r="Q16114" s="19" t="n"/>
      <c r="R16114" s="19" t="n"/>
      <c r="Y16114" s="19" t="n"/>
    </row>
    <row r="16115">
      <c r="C16115" s="18" t="n"/>
      <c r="J16115" s="19" t="n"/>
      <c r="P16115" s="20" t="n"/>
      <c r="Q16115" s="19" t="n"/>
      <c r="R16115" s="19" t="n"/>
      <c r="Y16115" s="19" t="n"/>
    </row>
    <row r="16116">
      <c r="C16116" s="18" t="n"/>
      <c r="J16116" s="19" t="n"/>
      <c r="P16116" s="20" t="n"/>
      <c r="Q16116" s="19" t="n"/>
      <c r="R16116" s="19" t="n"/>
      <c r="Y16116" s="19" t="n"/>
    </row>
    <row r="16117">
      <c r="C16117" s="18" t="n"/>
      <c r="J16117" s="19" t="n"/>
      <c r="P16117" s="20" t="n"/>
      <c r="Q16117" s="19" t="n"/>
      <c r="R16117" s="19" t="n"/>
      <c r="Y16117" s="19" t="n"/>
    </row>
    <row r="16118">
      <c r="C16118" s="18" t="n"/>
      <c r="J16118" s="19" t="n"/>
      <c r="P16118" s="20" t="n"/>
      <c r="Q16118" s="19" t="n"/>
      <c r="R16118" s="19" t="n"/>
      <c r="Y16118" s="19" t="n"/>
    </row>
    <row r="16119">
      <c r="C16119" s="18" t="n"/>
      <c r="J16119" s="19" t="n"/>
      <c r="P16119" s="20" t="n"/>
      <c r="Q16119" s="19" t="n"/>
      <c r="R16119" s="19" t="n"/>
      <c r="Y16119" s="19" t="n"/>
    </row>
    <row r="16120">
      <c r="C16120" s="18" t="n"/>
      <c r="J16120" s="19" t="n"/>
      <c r="P16120" s="20" t="n"/>
      <c r="Q16120" s="19" t="n"/>
      <c r="R16120" s="19" t="n"/>
      <c r="Y16120" s="19" t="n"/>
    </row>
    <row r="16121">
      <c r="C16121" s="18" t="n"/>
      <c r="J16121" s="19" t="n"/>
      <c r="P16121" s="20" t="n"/>
      <c r="Q16121" s="19" t="n"/>
      <c r="R16121" s="19" t="n"/>
      <c r="Y16121" s="19" t="n"/>
    </row>
    <row r="16122">
      <c r="C16122" s="18" t="n"/>
      <c r="J16122" s="19" t="n"/>
      <c r="P16122" s="20" t="n"/>
      <c r="Q16122" s="19" t="n"/>
      <c r="R16122" s="19" t="n"/>
      <c r="Y16122" s="19" t="n"/>
    </row>
    <row r="16123">
      <c r="C16123" s="18" t="n"/>
      <c r="J16123" s="19" t="n"/>
      <c r="P16123" s="20" t="n"/>
      <c r="Q16123" s="19" t="n"/>
      <c r="R16123" s="19" t="n"/>
      <c r="Y16123" s="19" t="n"/>
    </row>
    <row r="16124">
      <c r="C16124" s="18" t="n"/>
      <c r="J16124" s="19" t="n"/>
      <c r="P16124" s="20" t="n"/>
      <c r="Q16124" s="19" t="n"/>
      <c r="R16124" s="19" t="n"/>
      <c r="Y16124" s="19" t="n"/>
    </row>
    <row r="16125">
      <c r="C16125" s="18" t="n"/>
      <c r="J16125" s="19" t="n"/>
      <c r="P16125" s="20" t="n"/>
      <c r="Q16125" s="19" t="n"/>
      <c r="R16125" s="19" t="n"/>
      <c r="Y16125" s="19" t="n"/>
    </row>
    <row r="16126">
      <c r="C16126" s="18" t="n"/>
      <c r="J16126" s="19" t="n"/>
      <c r="P16126" s="20" t="n"/>
      <c r="Q16126" s="19" t="n"/>
      <c r="R16126" s="19" t="n"/>
      <c r="Y16126" s="19" t="n"/>
    </row>
    <row r="16127">
      <c r="C16127" s="18" t="n"/>
      <c r="J16127" s="19" t="n"/>
      <c r="P16127" s="20" t="n"/>
      <c r="Q16127" s="19" t="n"/>
      <c r="R16127" s="19" t="n"/>
      <c r="Y16127" s="19" t="n"/>
    </row>
    <row r="16128">
      <c r="C16128" s="18" t="n"/>
      <c r="J16128" s="19" t="n"/>
      <c r="P16128" s="20" t="n"/>
      <c r="Q16128" s="19" t="n"/>
      <c r="R16128" s="19" t="n"/>
      <c r="Y16128" s="19" t="n"/>
    </row>
    <row r="16129">
      <c r="C16129" s="18" t="n"/>
      <c r="J16129" s="19" t="n"/>
      <c r="P16129" s="20" t="n"/>
      <c r="Q16129" s="19" t="n"/>
      <c r="R16129" s="19" t="n"/>
      <c r="Y16129" s="19" t="n"/>
    </row>
    <row r="16130">
      <c r="C16130" s="18" t="n"/>
      <c r="J16130" s="19" t="n"/>
      <c r="P16130" s="20" t="n"/>
      <c r="Q16130" s="19" t="n"/>
      <c r="R16130" s="19" t="n"/>
      <c r="Y16130" s="19" t="n"/>
    </row>
    <row r="16131">
      <c r="C16131" s="18" t="n"/>
      <c r="J16131" s="19" t="n"/>
      <c r="P16131" s="20" t="n"/>
      <c r="Q16131" s="19" t="n"/>
      <c r="R16131" s="19" t="n"/>
      <c r="Y16131" s="19" t="n"/>
    </row>
    <row r="16132">
      <c r="C16132" s="18" t="n"/>
      <c r="J16132" s="19" t="n"/>
      <c r="P16132" s="20" t="n"/>
      <c r="Q16132" s="19" t="n"/>
      <c r="R16132" s="19" t="n"/>
      <c r="Y16132" s="19" t="n"/>
    </row>
    <row r="16133">
      <c r="C16133" s="18" t="n"/>
      <c r="J16133" s="19" t="n"/>
      <c r="P16133" s="20" t="n"/>
      <c r="Q16133" s="19" t="n"/>
      <c r="R16133" s="19" t="n"/>
      <c r="Y16133" s="19" t="n"/>
    </row>
    <row r="16134">
      <c r="C16134" s="18" t="n"/>
      <c r="J16134" s="19" t="n"/>
      <c r="P16134" s="20" t="n"/>
      <c r="Q16134" s="19" t="n"/>
      <c r="R16134" s="19" t="n"/>
      <c r="Y16134" s="19" t="n"/>
    </row>
    <row r="16135">
      <c r="C16135" s="18" t="n"/>
      <c r="J16135" s="19" t="n"/>
      <c r="P16135" s="20" t="n"/>
      <c r="Q16135" s="19" t="n"/>
      <c r="R16135" s="19" t="n"/>
      <c r="Y16135" s="19" t="n"/>
    </row>
    <row r="16136">
      <c r="C16136" s="18" t="n"/>
      <c r="J16136" s="19" t="n"/>
      <c r="P16136" s="20" t="n"/>
      <c r="Q16136" s="19" t="n"/>
      <c r="R16136" s="19" t="n"/>
      <c r="Y16136" s="19" t="n"/>
    </row>
    <row r="16137">
      <c r="C16137" s="18" t="n"/>
      <c r="J16137" s="19" t="n"/>
      <c r="P16137" s="20" t="n"/>
      <c r="Q16137" s="19" t="n"/>
      <c r="R16137" s="19" t="n"/>
      <c r="Y16137" s="19" t="n"/>
    </row>
    <row r="16138">
      <c r="C16138" s="18" t="n"/>
      <c r="J16138" s="19" t="n"/>
      <c r="P16138" s="20" t="n"/>
      <c r="Q16138" s="19" t="n"/>
      <c r="R16138" s="19" t="n"/>
      <c r="Y16138" s="19" t="n"/>
    </row>
    <row r="16139">
      <c r="C16139" s="18" t="n"/>
      <c r="J16139" s="19" t="n"/>
      <c r="P16139" s="20" t="n"/>
      <c r="Q16139" s="19" t="n"/>
      <c r="R16139" s="19" t="n"/>
      <c r="Y16139" s="19" t="n"/>
    </row>
    <row r="16140">
      <c r="C16140" s="18" t="n"/>
      <c r="J16140" s="19" t="n"/>
      <c r="P16140" s="20" t="n"/>
      <c r="Q16140" s="19" t="n"/>
      <c r="R16140" s="19" t="n"/>
      <c r="Y16140" s="19" t="n"/>
    </row>
    <row r="16141">
      <c r="C16141" s="18" t="n"/>
      <c r="J16141" s="19" t="n"/>
      <c r="P16141" s="20" t="n"/>
      <c r="Q16141" s="19" t="n"/>
      <c r="R16141" s="19" t="n"/>
      <c r="Y16141" s="19" t="n"/>
    </row>
    <row r="16142">
      <c r="C16142" s="18" t="n"/>
      <c r="J16142" s="19" t="n"/>
      <c r="P16142" s="20" t="n"/>
      <c r="Q16142" s="19" t="n"/>
      <c r="R16142" s="19" t="n"/>
      <c r="Y16142" s="19" t="n"/>
    </row>
    <row r="16143">
      <c r="C16143" s="18" t="n"/>
      <c r="J16143" s="19" t="n"/>
      <c r="P16143" s="20" t="n"/>
      <c r="Q16143" s="19" t="n"/>
      <c r="R16143" s="19" t="n"/>
      <c r="Y16143" s="19" t="n"/>
    </row>
    <row r="16144">
      <c r="C16144" s="18" t="n"/>
      <c r="J16144" s="19" t="n"/>
      <c r="P16144" s="20" t="n"/>
      <c r="Q16144" s="19" t="n"/>
      <c r="R16144" s="19" t="n"/>
      <c r="Y16144" s="19" t="n"/>
    </row>
    <row r="16145">
      <c r="C16145" s="18" t="n"/>
      <c r="J16145" s="19" t="n"/>
      <c r="P16145" s="20" t="n"/>
      <c r="Q16145" s="19" t="n"/>
      <c r="R16145" s="19" t="n"/>
      <c r="Y16145" s="19" t="n"/>
    </row>
    <row r="16146">
      <c r="C16146" s="18" t="n"/>
      <c r="J16146" s="19" t="n"/>
      <c r="P16146" s="20" t="n"/>
      <c r="Q16146" s="19" t="n"/>
      <c r="R16146" s="19" t="n"/>
      <c r="Y16146" s="19" t="n"/>
    </row>
    <row r="16147">
      <c r="C16147" s="18" t="n"/>
      <c r="J16147" s="19" t="n"/>
      <c r="P16147" s="20" t="n"/>
      <c r="Q16147" s="19" t="n"/>
      <c r="R16147" s="19" t="n"/>
      <c r="Y16147" s="19" t="n"/>
    </row>
    <row r="16148">
      <c r="C16148" s="18" t="n"/>
      <c r="J16148" s="19" t="n"/>
      <c r="P16148" s="20" t="n"/>
      <c r="Q16148" s="19" t="n"/>
      <c r="R16148" s="19" t="n"/>
      <c r="Y16148" s="19" t="n"/>
    </row>
    <row r="16149">
      <c r="C16149" s="18" t="n"/>
      <c r="J16149" s="19" t="n"/>
      <c r="P16149" s="20" t="n"/>
      <c r="Q16149" s="19" t="n"/>
      <c r="R16149" s="19" t="n"/>
      <c r="Y16149" s="19" t="n"/>
    </row>
    <row r="16150">
      <c r="C16150" s="18" t="n"/>
      <c r="J16150" s="19" t="n"/>
      <c r="P16150" s="20" t="n"/>
      <c r="Q16150" s="19" t="n"/>
      <c r="R16150" s="19" t="n"/>
      <c r="Y16150" s="19" t="n"/>
    </row>
    <row r="16151">
      <c r="C16151" s="18" t="n"/>
      <c r="J16151" s="19" t="n"/>
      <c r="P16151" s="20" t="n"/>
      <c r="Q16151" s="19" t="n"/>
      <c r="R16151" s="19" t="n"/>
      <c r="Y16151" s="19" t="n"/>
    </row>
    <row r="16152">
      <c r="C16152" s="18" t="n"/>
      <c r="J16152" s="19" t="n"/>
      <c r="P16152" s="20" t="n"/>
      <c r="Q16152" s="19" t="n"/>
      <c r="R16152" s="19" t="n"/>
      <c r="Y16152" s="19" t="n"/>
    </row>
    <row r="16153">
      <c r="C16153" s="18" t="n"/>
      <c r="J16153" s="19" t="n"/>
      <c r="P16153" s="20" t="n"/>
      <c r="Q16153" s="19" t="n"/>
      <c r="R16153" s="19" t="n"/>
      <c r="Y16153" s="19" t="n"/>
    </row>
    <row r="16154">
      <c r="C16154" s="18" t="n"/>
      <c r="J16154" s="19" t="n"/>
      <c r="P16154" s="20" t="n"/>
      <c r="Q16154" s="19" t="n"/>
      <c r="R16154" s="19" t="n"/>
      <c r="Y16154" s="19" t="n"/>
    </row>
    <row r="16155">
      <c r="C16155" s="18" t="n"/>
      <c r="J16155" s="19" t="n"/>
      <c r="P16155" s="20" t="n"/>
      <c r="Q16155" s="19" t="n"/>
      <c r="R16155" s="19" t="n"/>
      <c r="Y16155" s="19" t="n"/>
    </row>
    <row r="16156">
      <c r="C16156" s="18" t="n"/>
      <c r="J16156" s="19" t="n"/>
      <c r="P16156" s="20" t="n"/>
      <c r="Q16156" s="19" t="n"/>
      <c r="R16156" s="19" t="n"/>
      <c r="Y16156" s="19" t="n"/>
    </row>
    <row r="16157">
      <c r="C16157" s="18" t="n"/>
      <c r="J16157" s="19" t="n"/>
      <c r="P16157" s="20" t="n"/>
      <c r="Q16157" s="19" t="n"/>
      <c r="R16157" s="19" t="n"/>
      <c r="Y16157" s="19" t="n"/>
    </row>
    <row r="16158">
      <c r="C16158" s="18" t="n"/>
      <c r="J16158" s="19" t="n"/>
      <c r="P16158" s="20" t="n"/>
      <c r="Q16158" s="19" t="n"/>
      <c r="R16158" s="19" t="n"/>
      <c r="Y16158" s="19" t="n"/>
    </row>
    <row r="16159">
      <c r="C16159" s="18" t="n"/>
      <c r="J16159" s="19" t="n"/>
      <c r="P16159" s="20" t="n"/>
      <c r="Q16159" s="19" t="n"/>
      <c r="R16159" s="19" t="n"/>
      <c r="Y16159" s="19" t="n"/>
    </row>
    <row r="16160">
      <c r="C16160" s="18" t="n"/>
      <c r="J16160" s="19" t="n"/>
      <c r="P16160" s="20" t="n"/>
      <c r="Q16160" s="19" t="n"/>
      <c r="R16160" s="19" t="n"/>
      <c r="Y16160" s="19" t="n"/>
    </row>
    <row r="16161">
      <c r="C16161" s="18" t="n"/>
      <c r="J16161" s="19" t="n"/>
      <c r="P16161" s="20" t="n"/>
      <c r="Q16161" s="19" t="n"/>
      <c r="R16161" s="19" t="n"/>
      <c r="Y16161" s="19" t="n"/>
    </row>
    <row r="16162">
      <c r="C16162" s="18" t="n"/>
      <c r="J16162" s="19" t="n"/>
      <c r="P16162" s="20" t="n"/>
      <c r="Q16162" s="19" t="n"/>
      <c r="R16162" s="19" t="n"/>
      <c r="Y16162" s="19" t="n"/>
    </row>
    <row r="16163">
      <c r="C16163" s="18" t="n"/>
      <c r="J16163" s="19" t="n"/>
      <c r="P16163" s="20" t="n"/>
      <c r="Q16163" s="19" t="n"/>
      <c r="R16163" s="19" t="n"/>
      <c r="Y16163" s="19" t="n"/>
    </row>
    <row r="16164">
      <c r="C16164" s="18" t="n"/>
      <c r="J16164" s="19" t="n"/>
      <c r="P16164" s="20" t="n"/>
      <c r="Q16164" s="19" t="n"/>
      <c r="R16164" s="19" t="n"/>
      <c r="Y16164" s="19" t="n"/>
    </row>
    <row r="16165">
      <c r="C16165" s="18" t="n"/>
      <c r="J16165" s="19" t="n"/>
      <c r="P16165" s="20" t="n"/>
      <c r="Q16165" s="19" t="n"/>
      <c r="R16165" s="19" t="n"/>
      <c r="Y16165" s="19" t="n"/>
    </row>
    <row r="16166">
      <c r="C16166" s="18" t="n"/>
      <c r="J16166" s="19" t="n"/>
      <c r="P16166" s="20" t="n"/>
      <c r="Q16166" s="19" t="n"/>
      <c r="R16166" s="19" t="n"/>
      <c r="Y16166" s="19" t="n"/>
    </row>
    <row r="16167">
      <c r="C16167" s="18" t="n"/>
      <c r="J16167" s="19" t="n"/>
      <c r="P16167" s="20" t="n"/>
      <c r="Q16167" s="19" t="n"/>
      <c r="R16167" s="19" t="n"/>
      <c r="Y16167" s="19" t="n"/>
    </row>
    <row r="16168">
      <c r="C16168" s="18" t="n"/>
      <c r="J16168" s="19" t="n"/>
      <c r="P16168" s="20" t="n"/>
      <c r="Q16168" s="19" t="n"/>
      <c r="R16168" s="19" t="n"/>
      <c r="Y16168" s="19" t="n"/>
    </row>
    <row r="16169">
      <c r="C16169" s="18" t="n"/>
      <c r="J16169" s="19" t="n"/>
      <c r="P16169" s="20" t="n"/>
      <c r="Q16169" s="19" t="n"/>
      <c r="R16169" s="19" t="n"/>
      <c r="Y16169" s="19" t="n"/>
    </row>
    <row r="16170">
      <c r="C16170" s="18" t="n"/>
      <c r="J16170" s="19" t="n"/>
      <c r="P16170" s="20" t="n"/>
      <c r="Q16170" s="19" t="n"/>
      <c r="R16170" s="19" t="n"/>
      <c r="Y16170" s="19" t="n"/>
    </row>
    <row r="16171">
      <c r="C16171" s="18" t="n"/>
      <c r="J16171" s="19" t="n"/>
      <c r="P16171" s="20" t="n"/>
      <c r="Q16171" s="19" t="n"/>
      <c r="R16171" s="19" t="n"/>
      <c r="Y16171" s="19" t="n"/>
    </row>
    <row r="16172">
      <c r="C16172" s="18" t="n"/>
      <c r="J16172" s="19" t="n"/>
      <c r="P16172" s="20" t="n"/>
      <c r="Q16172" s="19" t="n"/>
      <c r="R16172" s="19" t="n"/>
      <c r="Y16172" s="19" t="n"/>
    </row>
    <row r="16173">
      <c r="C16173" s="18" t="n"/>
      <c r="J16173" s="19" t="n"/>
      <c r="P16173" s="20" t="n"/>
      <c r="Q16173" s="19" t="n"/>
      <c r="R16173" s="19" t="n"/>
      <c r="Y16173" s="19" t="n"/>
    </row>
    <row r="16174">
      <c r="C16174" s="18" t="n"/>
      <c r="J16174" s="19" t="n"/>
      <c r="P16174" s="20" t="n"/>
      <c r="Q16174" s="19" t="n"/>
      <c r="R16174" s="19" t="n"/>
      <c r="Y16174" s="19" t="n"/>
    </row>
    <row r="16175">
      <c r="C16175" s="18" t="n"/>
      <c r="J16175" s="19" t="n"/>
      <c r="P16175" s="20" t="n"/>
      <c r="Q16175" s="19" t="n"/>
      <c r="R16175" s="19" t="n"/>
      <c r="Y16175" s="19" t="n"/>
    </row>
    <row r="16176">
      <c r="C16176" s="18" t="n"/>
      <c r="J16176" s="19" t="n"/>
      <c r="P16176" s="20" t="n"/>
      <c r="Q16176" s="19" t="n"/>
      <c r="R16176" s="19" t="n"/>
      <c r="Y16176" s="19" t="n"/>
    </row>
    <row r="16177">
      <c r="C16177" s="18" t="n"/>
      <c r="J16177" s="19" t="n"/>
      <c r="P16177" s="20" t="n"/>
      <c r="Q16177" s="19" t="n"/>
      <c r="R16177" s="19" t="n"/>
      <c r="Y16177" s="19" t="n"/>
    </row>
    <row r="16178">
      <c r="C16178" s="18" t="n"/>
      <c r="J16178" s="19" t="n"/>
      <c r="P16178" s="20" t="n"/>
      <c r="Q16178" s="19" t="n"/>
      <c r="R16178" s="19" t="n"/>
      <c r="Y16178" s="19" t="n"/>
    </row>
    <row r="16179">
      <c r="C16179" s="18" t="n"/>
      <c r="J16179" s="19" t="n"/>
      <c r="P16179" s="20" t="n"/>
      <c r="Q16179" s="19" t="n"/>
      <c r="R16179" s="19" t="n"/>
      <c r="Y16179" s="19" t="n"/>
    </row>
    <row r="16180">
      <c r="C16180" s="18" t="n"/>
      <c r="J16180" s="19" t="n"/>
      <c r="P16180" s="20" t="n"/>
      <c r="Q16180" s="19" t="n"/>
      <c r="R16180" s="19" t="n"/>
      <c r="Y16180" s="19" t="n"/>
    </row>
    <row r="16181">
      <c r="C16181" s="18" t="n"/>
      <c r="J16181" s="19" t="n"/>
      <c r="P16181" s="20" t="n"/>
      <c r="Q16181" s="19" t="n"/>
      <c r="R16181" s="19" t="n"/>
      <c r="Y16181" s="19" t="n"/>
    </row>
    <row r="16182">
      <c r="C16182" s="18" t="n"/>
      <c r="J16182" s="19" t="n"/>
      <c r="P16182" s="20" t="n"/>
      <c r="Q16182" s="19" t="n"/>
      <c r="R16182" s="19" t="n"/>
      <c r="Y16182" s="19" t="n"/>
    </row>
    <row r="16183">
      <c r="C16183" s="18" t="n"/>
      <c r="J16183" s="19" t="n"/>
      <c r="P16183" s="20" t="n"/>
      <c r="Q16183" s="19" t="n"/>
      <c r="R16183" s="19" t="n"/>
      <c r="Y16183" s="19" t="n"/>
    </row>
    <row r="16184">
      <c r="C16184" s="18" t="n"/>
      <c r="J16184" s="19" t="n"/>
      <c r="P16184" s="20" t="n"/>
      <c r="Q16184" s="19" t="n"/>
      <c r="R16184" s="19" t="n"/>
      <c r="Y16184" s="19" t="n"/>
    </row>
    <row r="16185">
      <c r="C16185" s="18" t="n"/>
      <c r="J16185" s="19" t="n"/>
      <c r="P16185" s="20" t="n"/>
      <c r="Q16185" s="19" t="n"/>
      <c r="R16185" s="19" t="n"/>
      <c r="Y16185" s="19" t="n"/>
    </row>
    <row r="16186">
      <c r="C16186" s="18" t="n"/>
      <c r="J16186" s="19" t="n"/>
      <c r="P16186" s="20" t="n"/>
      <c r="Q16186" s="19" t="n"/>
      <c r="R16186" s="19" t="n"/>
      <c r="Y16186" s="19" t="n"/>
    </row>
    <row r="16187">
      <c r="C16187" s="18" t="n"/>
      <c r="J16187" s="19" t="n"/>
      <c r="P16187" s="20" t="n"/>
      <c r="Q16187" s="19" t="n"/>
      <c r="R16187" s="19" t="n"/>
      <c r="Y16187" s="19" t="n"/>
    </row>
    <row r="16188">
      <c r="C16188" s="18" t="n"/>
      <c r="J16188" s="19" t="n"/>
      <c r="P16188" s="20" t="n"/>
      <c r="Q16188" s="19" t="n"/>
      <c r="R16188" s="19" t="n"/>
      <c r="Y16188" s="19" t="n"/>
    </row>
    <row r="16189">
      <c r="C16189" s="18" t="n"/>
      <c r="J16189" s="19" t="n"/>
      <c r="P16189" s="20" t="n"/>
      <c r="Q16189" s="19" t="n"/>
      <c r="R16189" s="19" t="n"/>
      <c r="Y16189" s="19" t="n"/>
    </row>
    <row r="16190">
      <c r="C16190" s="18" t="n"/>
      <c r="J16190" s="19" t="n"/>
      <c r="P16190" s="20" t="n"/>
      <c r="Q16190" s="19" t="n"/>
      <c r="R16190" s="19" t="n"/>
      <c r="Y16190" s="19" t="n"/>
    </row>
    <row r="16191">
      <c r="C16191" s="18" t="n"/>
      <c r="J16191" s="19" t="n"/>
      <c r="P16191" s="20" t="n"/>
      <c r="Q16191" s="19" t="n"/>
      <c r="R16191" s="19" t="n"/>
      <c r="Y16191" s="19" t="n"/>
    </row>
    <row r="16192">
      <c r="C16192" s="18" t="n"/>
      <c r="J16192" s="19" t="n"/>
      <c r="P16192" s="20" t="n"/>
      <c r="Q16192" s="19" t="n"/>
      <c r="R16192" s="19" t="n"/>
      <c r="Y16192" s="19" t="n"/>
    </row>
    <row r="16193">
      <c r="C16193" s="18" t="n"/>
      <c r="J16193" s="19" t="n"/>
      <c r="P16193" s="20" t="n"/>
      <c r="Q16193" s="19" t="n"/>
      <c r="R16193" s="19" t="n"/>
      <c r="Y16193" s="19" t="n"/>
    </row>
    <row r="16194">
      <c r="C16194" s="18" t="n"/>
      <c r="J16194" s="19" t="n"/>
      <c r="P16194" s="20" t="n"/>
      <c r="Q16194" s="19" t="n"/>
      <c r="R16194" s="19" t="n"/>
      <c r="Y16194" s="19" t="n"/>
    </row>
    <row r="16195">
      <c r="C16195" s="18" t="n"/>
      <c r="J16195" s="19" t="n"/>
      <c r="P16195" s="20" t="n"/>
      <c r="Q16195" s="19" t="n"/>
      <c r="R16195" s="19" t="n"/>
      <c r="Y16195" s="19" t="n"/>
    </row>
    <row r="16196">
      <c r="C16196" s="18" t="n"/>
      <c r="J16196" s="19" t="n"/>
      <c r="P16196" s="20" t="n"/>
      <c r="Q16196" s="19" t="n"/>
      <c r="R16196" s="19" t="n"/>
      <c r="Y16196" s="19" t="n"/>
    </row>
    <row r="16197">
      <c r="C16197" s="18" t="n"/>
      <c r="J16197" s="19" t="n"/>
      <c r="P16197" s="20" t="n"/>
      <c r="Q16197" s="19" t="n"/>
      <c r="R16197" s="19" t="n"/>
      <c r="Y16197" s="19" t="n"/>
    </row>
    <row r="16198">
      <c r="C16198" s="18" t="n"/>
      <c r="J16198" s="19" t="n"/>
      <c r="P16198" s="20" t="n"/>
      <c r="Q16198" s="19" t="n"/>
      <c r="R16198" s="19" t="n"/>
      <c r="Y16198" s="19" t="n"/>
    </row>
    <row r="16199">
      <c r="C16199" s="18" t="n"/>
      <c r="J16199" s="19" t="n"/>
      <c r="P16199" s="20" t="n"/>
      <c r="Q16199" s="19" t="n"/>
      <c r="R16199" s="19" t="n"/>
      <c r="Y16199" s="19" t="n"/>
    </row>
    <row r="16200">
      <c r="C16200" s="18" t="n"/>
      <c r="J16200" s="19" t="n"/>
      <c r="P16200" s="20" t="n"/>
      <c r="Q16200" s="19" t="n"/>
      <c r="R16200" s="19" t="n"/>
      <c r="Y16200" s="19" t="n"/>
    </row>
    <row r="16201">
      <c r="C16201" s="18" t="n"/>
      <c r="J16201" s="19" t="n"/>
      <c r="P16201" s="20" t="n"/>
      <c r="Q16201" s="19" t="n"/>
      <c r="R16201" s="19" t="n"/>
      <c r="Y16201" s="19" t="n"/>
    </row>
    <row r="16202">
      <c r="C16202" s="18" t="n"/>
      <c r="J16202" s="19" t="n"/>
      <c r="P16202" s="20" t="n"/>
      <c r="Q16202" s="19" t="n"/>
      <c r="R16202" s="19" t="n"/>
      <c r="Y16202" s="19" t="n"/>
    </row>
    <row r="16203">
      <c r="C16203" s="18" t="n"/>
      <c r="J16203" s="19" t="n"/>
      <c r="P16203" s="20" t="n"/>
      <c r="Q16203" s="19" t="n"/>
      <c r="R16203" s="19" t="n"/>
      <c r="Y16203" s="19" t="n"/>
    </row>
    <row r="16204">
      <c r="C16204" s="18" t="n"/>
      <c r="J16204" s="19" t="n"/>
      <c r="P16204" s="20" t="n"/>
      <c r="Q16204" s="19" t="n"/>
      <c r="R16204" s="19" t="n"/>
      <c r="Y16204" s="19" t="n"/>
    </row>
    <row r="16205">
      <c r="C16205" s="18" t="n"/>
      <c r="J16205" s="19" t="n"/>
      <c r="P16205" s="20" t="n"/>
      <c r="Q16205" s="19" t="n"/>
      <c r="R16205" s="19" t="n"/>
      <c r="Y16205" s="19" t="n"/>
    </row>
    <row r="16206">
      <c r="C16206" s="18" t="n"/>
      <c r="J16206" s="19" t="n"/>
      <c r="P16206" s="20" t="n"/>
      <c r="Q16206" s="19" t="n"/>
      <c r="R16206" s="19" t="n"/>
      <c r="Y16206" s="19" t="n"/>
    </row>
    <row r="16207">
      <c r="C16207" s="18" t="n"/>
      <c r="J16207" s="19" t="n"/>
      <c r="P16207" s="20" t="n"/>
      <c r="Q16207" s="19" t="n"/>
      <c r="R16207" s="19" t="n"/>
      <c r="Y16207" s="19" t="n"/>
    </row>
    <row r="16208">
      <c r="C16208" s="18" t="n"/>
      <c r="J16208" s="19" t="n"/>
      <c r="P16208" s="20" t="n"/>
      <c r="Q16208" s="19" t="n"/>
      <c r="R16208" s="19" t="n"/>
      <c r="Y16208" s="19" t="n"/>
    </row>
    <row r="16209">
      <c r="C16209" s="18" t="n"/>
      <c r="J16209" s="19" t="n"/>
      <c r="P16209" s="20" t="n"/>
      <c r="Q16209" s="19" t="n"/>
      <c r="R16209" s="19" t="n"/>
      <c r="Y16209" s="19" t="n"/>
    </row>
    <row r="16210">
      <c r="C16210" s="18" t="n"/>
      <c r="J16210" s="19" t="n"/>
      <c r="P16210" s="20" t="n"/>
      <c r="Q16210" s="19" t="n"/>
      <c r="R16210" s="19" t="n"/>
      <c r="Y16210" s="19" t="n"/>
    </row>
    <row r="16211">
      <c r="C16211" s="18" t="n"/>
      <c r="J16211" s="19" t="n"/>
      <c r="P16211" s="20" t="n"/>
      <c r="Q16211" s="19" t="n"/>
      <c r="R16211" s="19" t="n"/>
      <c r="Y16211" s="19" t="n"/>
    </row>
    <row r="16212">
      <c r="C16212" s="18" t="n"/>
      <c r="J16212" s="19" t="n"/>
      <c r="P16212" s="20" t="n"/>
      <c r="Q16212" s="19" t="n"/>
      <c r="R16212" s="19" t="n"/>
      <c r="Y16212" s="19" t="n"/>
    </row>
    <row r="16213">
      <c r="C16213" s="18" t="n"/>
      <c r="J16213" s="19" t="n"/>
      <c r="P16213" s="20" t="n"/>
      <c r="Q16213" s="19" t="n"/>
      <c r="R16213" s="19" t="n"/>
      <c r="Y16213" s="19" t="n"/>
    </row>
    <row r="16214">
      <c r="C16214" s="18" t="n"/>
      <c r="J16214" s="19" t="n"/>
      <c r="P16214" s="20" t="n"/>
      <c r="Q16214" s="19" t="n"/>
      <c r="R16214" s="19" t="n"/>
      <c r="Y16214" s="19" t="n"/>
    </row>
    <row r="16215">
      <c r="C16215" s="18" t="n"/>
      <c r="J16215" s="19" t="n"/>
      <c r="P16215" s="20" t="n"/>
      <c r="Q16215" s="19" t="n"/>
      <c r="R16215" s="19" t="n"/>
      <c r="Y16215" s="19" t="n"/>
    </row>
    <row r="16216">
      <c r="C16216" s="18" t="n"/>
      <c r="J16216" s="19" t="n"/>
      <c r="P16216" s="20" t="n"/>
      <c r="Q16216" s="19" t="n"/>
      <c r="R16216" s="19" t="n"/>
      <c r="Y16216" s="19" t="n"/>
    </row>
    <row r="16217">
      <c r="C16217" s="18" t="n"/>
      <c r="J16217" s="19" t="n"/>
      <c r="P16217" s="20" t="n"/>
      <c r="Q16217" s="19" t="n"/>
      <c r="R16217" s="19" t="n"/>
      <c r="Y16217" s="19" t="n"/>
    </row>
    <row r="16218">
      <c r="C16218" s="18" t="n"/>
      <c r="J16218" s="19" t="n"/>
      <c r="P16218" s="20" t="n"/>
      <c r="Q16218" s="19" t="n"/>
      <c r="R16218" s="19" t="n"/>
      <c r="Y16218" s="19" t="n"/>
    </row>
    <row r="16219">
      <c r="C16219" s="18" t="n"/>
      <c r="J16219" s="19" t="n"/>
      <c r="P16219" s="20" t="n"/>
      <c r="Q16219" s="19" t="n"/>
      <c r="R16219" s="19" t="n"/>
      <c r="Y16219" s="19" t="n"/>
    </row>
    <row r="16220">
      <c r="C16220" s="18" t="n"/>
      <c r="J16220" s="19" t="n"/>
      <c r="P16220" s="20" t="n"/>
      <c r="Q16220" s="19" t="n"/>
      <c r="R16220" s="19" t="n"/>
      <c r="Y16220" s="19" t="n"/>
    </row>
    <row r="16221">
      <c r="C16221" s="18" t="n"/>
      <c r="J16221" s="19" t="n"/>
      <c r="P16221" s="20" t="n"/>
      <c r="Q16221" s="19" t="n"/>
      <c r="R16221" s="19" t="n"/>
      <c r="Y16221" s="19" t="n"/>
    </row>
    <row r="16222">
      <c r="C16222" s="18" t="n"/>
      <c r="J16222" s="19" t="n"/>
      <c r="P16222" s="20" t="n"/>
      <c r="Q16222" s="19" t="n"/>
      <c r="R16222" s="19" t="n"/>
      <c r="Y16222" s="19" t="n"/>
    </row>
    <row r="16223">
      <c r="C16223" s="18" t="n"/>
      <c r="J16223" s="19" t="n"/>
      <c r="P16223" s="20" t="n"/>
      <c r="Q16223" s="19" t="n"/>
      <c r="R16223" s="19" t="n"/>
      <c r="Y16223" s="19" t="n"/>
    </row>
    <row r="16224">
      <c r="C16224" s="18" t="n"/>
      <c r="J16224" s="19" t="n"/>
      <c r="P16224" s="20" t="n"/>
      <c r="Q16224" s="19" t="n"/>
      <c r="R16224" s="19" t="n"/>
      <c r="Y16224" s="19" t="n"/>
    </row>
    <row r="16225">
      <c r="C16225" s="18" t="n"/>
      <c r="J16225" s="19" t="n"/>
      <c r="P16225" s="20" t="n"/>
      <c r="Q16225" s="19" t="n"/>
      <c r="R16225" s="19" t="n"/>
      <c r="Y16225" s="19" t="n"/>
    </row>
    <row r="16226">
      <c r="C16226" s="18" t="n"/>
      <c r="J16226" s="19" t="n"/>
      <c r="P16226" s="20" t="n"/>
      <c r="Q16226" s="19" t="n"/>
      <c r="R16226" s="19" t="n"/>
      <c r="Y16226" s="19" t="n"/>
    </row>
    <row r="16227">
      <c r="C16227" s="18" t="n"/>
      <c r="J16227" s="19" t="n"/>
      <c r="P16227" s="20" t="n"/>
      <c r="Q16227" s="19" t="n"/>
      <c r="R16227" s="19" t="n"/>
      <c r="Y16227" s="19" t="n"/>
    </row>
    <row r="16228">
      <c r="C16228" s="18" t="n"/>
      <c r="J16228" s="19" t="n"/>
      <c r="P16228" s="20" t="n"/>
      <c r="Q16228" s="19" t="n"/>
      <c r="R16228" s="19" t="n"/>
      <c r="Y16228" s="19" t="n"/>
    </row>
    <row r="16229">
      <c r="C16229" s="18" t="n"/>
      <c r="J16229" s="19" t="n"/>
      <c r="P16229" s="20" t="n"/>
      <c r="Q16229" s="19" t="n"/>
      <c r="R16229" s="19" t="n"/>
      <c r="Y16229" s="19" t="n"/>
    </row>
    <row r="16230">
      <c r="C16230" s="18" t="n"/>
      <c r="J16230" s="19" t="n"/>
      <c r="P16230" s="20" t="n"/>
      <c r="Q16230" s="19" t="n"/>
      <c r="R16230" s="19" t="n"/>
      <c r="Y16230" s="19" t="n"/>
    </row>
    <row r="16231">
      <c r="C16231" s="18" t="n"/>
      <c r="J16231" s="19" t="n"/>
      <c r="P16231" s="20" t="n"/>
      <c r="Q16231" s="19" t="n"/>
      <c r="R16231" s="19" t="n"/>
      <c r="Y16231" s="19" t="n"/>
    </row>
    <row r="16232">
      <c r="C16232" s="18" t="n"/>
      <c r="J16232" s="19" t="n"/>
      <c r="P16232" s="20" t="n"/>
      <c r="Q16232" s="19" t="n"/>
      <c r="R16232" s="19" t="n"/>
      <c r="Y16232" s="19" t="n"/>
    </row>
    <row r="16233">
      <c r="C16233" s="18" t="n"/>
      <c r="J16233" s="19" t="n"/>
      <c r="P16233" s="20" t="n"/>
      <c r="Q16233" s="19" t="n"/>
      <c r="R16233" s="19" t="n"/>
      <c r="Y16233" s="19" t="n"/>
    </row>
    <row r="16234">
      <c r="C16234" s="18" t="n"/>
      <c r="J16234" s="19" t="n"/>
      <c r="P16234" s="20" t="n"/>
      <c r="Q16234" s="19" t="n"/>
      <c r="R16234" s="19" t="n"/>
      <c r="Y16234" s="19" t="n"/>
    </row>
    <row r="16235">
      <c r="C16235" s="18" t="n"/>
      <c r="J16235" s="19" t="n"/>
      <c r="P16235" s="20" t="n"/>
      <c r="Q16235" s="19" t="n"/>
      <c r="R16235" s="19" t="n"/>
      <c r="Y16235" s="19" t="n"/>
    </row>
    <row r="16236">
      <c r="C16236" s="18" t="n"/>
      <c r="J16236" s="19" t="n"/>
      <c r="P16236" s="20" t="n"/>
      <c r="Q16236" s="19" t="n"/>
      <c r="R16236" s="19" t="n"/>
      <c r="Y16236" s="19" t="n"/>
    </row>
    <row r="16237">
      <c r="C16237" s="18" t="n"/>
      <c r="J16237" s="19" t="n"/>
      <c r="P16237" s="20" t="n"/>
      <c r="Q16237" s="19" t="n"/>
      <c r="R16237" s="19" t="n"/>
      <c r="Y16237" s="19" t="n"/>
    </row>
    <row r="16238">
      <c r="C16238" s="18" t="n"/>
      <c r="J16238" s="19" t="n"/>
      <c r="P16238" s="20" t="n"/>
      <c r="Q16238" s="19" t="n"/>
      <c r="R16238" s="19" t="n"/>
      <c r="Y16238" s="19" t="n"/>
    </row>
    <row r="16239">
      <c r="C16239" s="18" t="n"/>
      <c r="J16239" s="19" t="n"/>
      <c r="P16239" s="20" t="n"/>
      <c r="Q16239" s="19" t="n"/>
      <c r="R16239" s="19" t="n"/>
      <c r="Y16239" s="19" t="n"/>
    </row>
    <row r="16240">
      <c r="C16240" s="18" t="n"/>
      <c r="J16240" s="19" t="n"/>
      <c r="P16240" s="20" t="n"/>
      <c r="Q16240" s="19" t="n"/>
      <c r="R16240" s="19" t="n"/>
      <c r="Y16240" s="19" t="n"/>
    </row>
    <row r="16241">
      <c r="C16241" s="18" t="n"/>
      <c r="J16241" s="19" t="n"/>
      <c r="P16241" s="20" t="n"/>
      <c r="Q16241" s="19" t="n"/>
      <c r="R16241" s="19" t="n"/>
      <c r="Y16241" s="19" t="n"/>
    </row>
    <row r="16242">
      <c r="C16242" s="18" t="n"/>
      <c r="J16242" s="19" t="n"/>
      <c r="P16242" s="20" t="n"/>
      <c r="Q16242" s="19" t="n"/>
      <c r="R16242" s="19" t="n"/>
      <c r="Y16242" s="19" t="n"/>
    </row>
    <row r="16243">
      <c r="C16243" s="18" t="n"/>
      <c r="J16243" s="19" t="n"/>
      <c r="P16243" s="20" t="n"/>
      <c r="Q16243" s="19" t="n"/>
      <c r="R16243" s="19" t="n"/>
      <c r="Y16243" s="19" t="n"/>
    </row>
    <row r="16244">
      <c r="C16244" s="18" t="n"/>
      <c r="J16244" s="19" t="n"/>
      <c r="P16244" s="20" t="n"/>
      <c r="Q16244" s="19" t="n"/>
      <c r="R16244" s="19" t="n"/>
      <c r="Y16244" s="19" t="n"/>
    </row>
    <row r="16245">
      <c r="C16245" s="18" t="n"/>
      <c r="J16245" s="19" t="n"/>
      <c r="P16245" s="20" t="n"/>
      <c r="Q16245" s="19" t="n"/>
      <c r="R16245" s="19" t="n"/>
      <c r="Y16245" s="19" t="n"/>
    </row>
    <row r="16246">
      <c r="C16246" s="18" t="n"/>
      <c r="J16246" s="19" t="n"/>
      <c r="P16246" s="20" t="n"/>
      <c r="Q16246" s="19" t="n"/>
      <c r="R16246" s="19" t="n"/>
      <c r="Y16246" s="19" t="n"/>
    </row>
    <row r="16247">
      <c r="C16247" s="18" t="n"/>
      <c r="J16247" s="19" t="n"/>
      <c r="P16247" s="20" t="n"/>
      <c r="Q16247" s="19" t="n"/>
      <c r="R16247" s="19" t="n"/>
      <c r="Y16247" s="19" t="n"/>
    </row>
    <row r="16248">
      <c r="C16248" s="18" t="n"/>
      <c r="J16248" s="19" t="n"/>
      <c r="P16248" s="20" t="n"/>
      <c r="Q16248" s="19" t="n"/>
      <c r="R16248" s="19" t="n"/>
      <c r="Y16248" s="19" t="n"/>
    </row>
    <row r="16249">
      <c r="C16249" s="18" t="n"/>
      <c r="J16249" s="19" t="n"/>
      <c r="P16249" s="20" t="n"/>
      <c r="Q16249" s="19" t="n"/>
      <c r="R16249" s="19" t="n"/>
      <c r="Y16249" s="19" t="n"/>
    </row>
    <row r="16250">
      <c r="C16250" s="18" t="n"/>
      <c r="J16250" s="19" t="n"/>
      <c r="P16250" s="20" t="n"/>
      <c r="Q16250" s="19" t="n"/>
      <c r="R16250" s="19" t="n"/>
      <c r="Y16250" s="19" t="n"/>
    </row>
    <row r="16251">
      <c r="C16251" s="18" t="n"/>
      <c r="J16251" s="19" t="n"/>
      <c r="P16251" s="20" t="n"/>
      <c r="Q16251" s="19" t="n"/>
      <c r="R16251" s="19" t="n"/>
      <c r="Y16251" s="19" t="n"/>
    </row>
    <row r="16252">
      <c r="C16252" s="18" t="n"/>
      <c r="J16252" s="19" t="n"/>
      <c r="P16252" s="20" t="n"/>
      <c r="Q16252" s="19" t="n"/>
      <c r="R16252" s="19" t="n"/>
      <c r="Y16252" s="19" t="n"/>
    </row>
    <row r="16253">
      <c r="C16253" s="18" t="n"/>
      <c r="J16253" s="19" t="n"/>
      <c r="P16253" s="20" t="n"/>
      <c r="Q16253" s="19" t="n"/>
      <c r="R16253" s="19" t="n"/>
      <c r="Y16253" s="19" t="n"/>
    </row>
    <row r="16254">
      <c r="C16254" s="18" t="n"/>
      <c r="J16254" s="19" t="n"/>
      <c r="P16254" s="20" t="n"/>
      <c r="Q16254" s="19" t="n"/>
      <c r="R16254" s="19" t="n"/>
      <c r="Y16254" s="19" t="n"/>
    </row>
    <row r="16255">
      <c r="C16255" s="18" t="n"/>
      <c r="J16255" s="19" t="n"/>
      <c r="P16255" s="20" t="n"/>
      <c r="Q16255" s="19" t="n"/>
      <c r="R16255" s="19" t="n"/>
      <c r="Y16255" s="19" t="n"/>
    </row>
    <row r="16256">
      <c r="C16256" s="18" t="n"/>
      <c r="J16256" s="19" t="n"/>
      <c r="P16256" s="20" t="n"/>
      <c r="Q16256" s="19" t="n"/>
      <c r="R16256" s="19" t="n"/>
      <c r="Y16256" s="19" t="n"/>
    </row>
    <row r="16257">
      <c r="C16257" s="18" t="n"/>
      <c r="J16257" s="19" t="n"/>
      <c r="P16257" s="20" t="n"/>
      <c r="Q16257" s="19" t="n"/>
      <c r="R16257" s="19" t="n"/>
      <c r="Y16257" s="19" t="n"/>
    </row>
    <row r="16258">
      <c r="C16258" s="18" t="n"/>
      <c r="J16258" s="19" t="n"/>
      <c r="P16258" s="20" t="n"/>
      <c r="Q16258" s="19" t="n"/>
      <c r="R16258" s="19" t="n"/>
      <c r="Y16258" s="19" t="n"/>
    </row>
    <row r="16259">
      <c r="C16259" s="18" t="n"/>
      <c r="J16259" s="19" t="n"/>
      <c r="P16259" s="20" t="n"/>
      <c r="Q16259" s="19" t="n"/>
      <c r="R16259" s="19" t="n"/>
      <c r="Y16259" s="19" t="n"/>
    </row>
    <row r="16260">
      <c r="C16260" s="18" t="n"/>
      <c r="J16260" s="19" t="n"/>
      <c r="P16260" s="20" t="n"/>
      <c r="Q16260" s="19" t="n"/>
      <c r="R16260" s="19" t="n"/>
      <c r="Y16260" s="19" t="n"/>
    </row>
    <row r="16261">
      <c r="C16261" s="18" t="n"/>
      <c r="J16261" s="19" t="n"/>
      <c r="P16261" s="20" t="n"/>
      <c r="Q16261" s="19" t="n"/>
      <c r="R16261" s="19" t="n"/>
      <c r="Y16261" s="19" t="n"/>
    </row>
    <row r="16262">
      <c r="C16262" s="18" t="n"/>
      <c r="J16262" s="19" t="n"/>
      <c r="P16262" s="20" t="n"/>
      <c r="Q16262" s="19" t="n"/>
      <c r="R16262" s="19" t="n"/>
      <c r="Y16262" s="19" t="n"/>
    </row>
    <row r="16263">
      <c r="C16263" s="18" t="n"/>
      <c r="J16263" s="19" t="n"/>
      <c r="P16263" s="20" t="n"/>
      <c r="Q16263" s="19" t="n"/>
      <c r="R16263" s="19" t="n"/>
      <c r="Y16263" s="19" t="n"/>
    </row>
    <row r="16264">
      <c r="C16264" s="18" t="n"/>
      <c r="J16264" s="19" t="n"/>
      <c r="P16264" s="20" t="n"/>
      <c r="Q16264" s="19" t="n"/>
      <c r="R16264" s="19" t="n"/>
      <c r="Y16264" s="19" t="n"/>
    </row>
    <row r="16265">
      <c r="C16265" s="18" t="n"/>
      <c r="J16265" s="19" t="n"/>
      <c r="P16265" s="20" t="n"/>
      <c r="Q16265" s="19" t="n"/>
      <c r="R16265" s="19" t="n"/>
      <c r="Y16265" s="19" t="n"/>
    </row>
    <row r="16266">
      <c r="C16266" s="18" t="n"/>
      <c r="J16266" s="19" t="n"/>
      <c r="P16266" s="20" t="n"/>
      <c r="Q16266" s="19" t="n"/>
      <c r="R16266" s="19" t="n"/>
      <c r="Y16266" s="19" t="n"/>
    </row>
    <row r="16267">
      <c r="C16267" s="18" t="n"/>
      <c r="J16267" s="19" t="n"/>
      <c r="P16267" s="20" t="n"/>
      <c r="Q16267" s="19" t="n"/>
      <c r="R16267" s="19" t="n"/>
      <c r="Y16267" s="19" t="n"/>
    </row>
    <row r="16268">
      <c r="C16268" s="18" t="n"/>
      <c r="J16268" s="19" t="n"/>
      <c r="P16268" s="20" t="n"/>
      <c r="Q16268" s="19" t="n"/>
      <c r="R16268" s="19" t="n"/>
      <c r="Y16268" s="19" t="n"/>
    </row>
    <row r="16269">
      <c r="C16269" s="18" t="n"/>
      <c r="J16269" s="19" t="n"/>
      <c r="P16269" s="20" t="n"/>
      <c r="Q16269" s="19" t="n"/>
      <c r="R16269" s="19" t="n"/>
      <c r="Y16269" s="19" t="n"/>
    </row>
    <row r="16270">
      <c r="C16270" s="18" t="n"/>
      <c r="J16270" s="19" t="n"/>
      <c r="P16270" s="20" t="n"/>
      <c r="Q16270" s="19" t="n"/>
      <c r="R16270" s="19" t="n"/>
      <c r="Y16270" s="19" t="n"/>
    </row>
    <row r="16271">
      <c r="C16271" s="18" t="n"/>
      <c r="J16271" s="19" t="n"/>
      <c r="P16271" s="20" t="n"/>
      <c r="Q16271" s="19" t="n"/>
      <c r="R16271" s="19" t="n"/>
      <c r="Y16271" s="19" t="n"/>
    </row>
    <row r="16272">
      <c r="C16272" s="18" t="n"/>
      <c r="J16272" s="19" t="n"/>
      <c r="P16272" s="20" t="n"/>
      <c r="Q16272" s="19" t="n"/>
      <c r="R16272" s="19" t="n"/>
      <c r="Y16272" s="19" t="n"/>
    </row>
    <row r="16273">
      <c r="C16273" s="18" t="n"/>
      <c r="J16273" s="19" t="n"/>
      <c r="P16273" s="20" t="n"/>
      <c r="Q16273" s="19" t="n"/>
      <c r="R16273" s="19" t="n"/>
      <c r="Y16273" s="19" t="n"/>
    </row>
    <row r="16274">
      <c r="C16274" s="18" t="n"/>
      <c r="J16274" s="19" t="n"/>
      <c r="P16274" s="20" t="n"/>
      <c r="Q16274" s="19" t="n"/>
      <c r="R16274" s="19" t="n"/>
      <c r="Y16274" s="19" t="n"/>
    </row>
    <row r="16275">
      <c r="C16275" s="18" t="n"/>
      <c r="J16275" s="19" t="n"/>
      <c r="P16275" s="20" t="n"/>
      <c r="Q16275" s="19" t="n"/>
      <c r="R16275" s="19" t="n"/>
      <c r="Y16275" s="19" t="n"/>
    </row>
    <row r="16276">
      <c r="C16276" s="18" t="n"/>
      <c r="J16276" s="19" t="n"/>
      <c r="P16276" s="20" t="n"/>
      <c r="Q16276" s="19" t="n"/>
      <c r="R16276" s="19" t="n"/>
      <c r="Y16276" s="19" t="n"/>
    </row>
    <row r="16277">
      <c r="C16277" s="18" t="n"/>
      <c r="J16277" s="19" t="n"/>
      <c r="P16277" s="20" t="n"/>
      <c r="Q16277" s="19" t="n"/>
      <c r="R16277" s="19" t="n"/>
      <c r="Y16277" s="19" t="n"/>
    </row>
    <row r="16278">
      <c r="C16278" s="18" t="n"/>
      <c r="J16278" s="19" t="n"/>
      <c r="P16278" s="20" t="n"/>
      <c r="Q16278" s="19" t="n"/>
      <c r="R16278" s="19" t="n"/>
      <c r="Y16278" s="19" t="n"/>
    </row>
    <row r="16279">
      <c r="C16279" s="18" t="n"/>
      <c r="J16279" s="19" t="n"/>
      <c r="P16279" s="20" t="n"/>
      <c r="Q16279" s="19" t="n"/>
      <c r="R16279" s="19" t="n"/>
      <c r="Y16279" s="19" t="n"/>
    </row>
    <row r="16280">
      <c r="C16280" s="18" t="n"/>
      <c r="J16280" s="19" t="n"/>
      <c r="P16280" s="20" t="n"/>
      <c r="Q16280" s="19" t="n"/>
      <c r="R16280" s="19" t="n"/>
      <c r="Y16280" s="19" t="n"/>
    </row>
    <row r="16281">
      <c r="C16281" s="18" t="n"/>
      <c r="J16281" s="19" t="n"/>
      <c r="P16281" s="20" t="n"/>
      <c r="Q16281" s="19" t="n"/>
      <c r="R16281" s="19" t="n"/>
      <c r="Y16281" s="19" t="n"/>
    </row>
    <row r="16282">
      <c r="C16282" s="18" t="n"/>
      <c r="J16282" s="19" t="n"/>
      <c r="P16282" s="20" t="n"/>
      <c r="Q16282" s="19" t="n"/>
      <c r="R16282" s="19" t="n"/>
      <c r="Y16282" s="19" t="n"/>
    </row>
    <row r="16283">
      <c r="C16283" s="18" t="n"/>
      <c r="J16283" s="19" t="n"/>
      <c r="P16283" s="20" t="n"/>
      <c r="Q16283" s="19" t="n"/>
      <c r="R16283" s="19" t="n"/>
      <c r="Y16283" s="19" t="n"/>
    </row>
    <row r="16284">
      <c r="C16284" s="18" t="n"/>
      <c r="J16284" s="19" t="n"/>
      <c r="P16284" s="20" t="n"/>
      <c r="Q16284" s="19" t="n"/>
      <c r="R16284" s="19" t="n"/>
      <c r="Y16284" s="19" t="n"/>
    </row>
    <row r="16285">
      <c r="C16285" s="18" t="n"/>
      <c r="J16285" s="19" t="n"/>
      <c r="P16285" s="20" t="n"/>
      <c r="Q16285" s="19" t="n"/>
      <c r="R16285" s="19" t="n"/>
      <c r="Y16285" s="19" t="n"/>
    </row>
    <row r="16286">
      <c r="C16286" s="18" t="n"/>
      <c r="J16286" s="19" t="n"/>
      <c r="P16286" s="20" t="n"/>
      <c r="Q16286" s="19" t="n"/>
      <c r="R16286" s="19" t="n"/>
      <c r="Y16286" s="19" t="n"/>
    </row>
    <row r="16287">
      <c r="C16287" s="18" t="n"/>
      <c r="J16287" s="19" t="n"/>
      <c r="P16287" s="20" t="n"/>
      <c r="Q16287" s="19" t="n"/>
      <c r="R16287" s="19" t="n"/>
      <c r="Y16287" s="19" t="n"/>
    </row>
    <row r="16288">
      <c r="C16288" s="18" t="n"/>
      <c r="J16288" s="19" t="n"/>
      <c r="P16288" s="20" t="n"/>
      <c r="Q16288" s="19" t="n"/>
      <c r="R16288" s="19" t="n"/>
      <c r="Y16288" s="19" t="n"/>
    </row>
    <row r="16289">
      <c r="C16289" s="18" t="n"/>
      <c r="J16289" s="19" t="n"/>
      <c r="P16289" s="20" t="n"/>
      <c r="Q16289" s="19" t="n"/>
      <c r="R16289" s="19" t="n"/>
      <c r="Y16289" s="19" t="n"/>
    </row>
    <row r="16290">
      <c r="C16290" s="18" t="n"/>
      <c r="J16290" s="19" t="n"/>
      <c r="P16290" s="20" t="n"/>
      <c r="Q16290" s="19" t="n"/>
      <c r="R16290" s="19" t="n"/>
      <c r="Y16290" s="19" t="n"/>
    </row>
    <row r="16291">
      <c r="C16291" s="18" t="n"/>
      <c r="J16291" s="19" t="n"/>
      <c r="P16291" s="20" t="n"/>
      <c r="Q16291" s="19" t="n"/>
      <c r="R16291" s="19" t="n"/>
      <c r="Y16291" s="19" t="n"/>
    </row>
    <row r="16292">
      <c r="C16292" s="18" t="n"/>
      <c r="J16292" s="19" t="n"/>
      <c r="P16292" s="20" t="n"/>
      <c r="Q16292" s="19" t="n"/>
      <c r="R16292" s="19" t="n"/>
      <c r="Y16292" s="19" t="n"/>
    </row>
    <row r="16293">
      <c r="C16293" s="18" t="n"/>
      <c r="J16293" s="19" t="n"/>
      <c r="P16293" s="20" t="n"/>
      <c r="Q16293" s="19" t="n"/>
      <c r="R16293" s="19" t="n"/>
      <c r="Y16293" s="19" t="n"/>
    </row>
    <row r="16294">
      <c r="C16294" s="18" t="n"/>
      <c r="J16294" s="19" t="n"/>
      <c r="P16294" s="20" t="n"/>
      <c r="Q16294" s="19" t="n"/>
      <c r="R16294" s="19" t="n"/>
      <c r="Y16294" s="19" t="n"/>
    </row>
    <row r="16295">
      <c r="C16295" s="18" t="n"/>
      <c r="J16295" s="19" t="n"/>
      <c r="P16295" s="20" t="n"/>
      <c r="Q16295" s="19" t="n"/>
      <c r="R16295" s="19" t="n"/>
      <c r="Y16295" s="19" t="n"/>
    </row>
    <row r="16296">
      <c r="C16296" s="18" t="n"/>
      <c r="J16296" s="19" t="n"/>
      <c r="P16296" s="20" t="n"/>
      <c r="Q16296" s="19" t="n"/>
      <c r="R16296" s="19" t="n"/>
      <c r="Y16296" s="19" t="n"/>
    </row>
    <row r="16297">
      <c r="C16297" s="18" t="n"/>
      <c r="J16297" s="19" t="n"/>
      <c r="P16297" s="20" t="n"/>
      <c r="Q16297" s="19" t="n"/>
      <c r="R16297" s="19" t="n"/>
      <c r="Y16297" s="19" t="n"/>
    </row>
    <row r="16298">
      <c r="C16298" s="18" t="n"/>
      <c r="J16298" s="19" t="n"/>
      <c r="P16298" s="20" t="n"/>
      <c r="Q16298" s="19" t="n"/>
      <c r="R16298" s="19" t="n"/>
      <c r="Y16298" s="19" t="n"/>
    </row>
    <row r="16299">
      <c r="C16299" s="18" t="n"/>
      <c r="J16299" s="19" t="n"/>
      <c r="P16299" s="20" t="n"/>
      <c r="Q16299" s="19" t="n"/>
      <c r="R16299" s="19" t="n"/>
      <c r="Y16299" s="19" t="n"/>
    </row>
    <row r="16300">
      <c r="C16300" s="18" t="n"/>
      <c r="J16300" s="19" t="n"/>
      <c r="P16300" s="20" t="n"/>
      <c r="Q16300" s="19" t="n"/>
      <c r="R16300" s="19" t="n"/>
      <c r="Y16300" s="19" t="n"/>
    </row>
    <row r="16301">
      <c r="C16301" s="18" t="n"/>
      <c r="J16301" s="19" t="n"/>
      <c r="P16301" s="20" t="n"/>
      <c r="Q16301" s="19" t="n"/>
      <c r="R16301" s="19" t="n"/>
      <c r="Y16301" s="19" t="n"/>
    </row>
    <row r="16302">
      <c r="C16302" s="18" t="n"/>
      <c r="J16302" s="19" t="n"/>
      <c r="P16302" s="20" t="n"/>
      <c r="Q16302" s="19" t="n"/>
      <c r="R16302" s="19" t="n"/>
      <c r="Y16302" s="19" t="n"/>
    </row>
    <row r="16303">
      <c r="C16303" s="18" t="n"/>
      <c r="J16303" s="19" t="n"/>
      <c r="P16303" s="20" t="n"/>
      <c r="Q16303" s="19" t="n"/>
      <c r="R16303" s="19" t="n"/>
      <c r="Y16303" s="19" t="n"/>
    </row>
    <row r="16304">
      <c r="C16304" s="18" t="n"/>
      <c r="J16304" s="19" t="n"/>
      <c r="P16304" s="20" t="n"/>
      <c r="Q16304" s="19" t="n"/>
      <c r="R16304" s="19" t="n"/>
      <c r="Y16304" s="19" t="n"/>
    </row>
    <row r="16305">
      <c r="C16305" s="18" t="n"/>
      <c r="J16305" s="19" t="n"/>
      <c r="P16305" s="20" t="n"/>
      <c r="Q16305" s="19" t="n"/>
      <c r="R16305" s="19" t="n"/>
      <c r="Y16305" s="19" t="n"/>
    </row>
    <row r="16306">
      <c r="C16306" s="18" t="n"/>
      <c r="J16306" s="19" t="n"/>
      <c r="P16306" s="20" t="n"/>
      <c r="Q16306" s="19" t="n"/>
      <c r="R16306" s="19" t="n"/>
      <c r="Y16306" s="19" t="n"/>
    </row>
    <row r="16307">
      <c r="C16307" s="18" t="n"/>
      <c r="J16307" s="19" t="n"/>
      <c r="P16307" s="20" t="n"/>
      <c r="Q16307" s="19" t="n"/>
      <c r="R16307" s="19" t="n"/>
      <c r="Y16307" s="19" t="n"/>
    </row>
    <row r="16308">
      <c r="C16308" s="18" t="n"/>
      <c r="J16308" s="19" t="n"/>
      <c r="P16308" s="20" t="n"/>
      <c r="Q16308" s="19" t="n"/>
      <c r="R16308" s="19" t="n"/>
      <c r="Y16308" s="19" t="n"/>
    </row>
    <row r="16309">
      <c r="C16309" s="18" t="n"/>
      <c r="J16309" s="19" t="n"/>
      <c r="P16309" s="20" t="n"/>
      <c r="Q16309" s="19" t="n"/>
      <c r="R16309" s="19" t="n"/>
      <c r="Y16309" s="19" t="n"/>
    </row>
    <row r="16310">
      <c r="C16310" s="18" t="n"/>
      <c r="J16310" s="19" t="n"/>
      <c r="P16310" s="20" t="n"/>
      <c r="Q16310" s="19" t="n"/>
      <c r="R16310" s="19" t="n"/>
      <c r="Y16310" s="19" t="n"/>
    </row>
    <row r="16311">
      <c r="C16311" s="18" t="n"/>
      <c r="J16311" s="19" t="n"/>
      <c r="P16311" s="20" t="n"/>
      <c r="Q16311" s="19" t="n"/>
      <c r="R16311" s="19" t="n"/>
      <c r="Y16311" s="19" t="n"/>
    </row>
    <row r="16312">
      <c r="C16312" s="18" t="n"/>
      <c r="J16312" s="19" t="n"/>
      <c r="P16312" s="20" t="n"/>
      <c r="Q16312" s="19" t="n"/>
      <c r="R16312" s="19" t="n"/>
      <c r="Y16312" s="19" t="n"/>
    </row>
    <row r="16313">
      <c r="C16313" s="18" t="n"/>
      <c r="J16313" s="19" t="n"/>
      <c r="P16313" s="20" t="n"/>
      <c r="Q16313" s="19" t="n"/>
      <c r="R16313" s="19" t="n"/>
      <c r="Y16313" s="19" t="n"/>
    </row>
    <row r="16314">
      <c r="C16314" s="18" t="n"/>
      <c r="J16314" s="19" t="n"/>
      <c r="P16314" s="20" t="n"/>
      <c r="Q16314" s="19" t="n"/>
      <c r="R16314" s="19" t="n"/>
      <c r="Y16314" s="19" t="n"/>
    </row>
    <row r="16315">
      <c r="C16315" s="18" t="n"/>
      <c r="J16315" s="19" t="n"/>
      <c r="P16315" s="20" t="n"/>
      <c r="Q16315" s="19" t="n"/>
      <c r="R16315" s="19" t="n"/>
      <c r="Y16315" s="19" t="n"/>
    </row>
    <row r="16316">
      <c r="C16316" s="18" t="n"/>
      <c r="J16316" s="19" t="n"/>
      <c r="P16316" s="20" t="n"/>
      <c r="Q16316" s="19" t="n"/>
      <c r="R16316" s="19" t="n"/>
      <c r="Y16316" s="19" t="n"/>
    </row>
    <row r="16317">
      <c r="C16317" s="18" t="n"/>
      <c r="J16317" s="19" t="n"/>
      <c r="P16317" s="20" t="n"/>
      <c r="Q16317" s="19" t="n"/>
      <c r="R16317" s="19" t="n"/>
      <c r="Y16317" s="19" t="n"/>
    </row>
    <row r="16318">
      <c r="C16318" s="18" t="n"/>
      <c r="J16318" s="19" t="n"/>
      <c r="P16318" s="20" t="n"/>
      <c r="Q16318" s="19" t="n"/>
      <c r="R16318" s="19" t="n"/>
      <c r="Y16318" s="19" t="n"/>
    </row>
    <row r="16319">
      <c r="C16319" s="18" t="n"/>
      <c r="J16319" s="19" t="n"/>
      <c r="P16319" s="20" t="n"/>
      <c r="Q16319" s="19" t="n"/>
      <c r="R16319" s="19" t="n"/>
      <c r="Y16319" s="19" t="n"/>
    </row>
    <row r="16320">
      <c r="C16320" s="18" t="n"/>
      <c r="J16320" s="19" t="n"/>
      <c r="P16320" s="20" t="n"/>
      <c r="Q16320" s="19" t="n"/>
      <c r="R16320" s="19" t="n"/>
      <c r="Y16320" s="19" t="n"/>
    </row>
    <row r="16321">
      <c r="C16321" s="18" t="n"/>
      <c r="J16321" s="19" t="n"/>
      <c r="P16321" s="20" t="n"/>
      <c r="Q16321" s="19" t="n"/>
      <c r="R16321" s="19" t="n"/>
      <c r="Y16321" s="19" t="n"/>
    </row>
    <row r="16322">
      <c r="C16322" s="18" t="n"/>
      <c r="J16322" s="19" t="n"/>
      <c r="P16322" s="20" t="n"/>
      <c r="Q16322" s="19" t="n"/>
      <c r="R16322" s="19" t="n"/>
      <c r="Y16322" s="19" t="n"/>
    </row>
    <row r="16323">
      <c r="C16323" s="18" t="n"/>
      <c r="J16323" s="19" t="n"/>
      <c r="P16323" s="20" t="n"/>
      <c r="Q16323" s="19" t="n"/>
      <c r="R16323" s="19" t="n"/>
      <c r="Y16323" s="19" t="n"/>
    </row>
    <row r="16324">
      <c r="C16324" s="18" t="n"/>
      <c r="J16324" s="19" t="n"/>
      <c r="P16324" s="20" t="n"/>
      <c r="Q16324" s="19" t="n"/>
      <c r="R16324" s="19" t="n"/>
      <c r="Y16324" s="19" t="n"/>
    </row>
    <row r="16325">
      <c r="C16325" s="18" t="n"/>
      <c r="J16325" s="19" t="n"/>
      <c r="P16325" s="20" t="n"/>
      <c r="Q16325" s="19" t="n"/>
      <c r="R16325" s="19" t="n"/>
      <c r="Y16325" s="19" t="n"/>
    </row>
    <row r="16326">
      <c r="C16326" s="18" t="n"/>
      <c r="J16326" s="19" t="n"/>
      <c r="P16326" s="20" t="n"/>
      <c r="Q16326" s="19" t="n"/>
      <c r="R16326" s="19" t="n"/>
      <c r="Y16326" s="19" t="n"/>
    </row>
    <row r="16327">
      <c r="C16327" s="18" t="n"/>
      <c r="J16327" s="19" t="n"/>
      <c r="P16327" s="20" t="n"/>
      <c r="Q16327" s="19" t="n"/>
      <c r="R16327" s="19" t="n"/>
      <c r="Y16327" s="19" t="n"/>
    </row>
    <row r="16328">
      <c r="C16328" s="18" t="n"/>
      <c r="J16328" s="19" t="n"/>
      <c r="P16328" s="20" t="n"/>
      <c r="Q16328" s="19" t="n"/>
      <c r="R16328" s="19" t="n"/>
      <c r="Y16328" s="19" t="n"/>
    </row>
    <row r="16329">
      <c r="C16329" s="18" t="n"/>
      <c r="J16329" s="19" t="n"/>
      <c r="P16329" s="20" t="n"/>
      <c r="Q16329" s="19" t="n"/>
      <c r="R16329" s="19" t="n"/>
      <c r="Y16329" s="19" t="n"/>
    </row>
    <row r="16330">
      <c r="C16330" s="18" t="n"/>
      <c r="J16330" s="19" t="n"/>
      <c r="P16330" s="20" t="n"/>
      <c r="Q16330" s="19" t="n"/>
      <c r="R16330" s="19" t="n"/>
      <c r="Y16330" s="19" t="n"/>
    </row>
    <row r="16331">
      <c r="C16331" s="18" t="n"/>
      <c r="J16331" s="19" t="n"/>
      <c r="P16331" s="20" t="n"/>
      <c r="Q16331" s="19" t="n"/>
      <c r="R16331" s="19" t="n"/>
      <c r="Y16331" s="19" t="n"/>
    </row>
    <row r="16332">
      <c r="C16332" s="18" t="n"/>
      <c r="J16332" s="19" t="n"/>
      <c r="P16332" s="20" t="n"/>
      <c r="Q16332" s="19" t="n"/>
      <c r="R16332" s="19" t="n"/>
      <c r="Y16332" s="19" t="n"/>
    </row>
    <row r="16333">
      <c r="C16333" s="18" t="n"/>
      <c r="J16333" s="19" t="n"/>
      <c r="P16333" s="20" t="n"/>
      <c r="Q16333" s="19" t="n"/>
      <c r="R16333" s="19" t="n"/>
      <c r="Y16333" s="19" t="n"/>
    </row>
    <row r="16334">
      <c r="C16334" s="18" t="n"/>
      <c r="J16334" s="19" t="n"/>
      <c r="P16334" s="20" t="n"/>
      <c r="Q16334" s="19" t="n"/>
      <c r="R16334" s="19" t="n"/>
      <c r="Y16334" s="19" t="n"/>
    </row>
    <row r="16335">
      <c r="C16335" s="18" t="n"/>
      <c r="J16335" s="19" t="n"/>
      <c r="P16335" s="20" t="n"/>
      <c r="Q16335" s="19" t="n"/>
      <c r="R16335" s="19" t="n"/>
      <c r="Y16335" s="19" t="n"/>
    </row>
    <row r="16336">
      <c r="C16336" s="18" t="n"/>
      <c r="J16336" s="19" t="n"/>
      <c r="P16336" s="20" t="n"/>
      <c r="Q16336" s="19" t="n"/>
      <c r="R16336" s="19" t="n"/>
      <c r="Y16336" s="19" t="n"/>
    </row>
    <row r="16337">
      <c r="C16337" s="18" t="n"/>
      <c r="J16337" s="19" t="n"/>
      <c r="P16337" s="20" t="n"/>
      <c r="Q16337" s="19" t="n"/>
      <c r="R16337" s="19" t="n"/>
      <c r="Y16337" s="19" t="n"/>
    </row>
    <row r="16338">
      <c r="C16338" s="18" t="n"/>
      <c r="J16338" s="19" t="n"/>
      <c r="P16338" s="20" t="n"/>
      <c r="Q16338" s="19" t="n"/>
      <c r="R16338" s="19" t="n"/>
      <c r="Y16338" s="19" t="n"/>
    </row>
    <row r="16339">
      <c r="C16339" s="18" t="n"/>
      <c r="J16339" s="19" t="n"/>
      <c r="P16339" s="20" t="n"/>
      <c r="Q16339" s="19" t="n"/>
      <c r="R16339" s="19" t="n"/>
      <c r="Y16339" s="19" t="n"/>
    </row>
    <row r="16340">
      <c r="C16340" s="18" t="n"/>
      <c r="J16340" s="19" t="n"/>
      <c r="P16340" s="20" t="n"/>
      <c r="Q16340" s="19" t="n"/>
      <c r="R16340" s="19" t="n"/>
      <c r="Y16340" s="19" t="n"/>
    </row>
    <row r="16341">
      <c r="C16341" s="18" t="n"/>
      <c r="J16341" s="19" t="n"/>
      <c r="P16341" s="20" t="n"/>
      <c r="Q16341" s="19" t="n"/>
      <c r="R16341" s="19" t="n"/>
      <c r="Y16341" s="19" t="n"/>
    </row>
    <row r="16342">
      <c r="C16342" s="18" t="n"/>
      <c r="J16342" s="19" t="n"/>
      <c r="P16342" s="20" t="n"/>
      <c r="Q16342" s="19" t="n"/>
      <c r="R16342" s="19" t="n"/>
      <c r="Y16342" s="19" t="n"/>
    </row>
    <row r="16343">
      <c r="C16343" s="18" t="n"/>
      <c r="J16343" s="19" t="n"/>
      <c r="P16343" s="20" t="n"/>
      <c r="Q16343" s="19" t="n"/>
      <c r="R16343" s="19" t="n"/>
      <c r="Y16343" s="19" t="n"/>
    </row>
    <row r="16344">
      <c r="C16344" s="18" t="n"/>
      <c r="J16344" s="19" t="n"/>
      <c r="P16344" s="20" t="n"/>
      <c r="Q16344" s="19" t="n"/>
      <c r="R16344" s="19" t="n"/>
      <c r="Y16344" s="19" t="n"/>
    </row>
    <row r="16345">
      <c r="C16345" s="18" t="n"/>
      <c r="J16345" s="19" t="n"/>
      <c r="P16345" s="20" t="n"/>
      <c r="Q16345" s="19" t="n"/>
      <c r="R16345" s="19" t="n"/>
      <c r="Y16345" s="19" t="n"/>
    </row>
    <row r="16346">
      <c r="C16346" s="18" t="n"/>
      <c r="J16346" s="19" t="n"/>
      <c r="P16346" s="20" t="n"/>
      <c r="Q16346" s="19" t="n"/>
      <c r="R16346" s="19" t="n"/>
      <c r="Y16346" s="19" t="n"/>
    </row>
    <row r="16347">
      <c r="C16347" s="18" t="n"/>
      <c r="J16347" s="19" t="n"/>
      <c r="P16347" s="20" t="n"/>
      <c r="Q16347" s="19" t="n"/>
      <c r="R16347" s="19" t="n"/>
      <c r="Y16347" s="19" t="n"/>
    </row>
    <row r="16348">
      <c r="C16348" s="18" t="n"/>
      <c r="J16348" s="19" t="n"/>
      <c r="P16348" s="20" t="n"/>
      <c r="Q16348" s="19" t="n"/>
      <c r="R16348" s="19" t="n"/>
      <c r="Y16348" s="19" t="n"/>
    </row>
    <row r="16349">
      <c r="C16349" s="18" t="n"/>
      <c r="J16349" s="19" t="n"/>
      <c r="P16349" s="20" t="n"/>
      <c r="Q16349" s="19" t="n"/>
      <c r="R16349" s="19" t="n"/>
      <c r="Y16349" s="19" t="n"/>
    </row>
    <row r="16350">
      <c r="C16350" s="18" t="n"/>
      <c r="J16350" s="19" t="n"/>
      <c r="P16350" s="20" t="n"/>
      <c r="Q16350" s="19" t="n"/>
      <c r="R16350" s="19" t="n"/>
      <c r="Y16350" s="19" t="n"/>
    </row>
    <row r="16351">
      <c r="C16351" s="18" t="n"/>
      <c r="J16351" s="19" t="n"/>
      <c r="P16351" s="20" t="n"/>
      <c r="Q16351" s="19" t="n"/>
      <c r="R16351" s="19" t="n"/>
      <c r="Y16351" s="19" t="n"/>
    </row>
    <row r="16352">
      <c r="C16352" s="18" t="n"/>
      <c r="J16352" s="19" t="n"/>
      <c r="P16352" s="20" t="n"/>
      <c r="Q16352" s="19" t="n"/>
      <c r="R16352" s="19" t="n"/>
      <c r="Y16352" s="19" t="n"/>
    </row>
    <row r="16353">
      <c r="C16353" s="18" t="n"/>
      <c r="J16353" s="19" t="n"/>
      <c r="P16353" s="20" t="n"/>
      <c r="Q16353" s="19" t="n"/>
      <c r="R16353" s="19" t="n"/>
      <c r="Y16353" s="19" t="n"/>
    </row>
    <row r="16354">
      <c r="C16354" s="18" t="n"/>
      <c r="J16354" s="19" t="n"/>
      <c r="P16354" s="20" t="n"/>
      <c r="Q16354" s="19" t="n"/>
      <c r="R16354" s="19" t="n"/>
      <c r="Y16354" s="19" t="n"/>
    </row>
    <row r="16355">
      <c r="C16355" s="18" t="n"/>
      <c r="J16355" s="19" t="n"/>
      <c r="P16355" s="20" t="n"/>
      <c r="Q16355" s="19" t="n"/>
      <c r="R16355" s="19" t="n"/>
      <c r="Y16355" s="19" t="n"/>
    </row>
    <row r="16356">
      <c r="C16356" s="18" t="n"/>
      <c r="J16356" s="19" t="n"/>
      <c r="P16356" s="20" t="n"/>
      <c r="Q16356" s="19" t="n"/>
      <c r="R16356" s="19" t="n"/>
      <c r="Y16356" s="19" t="n"/>
    </row>
    <row r="16357">
      <c r="C16357" s="18" t="n"/>
      <c r="J16357" s="19" t="n"/>
      <c r="P16357" s="20" t="n"/>
      <c r="Q16357" s="19" t="n"/>
      <c r="R16357" s="19" t="n"/>
      <c r="Y16357" s="19" t="n"/>
    </row>
    <row r="16358">
      <c r="C16358" s="18" t="n"/>
      <c r="J16358" s="19" t="n"/>
      <c r="P16358" s="20" t="n"/>
      <c r="Q16358" s="19" t="n"/>
      <c r="R16358" s="19" t="n"/>
      <c r="Y16358" s="19" t="n"/>
    </row>
    <row r="16359">
      <c r="C16359" s="18" t="n"/>
      <c r="J16359" s="19" t="n"/>
      <c r="P16359" s="20" t="n"/>
      <c r="Q16359" s="19" t="n"/>
      <c r="R16359" s="19" t="n"/>
      <c r="Y16359" s="19" t="n"/>
    </row>
    <row r="16360">
      <c r="C16360" s="18" t="n"/>
      <c r="J16360" s="19" t="n"/>
      <c r="P16360" s="20" t="n"/>
      <c r="Q16360" s="19" t="n"/>
      <c r="R16360" s="19" t="n"/>
      <c r="Y16360" s="19" t="n"/>
    </row>
    <row r="16361">
      <c r="C16361" s="18" t="n"/>
      <c r="J16361" s="19" t="n"/>
      <c r="P16361" s="20" t="n"/>
      <c r="Q16361" s="19" t="n"/>
      <c r="R16361" s="19" t="n"/>
      <c r="Y16361" s="19" t="n"/>
    </row>
    <row r="16362">
      <c r="C16362" s="18" t="n"/>
      <c r="J16362" s="19" t="n"/>
      <c r="P16362" s="20" t="n"/>
      <c r="Q16362" s="19" t="n"/>
      <c r="R16362" s="19" t="n"/>
      <c r="Y16362" s="19" t="n"/>
    </row>
    <row r="16363">
      <c r="C16363" s="18" t="n"/>
      <c r="J16363" s="19" t="n"/>
      <c r="P16363" s="20" t="n"/>
      <c r="Q16363" s="19" t="n"/>
      <c r="R16363" s="19" t="n"/>
      <c r="Y16363" s="19" t="n"/>
    </row>
    <row r="16364">
      <c r="C16364" s="18" t="n"/>
      <c r="J16364" s="19" t="n"/>
      <c r="P16364" s="20" t="n"/>
      <c r="Q16364" s="19" t="n"/>
      <c r="R16364" s="19" t="n"/>
      <c r="Y16364" s="19" t="n"/>
    </row>
    <row r="16365">
      <c r="C16365" s="18" t="n"/>
      <c r="J16365" s="19" t="n"/>
      <c r="P16365" s="20" t="n"/>
      <c r="Q16365" s="19" t="n"/>
      <c r="R16365" s="19" t="n"/>
      <c r="Y16365" s="19" t="n"/>
    </row>
    <row r="16366">
      <c r="C16366" s="18" t="n"/>
      <c r="J16366" s="19" t="n"/>
      <c r="P16366" s="20" t="n"/>
      <c r="Q16366" s="19" t="n"/>
      <c r="R16366" s="19" t="n"/>
      <c r="Y16366" s="19" t="n"/>
    </row>
    <row r="16367">
      <c r="C16367" s="18" t="n"/>
      <c r="J16367" s="19" t="n"/>
      <c r="P16367" s="20" t="n"/>
      <c r="Q16367" s="19" t="n"/>
      <c r="R16367" s="19" t="n"/>
      <c r="Y16367" s="19" t="n"/>
    </row>
    <row r="16368">
      <c r="C16368" s="18" t="n"/>
      <c r="J16368" s="19" t="n"/>
      <c r="P16368" s="20" t="n"/>
      <c r="Q16368" s="19" t="n"/>
      <c r="R16368" s="19" t="n"/>
      <c r="Y16368" s="19" t="n"/>
    </row>
    <row r="16369">
      <c r="C16369" s="18" t="n"/>
      <c r="J16369" s="19" t="n"/>
      <c r="P16369" s="20" t="n"/>
      <c r="Q16369" s="19" t="n"/>
      <c r="R16369" s="19" t="n"/>
      <c r="Y16369" s="19" t="n"/>
    </row>
    <row r="16370">
      <c r="C16370" s="18" t="n"/>
      <c r="J16370" s="19" t="n"/>
      <c r="P16370" s="20" t="n"/>
      <c r="Q16370" s="19" t="n"/>
      <c r="R16370" s="19" t="n"/>
      <c r="Y16370" s="19" t="n"/>
    </row>
    <row r="16371">
      <c r="C16371" s="18" t="n"/>
      <c r="J16371" s="19" t="n"/>
      <c r="P16371" s="20" t="n"/>
      <c r="Q16371" s="19" t="n"/>
      <c r="R16371" s="19" t="n"/>
      <c r="Y16371" s="19" t="n"/>
    </row>
    <row r="16372">
      <c r="C16372" s="18" t="n"/>
      <c r="J16372" s="19" t="n"/>
      <c r="P16372" s="20" t="n"/>
      <c r="Q16372" s="19" t="n"/>
      <c r="R16372" s="19" t="n"/>
      <c r="Y16372" s="19" t="n"/>
    </row>
    <row r="16373">
      <c r="C16373" s="18" t="n"/>
      <c r="J16373" s="19" t="n"/>
      <c r="P16373" s="20" t="n"/>
      <c r="Q16373" s="19" t="n"/>
      <c r="R16373" s="19" t="n"/>
      <c r="Y16373" s="19" t="n"/>
    </row>
    <row r="16374">
      <c r="C16374" s="18" t="n"/>
      <c r="J16374" s="19" t="n"/>
      <c r="P16374" s="20" t="n"/>
      <c r="Q16374" s="19" t="n"/>
      <c r="R16374" s="19" t="n"/>
      <c r="Y16374" s="19" t="n"/>
    </row>
    <row r="16375">
      <c r="C16375" s="18" t="n"/>
      <c r="J16375" s="19" t="n"/>
      <c r="P16375" s="20" t="n"/>
      <c r="Q16375" s="19" t="n"/>
      <c r="R16375" s="19" t="n"/>
      <c r="Y16375" s="19" t="n"/>
    </row>
    <row r="16376">
      <c r="C16376" s="18" t="n"/>
      <c r="J16376" s="19" t="n"/>
      <c r="P16376" s="20" t="n"/>
      <c r="Q16376" s="19" t="n"/>
      <c r="R16376" s="19" t="n"/>
      <c r="Y16376" s="19" t="n"/>
    </row>
    <row r="16377">
      <c r="C16377" s="18" t="n"/>
      <c r="J16377" s="19" t="n"/>
      <c r="P16377" s="20" t="n"/>
      <c r="Q16377" s="19" t="n"/>
      <c r="R16377" s="19" t="n"/>
      <c r="Y16377" s="19" t="n"/>
    </row>
    <row r="16378">
      <c r="C16378" s="18" t="n"/>
      <c r="J16378" s="19" t="n"/>
      <c r="P16378" s="20" t="n"/>
      <c r="Q16378" s="19" t="n"/>
      <c r="R16378" s="19" t="n"/>
      <c r="Y16378" s="19" t="n"/>
    </row>
    <row r="16379">
      <c r="C16379" s="18" t="n"/>
      <c r="J16379" s="19" t="n"/>
      <c r="P16379" s="20" t="n"/>
      <c r="Q16379" s="19" t="n"/>
      <c r="R16379" s="19" t="n"/>
      <c r="Y16379" s="19" t="n"/>
    </row>
    <row r="16380">
      <c r="C16380" s="18" t="n"/>
      <c r="J16380" s="19" t="n"/>
      <c r="P16380" s="20" t="n"/>
      <c r="Q16380" s="19" t="n"/>
      <c r="R16380" s="19" t="n"/>
      <c r="Y16380" s="19" t="n"/>
    </row>
    <row r="16381">
      <c r="C16381" s="18" t="n"/>
      <c r="J16381" s="19" t="n"/>
      <c r="P16381" s="20" t="n"/>
      <c r="Q16381" s="19" t="n"/>
      <c r="R16381" s="19" t="n"/>
      <c r="Y16381" s="19" t="n"/>
    </row>
    <row r="16382">
      <c r="C16382" s="18" t="n"/>
      <c r="J16382" s="19" t="n"/>
      <c r="P16382" s="20" t="n"/>
      <c r="Q16382" s="19" t="n"/>
      <c r="R16382" s="19" t="n"/>
      <c r="Y16382" s="19" t="n"/>
    </row>
    <row r="16383">
      <c r="C16383" s="18" t="n"/>
      <c r="J16383" s="19" t="n"/>
      <c r="P16383" s="20" t="n"/>
      <c r="Q16383" s="19" t="n"/>
      <c r="R16383" s="19" t="n"/>
      <c r="Y16383" s="19" t="n"/>
    </row>
    <row r="16384">
      <c r="C16384" s="18" t="n"/>
      <c r="J16384" s="19" t="n"/>
      <c r="P16384" s="20" t="n"/>
      <c r="Q16384" s="19" t="n"/>
      <c r="R16384" s="19" t="n"/>
      <c r="Y16384" s="19" t="n"/>
    </row>
    <row r="16385">
      <c r="C16385" s="18" t="n"/>
      <c r="J16385" s="19" t="n"/>
      <c r="P16385" s="20" t="n"/>
      <c r="Q16385" s="19" t="n"/>
      <c r="R16385" s="19" t="n"/>
      <c r="Y16385" s="19" t="n"/>
    </row>
    <row r="16386">
      <c r="C16386" s="18" t="n"/>
      <c r="J16386" s="19" t="n"/>
      <c r="P16386" s="20" t="n"/>
      <c r="Q16386" s="19" t="n"/>
      <c r="R16386" s="19" t="n"/>
      <c r="Y16386" s="19" t="n"/>
    </row>
    <row r="16387">
      <c r="C16387" s="18" t="n"/>
      <c r="J16387" s="19" t="n"/>
      <c r="P16387" s="20" t="n"/>
      <c r="Q16387" s="19" t="n"/>
      <c r="R16387" s="19" t="n"/>
      <c r="Y16387" s="19" t="n"/>
    </row>
    <row r="16388">
      <c r="C16388" s="18" t="n"/>
      <c r="J16388" s="19" t="n"/>
      <c r="P16388" s="20" t="n"/>
      <c r="Q16388" s="19" t="n"/>
      <c r="R16388" s="19" t="n"/>
      <c r="Y16388" s="19" t="n"/>
    </row>
    <row r="16389">
      <c r="C16389" s="18" t="n"/>
      <c r="J16389" s="19" t="n"/>
      <c r="P16389" s="20" t="n"/>
      <c r="Q16389" s="19" t="n"/>
      <c r="R16389" s="19" t="n"/>
      <c r="Y16389" s="19" t="n"/>
    </row>
    <row r="16390">
      <c r="C16390" s="18" t="n"/>
      <c r="J16390" s="19" t="n"/>
      <c r="P16390" s="20" t="n"/>
      <c r="Q16390" s="19" t="n"/>
      <c r="R16390" s="19" t="n"/>
      <c r="Y16390" s="19" t="n"/>
    </row>
    <row r="16391">
      <c r="C16391" s="18" t="n"/>
      <c r="J16391" s="19" t="n"/>
      <c r="P16391" s="20" t="n"/>
      <c r="Q16391" s="19" t="n"/>
      <c r="R16391" s="19" t="n"/>
      <c r="Y16391" s="19" t="n"/>
    </row>
    <row r="16392">
      <c r="C16392" s="18" t="n"/>
      <c r="J16392" s="19" t="n"/>
      <c r="P16392" s="20" t="n"/>
      <c r="Q16392" s="19" t="n"/>
      <c r="R16392" s="19" t="n"/>
      <c r="Y16392" s="19" t="n"/>
    </row>
    <row r="16393">
      <c r="C16393" s="18" t="n"/>
      <c r="J16393" s="19" t="n"/>
      <c r="P16393" s="20" t="n"/>
      <c r="Q16393" s="19" t="n"/>
      <c r="R16393" s="19" t="n"/>
      <c r="Y16393" s="19" t="n"/>
    </row>
    <row r="16394">
      <c r="C16394" s="18" t="n"/>
      <c r="J16394" s="19" t="n"/>
      <c r="P16394" s="20" t="n"/>
      <c r="Q16394" s="19" t="n"/>
      <c r="R16394" s="19" t="n"/>
      <c r="Y16394" s="19" t="n"/>
    </row>
    <row r="16395">
      <c r="C16395" s="18" t="n"/>
      <c r="J16395" s="19" t="n"/>
      <c r="P16395" s="20" t="n"/>
      <c r="Q16395" s="19" t="n"/>
      <c r="R16395" s="19" t="n"/>
      <c r="Y16395" s="19" t="n"/>
    </row>
    <row r="16396">
      <c r="C16396" s="18" t="n"/>
      <c r="J16396" s="19" t="n"/>
      <c r="P16396" s="20" t="n"/>
      <c r="Q16396" s="19" t="n"/>
      <c r="R16396" s="19" t="n"/>
      <c r="Y16396" s="19" t="n"/>
    </row>
    <row r="16397">
      <c r="C16397" s="18" t="n"/>
      <c r="J16397" s="19" t="n"/>
      <c r="P16397" s="20" t="n"/>
      <c r="Q16397" s="19" t="n"/>
      <c r="R16397" s="19" t="n"/>
      <c r="Y16397" s="19" t="n"/>
    </row>
    <row r="16398">
      <c r="C16398" s="18" t="n"/>
      <c r="J16398" s="19" t="n"/>
      <c r="P16398" s="20" t="n"/>
      <c r="Q16398" s="19" t="n"/>
      <c r="R16398" s="19" t="n"/>
      <c r="Y16398" s="19" t="n"/>
    </row>
    <row r="16399">
      <c r="C16399" s="18" t="n"/>
      <c r="J16399" s="19" t="n"/>
      <c r="P16399" s="20" t="n"/>
      <c r="Q16399" s="19" t="n"/>
      <c r="R16399" s="19" t="n"/>
      <c r="Y16399" s="19" t="n"/>
    </row>
    <row r="16400">
      <c r="C16400" s="18" t="n"/>
      <c r="J16400" s="19" t="n"/>
      <c r="P16400" s="20" t="n"/>
      <c r="Q16400" s="19" t="n"/>
      <c r="R16400" s="19" t="n"/>
      <c r="Y16400" s="19" t="n"/>
    </row>
    <row r="16401">
      <c r="C16401" s="18" t="n"/>
      <c r="J16401" s="19" t="n"/>
      <c r="P16401" s="20" t="n"/>
      <c r="Q16401" s="19" t="n"/>
      <c r="R16401" s="19" t="n"/>
      <c r="Y16401" s="19" t="n"/>
    </row>
    <row r="16402">
      <c r="C16402" s="18" t="n"/>
      <c r="J16402" s="19" t="n"/>
      <c r="P16402" s="20" t="n"/>
      <c r="Q16402" s="19" t="n"/>
      <c r="R16402" s="19" t="n"/>
      <c r="Y16402" s="19" t="n"/>
    </row>
    <row r="16403">
      <c r="C16403" s="18" t="n"/>
      <c r="J16403" s="19" t="n"/>
      <c r="P16403" s="20" t="n"/>
      <c r="Q16403" s="19" t="n"/>
      <c r="R16403" s="19" t="n"/>
      <c r="Y16403" s="19" t="n"/>
    </row>
    <row r="16404">
      <c r="C16404" s="18" t="n"/>
      <c r="J16404" s="19" t="n"/>
      <c r="P16404" s="20" t="n"/>
      <c r="Q16404" s="19" t="n"/>
      <c r="R16404" s="19" t="n"/>
      <c r="Y16404" s="19" t="n"/>
    </row>
    <row r="16405">
      <c r="C16405" s="18" t="n"/>
      <c r="J16405" s="19" t="n"/>
      <c r="P16405" s="20" t="n"/>
      <c r="Q16405" s="19" t="n"/>
      <c r="R16405" s="19" t="n"/>
      <c r="Y16405" s="19" t="n"/>
    </row>
    <row r="16406">
      <c r="C16406" s="18" t="n"/>
      <c r="J16406" s="19" t="n"/>
      <c r="P16406" s="20" t="n"/>
      <c r="Q16406" s="19" t="n"/>
      <c r="R16406" s="19" t="n"/>
      <c r="Y16406" s="19" t="n"/>
    </row>
    <row r="16407">
      <c r="C16407" s="18" t="n"/>
      <c r="J16407" s="19" t="n"/>
      <c r="P16407" s="20" t="n"/>
      <c r="Q16407" s="19" t="n"/>
      <c r="R16407" s="19" t="n"/>
      <c r="Y16407" s="19" t="n"/>
    </row>
    <row r="16408">
      <c r="C16408" s="18" t="n"/>
      <c r="J16408" s="19" t="n"/>
      <c r="P16408" s="20" t="n"/>
      <c r="Q16408" s="19" t="n"/>
      <c r="R16408" s="19" t="n"/>
      <c r="Y16408" s="19" t="n"/>
    </row>
    <row r="16409">
      <c r="C16409" s="18" t="n"/>
      <c r="J16409" s="19" t="n"/>
      <c r="P16409" s="20" t="n"/>
      <c r="Q16409" s="19" t="n"/>
      <c r="R16409" s="19" t="n"/>
      <c r="Y16409" s="19" t="n"/>
    </row>
    <row r="16410">
      <c r="C16410" s="18" t="n"/>
      <c r="J16410" s="19" t="n"/>
      <c r="P16410" s="20" t="n"/>
      <c r="Q16410" s="19" t="n"/>
      <c r="R16410" s="19" t="n"/>
      <c r="Y16410" s="19" t="n"/>
    </row>
    <row r="16411">
      <c r="C16411" s="18" t="n"/>
      <c r="J16411" s="19" t="n"/>
      <c r="P16411" s="20" t="n"/>
      <c r="Q16411" s="19" t="n"/>
      <c r="R16411" s="19" t="n"/>
      <c r="Y16411" s="19" t="n"/>
    </row>
    <row r="16412">
      <c r="C16412" s="18" t="n"/>
      <c r="J16412" s="19" t="n"/>
      <c r="P16412" s="20" t="n"/>
      <c r="Q16412" s="19" t="n"/>
      <c r="R16412" s="19" t="n"/>
      <c r="Y16412" s="19" t="n"/>
    </row>
    <row r="16413">
      <c r="C16413" s="18" t="n"/>
      <c r="J16413" s="19" t="n"/>
      <c r="P16413" s="20" t="n"/>
      <c r="Q16413" s="19" t="n"/>
      <c r="R16413" s="19" t="n"/>
      <c r="Y16413" s="19" t="n"/>
    </row>
    <row r="16414">
      <c r="C16414" s="18" t="n"/>
      <c r="J16414" s="19" t="n"/>
      <c r="P16414" s="20" t="n"/>
      <c r="Q16414" s="19" t="n"/>
      <c r="R16414" s="19" t="n"/>
      <c r="Y16414" s="19" t="n"/>
    </row>
    <row r="16415">
      <c r="C16415" s="18" t="n"/>
      <c r="J16415" s="19" t="n"/>
      <c r="P16415" s="20" t="n"/>
      <c r="Q16415" s="19" t="n"/>
      <c r="R16415" s="19" t="n"/>
      <c r="Y16415" s="19" t="n"/>
    </row>
    <row r="16416">
      <c r="C16416" s="18" t="n"/>
      <c r="J16416" s="19" t="n"/>
      <c r="P16416" s="20" t="n"/>
      <c r="Q16416" s="19" t="n"/>
      <c r="R16416" s="19" t="n"/>
      <c r="Y16416" s="19" t="n"/>
    </row>
    <row r="16417">
      <c r="C16417" s="18" t="n"/>
      <c r="J16417" s="19" t="n"/>
      <c r="P16417" s="20" t="n"/>
      <c r="Q16417" s="19" t="n"/>
      <c r="R16417" s="19" t="n"/>
      <c r="Y16417" s="19" t="n"/>
    </row>
    <row r="16418">
      <c r="C16418" s="18" t="n"/>
      <c r="J16418" s="19" t="n"/>
      <c r="P16418" s="20" t="n"/>
      <c r="Q16418" s="19" t="n"/>
      <c r="R16418" s="19" t="n"/>
      <c r="Y16418" s="19" t="n"/>
    </row>
    <row r="16419">
      <c r="C16419" s="18" t="n"/>
      <c r="J16419" s="19" t="n"/>
      <c r="P16419" s="20" t="n"/>
      <c r="Q16419" s="19" t="n"/>
      <c r="R16419" s="19" t="n"/>
      <c r="Y16419" s="19" t="n"/>
    </row>
    <row r="16420">
      <c r="C16420" s="18" t="n"/>
      <c r="J16420" s="19" t="n"/>
      <c r="P16420" s="20" t="n"/>
      <c r="Q16420" s="19" t="n"/>
      <c r="R16420" s="19" t="n"/>
      <c r="Y16420" s="19" t="n"/>
    </row>
    <row r="16421">
      <c r="C16421" s="18" t="n"/>
      <c r="J16421" s="19" t="n"/>
      <c r="P16421" s="20" t="n"/>
      <c r="Q16421" s="19" t="n"/>
      <c r="R16421" s="19" t="n"/>
      <c r="Y16421" s="19" t="n"/>
    </row>
    <row r="16422">
      <c r="C16422" s="18" t="n"/>
      <c r="J16422" s="19" t="n"/>
      <c r="P16422" s="20" t="n"/>
      <c r="Q16422" s="19" t="n"/>
      <c r="R16422" s="19" t="n"/>
      <c r="Y16422" s="19" t="n"/>
    </row>
    <row r="16423">
      <c r="C16423" s="18" t="n"/>
      <c r="J16423" s="19" t="n"/>
      <c r="P16423" s="20" t="n"/>
      <c r="Q16423" s="19" t="n"/>
      <c r="R16423" s="19" t="n"/>
      <c r="Y16423" s="19" t="n"/>
    </row>
    <row r="16424">
      <c r="C16424" s="18" t="n"/>
      <c r="J16424" s="19" t="n"/>
      <c r="P16424" s="20" t="n"/>
      <c r="Q16424" s="19" t="n"/>
      <c r="R16424" s="19" t="n"/>
      <c r="Y16424" s="19" t="n"/>
    </row>
    <row r="16425">
      <c r="C16425" s="18" t="n"/>
      <c r="J16425" s="19" t="n"/>
      <c r="P16425" s="20" t="n"/>
      <c r="Q16425" s="19" t="n"/>
      <c r="R16425" s="19" t="n"/>
      <c r="Y16425" s="19" t="n"/>
    </row>
    <row r="16426">
      <c r="C16426" s="18" t="n"/>
      <c r="J16426" s="19" t="n"/>
      <c r="P16426" s="20" t="n"/>
      <c r="Q16426" s="19" t="n"/>
      <c r="R16426" s="19" t="n"/>
      <c r="Y16426" s="19" t="n"/>
    </row>
    <row r="16427">
      <c r="C16427" s="18" t="n"/>
      <c r="J16427" s="19" t="n"/>
      <c r="P16427" s="20" t="n"/>
      <c r="Q16427" s="19" t="n"/>
      <c r="R16427" s="19" t="n"/>
      <c r="Y16427" s="19" t="n"/>
    </row>
    <row r="16428">
      <c r="C16428" s="18" t="n"/>
      <c r="J16428" s="19" t="n"/>
      <c r="P16428" s="20" t="n"/>
      <c r="Q16428" s="19" t="n"/>
      <c r="R16428" s="19" t="n"/>
      <c r="Y16428" s="19" t="n"/>
    </row>
    <row r="16429">
      <c r="C16429" s="18" t="n"/>
      <c r="J16429" s="19" t="n"/>
      <c r="P16429" s="20" t="n"/>
      <c r="Q16429" s="19" t="n"/>
      <c r="R16429" s="19" t="n"/>
      <c r="Y16429" s="19" t="n"/>
    </row>
    <row r="16430">
      <c r="C16430" s="18" t="n"/>
      <c r="J16430" s="19" t="n"/>
      <c r="P16430" s="20" t="n"/>
      <c r="Q16430" s="19" t="n"/>
      <c r="R16430" s="19" t="n"/>
      <c r="Y16430" s="19" t="n"/>
    </row>
    <row r="16431">
      <c r="C16431" s="18" t="n"/>
      <c r="J16431" s="19" t="n"/>
      <c r="P16431" s="20" t="n"/>
      <c r="Q16431" s="19" t="n"/>
      <c r="R16431" s="19" t="n"/>
      <c r="Y16431" s="19" t="n"/>
    </row>
    <row r="16432">
      <c r="C16432" s="18" t="n"/>
      <c r="J16432" s="19" t="n"/>
      <c r="P16432" s="20" t="n"/>
      <c r="Q16432" s="19" t="n"/>
      <c r="R16432" s="19" t="n"/>
      <c r="Y16432" s="19" t="n"/>
    </row>
    <row r="16433">
      <c r="C16433" s="18" t="n"/>
      <c r="J16433" s="19" t="n"/>
      <c r="P16433" s="20" t="n"/>
      <c r="Q16433" s="19" t="n"/>
      <c r="R16433" s="19" t="n"/>
      <c r="Y16433" s="19" t="n"/>
    </row>
    <row r="16434">
      <c r="C16434" s="18" t="n"/>
      <c r="J16434" s="19" t="n"/>
      <c r="P16434" s="20" t="n"/>
      <c r="Q16434" s="19" t="n"/>
      <c r="R16434" s="19" t="n"/>
      <c r="Y16434" s="19" t="n"/>
    </row>
    <row r="16435">
      <c r="C16435" s="18" t="n"/>
      <c r="J16435" s="19" t="n"/>
      <c r="P16435" s="20" t="n"/>
      <c r="Q16435" s="19" t="n"/>
      <c r="R16435" s="19" t="n"/>
      <c r="Y16435" s="19" t="n"/>
    </row>
    <row r="16436">
      <c r="C16436" s="18" t="n"/>
      <c r="J16436" s="19" t="n"/>
      <c r="P16436" s="20" t="n"/>
      <c r="Q16436" s="19" t="n"/>
      <c r="R16436" s="19" t="n"/>
      <c r="Y16436" s="19" t="n"/>
    </row>
    <row r="16437">
      <c r="C16437" s="18" t="n"/>
      <c r="J16437" s="19" t="n"/>
      <c r="P16437" s="20" t="n"/>
      <c r="Q16437" s="19" t="n"/>
      <c r="R16437" s="19" t="n"/>
      <c r="Y16437" s="19" t="n"/>
    </row>
    <row r="16438">
      <c r="C16438" s="18" t="n"/>
      <c r="J16438" s="19" t="n"/>
      <c r="P16438" s="20" t="n"/>
      <c r="Q16438" s="19" t="n"/>
      <c r="R16438" s="19" t="n"/>
      <c r="Y16438" s="19" t="n"/>
    </row>
    <row r="16439">
      <c r="C16439" s="18" t="n"/>
      <c r="J16439" s="19" t="n"/>
      <c r="P16439" s="20" t="n"/>
      <c r="Q16439" s="19" t="n"/>
      <c r="R16439" s="19" t="n"/>
      <c r="Y16439" s="19" t="n"/>
    </row>
    <row r="16440">
      <c r="C16440" s="18" t="n"/>
      <c r="J16440" s="19" t="n"/>
      <c r="P16440" s="20" t="n"/>
      <c r="Q16440" s="19" t="n"/>
      <c r="R16440" s="19" t="n"/>
      <c r="Y16440" s="19" t="n"/>
    </row>
    <row r="16441">
      <c r="C16441" s="18" t="n"/>
      <c r="J16441" s="19" t="n"/>
      <c r="P16441" s="20" t="n"/>
      <c r="Q16441" s="19" t="n"/>
      <c r="R16441" s="19" t="n"/>
      <c r="Y16441" s="19" t="n"/>
    </row>
    <row r="16442">
      <c r="C16442" s="18" t="n"/>
      <c r="J16442" s="19" t="n"/>
      <c r="P16442" s="20" t="n"/>
      <c r="Q16442" s="19" t="n"/>
      <c r="R16442" s="19" t="n"/>
      <c r="Y16442" s="19" t="n"/>
    </row>
    <row r="16443">
      <c r="C16443" s="18" t="n"/>
      <c r="J16443" s="19" t="n"/>
      <c r="P16443" s="20" t="n"/>
      <c r="Q16443" s="19" t="n"/>
      <c r="R16443" s="19" t="n"/>
      <c r="Y16443" s="19" t="n"/>
    </row>
    <row r="16444">
      <c r="C16444" s="18" t="n"/>
      <c r="J16444" s="19" t="n"/>
      <c r="P16444" s="20" t="n"/>
      <c r="Q16444" s="19" t="n"/>
      <c r="R16444" s="19" t="n"/>
      <c r="Y16444" s="19" t="n"/>
    </row>
    <row r="16445">
      <c r="C16445" s="18" t="n"/>
      <c r="J16445" s="19" t="n"/>
      <c r="P16445" s="20" t="n"/>
      <c r="Q16445" s="19" t="n"/>
      <c r="R16445" s="19" t="n"/>
      <c r="Y16445" s="19" t="n"/>
    </row>
    <row r="16446">
      <c r="C16446" s="18" t="n"/>
      <c r="J16446" s="19" t="n"/>
      <c r="P16446" s="20" t="n"/>
      <c r="Q16446" s="19" t="n"/>
      <c r="R16446" s="19" t="n"/>
      <c r="Y16446" s="19" t="n"/>
    </row>
    <row r="16447">
      <c r="C16447" s="18" t="n"/>
      <c r="J16447" s="19" t="n"/>
      <c r="P16447" s="20" t="n"/>
      <c r="Q16447" s="19" t="n"/>
      <c r="R16447" s="19" t="n"/>
      <c r="Y16447" s="19" t="n"/>
    </row>
    <row r="16448">
      <c r="C16448" s="18" t="n"/>
      <c r="J16448" s="19" t="n"/>
      <c r="P16448" s="20" t="n"/>
      <c r="Q16448" s="19" t="n"/>
      <c r="R16448" s="19" t="n"/>
      <c r="Y16448" s="19" t="n"/>
    </row>
    <row r="16449">
      <c r="C16449" s="18" t="n"/>
      <c r="J16449" s="19" t="n"/>
      <c r="P16449" s="20" t="n"/>
      <c r="Q16449" s="19" t="n"/>
      <c r="R16449" s="19" t="n"/>
      <c r="Y16449" s="19" t="n"/>
    </row>
    <row r="16450">
      <c r="C16450" s="18" t="n"/>
      <c r="J16450" s="19" t="n"/>
      <c r="P16450" s="20" t="n"/>
      <c r="Q16450" s="19" t="n"/>
      <c r="R16450" s="19" t="n"/>
      <c r="Y16450" s="19" t="n"/>
    </row>
    <row r="16451">
      <c r="C16451" s="18" t="n"/>
      <c r="J16451" s="19" t="n"/>
      <c r="P16451" s="20" t="n"/>
      <c r="Q16451" s="19" t="n"/>
      <c r="R16451" s="19" t="n"/>
      <c r="Y16451" s="19" t="n"/>
    </row>
    <row r="16452">
      <c r="C16452" s="18" t="n"/>
      <c r="J16452" s="19" t="n"/>
      <c r="P16452" s="20" t="n"/>
      <c r="Q16452" s="19" t="n"/>
      <c r="R16452" s="19" t="n"/>
      <c r="Y16452" s="19" t="n"/>
    </row>
    <row r="16453">
      <c r="C16453" s="18" t="n"/>
      <c r="J16453" s="19" t="n"/>
      <c r="P16453" s="20" t="n"/>
      <c r="Q16453" s="19" t="n"/>
      <c r="R16453" s="19" t="n"/>
      <c r="Y16453" s="19" t="n"/>
    </row>
    <row r="16454">
      <c r="C16454" s="18" t="n"/>
      <c r="J16454" s="19" t="n"/>
      <c r="P16454" s="20" t="n"/>
      <c r="Q16454" s="19" t="n"/>
      <c r="R16454" s="19" t="n"/>
      <c r="Y16454" s="19" t="n"/>
    </row>
    <row r="16455">
      <c r="C16455" s="18" t="n"/>
      <c r="J16455" s="19" t="n"/>
      <c r="P16455" s="20" t="n"/>
      <c r="Q16455" s="19" t="n"/>
      <c r="R16455" s="19" t="n"/>
      <c r="Y16455" s="19" t="n"/>
    </row>
    <row r="16456">
      <c r="C16456" s="18" t="n"/>
      <c r="J16456" s="19" t="n"/>
      <c r="P16456" s="20" t="n"/>
      <c r="Q16456" s="19" t="n"/>
      <c r="R16456" s="19" t="n"/>
      <c r="Y16456" s="19" t="n"/>
    </row>
    <row r="16457">
      <c r="C16457" s="18" t="n"/>
      <c r="J16457" s="19" t="n"/>
      <c r="P16457" s="20" t="n"/>
      <c r="Q16457" s="19" t="n"/>
      <c r="R16457" s="19" t="n"/>
      <c r="Y16457" s="19" t="n"/>
    </row>
    <row r="16458">
      <c r="C16458" s="18" t="n"/>
      <c r="J16458" s="19" t="n"/>
      <c r="P16458" s="20" t="n"/>
      <c r="Q16458" s="19" t="n"/>
      <c r="R16458" s="19" t="n"/>
      <c r="Y16458" s="19" t="n"/>
    </row>
    <row r="16459">
      <c r="C16459" s="18" t="n"/>
      <c r="J16459" s="19" t="n"/>
      <c r="P16459" s="20" t="n"/>
      <c r="Q16459" s="19" t="n"/>
      <c r="R16459" s="19" t="n"/>
      <c r="Y16459" s="19" t="n"/>
    </row>
    <row r="16460">
      <c r="C16460" s="18" t="n"/>
      <c r="J16460" s="19" t="n"/>
      <c r="P16460" s="20" t="n"/>
      <c r="Q16460" s="19" t="n"/>
      <c r="R16460" s="19" t="n"/>
      <c r="Y16460" s="19" t="n"/>
    </row>
    <row r="16461">
      <c r="C16461" s="18" t="n"/>
      <c r="J16461" s="19" t="n"/>
      <c r="P16461" s="20" t="n"/>
      <c r="Q16461" s="19" t="n"/>
      <c r="R16461" s="19" t="n"/>
      <c r="Y16461" s="19" t="n"/>
    </row>
    <row r="16462">
      <c r="C16462" s="18" t="n"/>
      <c r="J16462" s="19" t="n"/>
      <c r="P16462" s="20" t="n"/>
      <c r="Q16462" s="19" t="n"/>
      <c r="R16462" s="19" t="n"/>
      <c r="Y16462" s="19" t="n"/>
    </row>
    <row r="16463">
      <c r="C16463" s="18" t="n"/>
      <c r="J16463" s="19" t="n"/>
      <c r="P16463" s="20" t="n"/>
      <c r="Q16463" s="19" t="n"/>
      <c r="R16463" s="19" t="n"/>
      <c r="Y16463" s="19" t="n"/>
    </row>
    <row r="16464">
      <c r="C16464" s="18" t="n"/>
      <c r="J16464" s="19" t="n"/>
      <c r="P16464" s="20" t="n"/>
      <c r="Q16464" s="19" t="n"/>
      <c r="R16464" s="19" t="n"/>
      <c r="Y16464" s="19" t="n"/>
    </row>
    <row r="16465">
      <c r="C16465" s="18" t="n"/>
      <c r="J16465" s="19" t="n"/>
      <c r="P16465" s="20" t="n"/>
      <c r="Q16465" s="19" t="n"/>
      <c r="R16465" s="19" t="n"/>
      <c r="Y16465" s="19" t="n"/>
    </row>
    <row r="16466">
      <c r="C16466" s="18" t="n"/>
      <c r="J16466" s="19" t="n"/>
      <c r="P16466" s="20" t="n"/>
      <c r="Q16466" s="19" t="n"/>
      <c r="R16466" s="19" t="n"/>
      <c r="Y16466" s="19" t="n"/>
    </row>
    <row r="16467">
      <c r="C16467" s="18" t="n"/>
      <c r="J16467" s="19" t="n"/>
      <c r="P16467" s="20" t="n"/>
      <c r="Q16467" s="19" t="n"/>
      <c r="R16467" s="19" t="n"/>
      <c r="Y16467" s="19" t="n"/>
    </row>
    <row r="16468">
      <c r="C16468" s="18" t="n"/>
      <c r="J16468" s="19" t="n"/>
      <c r="P16468" s="20" t="n"/>
      <c r="Q16468" s="19" t="n"/>
      <c r="R16468" s="19" t="n"/>
      <c r="Y16468" s="19" t="n"/>
    </row>
    <row r="16469">
      <c r="C16469" s="18" t="n"/>
      <c r="J16469" s="19" t="n"/>
      <c r="P16469" s="20" t="n"/>
      <c r="Q16469" s="19" t="n"/>
      <c r="R16469" s="19" t="n"/>
      <c r="Y16469" s="19" t="n"/>
    </row>
    <row r="16470">
      <c r="C16470" s="18" t="n"/>
      <c r="J16470" s="19" t="n"/>
      <c r="P16470" s="20" t="n"/>
      <c r="Q16470" s="19" t="n"/>
      <c r="R16470" s="19" t="n"/>
      <c r="Y16470" s="19" t="n"/>
    </row>
    <row r="16471">
      <c r="C16471" s="18" t="n"/>
      <c r="J16471" s="19" t="n"/>
      <c r="P16471" s="20" t="n"/>
      <c r="Q16471" s="19" t="n"/>
      <c r="R16471" s="19" t="n"/>
      <c r="Y16471" s="19" t="n"/>
    </row>
    <row r="16472">
      <c r="C16472" s="18" t="n"/>
      <c r="J16472" s="19" t="n"/>
      <c r="P16472" s="20" t="n"/>
      <c r="Q16472" s="19" t="n"/>
      <c r="R16472" s="19" t="n"/>
      <c r="Y16472" s="19" t="n"/>
    </row>
    <row r="16473">
      <c r="C16473" s="18" t="n"/>
      <c r="J16473" s="19" t="n"/>
      <c r="P16473" s="20" t="n"/>
      <c r="Q16473" s="19" t="n"/>
      <c r="R16473" s="19" t="n"/>
      <c r="Y16473" s="19" t="n"/>
    </row>
    <row r="16474">
      <c r="C16474" s="18" t="n"/>
      <c r="J16474" s="19" t="n"/>
      <c r="P16474" s="20" t="n"/>
      <c r="Q16474" s="19" t="n"/>
      <c r="R16474" s="19" t="n"/>
      <c r="Y16474" s="19" t="n"/>
    </row>
    <row r="16475">
      <c r="C16475" s="18" t="n"/>
      <c r="J16475" s="19" t="n"/>
      <c r="P16475" s="20" t="n"/>
      <c r="Q16475" s="19" t="n"/>
      <c r="R16475" s="19" t="n"/>
      <c r="Y16475" s="19" t="n"/>
    </row>
    <row r="16476">
      <c r="C16476" s="18" t="n"/>
      <c r="J16476" s="19" t="n"/>
      <c r="P16476" s="20" t="n"/>
      <c r="Q16476" s="19" t="n"/>
      <c r="R16476" s="19" t="n"/>
      <c r="Y16476" s="19" t="n"/>
    </row>
    <row r="16477">
      <c r="C16477" s="18" t="n"/>
      <c r="J16477" s="19" t="n"/>
      <c r="P16477" s="20" t="n"/>
      <c r="Q16477" s="19" t="n"/>
      <c r="R16477" s="19" t="n"/>
      <c r="Y16477" s="19" t="n"/>
    </row>
    <row r="16478">
      <c r="C16478" s="18" t="n"/>
      <c r="J16478" s="19" t="n"/>
      <c r="P16478" s="20" t="n"/>
      <c r="Q16478" s="19" t="n"/>
      <c r="R16478" s="19" t="n"/>
      <c r="Y16478" s="19" t="n"/>
    </row>
    <row r="16479">
      <c r="C16479" s="18" t="n"/>
      <c r="J16479" s="19" t="n"/>
      <c r="P16479" s="20" t="n"/>
      <c r="Q16479" s="19" t="n"/>
      <c r="R16479" s="19" t="n"/>
      <c r="Y16479" s="19" t="n"/>
    </row>
    <row r="16480">
      <c r="C16480" s="18" t="n"/>
      <c r="J16480" s="19" t="n"/>
      <c r="P16480" s="20" t="n"/>
      <c r="Q16480" s="19" t="n"/>
      <c r="R16480" s="19" t="n"/>
      <c r="Y16480" s="19" t="n"/>
    </row>
    <row r="16481">
      <c r="C16481" s="18" t="n"/>
      <c r="J16481" s="19" t="n"/>
      <c r="P16481" s="20" t="n"/>
      <c r="Q16481" s="19" t="n"/>
      <c r="R16481" s="19" t="n"/>
      <c r="Y16481" s="19" t="n"/>
    </row>
    <row r="16482">
      <c r="C16482" s="18" t="n"/>
      <c r="J16482" s="19" t="n"/>
      <c r="P16482" s="20" t="n"/>
      <c r="Q16482" s="19" t="n"/>
      <c r="R16482" s="19" t="n"/>
      <c r="Y16482" s="19" t="n"/>
    </row>
    <row r="16483">
      <c r="C16483" s="18" t="n"/>
      <c r="J16483" s="19" t="n"/>
      <c r="P16483" s="20" t="n"/>
      <c r="Q16483" s="19" t="n"/>
      <c r="R16483" s="19" t="n"/>
      <c r="Y16483" s="19" t="n"/>
    </row>
    <row r="16484">
      <c r="C16484" s="18" t="n"/>
      <c r="J16484" s="19" t="n"/>
      <c r="P16484" s="20" t="n"/>
      <c r="Q16484" s="19" t="n"/>
      <c r="R16484" s="19" t="n"/>
      <c r="Y16484" s="19" t="n"/>
    </row>
    <row r="16485">
      <c r="C16485" s="18" t="n"/>
      <c r="J16485" s="19" t="n"/>
      <c r="P16485" s="20" t="n"/>
      <c r="Q16485" s="19" t="n"/>
      <c r="R16485" s="19" t="n"/>
      <c r="Y16485" s="19" t="n"/>
    </row>
    <row r="16486">
      <c r="C16486" s="18" t="n"/>
      <c r="J16486" s="19" t="n"/>
      <c r="P16486" s="20" t="n"/>
      <c r="Q16486" s="19" t="n"/>
      <c r="R16486" s="19" t="n"/>
      <c r="Y16486" s="19" t="n"/>
    </row>
    <row r="16487">
      <c r="C16487" s="18" t="n"/>
      <c r="J16487" s="19" t="n"/>
      <c r="P16487" s="20" t="n"/>
      <c r="Q16487" s="19" t="n"/>
      <c r="R16487" s="19" t="n"/>
      <c r="Y16487" s="19" t="n"/>
    </row>
    <row r="16488">
      <c r="C16488" s="18" t="n"/>
      <c r="J16488" s="19" t="n"/>
      <c r="P16488" s="20" t="n"/>
      <c r="Q16488" s="19" t="n"/>
      <c r="R16488" s="19" t="n"/>
      <c r="Y16488" s="19" t="n"/>
    </row>
    <row r="16489">
      <c r="C16489" s="18" t="n"/>
      <c r="J16489" s="19" t="n"/>
      <c r="P16489" s="20" t="n"/>
      <c r="Q16489" s="19" t="n"/>
      <c r="R16489" s="19" t="n"/>
      <c r="Y16489" s="19" t="n"/>
    </row>
    <row r="16490">
      <c r="C16490" s="18" t="n"/>
      <c r="J16490" s="19" t="n"/>
      <c r="P16490" s="20" t="n"/>
      <c r="Q16490" s="19" t="n"/>
      <c r="R16490" s="19" t="n"/>
      <c r="Y16490" s="19" t="n"/>
    </row>
    <row r="16491">
      <c r="C16491" s="18" t="n"/>
      <c r="J16491" s="19" t="n"/>
      <c r="P16491" s="20" t="n"/>
      <c r="Q16491" s="19" t="n"/>
      <c r="R16491" s="19" t="n"/>
      <c r="Y16491" s="19" t="n"/>
    </row>
    <row r="16492">
      <c r="C16492" s="18" t="n"/>
      <c r="J16492" s="19" t="n"/>
      <c r="P16492" s="20" t="n"/>
      <c r="Q16492" s="19" t="n"/>
      <c r="R16492" s="19" t="n"/>
      <c r="Y16492" s="19" t="n"/>
    </row>
    <row r="16493">
      <c r="C16493" s="18" t="n"/>
      <c r="J16493" s="19" t="n"/>
      <c r="P16493" s="20" t="n"/>
      <c r="Q16493" s="19" t="n"/>
      <c r="R16493" s="19" t="n"/>
      <c r="Y16493" s="19" t="n"/>
    </row>
    <row r="16494">
      <c r="C16494" s="18" t="n"/>
      <c r="J16494" s="19" t="n"/>
      <c r="P16494" s="20" t="n"/>
      <c r="Q16494" s="19" t="n"/>
      <c r="R16494" s="19" t="n"/>
      <c r="Y16494" s="19" t="n"/>
    </row>
    <row r="16495">
      <c r="C16495" s="18" t="n"/>
      <c r="J16495" s="19" t="n"/>
      <c r="P16495" s="20" t="n"/>
      <c r="Q16495" s="19" t="n"/>
      <c r="R16495" s="19" t="n"/>
      <c r="Y16495" s="19" t="n"/>
    </row>
    <row r="16496">
      <c r="C16496" s="18" t="n"/>
      <c r="J16496" s="19" t="n"/>
      <c r="P16496" s="20" t="n"/>
      <c r="Q16496" s="19" t="n"/>
      <c r="R16496" s="19" t="n"/>
      <c r="Y16496" s="19" t="n"/>
    </row>
    <row r="16497">
      <c r="C16497" s="18" t="n"/>
      <c r="J16497" s="19" t="n"/>
      <c r="P16497" s="20" t="n"/>
      <c r="Q16497" s="19" t="n"/>
      <c r="R16497" s="19" t="n"/>
      <c r="Y16497" s="19" t="n"/>
    </row>
    <row r="16498">
      <c r="C16498" s="18" t="n"/>
      <c r="J16498" s="19" t="n"/>
      <c r="P16498" s="20" t="n"/>
      <c r="Q16498" s="19" t="n"/>
      <c r="R16498" s="19" t="n"/>
      <c r="Y16498" s="19" t="n"/>
    </row>
    <row r="16499">
      <c r="C16499" s="18" t="n"/>
      <c r="J16499" s="19" t="n"/>
      <c r="P16499" s="20" t="n"/>
      <c r="Q16499" s="19" t="n"/>
      <c r="R16499" s="19" t="n"/>
      <c r="Y16499" s="19" t="n"/>
    </row>
    <row r="16500">
      <c r="C16500" s="18" t="n"/>
      <c r="J16500" s="19" t="n"/>
      <c r="P16500" s="20" t="n"/>
      <c r="Q16500" s="19" t="n"/>
      <c r="R16500" s="19" t="n"/>
      <c r="Y16500" s="19" t="n"/>
    </row>
    <row r="16501">
      <c r="C16501" s="18" t="n"/>
      <c r="J16501" s="19" t="n"/>
      <c r="P16501" s="20" t="n"/>
      <c r="Q16501" s="19" t="n"/>
      <c r="R16501" s="19" t="n"/>
      <c r="Y16501" s="19" t="n"/>
    </row>
    <row r="16502">
      <c r="C16502" s="18" t="n"/>
      <c r="J16502" s="19" t="n"/>
      <c r="P16502" s="20" t="n"/>
      <c r="Q16502" s="19" t="n"/>
      <c r="R16502" s="19" t="n"/>
      <c r="Y16502" s="19" t="n"/>
    </row>
    <row r="16503">
      <c r="C16503" s="18" t="n"/>
      <c r="J16503" s="19" t="n"/>
      <c r="P16503" s="20" t="n"/>
      <c r="Q16503" s="19" t="n"/>
      <c r="R16503" s="19" t="n"/>
      <c r="Y16503" s="19" t="n"/>
    </row>
    <row r="16504">
      <c r="C16504" s="18" t="n"/>
      <c r="J16504" s="19" t="n"/>
      <c r="P16504" s="20" t="n"/>
      <c r="Q16504" s="19" t="n"/>
      <c r="R16504" s="19" t="n"/>
      <c r="Y16504" s="19" t="n"/>
    </row>
    <row r="16505">
      <c r="C16505" s="18" t="n"/>
      <c r="J16505" s="19" t="n"/>
      <c r="P16505" s="20" t="n"/>
      <c r="Q16505" s="19" t="n"/>
      <c r="R16505" s="19" t="n"/>
      <c r="Y16505" s="19" t="n"/>
    </row>
    <row r="16506">
      <c r="C16506" s="18" t="n"/>
      <c r="J16506" s="19" t="n"/>
      <c r="P16506" s="20" t="n"/>
      <c r="Q16506" s="19" t="n"/>
      <c r="R16506" s="19" t="n"/>
      <c r="Y16506" s="19" t="n"/>
    </row>
    <row r="16507">
      <c r="C16507" s="18" t="n"/>
      <c r="J16507" s="19" t="n"/>
      <c r="P16507" s="20" t="n"/>
      <c r="Q16507" s="19" t="n"/>
      <c r="R16507" s="19" t="n"/>
      <c r="Y16507" s="19" t="n"/>
    </row>
    <row r="16508">
      <c r="C16508" s="18" t="n"/>
      <c r="J16508" s="19" t="n"/>
      <c r="P16508" s="20" t="n"/>
      <c r="Q16508" s="19" t="n"/>
      <c r="R16508" s="19" t="n"/>
      <c r="Y16508" s="19" t="n"/>
    </row>
    <row r="16509">
      <c r="C16509" s="18" t="n"/>
      <c r="J16509" s="19" t="n"/>
      <c r="P16509" s="20" t="n"/>
      <c r="Q16509" s="19" t="n"/>
      <c r="R16509" s="19" t="n"/>
      <c r="Y16509" s="19" t="n"/>
    </row>
    <row r="16510">
      <c r="C16510" s="18" t="n"/>
      <c r="J16510" s="19" t="n"/>
      <c r="P16510" s="20" t="n"/>
      <c r="Q16510" s="19" t="n"/>
      <c r="R16510" s="19" t="n"/>
      <c r="Y16510" s="19" t="n"/>
    </row>
    <row r="16511">
      <c r="C16511" s="18" t="n"/>
      <c r="J16511" s="19" t="n"/>
      <c r="P16511" s="20" t="n"/>
      <c r="Q16511" s="19" t="n"/>
      <c r="R16511" s="19" t="n"/>
      <c r="Y16511" s="19" t="n"/>
    </row>
    <row r="16512">
      <c r="C16512" s="18" t="n"/>
      <c r="J16512" s="19" t="n"/>
      <c r="P16512" s="20" t="n"/>
      <c r="Q16512" s="19" t="n"/>
      <c r="R16512" s="19" t="n"/>
      <c r="Y16512" s="19" t="n"/>
    </row>
    <row r="16513">
      <c r="C16513" s="18" t="n"/>
      <c r="J16513" s="19" t="n"/>
      <c r="P16513" s="20" t="n"/>
      <c r="Q16513" s="19" t="n"/>
      <c r="R16513" s="19" t="n"/>
      <c r="Y16513" s="19" t="n"/>
    </row>
    <row r="16514">
      <c r="C16514" s="18" t="n"/>
      <c r="J16514" s="19" t="n"/>
      <c r="P16514" s="20" t="n"/>
      <c r="Q16514" s="19" t="n"/>
      <c r="R16514" s="19" t="n"/>
      <c r="Y16514" s="19" t="n"/>
    </row>
    <row r="16515">
      <c r="C16515" s="18" t="n"/>
      <c r="J16515" s="19" t="n"/>
      <c r="P16515" s="20" t="n"/>
      <c r="Q16515" s="19" t="n"/>
      <c r="R16515" s="19" t="n"/>
      <c r="Y16515" s="19" t="n"/>
    </row>
    <row r="16516">
      <c r="C16516" s="18" t="n"/>
      <c r="J16516" s="19" t="n"/>
      <c r="P16516" s="20" t="n"/>
      <c r="Q16516" s="19" t="n"/>
      <c r="R16516" s="19" t="n"/>
      <c r="Y16516" s="19" t="n"/>
    </row>
    <row r="16517">
      <c r="C16517" s="18" t="n"/>
      <c r="J16517" s="19" t="n"/>
      <c r="P16517" s="20" t="n"/>
      <c r="Q16517" s="19" t="n"/>
      <c r="R16517" s="19" t="n"/>
      <c r="Y16517" s="19" t="n"/>
    </row>
    <row r="16518">
      <c r="C16518" s="18" t="n"/>
      <c r="J16518" s="19" t="n"/>
      <c r="P16518" s="20" t="n"/>
      <c r="Q16518" s="19" t="n"/>
      <c r="R16518" s="19" t="n"/>
      <c r="Y16518" s="19" t="n"/>
    </row>
    <row r="16519">
      <c r="C16519" s="18" t="n"/>
      <c r="J16519" s="19" t="n"/>
      <c r="P16519" s="20" t="n"/>
      <c r="Q16519" s="19" t="n"/>
      <c r="R16519" s="19" t="n"/>
      <c r="Y16519" s="19" t="n"/>
    </row>
    <row r="16520">
      <c r="C16520" s="18" t="n"/>
      <c r="J16520" s="19" t="n"/>
      <c r="P16520" s="20" t="n"/>
      <c r="Q16520" s="19" t="n"/>
      <c r="R16520" s="19" t="n"/>
      <c r="Y16520" s="19" t="n"/>
    </row>
    <row r="16521">
      <c r="C16521" s="18" t="n"/>
      <c r="J16521" s="19" t="n"/>
      <c r="P16521" s="20" t="n"/>
      <c r="Q16521" s="19" t="n"/>
      <c r="R16521" s="19" t="n"/>
      <c r="Y16521" s="19" t="n"/>
    </row>
    <row r="16522">
      <c r="C16522" s="18" t="n"/>
      <c r="J16522" s="19" t="n"/>
      <c r="P16522" s="20" t="n"/>
      <c r="Q16522" s="19" t="n"/>
      <c r="R16522" s="19" t="n"/>
      <c r="Y16522" s="19" t="n"/>
    </row>
    <row r="16523">
      <c r="C16523" s="18" t="n"/>
      <c r="J16523" s="19" t="n"/>
      <c r="P16523" s="20" t="n"/>
      <c r="Q16523" s="19" t="n"/>
      <c r="R16523" s="19" t="n"/>
      <c r="Y16523" s="19" t="n"/>
    </row>
    <row r="16524">
      <c r="C16524" s="18" t="n"/>
      <c r="J16524" s="19" t="n"/>
      <c r="P16524" s="20" t="n"/>
      <c r="Q16524" s="19" t="n"/>
      <c r="R16524" s="19" t="n"/>
      <c r="Y16524" s="19" t="n"/>
    </row>
    <row r="16525">
      <c r="C16525" s="18" t="n"/>
      <c r="J16525" s="19" t="n"/>
      <c r="P16525" s="20" t="n"/>
      <c r="Q16525" s="19" t="n"/>
      <c r="R16525" s="19" t="n"/>
      <c r="Y16525" s="19" t="n"/>
    </row>
    <row r="16526">
      <c r="C16526" s="18" t="n"/>
      <c r="J16526" s="19" t="n"/>
      <c r="P16526" s="20" t="n"/>
      <c r="Q16526" s="19" t="n"/>
      <c r="R16526" s="19" t="n"/>
      <c r="Y16526" s="19" t="n"/>
    </row>
    <row r="16527">
      <c r="C16527" s="18" t="n"/>
      <c r="J16527" s="19" t="n"/>
      <c r="P16527" s="20" t="n"/>
      <c r="Q16527" s="19" t="n"/>
      <c r="R16527" s="19" t="n"/>
      <c r="Y16527" s="19" t="n"/>
    </row>
    <row r="16528">
      <c r="C16528" s="18" t="n"/>
      <c r="J16528" s="19" t="n"/>
      <c r="P16528" s="20" t="n"/>
      <c r="Q16528" s="19" t="n"/>
      <c r="R16528" s="19" t="n"/>
      <c r="Y16528" s="19" t="n"/>
    </row>
    <row r="16529">
      <c r="C16529" s="18" t="n"/>
      <c r="J16529" s="19" t="n"/>
      <c r="P16529" s="20" t="n"/>
      <c r="Q16529" s="19" t="n"/>
      <c r="R16529" s="19" t="n"/>
      <c r="Y16529" s="19" t="n"/>
    </row>
    <row r="16530">
      <c r="C16530" s="18" t="n"/>
      <c r="J16530" s="19" t="n"/>
      <c r="P16530" s="20" t="n"/>
      <c r="Q16530" s="19" t="n"/>
      <c r="R16530" s="19" t="n"/>
      <c r="Y16530" s="19" t="n"/>
    </row>
    <row r="16531">
      <c r="C16531" s="18" t="n"/>
      <c r="J16531" s="19" t="n"/>
      <c r="P16531" s="20" t="n"/>
      <c r="Q16531" s="19" t="n"/>
      <c r="R16531" s="19" t="n"/>
      <c r="Y16531" s="19" t="n"/>
    </row>
    <row r="16532">
      <c r="C16532" s="18" t="n"/>
      <c r="J16532" s="19" t="n"/>
      <c r="P16532" s="20" t="n"/>
      <c r="Q16532" s="19" t="n"/>
      <c r="R16532" s="19" t="n"/>
      <c r="Y16532" s="19" t="n"/>
    </row>
    <row r="16533">
      <c r="C16533" s="18" t="n"/>
      <c r="J16533" s="19" t="n"/>
      <c r="P16533" s="20" t="n"/>
      <c r="Q16533" s="19" t="n"/>
      <c r="R16533" s="19" t="n"/>
      <c r="Y16533" s="19" t="n"/>
    </row>
    <row r="16534">
      <c r="C16534" s="18" t="n"/>
      <c r="J16534" s="19" t="n"/>
      <c r="P16534" s="20" t="n"/>
      <c r="Q16534" s="19" t="n"/>
      <c r="R16534" s="19" t="n"/>
      <c r="Y16534" s="19" t="n"/>
    </row>
    <row r="16535">
      <c r="C16535" s="18" t="n"/>
      <c r="J16535" s="19" t="n"/>
      <c r="P16535" s="20" t="n"/>
      <c r="Q16535" s="19" t="n"/>
      <c r="R16535" s="19" t="n"/>
      <c r="Y16535" s="19" t="n"/>
    </row>
    <row r="16536">
      <c r="C16536" s="18" t="n"/>
      <c r="J16536" s="19" t="n"/>
      <c r="P16536" s="20" t="n"/>
      <c r="Q16536" s="19" t="n"/>
      <c r="R16536" s="19" t="n"/>
      <c r="Y16536" s="19" t="n"/>
    </row>
    <row r="16537">
      <c r="C16537" s="18" t="n"/>
      <c r="J16537" s="19" t="n"/>
      <c r="P16537" s="20" t="n"/>
      <c r="Q16537" s="19" t="n"/>
      <c r="R16537" s="19" t="n"/>
      <c r="Y16537" s="19" t="n"/>
    </row>
    <row r="16538">
      <c r="C16538" s="18" t="n"/>
      <c r="J16538" s="19" t="n"/>
      <c r="P16538" s="20" t="n"/>
      <c r="Q16538" s="19" t="n"/>
      <c r="R16538" s="19" t="n"/>
      <c r="Y16538" s="19" t="n"/>
    </row>
    <row r="16539">
      <c r="C16539" s="18" t="n"/>
      <c r="J16539" s="19" t="n"/>
      <c r="P16539" s="20" t="n"/>
      <c r="Q16539" s="19" t="n"/>
      <c r="R16539" s="19" t="n"/>
      <c r="Y16539" s="19" t="n"/>
    </row>
    <row r="16540">
      <c r="C16540" s="18" t="n"/>
      <c r="J16540" s="19" t="n"/>
      <c r="P16540" s="20" t="n"/>
      <c r="Q16540" s="19" t="n"/>
      <c r="R16540" s="19" t="n"/>
      <c r="Y16540" s="19" t="n"/>
    </row>
    <row r="16541">
      <c r="C16541" s="18" t="n"/>
      <c r="J16541" s="19" t="n"/>
      <c r="P16541" s="20" t="n"/>
      <c r="Q16541" s="19" t="n"/>
      <c r="R16541" s="19" t="n"/>
      <c r="Y16541" s="19" t="n"/>
    </row>
    <row r="16542">
      <c r="C16542" s="18" t="n"/>
      <c r="J16542" s="19" t="n"/>
      <c r="P16542" s="20" t="n"/>
      <c r="Q16542" s="19" t="n"/>
      <c r="R16542" s="19" t="n"/>
      <c r="Y16542" s="19" t="n"/>
    </row>
    <row r="16543">
      <c r="C16543" s="18" t="n"/>
      <c r="J16543" s="19" t="n"/>
      <c r="P16543" s="20" t="n"/>
      <c r="Q16543" s="19" t="n"/>
      <c r="R16543" s="19" t="n"/>
      <c r="Y16543" s="19" t="n"/>
    </row>
    <row r="16544">
      <c r="C16544" s="18" t="n"/>
      <c r="J16544" s="19" t="n"/>
      <c r="P16544" s="20" t="n"/>
      <c r="Q16544" s="19" t="n"/>
      <c r="R16544" s="19" t="n"/>
      <c r="Y16544" s="19" t="n"/>
    </row>
    <row r="16545">
      <c r="C16545" s="18" t="n"/>
      <c r="J16545" s="19" t="n"/>
      <c r="P16545" s="20" t="n"/>
      <c r="Q16545" s="19" t="n"/>
      <c r="R16545" s="19" t="n"/>
      <c r="Y16545" s="19" t="n"/>
    </row>
    <row r="16546">
      <c r="C16546" s="18" t="n"/>
      <c r="J16546" s="19" t="n"/>
      <c r="P16546" s="20" t="n"/>
      <c r="Q16546" s="19" t="n"/>
      <c r="R16546" s="19" t="n"/>
      <c r="Y16546" s="19" t="n"/>
    </row>
    <row r="16547">
      <c r="C16547" s="18" t="n"/>
      <c r="J16547" s="19" t="n"/>
      <c r="P16547" s="20" t="n"/>
      <c r="Q16547" s="19" t="n"/>
      <c r="R16547" s="19" t="n"/>
      <c r="Y16547" s="19" t="n"/>
    </row>
    <row r="16548">
      <c r="C16548" s="18" t="n"/>
      <c r="J16548" s="19" t="n"/>
      <c r="P16548" s="20" t="n"/>
      <c r="Q16548" s="19" t="n"/>
      <c r="R16548" s="19" t="n"/>
      <c r="Y16548" s="19" t="n"/>
    </row>
    <row r="16549">
      <c r="C16549" s="18" t="n"/>
      <c r="J16549" s="19" t="n"/>
      <c r="P16549" s="20" t="n"/>
      <c r="Q16549" s="19" t="n"/>
      <c r="R16549" s="19" t="n"/>
      <c r="Y16549" s="19" t="n"/>
    </row>
    <row r="16550">
      <c r="C16550" s="18" t="n"/>
      <c r="J16550" s="19" t="n"/>
      <c r="P16550" s="20" t="n"/>
      <c r="Q16550" s="19" t="n"/>
      <c r="R16550" s="19" t="n"/>
      <c r="Y16550" s="19" t="n"/>
    </row>
    <row r="16551">
      <c r="C16551" s="18" t="n"/>
      <c r="J16551" s="19" t="n"/>
      <c r="P16551" s="20" t="n"/>
      <c r="Q16551" s="19" t="n"/>
      <c r="R16551" s="19" t="n"/>
      <c r="Y16551" s="19" t="n"/>
    </row>
    <row r="16552">
      <c r="C16552" s="18" t="n"/>
      <c r="J16552" s="19" t="n"/>
      <c r="P16552" s="20" t="n"/>
      <c r="Q16552" s="19" t="n"/>
      <c r="R16552" s="19" t="n"/>
      <c r="Y16552" s="19" t="n"/>
    </row>
    <row r="16553">
      <c r="C16553" s="18" t="n"/>
      <c r="J16553" s="19" t="n"/>
      <c r="P16553" s="20" t="n"/>
      <c r="Q16553" s="19" t="n"/>
      <c r="R16553" s="19" t="n"/>
      <c r="Y16553" s="19" t="n"/>
    </row>
    <row r="16554">
      <c r="C16554" s="18" t="n"/>
      <c r="J16554" s="19" t="n"/>
      <c r="P16554" s="20" t="n"/>
      <c r="Q16554" s="19" t="n"/>
      <c r="R16554" s="19" t="n"/>
      <c r="Y16554" s="19" t="n"/>
    </row>
    <row r="16555">
      <c r="C16555" s="18" t="n"/>
      <c r="J16555" s="19" t="n"/>
      <c r="P16555" s="20" t="n"/>
      <c r="Q16555" s="19" t="n"/>
      <c r="R16555" s="19" t="n"/>
      <c r="Y16555" s="19" t="n"/>
    </row>
    <row r="16556">
      <c r="C16556" s="18" t="n"/>
      <c r="J16556" s="19" t="n"/>
      <c r="P16556" s="20" t="n"/>
      <c r="Q16556" s="19" t="n"/>
      <c r="R16556" s="19" t="n"/>
      <c r="Y16556" s="19" t="n"/>
    </row>
    <row r="16557">
      <c r="C16557" s="18" t="n"/>
      <c r="J16557" s="19" t="n"/>
      <c r="P16557" s="20" t="n"/>
      <c r="Q16557" s="19" t="n"/>
      <c r="R16557" s="19" t="n"/>
      <c r="Y16557" s="19" t="n"/>
    </row>
    <row r="16558">
      <c r="C16558" s="18" t="n"/>
      <c r="J16558" s="19" t="n"/>
      <c r="P16558" s="20" t="n"/>
      <c r="Q16558" s="19" t="n"/>
      <c r="R16558" s="19" t="n"/>
      <c r="Y16558" s="19" t="n"/>
    </row>
    <row r="16559">
      <c r="C16559" s="18" t="n"/>
      <c r="J16559" s="19" t="n"/>
      <c r="P16559" s="20" t="n"/>
      <c r="Q16559" s="19" t="n"/>
      <c r="R16559" s="19" t="n"/>
      <c r="Y16559" s="19" t="n"/>
    </row>
    <row r="16560">
      <c r="C16560" s="18" t="n"/>
      <c r="J16560" s="19" t="n"/>
      <c r="P16560" s="20" t="n"/>
      <c r="Q16560" s="19" t="n"/>
      <c r="R16560" s="19" t="n"/>
      <c r="Y16560" s="19" t="n"/>
    </row>
    <row r="16561">
      <c r="C16561" s="18" t="n"/>
      <c r="J16561" s="19" t="n"/>
      <c r="P16561" s="20" t="n"/>
      <c r="Q16561" s="19" t="n"/>
      <c r="R16561" s="19" t="n"/>
      <c r="Y16561" s="19" t="n"/>
    </row>
    <row r="16562">
      <c r="C16562" s="18" t="n"/>
      <c r="J16562" s="19" t="n"/>
      <c r="P16562" s="20" t="n"/>
      <c r="Q16562" s="19" t="n"/>
      <c r="R16562" s="19" t="n"/>
      <c r="Y16562" s="19" t="n"/>
    </row>
    <row r="16563">
      <c r="C16563" s="18" t="n"/>
      <c r="J16563" s="19" t="n"/>
      <c r="P16563" s="20" t="n"/>
      <c r="Q16563" s="19" t="n"/>
      <c r="R16563" s="19" t="n"/>
      <c r="Y16563" s="19" t="n"/>
    </row>
    <row r="16564">
      <c r="C16564" s="18" t="n"/>
      <c r="J16564" s="19" t="n"/>
      <c r="P16564" s="20" t="n"/>
      <c r="Q16564" s="19" t="n"/>
      <c r="R16564" s="19" t="n"/>
      <c r="Y16564" s="19" t="n"/>
    </row>
    <row r="16565">
      <c r="C16565" s="18" t="n"/>
      <c r="J16565" s="19" t="n"/>
      <c r="P16565" s="20" t="n"/>
      <c r="Q16565" s="19" t="n"/>
      <c r="R16565" s="19" t="n"/>
      <c r="Y16565" s="19" t="n"/>
    </row>
    <row r="16566">
      <c r="C16566" s="18" t="n"/>
      <c r="J16566" s="19" t="n"/>
      <c r="P16566" s="20" t="n"/>
      <c r="Q16566" s="19" t="n"/>
      <c r="R16566" s="19" t="n"/>
      <c r="Y16566" s="19" t="n"/>
    </row>
    <row r="16567">
      <c r="C16567" s="18" t="n"/>
      <c r="J16567" s="19" t="n"/>
      <c r="P16567" s="20" t="n"/>
      <c r="Q16567" s="19" t="n"/>
      <c r="R16567" s="19" t="n"/>
      <c r="Y16567" s="19" t="n"/>
    </row>
    <row r="16568">
      <c r="C16568" s="18" t="n"/>
      <c r="J16568" s="19" t="n"/>
      <c r="P16568" s="20" t="n"/>
      <c r="Q16568" s="19" t="n"/>
      <c r="R16568" s="19" t="n"/>
      <c r="Y16568" s="19" t="n"/>
    </row>
    <row r="16569">
      <c r="C16569" s="18" t="n"/>
      <c r="J16569" s="19" t="n"/>
      <c r="P16569" s="20" t="n"/>
      <c r="Q16569" s="19" t="n"/>
      <c r="R16569" s="19" t="n"/>
      <c r="Y16569" s="19" t="n"/>
    </row>
    <row r="16570">
      <c r="C16570" s="18" t="n"/>
      <c r="J16570" s="19" t="n"/>
      <c r="P16570" s="20" t="n"/>
      <c r="Q16570" s="19" t="n"/>
      <c r="R16570" s="19" t="n"/>
      <c r="Y16570" s="19" t="n"/>
    </row>
    <row r="16571">
      <c r="C16571" s="18" t="n"/>
      <c r="J16571" s="19" t="n"/>
      <c r="P16571" s="20" t="n"/>
      <c r="Q16571" s="19" t="n"/>
      <c r="R16571" s="19" t="n"/>
      <c r="Y16571" s="19" t="n"/>
    </row>
    <row r="16572">
      <c r="C16572" s="18" t="n"/>
      <c r="J16572" s="19" t="n"/>
      <c r="P16572" s="20" t="n"/>
      <c r="Q16572" s="19" t="n"/>
      <c r="R16572" s="19" t="n"/>
      <c r="Y16572" s="19" t="n"/>
    </row>
    <row r="16573">
      <c r="C16573" s="18" t="n"/>
      <c r="J16573" s="19" t="n"/>
      <c r="P16573" s="20" t="n"/>
      <c r="Q16573" s="19" t="n"/>
      <c r="R16573" s="19" t="n"/>
      <c r="Y16573" s="19" t="n"/>
    </row>
    <row r="16574">
      <c r="C16574" s="18" t="n"/>
      <c r="J16574" s="19" t="n"/>
      <c r="P16574" s="20" t="n"/>
      <c r="Q16574" s="19" t="n"/>
      <c r="R16574" s="19" t="n"/>
      <c r="Y16574" s="19" t="n"/>
    </row>
    <row r="16575">
      <c r="C16575" s="18" t="n"/>
      <c r="J16575" s="19" t="n"/>
      <c r="P16575" s="20" t="n"/>
      <c r="Q16575" s="19" t="n"/>
      <c r="R16575" s="19" t="n"/>
      <c r="Y16575" s="19" t="n"/>
    </row>
    <row r="16576">
      <c r="C16576" s="18" t="n"/>
      <c r="J16576" s="19" t="n"/>
      <c r="P16576" s="20" t="n"/>
      <c r="Q16576" s="19" t="n"/>
      <c r="R16576" s="19" t="n"/>
      <c r="Y16576" s="19" t="n"/>
    </row>
    <row r="16577">
      <c r="C16577" s="18" t="n"/>
      <c r="J16577" s="19" t="n"/>
      <c r="P16577" s="20" t="n"/>
      <c r="Q16577" s="19" t="n"/>
      <c r="R16577" s="19" t="n"/>
      <c r="Y16577" s="19" t="n"/>
    </row>
    <row r="16578">
      <c r="C16578" s="18" t="n"/>
      <c r="J16578" s="19" t="n"/>
      <c r="P16578" s="20" t="n"/>
      <c r="Q16578" s="19" t="n"/>
      <c r="R16578" s="19" t="n"/>
      <c r="Y16578" s="19" t="n"/>
    </row>
    <row r="16579">
      <c r="C16579" s="18" t="n"/>
      <c r="J16579" s="19" t="n"/>
      <c r="P16579" s="20" t="n"/>
      <c r="Q16579" s="19" t="n"/>
      <c r="R16579" s="19" t="n"/>
      <c r="Y16579" s="19" t="n"/>
    </row>
    <row r="16580">
      <c r="C16580" s="18" t="n"/>
      <c r="J16580" s="19" t="n"/>
      <c r="P16580" s="20" t="n"/>
      <c r="Q16580" s="19" t="n"/>
      <c r="R16580" s="19" t="n"/>
      <c r="Y16580" s="19" t="n"/>
    </row>
    <row r="16581">
      <c r="C16581" s="18" t="n"/>
      <c r="J16581" s="19" t="n"/>
      <c r="P16581" s="20" t="n"/>
      <c r="Q16581" s="19" t="n"/>
      <c r="R16581" s="19" t="n"/>
      <c r="Y16581" s="19" t="n"/>
    </row>
    <row r="16582">
      <c r="C16582" s="18" t="n"/>
      <c r="J16582" s="19" t="n"/>
      <c r="P16582" s="20" t="n"/>
      <c r="Q16582" s="19" t="n"/>
      <c r="R16582" s="19" t="n"/>
      <c r="Y16582" s="19" t="n"/>
    </row>
    <row r="16583">
      <c r="C16583" s="18" t="n"/>
      <c r="J16583" s="19" t="n"/>
      <c r="P16583" s="20" t="n"/>
      <c r="Q16583" s="19" t="n"/>
      <c r="R16583" s="19" t="n"/>
      <c r="Y16583" s="19" t="n"/>
    </row>
    <row r="16584">
      <c r="C16584" s="18" t="n"/>
      <c r="J16584" s="19" t="n"/>
      <c r="P16584" s="20" t="n"/>
      <c r="Q16584" s="19" t="n"/>
      <c r="R16584" s="19" t="n"/>
      <c r="Y16584" s="19" t="n"/>
    </row>
    <row r="16585">
      <c r="C16585" s="18" t="n"/>
      <c r="J16585" s="19" t="n"/>
      <c r="P16585" s="20" t="n"/>
      <c r="Q16585" s="19" t="n"/>
      <c r="R16585" s="19" t="n"/>
      <c r="Y16585" s="19" t="n"/>
    </row>
    <row r="16586">
      <c r="C16586" s="18" t="n"/>
      <c r="J16586" s="19" t="n"/>
      <c r="P16586" s="20" t="n"/>
      <c r="Q16586" s="19" t="n"/>
      <c r="R16586" s="19" t="n"/>
      <c r="Y16586" s="19" t="n"/>
    </row>
    <row r="16587">
      <c r="C16587" s="18" t="n"/>
      <c r="J16587" s="19" t="n"/>
      <c r="P16587" s="20" t="n"/>
      <c r="Q16587" s="19" t="n"/>
      <c r="R16587" s="19" t="n"/>
      <c r="Y16587" s="19" t="n"/>
    </row>
    <row r="16588">
      <c r="C16588" s="18" t="n"/>
      <c r="J16588" s="19" t="n"/>
      <c r="P16588" s="20" t="n"/>
      <c r="Q16588" s="19" t="n"/>
      <c r="R16588" s="19" t="n"/>
      <c r="Y16588" s="19" t="n"/>
    </row>
    <row r="16589">
      <c r="C16589" s="18" t="n"/>
      <c r="J16589" s="19" t="n"/>
      <c r="P16589" s="20" t="n"/>
      <c r="Q16589" s="19" t="n"/>
      <c r="R16589" s="19" t="n"/>
      <c r="Y16589" s="19" t="n"/>
    </row>
    <row r="16590">
      <c r="C16590" s="18" t="n"/>
      <c r="J16590" s="19" t="n"/>
      <c r="P16590" s="20" t="n"/>
      <c r="Q16590" s="19" t="n"/>
      <c r="R16590" s="19" t="n"/>
      <c r="Y16590" s="19" t="n"/>
    </row>
    <row r="16591">
      <c r="C16591" s="18" t="n"/>
      <c r="J16591" s="19" t="n"/>
      <c r="P16591" s="20" t="n"/>
      <c r="Q16591" s="19" t="n"/>
      <c r="R16591" s="19" t="n"/>
      <c r="Y16591" s="19" t="n"/>
    </row>
    <row r="16592">
      <c r="C16592" s="18" t="n"/>
      <c r="J16592" s="19" t="n"/>
      <c r="P16592" s="20" t="n"/>
      <c r="Q16592" s="19" t="n"/>
      <c r="R16592" s="19" t="n"/>
      <c r="Y16592" s="19" t="n"/>
    </row>
    <row r="16593">
      <c r="C16593" s="18" t="n"/>
      <c r="J16593" s="19" t="n"/>
      <c r="P16593" s="20" t="n"/>
      <c r="Q16593" s="19" t="n"/>
      <c r="R16593" s="19" t="n"/>
      <c r="Y16593" s="19" t="n"/>
    </row>
    <row r="16594">
      <c r="C16594" s="18" t="n"/>
      <c r="J16594" s="19" t="n"/>
      <c r="P16594" s="20" t="n"/>
      <c r="Q16594" s="19" t="n"/>
      <c r="R16594" s="19" t="n"/>
      <c r="Y16594" s="19" t="n"/>
    </row>
    <row r="16595">
      <c r="C16595" s="18" t="n"/>
      <c r="J16595" s="19" t="n"/>
      <c r="P16595" s="20" t="n"/>
      <c r="Q16595" s="19" t="n"/>
      <c r="R16595" s="19" t="n"/>
      <c r="Y16595" s="19" t="n"/>
    </row>
    <row r="16596">
      <c r="C16596" s="18" t="n"/>
      <c r="J16596" s="19" t="n"/>
      <c r="P16596" s="20" t="n"/>
      <c r="Q16596" s="19" t="n"/>
      <c r="R16596" s="19" t="n"/>
      <c r="Y16596" s="19" t="n"/>
    </row>
    <row r="16597">
      <c r="C16597" s="18" t="n"/>
      <c r="J16597" s="19" t="n"/>
      <c r="P16597" s="20" t="n"/>
      <c r="Q16597" s="19" t="n"/>
      <c r="R16597" s="19" t="n"/>
      <c r="Y16597" s="19" t="n"/>
    </row>
    <row r="16598">
      <c r="C16598" s="18" t="n"/>
      <c r="J16598" s="19" t="n"/>
      <c r="P16598" s="20" t="n"/>
      <c r="Q16598" s="19" t="n"/>
      <c r="R16598" s="19" t="n"/>
      <c r="Y16598" s="19" t="n"/>
    </row>
    <row r="16599">
      <c r="C16599" s="18" t="n"/>
      <c r="J16599" s="19" t="n"/>
      <c r="P16599" s="20" t="n"/>
      <c r="Q16599" s="19" t="n"/>
      <c r="R16599" s="19" t="n"/>
      <c r="Y16599" s="19" t="n"/>
    </row>
    <row r="16600">
      <c r="C16600" s="18" t="n"/>
      <c r="J16600" s="19" t="n"/>
      <c r="P16600" s="20" t="n"/>
      <c r="Q16600" s="19" t="n"/>
      <c r="R16600" s="19" t="n"/>
      <c r="Y16600" s="19" t="n"/>
    </row>
    <row r="16601">
      <c r="C16601" s="18" t="n"/>
      <c r="J16601" s="19" t="n"/>
      <c r="P16601" s="20" t="n"/>
      <c r="Q16601" s="19" t="n"/>
      <c r="R16601" s="19" t="n"/>
      <c r="Y16601" s="19" t="n"/>
    </row>
    <row r="16602">
      <c r="C16602" s="18" t="n"/>
      <c r="J16602" s="19" t="n"/>
      <c r="P16602" s="20" t="n"/>
      <c r="Q16602" s="19" t="n"/>
      <c r="R16602" s="19" t="n"/>
      <c r="Y16602" s="19" t="n"/>
    </row>
    <row r="16603">
      <c r="C16603" s="18" t="n"/>
      <c r="J16603" s="19" t="n"/>
      <c r="P16603" s="20" t="n"/>
      <c r="Q16603" s="19" t="n"/>
      <c r="R16603" s="19" t="n"/>
      <c r="Y16603" s="19" t="n"/>
    </row>
    <row r="16604">
      <c r="C16604" s="18" t="n"/>
      <c r="J16604" s="19" t="n"/>
      <c r="P16604" s="20" t="n"/>
      <c r="Q16604" s="19" t="n"/>
      <c r="R16604" s="19" t="n"/>
      <c r="Y16604" s="19" t="n"/>
    </row>
    <row r="16605">
      <c r="C16605" s="18" t="n"/>
      <c r="J16605" s="19" t="n"/>
      <c r="P16605" s="20" t="n"/>
      <c r="Q16605" s="19" t="n"/>
      <c r="R16605" s="19" t="n"/>
      <c r="Y16605" s="19" t="n"/>
    </row>
    <row r="16606">
      <c r="C16606" s="18" t="n"/>
      <c r="J16606" s="19" t="n"/>
      <c r="P16606" s="20" t="n"/>
      <c r="Q16606" s="19" t="n"/>
      <c r="R16606" s="19" t="n"/>
      <c r="Y16606" s="19" t="n"/>
    </row>
    <row r="16607">
      <c r="C16607" s="18" t="n"/>
      <c r="J16607" s="19" t="n"/>
      <c r="P16607" s="20" t="n"/>
      <c r="Q16607" s="19" t="n"/>
      <c r="R16607" s="19" t="n"/>
      <c r="Y16607" s="19" t="n"/>
    </row>
    <row r="16608">
      <c r="C16608" s="18" t="n"/>
      <c r="J16608" s="19" t="n"/>
      <c r="P16608" s="20" t="n"/>
      <c r="Q16608" s="19" t="n"/>
      <c r="R16608" s="19" t="n"/>
      <c r="Y16608" s="19" t="n"/>
    </row>
    <row r="16609">
      <c r="C16609" s="18" t="n"/>
      <c r="J16609" s="19" t="n"/>
      <c r="P16609" s="20" t="n"/>
      <c r="Q16609" s="19" t="n"/>
      <c r="R16609" s="19" t="n"/>
      <c r="Y16609" s="19" t="n"/>
    </row>
    <row r="16610">
      <c r="C16610" s="18" t="n"/>
      <c r="J16610" s="19" t="n"/>
      <c r="P16610" s="20" t="n"/>
      <c r="Q16610" s="19" t="n"/>
      <c r="R16610" s="19" t="n"/>
      <c r="Y16610" s="19" t="n"/>
    </row>
    <row r="16611">
      <c r="C16611" s="18" t="n"/>
      <c r="J16611" s="19" t="n"/>
      <c r="P16611" s="20" t="n"/>
      <c r="Q16611" s="19" t="n"/>
      <c r="R16611" s="19" t="n"/>
      <c r="Y16611" s="19" t="n"/>
    </row>
    <row r="16612">
      <c r="C16612" s="18" t="n"/>
      <c r="J16612" s="19" t="n"/>
      <c r="P16612" s="20" t="n"/>
      <c r="Q16612" s="19" t="n"/>
      <c r="R16612" s="19" t="n"/>
      <c r="Y16612" s="19" t="n"/>
    </row>
    <row r="16613">
      <c r="C16613" s="18" t="n"/>
      <c r="J16613" s="19" t="n"/>
      <c r="P16613" s="20" t="n"/>
      <c r="Q16613" s="19" t="n"/>
      <c r="R16613" s="19" t="n"/>
      <c r="Y16613" s="19" t="n"/>
    </row>
    <row r="16614">
      <c r="C16614" s="18" t="n"/>
      <c r="J16614" s="19" t="n"/>
      <c r="P16614" s="20" t="n"/>
      <c r="Q16614" s="19" t="n"/>
      <c r="R16614" s="19" t="n"/>
      <c r="Y16614" s="19" t="n"/>
    </row>
    <row r="16615">
      <c r="C16615" s="18" t="n"/>
      <c r="J16615" s="19" t="n"/>
      <c r="P16615" s="20" t="n"/>
      <c r="Q16615" s="19" t="n"/>
      <c r="R16615" s="19" t="n"/>
      <c r="Y16615" s="19" t="n"/>
    </row>
    <row r="16616">
      <c r="C16616" s="18" t="n"/>
      <c r="J16616" s="19" t="n"/>
      <c r="P16616" s="20" t="n"/>
      <c r="Q16616" s="19" t="n"/>
      <c r="R16616" s="19" t="n"/>
      <c r="Y16616" s="19" t="n"/>
    </row>
    <row r="16617">
      <c r="C16617" s="18" t="n"/>
      <c r="J16617" s="19" t="n"/>
      <c r="P16617" s="20" t="n"/>
      <c r="Q16617" s="19" t="n"/>
      <c r="R16617" s="19" t="n"/>
      <c r="Y16617" s="19" t="n"/>
    </row>
    <row r="16618">
      <c r="C16618" s="18" t="n"/>
      <c r="J16618" s="19" t="n"/>
      <c r="P16618" s="20" t="n"/>
      <c r="Q16618" s="19" t="n"/>
      <c r="R16618" s="19" t="n"/>
      <c r="Y16618" s="19" t="n"/>
    </row>
    <row r="16619">
      <c r="C16619" s="18" t="n"/>
      <c r="J16619" s="19" t="n"/>
      <c r="P16619" s="20" t="n"/>
      <c r="Q16619" s="19" t="n"/>
      <c r="R16619" s="19" t="n"/>
      <c r="Y16619" s="19" t="n"/>
    </row>
    <row r="16620">
      <c r="C16620" s="18" t="n"/>
      <c r="J16620" s="19" t="n"/>
      <c r="P16620" s="20" t="n"/>
      <c r="Q16620" s="19" t="n"/>
      <c r="R16620" s="19" t="n"/>
      <c r="Y16620" s="19" t="n"/>
    </row>
    <row r="16621">
      <c r="C16621" s="18" t="n"/>
      <c r="J16621" s="19" t="n"/>
      <c r="P16621" s="20" t="n"/>
      <c r="Q16621" s="19" t="n"/>
      <c r="R16621" s="19" t="n"/>
      <c r="Y16621" s="19" t="n"/>
    </row>
    <row r="16622">
      <c r="C16622" s="18" t="n"/>
      <c r="J16622" s="19" t="n"/>
      <c r="P16622" s="20" t="n"/>
      <c r="Q16622" s="19" t="n"/>
      <c r="R16622" s="19" t="n"/>
      <c r="Y16622" s="19" t="n"/>
    </row>
    <row r="16623">
      <c r="C16623" s="18" t="n"/>
      <c r="J16623" s="19" t="n"/>
      <c r="P16623" s="20" t="n"/>
      <c r="Q16623" s="19" t="n"/>
      <c r="R16623" s="19" t="n"/>
      <c r="Y16623" s="19" t="n"/>
    </row>
    <row r="16624">
      <c r="C16624" s="18" t="n"/>
      <c r="J16624" s="19" t="n"/>
      <c r="P16624" s="20" t="n"/>
      <c r="Q16624" s="19" t="n"/>
      <c r="R16624" s="19" t="n"/>
      <c r="Y16624" s="19" t="n"/>
    </row>
    <row r="16625">
      <c r="C16625" s="18" t="n"/>
      <c r="J16625" s="19" t="n"/>
      <c r="P16625" s="20" t="n"/>
      <c r="Q16625" s="19" t="n"/>
      <c r="R16625" s="19" t="n"/>
      <c r="Y16625" s="19" t="n"/>
    </row>
    <row r="16626">
      <c r="C16626" s="18" t="n"/>
      <c r="J16626" s="19" t="n"/>
      <c r="P16626" s="20" t="n"/>
      <c r="Q16626" s="19" t="n"/>
      <c r="R16626" s="19" t="n"/>
      <c r="Y16626" s="19" t="n"/>
    </row>
    <row r="16627">
      <c r="C16627" s="18" t="n"/>
      <c r="J16627" s="19" t="n"/>
      <c r="P16627" s="20" t="n"/>
      <c r="Q16627" s="19" t="n"/>
      <c r="R16627" s="19" t="n"/>
      <c r="Y16627" s="19" t="n"/>
    </row>
    <row r="16628">
      <c r="C16628" s="18" t="n"/>
      <c r="J16628" s="19" t="n"/>
      <c r="P16628" s="20" t="n"/>
      <c r="Q16628" s="19" t="n"/>
      <c r="R16628" s="19" t="n"/>
      <c r="Y16628" s="19" t="n"/>
    </row>
    <row r="16629">
      <c r="C16629" s="18" t="n"/>
      <c r="J16629" s="19" t="n"/>
      <c r="P16629" s="20" t="n"/>
      <c r="Q16629" s="19" t="n"/>
      <c r="R16629" s="19" t="n"/>
      <c r="Y16629" s="19" t="n"/>
    </row>
    <row r="16630">
      <c r="C16630" s="18" t="n"/>
      <c r="J16630" s="19" t="n"/>
      <c r="P16630" s="20" t="n"/>
      <c r="Q16630" s="19" t="n"/>
      <c r="R16630" s="19" t="n"/>
      <c r="Y16630" s="19" t="n"/>
    </row>
    <row r="16631">
      <c r="C16631" s="18" t="n"/>
      <c r="J16631" s="19" t="n"/>
      <c r="P16631" s="20" t="n"/>
      <c r="Q16631" s="19" t="n"/>
      <c r="R16631" s="19" t="n"/>
      <c r="Y16631" s="19" t="n"/>
    </row>
    <row r="16632">
      <c r="C16632" s="18" t="n"/>
      <c r="J16632" s="19" t="n"/>
      <c r="P16632" s="20" t="n"/>
      <c r="Q16632" s="19" t="n"/>
      <c r="R16632" s="19" t="n"/>
      <c r="Y16632" s="19" t="n"/>
    </row>
    <row r="16633">
      <c r="C16633" s="18" t="n"/>
      <c r="J16633" s="19" t="n"/>
      <c r="P16633" s="20" t="n"/>
      <c r="Q16633" s="19" t="n"/>
      <c r="R16633" s="19" t="n"/>
      <c r="Y16633" s="19" t="n"/>
    </row>
    <row r="16634">
      <c r="C16634" s="18" t="n"/>
      <c r="J16634" s="19" t="n"/>
      <c r="P16634" s="20" t="n"/>
      <c r="Q16634" s="19" t="n"/>
      <c r="R16634" s="19" t="n"/>
      <c r="Y16634" s="19" t="n"/>
    </row>
    <row r="16635">
      <c r="C16635" s="18" t="n"/>
      <c r="J16635" s="19" t="n"/>
      <c r="P16635" s="20" t="n"/>
      <c r="Q16635" s="19" t="n"/>
      <c r="R16635" s="19" t="n"/>
      <c r="Y16635" s="19" t="n"/>
    </row>
    <row r="16636">
      <c r="C16636" s="18" t="n"/>
      <c r="J16636" s="19" t="n"/>
      <c r="P16636" s="20" t="n"/>
      <c r="Q16636" s="19" t="n"/>
      <c r="R16636" s="19" t="n"/>
      <c r="Y16636" s="19" t="n"/>
    </row>
    <row r="16637">
      <c r="C16637" s="18" t="n"/>
      <c r="J16637" s="19" t="n"/>
      <c r="P16637" s="20" t="n"/>
      <c r="Q16637" s="19" t="n"/>
      <c r="R16637" s="19" t="n"/>
      <c r="Y16637" s="19" t="n"/>
    </row>
    <row r="16638">
      <c r="C16638" s="18" t="n"/>
      <c r="J16638" s="19" t="n"/>
      <c r="P16638" s="20" t="n"/>
      <c r="Q16638" s="19" t="n"/>
      <c r="R16638" s="19" t="n"/>
      <c r="Y16638" s="19" t="n"/>
    </row>
    <row r="16639">
      <c r="C16639" s="18" t="n"/>
      <c r="J16639" s="19" t="n"/>
      <c r="P16639" s="20" t="n"/>
      <c r="Q16639" s="19" t="n"/>
      <c r="R16639" s="19" t="n"/>
      <c r="Y16639" s="19" t="n"/>
    </row>
    <row r="16640">
      <c r="C16640" s="18" t="n"/>
      <c r="J16640" s="19" t="n"/>
      <c r="P16640" s="20" t="n"/>
      <c r="Q16640" s="19" t="n"/>
      <c r="R16640" s="19" t="n"/>
      <c r="Y16640" s="19" t="n"/>
    </row>
    <row r="16641">
      <c r="C16641" s="18" t="n"/>
      <c r="J16641" s="19" t="n"/>
      <c r="P16641" s="20" t="n"/>
      <c r="Q16641" s="19" t="n"/>
      <c r="R16641" s="19" t="n"/>
      <c r="Y16641" s="19" t="n"/>
    </row>
    <row r="16642">
      <c r="C16642" s="18" t="n"/>
      <c r="J16642" s="19" t="n"/>
      <c r="P16642" s="20" t="n"/>
      <c r="Q16642" s="19" t="n"/>
      <c r="R16642" s="19" t="n"/>
      <c r="Y16642" s="19" t="n"/>
    </row>
    <row r="16643">
      <c r="C16643" s="18" t="n"/>
      <c r="J16643" s="19" t="n"/>
      <c r="P16643" s="20" t="n"/>
      <c r="Q16643" s="19" t="n"/>
      <c r="R16643" s="19" t="n"/>
      <c r="Y16643" s="19" t="n"/>
    </row>
    <row r="16644">
      <c r="C16644" s="18" t="n"/>
      <c r="J16644" s="19" t="n"/>
      <c r="P16644" s="20" t="n"/>
      <c r="Q16644" s="19" t="n"/>
      <c r="R16644" s="19" t="n"/>
      <c r="Y16644" s="19" t="n"/>
    </row>
    <row r="16645">
      <c r="C16645" s="18" t="n"/>
      <c r="J16645" s="19" t="n"/>
      <c r="P16645" s="20" t="n"/>
      <c r="Q16645" s="19" t="n"/>
      <c r="R16645" s="19" t="n"/>
      <c r="Y16645" s="19" t="n"/>
    </row>
    <row r="16646">
      <c r="C16646" s="18" t="n"/>
      <c r="J16646" s="19" t="n"/>
      <c r="P16646" s="20" t="n"/>
      <c r="Q16646" s="19" t="n"/>
      <c r="R16646" s="19" t="n"/>
      <c r="Y16646" s="19" t="n"/>
    </row>
    <row r="16647">
      <c r="C16647" s="18" t="n"/>
      <c r="J16647" s="19" t="n"/>
      <c r="P16647" s="20" t="n"/>
      <c r="Q16647" s="19" t="n"/>
      <c r="R16647" s="19" t="n"/>
      <c r="Y16647" s="19" t="n"/>
    </row>
    <row r="16648">
      <c r="C16648" s="18" t="n"/>
      <c r="J16648" s="19" t="n"/>
      <c r="P16648" s="20" t="n"/>
      <c r="Q16648" s="19" t="n"/>
      <c r="R16648" s="19" t="n"/>
      <c r="Y16648" s="19" t="n"/>
    </row>
    <row r="16649">
      <c r="C16649" s="18" t="n"/>
      <c r="J16649" s="19" t="n"/>
      <c r="P16649" s="20" t="n"/>
      <c r="Q16649" s="19" t="n"/>
      <c r="R16649" s="19" t="n"/>
      <c r="Y16649" s="19" t="n"/>
    </row>
    <row r="16650">
      <c r="C16650" s="18" t="n"/>
      <c r="J16650" s="19" t="n"/>
      <c r="P16650" s="20" t="n"/>
      <c r="Q16650" s="19" t="n"/>
      <c r="R16650" s="19" t="n"/>
      <c r="Y16650" s="19" t="n"/>
    </row>
    <row r="16651">
      <c r="C16651" s="18" t="n"/>
      <c r="J16651" s="19" t="n"/>
      <c r="P16651" s="20" t="n"/>
      <c r="Q16651" s="19" t="n"/>
      <c r="R16651" s="19" t="n"/>
      <c r="Y16651" s="19" t="n"/>
    </row>
    <row r="16652">
      <c r="C16652" s="18" t="n"/>
      <c r="J16652" s="19" t="n"/>
      <c r="P16652" s="20" t="n"/>
      <c r="Q16652" s="19" t="n"/>
      <c r="R16652" s="19" t="n"/>
      <c r="Y16652" s="19" t="n"/>
    </row>
    <row r="16653">
      <c r="C16653" s="18" t="n"/>
      <c r="J16653" s="19" t="n"/>
      <c r="P16653" s="20" t="n"/>
      <c r="Q16653" s="19" t="n"/>
      <c r="R16653" s="19" t="n"/>
      <c r="Y16653" s="19" t="n"/>
    </row>
    <row r="16654">
      <c r="C16654" s="18" t="n"/>
      <c r="J16654" s="19" t="n"/>
      <c r="P16654" s="20" t="n"/>
      <c r="Q16654" s="19" t="n"/>
      <c r="R16654" s="19" t="n"/>
      <c r="Y16654" s="19" t="n"/>
    </row>
    <row r="16655">
      <c r="C16655" s="18" t="n"/>
      <c r="J16655" s="19" t="n"/>
      <c r="P16655" s="20" t="n"/>
      <c r="Q16655" s="19" t="n"/>
      <c r="R16655" s="19" t="n"/>
      <c r="Y16655" s="19" t="n"/>
    </row>
    <row r="16656">
      <c r="C16656" s="18" t="n"/>
      <c r="J16656" s="19" t="n"/>
      <c r="P16656" s="20" t="n"/>
      <c r="Q16656" s="19" t="n"/>
      <c r="R16656" s="19" t="n"/>
      <c r="Y16656" s="19" t="n"/>
    </row>
    <row r="16657">
      <c r="C16657" s="18" t="n"/>
      <c r="J16657" s="19" t="n"/>
      <c r="P16657" s="20" t="n"/>
      <c r="Q16657" s="19" t="n"/>
      <c r="R16657" s="19" t="n"/>
      <c r="Y16657" s="19" t="n"/>
    </row>
    <row r="16658">
      <c r="C16658" s="18" t="n"/>
      <c r="J16658" s="19" t="n"/>
      <c r="P16658" s="20" t="n"/>
      <c r="Q16658" s="19" t="n"/>
      <c r="R16658" s="19" t="n"/>
      <c r="Y16658" s="19" t="n"/>
    </row>
    <row r="16659">
      <c r="C16659" s="18" t="n"/>
      <c r="J16659" s="19" t="n"/>
      <c r="P16659" s="20" t="n"/>
      <c r="Q16659" s="19" t="n"/>
      <c r="R16659" s="19" t="n"/>
      <c r="Y16659" s="19" t="n"/>
    </row>
    <row r="16660">
      <c r="C16660" s="18" t="n"/>
      <c r="J16660" s="19" t="n"/>
      <c r="P16660" s="20" t="n"/>
      <c r="Q16660" s="19" t="n"/>
      <c r="R16660" s="19" t="n"/>
      <c r="Y16660" s="19" t="n"/>
    </row>
    <row r="16661">
      <c r="C16661" s="18" t="n"/>
      <c r="J16661" s="19" t="n"/>
      <c r="P16661" s="20" t="n"/>
      <c r="Q16661" s="19" t="n"/>
      <c r="R16661" s="19" t="n"/>
      <c r="Y16661" s="19" t="n"/>
    </row>
    <row r="16662">
      <c r="C16662" s="18" t="n"/>
      <c r="J16662" s="19" t="n"/>
      <c r="P16662" s="20" t="n"/>
      <c r="Q16662" s="19" t="n"/>
      <c r="R16662" s="19" t="n"/>
      <c r="Y16662" s="19" t="n"/>
    </row>
    <row r="16663">
      <c r="C16663" s="18" t="n"/>
      <c r="J16663" s="19" t="n"/>
      <c r="P16663" s="20" t="n"/>
      <c r="Q16663" s="19" t="n"/>
      <c r="R16663" s="19" t="n"/>
      <c r="Y16663" s="19" t="n"/>
    </row>
    <row r="16664">
      <c r="C16664" s="18" t="n"/>
      <c r="J16664" s="19" t="n"/>
      <c r="P16664" s="20" t="n"/>
      <c r="Q16664" s="19" t="n"/>
      <c r="R16664" s="19" t="n"/>
      <c r="Y16664" s="19" t="n"/>
    </row>
    <row r="16665">
      <c r="C16665" s="18" t="n"/>
      <c r="J16665" s="19" t="n"/>
      <c r="P16665" s="20" t="n"/>
      <c r="Q16665" s="19" t="n"/>
      <c r="R16665" s="19" t="n"/>
      <c r="Y16665" s="19" t="n"/>
    </row>
    <row r="16666">
      <c r="C16666" s="18" t="n"/>
      <c r="J16666" s="19" t="n"/>
      <c r="P16666" s="20" t="n"/>
      <c r="Q16666" s="19" t="n"/>
      <c r="R16666" s="19" t="n"/>
      <c r="Y16666" s="19" t="n"/>
    </row>
    <row r="16667">
      <c r="C16667" s="18" t="n"/>
      <c r="J16667" s="19" t="n"/>
      <c r="P16667" s="20" t="n"/>
      <c r="Q16667" s="19" t="n"/>
      <c r="R16667" s="19" t="n"/>
      <c r="Y16667" s="19" t="n"/>
    </row>
    <row r="16668">
      <c r="C16668" s="18" t="n"/>
      <c r="J16668" s="19" t="n"/>
      <c r="P16668" s="20" t="n"/>
      <c r="Q16668" s="19" t="n"/>
      <c r="R16668" s="19" t="n"/>
      <c r="Y16668" s="19" t="n"/>
    </row>
    <row r="16669">
      <c r="C16669" s="18" t="n"/>
      <c r="J16669" s="19" t="n"/>
      <c r="P16669" s="20" t="n"/>
      <c r="Q16669" s="19" t="n"/>
      <c r="R16669" s="19" t="n"/>
      <c r="Y16669" s="19" t="n"/>
    </row>
    <row r="16670">
      <c r="C16670" s="18" t="n"/>
      <c r="J16670" s="19" t="n"/>
      <c r="P16670" s="20" t="n"/>
      <c r="Q16670" s="19" t="n"/>
      <c r="R16670" s="19" t="n"/>
      <c r="Y16670" s="19" t="n"/>
    </row>
    <row r="16671">
      <c r="C16671" s="18" t="n"/>
      <c r="J16671" s="19" t="n"/>
      <c r="P16671" s="20" t="n"/>
      <c r="Q16671" s="19" t="n"/>
      <c r="R16671" s="19" t="n"/>
      <c r="Y16671" s="19" t="n"/>
    </row>
    <row r="16672">
      <c r="C16672" s="18" t="n"/>
      <c r="J16672" s="19" t="n"/>
      <c r="P16672" s="20" t="n"/>
      <c r="Q16672" s="19" t="n"/>
      <c r="R16672" s="19" t="n"/>
      <c r="Y16672" s="19" t="n"/>
    </row>
    <row r="16673">
      <c r="C16673" s="18" t="n"/>
      <c r="J16673" s="19" t="n"/>
      <c r="P16673" s="20" t="n"/>
      <c r="Q16673" s="19" t="n"/>
      <c r="R16673" s="19" t="n"/>
      <c r="Y16673" s="19" t="n"/>
    </row>
    <row r="16674">
      <c r="C16674" s="18" t="n"/>
      <c r="J16674" s="19" t="n"/>
      <c r="P16674" s="20" t="n"/>
      <c r="Q16674" s="19" t="n"/>
      <c r="R16674" s="19" t="n"/>
      <c r="Y16674" s="19" t="n"/>
    </row>
    <row r="16675">
      <c r="C16675" s="18" t="n"/>
      <c r="J16675" s="19" t="n"/>
      <c r="P16675" s="20" t="n"/>
      <c r="Q16675" s="19" t="n"/>
      <c r="R16675" s="19" t="n"/>
      <c r="Y16675" s="19" t="n"/>
    </row>
    <row r="16676">
      <c r="C16676" s="18" t="n"/>
      <c r="J16676" s="19" t="n"/>
      <c r="P16676" s="20" t="n"/>
      <c r="Q16676" s="19" t="n"/>
      <c r="R16676" s="19" t="n"/>
      <c r="Y16676" s="19" t="n"/>
    </row>
    <row r="16677">
      <c r="C16677" s="18" t="n"/>
      <c r="J16677" s="19" t="n"/>
      <c r="P16677" s="20" t="n"/>
      <c r="Q16677" s="19" t="n"/>
      <c r="R16677" s="19" t="n"/>
      <c r="Y16677" s="19" t="n"/>
    </row>
    <row r="16678">
      <c r="C16678" s="18" t="n"/>
      <c r="J16678" s="19" t="n"/>
      <c r="P16678" s="20" t="n"/>
      <c r="Q16678" s="19" t="n"/>
      <c r="R16678" s="19" t="n"/>
      <c r="Y16678" s="19" t="n"/>
    </row>
    <row r="16679">
      <c r="C16679" s="18" t="n"/>
      <c r="J16679" s="19" t="n"/>
      <c r="P16679" s="20" t="n"/>
      <c r="Q16679" s="19" t="n"/>
      <c r="R16679" s="19" t="n"/>
      <c r="Y16679" s="19" t="n"/>
    </row>
    <row r="16680">
      <c r="C16680" s="18" t="n"/>
      <c r="J16680" s="19" t="n"/>
      <c r="P16680" s="20" t="n"/>
      <c r="Q16680" s="19" t="n"/>
      <c r="R16680" s="19" t="n"/>
      <c r="Y16680" s="19" t="n"/>
    </row>
    <row r="16681">
      <c r="C16681" s="18" t="n"/>
      <c r="J16681" s="19" t="n"/>
      <c r="P16681" s="20" t="n"/>
      <c r="Q16681" s="19" t="n"/>
      <c r="R16681" s="19" t="n"/>
      <c r="Y16681" s="19" t="n"/>
    </row>
    <row r="16682">
      <c r="C16682" s="18" t="n"/>
      <c r="J16682" s="19" t="n"/>
      <c r="P16682" s="20" t="n"/>
      <c r="Q16682" s="19" t="n"/>
      <c r="R16682" s="19" t="n"/>
      <c r="Y16682" s="19" t="n"/>
    </row>
    <row r="16683">
      <c r="C16683" s="18" t="n"/>
      <c r="J16683" s="19" t="n"/>
      <c r="P16683" s="20" t="n"/>
      <c r="Q16683" s="19" t="n"/>
      <c r="R16683" s="19" t="n"/>
      <c r="Y16683" s="19" t="n"/>
    </row>
    <row r="16684">
      <c r="C16684" s="18" t="n"/>
      <c r="J16684" s="19" t="n"/>
      <c r="P16684" s="20" t="n"/>
      <c r="Q16684" s="19" t="n"/>
      <c r="R16684" s="19" t="n"/>
      <c r="Y16684" s="19" t="n"/>
    </row>
    <row r="16685">
      <c r="C16685" s="18" t="n"/>
      <c r="J16685" s="19" t="n"/>
      <c r="P16685" s="20" t="n"/>
      <c r="Q16685" s="19" t="n"/>
      <c r="R16685" s="19" t="n"/>
      <c r="Y16685" s="19" t="n"/>
    </row>
    <row r="16686">
      <c r="C16686" s="18" t="n"/>
      <c r="J16686" s="19" t="n"/>
      <c r="P16686" s="20" t="n"/>
      <c r="Q16686" s="19" t="n"/>
      <c r="R16686" s="19" t="n"/>
      <c r="Y16686" s="19" t="n"/>
    </row>
    <row r="16687">
      <c r="C16687" s="18" t="n"/>
      <c r="J16687" s="19" t="n"/>
      <c r="P16687" s="20" t="n"/>
      <c r="Q16687" s="19" t="n"/>
      <c r="R16687" s="19" t="n"/>
      <c r="Y16687" s="19" t="n"/>
    </row>
    <row r="16688">
      <c r="C16688" s="18" t="n"/>
      <c r="J16688" s="19" t="n"/>
      <c r="P16688" s="20" t="n"/>
      <c r="Q16688" s="19" t="n"/>
      <c r="R16688" s="19" t="n"/>
      <c r="Y16688" s="19" t="n"/>
    </row>
    <row r="16689">
      <c r="C16689" s="18" t="n"/>
      <c r="J16689" s="19" t="n"/>
      <c r="P16689" s="20" t="n"/>
      <c r="Q16689" s="19" t="n"/>
      <c r="R16689" s="19" t="n"/>
      <c r="Y16689" s="19" t="n"/>
    </row>
    <row r="16690">
      <c r="C16690" s="18" t="n"/>
      <c r="J16690" s="19" t="n"/>
      <c r="P16690" s="20" t="n"/>
      <c r="Q16690" s="19" t="n"/>
      <c r="R16690" s="19" t="n"/>
      <c r="Y16690" s="19" t="n"/>
    </row>
    <row r="16691">
      <c r="C16691" s="18" t="n"/>
      <c r="J16691" s="19" t="n"/>
      <c r="P16691" s="20" t="n"/>
      <c r="Q16691" s="19" t="n"/>
      <c r="R16691" s="19" t="n"/>
      <c r="Y16691" s="19" t="n"/>
    </row>
    <row r="16692">
      <c r="C16692" s="18" t="n"/>
      <c r="J16692" s="19" t="n"/>
      <c r="P16692" s="20" t="n"/>
      <c r="Q16692" s="19" t="n"/>
      <c r="R16692" s="19" t="n"/>
      <c r="Y16692" s="19" t="n"/>
    </row>
    <row r="16693">
      <c r="C16693" s="18" t="n"/>
      <c r="J16693" s="19" t="n"/>
      <c r="P16693" s="20" t="n"/>
      <c r="Q16693" s="19" t="n"/>
      <c r="R16693" s="19" t="n"/>
      <c r="Y16693" s="19" t="n"/>
    </row>
    <row r="16694">
      <c r="C16694" s="18" t="n"/>
      <c r="J16694" s="19" t="n"/>
      <c r="P16694" s="20" t="n"/>
      <c r="Q16694" s="19" t="n"/>
      <c r="R16694" s="19" t="n"/>
      <c r="Y16694" s="19" t="n"/>
    </row>
    <row r="16695">
      <c r="C16695" s="18" t="n"/>
      <c r="J16695" s="19" t="n"/>
      <c r="P16695" s="20" t="n"/>
      <c r="Q16695" s="19" t="n"/>
      <c r="R16695" s="19" t="n"/>
      <c r="Y16695" s="19" t="n"/>
    </row>
    <row r="16696">
      <c r="C16696" s="18" t="n"/>
      <c r="J16696" s="19" t="n"/>
      <c r="P16696" s="20" t="n"/>
      <c r="Q16696" s="19" t="n"/>
      <c r="R16696" s="19" t="n"/>
      <c r="Y16696" s="19" t="n"/>
    </row>
    <row r="16697">
      <c r="C16697" s="18" t="n"/>
      <c r="J16697" s="19" t="n"/>
      <c r="P16697" s="20" t="n"/>
      <c r="Q16697" s="19" t="n"/>
      <c r="R16697" s="19" t="n"/>
      <c r="Y16697" s="19" t="n"/>
    </row>
    <row r="16698">
      <c r="C16698" s="18" t="n"/>
      <c r="J16698" s="19" t="n"/>
      <c r="P16698" s="20" t="n"/>
      <c r="Q16698" s="19" t="n"/>
      <c r="R16698" s="19" t="n"/>
      <c r="Y16698" s="19" t="n"/>
    </row>
    <row r="16699">
      <c r="C16699" s="18" t="n"/>
      <c r="J16699" s="19" t="n"/>
      <c r="P16699" s="20" t="n"/>
      <c r="Q16699" s="19" t="n"/>
      <c r="R16699" s="19" t="n"/>
      <c r="Y16699" s="19" t="n"/>
    </row>
    <row r="16700">
      <c r="C16700" s="18" t="n"/>
      <c r="J16700" s="19" t="n"/>
      <c r="P16700" s="20" t="n"/>
      <c r="Q16700" s="19" t="n"/>
      <c r="R16700" s="19" t="n"/>
      <c r="Y16700" s="19" t="n"/>
    </row>
    <row r="16701">
      <c r="C16701" s="18" t="n"/>
      <c r="J16701" s="19" t="n"/>
      <c r="P16701" s="20" t="n"/>
      <c r="Q16701" s="19" t="n"/>
      <c r="R16701" s="19" t="n"/>
      <c r="Y16701" s="19" t="n"/>
    </row>
    <row r="16702">
      <c r="C16702" s="18" t="n"/>
      <c r="J16702" s="19" t="n"/>
      <c r="P16702" s="20" t="n"/>
      <c r="Q16702" s="19" t="n"/>
      <c r="R16702" s="19" t="n"/>
      <c r="Y16702" s="19" t="n"/>
    </row>
    <row r="16703">
      <c r="C16703" s="18" t="n"/>
      <c r="J16703" s="19" t="n"/>
      <c r="P16703" s="20" t="n"/>
      <c r="Q16703" s="19" t="n"/>
      <c r="R16703" s="19" t="n"/>
      <c r="Y16703" s="19" t="n"/>
    </row>
    <row r="16704">
      <c r="C16704" s="18" t="n"/>
      <c r="J16704" s="19" t="n"/>
      <c r="P16704" s="20" t="n"/>
      <c r="Q16704" s="19" t="n"/>
      <c r="R16704" s="19" t="n"/>
      <c r="Y16704" s="19" t="n"/>
    </row>
    <row r="16705">
      <c r="C16705" s="18" t="n"/>
      <c r="J16705" s="19" t="n"/>
      <c r="P16705" s="20" t="n"/>
      <c r="Q16705" s="19" t="n"/>
      <c r="R16705" s="19" t="n"/>
      <c r="Y16705" s="19" t="n"/>
    </row>
    <row r="16706">
      <c r="C16706" s="18" t="n"/>
      <c r="J16706" s="19" t="n"/>
      <c r="P16706" s="20" t="n"/>
      <c r="Q16706" s="19" t="n"/>
      <c r="R16706" s="19" t="n"/>
      <c r="Y16706" s="19" t="n"/>
    </row>
    <row r="16707">
      <c r="C16707" s="18" t="n"/>
      <c r="J16707" s="19" t="n"/>
      <c r="P16707" s="20" t="n"/>
      <c r="Q16707" s="19" t="n"/>
      <c r="R16707" s="19" t="n"/>
      <c r="Y16707" s="19" t="n"/>
    </row>
    <row r="16708">
      <c r="C16708" s="18" t="n"/>
      <c r="J16708" s="19" t="n"/>
      <c r="P16708" s="20" t="n"/>
      <c r="Q16708" s="19" t="n"/>
      <c r="R16708" s="19" t="n"/>
      <c r="Y16708" s="19" t="n"/>
    </row>
    <row r="16709">
      <c r="C16709" s="18" t="n"/>
      <c r="J16709" s="19" t="n"/>
      <c r="P16709" s="20" t="n"/>
      <c r="Q16709" s="19" t="n"/>
      <c r="R16709" s="19" t="n"/>
      <c r="Y16709" s="19" t="n"/>
    </row>
    <row r="16710">
      <c r="C16710" s="18" t="n"/>
      <c r="J16710" s="19" t="n"/>
      <c r="P16710" s="20" t="n"/>
      <c r="Q16710" s="19" t="n"/>
      <c r="R16710" s="19" t="n"/>
      <c r="Y16710" s="19" t="n"/>
    </row>
    <row r="16711">
      <c r="C16711" s="18" t="n"/>
      <c r="J16711" s="19" t="n"/>
      <c r="P16711" s="20" t="n"/>
      <c r="Q16711" s="19" t="n"/>
      <c r="R16711" s="19" t="n"/>
      <c r="Y16711" s="19" t="n"/>
    </row>
    <row r="16712">
      <c r="C16712" s="18" t="n"/>
      <c r="J16712" s="19" t="n"/>
      <c r="P16712" s="20" t="n"/>
      <c r="Q16712" s="19" t="n"/>
      <c r="R16712" s="19" t="n"/>
      <c r="Y16712" s="19" t="n"/>
    </row>
    <row r="16713">
      <c r="C16713" s="18" t="n"/>
      <c r="J16713" s="19" t="n"/>
      <c r="P16713" s="20" t="n"/>
      <c r="Q16713" s="19" t="n"/>
      <c r="R16713" s="19" t="n"/>
      <c r="Y16713" s="19" t="n"/>
    </row>
    <row r="16714">
      <c r="C16714" s="18" t="n"/>
      <c r="J16714" s="19" t="n"/>
      <c r="P16714" s="20" t="n"/>
      <c r="Q16714" s="19" t="n"/>
      <c r="R16714" s="19" t="n"/>
      <c r="Y16714" s="19" t="n"/>
    </row>
    <row r="16715">
      <c r="C16715" s="18" t="n"/>
      <c r="J16715" s="19" t="n"/>
      <c r="P16715" s="20" t="n"/>
      <c r="Q16715" s="19" t="n"/>
      <c r="R16715" s="19" t="n"/>
      <c r="Y16715" s="19" t="n"/>
    </row>
    <row r="16716">
      <c r="C16716" s="18" t="n"/>
      <c r="J16716" s="19" t="n"/>
      <c r="P16716" s="20" t="n"/>
      <c r="Q16716" s="19" t="n"/>
      <c r="R16716" s="19" t="n"/>
      <c r="Y16716" s="19" t="n"/>
    </row>
    <row r="16717">
      <c r="C16717" s="18" t="n"/>
      <c r="J16717" s="19" t="n"/>
      <c r="P16717" s="20" t="n"/>
      <c r="Q16717" s="19" t="n"/>
      <c r="R16717" s="19" t="n"/>
      <c r="Y16717" s="19" t="n"/>
    </row>
    <row r="16718">
      <c r="C16718" s="18" t="n"/>
      <c r="J16718" s="19" t="n"/>
      <c r="P16718" s="20" t="n"/>
      <c r="Q16718" s="19" t="n"/>
      <c r="R16718" s="19" t="n"/>
      <c r="Y16718" s="19" t="n"/>
    </row>
    <row r="16719">
      <c r="C16719" s="18" t="n"/>
      <c r="J16719" s="19" t="n"/>
      <c r="P16719" s="20" t="n"/>
      <c r="Q16719" s="19" t="n"/>
      <c r="R16719" s="19" t="n"/>
      <c r="Y16719" s="19" t="n"/>
    </row>
    <row r="16720">
      <c r="C16720" s="18" t="n"/>
      <c r="J16720" s="19" t="n"/>
      <c r="P16720" s="20" t="n"/>
      <c r="Q16720" s="19" t="n"/>
      <c r="R16720" s="19" t="n"/>
      <c r="Y16720" s="19" t="n"/>
    </row>
    <row r="16721">
      <c r="C16721" s="18" t="n"/>
      <c r="J16721" s="19" t="n"/>
      <c r="P16721" s="20" t="n"/>
      <c r="Q16721" s="19" t="n"/>
      <c r="R16721" s="19" t="n"/>
      <c r="Y16721" s="19" t="n"/>
    </row>
    <row r="16722">
      <c r="C16722" s="18" t="n"/>
      <c r="J16722" s="19" t="n"/>
      <c r="P16722" s="20" t="n"/>
      <c r="Q16722" s="19" t="n"/>
      <c r="R16722" s="19" t="n"/>
      <c r="Y16722" s="19" t="n"/>
    </row>
    <row r="16723">
      <c r="C16723" s="18" t="n"/>
      <c r="J16723" s="19" t="n"/>
      <c r="P16723" s="20" t="n"/>
      <c r="Q16723" s="19" t="n"/>
      <c r="R16723" s="19" t="n"/>
      <c r="Y16723" s="19" t="n"/>
    </row>
    <row r="16724">
      <c r="C16724" s="18" t="n"/>
      <c r="J16724" s="19" t="n"/>
      <c r="P16724" s="20" t="n"/>
      <c r="Q16724" s="19" t="n"/>
      <c r="R16724" s="19" t="n"/>
      <c r="Y16724" s="19" t="n"/>
    </row>
    <row r="16725">
      <c r="C16725" s="18" t="n"/>
      <c r="J16725" s="19" t="n"/>
      <c r="P16725" s="20" t="n"/>
      <c r="Q16725" s="19" t="n"/>
      <c r="R16725" s="19" t="n"/>
      <c r="Y16725" s="19" t="n"/>
    </row>
    <row r="16726">
      <c r="C16726" s="18" t="n"/>
      <c r="J16726" s="19" t="n"/>
      <c r="P16726" s="20" t="n"/>
      <c r="Q16726" s="19" t="n"/>
      <c r="R16726" s="19" t="n"/>
      <c r="Y16726" s="19" t="n"/>
    </row>
    <row r="16727">
      <c r="C16727" s="18" t="n"/>
      <c r="J16727" s="19" t="n"/>
      <c r="P16727" s="20" t="n"/>
      <c r="Q16727" s="19" t="n"/>
      <c r="R16727" s="19" t="n"/>
      <c r="Y16727" s="19" t="n"/>
    </row>
    <row r="16728">
      <c r="C16728" s="18" t="n"/>
      <c r="J16728" s="19" t="n"/>
      <c r="P16728" s="20" t="n"/>
      <c r="Q16728" s="19" t="n"/>
      <c r="R16728" s="19" t="n"/>
      <c r="Y16728" s="19" t="n"/>
    </row>
    <row r="16729">
      <c r="C16729" s="18" t="n"/>
      <c r="J16729" s="19" t="n"/>
      <c r="P16729" s="20" t="n"/>
      <c r="Q16729" s="19" t="n"/>
      <c r="R16729" s="19" t="n"/>
      <c r="Y16729" s="19" t="n"/>
    </row>
    <row r="16730">
      <c r="C16730" s="18" t="n"/>
      <c r="J16730" s="19" t="n"/>
      <c r="P16730" s="20" t="n"/>
      <c r="Q16730" s="19" t="n"/>
      <c r="R16730" s="19" t="n"/>
      <c r="Y16730" s="19" t="n"/>
    </row>
    <row r="16731">
      <c r="C16731" s="18" t="n"/>
      <c r="J16731" s="19" t="n"/>
      <c r="P16731" s="20" t="n"/>
      <c r="Q16731" s="19" t="n"/>
      <c r="R16731" s="19" t="n"/>
      <c r="Y16731" s="19" t="n"/>
    </row>
    <row r="16732">
      <c r="C16732" s="18" t="n"/>
      <c r="J16732" s="19" t="n"/>
      <c r="P16732" s="20" t="n"/>
      <c r="Q16732" s="19" t="n"/>
      <c r="R16732" s="19" t="n"/>
      <c r="Y16732" s="19" t="n"/>
    </row>
    <row r="16733">
      <c r="C16733" s="18" t="n"/>
      <c r="J16733" s="19" t="n"/>
      <c r="P16733" s="20" t="n"/>
      <c r="Q16733" s="19" t="n"/>
      <c r="R16733" s="19" t="n"/>
      <c r="Y16733" s="19" t="n"/>
    </row>
    <row r="16734">
      <c r="C16734" s="18" t="n"/>
      <c r="J16734" s="19" t="n"/>
      <c r="P16734" s="20" t="n"/>
      <c r="Q16734" s="19" t="n"/>
      <c r="R16734" s="19" t="n"/>
      <c r="Y16734" s="19" t="n"/>
    </row>
    <row r="16735">
      <c r="C16735" s="18" t="n"/>
      <c r="J16735" s="19" t="n"/>
      <c r="P16735" s="20" t="n"/>
      <c r="Q16735" s="19" t="n"/>
      <c r="R16735" s="19" t="n"/>
      <c r="Y16735" s="19" t="n"/>
    </row>
    <row r="16736">
      <c r="C16736" s="18" t="n"/>
      <c r="J16736" s="19" t="n"/>
      <c r="P16736" s="20" t="n"/>
      <c r="Q16736" s="19" t="n"/>
      <c r="R16736" s="19" t="n"/>
      <c r="Y16736" s="19" t="n"/>
    </row>
    <row r="16737">
      <c r="C16737" s="18" t="n"/>
      <c r="J16737" s="19" t="n"/>
      <c r="P16737" s="20" t="n"/>
      <c r="Q16737" s="19" t="n"/>
      <c r="R16737" s="19" t="n"/>
      <c r="Y16737" s="19" t="n"/>
    </row>
    <row r="16738">
      <c r="C16738" s="18" t="n"/>
      <c r="J16738" s="19" t="n"/>
      <c r="P16738" s="20" t="n"/>
      <c r="Q16738" s="19" t="n"/>
      <c r="R16738" s="19" t="n"/>
      <c r="Y16738" s="19" t="n"/>
    </row>
    <row r="16739">
      <c r="C16739" s="18" t="n"/>
      <c r="J16739" s="19" t="n"/>
      <c r="P16739" s="20" t="n"/>
      <c r="Q16739" s="19" t="n"/>
      <c r="R16739" s="19" t="n"/>
      <c r="Y16739" s="19" t="n"/>
    </row>
    <row r="16740">
      <c r="C16740" s="18" t="n"/>
      <c r="J16740" s="19" t="n"/>
      <c r="P16740" s="20" t="n"/>
      <c r="Q16740" s="19" t="n"/>
      <c r="R16740" s="19" t="n"/>
      <c r="Y16740" s="19" t="n"/>
    </row>
    <row r="16741">
      <c r="C16741" s="18" t="n"/>
      <c r="J16741" s="19" t="n"/>
      <c r="P16741" s="20" t="n"/>
      <c r="Q16741" s="19" t="n"/>
      <c r="R16741" s="19" t="n"/>
      <c r="Y16741" s="19" t="n"/>
    </row>
    <row r="16742">
      <c r="C16742" s="18" t="n"/>
      <c r="J16742" s="19" t="n"/>
      <c r="P16742" s="20" t="n"/>
      <c r="Q16742" s="19" t="n"/>
      <c r="R16742" s="19" t="n"/>
      <c r="Y16742" s="19" t="n"/>
    </row>
    <row r="16743">
      <c r="C16743" s="18" t="n"/>
      <c r="J16743" s="19" t="n"/>
      <c r="P16743" s="20" t="n"/>
      <c r="Q16743" s="19" t="n"/>
      <c r="R16743" s="19" t="n"/>
      <c r="Y16743" s="19" t="n"/>
    </row>
    <row r="16744">
      <c r="C16744" s="18" t="n"/>
      <c r="J16744" s="19" t="n"/>
      <c r="P16744" s="20" t="n"/>
      <c r="Q16744" s="19" t="n"/>
      <c r="R16744" s="19" t="n"/>
      <c r="Y16744" s="19" t="n"/>
    </row>
    <row r="16745">
      <c r="C16745" s="18" t="n"/>
      <c r="J16745" s="19" t="n"/>
      <c r="P16745" s="20" t="n"/>
      <c r="Q16745" s="19" t="n"/>
      <c r="R16745" s="19" t="n"/>
      <c r="Y16745" s="19" t="n"/>
    </row>
    <row r="16746">
      <c r="C16746" s="18" t="n"/>
      <c r="J16746" s="19" t="n"/>
      <c r="P16746" s="20" t="n"/>
      <c r="Q16746" s="19" t="n"/>
      <c r="R16746" s="19" t="n"/>
      <c r="Y16746" s="19" t="n"/>
    </row>
    <row r="16747">
      <c r="C16747" s="18" t="n"/>
      <c r="J16747" s="19" t="n"/>
      <c r="P16747" s="20" t="n"/>
      <c r="Q16747" s="19" t="n"/>
      <c r="R16747" s="19" t="n"/>
      <c r="Y16747" s="19" t="n"/>
    </row>
    <row r="16748">
      <c r="C16748" s="18" t="n"/>
      <c r="J16748" s="19" t="n"/>
      <c r="P16748" s="20" t="n"/>
      <c r="Q16748" s="19" t="n"/>
      <c r="R16748" s="19" t="n"/>
      <c r="Y16748" s="19" t="n"/>
    </row>
    <row r="16749">
      <c r="C16749" s="18" t="n"/>
      <c r="J16749" s="19" t="n"/>
      <c r="P16749" s="20" t="n"/>
      <c r="Q16749" s="19" t="n"/>
      <c r="R16749" s="19" t="n"/>
      <c r="Y16749" s="19" t="n"/>
    </row>
    <row r="16750">
      <c r="C16750" s="18" t="n"/>
      <c r="J16750" s="19" t="n"/>
      <c r="P16750" s="20" t="n"/>
      <c r="Q16750" s="19" t="n"/>
      <c r="R16750" s="19" t="n"/>
      <c r="Y16750" s="19" t="n"/>
    </row>
    <row r="16751">
      <c r="C16751" s="18" t="n"/>
      <c r="J16751" s="19" t="n"/>
      <c r="P16751" s="20" t="n"/>
      <c r="Q16751" s="19" t="n"/>
      <c r="R16751" s="19" t="n"/>
      <c r="Y16751" s="19" t="n"/>
    </row>
    <row r="16752">
      <c r="C16752" s="18" t="n"/>
      <c r="J16752" s="19" t="n"/>
      <c r="P16752" s="20" t="n"/>
      <c r="Q16752" s="19" t="n"/>
      <c r="R16752" s="19" t="n"/>
      <c r="Y16752" s="19" t="n"/>
    </row>
    <row r="16753">
      <c r="C16753" s="18" t="n"/>
      <c r="J16753" s="19" t="n"/>
      <c r="P16753" s="20" t="n"/>
      <c r="Q16753" s="19" t="n"/>
      <c r="R16753" s="19" t="n"/>
      <c r="Y16753" s="19" t="n"/>
    </row>
    <row r="16754">
      <c r="C16754" s="18" t="n"/>
      <c r="J16754" s="19" t="n"/>
      <c r="P16754" s="20" t="n"/>
      <c r="Q16754" s="19" t="n"/>
      <c r="R16754" s="19" t="n"/>
      <c r="Y16754" s="19" t="n"/>
    </row>
    <row r="16755">
      <c r="C16755" s="18" t="n"/>
      <c r="J16755" s="19" t="n"/>
      <c r="P16755" s="20" t="n"/>
      <c r="Q16755" s="19" t="n"/>
      <c r="R16755" s="19" t="n"/>
      <c r="Y16755" s="19" t="n"/>
    </row>
    <row r="16756">
      <c r="C16756" s="18" t="n"/>
      <c r="J16756" s="19" t="n"/>
      <c r="P16756" s="20" t="n"/>
      <c r="Q16756" s="19" t="n"/>
      <c r="R16756" s="19" t="n"/>
      <c r="Y16756" s="19" t="n"/>
    </row>
    <row r="16757">
      <c r="C16757" s="18" t="n"/>
      <c r="J16757" s="19" t="n"/>
      <c r="P16757" s="20" t="n"/>
      <c r="Q16757" s="19" t="n"/>
      <c r="R16757" s="19" t="n"/>
      <c r="Y16757" s="19" t="n"/>
    </row>
    <row r="16758">
      <c r="C16758" s="18" t="n"/>
      <c r="J16758" s="19" t="n"/>
      <c r="P16758" s="20" t="n"/>
      <c r="Q16758" s="19" t="n"/>
      <c r="R16758" s="19" t="n"/>
      <c r="Y16758" s="19" t="n"/>
    </row>
    <row r="16759">
      <c r="C16759" s="18" t="n"/>
      <c r="J16759" s="19" t="n"/>
      <c r="P16759" s="20" t="n"/>
      <c r="Q16759" s="19" t="n"/>
      <c r="R16759" s="19" t="n"/>
      <c r="Y16759" s="19" t="n"/>
    </row>
    <row r="16760">
      <c r="C16760" s="18" t="n"/>
      <c r="J16760" s="19" t="n"/>
      <c r="P16760" s="20" t="n"/>
      <c r="Q16760" s="19" t="n"/>
      <c r="R16760" s="19" t="n"/>
      <c r="Y16760" s="19" t="n"/>
    </row>
    <row r="16761">
      <c r="C16761" s="18" t="n"/>
      <c r="J16761" s="19" t="n"/>
      <c r="P16761" s="20" t="n"/>
      <c r="Q16761" s="19" t="n"/>
      <c r="R16761" s="19" t="n"/>
      <c r="Y16761" s="19" t="n"/>
    </row>
    <row r="16762">
      <c r="C16762" s="18" t="n"/>
      <c r="J16762" s="19" t="n"/>
      <c r="P16762" s="20" t="n"/>
      <c r="Q16762" s="19" t="n"/>
      <c r="R16762" s="19" t="n"/>
      <c r="Y16762" s="19" t="n"/>
    </row>
    <row r="16763">
      <c r="C16763" s="18" t="n"/>
      <c r="J16763" s="19" t="n"/>
      <c r="P16763" s="20" t="n"/>
      <c r="Q16763" s="19" t="n"/>
      <c r="R16763" s="19" t="n"/>
      <c r="Y16763" s="19" t="n"/>
    </row>
    <row r="16764">
      <c r="C16764" s="18" t="n"/>
      <c r="J16764" s="19" t="n"/>
      <c r="P16764" s="20" t="n"/>
      <c r="Q16764" s="19" t="n"/>
      <c r="R16764" s="19" t="n"/>
      <c r="Y16764" s="19" t="n"/>
    </row>
    <row r="16765">
      <c r="C16765" s="18" t="n"/>
      <c r="J16765" s="19" t="n"/>
      <c r="P16765" s="20" t="n"/>
      <c r="Q16765" s="19" t="n"/>
      <c r="R16765" s="19" t="n"/>
      <c r="Y16765" s="19" t="n"/>
    </row>
    <row r="16766">
      <c r="C16766" s="18" t="n"/>
      <c r="J16766" s="19" t="n"/>
      <c r="P16766" s="20" t="n"/>
      <c r="Q16766" s="19" t="n"/>
      <c r="R16766" s="19" t="n"/>
      <c r="Y16766" s="19" t="n"/>
    </row>
    <row r="16767">
      <c r="C16767" s="18" t="n"/>
      <c r="J16767" s="19" t="n"/>
      <c r="P16767" s="20" t="n"/>
      <c r="Q16767" s="19" t="n"/>
      <c r="R16767" s="19" t="n"/>
      <c r="Y16767" s="19" t="n"/>
    </row>
    <row r="16768">
      <c r="C16768" s="18" t="n"/>
      <c r="J16768" s="19" t="n"/>
      <c r="P16768" s="20" t="n"/>
      <c r="Q16768" s="19" t="n"/>
      <c r="R16768" s="19" t="n"/>
      <c r="Y16768" s="19" t="n"/>
    </row>
    <row r="16769">
      <c r="C16769" s="18" t="n"/>
      <c r="J16769" s="19" t="n"/>
      <c r="P16769" s="20" t="n"/>
      <c r="Q16769" s="19" t="n"/>
      <c r="R16769" s="19" t="n"/>
      <c r="Y16769" s="19" t="n"/>
    </row>
    <row r="16770">
      <c r="C16770" s="18" t="n"/>
      <c r="J16770" s="19" t="n"/>
      <c r="P16770" s="20" t="n"/>
      <c r="Q16770" s="19" t="n"/>
      <c r="R16770" s="19" t="n"/>
      <c r="Y16770" s="19" t="n"/>
    </row>
    <row r="16771">
      <c r="C16771" s="18" t="n"/>
      <c r="J16771" s="19" t="n"/>
      <c r="P16771" s="20" t="n"/>
      <c r="Q16771" s="19" t="n"/>
      <c r="R16771" s="19" t="n"/>
      <c r="Y16771" s="19" t="n"/>
    </row>
    <row r="16772">
      <c r="C16772" s="18" t="n"/>
      <c r="J16772" s="19" t="n"/>
      <c r="P16772" s="20" t="n"/>
      <c r="Q16772" s="19" t="n"/>
      <c r="R16772" s="19" t="n"/>
      <c r="Y16772" s="19" t="n"/>
    </row>
    <row r="16773">
      <c r="C16773" s="18" t="n"/>
      <c r="J16773" s="19" t="n"/>
      <c r="P16773" s="20" t="n"/>
      <c r="Q16773" s="19" t="n"/>
      <c r="R16773" s="19" t="n"/>
      <c r="Y16773" s="19" t="n"/>
    </row>
    <row r="16774">
      <c r="C16774" s="18" t="n"/>
      <c r="J16774" s="19" t="n"/>
      <c r="P16774" s="20" t="n"/>
      <c r="Q16774" s="19" t="n"/>
      <c r="R16774" s="19" t="n"/>
      <c r="Y16774" s="19" t="n"/>
    </row>
    <row r="16775">
      <c r="C16775" s="18" t="n"/>
      <c r="J16775" s="19" t="n"/>
      <c r="P16775" s="20" t="n"/>
      <c r="Q16775" s="19" t="n"/>
      <c r="R16775" s="19" t="n"/>
      <c r="Y16775" s="19" t="n"/>
    </row>
    <row r="16776">
      <c r="C16776" s="18" t="n"/>
      <c r="J16776" s="19" t="n"/>
      <c r="P16776" s="20" t="n"/>
      <c r="Q16776" s="19" t="n"/>
      <c r="R16776" s="19" t="n"/>
      <c r="Y16776" s="19" t="n"/>
    </row>
    <row r="16777">
      <c r="C16777" s="18" t="n"/>
      <c r="J16777" s="19" t="n"/>
      <c r="P16777" s="20" t="n"/>
      <c r="Q16777" s="19" t="n"/>
      <c r="R16777" s="19" t="n"/>
      <c r="Y16777" s="19" t="n"/>
    </row>
    <row r="16778">
      <c r="C16778" s="18" t="n"/>
      <c r="J16778" s="19" t="n"/>
      <c r="P16778" s="20" t="n"/>
      <c r="Q16778" s="19" t="n"/>
      <c r="R16778" s="19" t="n"/>
      <c r="Y16778" s="19" t="n"/>
    </row>
    <row r="16779">
      <c r="C16779" s="18" t="n"/>
      <c r="J16779" s="19" t="n"/>
      <c r="P16779" s="20" t="n"/>
      <c r="Q16779" s="19" t="n"/>
      <c r="R16779" s="19" t="n"/>
      <c r="Y16779" s="19" t="n"/>
    </row>
    <row r="16780">
      <c r="C16780" s="18" t="n"/>
      <c r="J16780" s="19" t="n"/>
      <c r="P16780" s="20" t="n"/>
      <c r="Q16780" s="19" t="n"/>
      <c r="R16780" s="19" t="n"/>
      <c r="Y16780" s="19" t="n"/>
    </row>
    <row r="16781">
      <c r="C16781" s="18" t="n"/>
      <c r="J16781" s="19" t="n"/>
      <c r="P16781" s="20" t="n"/>
      <c r="Q16781" s="19" t="n"/>
      <c r="R16781" s="19" t="n"/>
      <c r="Y16781" s="19" t="n"/>
    </row>
    <row r="16782">
      <c r="C16782" s="18" t="n"/>
      <c r="J16782" s="19" t="n"/>
      <c r="P16782" s="20" t="n"/>
      <c r="Q16782" s="19" t="n"/>
      <c r="R16782" s="19" t="n"/>
      <c r="Y16782" s="19" t="n"/>
    </row>
    <row r="16783">
      <c r="C16783" s="18" t="n"/>
      <c r="J16783" s="19" t="n"/>
      <c r="P16783" s="20" t="n"/>
      <c r="Q16783" s="19" t="n"/>
      <c r="R16783" s="19" t="n"/>
      <c r="Y16783" s="19" t="n"/>
    </row>
    <row r="16784">
      <c r="C16784" s="18" t="n"/>
      <c r="J16784" s="19" t="n"/>
      <c r="P16784" s="20" t="n"/>
      <c r="Q16784" s="19" t="n"/>
      <c r="R16784" s="19" t="n"/>
      <c r="Y16784" s="19" t="n"/>
    </row>
    <row r="16785">
      <c r="C16785" s="18" t="n"/>
      <c r="J16785" s="19" t="n"/>
      <c r="P16785" s="20" t="n"/>
      <c r="Q16785" s="19" t="n"/>
      <c r="R16785" s="19" t="n"/>
      <c r="Y16785" s="19" t="n"/>
    </row>
    <row r="16786">
      <c r="C16786" s="18" t="n"/>
      <c r="J16786" s="19" t="n"/>
      <c r="P16786" s="20" t="n"/>
      <c r="Q16786" s="19" t="n"/>
      <c r="R16786" s="19" t="n"/>
      <c r="Y16786" s="19" t="n"/>
    </row>
    <row r="16787">
      <c r="C16787" s="18" t="n"/>
      <c r="J16787" s="19" t="n"/>
      <c r="P16787" s="20" t="n"/>
      <c r="Q16787" s="19" t="n"/>
      <c r="R16787" s="19" t="n"/>
      <c r="Y16787" s="19" t="n"/>
    </row>
    <row r="16788">
      <c r="C16788" s="18" t="n"/>
      <c r="J16788" s="19" t="n"/>
      <c r="P16788" s="20" t="n"/>
      <c r="Q16788" s="19" t="n"/>
      <c r="R16788" s="19" t="n"/>
      <c r="Y16788" s="19" t="n"/>
    </row>
    <row r="16789">
      <c r="C16789" s="18" t="n"/>
      <c r="J16789" s="19" t="n"/>
      <c r="P16789" s="20" t="n"/>
      <c r="Q16789" s="19" t="n"/>
      <c r="R16789" s="19" t="n"/>
      <c r="Y16789" s="19" t="n"/>
    </row>
    <row r="16790">
      <c r="C16790" s="18" t="n"/>
      <c r="J16790" s="19" t="n"/>
      <c r="P16790" s="20" t="n"/>
      <c r="Q16790" s="19" t="n"/>
      <c r="R16790" s="19" t="n"/>
      <c r="Y16790" s="19" t="n"/>
    </row>
    <row r="16791">
      <c r="C16791" s="18" t="n"/>
      <c r="J16791" s="19" t="n"/>
      <c r="P16791" s="20" t="n"/>
      <c r="Q16791" s="19" t="n"/>
      <c r="R16791" s="19" t="n"/>
      <c r="Y16791" s="19" t="n"/>
    </row>
    <row r="16792">
      <c r="C16792" s="18" t="n"/>
      <c r="J16792" s="19" t="n"/>
      <c r="P16792" s="20" t="n"/>
      <c r="Q16792" s="19" t="n"/>
      <c r="R16792" s="19" t="n"/>
      <c r="Y16792" s="19" t="n"/>
    </row>
    <row r="16793">
      <c r="C16793" s="18" t="n"/>
      <c r="J16793" s="19" t="n"/>
      <c r="P16793" s="20" t="n"/>
      <c r="Q16793" s="19" t="n"/>
      <c r="R16793" s="19" t="n"/>
      <c r="Y16793" s="19" t="n"/>
    </row>
    <row r="16794">
      <c r="C16794" s="18" t="n"/>
      <c r="J16794" s="19" t="n"/>
      <c r="P16794" s="20" t="n"/>
      <c r="Q16794" s="19" t="n"/>
      <c r="R16794" s="19" t="n"/>
      <c r="Y16794" s="19" t="n"/>
    </row>
    <row r="16795">
      <c r="C16795" s="18" t="n"/>
      <c r="J16795" s="19" t="n"/>
      <c r="P16795" s="20" t="n"/>
      <c r="Q16795" s="19" t="n"/>
      <c r="R16795" s="19" t="n"/>
      <c r="Y16795" s="19" t="n"/>
    </row>
    <row r="16796">
      <c r="C16796" s="18" t="n"/>
      <c r="J16796" s="19" t="n"/>
      <c r="P16796" s="20" t="n"/>
      <c r="Q16796" s="19" t="n"/>
      <c r="R16796" s="19" t="n"/>
      <c r="Y16796" s="19" t="n"/>
    </row>
    <row r="16797">
      <c r="C16797" s="18" t="n"/>
      <c r="J16797" s="19" t="n"/>
      <c r="P16797" s="20" t="n"/>
      <c r="Q16797" s="19" t="n"/>
      <c r="R16797" s="19" t="n"/>
      <c r="Y16797" s="19" t="n"/>
    </row>
    <row r="16798">
      <c r="C16798" s="18" t="n"/>
      <c r="J16798" s="19" t="n"/>
      <c r="P16798" s="20" t="n"/>
      <c r="Q16798" s="19" t="n"/>
      <c r="R16798" s="19" t="n"/>
      <c r="Y16798" s="19" t="n"/>
    </row>
    <row r="16799">
      <c r="C16799" s="18" t="n"/>
      <c r="J16799" s="19" t="n"/>
      <c r="P16799" s="20" t="n"/>
      <c r="Q16799" s="19" t="n"/>
      <c r="R16799" s="19" t="n"/>
      <c r="Y16799" s="19" t="n"/>
    </row>
    <row r="16800">
      <c r="C16800" s="18" t="n"/>
      <c r="J16800" s="19" t="n"/>
      <c r="P16800" s="20" t="n"/>
      <c r="Q16800" s="19" t="n"/>
      <c r="R16800" s="19" t="n"/>
      <c r="Y16800" s="19" t="n"/>
    </row>
    <row r="16801">
      <c r="C16801" s="18" t="n"/>
      <c r="J16801" s="19" t="n"/>
      <c r="P16801" s="20" t="n"/>
      <c r="Q16801" s="19" t="n"/>
      <c r="R16801" s="19" t="n"/>
      <c r="Y16801" s="19" t="n"/>
    </row>
    <row r="16802">
      <c r="C16802" s="18" t="n"/>
      <c r="J16802" s="19" t="n"/>
      <c r="P16802" s="20" t="n"/>
      <c r="Q16802" s="19" t="n"/>
      <c r="R16802" s="19" t="n"/>
      <c r="Y16802" s="19" t="n"/>
    </row>
    <row r="16803">
      <c r="C16803" s="18" t="n"/>
      <c r="J16803" s="19" t="n"/>
      <c r="P16803" s="20" t="n"/>
      <c r="Q16803" s="19" t="n"/>
      <c r="R16803" s="19" t="n"/>
      <c r="Y16803" s="19" t="n"/>
    </row>
    <row r="16804">
      <c r="C16804" s="18" t="n"/>
      <c r="J16804" s="19" t="n"/>
      <c r="P16804" s="20" t="n"/>
      <c r="Q16804" s="19" t="n"/>
      <c r="R16804" s="19" t="n"/>
      <c r="Y16804" s="19" t="n"/>
    </row>
    <row r="16805">
      <c r="C16805" s="18" t="n"/>
      <c r="J16805" s="19" t="n"/>
      <c r="P16805" s="20" t="n"/>
      <c r="Q16805" s="19" t="n"/>
      <c r="R16805" s="19" t="n"/>
      <c r="Y16805" s="19" t="n"/>
    </row>
    <row r="16806">
      <c r="C16806" s="18" t="n"/>
      <c r="J16806" s="19" t="n"/>
      <c r="P16806" s="20" t="n"/>
      <c r="Q16806" s="19" t="n"/>
      <c r="R16806" s="19" t="n"/>
      <c r="Y16806" s="19" t="n"/>
    </row>
    <row r="16807">
      <c r="C16807" s="18" t="n"/>
      <c r="J16807" s="19" t="n"/>
      <c r="P16807" s="20" t="n"/>
      <c r="Q16807" s="19" t="n"/>
      <c r="R16807" s="19" t="n"/>
      <c r="Y16807" s="19" t="n"/>
    </row>
    <row r="16808">
      <c r="C16808" s="18" t="n"/>
      <c r="J16808" s="19" t="n"/>
      <c r="P16808" s="20" t="n"/>
      <c r="Q16808" s="19" t="n"/>
      <c r="R16808" s="19" t="n"/>
      <c r="Y16808" s="19" t="n"/>
    </row>
    <row r="16809">
      <c r="C16809" s="18" t="n"/>
      <c r="J16809" s="19" t="n"/>
      <c r="P16809" s="20" t="n"/>
      <c r="Q16809" s="19" t="n"/>
      <c r="R16809" s="19" t="n"/>
      <c r="Y16809" s="19" t="n"/>
    </row>
    <row r="16810">
      <c r="C16810" s="18" t="n"/>
      <c r="J16810" s="19" t="n"/>
      <c r="P16810" s="20" t="n"/>
      <c r="Q16810" s="19" t="n"/>
      <c r="R16810" s="19" t="n"/>
      <c r="Y16810" s="19" t="n"/>
    </row>
    <row r="16811">
      <c r="C16811" s="18" t="n"/>
      <c r="J16811" s="19" t="n"/>
      <c r="P16811" s="20" t="n"/>
      <c r="Q16811" s="19" t="n"/>
      <c r="R16811" s="19" t="n"/>
      <c r="Y16811" s="19" t="n"/>
    </row>
    <row r="16812">
      <c r="C16812" s="18" t="n"/>
      <c r="J16812" s="19" t="n"/>
      <c r="P16812" s="20" t="n"/>
      <c r="Q16812" s="19" t="n"/>
      <c r="R16812" s="19" t="n"/>
      <c r="Y16812" s="19" t="n"/>
    </row>
    <row r="16813">
      <c r="C16813" s="18" t="n"/>
      <c r="J16813" s="19" t="n"/>
      <c r="P16813" s="20" t="n"/>
      <c r="Q16813" s="19" t="n"/>
      <c r="R16813" s="19" t="n"/>
      <c r="Y16813" s="19" t="n"/>
    </row>
    <row r="16814">
      <c r="C16814" s="18" t="n"/>
      <c r="J16814" s="19" t="n"/>
      <c r="P16814" s="20" t="n"/>
      <c r="Q16814" s="19" t="n"/>
      <c r="R16814" s="19" t="n"/>
      <c r="Y16814" s="19" t="n"/>
    </row>
    <row r="16815">
      <c r="C16815" s="18" t="n"/>
      <c r="J16815" s="19" t="n"/>
      <c r="P16815" s="20" t="n"/>
      <c r="Q16815" s="19" t="n"/>
      <c r="R16815" s="19" t="n"/>
      <c r="Y16815" s="19" t="n"/>
    </row>
    <row r="16816">
      <c r="C16816" s="18" t="n"/>
      <c r="J16816" s="19" t="n"/>
      <c r="P16816" s="20" t="n"/>
      <c r="Q16816" s="19" t="n"/>
      <c r="R16816" s="19" t="n"/>
      <c r="Y16816" s="19" t="n"/>
    </row>
    <row r="16817">
      <c r="C16817" s="18" t="n"/>
      <c r="J16817" s="19" t="n"/>
      <c r="P16817" s="20" t="n"/>
      <c r="Q16817" s="19" t="n"/>
      <c r="R16817" s="19" t="n"/>
      <c r="Y16817" s="19" t="n"/>
    </row>
    <row r="16818">
      <c r="C16818" s="18" t="n"/>
      <c r="J16818" s="19" t="n"/>
      <c r="P16818" s="20" t="n"/>
      <c r="Q16818" s="19" t="n"/>
      <c r="R16818" s="19" t="n"/>
      <c r="Y16818" s="19" t="n"/>
    </row>
    <row r="16819">
      <c r="C16819" s="18" t="n"/>
      <c r="J16819" s="19" t="n"/>
      <c r="P16819" s="20" t="n"/>
      <c r="Q16819" s="19" t="n"/>
      <c r="R16819" s="19" t="n"/>
      <c r="Y16819" s="19" t="n"/>
    </row>
    <row r="16820">
      <c r="C16820" s="18" t="n"/>
      <c r="J16820" s="19" t="n"/>
      <c r="P16820" s="20" t="n"/>
      <c r="Q16820" s="19" t="n"/>
      <c r="R16820" s="19" t="n"/>
      <c r="Y16820" s="19" t="n"/>
    </row>
    <row r="16821">
      <c r="C16821" s="18" t="n"/>
      <c r="J16821" s="19" t="n"/>
      <c r="P16821" s="20" t="n"/>
      <c r="Q16821" s="19" t="n"/>
      <c r="R16821" s="19" t="n"/>
      <c r="Y16821" s="19" t="n"/>
    </row>
    <row r="16822">
      <c r="C16822" s="18" t="n"/>
      <c r="J16822" s="19" t="n"/>
      <c r="P16822" s="20" t="n"/>
      <c r="Q16822" s="19" t="n"/>
      <c r="R16822" s="19" t="n"/>
      <c r="Y16822" s="19" t="n"/>
    </row>
    <row r="16823">
      <c r="C16823" s="18" t="n"/>
      <c r="J16823" s="19" t="n"/>
      <c r="P16823" s="20" t="n"/>
      <c r="Q16823" s="19" t="n"/>
      <c r="R16823" s="19" t="n"/>
      <c r="Y16823" s="19" t="n"/>
    </row>
    <row r="16824">
      <c r="C16824" s="18" t="n"/>
      <c r="J16824" s="19" t="n"/>
      <c r="P16824" s="20" t="n"/>
      <c r="Q16824" s="19" t="n"/>
      <c r="R16824" s="19" t="n"/>
      <c r="Y16824" s="19" t="n"/>
    </row>
    <row r="16825">
      <c r="C16825" s="18" t="n"/>
      <c r="J16825" s="19" t="n"/>
      <c r="P16825" s="20" t="n"/>
      <c r="Q16825" s="19" t="n"/>
      <c r="R16825" s="19" t="n"/>
      <c r="Y16825" s="19" t="n"/>
    </row>
    <row r="16826">
      <c r="C16826" s="18" t="n"/>
      <c r="J16826" s="19" t="n"/>
      <c r="P16826" s="20" t="n"/>
      <c r="Q16826" s="19" t="n"/>
      <c r="R16826" s="19" t="n"/>
      <c r="Y16826" s="19" t="n"/>
    </row>
    <row r="16827">
      <c r="C16827" s="18" t="n"/>
      <c r="J16827" s="19" t="n"/>
      <c r="P16827" s="20" t="n"/>
      <c r="Q16827" s="19" t="n"/>
      <c r="R16827" s="19" t="n"/>
      <c r="Y16827" s="19" t="n"/>
    </row>
    <row r="16828">
      <c r="C16828" s="18" t="n"/>
      <c r="J16828" s="19" t="n"/>
      <c r="P16828" s="20" t="n"/>
      <c r="Q16828" s="19" t="n"/>
      <c r="R16828" s="19" t="n"/>
      <c r="Y16828" s="19" t="n"/>
    </row>
    <row r="16829">
      <c r="C16829" s="18" t="n"/>
      <c r="J16829" s="19" t="n"/>
      <c r="P16829" s="20" t="n"/>
      <c r="Q16829" s="19" t="n"/>
      <c r="R16829" s="19" t="n"/>
      <c r="Y16829" s="19" t="n"/>
    </row>
    <row r="16830">
      <c r="C16830" s="18" t="n"/>
      <c r="J16830" s="19" t="n"/>
      <c r="P16830" s="20" t="n"/>
      <c r="Q16830" s="19" t="n"/>
      <c r="R16830" s="19" t="n"/>
      <c r="Y16830" s="19" t="n"/>
    </row>
    <row r="16831">
      <c r="C16831" s="18" t="n"/>
      <c r="J16831" s="19" t="n"/>
      <c r="P16831" s="20" t="n"/>
      <c r="Q16831" s="19" t="n"/>
      <c r="R16831" s="19" t="n"/>
      <c r="Y16831" s="19" t="n"/>
    </row>
    <row r="16832">
      <c r="C16832" s="18" t="n"/>
      <c r="J16832" s="19" t="n"/>
      <c r="P16832" s="20" t="n"/>
      <c r="Q16832" s="19" t="n"/>
      <c r="R16832" s="19" t="n"/>
      <c r="Y16832" s="19" t="n"/>
    </row>
    <row r="16833">
      <c r="C16833" s="18" t="n"/>
      <c r="J16833" s="19" t="n"/>
      <c r="P16833" s="20" t="n"/>
      <c r="Q16833" s="19" t="n"/>
      <c r="R16833" s="19" t="n"/>
      <c r="Y16833" s="19" t="n"/>
    </row>
    <row r="16834">
      <c r="C16834" s="18" t="n"/>
      <c r="J16834" s="19" t="n"/>
      <c r="P16834" s="20" t="n"/>
      <c r="Q16834" s="19" t="n"/>
      <c r="R16834" s="19" t="n"/>
      <c r="Y16834" s="19" t="n"/>
    </row>
    <row r="16835">
      <c r="C16835" s="18" t="n"/>
      <c r="J16835" s="19" t="n"/>
      <c r="P16835" s="20" t="n"/>
      <c r="Q16835" s="19" t="n"/>
      <c r="R16835" s="19" t="n"/>
      <c r="Y16835" s="19" t="n"/>
    </row>
    <row r="16836">
      <c r="C16836" s="18" t="n"/>
      <c r="J16836" s="19" t="n"/>
      <c r="P16836" s="20" t="n"/>
      <c r="Q16836" s="19" t="n"/>
      <c r="R16836" s="19" t="n"/>
      <c r="Y16836" s="19" t="n"/>
    </row>
    <row r="16837">
      <c r="C16837" s="18" t="n"/>
      <c r="J16837" s="19" t="n"/>
      <c r="P16837" s="20" t="n"/>
      <c r="Q16837" s="19" t="n"/>
      <c r="R16837" s="19" t="n"/>
      <c r="Y16837" s="19" t="n"/>
    </row>
    <row r="16838">
      <c r="C16838" s="18" t="n"/>
      <c r="J16838" s="19" t="n"/>
      <c r="P16838" s="20" t="n"/>
      <c r="Q16838" s="19" t="n"/>
      <c r="R16838" s="19" t="n"/>
      <c r="Y16838" s="19" t="n"/>
    </row>
    <row r="16839">
      <c r="C16839" s="18" t="n"/>
      <c r="J16839" s="19" t="n"/>
      <c r="P16839" s="20" t="n"/>
      <c r="Q16839" s="19" t="n"/>
      <c r="R16839" s="19" t="n"/>
      <c r="Y16839" s="19" t="n"/>
    </row>
    <row r="16840">
      <c r="C16840" s="18" t="n"/>
      <c r="J16840" s="19" t="n"/>
      <c r="P16840" s="20" t="n"/>
      <c r="Q16840" s="19" t="n"/>
      <c r="R16840" s="19" t="n"/>
      <c r="Y16840" s="19" t="n"/>
    </row>
    <row r="16841">
      <c r="C16841" s="18" t="n"/>
      <c r="J16841" s="19" t="n"/>
      <c r="P16841" s="20" t="n"/>
      <c r="Q16841" s="19" t="n"/>
      <c r="R16841" s="19" t="n"/>
      <c r="Y16841" s="19" t="n"/>
    </row>
    <row r="16842">
      <c r="C16842" s="18" t="n"/>
      <c r="J16842" s="19" t="n"/>
      <c r="P16842" s="20" t="n"/>
      <c r="Q16842" s="19" t="n"/>
      <c r="R16842" s="19" t="n"/>
      <c r="Y16842" s="19" t="n"/>
    </row>
    <row r="16843">
      <c r="C16843" s="18" t="n"/>
      <c r="J16843" s="19" t="n"/>
      <c r="P16843" s="20" t="n"/>
      <c r="Q16843" s="19" t="n"/>
      <c r="R16843" s="19" t="n"/>
      <c r="Y16843" s="19" t="n"/>
    </row>
    <row r="16844">
      <c r="C16844" s="18" t="n"/>
      <c r="J16844" s="19" t="n"/>
      <c r="P16844" s="20" t="n"/>
      <c r="Q16844" s="19" t="n"/>
      <c r="R16844" s="19" t="n"/>
      <c r="Y16844" s="19" t="n"/>
    </row>
    <row r="16845">
      <c r="C16845" s="18" t="n"/>
      <c r="J16845" s="19" t="n"/>
      <c r="P16845" s="20" t="n"/>
      <c r="Q16845" s="19" t="n"/>
      <c r="R16845" s="19" t="n"/>
      <c r="Y16845" s="19" t="n"/>
    </row>
    <row r="16846">
      <c r="C16846" s="18" t="n"/>
      <c r="J16846" s="19" t="n"/>
      <c r="P16846" s="20" t="n"/>
      <c r="Q16846" s="19" t="n"/>
      <c r="R16846" s="19" t="n"/>
      <c r="Y16846" s="19" t="n"/>
    </row>
    <row r="16847">
      <c r="C16847" s="18" t="n"/>
      <c r="J16847" s="19" t="n"/>
      <c r="P16847" s="20" t="n"/>
      <c r="Q16847" s="19" t="n"/>
      <c r="R16847" s="19" t="n"/>
      <c r="Y16847" s="19" t="n"/>
    </row>
    <row r="16848">
      <c r="C16848" s="18" t="n"/>
      <c r="J16848" s="19" t="n"/>
      <c r="P16848" s="20" t="n"/>
      <c r="Q16848" s="19" t="n"/>
      <c r="R16848" s="19" t="n"/>
      <c r="Y16848" s="19" t="n"/>
    </row>
    <row r="16849">
      <c r="C16849" s="18" t="n"/>
      <c r="J16849" s="19" t="n"/>
      <c r="P16849" s="20" t="n"/>
      <c r="Q16849" s="19" t="n"/>
      <c r="R16849" s="19" t="n"/>
      <c r="Y16849" s="19" t="n"/>
    </row>
    <row r="16850">
      <c r="C16850" s="18" t="n"/>
      <c r="J16850" s="19" t="n"/>
      <c r="P16850" s="20" t="n"/>
      <c r="Q16850" s="19" t="n"/>
      <c r="R16850" s="19" t="n"/>
      <c r="Y16850" s="19" t="n"/>
    </row>
    <row r="16851">
      <c r="C16851" s="18" t="n"/>
      <c r="J16851" s="19" t="n"/>
      <c r="P16851" s="20" t="n"/>
      <c r="Q16851" s="19" t="n"/>
      <c r="R16851" s="19" t="n"/>
      <c r="Y16851" s="19" t="n"/>
    </row>
    <row r="16852">
      <c r="C16852" s="18" t="n"/>
      <c r="J16852" s="19" t="n"/>
      <c r="P16852" s="20" t="n"/>
      <c r="Q16852" s="19" t="n"/>
      <c r="R16852" s="19" t="n"/>
      <c r="Y16852" s="19" t="n"/>
    </row>
    <row r="16853">
      <c r="C16853" s="18" t="n"/>
      <c r="J16853" s="19" t="n"/>
      <c r="P16853" s="20" t="n"/>
      <c r="Q16853" s="19" t="n"/>
      <c r="R16853" s="19" t="n"/>
      <c r="Y16853" s="19" t="n"/>
    </row>
    <row r="16854">
      <c r="C16854" s="18" t="n"/>
      <c r="J16854" s="19" t="n"/>
      <c r="P16854" s="20" t="n"/>
      <c r="Q16854" s="19" t="n"/>
      <c r="R16854" s="19" t="n"/>
      <c r="Y16854" s="19" t="n"/>
    </row>
    <row r="16855">
      <c r="C16855" s="18" t="n"/>
      <c r="J16855" s="19" t="n"/>
      <c r="P16855" s="20" t="n"/>
      <c r="Q16855" s="19" t="n"/>
      <c r="R16855" s="19" t="n"/>
      <c r="Y16855" s="19" t="n"/>
    </row>
    <row r="16856">
      <c r="C16856" s="18" t="n"/>
      <c r="J16856" s="19" t="n"/>
      <c r="P16856" s="20" t="n"/>
      <c r="Q16856" s="19" t="n"/>
      <c r="R16856" s="19" t="n"/>
      <c r="Y16856" s="19" t="n"/>
    </row>
    <row r="16857">
      <c r="C16857" s="18" t="n"/>
      <c r="J16857" s="19" t="n"/>
      <c r="P16857" s="20" t="n"/>
      <c r="Q16857" s="19" t="n"/>
      <c r="R16857" s="19" t="n"/>
      <c r="Y16857" s="19" t="n"/>
    </row>
    <row r="16858">
      <c r="C16858" s="18" t="n"/>
      <c r="J16858" s="19" t="n"/>
      <c r="P16858" s="20" t="n"/>
      <c r="Q16858" s="19" t="n"/>
      <c r="R16858" s="19" t="n"/>
      <c r="Y16858" s="19" t="n"/>
    </row>
    <row r="16859">
      <c r="C16859" s="18" t="n"/>
      <c r="J16859" s="19" t="n"/>
      <c r="P16859" s="20" t="n"/>
      <c r="Q16859" s="19" t="n"/>
      <c r="R16859" s="19" t="n"/>
      <c r="Y16859" s="19" t="n"/>
    </row>
    <row r="16860">
      <c r="C16860" s="18" t="n"/>
      <c r="J16860" s="19" t="n"/>
      <c r="P16860" s="20" t="n"/>
      <c r="Q16860" s="19" t="n"/>
      <c r="R16860" s="19" t="n"/>
      <c r="Y16860" s="19" t="n"/>
    </row>
    <row r="16861">
      <c r="C16861" s="18" t="n"/>
      <c r="J16861" s="19" t="n"/>
      <c r="P16861" s="20" t="n"/>
      <c r="Q16861" s="19" t="n"/>
      <c r="R16861" s="19" t="n"/>
      <c r="Y16861" s="19" t="n"/>
    </row>
    <row r="16862">
      <c r="C16862" s="18" t="n"/>
      <c r="J16862" s="19" t="n"/>
      <c r="P16862" s="20" t="n"/>
      <c r="Q16862" s="19" t="n"/>
      <c r="R16862" s="19" t="n"/>
      <c r="Y16862" s="19" t="n"/>
    </row>
    <row r="16863">
      <c r="C16863" s="18" t="n"/>
      <c r="J16863" s="19" t="n"/>
      <c r="P16863" s="20" t="n"/>
      <c r="Q16863" s="19" t="n"/>
      <c r="R16863" s="19" t="n"/>
      <c r="Y16863" s="19" t="n"/>
    </row>
    <row r="16864">
      <c r="C16864" s="18" t="n"/>
      <c r="J16864" s="19" t="n"/>
      <c r="P16864" s="20" t="n"/>
      <c r="Q16864" s="19" t="n"/>
      <c r="R16864" s="19" t="n"/>
      <c r="Y16864" s="19" t="n"/>
    </row>
    <row r="16865">
      <c r="C16865" s="18" t="n"/>
      <c r="J16865" s="19" t="n"/>
      <c r="P16865" s="20" t="n"/>
      <c r="Q16865" s="19" t="n"/>
      <c r="R16865" s="19" t="n"/>
      <c r="Y16865" s="19" t="n"/>
    </row>
    <row r="16866">
      <c r="C16866" s="18" t="n"/>
      <c r="J16866" s="19" t="n"/>
      <c r="P16866" s="20" t="n"/>
      <c r="Q16866" s="19" t="n"/>
      <c r="R16866" s="19" t="n"/>
      <c r="Y16866" s="19" t="n"/>
    </row>
    <row r="16867">
      <c r="C16867" s="18" t="n"/>
      <c r="J16867" s="19" t="n"/>
      <c r="P16867" s="20" t="n"/>
      <c r="Q16867" s="19" t="n"/>
      <c r="R16867" s="19" t="n"/>
      <c r="Y16867" s="19" t="n"/>
    </row>
    <row r="16868">
      <c r="C16868" s="18" t="n"/>
      <c r="J16868" s="19" t="n"/>
      <c r="P16868" s="20" t="n"/>
      <c r="Q16868" s="19" t="n"/>
      <c r="R16868" s="19" t="n"/>
      <c r="Y16868" s="19" t="n"/>
    </row>
    <row r="16869">
      <c r="C16869" s="18" t="n"/>
      <c r="J16869" s="19" t="n"/>
      <c r="P16869" s="20" t="n"/>
      <c r="Q16869" s="19" t="n"/>
      <c r="R16869" s="19" t="n"/>
      <c r="Y16869" s="19" t="n"/>
    </row>
    <row r="16870">
      <c r="C16870" s="18" t="n"/>
      <c r="J16870" s="19" t="n"/>
      <c r="P16870" s="20" t="n"/>
      <c r="Q16870" s="19" t="n"/>
      <c r="R16870" s="19" t="n"/>
      <c r="Y16870" s="19" t="n"/>
    </row>
    <row r="16871">
      <c r="C16871" s="18" t="n"/>
      <c r="J16871" s="19" t="n"/>
      <c r="P16871" s="20" t="n"/>
      <c r="Q16871" s="19" t="n"/>
      <c r="R16871" s="19" t="n"/>
      <c r="Y16871" s="19" t="n"/>
    </row>
    <row r="16872">
      <c r="C16872" s="18" t="n"/>
      <c r="J16872" s="19" t="n"/>
      <c r="P16872" s="20" t="n"/>
      <c r="Q16872" s="19" t="n"/>
      <c r="R16872" s="19" t="n"/>
      <c r="Y16872" s="19" t="n"/>
    </row>
    <row r="16873">
      <c r="C16873" s="18" t="n"/>
      <c r="J16873" s="19" t="n"/>
      <c r="P16873" s="20" t="n"/>
      <c r="Q16873" s="19" t="n"/>
      <c r="R16873" s="19" t="n"/>
      <c r="Y16873" s="19" t="n"/>
    </row>
    <row r="16874">
      <c r="C16874" s="18" t="n"/>
      <c r="J16874" s="19" t="n"/>
      <c r="P16874" s="20" t="n"/>
      <c r="Q16874" s="19" t="n"/>
      <c r="R16874" s="19" t="n"/>
      <c r="Y16874" s="19" t="n"/>
    </row>
    <row r="16875">
      <c r="C16875" s="18" t="n"/>
      <c r="J16875" s="19" t="n"/>
      <c r="P16875" s="20" t="n"/>
      <c r="Q16875" s="19" t="n"/>
      <c r="R16875" s="19" t="n"/>
      <c r="Y16875" s="19" t="n"/>
    </row>
    <row r="16876">
      <c r="C16876" s="18" t="n"/>
      <c r="J16876" s="19" t="n"/>
      <c r="P16876" s="20" t="n"/>
      <c r="Q16876" s="19" t="n"/>
      <c r="R16876" s="19" t="n"/>
      <c r="Y16876" s="19" t="n"/>
    </row>
    <row r="16877">
      <c r="C16877" s="18" t="n"/>
      <c r="J16877" s="19" t="n"/>
      <c r="P16877" s="20" t="n"/>
      <c r="Q16877" s="19" t="n"/>
      <c r="R16877" s="19" t="n"/>
      <c r="Y16877" s="19" t="n"/>
    </row>
    <row r="16878">
      <c r="C16878" s="18" t="n"/>
      <c r="J16878" s="19" t="n"/>
      <c r="P16878" s="20" t="n"/>
      <c r="Q16878" s="19" t="n"/>
      <c r="R16878" s="19" t="n"/>
      <c r="Y16878" s="19" t="n"/>
    </row>
    <row r="16879">
      <c r="C16879" s="18" t="n"/>
      <c r="J16879" s="19" t="n"/>
      <c r="P16879" s="20" t="n"/>
      <c r="Q16879" s="19" t="n"/>
      <c r="R16879" s="19" t="n"/>
      <c r="Y16879" s="19" t="n"/>
    </row>
    <row r="16880">
      <c r="C16880" s="18" t="n"/>
      <c r="J16880" s="19" t="n"/>
      <c r="P16880" s="20" t="n"/>
      <c r="Q16880" s="19" t="n"/>
      <c r="R16880" s="19" t="n"/>
      <c r="Y16880" s="19" t="n"/>
    </row>
    <row r="16881">
      <c r="C16881" s="18" t="n"/>
      <c r="J16881" s="19" t="n"/>
      <c r="P16881" s="20" t="n"/>
      <c r="Q16881" s="19" t="n"/>
      <c r="R16881" s="19" t="n"/>
      <c r="Y16881" s="19" t="n"/>
    </row>
    <row r="16882">
      <c r="C16882" s="18" t="n"/>
      <c r="J16882" s="19" t="n"/>
      <c r="P16882" s="20" t="n"/>
      <c r="Q16882" s="19" t="n"/>
      <c r="R16882" s="19" t="n"/>
      <c r="Y16882" s="19" t="n"/>
    </row>
    <row r="16883">
      <c r="C16883" s="18" t="n"/>
      <c r="J16883" s="19" t="n"/>
      <c r="P16883" s="20" t="n"/>
      <c r="Q16883" s="19" t="n"/>
      <c r="R16883" s="19" t="n"/>
      <c r="Y16883" s="19" t="n"/>
    </row>
    <row r="16884">
      <c r="C16884" s="18" t="n"/>
      <c r="J16884" s="19" t="n"/>
      <c r="P16884" s="20" t="n"/>
      <c r="Q16884" s="19" t="n"/>
      <c r="R16884" s="19" t="n"/>
      <c r="Y16884" s="19" t="n"/>
    </row>
    <row r="16885">
      <c r="C16885" s="18" t="n"/>
      <c r="J16885" s="19" t="n"/>
      <c r="P16885" s="20" t="n"/>
      <c r="Q16885" s="19" t="n"/>
      <c r="R16885" s="19" t="n"/>
      <c r="Y16885" s="19" t="n"/>
    </row>
    <row r="16886">
      <c r="C16886" s="18" t="n"/>
      <c r="J16886" s="19" t="n"/>
      <c r="P16886" s="20" t="n"/>
      <c r="Q16886" s="19" t="n"/>
      <c r="R16886" s="19" t="n"/>
      <c r="Y16886" s="19" t="n"/>
    </row>
    <row r="16887">
      <c r="C16887" s="18" t="n"/>
      <c r="J16887" s="19" t="n"/>
      <c r="P16887" s="20" t="n"/>
      <c r="Q16887" s="19" t="n"/>
      <c r="R16887" s="19" t="n"/>
      <c r="Y16887" s="19" t="n"/>
    </row>
    <row r="16888">
      <c r="C16888" s="18" t="n"/>
      <c r="J16888" s="19" t="n"/>
      <c r="P16888" s="20" t="n"/>
      <c r="Q16888" s="19" t="n"/>
      <c r="R16888" s="19" t="n"/>
      <c r="Y16888" s="19" t="n"/>
    </row>
    <row r="16889">
      <c r="C16889" s="18" t="n"/>
      <c r="J16889" s="19" t="n"/>
      <c r="P16889" s="20" t="n"/>
      <c r="Q16889" s="19" t="n"/>
      <c r="R16889" s="19" t="n"/>
      <c r="Y16889" s="19" t="n"/>
    </row>
    <row r="16890">
      <c r="C16890" s="18" t="n"/>
      <c r="J16890" s="19" t="n"/>
      <c r="P16890" s="20" t="n"/>
      <c r="Q16890" s="19" t="n"/>
      <c r="R16890" s="19" t="n"/>
      <c r="Y16890" s="19" t="n"/>
    </row>
    <row r="16891">
      <c r="C16891" s="18" t="n"/>
      <c r="J16891" s="19" t="n"/>
      <c r="P16891" s="20" t="n"/>
      <c r="Q16891" s="19" t="n"/>
      <c r="R16891" s="19" t="n"/>
      <c r="Y16891" s="19" t="n"/>
    </row>
    <row r="16892">
      <c r="C16892" s="18" t="n"/>
      <c r="J16892" s="19" t="n"/>
      <c r="P16892" s="20" t="n"/>
      <c r="Q16892" s="19" t="n"/>
      <c r="R16892" s="19" t="n"/>
      <c r="Y16892" s="19" t="n"/>
    </row>
    <row r="16893">
      <c r="C16893" s="18" t="n"/>
      <c r="J16893" s="19" t="n"/>
      <c r="P16893" s="20" t="n"/>
      <c r="Q16893" s="19" t="n"/>
      <c r="R16893" s="19" t="n"/>
      <c r="Y16893" s="19" t="n"/>
    </row>
    <row r="16894">
      <c r="C16894" s="18" t="n"/>
      <c r="J16894" s="19" t="n"/>
      <c r="P16894" s="20" t="n"/>
      <c r="Q16894" s="19" t="n"/>
      <c r="R16894" s="19" t="n"/>
      <c r="Y16894" s="19" t="n"/>
    </row>
    <row r="16895">
      <c r="C16895" s="18" t="n"/>
      <c r="J16895" s="19" t="n"/>
      <c r="P16895" s="20" t="n"/>
      <c r="Q16895" s="19" t="n"/>
      <c r="R16895" s="19" t="n"/>
      <c r="Y16895" s="19" t="n"/>
    </row>
    <row r="16896">
      <c r="C16896" s="18" t="n"/>
      <c r="J16896" s="19" t="n"/>
      <c r="P16896" s="20" t="n"/>
      <c r="Q16896" s="19" t="n"/>
      <c r="R16896" s="19" t="n"/>
      <c r="Y16896" s="19" t="n"/>
    </row>
    <row r="16897">
      <c r="C16897" s="18" t="n"/>
      <c r="J16897" s="19" t="n"/>
      <c r="P16897" s="20" t="n"/>
      <c r="Q16897" s="19" t="n"/>
      <c r="R16897" s="19" t="n"/>
      <c r="Y16897" s="19" t="n"/>
    </row>
    <row r="16898">
      <c r="C16898" s="18" t="n"/>
      <c r="J16898" s="19" t="n"/>
      <c r="P16898" s="20" t="n"/>
      <c r="Q16898" s="19" t="n"/>
      <c r="R16898" s="19" t="n"/>
      <c r="Y16898" s="19" t="n"/>
    </row>
    <row r="16899">
      <c r="C16899" s="18" t="n"/>
      <c r="J16899" s="19" t="n"/>
      <c r="P16899" s="20" t="n"/>
      <c r="Q16899" s="19" t="n"/>
      <c r="R16899" s="19" t="n"/>
      <c r="Y16899" s="19" t="n"/>
    </row>
    <row r="16900">
      <c r="C16900" s="18" t="n"/>
      <c r="J16900" s="19" t="n"/>
      <c r="P16900" s="20" t="n"/>
      <c r="Q16900" s="19" t="n"/>
      <c r="R16900" s="19" t="n"/>
      <c r="Y16900" s="19" t="n"/>
    </row>
    <row r="16901">
      <c r="C16901" s="18" t="n"/>
      <c r="J16901" s="19" t="n"/>
      <c r="P16901" s="20" t="n"/>
      <c r="Q16901" s="19" t="n"/>
      <c r="R16901" s="19" t="n"/>
      <c r="Y16901" s="19" t="n"/>
    </row>
    <row r="16902">
      <c r="C16902" s="18" t="n"/>
      <c r="J16902" s="19" t="n"/>
      <c r="P16902" s="20" t="n"/>
      <c r="Q16902" s="19" t="n"/>
      <c r="R16902" s="19" t="n"/>
      <c r="Y16902" s="19" t="n"/>
    </row>
    <row r="16903">
      <c r="C16903" s="18" t="n"/>
      <c r="J16903" s="19" t="n"/>
      <c r="P16903" s="20" t="n"/>
      <c r="Q16903" s="19" t="n"/>
      <c r="R16903" s="19" t="n"/>
      <c r="Y16903" s="19" t="n"/>
    </row>
    <row r="16904">
      <c r="C16904" s="18" t="n"/>
      <c r="J16904" s="19" t="n"/>
      <c r="P16904" s="20" t="n"/>
      <c r="Q16904" s="19" t="n"/>
      <c r="R16904" s="19" t="n"/>
      <c r="Y16904" s="19" t="n"/>
    </row>
    <row r="16905">
      <c r="C16905" s="18" t="n"/>
      <c r="J16905" s="19" t="n"/>
      <c r="P16905" s="20" t="n"/>
      <c r="Q16905" s="19" t="n"/>
      <c r="R16905" s="19" t="n"/>
      <c r="Y16905" s="19" t="n"/>
    </row>
    <row r="16906">
      <c r="C16906" s="18" t="n"/>
      <c r="J16906" s="19" t="n"/>
      <c r="P16906" s="20" t="n"/>
      <c r="Q16906" s="19" t="n"/>
      <c r="R16906" s="19" t="n"/>
      <c r="Y16906" s="19" t="n"/>
    </row>
    <row r="16907">
      <c r="C16907" s="18" t="n"/>
      <c r="J16907" s="19" t="n"/>
      <c r="P16907" s="20" t="n"/>
      <c r="Q16907" s="19" t="n"/>
      <c r="R16907" s="19" t="n"/>
      <c r="Y16907" s="19" t="n"/>
    </row>
    <row r="16908">
      <c r="C16908" s="18" t="n"/>
      <c r="J16908" s="19" t="n"/>
      <c r="P16908" s="20" t="n"/>
      <c r="Q16908" s="19" t="n"/>
      <c r="R16908" s="19" t="n"/>
      <c r="Y16908" s="19" t="n"/>
    </row>
    <row r="16909">
      <c r="C16909" s="18" t="n"/>
      <c r="J16909" s="19" t="n"/>
      <c r="P16909" s="20" t="n"/>
      <c r="Q16909" s="19" t="n"/>
      <c r="R16909" s="19" t="n"/>
      <c r="Y16909" s="19" t="n"/>
    </row>
    <row r="16910">
      <c r="C16910" s="18" t="n"/>
      <c r="J16910" s="19" t="n"/>
      <c r="P16910" s="20" t="n"/>
      <c r="Q16910" s="19" t="n"/>
      <c r="R16910" s="19" t="n"/>
      <c r="Y16910" s="19" t="n"/>
    </row>
    <row r="16911">
      <c r="C16911" s="18" t="n"/>
      <c r="J16911" s="19" t="n"/>
      <c r="P16911" s="20" t="n"/>
      <c r="Q16911" s="19" t="n"/>
      <c r="R16911" s="19" t="n"/>
      <c r="Y16911" s="19" t="n"/>
    </row>
    <row r="16912">
      <c r="C16912" s="18" t="n"/>
      <c r="J16912" s="19" t="n"/>
      <c r="P16912" s="20" t="n"/>
      <c r="Q16912" s="19" t="n"/>
      <c r="R16912" s="19" t="n"/>
      <c r="Y16912" s="19" t="n"/>
    </row>
    <row r="16913">
      <c r="C16913" s="18" t="n"/>
      <c r="J16913" s="19" t="n"/>
      <c r="P16913" s="20" t="n"/>
      <c r="Q16913" s="19" t="n"/>
      <c r="R16913" s="19" t="n"/>
      <c r="Y16913" s="19" t="n"/>
    </row>
    <row r="16914">
      <c r="C16914" s="18" t="n"/>
      <c r="J16914" s="19" t="n"/>
      <c r="P16914" s="20" t="n"/>
      <c r="Q16914" s="19" t="n"/>
      <c r="R16914" s="19" t="n"/>
      <c r="Y16914" s="19" t="n"/>
    </row>
    <row r="16915">
      <c r="C16915" s="18" t="n"/>
      <c r="J16915" s="19" t="n"/>
      <c r="P16915" s="20" t="n"/>
      <c r="Q16915" s="19" t="n"/>
      <c r="R16915" s="19" t="n"/>
      <c r="Y16915" s="19" t="n"/>
    </row>
    <row r="16916">
      <c r="C16916" s="18" t="n"/>
      <c r="J16916" s="19" t="n"/>
      <c r="P16916" s="20" t="n"/>
      <c r="Q16916" s="19" t="n"/>
      <c r="R16916" s="19" t="n"/>
      <c r="Y16916" s="19" t="n"/>
    </row>
    <row r="16917">
      <c r="C16917" s="18" t="n"/>
      <c r="J16917" s="19" t="n"/>
      <c r="P16917" s="20" t="n"/>
      <c r="Q16917" s="19" t="n"/>
      <c r="R16917" s="19" t="n"/>
      <c r="Y16917" s="19" t="n"/>
    </row>
    <row r="16918">
      <c r="C16918" s="18" t="n"/>
      <c r="J16918" s="19" t="n"/>
      <c r="P16918" s="20" t="n"/>
      <c r="Q16918" s="19" t="n"/>
      <c r="R16918" s="19" t="n"/>
      <c r="Y16918" s="19" t="n"/>
    </row>
    <row r="16919">
      <c r="C16919" s="18" t="n"/>
      <c r="J16919" s="19" t="n"/>
      <c r="P16919" s="20" t="n"/>
      <c r="Q16919" s="19" t="n"/>
      <c r="R16919" s="19" t="n"/>
      <c r="Y16919" s="19" t="n"/>
    </row>
    <row r="16920">
      <c r="C16920" s="18" t="n"/>
      <c r="J16920" s="19" t="n"/>
      <c r="P16920" s="20" t="n"/>
      <c r="Q16920" s="19" t="n"/>
      <c r="R16920" s="19" t="n"/>
      <c r="Y16920" s="19" t="n"/>
    </row>
    <row r="16921">
      <c r="C16921" s="18" t="n"/>
      <c r="J16921" s="19" t="n"/>
      <c r="P16921" s="20" t="n"/>
      <c r="Q16921" s="19" t="n"/>
      <c r="R16921" s="19" t="n"/>
      <c r="Y16921" s="19" t="n"/>
    </row>
    <row r="16922">
      <c r="C16922" s="18" t="n"/>
      <c r="J16922" s="19" t="n"/>
      <c r="P16922" s="20" t="n"/>
      <c r="Q16922" s="19" t="n"/>
      <c r="R16922" s="19" t="n"/>
      <c r="Y16922" s="19" t="n"/>
    </row>
    <row r="16923">
      <c r="C16923" s="18" t="n"/>
      <c r="J16923" s="19" t="n"/>
      <c r="P16923" s="20" t="n"/>
      <c r="Q16923" s="19" t="n"/>
      <c r="R16923" s="19" t="n"/>
      <c r="Y16923" s="19" t="n"/>
    </row>
    <row r="16924">
      <c r="C16924" s="18" t="n"/>
      <c r="J16924" s="19" t="n"/>
      <c r="P16924" s="20" t="n"/>
      <c r="Q16924" s="19" t="n"/>
      <c r="R16924" s="19" t="n"/>
      <c r="Y16924" s="19" t="n"/>
    </row>
    <row r="16925">
      <c r="C16925" s="18" t="n"/>
      <c r="J16925" s="19" t="n"/>
      <c r="P16925" s="20" t="n"/>
      <c r="Q16925" s="19" t="n"/>
      <c r="R16925" s="19" t="n"/>
      <c r="Y16925" s="19" t="n"/>
    </row>
    <row r="16926">
      <c r="C16926" s="18" t="n"/>
      <c r="J16926" s="19" t="n"/>
      <c r="P16926" s="20" t="n"/>
      <c r="Q16926" s="19" t="n"/>
      <c r="R16926" s="19" t="n"/>
      <c r="Y16926" s="19" t="n"/>
    </row>
    <row r="16927">
      <c r="C16927" s="18" t="n"/>
      <c r="J16927" s="19" t="n"/>
      <c r="P16927" s="20" t="n"/>
      <c r="Q16927" s="19" t="n"/>
      <c r="R16927" s="19" t="n"/>
      <c r="Y16927" s="19" t="n"/>
    </row>
    <row r="16928">
      <c r="C16928" s="18" t="n"/>
      <c r="J16928" s="19" t="n"/>
      <c r="P16928" s="20" t="n"/>
      <c r="Q16928" s="19" t="n"/>
      <c r="R16928" s="19" t="n"/>
      <c r="Y16928" s="19" t="n"/>
    </row>
    <row r="16929">
      <c r="C16929" s="18" t="n"/>
      <c r="J16929" s="19" t="n"/>
      <c r="P16929" s="20" t="n"/>
      <c r="Q16929" s="19" t="n"/>
      <c r="R16929" s="19" t="n"/>
      <c r="Y16929" s="19" t="n"/>
    </row>
    <row r="16930">
      <c r="C16930" s="18" t="n"/>
      <c r="J16930" s="19" t="n"/>
      <c r="P16930" s="20" t="n"/>
      <c r="Q16930" s="19" t="n"/>
      <c r="R16930" s="19" t="n"/>
      <c r="Y16930" s="19" t="n"/>
    </row>
    <row r="16931">
      <c r="C16931" s="18" t="n"/>
      <c r="J16931" s="19" t="n"/>
      <c r="P16931" s="20" t="n"/>
      <c r="Q16931" s="19" t="n"/>
      <c r="R16931" s="19" t="n"/>
      <c r="Y16931" s="19" t="n"/>
    </row>
    <row r="16932">
      <c r="C16932" s="18" t="n"/>
      <c r="J16932" s="19" t="n"/>
      <c r="P16932" s="20" t="n"/>
      <c r="Q16932" s="19" t="n"/>
      <c r="R16932" s="19" t="n"/>
      <c r="Y16932" s="19" t="n"/>
    </row>
    <row r="16933">
      <c r="C16933" s="18" t="n"/>
      <c r="J16933" s="19" t="n"/>
      <c r="P16933" s="20" t="n"/>
      <c r="Q16933" s="19" t="n"/>
      <c r="R16933" s="19" t="n"/>
      <c r="Y16933" s="19" t="n"/>
    </row>
    <row r="16934">
      <c r="C16934" s="18" t="n"/>
      <c r="J16934" s="19" t="n"/>
      <c r="P16934" s="20" t="n"/>
      <c r="Q16934" s="19" t="n"/>
      <c r="R16934" s="19" t="n"/>
      <c r="Y16934" s="19" t="n"/>
    </row>
    <row r="16935">
      <c r="C16935" s="18" t="n"/>
      <c r="J16935" s="19" t="n"/>
      <c r="P16935" s="20" t="n"/>
      <c r="Q16935" s="19" t="n"/>
      <c r="R16935" s="19" t="n"/>
      <c r="Y16935" s="19" t="n"/>
    </row>
    <row r="16936">
      <c r="C16936" s="18" t="n"/>
      <c r="J16936" s="19" t="n"/>
      <c r="P16936" s="20" t="n"/>
      <c r="Q16936" s="19" t="n"/>
      <c r="R16936" s="19" t="n"/>
      <c r="Y16936" s="19" t="n"/>
    </row>
    <row r="16937">
      <c r="C16937" s="18" t="n"/>
      <c r="J16937" s="19" t="n"/>
      <c r="P16937" s="20" t="n"/>
      <c r="Q16937" s="19" t="n"/>
      <c r="R16937" s="19" t="n"/>
      <c r="Y16937" s="19" t="n"/>
    </row>
    <row r="16938">
      <c r="C16938" s="18" t="n"/>
      <c r="J16938" s="19" t="n"/>
      <c r="P16938" s="20" t="n"/>
      <c r="Q16938" s="19" t="n"/>
      <c r="R16938" s="19" t="n"/>
      <c r="Y16938" s="19" t="n"/>
    </row>
    <row r="16939">
      <c r="C16939" s="18" t="n"/>
      <c r="J16939" s="19" t="n"/>
      <c r="P16939" s="20" t="n"/>
      <c r="Q16939" s="19" t="n"/>
      <c r="R16939" s="19" t="n"/>
      <c r="Y16939" s="19" t="n"/>
    </row>
    <row r="16940">
      <c r="C16940" s="18" t="n"/>
      <c r="J16940" s="19" t="n"/>
      <c r="P16940" s="20" t="n"/>
      <c r="Q16940" s="19" t="n"/>
      <c r="R16940" s="19" t="n"/>
      <c r="Y16940" s="19" t="n"/>
    </row>
    <row r="16941">
      <c r="C16941" s="18" t="n"/>
      <c r="J16941" s="19" t="n"/>
      <c r="P16941" s="20" t="n"/>
      <c r="Q16941" s="19" t="n"/>
      <c r="R16941" s="19" t="n"/>
      <c r="Y16941" s="19" t="n"/>
    </row>
    <row r="16942">
      <c r="C16942" s="18" t="n"/>
      <c r="J16942" s="19" t="n"/>
      <c r="P16942" s="20" t="n"/>
      <c r="Q16942" s="19" t="n"/>
      <c r="R16942" s="19" t="n"/>
      <c r="Y16942" s="19" t="n"/>
    </row>
    <row r="16943">
      <c r="C16943" s="18" t="n"/>
      <c r="J16943" s="19" t="n"/>
      <c r="P16943" s="20" t="n"/>
      <c r="Q16943" s="19" t="n"/>
      <c r="R16943" s="19" t="n"/>
      <c r="Y16943" s="19" t="n"/>
    </row>
    <row r="16944">
      <c r="C16944" s="18" t="n"/>
      <c r="J16944" s="19" t="n"/>
      <c r="P16944" s="20" t="n"/>
      <c r="Q16944" s="19" t="n"/>
      <c r="R16944" s="19" t="n"/>
      <c r="Y16944" s="19" t="n"/>
    </row>
    <row r="16945">
      <c r="C16945" s="18" t="n"/>
      <c r="J16945" s="19" t="n"/>
      <c r="P16945" s="20" t="n"/>
      <c r="Q16945" s="19" t="n"/>
      <c r="R16945" s="19" t="n"/>
      <c r="Y16945" s="19" t="n"/>
    </row>
    <row r="16946">
      <c r="C16946" s="18" t="n"/>
      <c r="J16946" s="19" t="n"/>
      <c r="P16946" s="20" t="n"/>
      <c r="Q16946" s="19" t="n"/>
      <c r="R16946" s="19" t="n"/>
      <c r="Y16946" s="19" t="n"/>
    </row>
    <row r="16947">
      <c r="C16947" s="18" t="n"/>
      <c r="J16947" s="19" t="n"/>
      <c r="P16947" s="20" t="n"/>
      <c r="Q16947" s="19" t="n"/>
      <c r="R16947" s="19" t="n"/>
      <c r="Y16947" s="19" t="n"/>
    </row>
    <row r="16948">
      <c r="C16948" s="18" t="n"/>
      <c r="J16948" s="19" t="n"/>
      <c r="P16948" s="20" t="n"/>
      <c r="Q16948" s="19" t="n"/>
      <c r="R16948" s="19" t="n"/>
      <c r="Y16948" s="19" t="n"/>
    </row>
    <row r="16949">
      <c r="C16949" s="18" t="n"/>
      <c r="J16949" s="19" t="n"/>
      <c r="P16949" s="20" t="n"/>
      <c r="Q16949" s="19" t="n"/>
      <c r="R16949" s="19" t="n"/>
      <c r="Y16949" s="19" t="n"/>
    </row>
    <row r="16950">
      <c r="C16950" s="18" t="n"/>
      <c r="J16950" s="19" t="n"/>
      <c r="P16950" s="20" t="n"/>
      <c r="Q16950" s="19" t="n"/>
      <c r="R16950" s="19" t="n"/>
      <c r="Y16950" s="19" t="n"/>
    </row>
    <row r="16951">
      <c r="C16951" s="18" t="n"/>
      <c r="J16951" s="19" t="n"/>
      <c r="P16951" s="20" t="n"/>
      <c r="Q16951" s="19" t="n"/>
      <c r="R16951" s="19" t="n"/>
      <c r="Y16951" s="19" t="n"/>
    </row>
    <row r="16952">
      <c r="C16952" s="18" t="n"/>
      <c r="J16952" s="19" t="n"/>
      <c r="P16952" s="20" t="n"/>
      <c r="Q16952" s="19" t="n"/>
      <c r="R16952" s="19" t="n"/>
      <c r="Y16952" s="19" t="n"/>
    </row>
    <row r="16953">
      <c r="C16953" s="18" t="n"/>
      <c r="J16953" s="19" t="n"/>
      <c r="P16953" s="20" t="n"/>
      <c r="Q16953" s="19" t="n"/>
      <c r="R16953" s="19" t="n"/>
      <c r="Y16953" s="19" t="n"/>
    </row>
    <row r="16954">
      <c r="C16954" s="18" t="n"/>
      <c r="J16954" s="19" t="n"/>
      <c r="P16954" s="20" t="n"/>
      <c r="Q16954" s="19" t="n"/>
      <c r="R16954" s="19" t="n"/>
      <c r="Y16954" s="19" t="n"/>
    </row>
    <row r="16955">
      <c r="C16955" s="18" t="n"/>
      <c r="J16955" s="19" t="n"/>
      <c r="P16955" s="20" t="n"/>
      <c r="Q16955" s="19" t="n"/>
      <c r="R16955" s="19" t="n"/>
      <c r="Y16955" s="19" t="n"/>
    </row>
    <row r="16956">
      <c r="C16956" s="18" t="n"/>
      <c r="J16956" s="19" t="n"/>
      <c r="P16956" s="20" t="n"/>
      <c r="Q16956" s="19" t="n"/>
      <c r="R16956" s="19" t="n"/>
      <c r="Y16956" s="19" t="n"/>
    </row>
    <row r="16957">
      <c r="C16957" s="18" t="n"/>
      <c r="J16957" s="19" t="n"/>
      <c r="P16957" s="20" t="n"/>
      <c r="Q16957" s="19" t="n"/>
      <c r="R16957" s="19" t="n"/>
      <c r="Y16957" s="19" t="n"/>
    </row>
    <row r="16958">
      <c r="C16958" s="18" t="n"/>
      <c r="J16958" s="19" t="n"/>
      <c r="P16958" s="20" t="n"/>
      <c r="Q16958" s="19" t="n"/>
      <c r="R16958" s="19" t="n"/>
      <c r="Y16958" s="19" t="n"/>
    </row>
    <row r="16959">
      <c r="C16959" s="18" t="n"/>
      <c r="J16959" s="19" t="n"/>
      <c r="P16959" s="20" t="n"/>
      <c r="Q16959" s="19" t="n"/>
      <c r="R16959" s="19" t="n"/>
      <c r="Y16959" s="19" t="n"/>
    </row>
    <row r="16960">
      <c r="C16960" s="18" t="n"/>
      <c r="J16960" s="19" t="n"/>
      <c r="P16960" s="20" t="n"/>
      <c r="Q16960" s="19" t="n"/>
      <c r="R16960" s="19" t="n"/>
      <c r="Y16960" s="19" t="n"/>
    </row>
    <row r="16961">
      <c r="C16961" s="18" t="n"/>
      <c r="J16961" s="19" t="n"/>
      <c r="P16961" s="20" t="n"/>
      <c r="Q16961" s="19" t="n"/>
      <c r="R16961" s="19" t="n"/>
      <c r="Y16961" s="19" t="n"/>
    </row>
    <row r="16962">
      <c r="C16962" s="18" t="n"/>
      <c r="J16962" s="19" t="n"/>
      <c r="P16962" s="20" t="n"/>
      <c r="Q16962" s="19" t="n"/>
      <c r="R16962" s="19" t="n"/>
      <c r="Y16962" s="19" t="n"/>
    </row>
    <row r="16963">
      <c r="C16963" s="18" t="n"/>
      <c r="J16963" s="19" t="n"/>
      <c r="P16963" s="20" t="n"/>
      <c r="Q16963" s="19" t="n"/>
      <c r="R16963" s="19" t="n"/>
      <c r="Y16963" s="19" t="n"/>
    </row>
    <row r="16964">
      <c r="C16964" s="18" t="n"/>
      <c r="J16964" s="19" t="n"/>
      <c r="P16964" s="20" t="n"/>
      <c r="Q16964" s="19" t="n"/>
      <c r="R16964" s="19" t="n"/>
      <c r="Y16964" s="19" t="n"/>
    </row>
    <row r="16965">
      <c r="C16965" s="18" t="n"/>
      <c r="J16965" s="19" t="n"/>
      <c r="P16965" s="20" t="n"/>
      <c r="Q16965" s="19" t="n"/>
      <c r="R16965" s="19" t="n"/>
      <c r="Y16965" s="19" t="n"/>
    </row>
    <row r="16966">
      <c r="C16966" s="18" t="n"/>
      <c r="J16966" s="19" t="n"/>
      <c r="P16966" s="20" t="n"/>
      <c r="Q16966" s="19" t="n"/>
      <c r="R16966" s="19" t="n"/>
      <c r="Y16966" s="19" t="n"/>
    </row>
    <row r="16967">
      <c r="C16967" s="18" t="n"/>
      <c r="J16967" s="19" t="n"/>
      <c r="P16967" s="20" t="n"/>
      <c r="Q16967" s="19" t="n"/>
      <c r="R16967" s="19" t="n"/>
      <c r="Y16967" s="19" t="n"/>
    </row>
    <row r="16968">
      <c r="C16968" s="18" t="n"/>
      <c r="J16968" s="19" t="n"/>
      <c r="P16968" s="20" t="n"/>
      <c r="Q16968" s="19" t="n"/>
      <c r="R16968" s="19" t="n"/>
      <c r="Y16968" s="19" t="n"/>
    </row>
    <row r="16969">
      <c r="C16969" s="18" t="n"/>
      <c r="J16969" s="19" t="n"/>
      <c r="P16969" s="20" t="n"/>
      <c r="Q16969" s="19" t="n"/>
      <c r="R16969" s="19" t="n"/>
      <c r="Y16969" s="19" t="n"/>
    </row>
    <row r="16970">
      <c r="C16970" s="18" t="n"/>
      <c r="J16970" s="19" t="n"/>
      <c r="P16970" s="20" t="n"/>
      <c r="Q16970" s="19" t="n"/>
      <c r="R16970" s="19" t="n"/>
      <c r="Y16970" s="19" t="n"/>
    </row>
    <row r="16971">
      <c r="C16971" s="18" t="n"/>
      <c r="J16971" s="19" t="n"/>
      <c r="P16971" s="20" t="n"/>
      <c r="Q16971" s="19" t="n"/>
      <c r="R16971" s="19" t="n"/>
      <c r="Y16971" s="19" t="n"/>
    </row>
    <row r="16972">
      <c r="C16972" s="18" t="n"/>
      <c r="J16972" s="19" t="n"/>
      <c r="P16972" s="20" t="n"/>
      <c r="Q16972" s="19" t="n"/>
      <c r="R16972" s="19" t="n"/>
      <c r="Y16972" s="19" t="n"/>
    </row>
    <row r="16973">
      <c r="C16973" s="18" t="n"/>
      <c r="J16973" s="19" t="n"/>
      <c r="P16973" s="20" t="n"/>
      <c r="Q16973" s="19" t="n"/>
      <c r="R16973" s="19" t="n"/>
      <c r="Y16973" s="19" t="n"/>
    </row>
    <row r="16974">
      <c r="C16974" s="18" t="n"/>
      <c r="J16974" s="19" t="n"/>
      <c r="P16974" s="20" t="n"/>
      <c r="Q16974" s="19" t="n"/>
      <c r="R16974" s="19" t="n"/>
      <c r="Y16974" s="19" t="n"/>
    </row>
    <row r="16975">
      <c r="C16975" s="18" t="n"/>
      <c r="J16975" s="19" t="n"/>
      <c r="P16975" s="20" t="n"/>
      <c r="Q16975" s="19" t="n"/>
      <c r="R16975" s="19" t="n"/>
      <c r="Y16975" s="19" t="n"/>
    </row>
    <row r="16976">
      <c r="C16976" s="18" t="n"/>
      <c r="J16976" s="19" t="n"/>
      <c r="P16976" s="20" t="n"/>
      <c r="Q16976" s="19" t="n"/>
      <c r="R16976" s="19" t="n"/>
      <c r="Y16976" s="19" t="n"/>
    </row>
    <row r="16977">
      <c r="C16977" s="18" t="n"/>
      <c r="J16977" s="19" t="n"/>
      <c r="P16977" s="20" t="n"/>
      <c r="Q16977" s="19" t="n"/>
      <c r="R16977" s="19" t="n"/>
      <c r="Y16977" s="19" t="n"/>
    </row>
    <row r="16978">
      <c r="C16978" s="18" t="n"/>
      <c r="J16978" s="19" t="n"/>
      <c r="P16978" s="20" t="n"/>
      <c r="Q16978" s="19" t="n"/>
      <c r="R16978" s="19" t="n"/>
      <c r="Y16978" s="19" t="n"/>
    </row>
    <row r="16979">
      <c r="C16979" s="18" t="n"/>
      <c r="J16979" s="19" t="n"/>
      <c r="P16979" s="20" t="n"/>
      <c r="Q16979" s="19" t="n"/>
      <c r="R16979" s="19" t="n"/>
      <c r="Y16979" s="19" t="n"/>
    </row>
    <row r="16980">
      <c r="C16980" s="18" t="n"/>
      <c r="J16980" s="19" t="n"/>
      <c r="P16980" s="20" t="n"/>
      <c r="Q16980" s="19" t="n"/>
      <c r="R16980" s="19" t="n"/>
      <c r="Y16980" s="19" t="n"/>
    </row>
    <row r="16981">
      <c r="C16981" s="18" t="n"/>
      <c r="J16981" s="19" t="n"/>
      <c r="P16981" s="20" t="n"/>
      <c r="Q16981" s="19" t="n"/>
      <c r="R16981" s="19" t="n"/>
      <c r="Y16981" s="19" t="n"/>
    </row>
    <row r="16982">
      <c r="C16982" s="18" t="n"/>
      <c r="J16982" s="19" t="n"/>
      <c r="P16982" s="20" t="n"/>
      <c r="Q16982" s="19" t="n"/>
      <c r="R16982" s="19" t="n"/>
      <c r="Y16982" s="19" t="n"/>
    </row>
    <row r="16983">
      <c r="C16983" s="18" t="n"/>
      <c r="J16983" s="19" t="n"/>
      <c r="P16983" s="20" t="n"/>
      <c r="Q16983" s="19" t="n"/>
      <c r="R16983" s="19" t="n"/>
      <c r="Y16983" s="19" t="n"/>
    </row>
    <row r="16984">
      <c r="C16984" s="18" t="n"/>
      <c r="J16984" s="19" t="n"/>
      <c r="P16984" s="20" t="n"/>
      <c r="Q16984" s="19" t="n"/>
      <c r="R16984" s="19" t="n"/>
      <c r="Y16984" s="19" t="n"/>
    </row>
    <row r="16985">
      <c r="C16985" s="18" t="n"/>
      <c r="J16985" s="19" t="n"/>
      <c r="P16985" s="20" t="n"/>
      <c r="Q16985" s="19" t="n"/>
      <c r="R16985" s="19" t="n"/>
      <c r="Y16985" s="19" t="n"/>
    </row>
    <row r="16986">
      <c r="C16986" s="18" t="n"/>
      <c r="J16986" s="19" t="n"/>
      <c r="P16986" s="20" t="n"/>
      <c r="Q16986" s="19" t="n"/>
      <c r="R16986" s="19" t="n"/>
      <c r="Y16986" s="19" t="n"/>
    </row>
    <row r="16987">
      <c r="C16987" s="18" t="n"/>
      <c r="J16987" s="19" t="n"/>
      <c r="P16987" s="20" t="n"/>
      <c r="Q16987" s="19" t="n"/>
      <c r="R16987" s="19" t="n"/>
      <c r="Y16987" s="19" t="n"/>
    </row>
    <row r="16988">
      <c r="C16988" s="18" t="n"/>
      <c r="J16988" s="19" t="n"/>
      <c r="P16988" s="20" t="n"/>
      <c r="Q16988" s="19" t="n"/>
      <c r="R16988" s="19" t="n"/>
      <c r="Y16988" s="19" t="n"/>
    </row>
    <row r="16989">
      <c r="C16989" s="18" t="n"/>
      <c r="J16989" s="19" t="n"/>
      <c r="P16989" s="20" t="n"/>
      <c r="Q16989" s="19" t="n"/>
      <c r="R16989" s="19" t="n"/>
      <c r="Y16989" s="19" t="n"/>
    </row>
    <row r="16990">
      <c r="C16990" s="18" t="n"/>
      <c r="J16990" s="19" t="n"/>
      <c r="P16990" s="20" t="n"/>
      <c r="Q16990" s="19" t="n"/>
      <c r="R16990" s="19" t="n"/>
      <c r="Y16990" s="19" t="n"/>
    </row>
    <row r="16991">
      <c r="C16991" s="18" t="n"/>
      <c r="J16991" s="19" t="n"/>
      <c r="P16991" s="20" t="n"/>
      <c r="Q16991" s="19" t="n"/>
      <c r="R16991" s="19" t="n"/>
      <c r="Y16991" s="19" t="n"/>
    </row>
    <row r="16992">
      <c r="C16992" s="18" t="n"/>
      <c r="J16992" s="19" t="n"/>
      <c r="P16992" s="20" t="n"/>
      <c r="Q16992" s="19" t="n"/>
      <c r="R16992" s="19" t="n"/>
      <c r="Y16992" s="19" t="n"/>
    </row>
    <row r="16993">
      <c r="C16993" s="18" t="n"/>
      <c r="J16993" s="19" t="n"/>
      <c r="P16993" s="20" t="n"/>
      <c r="Q16993" s="19" t="n"/>
      <c r="R16993" s="19" t="n"/>
      <c r="Y16993" s="19" t="n"/>
    </row>
    <row r="16994">
      <c r="C16994" s="18" t="n"/>
      <c r="J16994" s="19" t="n"/>
      <c r="P16994" s="20" t="n"/>
      <c r="Q16994" s="19" t="n"/>
      <c r="R16994" s="19" t="n"/>
      <c r="Y16994" s="19" t="n"/>
    </row>
    <row r="16995">
      <c r="C16995" s="18" t="n"/>
      <c r="J16995" s="19" t="n"/>
      <c r="P16995" s="20" t="n"/>
      <c r="Q16995" s="19" t="n"/>
      <c r="R16995" s="19" t="n"/>
      <c r="Y16995" s="19" t="n"/>
    </row>
    <row r="16996">
      <c r="C16996" s="18" t="n"/>
      <c r="J16996" s="19" t="n"/>
      <c r="P16996" s="20" t="n"/>
      <c r="Q16996" s="19" t="n"/>
      <c r="R16996" s="19" t="n"/>
      <c r="Y16996" s="19" t="n"/>
    </row>
    <row r="16997">
      <c r="C16997" s="18" t="n"/>
      <c r="J16997" s="19" t="n"/>
      <c r="P16997" s="20" t="n"/>
      <c r="Q16997" s="19" t="n"/>
      <c r="R16997" s="19" t="n"/>
      <c r="Y16997" s="19" t="n"/>
    </row>
    <row r="16998">
      <c r="C16998" s="18" t="n"/>
      <c r="J16998" s="19" t="n"/>
      <c r="P16998" s="20" t="n"/>
      <c r="Q16998" s="19" t="n"/>
      <c r="R16998" s="19" t="n"/>
      <c r="Y16998" s="19" t="n"/>
    </row>
    <row r="16999">
      <c r="C16999" s="18" t="n"/>
      <c r="J16999" s="19" t="n"/>
      <c r="P16999" s="20" t="n"/>
      <c r="Q16999" s="19" t="n"/>
      <c r="R16999" s="19" t="n"/>
      <c r="Y16999" s="19" t="n"/>
    </row>
    <row r="17000">
      <c r="C17000" s="18" t="n"/>
      <c r="J17000" s="19" t="n"/>
      <c r="P17000" s="20" t="n"/>
      <c r="Q17000" s="19" t="n"/>
      <c r="R17000" s="19" t="n"/>
      <c r="Y17000" s="19" t="n"/>
    </row>
    <row r="17001">
      <c r="C17001" s="18" t="n"/>
      <c r="J17001" s="19" t="n"/>
      <c r="P17001" s="20" t="n"/>
      <c r="Q17001" s="19" t="n"/>
      <c r="R17001" s="19" t="n"/>
      <c r="Y17001" s="19" t="n"/>
    </row>
    <row r="17002">
      <c r="C17002" s="18" t="n"/>
      <c r="J17002" s="19" t="n"/>
      <c r="P17002" s="20" t="n"/>
      <c r="Q17002" s="19" t="n"/>
      <c r="R17002" s="19" t="n"/>
      <c r="Y17002" s="19" t="n"/>
    </row>
    <row r="17003">
      <c r="C17003" s="18" t="n"/>
      <c r="J17003" s="19" t="n"/>
      <c r="P17003" s="20" t="n"/>
      <c r="Q17003" s="19" t="n"/>
      <c r="R17003" s="19" t="n"/>
      <c r="Y17003" s="19" t="n"/>
    </row>
    <row r="17004">
      <c r="C17004" s="18" t="n"/>
      <c r="J17004" s="19" t="n"/>
      <c r="P17004" s="20" t="n"/>
      <c r="Q17004" s="19" t="n"/>
      <c r="R17004" s="19" t="n"/>
      <c r="Y17004" s="19" t="n"/>
    </row>
    <row r="17005">
      <c r="C17005" s="18" t="n"/>
      <c r="J17005" s="19" t="n"/>
      <c r="P17005" s="20" t="n"/>
      <c r="Q17005" s="19" t="n"/>
      <c r="R17005" s="19" t="n"/>
      <c r="Y17005" s="19" t="n"/>
    </row>
    <row r="17006">
      <c r="C17006" s="18" t="n"/>
      <c r="J17006" s="19" t="n"/>
      <c r="P17006" s="20" t="n"/>
      <c r="Q17006" s="19" t="n"/>
      <c r="R17006" s="19" t="n"/>
      <c r="Y17006" s="19" t="n"/>
    </row>
    <row r="17007">
      <c r="C17007" s="18" t="n"/>
      <c r="J17007" s="19" t="n"/>
      <c r="P17007" s="20" t="n"/>
      <c r="Q17007" s="19" t="n"/>
      <c r="R17007" s="19" t="n"/>
      <c r="Y17007" s="19" t="n"/>
    </row>
    <row r="17008">
      <c r="C17008" s="18" t="n"/>
      <c r="J17008" s="19" t="n"/>
      <c r="P17008" s="20" t="n"/>
      <c r="Q17008" s="19" t="n"/>
      <c r="R17008" s="19" t="n"/>
      <c r="Y17008" s="19" t="n"/>
    </row>
    <row r="17009">
      <c r="C17009" s="18" t="n"/>
      <c r="J17009" s="19" t="n"/>
      <c r="P17009" s="20" t="n"/>
      <c r="Q17009" s="19" t="n"/>
      <c r="R17009" s="19" t="n"/>
      <c r="Y17009" s="19" t="n"/>
    </row>
    <row r="17010">
      <c r="C17010" s="18" t="n"/>
      <c r="J17010" s="19" t="n"/>
      <c r="P17010" s="20" t="n"/>
      <c r="Q17010" s="19" t="n"/>
      <c r="R17010" s="19" t="n"/>
      <c r="Y17010" s="19" t="n"/>
    </row>
    <row r="17011">
      <c r="C17011" s="18" t="n"/>
      <c r="J17011" s="19" t="n"/>
      <c r="P17011" s="20" t="n"/>
      <c r="Q17011" s="19" t="n"/>
      <c r="R17011" s="19" t="n"/>
      <c r="Y17011" s="19" t="n"/>
    </row>
    <row r="17012">
      <c r="C17012" s="18" t="n"/>
      <c r="J17012" s="19" t="n"/>
      <c r="P17012" s="20" t="n"/>
      <c r="Q17012" s="19" t="n"/>
      <c r="R17012" s="19" t="n"/>
      <c r="Y17012" s="19" t="n"/>
    </row>
    <row r="17013">
      <c r="C17013" s="18" t="n"/>
      <c r="J17013" s="19" t="n"/>
      <c r="P17013" s="20" t="n"/>
      <c r="Q17013" s="19" t="n"/>
      <c r="R17013" s="19" t="n"/>
      <c r="Y17013" s="19" t="n"/>
    </row>
    <row r="17014">
      <c r="C17014" s="18" t="n"/>
      <c r="J17014" s="19" t="n"/>
      <c r="P17014" s="20" t="n"/>
      <c r="Q17014" s="19" t="n"/>
      <c r="R17014" s="19" t="n"/>
      <c r="Y17014" s="19" t="n"/>
    </row>
    <row r="17015">
      <c r="C17015" s="18" t="n"/>
      <c r="J17015" s="19" t="n"/>
      <c r="P17015" s="20" t="n"/>
      <c r="Q17015" s="19" t="n"/>
      <c r="R17015" s="19" t="n"/>
      <c r="Y17015" s="19" t="n"/>
    </row>
    <row r="17016">
      <c r="C17016" s="18" t="n"/>
      <c r="J17016" s="19" t="n"/>
      <c r="P17016" s="20" t="n"/>
      <c r="Q17016" s="19" t="n"/>
      <c r="R17016" s="19" t="n"/>
      <c r="Y17016" s="19" t="n"/>
    </row>
    <row r="17017">
      <c r="C17017" s="18" t="n"/>
      <c r="J17017" s="19" t="n"/>
      <c r="P17017" s="20" t="n"/>
      <c r="Q17017" s="19" t="n"/>
      <c r="R17017" s="19" t="n"/>
      <c r="Y17017" s="19" t="n"/>
    </row>
    <row r="17018">
      <c r="C17018" s="18" t="n"/>
      <c r="J17018" s="19" t="n"/>
      <c r="P17018" s="20" t="n"/>
      <c r="Q17018" s="19" t="n"/>
      <c r="R17018" s="19" t="n"/>
      <c r="Y17018" s="19" t="n"/>
    </row>
    <row r="17019">
      <c r="C17019" s="18" t="n"/>
      <c r="J17019" s="19" t="n"/>
      <c r="P17019" s="20" t="n"/>
      <c r="Q17019" s="19" t="n"/>
      <c r="R17019" s="19" t="n"/>
      <c r="Y17019" s="19" t="n"/>
    </row>
    <row r="17020">
      <c r="C17020" s="18" t="n"/>
      <c r="J17020" s="19" t="n"/>
      <c r="P17020" s="20" t="n"/>
      <c r="Q17020" s="19" t="n"/>
      <c r="R17020" s="19" t="n"/>
      <c r="Y17020" s="19" t="n"/>
    </row>
    <row r="17021">
      <c r="C17021" s="18" t="n"/>
      <c r="J17021" s="19" t="n"/>
      <c r="P17021" s="20" t="n"/>
      <c r="Q17021" s="19" t="n"/>
      <c r="R17021" s="19" t="n"/>
      <c r="Y17021" s="19" t="n"/>
    </row>
    <row r="17022">
      <c r="C17022" s="18" t="n"/>
      <c r="J17022" s="19" t="n"/>
      <c r="P17022" s="20" t="n"/>
      <c r="Q17022" s="19" t="n"/>
      <c r="R17022" s="19" t="n"/>
      <c r="Y17022" s="19" t="n"/>
    </row>
    <row r="17023">
      <c r="C17023" s="18" t="n"/>
      <c r="J17023" s="19" t="n"/>
      <c r="P17023" s="20" t="n"/>
      <c r="Q17023" s="19" t="n"/>
      <c r="R17023" s="19" t="n"/>
      <c r="Y17023" s="19" t="n"/>
    </row>
    <row r="17024">
      <c r="C17024" s="18" t="n"/>
      <c r="J17024" s="19" t="n"/>
      <c r="P17024" s="20" t="n"/>
      <c r="Q17024" s="19" t="n"/>
      <c r="R17024" s="19" t="n"/>
      <c r="Y17024" s="19" t="n"/>
    </row>
    <row r="17025">
      <c r="C17025" s="18" t="n"/>
      <c r="J17025" s="19" t="n"/>
      <c r="P17025" s="20" t="n"/>
      <c r="Q17025" s="19" t="n"/>
      <c r="R17025" s="19" t="n"/>
      <c r="Y17025" s="19" t="n"/>
    </row>
    <row r="17026">
      <c r="C17026" s="18" t="n"/>
      <c r="J17026" s="19" t="n"/>
      <c r="P17026" s="20" t="n"/>
      <c r="Q17026" s="19" t="n"/>
      <c r="R17026" s="19" t="n"/>
      <c r="Y17026" s="19" t="n"/>
    </row>
    <row r="17027">
      <c r="C17027" s="18" t="n"/>
      <c r="J17027" s="19" t="n"/>
      <c r="P17027" s="20" t="n"/>
      <c r="Q17027" s="19" t="n"/>
      <c r="R17027" s="19" t="n"/>
      <c r="Y17027" s="19" t="n"/>
    </row>
    <row r="17028">
      <c r="C17028" s="18" t="n"/>
      <c r="J17028" s="19" t="n"/>
      <c r="P17028" s="20" t="n"/>
      <c r="Q17028" s="19" t="n"/>
      <c r="R17028" s="19" t="n"/>
      <c r="Y17028" s="19" t="n"/>
    </row>
    <row r="17029">
      <c r="C17029" s="18" t="n"/>
      <c r="J17029" s="19" t="n"/>
      <c r="P17029" s="20" t="n"/>
      <c r="Q17029" s="19" t="n"/>
      <c r="R17029" s="19" t="n"/>
      <c r="Y17029" s="19" t="n"/>
    </row>
    <row r="17030">
      <c r="C17030" s="18" t="n"/>
      <c r="J17030" s="19" t="n"/>
      <c r="P17030" s="20" t="n"/>
      <c r="Q17030" s="19" t="n"/>
      <c r="R17030" s="19" t="n"/>
      <c r="Y17030" s="19" t="n"/>
    </row>
    <row r="17031">
      <c r="C17031" s="18" t="n"/>
      <c r="J17031" s="19" t="n"/>
      <c r="P17031" s="20" t="n"/>
      <c r="Q17031" s="19" t="n"/>
      <c r="R17031" s="19" t="n"/>
      <c r="Y17031" s="19" t="n"/>
    </row>
    <row r="17032">
      <c r="C17032" s="18" t="n"/>
      <c r="J17032" s="19" t="n"/>
      <c r="P17032" s="20" t="n"/>
      <c r="Q17032" s="19" t="n"/>
      <c r="R17032" s="19" t="n"/>
      <c r="Y17032" s="19" t="n"/>
    </row>
    <row r="17033">
      <c r="C17033" s="18" t="n"/>
      <c r="J17033" s="19" t="n"/>
      <c r="P17033" s="20" t="n"/>
      <c r="Q17033" s="19" t="n"/>
      <c r="R17033" s="19" t="n"/>
      <c r="Y17033" s="19" t="n"/>
    </row>
    <row r="17034">
      <c r="C17034" s="18" t="n"/>
      <c r="J17034" s="19" t="n"/>
      <c r="P17034" s="20" t="n"/>
      <c r="Q17034" s="19" t="n"/>
      <c r="R17034" s="19" t="n"/>
      <c r="Y17034" s="19" t="n"/>
    </row>
    <row r="17035">
      <c r="C17035" s="18" t="n"/>
      <c r="J17035" s="19" t="n"/>
      <c r="P17035" s="20" t="n"/>
      <c r="Q17035" s="19" t="n"/>
      <c r="R17035" s="19" t="n"/>
      <c r="Y17035" s="19" t="n"/>
    </row>
    <row r="17036">
      <c r="C17036" s="18" t="n"/>
      <c r="J17036" s="19" t="n"/>
      <c r="P17036" s="20" t="n"/>
      <c r="Q17036" s="19" t="n"/>
      <c r="R17036" s="19" t="n"/>
      <c r="Y17036" s="19" t="n"/>
    </row>
    <row r="17037">
      <c r="C17037" s="18" t="n"/>
      <c r="J17037" s="19" t="n"/>
      <c r="P17037" s="20" t="n"/>
      <c r="Q17037" s="19" t="n"/>
      <c r="R17037" s="19" t="n"/>
      <c r="Y17037" s="19" t="n"/>
    </row>
    <row r="17038">
      <c r="C17038" s="18" t="n"/>
      <c r="J17038" s="19" t="n"/>
      <c r="P17038" s="20" t="n"/>
      <c r="Q17038" s="19" t="n"/>
      <c r="R17038" s="19" t="n"/>
      <c r="Y17038" s="19" t="n"/>
    </row>
    <row r="17039">
      <c r="C17039" s="18" t="n"/>
      <c r="J17039" s="19" t="n"/>
      <c r="P17039" s="20" t="n"/>
      <c r="Q17039" s="19" t="n"/>
      <c r="R17039" s="19" t="n"/>
      <c r="Y17039" s="19" t="n"/>
    </row>
    <row r="17040">
      <c r="C17040" s="18" t="n"/>
      <c r="J17040" s="19" t="n"/>
      <c r="P17040" s="20" t="n"/>
      <c r="Q17040" s="19" t="n"/>
      <c r="R17040" s="19" t="n"/>
      <c r="Y17040" s="19" t="n"/>
    </row>
    <row r="17041">
      <c r="C17041" s="18" t="n"/>
      <c r="J17041" s="19" t="n"/>
      <c r="P17041" s="20" t="n"/>
      <c r="Q17041" s="19" t="n"/>
      <c r="R17041" s="19" t="n"/>
      <c r="Y17041" s="19" t="n"/>
    </row>
    <row r="17042">
      <c r="C17042" s="18" t="n"/>
      <c r="J17042" s="19" t="n"/>
      <c r="P17042" s="20" t="n"/>
      <c r="Q17042" s="19" t="n"/>
      <c r="R17042" s="19" t="n"/>
      <c r="Y17042" s="19" t="n"/>
    </row>
    <row r="17043">
      <c r="C17043" s="18" t="n"/>
      <c r="J17043" s="19" t="n"/>
      <c r="P17043" s="20" t="n"/>
      <c r="Q17043" s="19" t="n"/>
      <c r="R17043" s="19" t="n"/>
      <c r="Y17043" s="19" t="n"/>
    </row>
    <row r="17044">
      <c r="C17044" s="18" t="n"/>
      <c r="J17044" s="19" t="n"/>
      <c r="P17044" s="20" t="n"/>
      <c r="Q17044" s="19" t="n"/>
      <c r="R17044" s="19" t="n"/>
      <c r="Y17044" s="19" t="n"/>
    </row>
    <row r="17045">
      <c r="C17045" s="18" t="n"/>
      <c r="J17045" s="19" t="n"/>
      <c r="P17045" s="20" t="n"/>
      <c r="Q17045" s="19" t="n"/>
      <c r="R17045" s="19" t="n"/>
      <c r="Y17045" s="19" t="n"/>
    </row>
    <row r="17046">
      <c r="C17046" s="18" t="n"/>
      <c r="J17046" s="19" t="n"/>
      <c r="P17046" s="20" t="n"/>
      <c r="Q17046" s="19" t="n"/>
      <c r="R17046" s="19" t="n"/>
      <c r="Y17046" s="19" t="n"/>
    </row>
    <row r="17047">
      <c r="C17047" s="18" t="n"/>
      <c r="J17047" s="19" t="n"/>
      <c r="P17047" s="20" t="n"/>
      <c r="Q17047" s="19" t="n"/>
      <c r="R17047" s="19" t="n"/>
      <c r="Y17047" s="19" t="n"/>
    </row>
    <row r="17048">
      <c r="C17048" s="18" t="n"/>
      <c r="J17048" s="19" t="n"/>
      <c r="P17048" s="20" t="n"/>
      <c r="Q17048" s="19" t="n"/>
      <c r="R17048" s="19" t="n"/>
      <c r="Y17048" s="19" t="n"/>
    </row>
    <row r="17049">
      <c r="C17049" s="18" t="n"/>
      <c r="J17049" s="19" t="n"/>
      <c r="P17049" s="20" t="n"/>
      <c r="Q17049" s="19" t="n"/>
      <c r="R17049" s="19" t="n"/>
      <c r="Y17049" s="19" t="n"/>
    </row>
    <row r="17050">
      <c r="C17050" s="18" t="n"/>
      <c r="J17050" s="19" t="n"/>
      <c r="P17050" s="20" t="n"/>
      <c r="Q17050" s="19" t="n"/>
      <c r="R17050" s="19" t="n"/>
      <c r="Y17050" s="19" t="n"/>
    </row>
    <row r="17051">
      <c r="C17051" s="18" t="n"/>
      <c r="J17051" s="19" t="n"/>
      <c r="P17051" s="20" t="n"/>
      <c r="Q17051" s="19" t="n"/>
      <c r="R17051" s="19" t="n"/>
      <c r="Y17051" s="19" t="n"/>
    </row>
    <row r="17052">
      <c r="C17052" s="18" t="n"/>
      <c r="J17052" s="19" t="n"/>
      <c r="P17052" s="20" t="n"/>
      <c r="Q17052" s="19" t="n"/>
      <c r="R17052" s="19" t="n"/>
      <c r="Y17052" s="19" t="n"/>
    </row>
    <row r="17053">
      <c r="C17053" s="18" t="n"/>
      <c r="J17053" s="19" t="n"/>
      <c r="P17053" s="20" t="n"/>
      <c r="Q17053" s="19" t="n"/>
      <c r="R17053" s="19" t="n"/>
      <c r="Y17053" s="19" t="n"/>
    </row>
    <row r="17054">
      <c r="C17054" s="18" t="n"/>
      <c r="J17054" s="19" t="n"/>
      <c r="P17054" s="20" t="n"/>
      <c r="Q17054" s="19" t="n"/>
      <c r="R17054" s="19" t="n"/>
      <c r="Y17054" s="19" t="n"/>
    </row>
    <row r="17055">
      <c r="C17055" s="18" t="n"/>
      <c r="J17055" s="19" t="n"/>
      <c r="P17055" s="20" t="n"/>
      <c r="Q17055" s="19" t="n"/>
      <c r="R17055" s="19" t="n"/>
      <c r="Y17055" s="19" t="n"/>
    </row>
    <row r="17056">
      <c r="C17056" s="18" t="n"/>
      <c r="J17056" s="19" t="n"/>
      <c r="P17056" s="20" t="n"/>
      <c r="Q17056" s="19" t="n"/>
      <c r="R17056" s="19" t="n"/>
      <c r="Y17056" s="19" t="n"/>
    </row>
    <row r="17057">
      <c r="C17057" s="18" t="n"/>
      <c r="J17057" s="19" t="n"/>
      <c r="P17057" s="20" t="n"/>
      <c r="Q17057" s="19" t="n"/>
      <c r="R17057" s="19" t="n"/>
      <c r="Y17057" s="19" t="n"/>
    </row>
    <row r="17058">
      <c r="C17058" s="18" t="n"/>
      <c r="J17058" s="19" t="n"/>
      <c r="P17058" s="20" t="n"/>
      <c r="Q17058" s="19" t="n"/>
      <c r="R17058" s="19" t="n"/>
      <c r="Y17058" s="19" t="n"/>
    </row>
    <row r="17059">
      <c r="C17059" s="18" t="n"/>
      <c r="J17059" s="19" t="n"/>
      <c r="P17059" s="20" t="n"/>
      <c r="Q17059" s="19" t="n"/>
      <c r="R17059" s="19" t="n"/>
      <c r="Y17059" s="19" t="n"/>
    </row>
    <row r="17060">
      <c r="C17060" s="18" t="n"/>
      <c r="J17060" s="19" t="n"/>
      <c r="P17060" s="20" t="n"/>
      <c r="Q17060" s="19" t="n"/>
      <c r="R17060" s="19" t="n"/>
      <c r="Y17060" s="19" t="n"/>
    </row>
    <row r="17061">
      <c r="C17061" s="18" t="n"/>
      <c r="J17061" s="19" t="n"/>
      <c r="P17061" s="20" t="n"/>
      <c r="Q17061" s="19" t="n"/>
      <c r="R17061" s="19" t="n"/>
      <c r="Y17061" s="19" t="n"/>
    </row>
    <row r="17062">
      <c r="C17062" s="18" t="n"/>
      <c r="J17062" s="19" t="n"/>
      <c r="P17062" s="20" t="n"/>
      <c r="Q17062" s="19" t="n"/>
      <c r="R17062" s="19" t="n"/>
      <c r="Y17062" s="19" t="n"/>
    </row>
    <row r="17063">
      <c r="C17063" s="18" t="n"/>
      <c r="J17063" s="19" t="n"/>
      <c r="P17063" s="20" t="n"/>
      <c r="Q17063" s="19" t="n"/>
      <c r="R17063" s="19" t="n"/>
      <c r="Y17063" s="19" t="n"/>
    </row>
    <row r="17064">
      <c r="C17064" s="18" t="n"/>
      <c r="J17064" s="19" t="n"/>
      <c r="P17064" s="20" t="n"/>
      <c r="Q17064" s="19" t="n"/>
      <c r="R17064" s="19" t="n"/>
      <c r="Y17064" s="19" t="n"/>
    </row>
    <row r="17065">
      <c r="C17065" s="18" t="n"/>
      <c r="J17065" s="19" t="n"/>
      <c r="P17065" s="20" t="n"/>
      <c r="Q17065" s="19" t="n"/>
      <c r="R17065" s="19" t="n"/>
      <c r="Y17065" s="19" t="n"/>
    </row>
    <row r="17066">
      <c r="C17066" s="18" t="n"/>
      <c r="J17066" s="19" t="n"/>
      <c r="P17066" s="20" t="n"/>
      <c r="Q17066" s="19" t="n"/>
      <c r="R17066" s="19" t="n"/>
      <c r="Y17066" s="19" t="n"/>
    </row>
    <row r="17067">
      <c r="C17067" s="18" t="n"/>
      <c r="J17067" s="19" t="n"/>
      <c r="P17067" s="20" t="n"/>
      <c r="Q17067" s="19" t="n"/>
      <c r="R17067" s="19" t="n"/>
      <c r="Y17067" s="19" t="n"/>
    </row>
    <row r="17068">
      <c r="C17068" s="18" t="n"/>
      <c r="J17068" s="19" t="n"/>
      <c r="P17068" s="20" t="n"/>
      <c r="Q17068" s="19" t="n"/>
      <c r="R17068" s="19" t="n"/>
      <c r="Y17068" s="19" t="n"/>
    </row>
    <row r="17069">
      <c r="C17069" s="18" t="n"/>
      <c r="J17069" s="19" t="n"/>
      <c r="P17069" s="20" t="n"/>
      <c r="Q17069" s="19" t="n"/>
      <c r="R17069" s="19" t="n"/>
      <c r="Y17069" s="19" t="n"/>
    </row>
    <row r="17070">
      <c r="C17070" s="18" t="n"/>
      <c r="J17070" s="19" t="n"/>
      <c r="P17070" s="20" t="n"/>
      <c r="Q17070" s="19" t="n"/>
      <c r="R17070" s="19" t="n"/>
      <c r="Y17070" s="19" t="n"/>
    </row>
    <row r="17071">
      <c r="C17071" s="18" t="n"/>
      <c r="J17071" s="19" t="n"/>
      <c r="P17071" s="20" t="n"/>
      <c r="Q17071" s="19" t="n"/>
      <c r="R17071" s="19" t="n"/>
      <c r="Y17071" s="19" t="n"/>
    </row>
    <row r="17072">
      <c r="C17072" s="18" t="n"/>
      <c r="J17072" s="19" t="n"/>
      <c r="P17072" s="20" t="n"/>
      <c r="Q17072" s="19" t="n"/>
      <c r="R17072" s="19" t="n"/>
      <c r="Y17072" s="19" t="n"/>
    </row>
    <row r="17073">
      <c r="C17073" s="18" t="n"/>
      <c r="J17073" s="19" t="n"/>
      <c r="P17073" s="20" t="n"/>
      <c r="Q17073" s="19" t="n"/>
      <c r="R17073" s="19" t="n"/>
      <c r="Y17073" s="19" t="n"/>
    </row>
    <row r="17074">
      <c r="C17074" s="18" t="n"/>
      <c r="J17074" s="19" t="n"/>
      <c r="P17074" s="20" t="n"/>
      <c r="Q17074" s="19" t="n"/>
      <c r="R17074" s="19" t="n"/>
      <c r="Y17074" s="19" t="n"/>
    </row>
    <row r="17075">
      <c r="C17075" s="18" t="n"/>
      <c r="J17075" s="19" t="n"/>
      <c r="P17075" s="20" t="n"/>
      <c r="Q17075" s="19" t="n"/>
      <c r="R17075" s="19" t="n"/>
      <c r="Y17075" s="19" t="n"/>
    </row>
    <row r="17076">
      <c r="C17076" s="18" t="n"/>
      <c r="J17076" s="19" t="n"/>
      <c r="P17076" s="20" t="n"/>
      <c r="Q17076" s="19" t="n"/>
      <c r="R17076" s="19" t="n"/>
      <c r="Y17076" s="19" t="n"/>
    </row>
    <row r="17077">
      <c r="C17077" s="18" t="n"/>
      <c r="J17077" s="19" t="n"/>
      <c r="P17077" s="20" t="n"/>
      <c r="Q17077" s="19" t="n"/>
      <c r="R17077" s="19" t="n"/>
      <c r="Y17077" s="19" t="n"/>
    </row>
    <row r="17078">
      <c r="C17078" s="18" t="n"/>
      <c r="J17078" s="19" t="n"/>
      <c r="P17078" s="20" t="n"/>
      <c r="Q17078" s="19" t="n"/>
      <c r="R17078" s="19" t="n"/>
      <c r="Y17078" s="19" t="n"/>
    </row>
    <row r="17079">
      <c r="C17079" s="18" t="n"/>
      <c r="J17079" s="19" t="n"/>
      <c r="P17079" s="20" t="n"/>
      <c r="Q17079" s="19" t="n"/>
      <c r="R17079" s="19" t="n"/>
      <c r="Y17079" s="19" t="n"/>
    </row>
    <row r="17080">
      <c r="C17080" s="18" t="n"/>
      <c r="J17080" s="19" t="n"/>
      <c r="P17080" s="20" t="n"/>
      <c r="Q17080" s="19" t="n"/>
      <c r="R17080" s="19" t="n"/>
      <c r="Y17080" s="19" t="n"/>
    </row>
    <row r="17081">
      <c r="C17081" s="18" t="n"/>
      <c r="J17081" s="19" t="n"/>
      <c r="P17081" s="20" t="n"/>
      <c r="Q17081" s="19" t="n"/>
      <c r="R17081" s="19" t="n"/>
      <c r="Y17081" s="19" t="n"/>
    </row>
    <row r="17082">
      <c r="C17082" s="18" t="n"/>
      <c r="J17082" s="19" t="n"/>
      <c r="P17082" s="20" t="n"/>
      <c r="Q17082" s="19" t="n"/>
      <c r="R17082" s="19" t="n"/>
      <c r="Y17082" s="19" t="n"/>
    </row>
    <row r="17083">
      <c r="C17083" s="18" t="n"/>
      <c r="J17083" s="19" t="n"/>
      <c r="P17083" s="20" t="n"/>
      <c r="Q17083" s="19" t="n"/>
      <c r="R17083" s="19" t="n"/>
      <c r="Y17083" s="19" t="n"/>
    </row>
    <row r="17084">
      <c r="C17084" s="18" t="n"/>
      <c r="J17084" s="19" t="n"/>
      <c r="P17084" s="20" t="n"/>
      <c r="Q17084" s="19" t="n"/>
      <c r="R17084" s="19" t="n"/>
      <c r="Y17084" s="19" t="n"/>
    </row>
    <row r="17085">
      <c r="C17085" s="18" t="n"/>
      <c r="J17085" s="19" t="n"/>
      <c r="P17085" s="20" t="n"/>
      <c r="Q17085" s="19" t="n"/>
      <c r="R17085" s="19" t="n"/>
      <c r="Y17085" s="19" t="n"/>
    </row>
    <row r="17086">
      <c r="C17086" s="18" t="n"/>
      <c r="J17086" s="19" t="n"/>
      <c r="P17086" s="20" t="n"/>
      <c r="Q17086" s="19" t="n"/>
      <c r="R17086" s="19" t="n"/>
      <c r="Y17086" s="19" t="n"/>
    </row>
    <row r="17087">
      <c r="C17087" s="18" t="n"/>
      <c r="J17087" s="19" t="n"/>
      <c r="P17087" s="20" t="n"/>
      <c r="Q17087" s="19" t="n"/>
      <c r="R17087" s="19" t="n"/>
      <c r="Y17087" s="19" t="n"/>
    </row>
    <row r="17088">
      <c r="C17088" s="18" t="n"/>
      <c r="J17088" s="19" t="n"/>
      <c r="P17088" s="20" t="n"/>
      <c r="Q17088" s="19" t="n"/>
      <c r="R17088" s="19" t="n"/>
      <c r="Y17088" s="19" t="n"/>
    </row>
    <row r="17089">
      <c r="C17089" s="18" t="n"/>
      <c r="J17089" s="19" t="n"/>
      <c r="P17089" s="20" t="n"/>
      <c r="Q17089" s="19" t="n"/>
      <c r="R17089" s="19" t="n"/>
      <c r="Y17089" s="19" t="n"/>
    </row>
    <row r="17090">
      <c r="C17090" s="18" t="n"/>
      <c r="J17090" s="19" t="n"/>
      <c r="P17090" s="20" t="n"/>
      <c r="Q17090" s="19" t="n"/>
      <c r="R17090" s="19" t="n"/>
      <c r="Y17090" s="19" t="n"/>
    </row>
    <row r="17091">
      <c r="C17091" s="18" t="n"/>
      <c r="J17091" s="19" t="n"/>
      <c r="P17091" s="20" t="n"/>
      <c r="Q17091" s="19" t="n"/>
      <c r="R17091" s="19" t="n"/>
      <c r="Y17091" s="19" t="n"/>
    </row>
    <row r="17092">
      <c r="C17092" s="18" t="n"/>
      <c r="J17092" s="19" t="n"/>
      <c r="P17092" s="20" t="n"/>
      <c r="Q17092" s="19" t="n"/>
      <c r="R17092" s="19" t="n"/>
      <c r="Y17092" s="19" t="n"/>
    </row>
    <row r="17093">
      <c r="C17093" s="18" t="n"/>
      <c r="J17093" s="19" t="n"/>
      <c r="P17093" s="20" t="n"/>
      <c r="Q17093" s="19" t="n"/>
      <c r="R17093" s="19" t="n"/>
      <c r="Y17093" s="19" t="n"/>
    </row>
    <row r="17094">
      <c r="C17094" s="18" t="n"/>
      <c r="J17094" s="19" t="n"/>
      <c r="P17094" s="20" t="n"/>
      <c r="Q17094" s="19" t="n"/>
      <c r="R17094" s="19" t="n"/>
      <c r="Y17094" s="19" t="n"/>
    </row>
    <row r="17095">
      <c r="C17095" s="18" t="n"/>
      <c r="J17095" s="19" t="n"/>
      <c r="P17095" s="20" t="n"/>
      <c r="Q17095" s="19" t="n"/>
      <c r="R17095" s="19" t="n"/>
      <c r="Y17095" s="19" t="n"/>
    </row>
    <row r="17096">
      <c r="C17096" s="18" t="n"/>
      <c r="J17096" s="19" t="n"/>
      <c r="P17096" s="20" t="n"/>
      <c r="Q17096" s="19" t="n"/>
      <c r="R17096" s="19" t="n"/>
      <c r="Y17096" s="19" t="n"/>
    </row>
    <row r="17097">
      <c r="C17097" s="18" t="n"/>
      <c r="J17097" s="19" t="n"/>
      <c r="P17097" s="20" t="n"/>
      <c r="Q17097" s="19" t="n"/>
      <c r="R17097" s="19" t="n"/>
      <c r="Y17097" s="19" t="n"/>
    </row>
    <row r="17098">
      <c r="C17098" s="18" t="n"/>
      <c r="J17098" s="19" t="n"/>
      <c r="P17098" s="20" t="n"/>
      <c r="Q17098" s="19" t="n"/>
      <c r="R17098" s="19" t="n"/>
      <c r="Y17098" s="19" t="n"/>
    </row>
    <row r="17099">
      <c r="C17099" s="18" t="n"/>
      <c r="J17099" s="19" t="n"/>
      <c r="P17099" s="20" t="n"/>
      <c r="Q17099" s="19" t="n"/>
      <c r="R17099" s="19" t="n"/>
      <c r="Y17099" s="19" t="n"/>
    </row>
    <row r="17100">
      <c r="C17100" s="18" t="n"/>
      <c r="J17100" s="19" t="n"/>
      <c r="P17100" s="20" t="n"/>
      <c r="Q17100" s="19" t="n"/>
      <c r="R17100" s="19" t="n"/>
      <c r="Y17100" s="19" t="n"/>
    </row>
    <row r="17101">
      <c r="C17101" s="18" t="n"/>
      <c r="J17101" s="19" t="n"/>
      <c r="P17101" s="20" t="n"/>
      <c r="Q17101" s="19" t="n"/>
      <c r="R17101" s="19" t="n"/>
      <c r="Y17101" s="19" t="n"/>
    </row>
    <row r="17102">
      <c r="C17102" s="18" t="n"/>
      <c r="J17102" s="19" t="n"/>
      <c r="P17102" s="20" t="n"/>
      <c r="Q17102" s="19" t="n"/>
      <c r="R17102" s="19" t="n"/>
      <c r="Y17102" s="19" t="n"/>
    </row>
    <row r="17103">
      <c r="C17103" s="18" t="n"/>
      <c r="J17103" s="19" t="n"/>
      <c r="P17103" s="20" t="n"/>
      <c r="Q17103" s="19" t="n"/>
      <c r="R17103" s="19" t="n"/>
      <c r="Y17103" s="19" t="n"/>
    </row>
    <row r="17104">
      <c r="C17104" s="18" t="n"/>
      <c r="J17104" s="19" t="n"/>
      <c r="P17104" s="20" t="n"/>
      <c r="Q17104" s="19" t="n"/>
      <c r="R17104" s="19" t="n"/>
      <c r="Y17104" s="19" t="n"/>
    </row>
    <row r="17105">
      <c r="C17105" s="18" t="n"/>
      <c r="J17105" s="19" t="n"/>
      <c r="P17105" s="20" t="n"/>
      <c r="Q17105" s="19" t="n"/>
      <c r="R17105" s="19" t="n"/>
      <c r="Y17105" s="19" t="n"/>
    </row>
    <row r="17106">
      <c r="C17106" s="18" t="n"/>
      <c r="J17106" s="19" t="n"/>
      <c r="P17106" s="20" t="n"/>
      <c r="Q17106" s="19" t="n"/>
      <c r="R17106" s="19" t="n"/>
      <c r="Y17106" s="19" t="n"/>
    </row>
    <row r="17107">
      <c r="C17107" s="18" t="n"/>
      <c r="J17107" s="19" t="n"/>
      <c r="P17107" s="20" t="n"/>
      <c r="Q17107" s="19" t="n"/>
      <c r="R17107" s="19" t="n"/>
      <c r="Y17107" s="19" t="n"/>
    </row>
    <row r="17108">
      <c r="C17108" s="18" t="n"/>
      <c r="J17108" s="19" t="n"/>
      <c r="P17108" s="20" t="n"/>
      <c r="Q17108" s="19" t="n"/>
      <c r="R17108" s="19" t="n"/>
      <c r="Y17108" s="19" t="n"/>
    </row>
    <row r="17109">
      <c r="C17109" s="18" t="n"/>
      <c r="J17109" s="19" t="n"/>
      <c r="P17109" s="20" t="n"/>
      <c r="Q17109" s="19" t="n"/>
      <c r="R17109" s="19" t="n"/>
      <c r="Y17109" s="19" t="n"/>
    </row>
    <row r="17110">
      <c r="C17110" s="18" t="n"/>
      <c r="J17110" s="19" t="n"/>
      <c r="P17110" s="20" t="n"/>
      <c r="Q17110" s="19" t="n"/>
      <c r="R17110" s="19" t="n"/>
      <c r="Y17110" s="19" t="n"/>
    </row>
    <row r="17111">
      <c r="C17111" s="18" t="n"/>
      <c r="J17111" s="19" t="n"/>
      <c r="P17111" s="20" t="n"/>
      <c r="Q17111" s="19" t="n"/>
      <c r="R17111" s="19" t="n"/>
      <c r="Y17111" s="19" t="n"/>
    </row>
    <row r="17112">
      <c r="C17112" s="18" t="n"/>
      <c r="J17112" s="19" t="n"/>
      <c r="P17112" s="20" t="n"/>
      <c r="Q17112" s="19" t="n"/>
      <c r="R17112" s="19" t="n"/>
      <c r="Y17112" s="19" t="n"/>
    </row>
    <row r="17113">
      <c r="C17113" s="18" t="n"/>
      <c r="J17113" s="19" t="n"/>
      <c r="P17113" s="20" t="n"/>
      <c r="Q17113" s="19" t="n"/>
      <c r="R17113" s="19" t="n"/>
      <c r="Y17113" s="19" t="n"/>
    </row>
    <row r="17114">
      <c r="C17114" s="18" t="n"/>
      <c r="J17114" s="19" t="n"/>
      <c r="P17114" s="20" t="n"/>
      <c r="Q17114" s="19" t="n"/>
      <c r="R17114" s="19" t="n"/>
      <c r="Y17114" s="19" t="n"/>
    </row>
    <row r="17115">
      <c r="C17115" s="18" t="n"/>
      <c r="J17115" s="19" t="n"/>
      <c r="P17115" s="20" t="n"/>
      <c r="Q17115" s="19" t="n"/>
      <c r="R17115" s="19" t="n"/>
      <c r="Y17115" s="19" t="n"/>
    </row>
    <row r="17116">
      <c r="C17116" s="18" t="n"/>
      <c r="J17116" s="19" t="n"/>
      <c r="P17116" s="20" t="n"/>
      <c r="Q17116" s="19" t="n"/>
      <c r="R17116" s="19" t="n"/>
      <c r="Y17116" s="19" t="n"/>
    </row>
    <row r="17117">
      <c r="C17117" s="18" t="n"/>
      <c r="J17117" s="19" t="n"/>
      <c r="P17117" s="20" t="n"/>
      <c r="Q17117" s="19" t="n"/>
      <c r="R17117" s="19" t="n"/>
      <c r="Y17117" s="19" t="n"/>
    </row>
    <row r="17118">
      <c r="C17118" s="18" t="n"/>
      <c r="J17118" s="19" t="n"/>
      <c r="P17118" s="20" t="n"/>
      <c r="Q17118" s="19" t="n"/>
      <c r="R17118" s="19" t="n"/>
      <c r="Y17118" s="19" t="n"/>
    </row>
    <row r="17119">
      <c r="C17119" s="18" t="n"/>
      <c r="J17119" s="19" t="n"/>
      <c r="P17119" s="20" t="n"/>
      <c r="Q17119" s="19" t="n"/>
      <c r="R17119" s="19" t="n"/>
      <c r="Y17119" s="19" t="n"/>
    </row>
    <row r="17120">
      <c r="C17120" s="18" t="n"/>
      <c r="J17120" s="19" t="n"/>
      <c r="P17120" s="20" t="n"/>
      <c r="Q17120" s="19" t="n"/>
      <c r="R17120" s="19" t="n"/>
      <c r="Y17120" s="19" t="n"/>
    </row>
    <row r="17121">
      <c r="C17121" s="18" t="n"/>
      <c r="J17121" s="19" t="n"/>
      <c r="P17121" s="20" t="n"/>
      <c r="Q17121" s="19" t="n"/>
      <c r="R17121" s="19" t="n"/>
      <c r="Y17121" s="19" t="n"/>
    </row>
    <row r="17122">
      <c r="C17122" s="18" t="n"/>
      <c r="J17122" s="19" t="n"/>
      <c r="P17122" s="20" t="n"/>
      <c r="Q17122" s="19" t="n"/>
      <c r="R17122" s="19" t="n"/>
      <c r="Y17122" s="19" t="n"/>
    </row>
    <row r="17123">
      <c r="C17123" s="18" t="n"/>
      <c r="J17123" s="19" t="n"/>
      <c r="P17123" s="20" t="n"/>
      <c r="Q17123" s="19" t="n"/>
      <c r="R17123" s="19" t="n"/>
      <c r="Y17123" s="19" t="n"/>
    </row>
    <row r="17124">
      <c r="C17124" s="18" t="n"/>
      <c r="J17124" s="19" t="n"/>
      <c r="P17124" s="20" t="n"/>
      <c r="Q17124" s="19" t="n"/>
      <c r="R17124" s="19" t="n"/>
      <c r="Y17124" s="19" t="n"/>
    </row>
    <row r="17125">
      <c r="C17125" s="18" t="n"/>
      <c r="J17125" s="19" t="n"/>
      <c r="P17125" s="20" t="n"/>
      <c r="Q17125" s="19" t="n"/>
      <c r="R17125" s="19" t="n"/>
      <c r="Y17125" s="19" t="n"/>
    </row>
    <row r="17126">
      <c r="C17126" s="18" t="n"/>
      <c r="J17126" s="19" t="n"/>
      <c r="P17126" s="20" t="n"/>
      <c r="Q17126" s="19" t="n"/>
      <c r="R17126" s="19" t="n"/>
      <c r="Y17126" s="19" t="n"/>
    </row>
    <row r="17127">
      <c r="C17127" s="18" t="n"/>
      <c r="J17127" s="19" t="n"/>
      <c r="P17127" s="20" t="n"/>
      <c r="Q17127" s="19" t="n"/>
      <c r="R17127" s="19" t="n"/>
      <c r="Y17127" s="19" t="n"/>
    </row>
    <row r="17128">
      <c r="C17128" s="18" t="n"/>
      <c r="J17128" s="19" t="n"/>
      <c r="P17128" s="20" t="n"/>
      <c r="Q17128" s="19" t="n"/>
      <c r="R17128" s="19" t="n"/>
      <c r="Y17128" s="19" t="n"/>
    </row>
    <row r="17129">
      <c r="C17129" s="18" t="n"/>
      <c r="J17129" s="19" t="n"/>
      <c r="P17129" s="20" t="n"/>
      <c r="Q17129" s="19" t="n"/>
      <c r="R17129" s="19" t="n"/>
      <c r="Y17129" s="19" t="n"/>
    </row>
    <row r="17130">
      <c r="C17130" s="18" t="n"/>
      <c r="J17130" s="19" t="n"/>
      <c r="P17130" s="20" t="n"/>
      <c r="Q17130" s="19" t="n"/>
      <c r="R17130" s="19" t="n"/>
      <c r="Y17130" s="19" t="n"/>
    </row>
    <row r="17131">
      <c r="C17131" s="18" t="n"/>
      <c r="J17131" s="19" t="n"/>
      <c r="P17131" s="20" t="n"/>
      <c r="Q17131" s="19" t="n"/>
      <c r="R17131" s="19" t="n"/>
      <c r="Y17131" s="19" t="n"/>
    </row>
    <row r="17132">
      <c r="C17132" s="18" t="n"/>
      <c r="J17132" s="19" t="n"/>
      <c r="P17132" s="20" t="n"/>
      <c r="Q17132" s="19" t="n"/>
      <c r="R17132" s="19" t="n"/>
      <c r="Y17132" s="19" t="n"/>
    </row>
    <row r="17133">
      <c r="C17133" s="18" t="n"/>
      <c r="J17133" s="19" t="n"/>
      <c r="P17133" s="20" t="n"/>
      <c r="Q17133" s="19" t="n"/>
      <c r="R17133" s="19" t="n"/>
      <c r="Y17133" s="19" t="n"/>
    </row>
    <row r="17134">
      <c r="C17134" s="18" t="n"/>
      <c r="J17134" s="19" t="n"/>
      <c r="P17134" s="20" t="n"/>
      <c r="Q17134" s="19" t="n"/>
      <c r="R17134" s="19" t="n"/>
      <c r="Y17134" s="19" t="n"/>
    </row>
    <row r="17135">
      <c r="C17135" s="18" t="n"/>
      <c r="J17135" s="19" t="n"/>
      <c r="P17135" s="20" t="n"/>
      <c r="Q17135" s="19" t="n"/>
      <c r="R17135" s="19" t="n"/>
      <c r="Y17135" s="19" t="n"/>
    </row>
    <row r="17136">
      <c r="C17136" s="18" t="n"/>
      <c r="J17136" s="19" t="n"/>
      <c r="P17136" s="20" t="n"/>
      <c r="Q17136" s="19" t="n"/>
      <c r="R17136" s="19" t="n"/>
      <c r="Y17136" s="19" t="n"/>
    </row>
    <row r="17137">
      <c r="C17137" s="18" t="n"/>
      <c r="J17137" s="19" t="n"/>
      <c r="P17137" s="20" t="n"/>
      <c r="Q17137" s="19" t="n"/>
      <c r="R17137" s="19" t="n"/>
      <c r="Y17137" s="19" t="n"/>
    </row>
    <row r="17138">
      <c r="C17138" s="18" t="n"/>
      <c r="J17138" s="19" t="n"/>
      <c r="P17138" s="20" t="n"/>
      <c r="Q17138" s="19" t="n"/>
      <c r="R17138" s="19" t="n"/>
      <c r="Y17138" s="19" t="n"/>
    </row>
    <row r="17139">
      <c r="C17139" s="18" t="n"/>
      <c r="J17139" s="19" t="n"/>
      <c r="P17139" s="20" t="n"/>
      <c r="Q17139" s="19" t="n"/>
      <c r="R17139" s="19" t="n"/>
      <c r="Y17139" s="19" t="n"/>
    </row>
    <row r="17140">
      <c r="C17140" s="18" t="n"/>
      <c r="J17140" s="19" t="n"/>
      <c r="P17140" s="20" t="n"/>
      <c r="Q17140" s="19" t="n"/>
      <c r="R17140" s="19" t="n"/>
      <c r="Y17140" s="19" t="n"/>
    </row>
    <row r="17141">
      <c r="C17141" s="18" t="n"/>
      <c r="J17141" s="19" t="n"/>
      <c r="P17141" s="20" t="n"/>
      <c r="Q17141" s="19" t="n"/>
      <c r="R17141" s="19" t="n"/>
      <c r="Y17141" s="19" t="n"/>
    </row>
    <row r="17142">
      <c r="C17142" s="18" t="n"/>
      <c r="J17142" s="19" t="n"/>
      <c r="P17142" s="20" t="n"/>
      <c r="Q17142" s="19" t="n"/>
      <c r="R17142" s="19" t="n"/>
      <c r="Y17142" s="19" t="n"/>
    </row>
    <row r="17143">
      <c r="C17143" s="18" t="n"/>
      <c r="J17143" s="19" t="n"/>
      <c r="P17143" s="20" t="n"/>
      <c r="Q17143" s="19" t="n"/>
      <c r="R17143" s="19" t="n"/>
      <c r="Y17143" s="19" t="n"/>
    </row>
    <row r="17144">
      <c r="C17144" s="18" t="n"/>
      <c r="J17144" s="19" t="n"/>
      <c r="P17144" s="20" t="n"/>
      <c r="Q17144" s="19" t="n"/>
      <c r="R17144" s="19" t="n"/>
      <c r="Y17144" s="19" t="n"/>
    </row>
    <row r="17145">
      <c r="C17145" s="18" t="n"/>
      <c r="J17145" s="19" t="n"/>
      <c r="P17145" s="20" t="n"/>
      <c r="Q17145" s="19" t="n"/>
      <c r="R17145" s="19" t="n"/>
      <c r="Y17145" s="19" t="n"/>
    </row>
    <row r="17146">
      <c r="C17146" s="18" t="n"/>
      <c r="J17146" s="19" t="n"/>
      <c r="P17146" s="20" t="n"/>
      <c r="Q17146" s="19" t="n"/>
      <c r="R17146" s="19" t="n"/>
      <c r="Y17146" s="19" t="n"/>
    </row>
    <row r="17147">
      <c r="C17147" s="18" t="n"/>
      <c r="J17147" s="19" t="n"/>
      <c r="P17147" s="20" t="n"/>
      <c r="Q17147" s="19" t="n"/>
      <c r="R17147" s="19" t="n"/>
      <c r="Y17147" s="19" t="n"/>
    </row>
    <row r="17148">
      <c r="C17148" s="18" t="n"/>
      <c r="J17148" s="19" t="n"/>
      <c r="P17148" s="20" t="n"/>
      <c r="Q17148" s="19" t="n"/>
      <c r="R17148" s="19" t="n"/>
      <c r="Y17148" s="19" t="n"/>
    </row>
    <row r="17149">
      <c r="C17149" s="18" t="n"/>
      <c r="J17149" s="19" t="n"/>
      <c r="P17149" s="20" t="n"/>
      <c r="Q17149" s="19" t="n"/>
      <c r="R17149" s="19" t="n"/>
      <c r="Y17149" s="19" t="n"/>
    </row>
    <row r="17150">
      <c r="C17150" s="18" t="n"/>
      <c r="J17150" s="19" t="n"/>
      <c r="P17150" s="20" t="n"/>
      <c r="Q17150" s="19" t="n"/>
      <c r="R17150" s="19" t="n"/>
      <c r="Y17150" s="19" t="n"/>
    </row>
    <row r="17151">
      <c r="C17151" s="18" t="n"/>
      <c r="J17151" s="19" t="n"/>
      <c r="P17151" s="20" t="n"/>
      <c r="Q17151" s="19" t="n"/>
      <c r="R17151" s="19" t="n"/>
      <c r="Y17151" s="19" t="n"/>
    </row>
    <row r="17152">
      <c r="C17152" s="18" t="n"/>
      <c r="J17152" s="19" t="n"/>
      <c r="P17152" s="20" t="n"/>
      <c r="Q17152" s="19" t="n"/>
      <c r="R17152" s="19" t="n"/>
      <c r="Y17152" s="19" t="n"/>
    </row>
    <row r="17153">
      <c r="C17153" s="18" t="n"/>
      <c r="J17153" s="19" t="n"/>
      <c r="P17153" s="20" t="n"/>
      <c r="Q17153" s="19" t="n"/>
      <c r="R17153" s="19" t="n"/>
      <c r="Y17153" s="19" t="n"/>
    </row>
    <row r="17154">
      <c r="C17154" s="18" t="n"/>
      <c r="J17154" s="19" t="n"/>
      <c r="P17154" s="20" t="n"/>
      <c r="Q17154" s="19" t="n"/>
      <c r="R17154" s="19" t="n"/>
      <c r="Y17154" s="19" t="n"/>
    </row>
    <row r="17155">
      <c r="C17155" s="18" t="n"/>
      <c r="J17155" s="19" t="n"/>
      <c r="P17155" s="20" t="n"/>
      <c r="Q17155" s="19" t="n"/>
      <c r="R17155" s="19" t="n"/>
      <c r="Y17155" s="19" t="n"/>
    </row>
    <row r="17156">
      <c r="C17156" s="18" t="n"/>
      <c r="J17156" s="19" t="n"/>
      <c r="P17156" s="20" t="n"/>
      <c r="Q17156" s="19" t="n"/>
      <c r="R17156" s="19" t="n"/>
      <c r="Y17156" s="19" t="n"/>
    </row>
    <row r="17157">
      <c r="C17157" s="18" t="n"/>
      <c r="J17157" s="19" t="n"/>
      <c r="P17157" s="20" t="n"/>
      <c r="Q17157" s="19" t="n"/>
      <c r="R17157" s="19" t="n"/>
      <c r="Y17157" s="19" t="n"/>
    </row>
    <row r="17158">
      <c r="C17158" s="18" t="n"/>
      <c r="J17158" s="19" t="n"/>
      <c r="P17158" s="20" t="n"/>
      <c r="Q17158" s="19" t="n"/>
      <c r="R17158" s="19" t="n"/>
      <c r="Y17158" s="19" t="n"/>
    </row>
    <row r="17159">
      <c r="C17159" s="18" t="n"/>
      <c r="J17159" s="19" t="n"/>
      <c r="P17159" s="20" t="n"/>
      <c r="Q17159" s="19" t="n"/>
      <c r="R17159" s="19" t="n"/>
      <c r="Y17159" s="19" t="n"/>
    </row>
    <row r="17160">
      <c r="C17160" s="18" t="n"/>
      <c r="J17160" s="19" t="n"/>
      <c r="P17160" s="20" t="n"/>
      <c r="Q17160" s="19" t="n"/>
      <c r="R17160" s="19" t="n"/>
      <c r="Y17160" s="19" t="n"/>
    </row>
    <row r="17161">
      <c r="C17161" s="18" t="n"/>
      <c r="J17161" s="19" t="n"/>
      <c r="P17161" s="20" t="n"/>
      <c r="Q17161" s="19" t="n"/>
      <c r="R17161" s="19" t="n"/>
      <c r="Y17161" s="19" t="n"/>
    </row>
    <row r="17162">
      <c r="C17162" s="18" t="n"/>
      <c r="J17162" s="19" t="n"/>
      <c r="P17162" s="20" t="n"/>
      <c r="Q17162" s="19" t="n"/>
      <c r="R17162" s="19" t="n"/>
      <c r="Y17162" s="19" t="n"/>
    </row>
    <row r="17163">
      <c r="C17163" s="18" t="n"/>
      <c r="J17163" s="19" t="n"/>
      <c r="P17163" s="20" t="n"/>
      <c r="Q17163" s="19" t="n"/>
      <c r="R17163" s="19" t="n"/>
      <c r="Y17163" s="19" t="n"/>
    </row>
    <row r="17164">
      <c r="C17164" s="18" t="n"/>
      <c r="J17164" s="19" t="n"/>
      <c r="P17164" s="20" t="n"/>
      <c r="Q17164" s="19" t="n"/>
      <c r="R17164" s="19" t="n"/>
      <c r="Y17164" s="19" t="n"/>
    </row>
    <row r="17165">
      <c r="C17165" s="18" t="n"/>
      <c r="J17165" s="19" t="n"/>
      <c r="P17165" s="20" t="n"/>
      <c r="Q17165" s="19" t="n"/>
      <c r="R17165" s="19" t="n"/>
      <c r="Y17165" s="19" t="n"/>
    </row>
    <row r="17166">
      <c r="C17166" s="18" t="n"/>
      <c r="J17166" s="19" t="n"/>
      <c r="P17166" s="20" t="n"/>
      <c r="Q17166" s="19" t="n"/>
      <c r="R17166" s="19" t="n"/>
      <c r="Y17166" s="19" t="n"/>
    </row>
    <row r="17167">
      <c r="C17167" s="18" t="n"/>
      <c r="J17167" s="19" t="n"/>
      <c r="P17167" s="20" t="n"/>
      <c r="Q17167" s="19" t="n"/>
      <c r="R17167" s="19" t="n"/>
      <c r="Y17167" s="19" t="n"/>
    </row>
    <row r="17168">
      <c r="C17168" s="18" t="n"/>
      <c r="J17168" s="19" t="n"/>
      <c r="P17168" s="20" t="n"/>
      <c r="Q17168" s="19" t="n"/>
      <c r="R17168" s="19" t="n"/>
      <c r="Y17168" s="19" t="n"/>
    </row>
    <row r="17169">
      <c r="C17169" s="18" t="n"/>
      <c r="J17169" s="19" t="n"/>
      <c r="P17169" s="20" t="n"/>
      <c r="Q17169" s="19" t="n"/>
      <c r="R17169" s="19" t="n"/>
      <c r="Y17169" s="19" t="n"/>
    </row>
    <row r="17170">
      <c r="C17170" s="18" t="n"/>
      <c r="J17170" s="19" t="n"/>
      <c r="P17170" s="20" t="n"/>
      <c r="Q17170" s="19" t="n"/>
      <c r="R17170" s="19" t="n"/>
      <c r="Y17170" s="19" t="n"/>
    </row>
    <row r="17171">
      <c r="C17171" s="18" t="n"/>
      <c r="J17171" s="19" t="n"/>
      <c r="P17171" s="20" t="n"/>
      <c r="Q17171" s="19" t="n"/>
      <c r="R17171" s="19" t="n"/>
      <c r="Y17171" s="19" t="n"/>
    </row>
    <row r="17172">
      <c r="C17172" s="18" t="n"/>
      <c r="J17172" s="19" t="n"/>
      <c r="P17172" s="20" t="n"/>
      <c r="Q17172" s="19" t="n"/>
      <c r="R17172" s="19" t="n"/>
      <c r="Y17172" s="19" t="n"/>
    </row>
    <row r="17173">
      <c r="C17173" s="18" t="n"/>
      <c r="J17173" s="19" t="n"/>
      <c r="P17173" s="20" t="n"/>
      <c r="Q17173" s="19" t="n"/>
      <c r="R17173" s="19" t="n"/>
      <c r="Y17173" s="19" t="n"/>
    </row>
    <row r="17174">
      <c r="C17174" s="18" t="n"/>
      <c r="J17174" s="19" t="n"/>
      <c r="P17174" s="20" t="n"/>
      <c r="Q17174" s="19" t="n"/>
      <c r="R17174" s="19" t="n"/>
      <c r="Y17174" s="19" t="n"/>
    </row>
    <row r="17175">
      <c r="C17175" s="18" t="n"/>
      <c r="J17175" s="19" t="n"/>
      <c r="P17175" s="20" t="n"/>
      <c r="Q17175" s="19" t="n"/>
      <c r="R17175" s="19" t="n"/>
      <c r="Y17175" s="19" t="n"/>
    </row>
    <row r="17176">
      <c r="C17176" s="18" t="n"/>
      <c r="J17176" s="19" t="n"/>
      <c r="P17176" s="20" t="n"/>
      <c r="Q17176" s="19" t="n"/>
      <c r="R17176" s="19" t="n"/>
      <c r="Y17176" s="19" t="n"/>
    </row>
    <row r="17177">
      <c r="C17177" s="18" t="n"/>
      <c r="J17177" s="19" t="n"/>
      <c r="P17177" s="20" t="n"/>
      <c r="Q17177" s="19" t="n"/>
      <c r="R17177" s="19" t="n"/>
      <c r="Y17177" s="19" t="n"/>
    </row>
    <row r="17178">
      <c r="C17178" s="18" t="n"/>
      <c r="J17178" s="19" t="n"/>
      <c r="P17178" s="20" t="n"/>
      <c r="Q17178" s="19" t="n"/>
      <c r="R17178" s="19" t="n"/>
      <c r="Y17178" s="19" t="n"/>
    </row>
    <row r="17179">
      <c r="C17179" s="18" t="n"/>
      <c r="J17179" s="19" t="n"/>
      <c r="P17179" s="20" t="n"/>
      <c r="Q17179" s="19" t="n"/>
      <c r="R17179" s="19" t="n"/>
      <c r="Y17179" s="19" t="n"/>
    </row>
    <row r="17180">
      <c r="C17180" s="18" t="n"/>
      <c r="J17180" s="19" t="n"/>
      <c r="P17180" s="20" t="n"/>
      <c r="Q17180" s="19" t="n"/>
      <c r="R17180" s="19" t="n"/>
      <c r="Y17180" s="19" t="n"/>
    </row>
    <row r="17181">
      <c r="C17181" s="18" t="n"/>
      <c r="J17181" s="19" t="n"/>
      <c r="P17181" s="20" t="n"/>
      <c r="Q17181" s="19" t="n"/>
      <c r="R17181" s="19" t="n"/>
      <c r="Y17181" s="19" t="n"/>
    </row>
    <row r="17182">
      <c r="C17182" s="18" t="n"/>
      <c r="J17182" s="19" t="n"/>
      <c r="P17182" s="20" t="n"/>
      <c r="Q17182" s="19" t="n"/>
      <c r="R17182" s="19" t="n"/>
      <c r="Y17182" s="19" t="n"/>
    </row>
    <row r="17183">
      <c r="C17183" s="18" t="n"/>
      <c r="J17183" s="19" t="n"/>
      <c r="P17183" s="20" t="n"/>
      <c r="Q17183" s="19" t="n"/>
      <c r="R17183" s="19" t="n"/>
      <c r="Y17183" s="19" t="n"/>
    </row>
    <row r="17184">
      <c r="C17184" s="18" t="n"/>
      <c r="J17184" s="19" t="n"/>
      <c r="P17184" s="20" t="n"/>
      <c r="Q17184" s="19" t="n"/>
      <c r="R17184" s="19" t="n"/>
      <c r="Y17184" s="19" t="n"/>
    </row>
    <row r="17185">
      <c r="C17185" s="18" t="n"/>
      <c r="J17185" s="19" t="n"/>
      <c r="P17185" s="20" t="n"/>
      <c r="Q17185" s="19" t="n"/>
      <c r="R17185" s="19" t="n"/>
      <c r="Y17185" s="19" t="n"/>
    </row>
    <row r="17186">
      <c r="C17186" s="18" t="n"/>
      <c r="J17186" s="19" t="n"/>
      <c r="P17186" s="20" t="n"/>
      <c r="Q17186" s="19" t="n"/>
      <c r="R17186" s="19" t="n"/>
      <c r="Y17186" s="19" t="n"/>
    </row>
    <row r="17187">
      <c r="C17187" s="18" t="n"/>
      <c r="J17187" s="19" t="n"/>
      <c r="P17187" s="20" t="n"/>
      <c r="Q17187" s="19" t="n"/>
      <c r="R17187" s="19" t="n"/>
      <c r="Y17187" s="19" t="n"/>
    </row>
    <row r="17188">
      <c r="C17188" s="18" t="n"/>
      <c r="J17188" s="19" t="n"/>
      <c r="P17188" s="20" t="n"/>
      <c r="Q17188" s="19" t="n"/>
      <c r="R17188" s="19" t="n"/>
      <c r="Y17188" s="19" t="n"/>
    </row>
    <row r="17189">
      <c r="C17189" s="18" t="n"/>
      <c r="J17189" s="19" t="n"/>
      <c r="P17189" s="20" t="n"/>
      <c r="Q17189" s="19" t="n"/>
      <c r="R17189" s="19" t="n"/>
      <c r="Y17189" s="19" t="n"/>
    </row>
    <row r="17190">
      <c r="C17190" s="18" t="n"/>
      <c r="J17190" s="19" t="n"/>
      <c r="P17190" s="20" t="n"/>
      <c r="Q17190" s="19" t="n"/>
      <c r="R17190" s="19" t="n"/>
      <c r="Y17190" s="19" t="n"/>
    </row>
    <row r="17191">
      <c r="C17191" s="18" t="n"/>
      <c r="J17191" s="19" t="n"/>
      <c r="P17191" s="20" t="n"/>
      <c r="Q17191" s="19" t="n"/>
      <c r="R17191" s="19" t="n"/>
      <c r="Y17191" s="19" t="n"/>
    </row>
    <row r="17192">
      <c r="C17192" s="18" t="n"/>
      <c r="J17192" s="19" t="n"/>
      <c r="P17192" s="20" t="n"/>
      <c r="Q17192" s="19" t="n"/>
      <c r="R17192" s="19" t="n"/>
      <c r="Y17192" s="19" t="n"/>
    </row>
    <row r="17193">
      <c r="C17193" s="18" t="n"/>
      <c r="J17193" s="19" t="n"/>
      <c r="P17193" s="20" t="n"/>
      <c r="Q17193" s="19" t="n"/>
      <c r="R17193" s="19" t="n"/>
      <c r="Y17193" s="19" t="n"/>
    </row>
    <row r="17194">
      <c r="C17194" s="18" t="n"/>
      <c r="J17194" s="19" t="n"/>
      <c r="P17194" s="20" t="n"/>
      <c r="Q17194" s="19" t="n"/>
      <c r="R17194" s="19" t="n"/>
      <c r="Y17194" s="19" t="n"/>
    </row>
    <row r="17195">
      <c r="C17195" s="18" t="n"/>
      <c r="J17195" s="19" t="n"/>
      <c r="P17195" s="20" t="n"/>
      <c r="Q17195" s="19" t="n"/>
      <c r="R17195" s="19" t="n"/>
      <c r="Y17195" s="19" t="n"/>
    </row>
    <row r="17196">
      <c r="C17196" s="18" t="n"/>
      <c r="J17196" s="19" t="n"/>
      <c r="P17196" s="20" t="n"/>
      <c r="Q17196" s="19" t="n"/>
      <c r="R17196" s="19" t="n"/>
      <c r="Y17196" s="19" t="n"/>
    </row>
    <row r="17197">
      <c r="C17197" s="18" t="n"/>
      <c r="J17197" s="19" t="n"/>
      <c r="P17197" s="20" t="n"/>
      <c r="Q17197" s="19" t="n"/>
      <c r="R17197" s="19" t="n"/>
      <c r="Y17197" s="19" t="n"/>
    </row>
    <row r="17198">
      <c r="C17198" s="18" t="n"/>
      <c r="J17198" s="19" t="n"/>
      <c r="P17198" s="20" t="n"/>
      <c r="Q17198" s="19" t="n"/>
      <c r="R17198" s="19" t="n"/>
      <c r="Y17198" s="19" t="n"/>
    </row>
    <row r="17199">
      <c r="C17199" s="18" t="n"/>
      <c r="J17199" s="19" t="n"/>
      <c r="P17199" s="20" t="n"/>
      <c r="Q17199" s="19" t="n"/>
      <c r="R17199" s="19" t="n"/>
      <c r="Y17199" s="19" t="n"/>
    </row>
    <row r="17200">
      <c r="C17200" s="18" t="n"/>
      <c r="J17200" s="19" t="n"/>
      <c r="P17200" s="20" t="n"/>
      <c r="Q17200" s="19" t="n"/>
      <c r="R17200" s="19" t="n"/>
      <c r="Y17200" s="19" t="n"/>
    </row>
    <row r="17201">
      <c r="C17201" s="18" t="n"/>
      <c r="J17201" s="19" t="n"/>
      <c r="P17201" s="20" t="n"/>
      <c r="Q17201" s="19" t="n"/>
      <c r="R17201" s="19" t="n"/>
      <c r="Y17201" s="19" t="n"/>
    </row>
    <row r="17202">
      <c r="C17202" s="18" t="n"/>
      <c r="J17202" s="19" t="n"/>
      <c r="P17202" s="20" t="n"/>
      <c r="Q17202" s="19" t="n"/>
      <c r="R17202" s="19" t="n"/>
      <c r="Y17202" s="19" t="n"/>
    </row>
    <row r="17203">
      <c r="C17203" s="18" t="n"/>
      <c r="J17203" s="19" t="n"/>
      <c r="P17203" s="20" t="n"/>
      <c r="Q17203" s="19" t="n"/>
      <c r="R17203" s="19" t="n"/>
      <c r="Y17203" s="19" t="n"/>
    </row>
    <row r="17204">
      <c r="C17204" s="18" t="n"/>
      <c r="J17204" s="19" t="n"/>
      <c r="P17204" s="20" t="n"/>
      <c r="Q17204" s="19" t="n"/>
      <c r="R17204" s="19" t="n"/>
      <c r="Y17204" s="19" t="n"/>
    </row>
    <row r="17205">
      <c r="C17205" s="18" t="n"/>
      <c r="J17205" s="19" t="n"/>
      <c r="P17205" s="20" t="n"/>
      <c r="Q17205" s="19" t="n"/>
      <c r="R17205" s="19" t="n"/>
      <c r="Y17205" s="19" t="n"/>
    </row>
    <row r="17206">
      <c r="C17206" s="18" t="n"/>
      <c r="J17206" s="19" t="n"/>
      <c r="P17206" s="20" t="n"/>
      <c r="Q17206" s="19" t="n"/>
      <c r="R17206" s="19" t="n"/>
      <c r="Y17206" s="19" t="n"/>
    </row>
    <row r="17207">
      <c r="C17207" s="18" t="n"/>
      <c r="J17207" s="19" t="n"/>
      <c r="P17207" s="20" t="n"/>
      <c r="Q17207" s="19" t="n"/>
      <c r="R17207" s="19" t="n"/>
      <c r="Y17207" s="19" t="n"/>
    </row>
    <row r="17208">
      <c r="C17208" s="18" t="n"/>
      <c r="J17208" s="19" t="n"/>
      <c r="P17208" s="20" t="n"/>
      <c r="Q17208" s="19" t="n"/>
      <c r="R17208" s="19" t="n"/>
      <c r="Y17208" s="19" t="n"/>
    </row>
    <row r="17209">
      <c r="C17209" s="18" t="n"/>
      <c r="J17209" s="19" t="n"/>
      <c r="P17209" s="20" t="n"/>
      <c r="Q17209" s="19" t="n"/>
      <c r="R17209" s="19" t="n"/>
      <c r="Y17209" s="19" t="n"/>
    </row>
    <row r="17210">
      <c r="C17210" s="18" t="n"/>
      <c r="J17210" s="19" t="n"/>
      <c r="P17210" s="20" t="n"/>
      <c r="Q17210" s="19" t="n"/>
      <c r="R17210" s="19" t="n"/>
      <c r="Y17210" s="19" t="n"/>
    </row>
    <row r="17211">
      <c r="C17211" s="18" t="n"/>
      <c r="J17211" s="19" t="n"/>
      <c r="P17211" s="20" t="n"/>
      <c r="Q17211" s="19" t="n"/>
      <c r="R17211" s="19" t="n"/>
      <c r="Y17211" s="19" t="n"/>
    </row>
    <row r="17212">
      <c r="C17212" s="18" t="n"/>
      <c r="J17212" s="19" t="n"/>
      <c r="P17212" s="20" t="n"/>
      <c r="Q17212" s="19" t="n"/>
      <c r="R17212" s="19" t="n"/>
      <c r="Y17212" s="19" t="n"/>
    </row>
    <row r="17213">
      <c r="C17213" s="18" t="n"/>
      <c r="J17213" s="19" t="n"/>
      <c r="P17213" s="20" t="n"/>
      <c r="Q17213" s="19" t="n"/>
      <c r="R17213" s="19" t="n"/>
      <c r="Y17213" s="19" t="n"/>
    </row>
    <row r="17214">
      <c r="C17214" s="18" t="n"/>
      <c r="J17214" s="19" t="n"/>
      <c r="P17214" s="20" t="n"/>
      <c r="Q17214" s="19" t="n"/>
      <c r="R17214" s="19" t="n"/>
      <c r="Y17214" s="19" t="n"/>
    </row>
    <row r="17215">
      <c r="C17215" s="18" t="n"/>
      <c r="J17215" s="19" t="n"/>
      <c r="P17215" s="20" t="n"/>
      <c r="Q17215" s="19" t="n"/>
      <c r="R17215" s="19" t="n"/>
      <c r="Y17215" s="19" t="n"/>
    </row>
    <row r="17216">
      <c r="C17216" s="18" t="n"/>
      <c r="J17216" s="19" t="n"/>
      <c r="P17216" s="20" t="n"/>
      <c r="Q17216" s="19" t="n"/>
      <c r="R17216" s="19" t="n"/>
      <c r="Y17216" s="19" t="n"/>
    </row>
    <row r="17217">
      <c r="C17217" s="18" t="n"/>
      <c r="J17217" s="19" t="n"/>
      <c r="P17217" s="20" t="n"/>
      <c r="Q17217" s="19" t="n"/>
      <c r="R17217" s="19" t="n"/>
      <c r="Y17217" s="19" t="n"/>
    </row>
    <row r="17218">
      <c r="C17218" s="18" t="n"/>
      <c r="J17218" s="19" t="n"/>
      <c r="P17218" s="20" t="n"/>
      <c r="Q17218" s="19" t="n"/>
      <c r="R17218" s="19" t="n"/>
      <c r="Y17218" s="19" t="n"/>
    </row>
    <row r="17219">
      <c r="C17219" s="18" t="n"/>
      <c r="J17219" s="19" t="n"/>
      <c r="P17219" s="20" t="n"/>
      <c r="Q17219" s="19" t="n"/>
      <c r="R17219" s="19" t="n"/>
      <c r="Y17219" s="19" t="n"/>
    </row>
    <row r="17220">
      <c r="C17220" s="18" t="n"/>
      <c r="J17220" s="19" t="n"/>
      <c r="P17220" s="20" t="n"/>
      <c r="Q17220" s="19" t="n"/>
      <c r="R17220" s="19" t="n"/>
      <c r="Y17220" s="19" t="n"/>
    </row>
    <row r="17221">
      <c r="C17221" s="18" t="n"/>
      <c r="J17221" s="19" t="n"/>
      <c r="P17221" s="20" t="n"/>
      <c r="Q17221" s="19" t="n"/>
      <c r="R17221" s="19" t="n"/>
      <c r="Y17221" s="19" t="n"/>
    </row>
    <row r="17222">
      <c r="C17222" s="18" t="n"/>
      <c r="J17222" s="19" t="n"/>
      <c r="P17222" s="20" t="n"/>
      <c r="Q17222" s="19" t="n"/>
      <c r="R17222" s="19" t="n"/>
      <c r="Y17222" s="19" t="n"/>
    </row>
    <row r="17223">
      <c r="C17223" s="18" t="n"/>
      <c r="J17223" s="19" t="n"/>
      <c r="P17223" s="20" t="n"/>
      <c r="Q17223" s="19" t="n"/>
      <c r="R17223" s="19" t="n"/>
      <c r="Y17223" s="19" t="n"/>
    </row>
    <row r="17224">
      <c r="C17224" s="18" t="n"/>
      <c r="J17224" s="19" t="n"/>
      <c r="P17224" s="20" t="n"/>
      <c r="Q17224" s="19" t="n"/>
      <c r="R17224" s="19" t="n"/>
      <c r="Y17224" s="19" t="n"/>
    </row>
    <row r="17225">
      <c r="C17225" s="18" t="n"/>
      <c r="J17225" s="19" t="n"/>
      <c r="P17225" s="20" t="n"/>
      <c r="Q17225" s="19" t="n"/>
      <c r="R17225" s="19" t="n"/>
      <c r="Y17225" s="19" t="n"/>
    </row>
    <row r="17226">
      <c r="C17226" s="18" t="n"/>
      <c r="J17226" s="19" t="n"/>
      <c r="P17226" s="20" t="n"/>
      <c r="Q17226" s="19" t="n"/>
      <c r="R17226" s="19" t="n"/>
      <c r="Y17226" s="19" t="n"/>
    </row>
    <row r="17227">
      <c r="C17227" s="18" t="n"/>
      <c r="J17227" s="19" t="n"/>
      <c r="P17227" s="20" t="n"/>
      <c r="Q17227" s="19" t="n"/>
      <c r="R17227" s="19" t="n"/>
      <c r="Y17227" s="19" t="n"/>
    </row>
    <row r="17228">
      <c r="C17228" s="18" t="n"/>
      <c r="J17228" s="19" t="n"/>
      <c r="P17228" s="20" t="n"/>
      <c r="Q17228" s="19" t="n"/>
      <c r="R17228" s="19" t="n"/>
      <c r="Y17228" s="19" t="n"/>
    </row>
    <row r="17229">
      <c r="C17229" s="18" t="n"/>
      <c r="J17229" s="19" t="n"/>
      <c r="P17229" s="20" t="n"/>
      <c r="Q17229" s="19" t="n"/>
      <c r="R17229" s="19" t="n"/>
      <c r="Y17229" s="19" t="n"/>
    </row>
    <row r="17230">
      <c r="C17230" s="18" t="n"/>
      <c r="J17230" s="19" t="n"/>
      <c r="P17230" s="20" t="n"/>
      <c r="Q17230" s="19" t="n"/>
      <c r="R17230" s="19" t="n"/>
      <c r="Y17230" s="19" t="n"/>
    </row>
    <row r="17231">
      <c r="C17231" s="18" t="n"/>
      <c r="J17231" s="19" t="n"/>
      <c r="P17231" s="20" t="n"/>
      <c r="Q17231" s="19" t="n"/>
      <c r="R17231" s="19" t="n"/>
      <c r="Y17231" s="19" t="n"/>
    </row>
    <row r="17232">
      <c r="C17232" s="18" t="n"/>
      <c r="J17232" s="19" t="n"/>
      <c r="P17232" s="20" t="n"/>
      <c r="Q17232" s="19" t="n"/>
      <c r="R17232" s="19" t="n"/>
      <c r="Y17232" s="19" t="n"/>
    </row>
    <row r="17233">
      <c r="C17233" s="18" t="n"/>
      <c r="J17233" s="19" t="n"/>
      <c r="P17233" s="20" t="n"/>
      <c r="Q17233" s="19" t="n"/>
      <c r="R17233" s="19" t="n"/>
      <c r="Y17233" s="19" t="n"/>
    </row>
    <row r="17234">
      <c r="C17234" s="18" t="n"/>
      <c r="J17234" s="19" t="n"/>
      <c r="P17234" s="20" t="n"/>
      <c r="Q17234" s="19" t="n"/>
      <c r="R17234" s="19" t="n"/>
      <c r="Y17234" s="19" t="n"/>
    </row>
    <row r="17235">
      <c r="C17235" s="18" t="n"/>
      <c r="J17235" s="19" t="n"/>
      <c r="P17235" s="20" t="n"/>
      <c r="Q17235" s="19" t="n"/>
      <c r="R17235" s="19" t="n"/>
      <c r="Y17235" s="19" t="n"/>
    </row>
    <row r="17236">
      <c r="C17236" s="18" t="n"/>
      <c r="J17236" s="19" t="n"/>
      <c r="P17236" s="20" t="n"/>
      <c r="Q17236" s="19" t="n"/>
      <c r="R17236" s="19" t="n"/>
      <c r="Y17236" s="19" t="n"/>
    </row>
    <row r="17237">
      <c r="C17237" s="18" t="n"/>
      <c r="J17237" s="19" t="n"/>
      <c r="P17237" s="20" t="n"/>
      <c r="Q17237" s="19" t="n"/>
      <c r="R17237" s="19" t="n"/>
      <c r="Y17237" s="19" t="n"/>
    </row>
    <row r="17238">
      <c r="C17238" s="18" t="n"/>
      <c r="J17238" s="19" t="n"/>
      <c r="P17238" s="20" t="n"/>
      <c r="Q17238" s="19" t="n"/>
      <c r="R17238" s="19" t="n"/>
      <c r="Y17238" s="19" t="n"/>
    </row>
    <row r="17239">
      <c r="C17239" s="18" t="n"/>
      <c r="J17239" s="19" t="n"/>
      <c r="P17239" s="20" t="n"/>
      <c r="Q17239" s="19" t="n"/>
      <c r="R17239" s="19" t="n"/>
      <c r="Y17239" s="19" t="n"/>
    </row>
    <row r="17240">
      <c r="C17240" s="18" t="n"/>
      <c r="J17240" s="19" t="n"/>
      <c r="P17240" s="20" t="n"/>
      <c r="Q17240" s="19" t="n"/>
      <c r="R17240" s="19" t="n"/>
      <c r="Y17240" s="19" t="n"/>
    </row>
    <row r="17241">
      <c r="C17241" s="18" t="n"/>
      <c r="J17241" s="19" t="n"/>
      <c r="P17241" s="20" t="n"/>
      <c r="Q17241" s="19" t="n"/>
      <c r="R17241" s="19" t="n"/>
      <c r="Y17241" s="19" t="n"/>
    </row>
    <row r="17242">
      <c r="C17242" s="18" t="n"/>
      <c r="J17242" s="19" t="n"/>
      <c r="P17242" s="20" t="n"/>
      <c r="Q17242" s="19" t="n"/>
      <c r="R17242" s="19" t="n"/>
      <c r="Y17242" s="19" t="n"/>
    </row>
    <row r="17243">
      <c r="C17243" s="18" t="n"/>
      <c r="J17243" s="19" t="n"/>
      <c r="P17243" s="20" t="n"/>
      <c r="Q17243" s="19" t="n"/>
      <c r="R17243" s="19" t="n"/>
      <c r="Y17243" s="19" t="n"/>
    </row>
    <row r="17244">
      <c r="C17244" s="18" t="n"/>
      <c r="J17244" s="19" t="n"/>
      <c r="P17244" s="20" t="n"/>
      <c r="Q17244" s="19" t="n"/>
      <c r="R17244" s="19" t="n"/>
      <c r="Y17244" s="19" t="n"/>
    </row>
    <row r="17245">
      <c r="C17245" s="18" t="n"/>
      <c r="J17245" s="19" t="n"/>
      <c r="P17245" s="20" t="n"/>
      <c r="Q17245" s="19" t="n"/>
      <c r="R17245" s="19" t="n"/>
      <c r="Y17245" s="19" t="n"/>
    </row>
    <row r="17246">
      <c r="C17246" s="18" t="n"/>
      <c r="J17246" s="19" t="n"/>
      <c r="P17246" s="20" t="n"/>
      <c r="Q17246" s="19" t="n"/>
      <c r="R17246" s="19" t="n"/>
      <c r="Y17246" s="19" t="n"/>
    </row>
    <row r="17247">
      <c r="C17247" s="18" t="n"/>
      <c r="J17247" s="19" t="n"/>
      <c r="P17247" s="20" t="n"/>
      <c r="Q17247" s="19" t="n"/>
      <c r="R17247" s="19" t="n"/>
      <c r="Y17247" s="19" t="n"/>
    </row>
    <row r="17248">
      <c r="C17248" s="18" t="n"/>
      <c r="J17248" s="19" t="n"/>
      <c r="P17248" s="20" t="n"/>
      <c r="Q17248" s="19" t="n"/>
      <c r="R17248" s="19" t="n"/>
      <c r="Y17248" s="19" t="n"/>
    </row>
    <row r="17249">
      <c r="C17249" s="18" t="n"/>
      <c r="J17249" s="19" t="n"/>
      <c r="P17249" s="20" t="n"/>
      <c r="Q17249" s="19" t="n"/>
      <c r="R17249" s="19" t="n"/>
      <c r="Y17249" s="19" t="n"/>
    </row>
    <row r="17250">
      <c r="C17250" s="18" t="n"/>
      <c r="J17250" s="19" t="n"/>
      <c r="P17250" s="20" t="n"/>
      <c r="Q17250" s="19" t="n"/>
      <c r="R17250" s="19" t="n"/>
      <c r="Y17250" s="19" t="n"/>
    </row>
    <row r="17251">
      <c r="C17251" s="18" t="n"/>
      <c r="J17251" s="19" t="n"/>
      <c r="P17251" s="20" t="n"/>
      <c r="Q17251" s="19" t="n"/>
      <c r="R17251" s="19" t="n"/>
      <c r="Y17251" s="19" t="n"/>
    </row>
    <row r="17252">
      <c r="C17252" s="18" t="n"/>
      <c r="J17252" s="19" t="n"/>
      <c r="P17252" s="20" t="n"/>
      <c r="Q17252" s="19" t="n"/>
      <c r="R17252" s="19" t="n"/>
      <c r="Y17252" s="19" t="n"/>
    </row>
    <row r="17253">
      <c r="C17253" s="18" t="n"/>
      <c r="J17253" s="19" t="n"/>
      <c r="P17253" s="20" t="n"/>
      <c r="Q17253" s="19" t="n"/>
      <c r="R17253" s="19" t="n"/>
      <c r="Y17253" s="19" t="n"/>
    </row>
    <row r="17254">
      <c r="C17254" s="18" t="n"/>
      <c r="J17254" s="19" t="n"/>
      <c r="P17254" s="20" t="n"/>
      <c r="Q17254" s="19" t="n"/>
      <c r="R17254" s="19" t="n"/>
      <c r="Y17254" s="19" t="n"/>
    </row>
    <row r="17255">
      <c r="C17255" s="18" t="n"/>
      <c r="J17255" s="19" t="n"/>
      <c r="P17255" s="20" t="n"/>
      <c r="Q17255" s="19" t="n"/>
      <c r="R17255" s="19" t="n"/>
      <c r="Y17255" s="19" t="n"/>
    </row>
    <row r="17256">
      <c r="C17256" s="18" t="n"/>
      <c r="J17256" s="19" t="n"/>
      <c r="P17256" s="20" t="n"/>
      <c r="Q17256" s="19" t="n"/>
      <c r="R17256" s="19" t="n"/>
      <c r="Y17256" s="19" t="n"/>
    </row>
    <row r="17257">
      <c r="C17257" s="18" t="n"/>
      <c r="J17257" s="19" t="n"/>
      <c r="P17257" s="20" t="n"/>
      <c r="Q17257" s="19" t="n"/>
      <c r="R17257" s="19" t="n"/>
      <c r="Y17257" s="19" t="n"/>
    </row>
    <row r="17258">
      <c r="C17258" s="18" t="n"/>
      <c r="J17258" s="19" t="n"/>
      <c r="P17258" s="20" t="n"/>
      <c r="Q17258" s="19" t="n"/>
      <c r="R17258" s="19" t="n"/>
      <c r="Y17258" s="19" t="n"/>
    </row>
    <row r="17259">
      <c r="C17259" s="18" t="n"/>
      <c r="J17259" s="19" t="n"/>
      <c r="P17259" s="20" t="n"/>
      <c r="Q17259" s="19" t="n"/>
      <c r="R17259" s="19" t="n"/>
      <c r="Y17259" s="19" t="n"/>
    </row>
    <row r="17260">
      <c r="C17260" s="18" t="n"/>
      <c r="J17260" s="19" t="n"/>
      <c r="P17260" s="20" t="n"/>
      <c r="Q17260" s="19" t="n"/>
      <c r="R17260" s="19" t="n"/>
      <c r="Y17260" s="19" t="n"/>
    </row>
    <row r="17261">
      <c r="C17261" s="18" t="n"/>
      <c r="J17261" s="19" t="n"/>
      <c r="P17261" s="20" t="n"/>
      <c r="Q17261" s="19" t="n"/>
      <c r="R17261" s="19" t="n"/>
      <c r="Y17261" s="19" t="n"/>
    </row>
    <row r="17262">
      <c r="C17262" s="18" t="n"/>
      <c r="J17262" s="19" t="n"/>
      <c r="P17262" s="20" t="n"/>
      <c r="Q17262" s="19" t="n"/>
      <c r="R17262" s="19" t="n"/>
      <c r="Y17262" s="19" t="n"/>
    </row>
    <row r="17263">
      <c r="C17263" s="18" t="n"/>
      <c r="J17263" s="19" t="n"/>
      <c r="P17263" s="20" t="n"/>
      <c r="Q17263" s="19" t="n"/>
      <c r="R17263" s="19" t="n"/>
      <c r="Y17263" s="19" t="n"/>
    </row>
    <row r="17264">
      <c r="C17264" s="18" t="n"/>
      <c r="J17264" s="19" t="n"/>
      <c r="P17264" s="20" t="n"/>
      <c r="Q17264" s="19" t="n"/>
      <c r="R17264" s="19" t="n"/>
      <c r="Y17264" s="19" t="n"/>
    </row>
    <row r="17265">
      <c r="C17265" s="18" t="n"/>
      <c r="J17265" s="19" t="n"/>
      <c r="P17265" s="20" t="n"/>
      <c r="Q17265" s="19" t="n"/>
      <c r="R17265" s="19" t="n"/>
      <c r="Y17265" s="19" t="n"/>
    </row>
    <row r="17266">
      <c r="C17266" s="18" t="n"/>
      <c r="J17266" s="19" t="n"/>
      <c r="P17266" s="20" t="n"/>
      <c r="Q17266" s="19" t="n"/>
      <c r="R17266" s="19" t="n"/>
      <c r="Y17266" s="19" t="n"/>
    </row>
    <row r="17267">
      <c r="C17267" s="18" t="n"/>
      <c r="J17267" s="19" t="n"/>
      <c r="P17267" s="20" t="n"/>
      <c r="Q17267" s="19" t="n"/>
      <c r="R17267" s="19" t="n"/>
      <c r="Y17267" s="19" t="n"/>
    </row>
    <row r="17268">
      <c r="C17268" s="18" t="n"/>
      <c r="J17268" s="19" t="n"/>
      <c r="P17268" s="20" t="n"/>
      <c r="Q17268" s="19" t="n"/>
      <c r="R17268" s="19" t="n"/>
      <c r="Y17268" s="19" t="n"/>
    </row>
    <row r="17269">
      <c r="C17269" s="18" t="n"/>
      <c r="J17269" s="19" t="n"/>
      <c r="P17269" s="20" t="n"/>
      <c r="Q17269" s="19" t="n"/>
      <c r="R17269" s="19" t="n"/>
      <c r="Y17269" s="19" t="n"/>
    </row>
    <row r="17270">
      <c r="C17270" s="18" t="n"/>
      <c r="J17270" s="19" t="n"/>
      <c r="P17270" s="20" t="n"/>
      <c r="Q17270" s="19" t="n"/>
      <c r="R17270" s="19" t="n"/>
      <c r="Y17270" s="19" t="n"/>
    </row>
    <row r="17271">
      <c r="C17271" s="18" t="n"/>
      <c r="J17271" s="19" t="n"/>
      <c r="P17271" s="20" t="n"/>
      <c r="Q17271" s="19" t="n"/>
      <c r="R17271" s="19" t="n"/>
      <c r="Y17271" s="19" t="n"/>
    </row>
    <row r="17272">
      <c r="C17272" s="18" t="n"/>
      <c r="J17272" s="19" t="n"/>
      <c r="P17272" s="20" t="n"/>
      <c r="Q17272" s="19" t="n"/>
      <c r="R17272" s="19" t="n"/>
      <c r="Y17272" s="19" t="n"/>
    </row>
    <row r="17273">
      <c r="C17273" s="18" t="n"/>
      <c r="J17273" s="19" t="n"/>
      <c r="P17273" s="20" t="n"/>
      <c r="Q17273" s="19" t="n"/>
      <c r="R17273" s="19" t="n"/>
      <c r="Y17273" s="19" t="n"/>
    </row>
    <row r="17274">
      <c r="C17274" s="18" t="n"/>
      <c r="J17274" s="19" t="n"/>
      <c r="P17274" s="20" t="n"/>
      <c r="Q17274" s="19" t="n"/>
      <c r="R17274" s="19" t="n"/>
      <c r="Y17274" s="19" t="n"/>
    </row>
    <row r="17275">
      <c r="C17275" s="18" t="n"/>
      <c r="J17275" s="19" t="n"/>
      <c r="P17275" s="20" t="n"/>
      <c r="Q17275" s="19" t="n"/>
      <c r="R17275" s="19" t="n"/>
      <c r="Y17275" s="19" t="n"/>
    </row>
    <row r="17276">
      <c r="C17276" s="18" t="n"/>
      <c r="J17276" s="19" t="n"/>
      <c r="P17276" s="20" t="n"/>
      <c r="Q17276" s="19" t="n"/>
      <c r="R17276" s="19" t="n"/>
      <c r="Y17276" s="19" t="n"/>
    </row>
    <row r="17277">
      <c r="C17277" s="18" t="n"/>
      <c r="J17277" s="19" t="n"/>
      <c r="P17277" s="20" t="n"/>
      <c r="Q17277" s="19" t="n"/>
      <c r="R17277" s="19" t="n"/>
      <c r="Y17277" s="19" t="n"/>
    </row>
    <row r="17278">
      <c r="C17278" s="18" t="n"/>
      <c r="J17278" s="19" t="n"/>
      <c r="P17278" s="20" t="n"/>
      <c r="Q17278" s="19" t="n"/>
      <c r="R17278" s="19" t="n"/>
      <c r="Y17278" s="19" t="n"/>
    </row>
    <row r="17279">
      <c r="C17279" s="18" t="n"/>
      <c r="J17279" s="19" t="n"/>
      <c r="P17279" s="20" t="n"/>
      <c r="Q17279" s="19" t="n"/>
      <c r="R17279" s="19" t="n"/>
      <c r="Y17279" s="19" t="n"/>
    </row>
    <row r="17280">
      <c r="C17280" s="18" t="n"/>
      <c r="J17280" s="19" t="n"/>
      <c r="P17280" s="20" t="n"/>
      <c r="Q17280" s="19" t="n"/>
      <c r="R17280" s="19" t="n"/>
      <c r="Y17280" s="19" t="n"/>
    </row>
    <row r="17281">
      <c r="C17281" s="18" t="n"/>
      <c r="J17281" s="19" t="n"/>
      <c r="P17281" s="20" t="n"/>
      <c r="Q17281" s="19" t="n"/>
      <c r="R17281" s="19" t="n"/>
      <c r="Y17281" s="19" t="n"/>
    </row>
    <row r="17282">
      <c r="C17282" s="18" t="n"/>
      <c r="J17282" s="19" t="n"/>
      <c r="P17282" s="20" t="n"/>
      <c r="Q17282" s="19" t="n"/>
      <c r="R17282" s="19" t="n"/>
      <c r="Y17282" s="19" t="n"/>
    </row>
    <row r="17283">
      <c r="C17283" s="18" t="n"/>
      <c r="J17283" s="19" t="n"/>
      <c r="P17283" s="20" t="n"/>
      <c r="Q17283" s="19" t="n"/>
      <c r="R17283" s="19" t="n"/>
      <c r="Y17283" s="19" t="n"/>
    </row>
    <row r="17284">
      <c r="C17284" s="18" t="n"/>
      <c r="J17284" s="19" t="n"/>
      <c r="P17284" s="20" t="n"/>
      <c r="Q17284" s="19" t="n"/>
      <c r="R17284" s="19" t="n"/>
      <c r="Y17284" s="19" t="n"/>
    </row>
    <row r="17285">
      <c r="C17285" s="18" t="n"/>
      <c r="J17285" s="19" t="n"/>
      <c r="P17285" s="20" t="n"/>
      <c r="Q17285" s="19" t="n"/>
      <c r="R17285" s="19" t="n"/>
      <c r="Y17285" s="19" t="n"/>
    </row>
    <row r="17286">
      <c r="C17286" s="18" t="n"/>
      <c r="J17286" s="19" t="n"/>
      <c r="P17286" s="20" t="n"/>
      <c r="Q17286" s="19" t="n"/>
      <c r="R17286" s="19" t="n"/>
      <c r="Y17286" s="19" t="n"/>
    </row>
    <row r="17287">
      <c r="C17287" s="18" t="n"/>
      <c r="J17287" s="19" t="n"/>
      <c r="P17287" s="20" t="n"/>
      <c r="Q17287" s="19" t="n"/>
      <c r="R17287" s="19" t="n"/>
      <c r="Y17287" s="19" t="n"/>
    </row>
    <row r="17288">
      <c r="C17288" s="18" t="n"/>
      <c r="J17288" s="19" t="n"/>
      <c r="P17288" s="20" t="n"/>
      <c r="Q17288" s="19" t="n"/>
      <c r="R17288" s="19" t="n"/>
      <c r="Y17288" s="19" t="n"/>
    </row>
    <row r="17289">
      <c r="C17289" s="18" t="n"/>
      <c r="J17289" s="19" t="n"/>
      <c r="P17289" s="20" t="n"/>
      <c r="Q17289" s="19" t="n"/>
      <c r="R17289" s="19" t="n"/>
      <c r="Y17289" s="19" t="n"/>
    </row>
    <row r="17290">
      <c r="C17290" s="18" t="n"/>
      <c r="J17290" s="19" t="n"/>
      <c r="P17290" s="20" t="n"/>
      <c r="Q17290" s="19" t="n"/>
      <c r="R17290" s="19" t="n"/>
      <c r="Y17290" s="19" t="n"/>
    </row>
    <row r="17291">
      <c r="C17291" s="18" t="n"/>
      <c r="J17291" s="19" t="n"/>
      <c r="P17291" s="20" t="n"/>
      <c r="Q17291" s="19" t="n"/>
      <c r="R17291" s="19" t="n"/>
      <c r="Y17291" s="19" t="n"/>
    </row>
    <row r="17292">
      <c r="C17292" s="18" t="n"/>
      <c r="J17292" s="19" t="n"/>
      <c r="P17292" s="20" t="n"/>
      <c r="Q17292" s="19" t="n"/>
      <c r="R17292" s="19" t="n"/>
      <c r="Y17292" s="19" t="n"/>
    </row>
    <row r="17293">
      <c r="C17293" s="18" t="n"/>
      <c r="J17293" s="19" t="n"/>
      <c r="P17293" s="20" t="n"/>
      <c r="Q17293" s="19" t="n"/>
      <c r="R17293" s="19" t="n"/>
      <c r="Y17293" s="19" t="n"/>
    </row>
    <row r="17294">
      <c r="C17294" s="18" t="n"/>
      <c r="J17294" s="19" t="n"/>
      <c r="P17294" s="20" t="n"/>
      <c r="Q17294" s="19" t="n"/>
      <c r="R17294" s="19" t="n"/>
      <c r="Y17294" s="19" t="n"/>
    </row>
    <row r="17295">
      <c r="C17295" s="18" t="n"/>
      <c r="J17295" s="19" t="n"/>
      <c r="P17295" s="20" t="n"/>
      <c r="Q17295" s="19" t="n"/>
      <c r="R17295" s="19" t="n"/>
      <c r="Y17295" s="19" t="n"/>
    </row>
    <row r="17296">
      <c r="C17296" s="18" t="n"/>
      <c r="J17296" s="19" t="n"/>
      <c r="P17296" s="20" t="n"/>
      <c r="Q17296" s="19" t="n"/>
      <c r="R17296" s="19" t="n"/>
      <c r="Y17296" s="19" t="n"/>
    </row>
    <row r="17297">
      <c r="C17297" s="18" t="n"/>
      <c r="J17297" s="19" t="n"/>
      <c r="P17297" s="20" t="n"/>
      <c r="Q17297" s="19" t="n"/>
      <c r="R17297" s="19" t="n"/>
      <c r="Y17297" s="19" t="n"/>
    </row>
    <row r="17298">
      <c r="C17298" s="18" t="n"/>
      <c r="J17298" s="19" t="n"/>
      <c r="P17298" s="20" t="n"/>
      <c r="Q17298" s="19" t="n"/>
      <c r="R17298" s="19" t="n"/>
      <c r="Y17298" s="19" t="n"/>
    </row>
    <row r="17299">
      <c r="C17299" s="18" t="n"/>
      <c r="J17299" s="19" t="n"/>
      <c r="P17299" s="20" t="n"/>
      <c r="Q17299" s="19" t="n"/>
      <c r="R17299" s="19" t="n"/>
      <c r="Y17299" s="19" t="n"/>
    </row>
    <row r="17300">
      <c r="C17300" s="18" t="n"/>
      <c r="J17300" s="19" t="n"/>
      <c r="P17300" s="20" t="n"/>
      <c r="Q17300" s="19" t="n"/>
      <c r="R17300" s="19" t="n"/>
      <c r="Y17300" s="19" t="n"/>
    </row>
    <row r="17301">
      <c r="C17301" s="18" t="n"/>
      <c r="J17301" s="19" t="n"/>
      <c r="P17301" s="20" t="n"/>
      <c r="Q17301" s="19" t="n"/>
      <c r="R17301" s="19" t="n"/>
      <c r="Y17301" s="19" t="n"/>
    </row>
    <row r="17302">
      <c r="C17302" s="18" t="n"/>
      <c r="J17302" s="19" t="n"/>
      <c r="P17302" s="20" t="n"/>
      <c r="Q17302" s="19" t="n"/>
      <c r="R17302" s="19" t="n"/>
      <c r="Y17302" s="19" t="n"/>
    </row>
    <row r="17303">
      <c r="C17303" s="18" t="n"/>
      <c r="J17303" s="19" t="n"/>
      <c r="P17303" s="20" t="n"/>
      <c r="Q17303" s="19" t="n"/>
      <c r="R17303" s="19" t="n"/>
      <c r="Y17303" s="19" t="n"/>
    </row>
    <row r="17304">
      <c r="C17304" s="18" t="n"/>
      <c r="J17304" s="19" t="n"/>
      <c r="P17304" s="20" t="n"/>
      <c r="Q17304" s="19" t="n"/>
      <c r="R17304" s="19" t="n"/>
      <c r="Y17304" s="19" t="n"/>
    </row>
    <row r="17305">
      <c r="C17305" s="18" t="n"/>
      <c r="J17305" s="19" t="n"/>
      <c r="P17305" s="20" t="n"/>
      <c r="Q17305" s="19" t="n"/>
      <c r="R17305" s="19" t="n"/>
      <c r="Y17305" s="19" t="n"/>
    </row>
    <row r="17306">
      <c r="C17306" s="18" t="n"/>
      <c r="J17306" s="19" t="n"/>
      <c r="P17306" s="20" t="n"/>
      <c r="Q17306" s="19" t="n"/>
      <c r="R17306" s="19" t="n"/>
      <c r="Y17306" s="19" t="n"/>
    </row>
    <row r="17307">
      <c r="C17307" s="18" t="n"/>
      <c r="J17307" s="19" t="n"/>
      <c r="P17307" s="20" t="n"/>
      <c r="Q17307" s="19" t="n"/>
      <c r="R17307" s="19" t="n"/>
      <c r="Y17307" s="19" t="n"/>
    </row>
    <row r="17308">
      <c r="C17308" s="18" t="n"/>
      <c r="J17308" s="19" t="n"/>
      <c r="P17308" s="20" t="n"/>
      <c r="Q17308" s="19" t="n"/>
      <c r="R17308" s="19" t="n"/>
      <c r="Y17308" s="19" t="n"/>
    </row>
    <row r="17309">
      <c r="C17309" s="18" t="n"/>
      <c r="J17309" s="19" t="n"/>
      <c r="P17309" s="20" t="n"/>
      <c r="Q17309" s="19" t="n"/>
      <c r="R17309" s="19" t="n"/>
      <c r="Y17309" s="19" t="n"/>
    </row>
    <row r="17310">
      <c r="C17310" s="18" t="n"/>
      <c r="J17310" s="19" t="n"/>
      <c r="P17310" s="20" t="n"/>
      <c r="Q17310" s="19" t="n"/>
      <c r="R17310" s="19" t="n"/>
      <c r="Y17310" s="19" t="n"/>
    </row>
    <row r="17311">
      <c r="C17311" s="18" t="n"/>
      <c r="J17311" s="19" t="n"/>
      <c r="P17311" s="20" t="n"/>
      <c r="Q17311" s="19" t="n"/>
      <c r="R17311" s="19" t="n"/>
      <c r="Y17311" s="19" t="n"/>
    </row>
    <row r="17312">
      <c r="C17312" s="18" t="n"/>
      <c r="J17312" s="19" t="n"/>
      <c r="P17312" s="20" t="n"/>
      <c r="Q17312" s="19" t="n"/>
      <c r="R17312" s="19" t="n"/>
      <c r="Y17312" s="19" t="n"/>
    </row>
    <row r="17313">
      <c r="C17313" s="18" t="n"/>
      <c r="J17313" s="19" t="n"/>
      <c r="P17313" s="20" t="n"/>
      <c r="Q17313" s="19" t="n"/>
      <c r="R17313" s="19" t="n"/>
      <c r="Y17313" s="19" t="n"/>
    </row>
    <row r="17314">
      <c r="C17314" s="18" t="n"/>
      <c r="J17314" s="19" t="n"/>
      <c r="P17314" s="20" t="n"/>
      <c r="Q17314" s="19" t="n"/>
      <c r="R17314" s="19" t="n"/>
      <c r="Y17314" s="19" t="n"/>
    </row>
    <row r="17315">
      <c r="C17315" s="18" t="n"/>
      <c r="J17315" s="19" t="n"/>
      <c r="P17315" s="20" t="n"/>
      <c r="Q17315" s="19" t="n"/>
      <c r="R17315" s="19" t="n"/>
      <c r="Y17315" s="19" t="n"/>
    </row>
    <row r="17316">
      <c r="C17316" s="18" t="n"/>
      <c r="J17316" s="19" t="n"/>
      <c r="P17316" s="20" t="n"/>
      <c r="Q17316" s="19" t="n"/>
      <c r="R17316" s="19" t="n"/>
      <c r="Y17316" s="19" t="n"/>
    </row>
    <row r="17317">
      <c r="C17317" s="18" t="n"/>
      <c r="J17317" s="19" t="n"/>
      <c r="P17317" s="20" t="n"/>
      <c r="Q17317" s="19" t="n"/>
      <c r="R17317" s="19" t="n"/>
      <c r="Y17317" s="19" t="n"/>
    </row>
    <row r="17318">
      <c r="C17318" s="18" t="n"/>
      <c r="J17318" s="19" t="n"/>
      <c r="P17318" s="20" t="n"/>
      <c r="Q17318" s="19" t="n"/>
      <c r="R17318" s="19" t="n"/>
      <c r="Y17318" s="19" t="n"/>
    </row>
    <row r="17319">
      <c r="C17319" s="18" t="n"/>
      <c r="J17319" s="19" t="n"/>
      <c r="P17319" s="20" t="n"/>
      <c r="Q17319" s="19" t="n"/>
      <c r="R17319" s="19" t="n"/>
      <c r="Y17319" s="19" t="n"/>
    </row>
    <row r="17320">
      <c r="C17320" s="18" t="n"/>
      <c r="J17320" s="19" t="n"/>
      <c r="P17320" s="20" t="n"/>
      <c r="Q17320" s="19" t="n"/>
      <c r="R17320" s="19" t="n"/>
      <c r="Y17320" s="19" t="n"/>
    </row>
    <row r="17321">
      <c r="C17321" s="18" t="n"/>
      <c r="J17321" s="19" t="n"/>
      <c r="P17321" s="20" t="n"/>
      <c r="Q17321" s="19" t="n"/>
      <c r="R17321" s="19" t="n"/>
      <c r="Y17321" s="19" t="n"/>
    </row>
    <row r="17322">
      <c r="C17322" s="18" t="n"/>
      <c r="J17322" s="19" t="n"/>
      <c r="P17322" s="20" t="n"/>
      <c r="Q17322" s="19" t="n"/>
      <c r="R17322" s="19" t="n"/>
      <c r="Y17322" s="19" t="n"/>
    </row>
    <row r="17323">
      <c r="C17323" s="18" t="n"/>
      <c r="J17323" s="19" t="n"/>
      <c r="P17323" s="20" t="n"/>
      <c r="Q17323" s="19" t="n"/>
      <c r="R17323" s="19" t="n"/>
      <c r="Y17323" s="19" t="n"/>
    </row>
    <row r="17324">
      <c r="C17324" s="18" t="n"/>
      <c r="J17324" s="19" t="n"/>
      <c r="P17324" s="20" t="n"/>
      <c r="Q17324" s="19" t="n"/>
      <c r="R17324" s="19" t="n"/>
      <c r="Y17324" s="19" t="n"/>
    </row>
    <row r="17325">
      <c r="C17325" s="18" t="n"/>
      <c r="J17325" s="19" t="n"/>
      <c r="P17325" s="20" t="n"/>
      <c r="Q17325" s="19" t="n"/>
      <c r="R17325" s="19" t="n"/>
      <c r="Y17325" s="19" t="n"/>
    </row>
    <row r="17326">
      <c r="C17326" s="18" t="n"/>
      <c r="J17326" s="19" t="n"/>
      <c r="P17326" s="20" t="n"/>
      <c r="Q17326" s="19" t="n"/>
      <c r="R17326" s="19" t="n"/>
      <c r="Y17326" s="19" t="n"/>
    </row>
    <row r="17327">
      <c r="C17327" s="18" t="n"/>
      <c r="J17327" s="19" t="n"/>
      <c r="P17327" s="20" t="n"/>
      <c r="Q17327" s="19" t="n"/>
      <c r="R17327" s="19" t="n"/>
      <c r="Y17327" s="19" t="n"/>
    </row>
    <row r="17328">
      <c r="C17328" s="18" t="n"/>
      <c r="J17328" s="19" t="n"/>
      <c r="P17328" s="20" t="n"/>
      <c r="Q17328" s="19" t="n"/>
      <c r="R17328" s="19" t="n"/>
      <c r="Y17328" s="19" t="n"/>
    </row>
    <row r="17329">
      <c r="C17329" s="18" t="n"/>
      <c r="J17329" s="19" t="n"/>
      <c r="P17329" s="20" t="n"/>
      <c r="Q17329" s="19" t="n"/>
      <c r="R17329" s="19" t="n"/>
      <c r="Y17329" s="19" t="n"/>
    </row>
    <row r="17330">
      <c r="C17330" s="18" t="n"/>
      <c r="J17330" s="19" t="n"/>
      <c r="P17330" s="20" t="n"/>
      <c r="Q17330" s="19" t="n"/>
      <c r="R17330" s="19" t="n"/>
      <c r="Y17330" s="19" t="n"/>
    </row>
    <row r="17331">
      <c r="C17331" s="18" t="n"/>
      <c r="J17331" s="19" t="n"/>
      <c r="P17331" s="20" t="n"/>
      <c r="Q17331" s="19" t="n"/>
      <c r="R17331" s="19" t="n"/>
      <c r="Y17331" s="19" t="n"/>
    </row>
    <row r="17332">
      <c r="C17332" s="18" t="n"/>
      <c r="J17332" s="19" t="n"/>
      <c r="P17332" s="20" t="n"/>
      <c r="Q17332" s="19" t="n"/>
      <c r="R17332" s="19" t="n"/>
      <c r="Y17332" s="19" t="n"/>
    </row>
    <row r="17333">
      <c r="C17333" s="18" t="n"/>
      <c r="J17333" s="19" t="n"/>
      <c r="P17333" s="20" t="n"/>
      <c r="Q17333" s="19" t="n"/>
      <c r="R17333" s="19" t="n"/>
      <c r="Y17333" s="19" t="n"/>
    </row>
    <row r="17334">
      <c r="C17334" s="18" t="n"/>
      <c r="J17334" s="19" t="n"/>
      <c r="P17334" s="20" t="n"/>
      <c r="Q17334" s="19" t="n"/>
      <c r="R17334" s="19" t="n"/>
      <c r="Y17334" s="19" t="n"/>
    </row>
    <row r="17335">
      <c r="C17335" s="18" t="n"/>
      <c r="J17335" s="19" t="n"/>
      <c r="P17335" s="20" t="n"/>
      <c r="Q17335" s="19" t="n"/>
      <c r="R17335" s="19" t="n"/>
      <c r="Y17335" s="19" t="n"/>
    </row>
    <row r="17336">
      <c r="C17336" s="18" t="n"/>
      <c r="J17336" s="19" t="n"/>
      <c r="P17336" s="20" t="n"/>
      <c r="Q17336" s="19" t="n"/>
      <c r="R17336" s="19" t="n"/>
      <c r="Y17336" s="19" t="n"/>
    </row>
    <row r="17337">
      <c r="C17337" s="18" t="n"/>
      <c r="J17337" s="19" t="n"/>
      <c r="P17337" s="20" t="n"/>
      <c r="Q17337" s="19" t="n"/>
      <c r="R17337" s="19" t="n"/>
      <c r="Y17337" s="19" t="n"/>
    </row>
    <row r="17338">
      <c r="C17338" s="18" t="n"/>
      <c r="J17338" s="19" t="n"/>
      <c r="P17338" s="20" t="n"/>
      <c r="Q17338" s="19" t="n"/>
      <c r="R17338" s="19" t="n"/>
      <c r="Y17338" s="19" t="n"/>
    </row>
    <row r="17339">
      <c r="C17339" s="18" t="n"/>
      <c r="J17339" s="19" t="n"/>
      <c r="P17339" s="20" t="n"/>
      <c r="Q17339" s="19" t="n"/>
      <c r="R17339" s="19" t="n"/>
      <c r="Y17339" s="19" t="n"/>
    </row>
    <row r="17340">
      <c r="C17340" s="18" t="n"/>
      <c r="J17340" s="19" t="n"/>
      <c r="P17340" s="20" t="n"/>
      <c r="Q17340" s="19" t="n"/>
      <c r="R17340" s="19" t="n"/>
      <c r="Y17340" s="19" t="n"/>
    </row>
    <row r="17341">
      <c r="C17341" s="18" t="n"/>
      <c r="J17341" s="19" t="n"/>
      <c r="P17341" s="20" t="n"/>
      <c r="Q17341" s="19" t="n"/>
      <c r="R17341" s="19" t="n"/>
      <c r="Y17341" s="19" t="n"/>
    </row>
    <row r="17342">
      <c r="C17342" s="18" t="n"/>
      <c r="J17342" s="19" t="n"/>
      <c r="P17342" s="20" t="n"/>
      <c r="Q17342" s="19" t="n"/>
      <c r="R17342" s="19" t="n"/>
      <c r="Y17342" s="19" t="n"/>
    </row>
    <row r="17343">
      <c r="C17343" s="18" t="n"/>
      <c r="J17343" s="19" t="n"/>
      <c r="P17343" s="20" t="n"/>
      <c r="Q17343" s="19" t="n"/>
      <c r="R17343" s="19" t="n"/>
      <c r="Y17343" s="19" t="n"/>
    </row>
    <row r="17344">
      <c r="C17344" s="18" t="n"/>
      <c r="J17344" s="19" t="n"/>
      <c r="P17344" s="20" t="n"/>
      <c r="Q17344" s="19" t="n"/>
      <c r="R17344" s="19" t="n"/>
      <c r="Y17344" s="19" t="n"/>
    </row>
    <row r="17345">
      <c r="C17345" s="18" t="n"/>
      <c r="J17345" s="19" t="n"/>
      <c r="P17345" s="20" t="n"/>
      <c r="Q17345" s="19" t="n"/>
      <c r="R17345" s="19" t="n"/>
      <c r="Y17345" s="19" t="n"/>
    </row>
    <row r="17346">
      <c r="C17346" s="18" t="n"/>
      <c r="J17346" s="19" t="n"/>
      <c r="P17346" s="20" t="n"/>
      <c r="Q17346" s="19" t="n"/>
      <c r="R17346" s="19" t="n"/>
      <c r="Y17346" s="19" t="n"/>
    </row>
    <row r="17347">
      <c r="C17347" s="18" t="n"/>
      <c r="J17347" s="19" t="n"/>
      <c r="P17347" s="20" t="n"/>
      <c r="Q17347" s="19" t="n"/>
      <c r="R17347" s="19" t="n"/>
      <c r="Y17347" s="19" t="n"/>
    </row>
    <row r="17348">
      <c r="C17348" s="18" t="n"/>
      <c r="J17348" s="19" t="n"/>
      <c r="P17348" s="20" t="n"/>
      <c r="Q17348" s="19" t="n"/>
      <c r="R17348" s="19" t="n"/>
      <c r="Y17348" s="19" t="n"/>
    </row>
    <row r="17349">
      <c r="C17349" s="18" t="n"/>
      <c r="J17349" s="19" t="n"/>
      <c r="P17349" s="20" t="n"/>
      <c r="Q17349" s="19" t="n"/>
      <c r="R17349" s="19" t="n"/>
      <c r="Y17349" s="19" t="n"/>
    </row>
    <row r="17350">
      <c r="C17350" s="18" t="n"/>
      <c r="J17350" s="19" t="n"/>
      <c r="P17350" s="20" t="n"/>
      <c r="Q17350" s="19" t="n"/>
      <c r="R17350" s="19" t="n"/>
      <c r="Y17350" s="19" t="n"/>
    </row>
    <row r="17351">
      <c r="C17351" s="18" t="n"/>
      <c r="J17351" s="19" t="n"/>
      <c r="P17351" s="20" t="n"/>
      <c r="Q17351" s="19" t="n"/>
      <c r="R17351" s="19" t="n"/>
      <c r="Y17351" s="19" t="n"/>
    </row>
    <row r="17352">
      <c r="C17352" s="18" t="n"/>
      <c r="J17352" s="19" t="n"/>
      <c r="P17352" s="20" t="n"/>
      <c r="Q17352" s="19" t="n"/>
      <c r="R17352" s="19" t="n"/>
      <c r="Y17352" s="19" t="n"/>
    </row>
    <row r="17353">
      <c r="C17353" s="18" t="n"/>
      <c r="J17353" s="19" t="n"/>
      <c r="P17353" s="20" t="n"/>
      <c r="Q17353" s="19" t="n"/>
      <c r="R17353" s="19" t="n"/>
      <c r="Y17353" s="19" t="n"/>
    </row>
    <row r="17354">
      <c r="C17354" s="18" t="n"/>
      <c r="J17354" s="19" t="n"/>
      <c r="P17354" s="20" t="n"/>
      <c r="Q17354" s="19" t="n"/>
      <c r="R17354" s="19" t="n"/>
      <c r="Y17354" s="19" t="n"/>
    </row>
    <row r="17355">
      <c r="C17355" s="18" t="n"/>
      <c r="J17355" s="19" t="n"/>
      <c r="P17355" s="20" t="n"/>
      <c r="Q17355" s="19" t="n"/>
      <c r="R17355" s="19" t="n"/>
      <c r="Y17355" s="19" t="n"/>
    </row>
    <row r="17356">
      <c r="C17356" s="18" t="n"/>
      <c r="J17356" s="19" t="n"/>
      <c r="P17356" s="20" t="n"/>
      <c r="Q17356" s="19" t="n"/>
      <c r="R17356" s="19" t="n"/>
      <c r="Y17356" s="19" t="n"/>
    </row>
    <row r="17357">
      <c r="C17357" s="18" t="n"/>
      <c r="J17357" s="19" t="n"/>
      <c r="P17357" s="20" t="n"/>
      <c r="Q17357" s="19" t="n"/>
      <c r="R17357" s="19" t="n"/>
      <c r="Y17357" s="19" t="n"/>
    </row>
    <row r="17358">
      <c r="C17358" s="18" t="n"/>
      <c r="J17358" s="19" t="n"/>
      <c r="P17358" s="20" t="n"/>
      <c r="Q17358" s="19" t="n"/>
      <c r="R17358" s="19" t="n"/>
      <c r="Y17358" s="19" t="n"/>
    </row>
    <row r="17359">
      <c r="C17359" s="18" t="n"/>
      <c r="J17359" s="19" t="n"/>
      <c r="P17359" s="20" t="n"/>
      <c r="Q17359" s="19" t="n"/>
      <c r="R17359" s="19" t="n"/>
      <c r="Y17359" s="19" t="n"/>
    </row>
    <row r="17360">
      <c r="C17360" s="18" t="n"/>
      <c r="J17360" s="19" t="n"/>
      <c r="P17360" s="20" t="n"/>
      <c r="Q17360" s="19" t="n"/>
      <c r="R17360" s="19" t="n"/>
      <c r="Y17360" s="19" t="n"/>
    </row>
    <row r="17361">
      <c r="C17361" s="18" t="n"/>
      <c r="J17361" s="19" t="n"/>
      <c r="P17361" s="20" t="n"/>
      <c r="Q17361" s="19" t="n"/>
      <c r="R17361" s="19" t="n"/>
      <c r="Y17361" s="19" t="n"/>
    </row>
    <row r="17362">
      <c r="C17362" s="18" t="n"/>
      <c r="J17362" s="19" t="n"/>
      <c r="P17362" s="20" t="n"/>
      <c r="Q17362" s="19" t="n"/>
      <c r="R17362" s="19" t="n"/>
      <c r="Y17362" s="19" t="n"/>
    </row>
    <row r="17363">
      <c r="C17363" s="18" t="n"/>
      <c r="J17363" s="19" t="n"/>
      <c r="P17363" s="20" t="n"/>
      <c r="Q17363" s="19" t="n"/>
      <c r="R17363" s="19" t="n"/>
      <c r="Y17363" s="19" t="n"/>
    </row>
    <row r="17364">
      <c r="C17364" s="18" t="n"/>
      <c r="J17364" s="19" t="n"/>
      <c r="P17364" s="20" t="n"/>
      <c r="Q17364" s="19" t="n"/>
      <c r="R17364" s="19" t="n"/>
      <c r="Y17364" s="19" t="n"/>
    </row>
    <row r="17365">
      <c r="C17365" s="18" t="n"/>
      <c r="J17365" s="19" t="n"/>
      <c r="P17365" s="20" t="n"/>
      <c r="Q17365" s="19" t="n"/>
      <c r="R17365" s="19" t="n"/>
      <c r="Y17365" s="19" t="n"/>
    </row>
    <row r="17366">
      <c r="C17366" s="18" t="n"/>
      <c r="J17366" s="19" t="n"/>
      <c r="P17366" s="20" t="n"/>
      <c r="Q17366" s="19" t="n"/>
      <c r="R17366" s="19" t="n"/>
      <c r="Y17366" s="19" t="n"/>
    </row>
    <row r="17367">
      <c r="C17367" s="18" t="n"/>
      <c r="J17367" s="19" t="n"/>
      <c r="P17367" s="20" t="n"/>
      <c r="Q17367" s="19" t="n"/>
      <c r="R17367" s="19" t="n"/>
      <c r="Y17367" s="19" t="n"/>
    </row>
    <row r="17368">
      <c r="C17368" s="18" t="n"/>
      <c r="J17368" s="19" t="n"/>
      <c r="P17368" s="20" t="n"/>
      <c r="Q17368" s="19" t="n"/>
      <c r="R17368" s="19" t="n"/>
      <c r="Y17368" s="19" t="n"/>
    </row>
    <row r="17369">
      <c r="C17369" s="18" t="n"/>
      <c r="J17369" s="19" t="n"/>
      <c r="P17369" s="20" t="n"/>
      <c r="Q17369" s="19" t="n"/>
      <c r="R17369" s="19" t="n"/>
      <c r="Y17369" s="19" t="n"/>
    </row>
    <row r="17370">
      <c r="C17370" s="18" t="n"/>
      <c r="J17370" s="19" t="n"/>
      <c r="P17370" s="20" t="n"/>
      <c r="Q17370" s="19" t="n"/>
      <c r="R17370" s="19" t="n"/>
      <c r="Y17370" s="19" t="n"/>
    </row>
    <row r="17371">
      <c r="C17371" s="18" t="n"/>
      <c r="J17371" s="19" t="n"/>
      <c r="P17371" s="20" t="n"/>
      <c r="Q17371" s="19" t="n"/>
      <c r="R17371" s="19" t="n"/>
      <c r="Y17371" s="19" t="n"/>
    </row>
    <row r="17372">
      <c r="C17372" s="18" t="n"/>
      <c r="J17372" s="19" t="n"/>
      <c r="P17372" s="20" t="n"/>
      <c r="Q17372" s="19" t="n"/>
      <c r="R17372" s="19" t="n"/>
      <c r="Y17372" s="19" t="n"/>
    </row>
    <row r="17373">
      <c r="C17373" s="18" t="n"/>
      <c r="J17373" s="19" t="n"/>
      <c r="P17373" s="20" t="n"/>
      <c r="Q17373" s="19" t="n"/>
      <c r="R17373" s="19" t="n"/>
      <c r="Y17373" s="19" t="n"/>
    </row>
    <row r="17374">
      <c r="C17374" s="18" t="n"/>
      <c r="J17374" s="19" t="n"/>
      <c r="P17374" s="20" t="n"/>
      <c r="Q17374" s="19" t="n"/>
      <c r="R17374" s="19" t="n"/>
      <c r="Y17374" s="19" t="n"/>
    </row>
    <row r="17375">
      <c r="C17375" s="18" t="n"/>
      <c r="J17375" s="19" t="n"/>
      <c r="P17375" s="20" t="n"/>
      <c r="Q17375" s="19" t="n"/>
      <c r="R17375" s="19" t="n"/>
      <c r="Y17375" s="19" t="n"/>
    </row>
    <row r="17376">
      <c r="C17376" s="18" t="n"/>
      <c r="J17376" s="19" t="n"/>
      <c r="P17376" s="20" t="n"/>
      <c r="Q17376" s="19" t="n"/>
      <c r="R17376" s="19" t="n"/>
      <c r="Y17376" s="19" t="n"/>
    </row>
    <row r="17377">
      <c r="C17377" s="18" t="n"/>
      <c r="J17377" s="19" t="n"/>
      <c r="P17377" s="20" t="n"/>
      <c r="Q17377" s="19" t="n"/>
      <c r="R17377" s="19" t="n"/>
      <c r="Y17377" s="19" t="n"/>
    </row>
    <row r="17378">
      <c r="C17378" s="18" t="n"/>
      <c r="J17378" s="19" t="n"/>
      <c r="P17378" s="20" t="n"/>
      <c r="Q17378" s="19" t="n"/>
      <c r="R17378" s="19" t="n"/>
      <c r="Y17378" s="19" t="n"/>
    </row>
    <row r="17379">
      <c r="C17379" s="18" t="n"/>
      <c r="J17379" s="19" t="n"/>
      <c r="P17379" s="20" t="n"/>
      <c r="Q17379" s="19" t="n"/>
      <c r="R17379" s="19" t="n"/>
      <c r="Y17379" s="19" t="n"/>
    </row>
    <row r="17380">
      <c r="C17380" s="18" t="n"/>
      <c r="J17380" s="19" t="n"/>
      <c r="P17380" s="20" t="n"/>
      <c r="Q17380" s="19" t="n"/>
      <c r="R17380" s="19" t="n"/>
      <c r="Y17380" s="19" t="n"/>
    </row>
    <row r="17381">
      <c r="C17381" s="18" t="n"/>
      <c r="J17381" s="19" t="n"/>
      <c r="P17381" s="20" t="n"/>
      <c r="Q17381" s="19" t="n"/>
      <c r="R17381" s="19" t="n"/>
      <c r="Y17381" s="19" t="n"/>
    </row>
    <row r="17382">
      <c r="C17382" s="18" t="n"/>
      <c r="J17382" s="19" t="n"/>
      <c r="P17382" s="20" t="n"/>
      <c r="Q17382" s="19" t="n"/>
      <c r="R17382" s="19" t="n"/>
      <c r="Y17382" s="19" t="n"/>
    </row>
    <row r="17383">
      <c r="C17383" s="18" t="n"/>
      <c r="J17383" s="19" t="n"/>
      <c r="P17383" s="20" t="n"/>
      <c r="Q17383" s="19" t="n"/>
      <c r="R17383" s="19" t="n"/>
      <c r="Y17383" s="19" t="n"/>
    </row>
    <row r="17384">
      <c r="C17384" s="18" t="n"/>
      <c r="J17384" s="19" t="n"/>
      <c r="P17384" s="20" t="n"/>
      <c r="Q17384" s="19" t="n"/>
      <c r="R17384" s="19" t="n"/>
      <c r="Y17384" s="19" t="n"/>
    </row>
    <row r="17385">
      <c r="C17385" s="18" t="n"/>
      <c r="J17385" s="19" t="n"/>
      <c r="P17385" s="20" t="n"/>
      <c r="Q17385" s="19" t="n"/>
      <c r="R17385" s="19" t="n"/>
      <c r="Y17385" s="19" t="n"/>
    </row>
    <row r="17386">
      <c r="C17386" s="18" t="n"/>
      <c r="J17386" s="19" t="n"/>
      <c r="P17386" s="20" t="n"/>
      <c r="Q17386" s="19" t="n"/>
      <c r="R17386" s="19" t="n"/>
      <c r="Y17386" s="19" t="n"/>
    </row>
    <row r="17387">
      <c r="C17387" s="18" t="n"/>
      <c r="J17387" s="19" t="n"/>
      <c r="P17387" s="20" t="n"/>
      <c r="Q17387" s="19" t="n"/>
      <c r="R17387" s="19" t="n"/>
      <c r="Y17387" s="19" t="n"/>
    </row>
    <row r="17388">
      <c r="C17388" s="18" t="n"/>
      <c r="J17388" s="19" t="n"/>
      <c r="P17388" s="20" t="n"/>
      <c r="Q17388" s="19" t="n"/>
      <c r="R17388" s="19" t="n"/>
      <c r="Y17388" s="19" t="n"/>
    </row>
    <row r="17389">
      <c r="C17389" s="18" t="n"/>
      <c r="J17389" s="19" t="n"/>
      <c r="P17389" s="20" t="n"/>
      <c r="Q17389" s="19" t="n"/>
      <c r="R17389" s="19" t="n"/>
      <c r="Y17389" s="19" t="n"/>
    </row>
    <row r="17390">
      <c r="C17390" s="18" t="n"/>
      <c r="J17390" s="19" t="n"/>
      <c r="P17390" s="20" t="n"/>
      <c r="Q17390" s="19" t="n"/>
      <c r="R17390" s="19" t="n"/>
      <c r="Y17390" s="19" t="n"/>
    </row>
    <row r="17391">
      <c r="C17391" s="18" t="n"/>
      <c r="J17391" s="19" t="n"/>
      <c r="P17391" s="20" t="n"/>
      <c r="Q17391" s="19" t="n"/>
      <c r="R17391" s="19" t="n"/>
      <c r="Y17391" s="19" t="n"/>
    </row>
    <row r="17392">
      <c r="C17392" s="18" t="n"/>
      <c r="J17392" s="19" t="n"/>
      <c r="P17392" s="20" t="n"/>
      <c r="Q17392" s="19" t="n"/>
      <c r="R17392" s="19" t="n"/>
      <c r="Y17392" s="19" t="n"/>
    </row>
    <row r="17393">
      <c r="C17393" s="18" t="n"/>
      <c r="J17393" s="19" t="n"/>
      <c r="P17393" s="20" t="n"/>
      <c r="Q17393" s="19" t="n"/>
      <c r="R17393" s="19" t="n"/>
      <c r="Y17393" s="19" t="n"/>
    </row>
    <row r="17394">
      <c r="C17394" s="18" t="n"/>
      <c r="J17394" s="19" t="n"/>
      <c r="P17394" s="20" t="n"/>
      <c r="Q17394" s="19" t="n"/>
      <c r="R17394" s="19" t="n"/>
      <c r="Y17394" s="19" t="n"/>
    </row>
    <row r="17395">
      <c r="C17395" s="18" t="n"/>
      <c r="J17395" s="19" t="n"/>
      <c r="P17395" s="20" t="n"/>
      <c r="Q17395" s="19" t="n"/>
      <c r="R17395" s="19" t="n"/>
      <c r="Y17395" s="19" t="n"/>
    </row>
    <row r="17396">
      <c r="C17396" s="18" t="n"/>
      <c r="J17396" s="19" t="n"/>
      <c r="P17396" s="20" t="n"/>
      <c r="Q17396" s="19" t="n"/>
      <c r="R17396" s="19" t="n"/>
      <c r="Y17396" s="19" t="n"/>
    </row>
    <row r="17397">
      <c r="C17397" s="18" t="n"/>
      <c r="J17397" s="19" t="n"/>
      <c r="P17397" s="20" t="n"/>
      <c r="Q17397" s="19" t="n"/>
      <c r="R17397" s="19" t="n"/>
      <c r="Y17397" s="19" t="n"/>
    </row>
    <row r="17398">
      <c r="C17398" s="18" t="n"/>
      <c r="J17398" s="19" t="n"/>
      <c r="P17398" s="20" t="n"/>
      <c r="Q17398" s="19" t="n"/>
      <c r="R17398" s="19" t="n"/>
      <c r="Y17398" s="19" t="n"/>
    </row>
    <row r="17399">
      <c r="C17399" s="18" t="n"/>
      <c r="J17399" s="19" t="n"/>
      <c r="P17399" s="20" t="n"/>
      <c r="Q17399" s="19" t="n"/>
      <c r="R17399" s="19" t="n"/>
      <c r="Y17399" s="19" t="n"/>
    </row>
    <row r="17400">
      <c r="C17400" s="18" t="n"/>
      <c r="J17400" s="19" t="n"/>
      <c r="P17400" s="20" t="n"/>
      <c r="Q17400" s="19" t="n"/>
      <c r="R17400" s="19" t="n"/>
      <c r="Y17400" s="19" t="n"/>
    </row>
    <row r="17401">
      <c r="C17401" s="18" t="n"/>
      <c r="J17401" s="19" t="n"/>
      <c r="P17401" s="20" t="n"/>
      <c r="Q17401" s="19" t="n"/>
      <c r="R17401" s="19" t="n"/>
      <c r="Y17401" s="19" t="n"/>
    </row>
    <row r="17402">
      <c r="C17402" s="18" t="n"/>
      <c r="J17402" s="19" t="n"/>
      <c r="P17402" s="20" t="n"/>
      <c r="Q17402" s="19" t="n"/>
      <c r="R17402" s="19" t="n"/>
      <c r="Y17402" s="19" t="n"/>
    </row>
    <row r="17403">
      <c r="C17403" s="18" t="n"/>
      <c r="J17403" s="19" t="n"/>
      <c r="P17403" s="20" t="n"/>
      <c r="Q17403" s="19" t="n"/>
      <c r="R17403" s="19" t="n"/>
      <c r="Y17403" s="19" t="n"/>
    </row>
    <row r="17404">
      <c r="C17404" s="18" t="n"/>
      <c r="J17404" s="19" t="n"/>
      <c r="P17404" s="20" t="n"/>
      <c r="Q17404" s="19" t="n"/>
      <c r="R17404" s="19" t="n"/>
      <c r="Y17404" s="19" t="n"/>
    </row>
    <row r="17405">
      <c r="C17405" s="18" t="n"/>
      <c r="J17405" s="19" t="n"/>
      <c r="P17405" s="20" t="n"/>
      <c r="Q17405" s="19" t="n"/>
      <c r="R17405" s="19" t="n"/>
      <c r="Y17405" s="19" t="n"/>
    </row>
    <row r="17406">
      <c r="C17406" s="18" t="n"/>
      <c r="J17406" s="19" t="n"/>
      <c r="P17406" s="20" t="n"/>
      <c r="Q17406" s="19" t="n"/>
      <c r="R17406" s="19" t="n"/>
      <c r="Y17406" s="19" t="n"/>
    </row>
    <row r="17407">
      <c r="C17407" s="18" t="n"/>
      <c r="J17407" s="19" t="n"/>
      <c r="P17407" s="20" t="n"/>
      <c r="Q17407" s="19" t="n"/>
      <c r="R17407" s="19" t="n"/>
      <c r="Y17407" s="19" t="n"/>
    </row>
    <row r="17408">
      <c r="C17408" s="18" t="n"/>
      <c r="J17408" s="19" t="n"/>
      <c r="P17408" s="20" t="n"/>
      <c r="Q17408" s="19" t="n"/>
      <c r="R17408" s="19" t="n"/>
      <c r="Y17408" s="19" t="n"/>
    </row>
    <row r="17409">
      <c r="C17409" s="18" t="n"/>
      <c r="J17409" s="19" t="n"/>
      <c r="P17409" s="20" t="n"/>
      <c r="Q17409" s="19" t="n"/>
      <c r="R17409" s="19" t="n"/>
      <c r="Y17409" s="19" t="n"/>
    </row>
    <row r="17410">
      <c r="C17410" s="18" t="n"/>
      <c r="J17410" s="19" t="n"/>
      <c r="P17410" s="20" t="n"/>
      <c r="Q17410" s="19" t="n"/>
      <c r="R17410" s="19" t="n"/>
      <c r="Y17410" s="19" t="n"/>
    </row>
    <row r="17411">
      <c r="C17411" s="18" t="n"/>
      <c r="J17411" s="19" t="n"/>
      <c r="P17411" s="20" t="n"/>
      <c r="Q17411" s="19" t="n"/>
      <c r="R17411" s="19" t="n"/>
      <c r="Y17411" s="19" t="n"/>
    </row>
    <row r="17412">
      <c r="C17412" s="18" t="n"/>
      <c r="J17412" s="19" t="n"/>
      <c r="P17412" s="20" t="n"/>
      <c r="Q17412" s="19" t="n"/>
      <c r="R17412" s="19" t="n"/>
      <c r="Y17412" s="19" t="n"/>
    </row>
    <row r="17413">
      <c r="C17413" s="18" t="n"/>
      <c r="J17413" s="19" t="n"/>
      <c r="P17413" s="20" t="n"/>
      <c r="Q17413" s="19" t="n"/>
      <c r="R17413" s="19" t="n"/>
      <c r="Y17413" s="19" t="n"/>
    </row>
    <row r="17414">
      <c r="C17414" s="18" t="n"/>
      <c r="J17414" s="19" t="n"/>
      <c r="P17414" s="20" t="n"/>
      <c r="Q17414" s="19" t="n"/>
      <c r="R17414" s="19" t="n"/>
      <c r="Y17414" s="19" t="n"/>
    </row>
    <row r="17415">
      <c r="C17415" s="18" t="n"/>
      <c r="J17415" s="19" t="n"/>
      <c r="P17415" s="20" t="n"/>
      <c r="Q17415" s="19" t="n"/>
      <c r="R17415" s="19" t="n"/>
      <c r="Y17415" s="19" t="n"/>
    </row>
    <row r="17416">
      <c r="C17416" s="18" t="n"/>
      <c r="J17416" s="19" t="n"/>
      <c r="P17416" s="20" t="n"/>
      <c r="Q17416" s="19" t="n"/>
      <c r="R17416" s="19" t="n"/>
      <c r="Y17416" s="19" t="n"/>
    </row>
    <row r="17417">
      <c r="C17417" s="18" t="n"/>
      <c r="J17417" s="19" t="n"/>
      <c r="P17417" s="20" t="n"/>
      <c r="Q17417" s="19" t="n"/>
      <c r="R17417" s="19" t="n"/>
      <c r="Y17417" s="19" t="n"/>
    </row>
    <row r="17418">
      <c r="C17418" s="18" t="n"/>
      <c r="J17418" s="19" t="n"/>
      <c r="P17418" s="20" t="n"/>
      <c r="Q17418" s="19" t="n"/>
      <c r="R17418" s="19" t="n"/>
      <c r="Y17418" s="19" t="n"/>
    </row>
    <row r="17419">
      <c r="C17419" s="18" t="n"/>
      <c r="J17419" s="19" t="n"/>
      <c r="P17419" s="20" t="n"/>
      <c r="Q17419" s="19" t="n"/>
      <c r="R17419" s="19" t="n"/>
      <c r="Y17419" s="19" t="n"/>
    </row>
    <row r="17420">
      <c r="C17420" s="18" t="n"/>
      <c r="J17420" s="19" t="n"/>
      <c r="P17420" s="20" t="n"/>
      <c r="Q17420" s="19" t="n"/>
      <c r="R17420" s="19" t="n"/>
      <c r="Y17420" s="19" t="n"/>
    </row>
    <row r="17421">
      <c r="C17421" s="18" t="n"/>
      <c r="J17421" s="19" t="n"/>
      <c r="P17421" s="20" t="n"/>
      <c r="Q17421" s="19" t="n"/>
      <c r="R17421" s="19" t="n"/>
      <c r="Y17421" s="19" t="n"/>
    </row>
    <row r="17422">
      <c r="C17422" s="18" t="n"/>
      <c r="J17422" s="19" t="n"/>
      <c r="P17422" s="20" t="n"/>
      <c r="Q17422" s="19" t="n"/>
      <c r="R17422" s="19" t="n"/>
      <c r="Y17422" s="19" t="n"/>
    </row>
    <row r="17423">
      <c r="C17423" s="18" t="n"/>
      <c r="J17423" s="19" t="n"/>
      <c r="P17423" s="20" t="n"/>
      <c r="Q17423" s="19" t="n"/>
      <c r="R17423" s="19" t="n"/>
      <c r="Y17423" s="19" t="n"/>
    </row>
    <row r="17424">
      <c r="C17424" s="18" t="n"/>
      <c r="J17424" s="19" t="n"/>
      <c r="P17424" s="20" t="n"/>
      <c r="Q17424" s="19" t="n"/>
      <c r="R17424" s="19" t="n"/>
      <c r="Y17424" s="19" t="n"/>
    </row>
    <row r="17425">
      <c r="C17425" s="18" t="n"/>
      <c r="J17425" s="19" t="n"/>
      <c r="P17425" s="20" t="n"/>
      <c r="Q17425" s="19" t="n"/>
      <c r="R17425" s="19" t="n"/>
      <c r="Y17425" s="19" t="n"/>
    </row>
    <row r="17426">
      <c r="C17426" s="18" t="n"/>
      <c r="J17426" s="19" t="n"/>
      <c r="P17426" s="20" t="n"/>
      <c r="Q17426" s="19" t="n"/>
      <c r="R17426" s="19" t="n"/>
      <c r="Y17426" s="19" t="n"/>
    </row>
    <row r="17427">
      <c r="C17427" s="18" t="n"/>
      <c r="J17427" s="19" t="n"/>
      <c r="P17427" s="20" t="n"/>
      <c r="Q17427" s="19" t="n"/>
      <c r="R17427" s="19" t="n"/>
      <c r="Y17427" s="19" t="n"/>
    </row>
    <row r="17428">
      <c r="C17428" s="18" t="n"/>
      <c r="J17428" s="19" t="n"/>
      <c r="P17428" s="20" t="n"/>
      <c r="Q17428" s="19" t="n"/>
      <c r="R17428" s="19" t="n"/>
      <c r="Y17428" s="19" t="n"/>
    </row>
    <row r="17429">
      <c r="C17429" s="18" t="n"/>
      <c r="J17429" s="19" t="n"/>
      <c r="P17429" s="20" t="n"/>
      <c r="Q17429" s="19" t="n"/>
      <c r="R17429" s="19" t="n"/>
      <c r="Y17429" s="19" t="n"/>
    </row>
    <row r="17430">
      <c r="C17430" s="18" t="n"/>
      <c r="J17430" s="19" t="n"/>
      <c r="P17430" s="20" t="n"/>
      <c r="Q17430" s="19" t="n"/>
      <c r="R17430" s="19" t="n"/>
      <c r="Y17430" s="19" t="n"/>
    </row>
    <row r="17431">
      <c r="C17431" s="18" t="n"/>
      <c r="J17431" s="19" t="n"/>
      <c r="P17431" s="20" t="n"/>
      <c r="Q17431" s="19" t="n"/>
      <c r="R17431" s="19" t="n"/>
      <c r="Y17431" s="19" t="n"/>
    </row>
    <row r="17432">
      <c r="C17432" s="18" t="n"/>
      <c r="J17432" s="19" t="n"/>
      <c r="P17432" s="20" t="n"/>
      <c r="Q17432" s="19" t="n"/>
      <c r="R17432" s="19" t="n"/>
      <c r="Y17432" s="19" t="n"/>
    </row>
    <row r="17433">
      <c r="C17433" s="18" t="n"/>
      <c r="J17433" s="19" t="n"/>
      <c r="P17433" s="20" t="n"/>
      <c r="Q17433" s="19" t="n"/>
      <c r="R17433" s="19" t="n"/>
      <c r="Y17433" s="19" t="n"/>
    </row>
    <row r="17434">
      <c r="C17434" s="18" t="n"/>
      <c r="J17434" s="19" t="n"/>
      <c r="P17434" s="20" t="n"/>
      <c r="Q17434" s="19" t="n"/>
      <c r="R17434" s="19" t="n"/>
      <c r="Y17434" s="19" t="n"/>
    </row>
    <row r="17435">
      <c r="C17435" s="18" t="n"/>
      <c r="J17435" s="19" t="n"/>
      <c r="P17435" s="20" t="n"/>
      <c r="Q17435" s="19" t="n"/>
      <c r="R17435" s="19" t="n"/>
      <c r="Y17435" s="19" t="n"/>
    </row>
    <row r="17436">
      <c r="C17436" s="18" t="n"/>
      <c r="J17436" s="19" t="n"/>
      <c r="P17436" s="20" t="n"/>
      <c r="Q17436" s="19" t="n"/>
      <c r="R17436" s="19" t="n"/>
      <c r="Y17436" s="19" t="n"/>
    </row>
    <row r="17437">
      <c r="C17437" s="18" t="n"/>
      <c r="J17437" s="19" t="n"/>
      <c r="P17437" s="20" t="n"/>
      <c r="Q17437" s="19" t="n"/>
      <c r="R17437" s="19" t="n"/>
      <c r="Y17437" s="19" t="n"/>
    </row>
    <row r="17438">
      <c r="C17438" s="18" t="n"/>
      <c r="J17438" s="19" t="n"/>
      <c r="P17438" s="20" t="n"/>
      <c r="Q17438" s="19" t="n"/>
      <c r="R17438" s="19" t="n"/>
      <c r="Y17438" s="19" t="n"/>
    </row>
    <row r="17439">
      <c r="C17439" s="18" t="n"/>
      <c r="J17439" s="19" t="n"/>
      <c r="P17439" s="20" t="n"/>
      <c r="Q17439" s="19" t="n"/>
      <c r="R17439" s="19" t="n"/>
      <c r="Y17439" s="19" t="n"/>
    </row>
    <row r="17440">
      <c r="C17440" s="18" t="n"/>
      <c r="J17440" s="19" t="n"/>
      <c r="P17440" s="20" t="n"/>
      <c r="Q17440" s="19" t="n"/>
      <c r="R17440" s="19" t="n"/>
      <c r="Y17440" s="19" t="n"/>
    </row>
    <row r="17441">
      <c r="C17441" s="18" t="n"/>
      <c r="J17441" s="19" t="n"/>
      <c r="P17441" s="20" t="n"/>
      <c r="Q17441" s="19" t="n"/>
      <c r="R17441" s="19" t="n"/>
      <c r="Y17441" s="19" t="n"/>
    </row>
    <row r="17442">
      <c r="C17442" s="18" t="n"/>
      <c r="J17442" s="19" t="n"/>
      <c r="P17442" s="20" t="n"/>
      <c r="Q17442" s="19" t="n"/>
      <c r="R17442" s="19" t="n"/>
      <c r="Y17442" s="19" t="n"/>
    </row>
    <row r="17443">
      <c r="C17443" s="18" t="n"/>
      <c r="J17443" s="19" t="n"/>
      <c r="P17443" s="20" t="n"/>
      <c r="Q17443" s="19" t="n"/>
      <c r="R17443" s="19" t="n"/>
      <c r="Y17443" s="19" t="n"/>
    </row>
    <row r="17444">
      <c r="C17444" s="18" t="n"/>
      <c r="J17444" s="19" t="n"/>
      <c r="P17444" s="20" t="n"/>
      <c r="Q17444" s="19" t="n"/>
      <c r="R17444" s="19" t="n"/>
      <c r="Y17444" s="19" t="n"/>
    </row>
    <row r="17445">
      <c r="C17445" s="18" t="n"/>
      <c r="J17445" s="19" t="n"/>
      <c r="P17445" s="20" t="n"/>
      <c r="Q17445" s="19" t="n"/>
      <c r="R17445" s="19" t="n"/>
      <c r="Y17445" s="19" t="n"/>
    </row>
    <row r="17446">
      <c r="C17446" s="18" t="n"/>
      <c r="J17446" s="19" t="n"/>
      <c r="P17446" s="20" t="n"/>
      <c r="Q17446" s="19" t="n"/>
      <c r="R17446" s="19" t="n"/>
      <c r="Y17446" s="19" t="n"/>
    </row>
    <row r="17447">
      <c r="C17447" s="18" t="n"/>
      <c r="J17447" s="19" t="n"/>
      <c r="P17447" s="20" t="n"/>
      <c r="Q17447" s="19" t="n"/>
      <c r="R17447" s="19" t="n"/>
      <c r="Y17447" s="19" t="n"/>
    </row>
    <row r="17448">
      <c r="C17448" s="18" t="n"/>
      <c r="J17448" s="19" t="n"/>
      <c r="P17448" s="20" t="n"/>
      <c r="Q17448" s="19" t="n"/>
      <c r="R17448" s="19" t="n"/>
      <c r="Y17448" s="19" t="n"/>
    </row>
    <row r="17449">
      <c r="C17449" s="18" t="n"/>
      <c r="J17449" s="19" t="n"/>
      <c r="P17449" s="20" t="n"/>
      <c r="Q17449" s="19" t="n"/>
      <c r="R17449" s="19" t="n"/>
      <c r="Y17449" s="19" t="n"/>
    </row>
    <row r="17450">
      <c r="C17450" s="18" t="n"/>
      <c r="J17450" s="19" t="n"/>
      <c r="P17450" s="20" t="n"/>
      <c r="Q17450" s="19" t="n"/>
      <c r="R17450" s="19" t="n"/>
      <c r="Y17450" s="19" t="n"/>
    </row>
    <row r="17451">
      <c r="C17451" s="18" t="n"/>
      <c r="J17451" s="19" t="n"/>
      <c r="P17451" s="20" t="n"/>
      <c r="Q17451" s="19" t="n"/>
      <c r="R17451" s="19" t="n"/>
      <c r="Y17451" s="19" t="n"/>
    </row>
    <row r="17452">
      <c r="C17452" s="18" t="n"/>
      <c r="J17452" s="19" t="n"/>
      <c r="P17452" s="20" t="n"/>
      <c r="Q17452" s="19" t="n"/>
      <c r="R17452" s="19" t="n"/>
      <c r="Y17452" s="19" t="n"/>
    </row>
    <row r="17453">
      <c r="C17453" s="18" t="n"/>
      <c r="J17453" s="19" t="n"/>
      <c r="P17453" s="20" t="n"/>
      <c r="Q17453" s="19" t="n"/>
      <c r="R17453" s="19" t="n"/>
      <c r="Y17453" s="19" t="n"/>
    </row>
    <row r="17454">
      <c r="C17454" s="18" t="n"/>
      <c r="J17454" s="19" t="n"/>
      <c r="P17454" s="20" t="n"/>
      <c r="Q17454" s="19" t="n"/>
      <c r="R17454" s="19" t="n"/>
      <c r="Y17454" s="19" t="n"/>
    </row>
    <row r="17455">
      <c r="C17455" s="18" t="n"/>
      <c r="J17455" s="19" t="n"/>
      <c r="P17455" s="20" t="n"/>
      <c r="Q17455" s="19" t="n"/>
      <c r="R17455" s="19" t="n"/>
      <c r="Y17455" s="19" t="n"/>
    </row>
    <row r="17456">
      <c r="C17456" s="18" t="n"/>
      <c r="J17456" s="19" t="n"/>
      <c r="P17456" s="20" t="n"/>
      <c r="Q17456" s="19" t="n"/>
      <c r="R17456" s="19" t="n"/>
      <c r="Y17456" s="19" t="n"/>
    </row>
    <row r="17457">
      <c r="C17457" s="18" t="n"/>
      <c r="J17457" s="19" t="n"/>
      <c r="P17457" s="20" t="n"/>
      <c r="Q17457" s="19" t="n"/>
      <c r="R17457" s="19" t="n"/>
      <c r="Y17457" s="19" t="n"/>
    </row>
    <row r="17458">
      <c r="C17458" s="18" t="n"/>
      <c r="J17458" s="19" t="n"/>
      <c r="P17458" s="20" t="n"/>
      <c r="Q17458" s="19" t="n"/>
      <c r="R17458" s="19" t="n"/>
      <c r="Y17458" s="19" t="n"/>
    </row>
    <row r="17459">
      <c r="C17459" s="18" t="n"/>
      <c r="J17459" s="19" t="n"/>
      <c r="P17459" s="20" t="n"/>
      <c r="Q17459" s="19" t="n"/>
      <c r="R17459" s="19" t="n"/>
      <c r="Y17459" s="19" t="n"/>
    </row>
    <row r="17460">
      <c r="C17460" s="18" t="n"/>
      <c r="J17460" s="19" t="n"/>
      <c r="P17460" s="20" t="n"/>
      <c r="Q17460" s="19" t="n"/>
      <c r="R17460" s="19" t="n"/>
      <c r="Y17460" s="19" t="n"/>
    </row>
    <row r="17461">
      <c r="C17461" s="18" t="n"/>
      <c r="J17461" s="19" t="n"/>
      <c r="P17461" s="20" t="n"/>
      <c r="Q17461" s="19" t="n"/>
      <c r="R17461" s="19" t="n"/>
      <c r="Y17461" s="19" t="n"/>
    </row>
    <row r="17462">
      <c r="C17462" s="18" t="n"/>
      <c r="J17462" s="19" t="n"/>
      <c r="P17462" s="20" t="n"/>
      <c r="Q17462" s="19" t="n"/>
      <c r="R17462" s="19" t="n"/>
      <c r="Y17462" s="19" t="n"/>
    </row>
    <row r="17463">
      <c r="C17463" s="18" t="n"/>
      <c r="J17463" s="19" t="n"/>
      <c r="P17463" s="20" t="n"/>
      <c r="Q17463" s="19" t="n"/>
      <c r="R17463" s="19" t="n"/>
      <c r="Y17463" s="19" t="n"/>
    </row>
    <row r="17464">
      <c r="C17464" s="18" t="n"/>
      <c r="J17464" s="19" t="n"/>
      <c r="P17464" s="20" t="n"/>
      <c r="Q17464" s="19" t="n"/>
      <c r="R17464" s="19" t="n"/>
      <c r="Y17464" s="19" t="n"/>
    </row>
    <row r="17465">
      <c r="C17465" s="18" t="n"/>
      <c r="J17465" s="19" t="n"/>
      <c r="P17465" s="20" t="n"/>
      <c r="Q17465" s="19" t="n"/>
      <c r="R17465" s="19" t="n"/>
      <c r="Y17465" s="19" t="n"/>
    </row>
    <row r="17466">
      <c r="C17466" s="18" t="n"/>
      <c r="J17466" s="19" t="n"/>
      <c r="P17466" s="20" t="n"/>
      <c r="Q17466" s="19" t="n"/>
      <c r="R17466" s="19" t="n"/>
      <c r="Y17466" s="19" t="n"/>
    </row>
    <row r="17467">
      <c r="C17467" s="18" t="n"/>
      <c r="J17467" s="19" t="n"/>
      <c r="P17467" s="20" t="n"/>
      <c r="Q17467" s="19" t="n"/>
      <c r="R17467" s="19" t="n"/>
      <c r="Y17467" s="19" t="n"/>
    </row>
    <row r="17468">
      <c r="C17468" s="18" t="n"/>
      <c r="J17468" s="19" t="n"/>
      <c r="P17468" s="20" t="n"/>
      <c r="Q17468" s="19" t="n"/>
      <c r="R17468" s="19" t="n"/>
      <c r="Y17468" s="19" t="n"/>
    </row>
    <row r="17469">
      <c r="C17469" s="18" t="n"/>
      <c r="J17469" s="19" t="n"/>
      <c r="P17469" s="20" t="n"/>
      <c r="Q17469" s="19" t="n"/>
      <c r="R17469" s="19" t="n"/>
      <c r="Y17469" s="19" t="n"/>
    </row>
    <row r="17470">
      <c r="C17470" s="18" t="n"/>
      <c r="J17470" s="19" t="n"/>
      <c r="P17470" s="20" t="n"/>
      <c r="Q17470" s="19" t="n"/>
      <c r="R17470" s="19" t="n"/>
      <c r="Y17470" s="19" t="n"/>
    </row>
    <row r="17471">
      <c r="C17471" s="18" t="n"/>
      <c r="J17471" s="19" t="n"/>
      <c r="P17471" s="20" t="n"/>
      <c r="Q17471" s="19" t="n"/>
      <c r="R17471" s="19" t="n"/>
      <c r="Y17471" s="19" t="n"/>
    </row>
    <row r="17472">
      <c r="C17472" s="18" t="n"/>
      <c r="J17472" s="19" t="n"/>
      <c r="P17472" s="20" t="n"/>
      <c r="Q17472" s="19" t="n"/>
      <c r="R17472" s="19" t="n"/>
      <c r="Y17472" s="19" t="n"/>
    </row>
    <row r="17473">
      <c r="C17473" s="18" t="n"/>
      <c r="J17473" s="19" t="n"/>
      <c r="P17473" s="20" t="n"/>
      <c r="Q17473" s="19" t="n"/>
      <c r="R17473" s="19" t="n"/>
      <c r="Y17473" s="19" t="n"/>
    </row>
    <row r="17474">
      <c r="C17474" s="18" t="n"/>
      <c r="J17474" s="19" t="n"/>
      <c r="P17474" s="20" t="n"/>
      <c r="Q17474" s="19" t="n"/>
      <c r="R17474" s="19" t="n"/>
      <c r="Y17474" s="19" t="n"/>
    </row>
    <row r="17475">
      <c r="C17475" s="18" t="n"/>
      <c r="J17475" s="19" t="n"/>
      <c r="P17475" s="20" t="n"/>
      <c r="Q17475" s="19" t="n"/>
      <c r="R17475" s="19" t="n"/>
      <c r="Y17475" s="19" t="n"/>
    </row>
    <row r="17476">
      <c r="C17476" s="18" t="n"/>
      <c r="J17476" s="19" t="n"/>
      <c r="P17476" s="20" t="n"/>
      <c r="Q17476" s="19" t="n"/>
      <c r="R17476" s="19" t="n"/>
      <c r="Y17476" s="19" t="n"/>
    </row>
    <row r="17477">
      <c r="C17477" s="18" t="n"/>
      <c r="J17477" s="19" t="n"/>
      <c r="P17477" s="20" t="n"/>
      <c r="Q17477" s="19" t="n"/>
      <c r="R17477" s="19" t="n"/>
      <c r="Y17477" s="19" t="n"/>
    </row>
    <row r="17478">
      <c r="C17478" s="18" t="n"/>
      <c r="J17478" s="19" t="n"/>
      <c r="P17478" s="20" t="n"/>
      <c r="Q17478" s="19" t="n"/>
      <c r="R17478" s="19" t="n"/>
      <c r="Y17478" s="19" t="n"/>
    </row>
    <row r="17479">
      <c r="C17479" s="18" t="n"/>
      <c r="J17479" s="19" t="n"/>
      <c r="P17479" s="20" t="n"/>
      <c r="Q17479" s="19" t="n"/>
      <c r="R17479" s="19" t="n"/>
      <c r="Y17479" s="19" t="n"/>
    </row>
    <row r="17480">
      <c r="C17480" s="18" t="n"/>
      <c r="J17480" s="19" t="n"/>
      <c r="P17480" s="20" t="n"/>
      <c r="Q17480" s="19" t="n"/>
      <c r="R17480" s="19" t="n"/>
      <c r="Y17480" s="19" t="n"/>
    </row>
    <row r="17481">
      <c r="C17481" s="18" t="n"/>
      <c r="J17481" s="19" t="n"/>
      <c r="P17481" s="20" t="n"/>
      <c r="Q17481" s="19" t="n"/>
      <c r="R17481" s="19" t="n"/>
      <c r="Y17481" s="19" t="n"/>
    </row>
    <row r="17482">
      <c r="C17482" s="18" t="n"/>
      <c r="J17482" s="19" t="n"/>
      <c r="P17482" s="20" t="n"/>
      <c r="Q17482" s="19" t="n"/>
      <c r="R17482" s="19" t="n"/>
      <c r="Y17482" s="19" t="n"/>
    </row>
    <row r="17483">
      <c r="C17483" s="18" t="n"/>
      <c r="J17483" s="19" t="n"/>
      <c r="P17483" s="20" t="n"/>
      <c r="Q17483" s="19" t="n"/>
      <c r="R17483" s="19" t="n"/>
      <c r="Y17483" s="19" t="n"/>
    </row>
    <row r="17484">
      <c r="C17484" s="18" t="n"/>
      <c r="J17484" s="19" t="n"/>
      <c r="P17484" s="20" t="n"/>
      <c r="Q17484" s="19" t="n"/>
      <c r="R17484" s="19" t="n"/>
      <c r="Y17484" s="19" t="n"/>
    </row>
    <row r="17485">
      <c r="C17485" s="18" t="n"/>
      <c r="J17485" s="19" t="n"/>
      <c r="P17485" s="20" t="n"/>
      <c r="Q17485" s="19" t="n"/>
      <c r="R17485" s="19" t="n"/>
      <c r="Y17485" s="19" t="n"/>
    </row>
    <row r="17486">
      <c r="C17486" s="18" t="n"/>
      <c r="J17486" s="19" t="n"/>
      <c r="P17486" s="20" t="n"/>
      <c r="Q17486" s="19" t="n"/>
      <c r="R17486" s="19" t="n"/>
      <c r="Y17486" s="19" t="n"/>
    </row>
    <row r="17487">
      <c r="C17487" s="18" t="n"/>
      <c r="J17487" s="19" t="n"/>
      <c r="P17487" s="20" t="n"/>
      <c r="Q17487" s="19" t="n"/>
      <c r="R17487" s="19" t="n"/>
      <c r="Y17487" s="19" t="n"/>
    </row>
    <row r="17488">
      <c r="C17488" s="18" t="n"/>
      <c r="J17488" s="19" t="n"/>
      <c r="P17488" s="20" t="n"/>
      <c r="Q17488" s="19" t="n"/>
      <c r="R17488" s="19" t="n"/>
      <c r="Y17488" s="19" t="n"/>
    </row>
    <row r="17489">
      <c r="C17489" s="18" t="n"/>
      <c r="J17489" s="19" t="n"/>
      <c r="P17489" s="20" t="n"/>
      <c r="Q17489" s="19" t="n"/>
      <c r="R17489" s="19" t="n"/>
      <c r="Y17489" s="19" t="n"/>
    </row>
    <row r="17490">
      <c r="C17490" s="18" t="n"/>
      <c r="J17490" s="19" t="n"/>
      <c r="P17490" s="20" t="n"/>
      <c r="Q17490" s="19" t="n"/>
      <c r="R17490" s="19" t="n"/>
      <c r="Y17490" s="19" t="n"/>
    </row>
    <row r="17491">
      <c r="C17491" s="18" t="n"/>
      <c r="J17491" s="19" t="n"/>
      <c r="P17491" s="20" t="n"/>
      <c r="Q17491" s="19" t="n"/>
      <c r="R17491" s="19" t="n"/>
      <c r="Y17491" s="19" t="n"/>
    </row>
    <row r="17492">
      <c r="C17492" s="18" t="n"/>
      <c r="J17492" s="19" t="n"/>
      <c r="P17492" s="20" t="n"/>
      <c r="Q17492" s="19" t="n"/>
      <c r="R17492" s="19" t="n"/>
      <c r="Y17492" s="19" t="n"/>
    </row>
    <row r="17493">
      <c r="C17493" s="18" t="n"/>
      <c r="J17493" s="19" t="n"/>
      <c r="P17493" s="20" t="n"/>
      <c r="Q17493" s="19" t="n"/>
      <c r="R17493" s="19" t="n"/>
      <c r="Y17493" s="19" t="n"/>
    </row>
    <row r="17494">
      <c r="C17494" s="18" t="n"/>
      <c r="J17494" s="19" t="n"/>
      <c r="P17494" s="20" t="n"/>
      <c r="Q17494" s="19" t="n"/>
      <c r="R17494" s="19" t="n"/>
      <c r="Y17494" s="19" t="n"/>
    </row>
    <row r="17495">
      <c r="C17495" s="18" t="n"/>
      <c r="J17495" s="19" t="n"/>
      <c r="P17495" s="20" t="n"/>
      <c r="Q17495" s="19" t="n"/>
      <c r="R17495" s="19" t="n"/>
      <c r="Y17495" s="19" t="n"/>
    </row>
    <row r="17496">
      <c r="C17496" s="18" t="n"/>
      <c r="J17496" s="19" t="n"/>
      <c r="P17496" s="20" t="n"/>
      <c r="Q17496" s="19" t="n"/>
      <c r="R17496" s="19" t="n"/>
      <c r="Y17496" s="19" t="n"/>
    </row>
    <row r="17497">
      <c r="C17497" s="18" t="n"/>
      <c r="J17497" s="19" t="n"/>
      <c r="P17497" s="20" t="n"/>
      <c r="Q17497" s="19" t="n"/>
      <c r="R17497" s="19" t="n"/>
      <c r="Y17497" s="19" t="n"/>
    </row>
    <row r="17498">
      <c r="C17498" s="18" t="n"/>
      <c r="J17498" s="19" t="n"/>
      <c r="P17498" s="20" t="n"/>
      <c r="Q17498" s="19" t="n"/>
      <c r="R17498" s="19" t="n"/>
      <c r="Y17498" s="19" t="n"/>
    </row>
    <row r="17499">
      <c r="C17499" s="18" t="n"/>
      <c r="J17499" s="19" t="n"/>
      <c r="P17499" s="20" t="n"/>
      <c r="Q17499" s="19" t="n"/>
      <c r="R17499" s="19" t="n"/>
      <c r="Y17499" s="19" t="n"/>
    </row>
    <row r="17500">
      <c r="C17500" s="18" t="n"/>
      <c r="J17500" s="19" t="n"/>
      <c r="P17500" s="20" t="n"/>
      <c r="Q17500" s="19" t="n"/>
      <c r="R17500" s="19" t="n"/>
      <c r="Y17500" s="19" t="n"/>
    </row>
    <row r="17501">
      <c r="C17501" s="18" t="n"/>
      <c r="J17501" s="19" t="n"/>
      <c r="P17501" s="20" t="n"/>
      <c r="Q17501" s="19" t="n"/>
      <c r="R17501" s="19" t="n"/>
      <c r="Y17501" s="19" t="n"/>
    </row>
    <row r="17502">
      <c r="C17502" s="18" t="n"/>
      <c r="J17502" s="19" t="n"/>
      <c r="P17502" s="20" t="n"/>
      <c r="Q17502" s="19" t="n"/>
      <c r="R17502" s="19" t="n"/>
      <c r="Y17502" s="19" t="n"/>
    </row>
    <row r="17503">
      <c r="C17503" s="18" t="n"/>
      <c r="J17503" s="19" t="n"/>
      <c r="P17503" s="20" t="n"/>
      <c r="Q17503" s="19" t="n"/>
      <c r="R17503" s="19" t="n"/>
      <c r="Y17503" s="19" t="n"/>
    </row>
    <row r="17504">
      <c r="C17504" s="18" t="n"/>
      <c r="J17504" s="19" t="n"/>
      <c r="P17504" s="20" t="n"/>
      <c r="Q17504" s="19" t="n"/>
      <c r="R17504" s="19" t="n"/>
      <c r="Y17504" s="19" t="n"/>
    </row>
    <row r="17505">
      <c r="C17505" s="18" t="n"/>
      <c r="J17505" s="19" t="n"/>
      <c r="P17505" s="20" t="n"/>
      <c r="Q17505" s="19" t="n"/>
      <c r="R17505" s="19" t="n"/>
      <c r="Y17505" s="19" t="n"/>
    </row>
    <row r="17506">
      <c r="C17506" s="18" t="n"/>
      <c r="J17506" s="19" t="n"/>
      <c r="P17506" s="20" t="n"/>
      <c r="Q17506" s="19" t="n"/>
      <c r="R17506" s="19" t="n"/>
      <c r="Y17506" s="19" t="n"/>
    </row>
    <row r="17507">
      <c r="C17507" s="18" t="n"/>
      <c r="J17507" s="19" t="n"/>
      <c r="P17507" s="20" t="n"/>
      <c r="Q17507" s="19" t="n"/>
      <c r="R17507" s="19" t="n"/>
      <c r="Y17507" s="19" t="n"/>
    </row>
    <row r="17508">
      <c r="C17508" s="18" t="n"/>
      <c r="J17508" s="19" t="n"/>
      <c r="P17508" s="20" t="n"/>
      <c r="Q17508" s="19" t="n"/>
      <c r="R17508" s="19" t="n"/>
      <c r="Y17508" s="19" t="n"/>
    </row>
    <row r="17509">
      <c r="C17509" s="18" t="n"/>
      <c r="J17509" s="19" t="n"/>
      <c r="P17509" s="20" t="n"/>
      <c r="Q17509" s="19" t="n"/>
      <c r="R17509" s="19" t="n"/>
      <c r="Y17509" s="19" t="n"/>
    </row>
    <row r="17510">
      <c r="C17510" s="18" t="n"/>
      <c r="J17510" s="19" t="n"/>
      <c r="P17510" s="20" t="n"/>
      <c r="Q17510" s="19" t="n"/>
      <c r="R17510" s="19" t="n"/>
      <c r="Y17510" s="19" t="n"/>
    </row>
    <row r="17511">
      <c r="C17511" s="18" t="n"/>
      <c r="J17511" s="19" t="n"/>
      <c r="P17511" s="20" t="n"/>
      <c r="Q17511" s="19" t="n"/>
      <c r="R17511" s="19" t="n"/>
      <c r="Y17511" s="19" t="n"/>
    </row>
    <row r="17512">
      <c r="C17512" s="18" t="n"/>
      <c r="J17512" s="19" t="n"/>
      <c r="P17512" s="20" t="n"/>
      <c r="Q17512" s="19" t="n"/>
      <c r="R17512" s="19" t="n"/>
      <c r="Y17512" s="19" t="n"/>
    </row>
    <row r="17513">
      <c r="C17513" s="18" t="n"/>
      <c r="J17513" s="19" t="n"/>
      <c r="P17513" s="20" t="n"/>
      <c r="Q17513" s="19" t="n"/>
      <c r="R17513" s="19" t="n"/>
      <c r="Y17513" s="19" t="n"/>
    </row>
    <row r="17514">
      <c r="C17514" s="18" t="n"/>
      <c r="J17514" s="19" t="n"/>
      <c r="P17514" s="20" t="n"/>
      <c r="Q17514" s="19" t="n"/>
      <c r="R17514" s="19" t="n"/>
      <c r="Y17514" s="19" t="n"/>
    </row>
    <row r="17515">
      <c r="C17515" s="18" t="n"/>
      <c r="J17515" s="19" t="n"/>
      <c r="P17515" s="20" t="n"/>
      <c r="Q17515" s="19" t="n"/>
      <c r="R17515" s="19" t="n"/>
      <c r="Y17515" s="19" t="n"/>
    </row>
    <row r="17516">
      <c r="C17516" s="18" t="n"/>
      <c r="J17516" s="19" t="n"/>
      <c r="P17516" s="20" t="n"/>
      <c r="Q17516" s="19" t="n"/>
      <c r="R17516" s="19" t="n"/>
      <c r="Y17516" s="19" t="n"/>
    </row>
    <row r="17517">
      <c r="C17517" s="18" t="n"/>
      <c r="J17517" s="19" t="n"/>
      <c r="P17517" s="20" t="n"/>
      <c r="Q17517" s="19" t="n"/>
      <c r="R17517" s="19" t="n"/>
      <c r="Y17517" s="19" t="n"/>
    </row>
    <row r="17518">
      <c r="C17518" s="18" t="n"/>
      <c r="J17518" s="19" t="n"/>
      <c r="P17518" s="20" t="n"/>
      <c r="Q17518" s="19" t="n"/>
      <c r="R17518" s="19" t="n"/>
      <c r="Y17518" s="19" t="n"/>
    </row>
    <row r="17519">
      <c r="C17519" s="18" t="n"/>
      <c r="J17519" s="19" t="n"/>
      <c r="P17519" s="20" t="n"/>
      <c r="Q17519" s="19" t="n"/>
      <c r="R17519" s="19" t="n"/>
      <c r="Y17519" s="19" t="n"/>
    </row>
    <row r="17520">
      <c r="C17520" s="18" t="n"/>
      <c r="J17520" s="19" t="n"/>
      <c r="P17520" s="20" t="n"/>
      <c r="Q17520" s="19" t="n"/>
      <c r="R17520" s="19" t="n"/>
      <c r="Y17520" s="19" t="n"/>
    </row>
    <row r="17521">
      <c r="C17521" s="18" t="n"/>
      <c r="J17521" s="19" t="n"/>
      <c r="P17521" s="20" t="n"/>
      <c r="Q17521" s="19" t="n"/>
      <c r="R17521" s="19" t="n"/>
      <c r="Y17521" s="19" t="n"/>
    </row>
    <row r="17522">
      <c r="C17522" s="18" t="n"/>
      <c r="J17522" s="19" t="n"/>
      <c r="P17522" s="20" t="n"/>
      <c r="Q17522" s="19" t="n"/>
      <c r="R17522" s="19" t="n"/>
      <c r="Y17522" s="19" t="n"/>
    </row>
    <row r="17523">
      <c r="C17523" s="18" t="n"/>
      <c r="J17523" s="19" t="n"/>
      <c r="P17523" s="20" t="n"/>
      <c r="Q17523" s="19" t="n"/>
      <c r="R17523" s="19" t="n"/>
      <c r="Y17523" s="19" t="n"/>
    </row>
    <row r="17524">
      <c r="C17524" s="18" t="n"/>
      <c r="J17524" s="19" t="n"/>
      <c r="P17524" s="20" t="n"/>
      <c r="Q17524" s="19" t="n"/>
      <c r="R17524" s="19" t="n"/>
      <c r="Y17524" s="19" t="n"/>
    </row>
    <row r="17525">
      <c r="C17525" s="18" t="n"/>
      <c r="J17525" s="19" t="n"/>
      <c r="P17525" s="20" t="n"/>
      <c r="Q17525" s="19" t="n"/>
      <c r="R17525" s="19" t="n"/>
      <c r="Y17525" s="19" t="n"/>
    </row>
    <row r="17526">
      <c r="C17526" s="18" t="n"/>
      <c r="J17526" s="19" t="n"/>
      <c r="P17526" s="20" t="n"/>
      <c r="Q17526" s="19" t="n"/>
      <c r="R17526" s="19" t="n"/>
      <c r="Y17526" s="19" t="n"/>
    </row>
    <row r="17527">
      <c r="C17527" s="18" t="n"/>
      <c r="J17527" s="19" t="n"/>
      <c r="P17527" s="20" t="n"/>
      <c r="Q17527" s="19" t="n"/>
      <c r="R17527" s="19" t="n"/>
      <c r="Y17527" s="19" t="n"/>
    </row>
    <row r="17528">
      <c r="C17528" s="18" t="n"/>
      <c r="J17528" s="19" t="n"/>
      <c r="P17528" s="20" t="n"/>
      <c r="Q17528" s="19" t="n"/>
      <c r="R17528" s="19" t="n"/>
      <c r="Y17528" s="19" t="n"/>
    </row>
    <row r="17529">
      <c r="C17529" s="18" t="n"/>
      <c r="J17529" s="19" t="n"/>
      <c r="P17529" s="20" t="n"/>
      <c r="Q17529" s="19" t="n"/>
      <c r="R17529" s="19" t="n"/>
      <c r="Y17529" s="19" t="n"/>
    </row>
    <row r="17530">
      <c r="C17530" s="18" t="n"/>
      <c r="J17530" s="19" t="n"/>
      <c r="P17530" s="20" t="n"/>
      <c r="Q17530" s="19" t="n"/>
      <c r="R17530" s="19" t="n"/>
      <c r="Y17530" s="19" t="n"/>
    </row>
    <row r="17531">
      <c r="C17531" s="18" t="n"/>
      <c r="J17531" s="19" t="n"/>
      <c r="P17531" s="20" t="n"/>
      <c r="Q17531" s="19" t="n"/>
      <c r="R17531" s="19" t="n"/>
      <c r="Y17531" s="19" t="n"/>
    </row>
    <row r="17532">
      <c r="C17532" s="18" t="n"/>
      <c r="J17532" s="19" t="n"/>
      <c r="P17532" s="20" t="n"/>
      <c r="Q17532" s="19" t="n"/>
      <c r="R17532" s="19" t="n"/>
      <c r="Y17532" s="19" t="n"/>
    </row>
    <row r="17533">
      <c r="C17533" s="18" t="n"/>
      <c r="J17533" s="19" t="n"/>
      <c r="P17533" s="20" t="n"/>
      <c r="Q17533" s="19" t="n"/>
      <c r="R17533" s="19" t="n"/>
      <c r="Y17533" s="19" t="n"/>
    </row>
    <row r="17534">
      <c r="C17534" s="18" t="n"/>
      <c r="J17534" s="19" t="n"/>
      <c r="P17534" s="20" t="n"/>
      <c r="Q17534" s="19" t="n"/>
      <c r="R17534" s="19" t="n"/>
      <c r="Y17534" s="19" t="n"/>
    </row>
    <row r="17535">
      <c r="C17535" s="18" t="n"/>
      <c r="J17535" s="19" t="n"/>
      <c r="P17535" s="20" t="n"/>
      <c r="Q17535" s="19" t="n"/>
      <c r="R17535" s="19" t="n"/>
      <c r="Y17535" s="19" t="n"/>
    </row>
    <row r="17536">
      <c r="C17536" s="18" t="n"/>
      <c r="J17536" s="19" t="n"/>
      <c r="P17536" s="20" t="n"/>
      <c r="Q17536" s="19" t="n"/>
      <c r="R17536" s="19" t="n"/>
      <c r="Y17536" s="19" t="n"/>
    </row>
    <row r="17537">
      <c r="C17537" s="18" t="n"/>
      <c r="J17537" s="19" t="n"/>
      <c r="P17537" s="20" t="n"/>
      <c r="Q17537" s="19" t="n"/>
      <c r="R17537" s="19" t="n"/>
      <c r="Y17537" s="19" t="n"/>
    </row>
    <row r="17538">
      <c r="C17538" s="18" t="n"/>
      <c r="J17538" s="19" t="n"/>
      <c r="P17538" s="20" t="n"/>
      <c r="Q17538" s="19" t="n"/>
      <c r="R17538" s="19" t="n"/>
      <c r="Y17538" s="19" t="n"/>
    </row>
    <row r="17539">
      <c r="C17539" s="18" t="n"/>
      <c r="J17539" s="19" t="n"/>
      <c r="P17539" s="20" t="n"/>
      <c r="Q17539" s="19" t="n"/>
      <c r="R17539" s="19" t="n"/>
      <c r="Y17539" s="19" t="n"/>
    </row>
    <row r="17540">
      <c r="C17540" s="18" t="n"/>
      <c r="J17540" s="19" t="n"/>
      <c r="P17540" s="20" t="n"/>
      <c r="Q17540" s="19" t="n"/>
      <c r="R17540" s="19" t="n"/>
      <c r="Y17540" s="19" t="n"/>
    </row>
    <row r="17541">
      <c r="C17541" s="18" t="n"/>
      <c r="J17541" s="19" t="n"/>
      <c r="P17541" s="20" t="n"/>
      <c r="Q17541" s="19" t="n"/>
      <c r="R17541" s="19" t="n"/>
      <c r="Y17541" s="19" t="n"/>
    </row>
    <row r="17542">
      <c r="C17542" s="18" t="n"/>
      <c r="J17542" s="19" t="n"/>
      <c r="P17542" s="20" t="n"/>
      <c r="Q17542" s="19" t="n"/>
      <c r="R17542" s="19" t="n"/>
      <c r="Y17542" s="19" t="n"/>
    </row>
    <row r="17543">
      <c r="C17543" s="18" t="n"/>
      <c r="J17543" s="19" t="n"/>
      <c r="P17543" s="20" t="n"/>
      <c r="Q17543" s="19" t="n"/>
      <c r="R17543" s="19" t="n"/>
      <c r="Y17543" s="19" t="n"/>
    </row>
    <row r="17544">
      <c r="C17544" s="18" t="n"/>
      <c r="J17544" s="19" t="n"/>
      <c r="P17544" s="20" t="n"/>
      <c r="Q17544" s="19" t="n"/>
      <c r="R17544" s="19" t="n"/>
      <c r="Y17544" s="19" t="n"/>
    </row>
    <row r="17545">
      <c r="C17545" s="18" t="n"/>
      <c r="J17545" s="19" t="n"/>
      <c r="P17545" s="20" t="n"/>
      <c r="Q17545" s="19" t="n"/>
      <c r="R17545" s="19" t="n"/>
      <c r="Y17545" s="19" t="n"/>
    </row>
    <row r="17546">
      <c r="C17546" s="18" t="n"/>
      <c r="J17546" s="19" t="n"/>
      <c r="P17546" s="20" t="n"/>
      <c r="Q17546" s="19" t="n"/>
      <c r="R17546" s="19" t="n"/>
      <c r="Y17546" s="19" t="n"/>
    </row>
    <row r="17547">
      <c r="C17547" s="18" t="n"/>
      <c r="J17547" s="19" t="n"/>
      <c r="P17547" s="20" t="n"/>
      <c r="Q17547" s="19" t="n"/>
      <c r="R17547" s="19" t="n"/>
      <c r="Y17547" s="19" t="n"/>
    </row>
    <row r="17548">
      <c r="C17548" s="18" t="n"/>
      <c r="J17548" s="19" t="n"/>
      <c r="P17548" s="20" t="n"/>
      <c r="Q17548" s="19" t="n"/>
      <c r="R17548" s="19" t="n"/>
      <c r="Y17548" s="19" t="n"/>
    </row>
    <row r="17549">
      <c r="C17549" s="18" t="n"/>
      <c r="J17549" s="19" t="n"/>
      <c r="P17549" s="20" t="n"/>
      <c r="Q17549" s="19" t="n"/>
      <c r="R17549" s="19" t="n"/>
      <c r="Y17549" s="19" t="n"/>
    </row>
    <row r="17550">
      <c r="C17550" s="18" t="n"/>
      <c r="J17550" s="19" t="n"/>
      <c r="P17550" s="20" t="n"/>
      <c r="Q17550" s="19" t="n"/>
      <c r="R17550" s="19" t="n"/>
      <c r="Y17550" s="19" t="n"/>
    </row>
    <row r="17551">
      <c r="C17551" s="18" t="n"/>
      <c r="J17551" s="19" t="n"/>
      <c r="P17551" s="20" t="n"/>
      <c r="Q17551" s="19" t="n"/>
      <c r="R17551" s="19" t="n"/>
      <c r="Y17551" s="19" t="n"/>
    </row>
    <row r="17552">
      <c r="C17552" s="18" t="n"/>
      <c r="J17552" s="19" t="n"/>
      <c r="P17552" s="20" t="n"/>
      <c r="Q17552" s="19" t="n"/>
      <c r="R17552" s="19" t="n"/>
      <c r="Y17552" s="19" t="n"/>
    </row>
    <row r="17553">
      <c r="C17553" s="18" t="n"/>
      <c r="J17553" s="19" t="n"/>
      <c r="P17553" s="20" t="n"/>
      <c r="Q17553" s="19" t="n"/>
      <c r="R17553" s="19" t="n"/>
      <c r="Y17553" s="19" t="n"/>
    </row>
    <row r="17554">
      <c r="C17554" s="18" t="n"/>
      <c r="J17554" s="19" t="n"/>
      <c r="P17554" s="20" t="n"/>
      <c r="Q17554" s="19" t="n"/>
      <c r="R17554" s="19" t="n"/>
      <c r="Y17554" s="19" t="n"/>
    </row>
    <row r="17555">
      <c r="C17555" s="18" t="n"/>
      <c r="J17555" s="19" t="n"/>
      <c r="P17555" s="20" t="n"/>
      <c r="Q17555" s="19" t="n"/>
      <c r="R17555" s="19" t="n"/>
      <c r="Y17555" s="19" t="n"/>
    </row>
    <row r="17556">
      <c r="C17556" s="18" t="n"/>
      <c r="J17556" s="19" t="n"/>
      <c r="P17556" s="20" t="n"/>
      <c r="Q17556" s="19" t="n"/>
      <c r="R17556" s="19" t="n"/>
      <c r="Y17556" s="19" t="n"/>
    </row>
    <row r="17557">
      <c r="C17557" s="18" t="n"/>
      <c r="J17557" s="19" t="n"/>
      <c r="P17557" s="20" t="n"/>
      <c r="Q17557" s="19" t="n"/>
      <c r="R17557" s="19" t="n"/>
      <c r="Y17557" s="19" t="n"/>
    </row>
    <row r="17558">
      <c r="C17558" s="18" t="n"/>
      <c r="J17558" s="19" t="n"/>
      <c r="P17558" s="20" t="n"/>
      <c r="Q17558" s="19" t="n"/>
      <c r="R17558" s="19" t="n"/>
      <c r="Y17558" s="19" t="n"/>
    </row>
    <row r="17559">
      <c r="C17559" s="18" t="n"/>
      <c r="J17559" s="19" t="n"/>
      <c r="P17559" s="20" t="n"/>
      <c r="Q17559" s="19" t="n"/>
      <c r="R17559" s="19" t="n"/>
      <c r="Y17559" s="19" t="n"/>
    </row>
    <row r="17560">
      <c r="C17560" s="18" t="n"/>
      <c r="J17560" s="19" t="n"/>
      <c r="P17560" s="20" t="n"/>
      <c r="Q17560" s="19" t="n"/>
      <c r="R17560" s="19" t="n"/>
      <c r="Y17560" s="19" t="n"/>
    </row>
    <row r="17561">
      <c r="C17561" s="18" t="n"/>
      <c r="J17561" s="19" t="n"/>
      <c r="P17561" s="20" t="n"/>
      <c r="Q17561" s="19" t="n"/>
      <c r="R17561" s="19" t="n"/>
      <c r="Y17561" s="19" t="n"/>
    </row>
    <row r="17562">
      <c r="C17562" s="18" t="n"/>
      <c r="J17562" s="19" t="n"/>
      <c r="P17562" s="20" t="n"/>
      <c r="Q17562" s="19" t="n"/>
      <c r="R17562" s="19" t="n"/>
      <c r="Y17562" s="19" t="n"/>
    </row>
    <row r="17563">
      <c r="C17563" s="18" t="n"/>
      <c r="J17563" s="19" t="n"/>
      <c r="P17563" s="20" t="n"/>
      <c r="Q17563" s="19" t="n"/>
      <c r="R17563" s="19" t="n"/>
      <c r="Y17563" s="19" t="n"/>
    </row>
    <row r="17564">
      <c r="C17564" s="18" t="n"/>
      <c r="J17564" s="19" t="n"/>
      <c r="P17564" s="20" t="n"/>
      <c r="Q17564" s="19" t="n"/>
      <c r="R17564" s="19" t="n"/>
      <c r="Y17564" s="19" t="n"/>
    </row>
    <row r="17565">
      <c r="C17565" s="18" t="n"/>
      <c r="J17565" s="19" t="n"/>
      <c r="P17565" s="20" t="n"/>
      <c r="Q17565" s="19" t="n"/>
      <c r="R17565" s="19" t="n"/>
      <c r="Y17565" s="19" t="n"/>
    </row>
    <row r="17566">
      <c r="C17566" s="18" t="n"/>
      <c r="J17566" s="19" t="n"/>
      <c r="P17566" s="20" t="n"/>
      <c r="Q17566" s="19" t="n"/>
      <c r="R17566" s="19" t="n"/>
      <c r="Y17566" s="19" t="n"/>
    </row>
    <row r="17567">
      <c r="C17567" s="18" t="n"/>
      <c r="J17567" s="19" t="n"/>
      <c r="P17567" s="20" t="n"/>
      <c r="Q17567" s="19" t="n"/>
      <c r="R17567" s="19" t="n"/>
      <c r="Y17567" s="19" t="n"/>
    </row>
    <row r="17568">
      <c r="C17568" s="18" t="n"/>
      <c r="J17568" s="19" t="n"/>
      <c r="P17568" s="20" t="n"/>
      <c r="Q17568" s="19" t="n"/>
      <c r="R17568" s="19" t="n"/>
      <c r="Y17568" s="19" t="n"/>
    </row>
    <row r="17569">
      <c r="C17569" s="18" t="n"/>
      <c r="J17569" s="19" t="n"/>
      <c r="P17569" s="20" t="n"/>
      <c r="Q17569" s="19" t="n"/>
      <c r="R17569" s="19" t="n"/>
      <c r="Y17569" s="19" t="n"/>
    </row>
    <row r="17570">
      <c r="C17570" s="18" t="n"/>
      <c r="J17570" s="19" t="n"/>
      <c r="P17570" s="20" t="n"/>
      <c r="Q17570" s="19" t="n"/>
      <c r="R17570" s="19" t="n"/>
      <c r="Y17570" s="19" t="n"/>
    </row>
    <row r="17571">
      <c r="C17571" s="18" t="n"/>
      <c r="J17571" s="19" t="n"/>
      <c r="P17571" s="20" t="n"/>
      <c r="Q17571" s="19" t="n"/>
      <c r="R17571" s="19" t="n"/>
      <c r="Y17571" s="19" t="n"/>
    </row>
    <row r="17572">
      <c r="C17572" s="18" t="n"/>
      <c r="J17572" s="19" t="n"/>
      <c r="P17572" s="20" t="n"/>
      <c r="Q17572" s="19" t="n"/>
      <c r="R17572" s="19" t="n"/>
      <c r="Y17572" s="19" t="n"/>
    </row>
    <row r="17573">
      <c r="C17573" s="18" t="n"/>
      <c r="J17573" s="19" t="n"/>
      <c r="P17573" s="20" t="n"/>
      <c r="Q17573" s="19" t="n"/>
      <c r="R17573" s="19" t="n"/>
      <c r="Y17573" s="19" t="n"/>
    </row>
    <row r="17574">
      <c r="C17574" s="18" t="n"/>
      <c r="J17574" s="19" t="n"/>
      <c r="P17574" s="20" t="n"/>
      <c r="Q17574" s="19" t="n"/>
      <c r="R17574" s="19" t="n"/>
      <c r="Y17574" s="19" t="n"/>
    </row>
    <row r="17575">
      <c r="C17575" s="18" t="n"/>
      <c r="J17575" s="19" t="n"/>
      <c r="P17575" s="20" t="n"/>
      <c r="Q17575" s="19" t="n"/>
      <c r="R17575" s="19" t="n"/>
      <c r="Y17575" s="19" t="n"/>
    </row>
    <row r="17576">
      <c r="C17576" s="18" t="n"/>
      <c r="J17576" s="19" t="n"/>
      <c r="P17576" s="20" t="n"/>
      <c r="Q17576" s="19" t="n"/>
      <c r="R17576" s="19" t="n"/>
      <c r="Y17576" s="19" t="n"/>
    </row>
    <row r="17577">
      <c r="C17577" s="18" t="n"/>
      <c r="J17577" s="19" t="n"/>
      <c r="P17577" s="20" t="n"/>
      <c r="Q17577" s="19" t="n"/>
      <c r="R17577" s="19" t="n"/>
      <c r="Y17577" s="19" t="n"/>
    </row>
    <row r="17578">
      <c r="C17578" s="18" t="n"/>
      <c r="J17578" s="19" t="n"/>
      <c r="P17578" s="20" t="n"/>
      <c r="Q17578" s="19" t="n"/>
      <c r="R17578" s="19" t="n"/>
      <c r="Y17578" s="19" t="n"/>
    </row>
    <row r="17579">
      <c r="C17579" s="18" t="n"/>
      <c r="J17579" s="19" t="n"/>
      <c r="P17579" s="20" t="n"/>
      <c r="Q17579" s="19" t="n"/>
      <c r="R17579" s="19" t="n"/>
      <c r="Y17579" s="19" t="n"/>
    </row>
    <row r="17580">
      <c r="C17580" s="18" t="n"/>
      <c r="J17580" s="19" t="n"/>
      <c r="P17580" s="20" t="n"/>
      <c r="Q17580" s="19" t="n"/>
      <c r="R17580" s="19" t="n"/>
      <c r="Y17580" s="19" t="n"/>
    </row>
    <row r="17581">
      <c r="C17581" s="18" t="n"/>
      <c r="J17581" s="19" t="n"/>
      <c r="P17581" s="20" t="n"/>
      <c r="Q17581" s="19" t="n"/>
      <c r="R17581" s="19" t="n"/>
      <c r="Y17581" s="19" t="n"/>
    </row>
    <row r="17582">
      <c r="C17582" s="18" t="n"/>
      <c r="J17582" s="19" t="n"/>
      <c r="P17582" s="20" t="n"/>
      <c r="Q17582" s="19" t="n"/>
      <c r="R17582" s="19" t="n"/>
      <c r="Y17582" s="19" t="n"/>
    </row>
    <row r="17583">
      <c r="C17583" s="18" t="n"/>
      <c r="J17583" s="19" t="n"/>
      <c r="P17583" s="20" t="n"/>
      <c r="Q17583" s="19" t="n"/>
      <c r="R17583" s="19" t="n"/>
      <c r="Y17583" s="19" t="n"/>
    </row>
    <row r="17584">
      <c r="C17584" s="18" t="n"/>
      <c r="J17584" s="19" t="n"/>
      <c r="P17584" s="20" t="n"/>
      <c r="Q17584" s="19" t="n"/>
      <c r="R17584" s="19" t="n"/>
      <c r="Y17584" s="19" t="n"/>
    </row>
    <row r="17585">
      <c r="C17585" s="18" t="n"/>
      <c r="J17585" s="19" t="n"/>
      <c r="P17585" s="20" t="n"/>
      <c r="Q17585" s="19" t="n"/>
      <c r="R17585" s="19" t="n"/>
      <c r="Y17585" s="19" t="n"/>
    </row>
    <row r="17586">
      <c r="C17586" s="18" t="n"/>
      <c r="J17586" s="19" t="n"/>
      <c r="P17586" s="20" t="n"/>
      <c r="Q17586" s="19" t="n"/>
      <c r="R17586" s="19" t="n"/>
      <c r="Y17586" s="19" t="n"/>
    </row>
    <row r="17587">
      <c r="C17587" s="18" t="n"/>
      <c r="J17587" s="19" t="n"/>
      <c r="P17587" s="20" t="n"/>
      <c r="Q17587" s="19" t="n"/>
      <c r="R17587" s="19" t="n"/>
      <c r="Y17587" s="19" t="n"/>
    </row>
    <row r="17588">
      <c r="C17588" s="18" t="n"/>
      <c r="J17588" s="19" t="n"/>
      <c r="P17588" s="20" t="n"/>
      <c r="Q17588" s="19" t="n"/>
      <c r="R17588" s="19" t="n"/>
      <c r="Y17588" s="19" t="n"/>
    </row>
    <row r="17589">
      <c r="C17589" s="18" t="n"/>
      <c r="J17589" s="19" t="n"/>
      <c r="P17589" s="20" t="n"/>
      <c r="Q17589" s="19" t="n"/>
      <c r="R17589" s="19" t="n"/>
      <c r="Y17589" s="19" t="n"/>
    </row>
    <row r="17590">
      <c r="C17590" s="18" t="n"/>
      <c r="J17590" s="19" t="n"/>
      <c r="P17590" s="20" t="n"/>
      <c r="Q17590" s="19" t="n"/>
      <c r="R17590" s="19" t="n"/>
      <c r="Y17590" s="19" t="n"/>
    </row>
    <row r="17591">
      <c r="C17591" s="18" t="n"/>
      <c r="J17591" s="19" t="n"/>
      <c r="P17591" s="20" t="n"/>
      <c r="Q17591" s="19" t="n"/>
      <c r="R17591" s="19" t="n"/>
      <c r="Y17591" s="19" t="n"/>
    </row>
    <row r="17592">
      <c r="C17592" s="18" t="n"/>
      <c r="J17592" s="19" t="n"/>
      <c r="P17592" s="20" t="n"/>
      <c r="Q17592" s="19" t="n"/>
      <c r="R17592" s="19" t="n"/>
      <c r="Y17592" s="19" t="n"/>
    </row>
    <row r="17593">
      <c r="C17593" s="18" t="n"/>
      <c r="J17593" s="19" t="n"/>
      <c r="P17593" s="20" t="n"/>
      <c r="Q17593" s="19" t="n"/>
      <c r="R17593" s="19" t="n"/>
      <c r="Y17593" s="19" t="n"/>
    </row>
    <row r="17594">
      <c r="C17594" s="18" t="n"/>
      <c r="J17594" s="19" t="n"/>
      <c r="P17594" s="20" t="n"/>
      <c r="Q17594" s="19" t="n"/>
      <c r="R17594" s="19" t="n"/>
      <c r="Y17594" s="19" t="n"/>
    </row>
    <row r="17595">
      <c r="C17595" s="18" t="n"/>
      <c r="J17595" s="19" t="n"/>
      <c r="P17595" s="20" t="n"/>
      <c r="Q17595" s="19" t="n"/>
      <c r="R17595" s="19" t="n"/>
      <c r="Y17595" s="19" t="n"/>
    </row>
    <row r="17596">
      <c r="C17596" s="18" t="n"/>
      <c r="J17596" s="19" t="n"/>
      <c r="P17596" s="20" t="n"/>
      <c r="Q17596" s="19" t="n"/>
      <c r="R17596" s="19" t="n"/>
      <c r="Y17596" s="19" t="n"/>
    </row>
    <row r="17597">
      <c r="C17597" s="18" t="n"/>
      <c r="J17597" s="19" t="n"/>
      <c r="P17597" s="20" t="n"/>
      <c r="Q17597" s="19" t="n"/>
      <c r="R17597" s="19" t="n"/>
      <c r="Y17597" s="19" t="n"/>
    </row>
    <row r="17598">
      <c r="C17598" s="18" t="n"/>
      <c r="J17598" s="19" t="n"/>
      <c r="P17598" s="20" t="n"/>
      <c r="Q17598" s="19" t="n"/>
      <c r="R17598" s="19" t="n"/>
      <c r="Y17598" s="19" t="n"/>
    </row>
    <row r="17599">
      <c r="C17599" s="18" t="n"/>
      <c r="J17599" s="19" t="n"/>
      <c r="P17599" s="20" t="n"/>
      <c r="Q17599" s="19" t="n"/>
      <c r="R17599" s="19" t="n"/>
      <c r="Y17599" s="19" t="n"/>
    </row>
    <row r="17600">
      <c r="C17600" s="18" t="n"/>
      <c r="J17600" s="19" t="n"/>
      <c r="P17600" s="20" t="n"/>
      <c r="Q17600" s="19" t="n"/>
      <c r="R17600" s="19" t="n"/>
      <c r="Y17600" s="19" t="n"/>
    </row>
    <row r="17601">
      <c r="C17601" s="18" t="n"/>
      <c r="J17601" s="19" t="n"/>
      <c r="P17601" s="20" t="n"/>
      <c r="Q17601" s="19" t="n"/>
      <c r="R17601" s="19" t="n"/>
      <c r="Y17601" s="19" t="n"/>
    </row>
    <row r="17602">
      <c r="C17602" s="18" t="n"/>
      <c r="J17602" s="19" t="n"/>
      <c r="P17602" s="20" t="n"/>
      <c r="Q17602" s="19" t="n"/>
      <c r="R17602" s="19" t="n"/>
      <c r="Y17602" s="19" t="n"/>
    </row>
    <row r="17603">
      <c r="C17603" s="18" t="n"/>
      <c r="J17603" s="19" t="n"/>
      <c r="P17603" s="20" t="n"/>
      <c r="Q17603" s="19" t="n"/>
      <c r="R17603" s="19" t="n"/>
      <c r="Y17603" s="19" t="n"/>
    </row>
    <row r="17604">
      <c r="C17604" s="18" t="n"/>
      <c r="J17604" s="19" t="n"/>
      <c r="P17604" s="20" t="n"/>
      <c r="Q17604" s="19" t="n"/>
      <c r="R17604" s="19" t="n"/>
      <c r="Y17604" s="19" t="n"/>
    </row>
    <row r="17605">
      <c r="C17605" s="18" t="n"/>
      <c r="J17605" s="19" t="n"/>
      <c r="P17605" s="20" t="n"/>
      <c r="Q17605" s="19" t="n"/>
      <c r="R17605" s="19" t="n"/>
      <c r="Y17605" s="19" t="n"/>
    </row>
    <row r="17606">
      <c r="C17606" s="18" t="n"/>
      <c r="J17606" s="19" t="n"/>
      <c r="P17606" s="20" t="n"/>
      <c r="Q17606" s="19" t="n"/>
      <c r="R17606" s="19" t="n"/>
      <c r="Y17606" s="19" t="n"/>
    </row>
    <row r="17607">
      <c r="C17607" s="18" t="n"/>
      <c r="J17607" s="19" t="n"/>
      <c r="P17607" s="20" t="n"/>
      <c r="Q17607" s="19" t="n"/>
      <c r="R17607" s="19" t="n"/>
      <c r="Y17607" s="19" t="n"/>
    </row>
    <row r="17608">
      <c r="C17608" s="18" t="n"/>
      <c r="J17608" s="19" t="n"/>
      <c r="P17608" s="20" t="n"/>
      <c r="Q17608" s="19" t="n"/>
      <c r="R17608" s="19" t="n"/>
      <c r="Y17608" s="19" t="n"/>
    </row>
    <row r="17609">
      <c r="C17609" s="18" t="n"/>
      <c r="J17609" s="19" t="n"/>
      <c r="P17609" s="20" t="n"/>
      <c r="Q17609" s="19" t="n"/>
      <c r="R17609" s="19" t="n"/>
      <c r="Y17609" s="19" t="n"/>
    </row>
    <row r="17610">
      <c r="C17610" s="18" t="n"/>
      <c r="J17610" s="19" t="n"/>
      <c r="P17610" s="20" t="n"/>
      <c r="Q17610" s="19" t="n"/>
      <c r="R17610" s="19" t="n"/>
      <c r="Y17610" s="19" t="n"/>
    </row>
    <row r="17611">
      <c r="C17611" s="18" t="n"/>
      <c r="J17611" s="19" t="n"/>
      <c r="P17611" s="20" t="n"/>
      <c r="Q17611" s="19" t="n"/>
      <c r="R17611" s="19" t="n"/>
      <c r="Y17611" s="19" t="n"/>
    </row>
    <row r="17612">
      <c r="C17612" s="18" t="n"/>
      <c r="J17612" s="19" t="n"/>
      <c r="P17612" s="20" t="n"/>
      <c r="Q17612" s="19" t="n"/>
      <c r="R17612" s="19" t="n"/>
      <c r="Y17612" s="19" t="n"/>
    </row>
    <row r="17613">
      <c r="C17613" s="18" t="n"/>
      <c r="J17613" s="19" t="n"/>
      <c r="P17613" s="20" t="n"/>
      <c r="Q17613" s="19" t="n"/>
      <c r="R17613" s="19" t="n"/>
      <c r="Y17613" s="19" t="n"/>
    </row>
    <row r="17614">
      <c r="C17614" s="18" t="n"/>
      <c r="J17614" s="19" t="n"/>
      <c r="P17614" s="20" t="n"/>
      <c r="Q17614" s="19" t="n"/>
      <c r="R17614" s="19" t="n"/>
      <c r="Y17614" s="19" t="n"/>
    </row>
    <row r="17615">
      <c r="C17615" s="18" t="n"/>
      <c r="J17615" s="19" t="n"/>
      <c r="P17615" s="20" t="n"/>
      <c r="Q17615" s="19" t="n"/>
      <c r="R17615" s="19" t="n"/>
      <c r="Y17615" s="19" t="n"/>
    </row>
    <row r="17616">
      <c r="C17616" s="18" t="n"/>
      <c r="J17616" s="19" t="n"/>
      <c r="P17616" s="20" t="n"/>
      <c r="Q17616" s="19" t="n"/>
      <c r="R17616" s="19" t="n"/>
      <c r="Y17616" s="19" t="n"/>
    </row>
    <row r="17617">
      <c r="C17617" s="18" t="n"/>
      <c r="J17617" s="19" t="n"/>
      <c r="P17617" s="20" t="n"/>
      <c r="Q17617" s="19" t="n"/>
      <c r="R17617" s="19" t="n"/>
      <c r="Y17617" s="19" t="n"/>
    </row>
    <row r="17618">
      <c r="C17618" s="18" t="n"/>
      <c r="J17618" s="19" t="n"/>
      <c r="P17618" s="20" t="n"/>
      <c r="Q17618" s="19" t="n"/>
      <c r="R17618" s="19" t="n"/>
      <c r="Y17618" s="19" t="n"/>
    </row>
    <row r="17619">
      <c r="C17619" s="18" t="n"/>
      <c r="J17619" s="19" t="n"/>
      <c r="P17619" s="20" t="n"/>
      <c r="Q17619" s="19" t="n"/>
      <c r="R17619" s="19" t="n"/>
      <c r="Y17619" s="19" t="n"/>
    </row>
    <row r="17620">
      <c r="C17620" s="18" t="n"/>
      <c r="J17620" s="19" t="n"/>
      <c r="P17620" s="20" t="n"/>
      <c r="Q17620" s="19" t="n"/>
      <c r="R17620" s="19" t="n"/>
      <c r="Y17620" s="19" t="n"/>
    </row>
    <row r="17621">
      <c r="C17621" s="18" t="n"/>
      <c r="J17621" s="19" t="n"/>
      <c r="P17621" s="20" t="n"/>
      <c r="Q17621" s="19" t="n"/>
      <c r="R17621" s="19" t="n"/>
      <c r="Y17621" s="19" t="n"/>
    </row>
    <row r="17622">
      <c r="C17622" s="18" t="n"/>
      <c r="J17622" s="19" t="n"/>
      <c r="P17622" s="20" t="n"/>
      <c r="Q17622" s="19" t="n"/>
      <c r="R17622" s="19" t="n"/>
      <c r="Y17622" s="19" t="n"/>
    </row>
    <row r="17623">
      <c r="C17623" s="18" t="n"/>
      <c r="J17623" s="19" t="n"/>
      <c r="P17623" s="20" t="n"/>
      <c r="Q17623" s="19" t="n"/>
      <c r="R17623" s="19" t="n"/>
      <c r="Y17623" s="19" t="n"/>
    </row>
    <row r="17624">
      <c r="C17624" s="18" t="n"/>
      <c r="J17624" s="19" t="n"/>
      <c r="P17624" s="20" t="n"/>
      <c r="Q17624" s="19" t="n"/>
      <c r="R17624" s="19" t="n"/>
      <c r="Y17624" s="19" t="n"/>
    </row>
    <row r="17625">
      <c r="C17625" s="18" t="n"/>
      <c r="J17625" s="19" t="n"/>
      <c r="P17625" s="20" t="n"/>
      <c r="Q17625" s="19" t="n"/>
      <c r="R17625" s="19" t="n"/>
      <c r="Y17625" s="19" t="n"/>
    </row>
    <row r="17626">
      <c r="C17626" s="18" t="n"/>
      <c r="J17626" s="19" t="n"/>
      <c r="P17626" s="20" t="n"/>
      <c r="Q17626" s="19" t="n"/>
      <c r="R17626" s="19" t="n"/>
      <c r="Y17626" s="19" t="n"/>
    </row>
    <row r="17627">
      <c r="C17627" s="18" t="n"/>
      <c r="J17627" s="19" t="n"/>
      <c r="P17627" s="20" t="n"/>
      <c r="Q17627" s="19" t="n"/>
      <c r="R17627" s="19" t="n"/>
      <c r="Y17627" s="19" t="n"/>
    </row>
    <row r="17628">
      <c r="C17628" s="18" t="n"/>
      <c r="J17628" s="19" t="n"/>
      <c r="P17628" s="20" t="n"/>
      <c r="Q17628" s="19" t="n"/>
      <c r="R17628" s="19" t="n"/>
      <c r="Y17628" s="19" t="n"/>
    </row>
    <row r="17629">
      <c r="C17629" s="18" t="n"/>
      <c r="J17629" s="19" t="n"/>
      <c r="P17629" s="20" t="n"/>
      <c r="Q17629" s="19" t="n"/>
      <c r="R17629" s="19" t="n"/>
      <c r="Y17629" s="19" t="n"/>
    </row>
    <row r="17630">
      <c r="C17630" s="18" t="n"/>
      <c r="J17630" s="19" t="n"/>
      <c r="P17630" s="20" t="n"/>
      <c r="Q17630" s="19" t="n"/>
      <c r="R17630" s="19" t="n"/>
      <c r="Y17630" s="19" t="n"/>
    </row>
    <row r="17631">
      <c r="C17631" s="18" t="n"/>
      <c r="J17631" s="19" t="n"/>
      <c r="P17631" s="20" t="n"/>
      <c r="Q17631" s="19" t="n"/>
      <c r="R17631" s="19" t="n"/>
      <c r="Y17631" s="19" t="n"/>
    </row>
    <row r="17632">
      <c r="C17632" s="18" t="n"/>
      <c r="J17632" s="19" t="n"/>
      <c r="P17632" s="20" t="n"/>
      <c r="Q17632" s="19" t="n"/>
      <c r="R17632" s="19" t="n"/>
      <c r="Y17632" s="19" t="n"/>
    </row>
    <row r="17633">
      <c r="C17633" s="18" t="n"/>
      <c r="J17633" s="19" t="n"/>
      <c r="P17633" s="20" t="n"/>
      <c r="Q17633" s="19" t="n"/>
      <c r="R17633" s="19" t="n"/>
      <c r="Y17633" s="19" t="n"/>
    </row>
    <row r="17634">
      <c r="C17634" s="18" t="n"/>
      <c r="J17634" s="19" t="n"/>
      <c r="P17634" s="20" t="n"/>
      <c r="Q17634" s="19" t="n"/>
      <c r="R17634" s="19" t="n"/>
      <c r="Y17634" s="19" t="n"/>
    </row>
    <row r="17635">
      <c r="C17635" s="18" t="n"/>
      <c r="J17635" s="19" t="n"/>
      <c r="P17635" s="20" t="n"/>
      <c r="Q17635" s="19" t="n"/>
      <c r="R17635" s="19" t="n"/>
      <c r="Y17635" s="19" t="n"/>
    </row>
    <row r="17636">
      <c r="C17636" s="18" t="n"/>
      <c r="J17636" s="19" t="n"/>
      <c r="P17636" s="20" t="n"/>
      <c r="Q17636" s="19" t="n"/>
      <c r="R17636" s="19" t="n"/>
      <c r="Y17636" s="19" t="n"/>
    </row>
    <row r="17637">
      <c r="C17637" s="18" t="n"/>
      <c r="J17637" s="19" t="n"/>
      <c r="P17637" s="20" t="n"/>
      <c r="Q17637" s="19" t="n"/>
      <c r="R17637" s="19" t="n"/>
      <c r="Y17637" s="19" t="n"/>
    </row>
    <row r="17638">
      <c r="C17638" s="18" t="n"/>
      <c r="J17638" s="19" t="n"/>
      <c r="P17638" s="20" t="n"/>
      <c r="Q17638" s="19" t="n"/>
      <c r="R17638" s="19" t="n"/>
      <c r="Y17638" s="19" t="n"/>
    </row>
    <row r="17639">
      <c r="C17639" s="18" t="n"/>
      <c r="J17639" s="19" t="n"/>
      <c r="P17639" s="20" t="n"/>
      <c r="Q17639" s="19" t="n"/>
      <c r="R17639" s="19" t="n"/>
      <c r="Y17639" s="19" t="n"/>
    </row>
    <row r="17640">
      <c r="C17640" s="18" t="n"/>
      <c r="J17640" s="19" t="n"/>
      <c r="P17640" s="20" t="n"/>
      <c r="Q17640" s="19" t="n"/>
      <c r="R17640" s="19" t="n"/>
      <c r="Y17640" s="19" t="n"/>
    </row>
    <row r="17641">
      <c r="C17641" s="18" t="n"/>
      <c r="J17641" s="19" t="n"/>
      <c r="P17641" s="20" t="n"/>
      <c r="Q17641" s="19" t="n"/>
      <c r="R17641" s="19" t="n"/>
      <c r="Y17641" s="19" t="n"/>
    </row>
    <row r="17642">
      <c r="C17642" s="18" t="n"/>
      <c r="J17642" s="19" t="n"/>
      <c r="P17642" s="20" t="n"/>
      <c r="Q17642" s="19" t="n"/>
      <c r="R17642" s="19" t="n"/>
      <c r="Y17642" s="19" t="n"/>
    </row>
    <row r="17643">
      <c r="C17643" s="18" t="n"/>
      <c r="J17643" s="19" t="n"/>
      <c r="P17643" s="20" t="n"/>
      <c r="Q17643" s="19" t="n"/>
      <c r="R17643" s="19" t="n"/>
      <c r="Y17643" s="19" t="n"/>
    </row>
    <row r="17644">
      <c r="C17644" s="18" t="n"/>
      <c r="J17644" s="19" t="n"/>
      <c r="P17644" s="20" t="n"/>
      <c r="Q17644" s="19" t="n"/>
      <c r="R17644" s="19" t="n"/>
      <c r="Y17644" s="19" t="n"/>
    </row>
    <row r="17645">
      <c r="C17645" s="18" t="n"/>
      <c r="J17645" s="19" t="n"/>
      <c r="P17645" s="20" t="n"/>
      <c r="Q17645" s="19" t="n"/>
      <c r="R17645" s="19" t="n"/>
      <c r="Y17645" s="19" t="n"/>
    </row>
    <row r="17646">
      <c r="C17646" s="18" t="n"/>
      <c r="J17646" s="19" t="n"/>
      <c r="P17646" s="20" t="n"/>
      <c r="Q17646" s="19" t="n"/>
      <c r="R17646" s="19" t="n"/>
      <c r="Y17646" s="19" t="n"/>
    </row>
    <row r="17647">
      <c r="C17647" s="18" t="n"/>
      <c r="J17647" s="19" t="n"/>
      <c r="P17647" s="20" t="n"/>
      <c r="Q17647" s="19" t="n"/>
      <c r="R17647" s="19" t="n"/>
      <c r="Y17647" s="19" t="n"/>
    </row>
    <row r="17648">
      <c r="C17648" s="18" t="n"/>
      <c r="J17648" s="19" t="n"/>
      <c r="P17648" s="20" t="n"/>
      <c r="Q17648" s="19" t="n"/>
      <c r="R17648" s="19" t="n"/>
      <c r="Y17648" s="19" t="n"/>
    </row>
    <row r="17649">
      <c r="C17649" s="18" t="n"/>
      <c r="J17649" s="19" t="n"/>
      <c r="P17649" s="20" t="n"/>
      <c r="Q17649" s="19" t="n"/>
      <c r="R17649" s="19" t="n"/>
      <c r="Y17649" s="19" t="n"/>
    </row>
    <row r="17650">
      <c r="C17650" s="18" t="n"/>
      <c r="J17650" s="19" t="n"/>
      <c r="P17650" s="20" t="n"/>
      <c r="Q17650" s="19" t="n"/>
      <c r="R17650" s="19" t="n"/>
      <c r="Y17650" s="19" t="n"/>
    </row>
    <row r="17651">
      <c r="C17651" s="18" t="n"/>
      <c r="J17651" s="19" t="n"/>
      <c r="P17651" s="20" t="n"/>
      <c r="Q17651" s="19" t="n"/>
      <c r="R17651" s="19" t="n"/>
      <c r="Y17651" s="19" t="n"/>
    </row>
    <row r="17652">
      <c r="C17652" s="18" t="n"/>
      <c r="J17652" s="19" t="n"/>
      <c r="P17652" s="20" t="n"/>
      <c r="Q17652" s="19" t="n"/>
      <c r="R17652" s="19" t="n"/>
      <c r="Y17652" s="19" t="n"/>
    </row>
    <row r="17653">
      <c r="C17653" s="18" t="n"/>
      <c r="J17653" s="19" t="n"/>
      <c r="P17653" s="20" t="n"/>
      <c r="Q17653" s="19" t="n"/>
      <c r="R17653" s="19" t="n"/>
      <c r="Y17653" s="19" t="n"/>
    </row>
    <row r="17654">
      <c r="C17654" s="18" t="n"/>
      <c r="J17654" s="19" t="n"/>
      <c r="P17654" s="20" t="n"/>
      <c r="Q17654" s="19" t="n"/>
      <c r="R17654" s="19" t="n"/>
      <c r="Y17654" s="19" t="n"/>
    </row>
    <row r="17655">
      <c r="C17655" s="18" t="n"/>
      <c r="J17655" s="19" t="n"/>
      <c r="P17655" s="20" t="n"/>
      <c r="Q17655" s="19" t="n"/>
      <c r="R17655" s="19" t="n"/>
      <c r="Y17655" s="19" t="n"/>
    </row>
    <row r="17656">
      <c r="C17656" s="18" t="n"/>
      <c r="J17656" s="19" t="n"/>
      <c r="P17656" s="20" t="n"/>
      <c r="Q17656" s="19" t="n"/>
      <c r="R17656" s="19" t="n"/>
      <c r="Y17656" s="19" t="n"/>
    </row>
    <row r="17657">
      <c r="C17657" s="18" t="n"/>
      <c r="J17657" s="19" t="n"/>
      <c r="P17657" s="20" t="n"/>
      <c r="Q17657" s="19" t="n"/>
      <c r="R17657" s="19" t="n"/>
      <c r="Y17657" s="19" t="n"/>
    </row>
    <row r="17658">
      <c r="C17658" s="18" t="n"/>
      <c r="J17658" s="19" t="n"/>
      <c r="P17658" s="20" t="n"/>
      <c r="Q17658" s="19" t="n"/>
      <c r="R17658" s="19" t="n"/>
      <c r="Y17658" s="19" t="n"/>
    </row>
    <row r="17659">
      <c r="C17659" s="18" t="n"/>
      <c r="J17659" s="19" t="n"/>
      <c r="P17659" s="20" t="n"/>
      <c r="Q17659" s="19" t="n"/>
      <c r="R17659" s="19" t="n"/>
      <c r="Y17659" s="19" t="n"/>
    </row>
    <row r="17660">
      <c r="C17660" s="18" t="n"/>
      <c r="J17660" s="19" t="n"/>
      <c r="P17660" s="20" t="n"/>
      <c r="Q17660" s="19" t="n"/>
      <c r="R17660" s="19" t="n"/>
      <c r="Y17660" s="19" t="n"/>
    </row>
    <row r="17661">
      <c r="C17661" s="18" t="n"/>
      <c r="J17661" s="19" t="n"/>
      <c r="P17661" s="20" t="n"/>
      <c r="Q17661" s="19" t="n"/>
      <c r="R17661" s="19" t="n"/>
      <c r="Y17661" s="19" t="n"/>
    </row>
    <row r="17662">
      <c r="C17662" s="18" t="n"/>
      <c r="J17662" s="19" t="n"/>
      <c r="P17662" s="20" t="n"/>
      <c r="Q17662" s="19" t="n"/>
      <c r="R17662" s="19" t="n"/>
      <c r="Y17662" s="19" t="n"/>
    </row>
    <row r="17663">
      <c r="C17663" s="18" t="n"/>
      <c r="J17663" s="19" t="n"/>
      <c r="P17663" s="20" t="n"/>
      <c r="Q17663" s="19" t="n"/>
      <c r="R17663" s="19" t="n"/>
      <c r="Y17663" s="19" t="n"/>
    </row>
    <row r="17664">
      <c r="C17664" s="18" t="n"/>
      <c r="J17664" s="19" t="n"/>
      <c r="P17664" s="20" t="n"/>
      <c r="Q17664" s="19" t="n"/>
      <c r="R17664" s="19" t="n"/>
      <c r="Y17664" s="19" t="n"/>
    </row>
    <row r="17665">
      <c r="C17665" s="18" t="n"/>
      <c r="J17665" s="19" t="n"/>
      <c r="P17665" s="20" t="n"/>
      <c r="Q17665" s="19" t="n"/>
      <c r="R17665" s="19" t="n"/>
      <c r="Y17665" s="19" t="n"/>
    </row>
    <row r="17666">
      <c r="C17666" s="18" t="n"/>
      <c r="J17666" s="19" t="n"/>
      <c r="P17666" s="20" t="n"/>
      <c r="Q17666" s="19" t="n"/>
      <c r="R17666" s="19" t="n"/>
      <c r="Y17666" s="19" t="n"/>
    </row>
    <row r="17667">
      <c r="C17667" s="18" t="n"/>
      <c r="J17667" s="19" t="n"/>
      <c r="P17667" s="20" t="n"/>
      <c r="Q17667" s="19" t="n"/>
      <c r="R17667" s="19" t="n"/>
      <c r="Y17667" s="19" t="n"/>
    </row>
    <row r="17668">
      <c r="C17668" s="18" t="n"/>
      <c r="J17668" s="19" t="n"/>
      <c r="P17668" s="20" t="n"/>
      <c r="Q17668" s="19" t="n"/>
      <c r="R17668" s="19" t="n"/>
      <c r="Y17668" s="19" t="n"/>
    </row>
    <row r="17669">
      <c r="C17669" s="18" t="n"/>
      <c r="J17669" s="19" t="n"/>
      <c r="P17669" s="20" t="n"/>
      <c r="Q17669" s="19" t="n"/>
      <c r="R17669" s="19" t="n"/>
      <c r="Y17669" s="19" t="n"/>
    </row>
    <row r="17670">
      <c r="C17670" s="18" t="n"/>
      <c r="J17670" s="19" t="n"/>
      <c r="P17670" s="20" t="n"/>
      <c r="Q17670" s="19" t="n"/>
      <c r="R17670" s="19" t="n"/>
      <c r="Y17670" s="19" t="n"/>
    </row>
    <row r="17671">
      <c r="C17671" s="18" t="n"/>
      <c r="J17671" s="19" t="n"/>
      <c r="P17671" s="20" t="n"/>
      <c r="Q17671" s="19" t="n"/>
      <c r="R17671" s="19" t="n"/>
      <c r="Y17671" s="19" t="n"/>
    </row>
    <row r="17672">
      <c r="C17672" s="18" t="n"/>
      <c r="J17672" s="19" t="n"/>
      <c r="P17672" s="20" t="n"/>
      <c r="Q17672" s="19" t="n"/>
      <c r="R17672" s="19" t="n"/>
      <c r="Y17672" s="19" t="n"/>
    </row>
    <row r="17673">
      <c r="C17673" s="18" t="n"/>
      <c r="J17673" s="19" t="n"/>
      <c r="P17673" s="20" t="n"/>
      <c r="Q17673" s="19" t="n"/>
      <c r="R17673" s="19" t="n"/>
      <c r="Y17673" s="19" t="n"/>
    </row>
    <row r="17674">
      <c r="C17674" s="18" t="n"/>
      <c r="J17674" s="19" t="n"/>
      <c r="P17674" s="20" t="n"/>
      <c r="Q17674" s="19" t="n"/>
      <c r="R17674" s="19" t="n"/>
      <c r="Y17674" s="19" t="n"/>
    </row>
    <row r="17675">
      <c r="C17675" s="18" t="n"/>
      <c r="J17675" s="19" t="n"/>
      <c r="P17675" s="20" t="n"/>
      <c r="Q17675" s="19" t="n"/>
      <c r="R17675" s="19" t="n"/>
      <c r="Y17675" s="19" t="n"/>
    </row>
    <row r="17676">
      <c r="C17676" s="18" t="n"/>
      <c r="J17676" s="19" t="n"/>
      <c r="P17676" s="20" t="n"/>
      <c r="Q17676" s="19" t="n"/>
      <c r="R17676" s="19" t="n"/>
      <c r="Y17676" s="19" t="n"/>
    </row>
    <row r="17677">
      <c r="C17677" s="18" t="n"/>
      <c r="J17677" s="19" t="n"/>
      <c r="P17677" s="20" t="n"/>
      <c r="Q17677" s="19" t="n"/>
      <c r="R17677" s="19" t="n"/>
      <c r="Y17677" s="19" t="n"/>
    </row>
    <row r="17678">
      <c r="C17678" s="18" t="n"/>
      <c r="J17678" s="19" t="n"/>
      <c r="P17678" s="20" t="n"/>
      <c r="Q17678" s="19" t="n"/>
      <c r="R17678" s="19" t="n"/>
      <c r="Y17678" s="19" t="n"/>
    </row>
    <row r="17679">
      <c r="C17679" s="18" t="n"/>
      <c r="J17679" s="19" t="n"/>
      <c r="P17679" s="20" t="n"/>
      <c r="Q17679" s="19" t="n"/>
      <c r="R17679" s="19" t="n"/>
      <c r="Y17679" s="19" t="n"/>
    </row>
    <row r="17680">
      <c r="C17680" s="18" t="n"/>
      <c r="J17680" s="19" t="n"/>
      <c r="P17680" s="20" t="n"/>
      <c r="Q17680" s="19" t="n"/>
      <c r="R17680" s="19" t="n"/>
      <c r="Y17680" s="19" t="n"/>
    </row>
    <row r="17681">
      <c r="C17681" s="18" t="n"/>
      <c r="J17681" s="19" t="n"/>
      <c r="P17681" s="20" t="n"/>
      <c r="Q17681" s="19" t="n"/>
      <c r="R17681" s="19" t="n"/>
      <c r="Y17681" s="19" t="n"/>
    </row>
    <row r="17682">
      <c r="C17682" s="18" t="n"/>
      <c r="J17682" s="19" t="n"/>
      <c r="P17682" s="20" t="n"/>
      <c r="Q17682" s="19" t="n"/>
      <c r="R17682" s="19" t="n"/>
      <c r="Y17682" s="19" t="n"/>
    </row>
    <row r="17683">
      <c r="C17683" s="18" t="n"/>
      <c r="J17683" s="19" t="n"/>
      <c r="P17683" s="20" t="n"/>
      <c r="Q17683" s="19" t="n"/>
      <c r="R17683" s="19" t="n"/>
      <c r="Y17683" s="19" t="n"/>
    </row>
    <row r="17684">
      <c r="C17684" s="18" t="n"/>
      <c r="J17684" s="19" t="n"/>
      <c r="P17684" s="20" t="n"/>
      <c r="Q17684" s="19" t="n"/>
      <c r="R17684" s="19" t="n"/>
      <c r="Y17684" s="19" t="n"/>
    </row>
    <row r="17685">
      <c r="C17685" s="18" t="n"/>
      <c r="J17685" s="19" t="n"/>
      <c r="P17685" s="20" t="n"/>
      <c r="Q17685" s="19" t="n"/>
      <c r="R17685" s="19" t="n"/>
      <c r="Y17685" s="19" t="n"/>
    </row>
    <row r="17686">
      <c r="C17686" s="18" t="n"/>
      <c r="J17686" s="19" t="n"/>
      <c r="P17686" s="20" t="n"/>
      <c r="Q17686" s="19" t="n"/>
      <c r="R17686" s="19" t="n"/>
      <c r="Y17686" s="19" t="n"/>
    </row>
    <row r="17687">
      <c r="C17687" s="18" t="n"/>
      <c r="J17687" s="19" t="n"/>
      <c r="P17687" s="20" t="n"/>
      <c r="Q17687" s="19" t="n"/>
      <c r="R17687" s="19" t="n"/>
      <c r="Y17687" s="19" t="n"/>
    </row>
    <row r="17688">
      <c r="C17688" s="18" t="n"/>
      <c r="J17688" s="19" t="n"/>
      <c r="P17688" s="20" t="n"/>
      <c r="Q17688" s="19" t="n"/>
      <c r="R17688" s="19" t="n"/>
      <c r="Y17688" s="19" t="n"/>
    </row>
    <row r="17689">
      <c r="C17689" s="18" t="n"/>
      <c r="J17689" s="19" t="n"/>
      <c r="P17689" s="20" t="n"/>
      <c r="Q17689" s="19" t="n"/>
      <c r="R17689" s="19" t="n"/>
      <c r="Y17689" s="19" t="n"/>
    </row>
    <row r="17690">
      <c r="C17690" s="18" t="n"/>
      <c r="J17690" s="19" t="n"/>
      <c r="P17690" s="20" t="n"/>
      <c r="Q17690" s="19" t="n"/>
      <c r="R17690" s="19" t="n"/>
      <c r="Y17690" s="19" t="n"/>
    </row>
    <row r="17691">
      <c r="C17691" s="18" t="n"/>
      <c r="J17691" s="19" t="n"/>
      <c r="P17691" s="20" t="n"/>
      <c r="Q17691" s="19" t="n"/>
      <c r="R17691" s="19" t="n"/>
      <c r="Y17691" s="19" t="n"/>
    </row>
    <row r="17692">
      <c r="C17692" s="18" t="n"/>
      <c r="J17692" s="19" t="n"/>
      <c r="P17692" s="20" t="n"/>
      <c r="Q17692" s="19" t="n"/>
      <c r="R17692" s="19" t="n"/>
      <c r="Y17692" s="19" t="n"/>
    </row>
    <row r="17693">
      <c r="C17693" s="18" t="n"/>
      <c r="J17693" s="19" t="n"/>
      <c r="P17693" s="20" t="n"/>
      <c r="Q17693" s="19" t="n"/>
      <c r="R17693" s="19" t="n"/>
      <c r="Y17693" s="19" t="n"/>
    </row>
    <row r="17694">
      <c r="C17694" s="18" t="n"/>
      <c r="J17694" s="19" t="n"/>
      <c r="P17694" s="20" t="n"/>
      <c r="Q17694" s="19" t="n"/>
      <c r="R17694" s="19" t="n"/>
      <c r="Y17694" s="19" t="n"/>
    </row>
    <row r="17695">
      <c r="C17695" s="18" t="n"/>
      <c r="J17695" s="19" t="n"/>
      <c r="P17695" s="20" t="n"/>
      <c r="Q17695" s="19" t="n"/>
      <c r="R17695" s="19" t="n"/>
      <c r="Y17695" s="19" t="n"/>
    </row>
    <row r="17696">
      <c r="C17696" s="18" t="n"/>
      <c r="J17696" s="19" t="n"/>
      <c r="P17696" s="20" t="n"/>
      <c r="Q17696" s="19" t="n"/>
      <c r="R17696" s="19" t="n"/>
      <c r="Y17696" s="19" t="n"/>
    </row>
    <row r="17697">
      <c r="C17697" s="18" t="n"/>
      <c r="J17697" s="19" t="n"/>
      <c r="P17697" s="20" t="n"/>
      <c r="Q17697" s="19" t="n"/>
      <c r="R17697" s="19" t="n"/>
      <c r="Y17697" s="19" t="n"/>
    </row>
    <row r="17698">
      <c r="C17698" s="18" t="n"/>
      <c r="J17698" s="19" t="n"/>
      <c r="P17698" s="20" t="n"/>
      <c r="Q17698" s="19" t="n"/>
      <c r="R17698" s="19" t="n"/>
      <c r="Y17698" s="19" t="n"/>
    </row>
    <row r="17699">
      <c r="C17699" s="18" t="n"/>
      <c r="J17699" s="19" t="n"/>
      <c r="P17699" s="20" t="n"/>
      <c r="Q17699" s="19" t="n"/>
      <c r="R17699" s="19" t="n"/>
      <c r="Y17699" s="19" t="n"/>
    </row>
    <row r="17700">
      <c r="C17700" s="18" t="n"/>
      <c r="J17700" s="19" t="n"/>
      <c r="P17700" s="20" t="n"/>
      <c r="Q17700" s="19" t="n"/>
      <c r="R17700" s="19" t="n"/>
      <c r="Y17700" s="19" t="n"/>
    </row>
    <row r="17701">
      <c r="C17701" s="18" t="n"/>
      <c r="J17701" s="19" t="n"/>
      <c r="P17701" s="20" t="n"/>
      <c r="Q17701" s="19" t="n"/>
      <c r="R17701" s="19" t="n"/>
      <c r="Y17701" s="19" t="n"/>
    </row>
    <row r="17702">
      <c r="C17702" s="18" t="n"/>
      <c r="J17702" s="19" t="n"/>
      <c r="P17702" s="20" t="n"/>
      <c r="Q17702" s="19" t="n"/>
      <c r="R17702" s="19" t="n"/>
      <c r="Y17702" s="19" t="n"/>
    </row>
    <row r="17703">
      <c r="C17703" s="18" t="n"/>
      <c r="J17703" s="19" t="n"/>
      <c r="P17703" s="20" t="n"/>
      <c r="Q17703" s="19" t="n"/>
      <c r="R17703" s="19" t="n"/>
      <c r="Y17703" s="19" t="n"/>
    </row>
    <row r="17704">
      <c r="C17704" s="18" t="n"/>
      <c r="J17704" s="19" t="n"/>
      <c r="P17704" s="20" t="n"/>
      <c r="Q17704" s="19" t="n"/>
      <c r="R17704" s="19" t="n"/>
      <c r="Y17704" s="19" t="n"/>
    </row>
    <row r="17705">
      <c r="C17705" s="18" t="n"/>
      <c r="J17705" s="19" t="n"/>
      <c r="P17705" s="20" t="n"/>
      <c r="Q17705" s="19" t="n"/>
      <c r="R17705" s="19" t="n"/>
      <c r="Y17705" s="19" t="n"/>
    </row>
    <row r="17706">
      <c r="C17706" s="18" t="n"/>
      <c r="J17706" s="19" t="n"/>
      <c r="P17706" s="20" t="n"/>
      <c r="Q17706" s="19" t="n"/>
      <c r="R17706" s="19" t="n"/>
      <c r="Y17706" s="19" t="n"/>
    </row>
    <row r="17707">
      <c r="C17707" s="18" t="n"/>
      <c r="J17707" s="19" t="n"/>
      <c r="P17707" s="20" t="n"/>
      <c r="Q17707" s="19" t="n"/>
      <c r="R17707" s="19" t="n"/>
      <c r="Y17707" s="19" t="n"/>
    </row>
    <row r="17708">
      <c r="C17708" s="18" t="n"/>
      <c r="J17708" s="19" t="n"/>
      <c r="P17708" s="20" t="n"/>
      <c r="Q17708" s="19" t="n"/>
      <c r="R17708" s="19" t="n"/>
      <c r="Y17708" s="19" t="n"/>
    </row>
    <row r="17709">
      <c r="C17709" s="18" t="n"/>
      <c r="J17709" s="19" t="n"/>
      <c r="P17709" s="20" t="n"/>
      <c r="Q17709" s="19" t="n"/>
      <c r="R17709" s="19" t="n"/>
      <c r="Y17709" s="19" t="n"/>
    </row>
    <row r="17710">
      <c r="C17710" s="18" t="n"/>
      <c r="J17710" s="19" t="n"/>
      <c r="P17710" s="20" t="n"/>
      <c r="Q17710" s="19" t="n"/>
      <c r="R17710" s="19" t="n"/>
      <c r="Y17710" s="19" t="n"/>
    </row>
    <row r="17711">
      <c r="C17711" s="18" t="n"/>
      <c r="J17711" s="19" t="n"/>
      <c r="P17711" s="20" t="n"/>
      <c r="Q17711" s="19" t="n"/>
      <c r="R17711" s="19" t="n"/>
      <c r="Y17711" s="19" t="n"/>
    </row>
    <row r="17712">
      <c r="C17712" s="18" t="n"/>
      <c r="J17712" s="19" t="n"/>
      <c r="P17712" s="20" t="n"/>
      <c r="Q17712" s="19" t="n"/>
      <c r="R17712" s="19" t="n"/>
      <c r="Y17712" s="19" t="n"/>
    </row>
    <row r="17713">
      <c r="C17713" s="18" t="n"/>
      <c r="J17713" s="19" t="n"/>
      <c r="P17713" s="20" t="n"/>
      <c r="Q17713" s="19" t="n"/>
      <c r="R17713" s="19" t="n"/>
      <c r="Y17713" s="19" t="n"/>
    </row>
    <row r="17714">
      <c r="C17714" s="18" t="n"/>
      <c r="J17714" s="19" t="n"/>
      <c r="P17714" s="20" t="n"/>
      <c r="Q17714" s="19" t="n"/>
      <c r="R17714" s="19" t="n"/>
      <c r="Y17714" s="19" t="n"/>
    </row>
    <row r="17715">
      <c r="C17715" s="18" t="n"/>
      <c r="J17715" s="19" t="n"/>
      <c r="P17715" s="20" t="n"/>
      <c r="Q17715" s="19" t="n"/>
      <c r="R17715" s="19" t="n"/>
      <c r="Y17715" s="19" t="n"/>
    </row>
    <row r="17716">
      <c r="C17716" s="18" t="n"/>
      <c r="J17716" s="19" t="n"/>
      <c r="P17716" s="20" t="n"/>
      <c r="Q17716" s="19" t="n"/>
      <c r="R17716" s="19" t="n"/>
      <c r="Y17716" s="19" t="n"/>
    </row>
    <row r="17717">
      <c r="C17717" s="18" t="n"/>
      <c r="J17717" s="19" t="n"/>
      <c r="P17717" s="20" t="n"/>
      <c r="Q17717" s="19" t="n"/>
      <c r="R17717" s="19" t="n"/>
      <c r="Y17717" s="19" t="n"/>
    </row>
    <row r="17718">
      <c r="C17718" s="18" t="n"/>
      <c r="J17718" s="19" t="n"/>
      <c r="P17718" s="20" t="n"/>
      <c r="Q17718" s="19" t="n"/>
      <c r="R17718" s="19" t="n"/>
      <c r="Y17718" s="19" t="n"/>
    </row>
    <row r="17719">
      <c r="C17719" s="18" t="n"/>
      <c r="J17719" s="19" t="n"/>
      <c r="P17719" s="20" t="n"/>
      <c r="Q17719" s="19" t="n"/>
      <c r="R17719" s="19" t="n"/>
      <c r="Y17719" s="19" t="n"/>
    </row>
    <row r="17720">
      <c r="C17720" s="18" t="n"/>
      <c r="J17720" s="19" t="n"/>
      <c r="P17720" s="20" t="n"/>
      <c r="Q17720" s="19" t="n"/>
      <c r="R17720" s="19" t="n"/>
      <c r="Y17720" s="19" t="n"/>
    </row>
    <row r="17721">
      <c r="C17721" s="18" t="n"/>
      <c r="J17721" s="19" t="n"/>
      <c r="P17721" s="20" t="n"/>
      <c r="Q17721" s="19" t="n"/>
      <c r="R17721" s="19" t="n"/>
      <c r="Y17721" s="19" t="n"/>
    </row>
    <row r="17722">
      <c r="C17722" s="18" t="n"/>
      <c r="J17722" s="19" t="n"/>
      <c r="P17722" s="20" t="n"/>
      <c r="Q17722" s="19" t="n"/>
      <c r="R17722" s="19" t="n"/>
      <c r="Y17722" s="19" t="n"/>
    </row>
    <row r="17723">
      <c r="C17723" s="18" t="n"/>
      <c r="J17723" s="19" t="n"/>
      <c r="P17723" s="20" t="n"/>
      <c r="Q17723" s="19" t="n"/>
      <c r="R17723" s="19" t="n"/>
      <c r="Y17723" s="19" t="n"/>
    </row>
    <row r="17724">
      <c r="C17724" s="18" t="n"/>
      <c r="J17724" s="19" t="n"/>
      <c r="P17724" s="20" t="n"/>
      <c r="Q17724" s="19" t="n"/>
      <c r="R17724" s="19" t="n"/>
      <c r="Y17724" s="19" t="n"/>
    </row>
    <row r="17725">
      <c r="C17725" s="18" t="n"/>
      <c r="J17725" s="19" t="n"/>
      <c r="P17725" s="20" t="n"/>
      <c r="Q17725" s="19" t="n"/>
      <c r="R17725" s="19" t="n"/>
      <c r="Y17725" s="19" t="n"/>
    </row>
    <row r="17726">
      <c r="C17726" s="18" t="n"/>
      <c r="J17726" s="19" t="n"/>
      <c r="P17726" s="20" t="n"/>
      <c r="Q17726" s="19" t="n"/>
      <c r="R17726" s="19" t="n"/>
      <c r="Y17726" s="19" t="n"/>
    </row>
    <row r="17727">
      <c r="C17727" s="18" t="n"/>
      <c r="J17727" s="19" t="n"/>
      <c r="P17727" s="20" t="n"/>
      <c r="Q17727" s="19" t="n"/>
      <c r="R17727" s="19" t="n"/>
      <c r="Y17727" s="19" t="n"/>
    </row>
    <row r="17728">
      <c r="C17728" s="18" t="n"/>
      <c r="J17728" s="19" t="n"/>
      <c r="P17728" s="20" t="n"/>
      <c r="Q17728" s="19" t="n"/>
      <c r="R17728" s="19" t="n"/>
      <c r="Y17728" s="19" t="n"/>
    </row>
    <row r="17729">
      <c r="C17729" s="18" t="n"/>
      <c r="J17729" s="19" t="n"/>
      <c r="P17729" s="20" t="n"/>
      <c r="Q17729" s="19" t="n"/>
      <c r="R17729" s="19" t="n"/>
      <c r="Y17729" s="19" t="n"/>
    </row>
    <row r="17730">
      <c r="C17730" s="18" t="n"/>
      <c r="J17730" s="19" t="n"/>
      <c r="P17730" s="20" t="n"/>
      <c r="Q17730" s="19" t="n"/>
      <c r="R17730" s="19" t="n"/>
      <c r="Y17730" s="19" t="n"/>
    </row>
    <row r="17731">
      <c r="C17731" s="18" t="n"/>
      <c r="J17731" s="19" t="n"/>
      <c r="P17731" s="20" t="n"/>
      <c r="Q17731" s="19" t="n"/>
      <c r="R17731" s="19" t="n"/>
      <c r="Y17731" s="19" t="n"/>
    </row>
    <row r="17732">
      <c r="C17732" s="18" t="n"/>
      <c r="J17732" s="19" t="n"/>
      <c r="P17732" s="20" t="n"/>
      <c r="Q17732" s="19" t="n"/>
      <c r="R17732" s="19" t="n"/>
      <c r="Y17732" s="19" t="n"/>
    </row>
    <row r="17733">
      <c r="C17733" s="18" t="n"/>
      <c r="J17733" s="19" t="n"/>
      <c r="P17733" s="20" t="n"/>
      <c r="Q17733" s="19" t="n"/>
      <c r="R17733" s="19" t="n"/>
      <c r="Y17733" s="19" t="n"/>
    </row>
    <row r="17734">
      <c r="C17734" s="18" t="n"/>
      <c r="J17734" s="19" t="n"/>
      <c r="P17734" s="20" t="n"/>
      <c r="Q17734" s="19" t="n"/>
      <c r="R17734" s="19" t="n"/>
      <c r="Y17734" s="19" t="n"/>
    </row>
    <row r="17735">
      <c r="C17735" s="18" t="n"/>
      <c r="J17735" s="19" t="n"/>
      <c r="P17735" s="20" t="n"/>
      <c r="Q17735" s="19" t="n"/>
      <c r="R17735" s="19" t="n"/>
      <c r="Y17735" s="19" t="n"/>
    </row>
    <row r="17736">
      <c r="C17736" s="18" t="n"/>
      <c r="J17736" s="19" t="n"/>
      <c r="P17736" s="20" t="n"/>
      <c r="Q17736" s="19" t="n"/>
      <c r="R17736" s="19" t="n"/>
      <c r="Y17736" s="19" t="n"/>
    </row>
    <row r="17737">
      <c r="C17737" s="18" t="n"/>
      <c r="J17737" s="19" t="n"/>
      <c r="P17737" s="20" t="n"/>
      <c r="Q17737" s="19" t="n"/>
      <c r="R17737" s="19" t="n"/>
      <c r="Y17737" s="19" t="n"/>
    </row>
    <row r="17738">
      <c r="C17738" s="18" t="n"/>
      <c r="J17738" s="19" t="n"/>
      <c r="P17738" s="20" t="n"/>
      <c r="Q17738" s="19" t="n"/>
      <c r="R17738" s="19" t="n"/>
      <c r="Y17738" s="19" t="n"/>
    </row>
    <row r="17739">
      <c r="C17739" s="18" t="n"/>
      <c r="J17739" s="19" t="n"/>
      <c r="P17739" s="20" t="n"/>
      <c r="Q17739" s="19" t="n"/>
      <c r="R17739" s="19" t="n"/>
      <c r="Y17739" s="19" t="n"/>
    </row>
    <row r="17740">
      <c r="C17740" s="18" t="n"/>
      <c r="J17740" s="19" t="n"/>
      <c r="P17740" s="20" t="n"/>
      <c r="Q17740" s="19" t="n"/>
      <c r="R17740" s="19" t="n"/>
      <c r="Y17740" s="19" t="n"/>
    </row>
    <row r="17741">
      <c r="C17741" s="18" t="n"/>
      <c r="J17741" s="19" t="n"/>
      <c r="P17741" s="20" t="n"/>
      <c r="Q17741" s="19" t="n"/>
      <c r="R17741" s="19" t="n"/>
      <c r="Y17741" s="19" t="n"/>
    </row>
    <row r="17742">
      <c r="C17742" s="18" t="n"/>
      <c r="J17742" s="19" t="n"/>
      <c r="P17742" s="20" t="n"/>
      <c r="Q17742" s="19" t="n"/>
      <c r="R17742" s="19" t="n"/>
      <c r="Y17742" s="19" t="n"/>
    </row>
    <row r="17743">
      <c r="C17743" s="18" t="n"/>
      <c r="J17743" s="19" t="n"/>
      <c r="P17743" s="20" t="n"/>
      <c r="Q17743" s="19" t="n"/>
      <c r="R17743" s="19" t="n"/>
      <c r="Y17743" s="19" t="n"/>
    </row>
    <row r="17744">
      <c r="C17744" s="18" t="n"/>
      <c r="J17744" s="19" t="n"/>
      <c r="P17744" s="20" t="n"/>
      <c r="Q17744" s="19" t="n"/>
      <c r="R17744" s="19" t="n"/>
      <c r="Y17744" s="19" t="n"/>
    </row>
    <row r="17745">
      <c r="C17745" s="18" t="n"/>
      <c r="J17745" s="19" t="n"/>
      <c r="P17745" s="20" t="n"/>
      <c r="Q17745" s="19" t="n"/>
      <c r="R17745" s="19" t="n"/>
      <c r="Y17745" s="19" t="n"/>
    </row>
    <row r="17746">
      <c r="C17746" s="18" t="n"/>
      <c r="J17746" s="19" t="n"/>
      <c r="P17746" s="20" t="n"/>
      <c r="Q17746" s="19" t="n"/>
      <c r="R17746" s="19" t="n"/>
      <c r="Y17746" s="19" t="n"/>
    </row>
    <row r="17747">
      <c r="C17747" s="18" t="n"/>
      <c r="J17747" s="19" t="n"/>
      <c r="P17747" s="20" t="n"/>
      <c r="Q17747" s="19" t="n"/>
      <c r="R17747" s="19" t="n"/>
      <c r="Y17747" s="19" t="n"/>
    </row>
    <row r="17748">
      <c r="C17748" s="18" t="n"/>
      <c r="J17748" s="19" t="n"/>
      <c r="P17748" s="20" t="n"/>
      <c r="Q17748" s="19" t="n"/>
      <c r="R17748" s="19" t="n"/>
      <c r="Y17748" s="19" t="n"/>
    </row>
    <row r="17749">
      <c r="C17749" s="18" t="n"/>
      <c r="J17749" s="19" t="n"/>
      <c r="P17749" s="20" t="n"/>
      <c r="Q17749" s="19" t="n"/>
      <c r="R17749" s="19" t="n"/>
      <c r="Y17749" s="19" t="n"/>
    </row>
    <row r="17750">
      <c r="C17750" s="18" t="n"/>
      <c r="J17750" s="19" t="n"/>
      <c r="P17750" s="20" t="n"/>
      <c r="Q17750" s="19" t="n"/>
      <c r="R17750" s="19" t="n"/>
      <c r="Y17750" s="19" t="n"/>
    </row>
    <row r="17751">
      <c r="C17751" s="18" t="n"/>
      <c r="J17751" s="19" t="n"/>
      <c r="P17751" s="20" t="n"/>
      <c r="Q17751" s="19" t="n"/>
      <c r="R17751" s="19" t="n"/>
      <c r="Y17751" s="19" t="n"/>
    </row>
    <row r="17752">
      <c r="C17752" s="18" t="n"/>
      <c r="J17752" s="19" t="n"/>
      <c r="P17752" s="20" t="n"/>
      <c r="Q17752" s="19" t="n"/>
      <c r="R17752" s="19" t="n"/>
      <c r="Y17752" s="19" t="n"/>
    </row>
    <row r="17753">
      <c r="C17753" s="18" t="n"/>
      <c r="J17753" s="19" t="n"/>
      <c r="P17753" s="20" t="n"/>
      <c r="Q17753" s="19" t="n"/>
      <c r="R17753" s="19" t="n"/>
      <c r="Y17753" s="19" t="n"/>
    </row>
    <row r="17754">
      <c r="C17754" s="18" t="n"/>
      <c r="J17754" s="19" t="n"/>
      <c r="P17754" s="20" t="n"/>
      <c r="Q17754" s="19" t="n"/>
      <c r="R17754" s="19" t="n"/>
      <c r="Y17754" s="19" t="n"/>
    </row>
    <row r="17755">
      <c r="C17755" s="18" t="n"/>
      <c r="J17755" s="19" t="n"/>
      <c r="P17755" s="20" t="n"/>
      <c r="Q17755" s="19" t="n"/>
      <c r="R17755" s="19" t="n"/>
      <c r="Y17755" s="19" t="n"/>
    </row>
    <row r="17756">
      <c r="C17756" s="18" t="n"/>
      <c r="J17756" s="19" t="n"/>
      <c r="P17756" s="20" t="n"/>
      <c r="Q17756" s="19" t="n"/>
      <c r="R17756" s="19" t="n"/>
      <c r="Y17756" s="19" t="n"/>
    </row>
    <row r="17757">
      <c r="C17757" s="18" t="n"/>
      <c r="J17757" s="19" t="n"/>
      <c r="P17757" s="20" t="n"/>
      <c r="Q17757" s="19" t="n"/>
      <c r="R17757" s="19" t="n"/>
      <c r="Y17757" s="19" t="n"/>
    </row>
    <row r="17758">
      <c r="C17758" s="18" t="n"/>
      <c r="J17758" s="19" t="n"/>
      <c r="P17758" s="20" t="n"/>
      <c r="Q17758" s="19" t="n"/>
      <c r="R17758" s="19" t="n"/>
      <c r="Y17758" s="19" t="n"/>
    </row>
    <row r="17759">
      <c r="C17759" s="18" t="n"/>
      <c r="J17759" s="19" t="n"/>
      <c r="P17759" s="20" t="n"/>
      <c r="Q17759" s="19" t="n"/>
      <c r="R17759" s="19" t="n"/>
      <c r="Y17759" s="19" t="n"/>
    </row>
    <row r="17760">
      <c r="C17760" s="18" t="n"/>
      <c r="J17760" s="19" t="n"/>
      <c r="P17760" s="20" t="n"/>
      <c r="Q17760" s="19" t="n"/>
      <c r="R17760" s="19" t="n"/>
      <c r="Y17760" s="19" t="n"/>
    </row>
    <row r="17761">
      <c r="C17761" s="18" t="n"/>
      <c r="J17761" s="19" t="n"/>
      <c r="P17761" s="20" t="n"/>
      <c r="Q17761" s="19" t="n"/>
      <c r="R17761" s="19" t="n"/>
      <c r="Y17761" s="19" t="n"/>
    </row>
    <row r="17762">
      <c r="C17762" s="18" t="n"/>
      <c r="J17762" s="19" t="n"/>
      <c r="P17762" s="20" t="n"/>
      <c r="Q17762" s="19" t="n"/>
      <c r="R17762" s="19" t="n"/>
      <c r="Y17762" s="19" t="n"/>
    </row>
    <row r="17763">
      <c r="C17763" s="18" t="n"/>
      <c r="J17763" s="19" t="n"/>
      <c r="P17763" s="20" t="n"/>
      <c r="Q17763" s="19" t="n"/>
      <c r="R17763" s="19" t="n"/>
      <c r="Y17763" s="19" t="n"/>
    </row>
    <row r="17764">
      <c r="C17764" s="18" t="n"/>
      <c r="J17764" s="19" t="n"/>
      <c r="P17764" s="20" t="n"/>
      <c r="Q17764" s="19" t="n"/>
      <c r="R17764" s="19" t="n"/>
      <c r="Y17764" s="19" t="n"/>
    </row>
    <row r="17765">
      <c r="C17765" s="18" t="n"/>
      <c r="J17765" s="19" t="n"/>
      <c r="P17765" s="20" t="n"/>
      <c r="Q17765" s="19" t="n"/>
      <c r="R17765" s="19" t="n"/>
      <c r="Y17765" s="19" t="n"/>
    </row>
    <row r="17766">
      <c r="C17766" s="18" t="n"/>
      <c r="J17766" s="19" t="n"/>
      <c r="P17766" s="20" t="n"/>
      <c r="Q17766" s="19" t="n"/>
      <c r="R17766" s="19" t="n"/>
      <c r="Y17766" s="19" t="n"/>
    </row>
    <row r="17767">
      <c r="C17767" s="18" t="n"/>
      <c r="J17767" s="19" t="n"/>
      <c r="P17767" s="20" t="n"/>
      <c r="Q17767" s="19" t="n"/>
      <c r="R17767" s="19" t="n"/>
      <c r="Y17767" s="19" t="n"/>
    </row>
    <row r="17768">
      <c r="C17768" s="18" t="n"/>
      <c r="J17768" s="19" t="n"/>
      <c r="P17768" s="20" t="n"/>
      <c r="Q17768" s="19" t="n"/>
      <c r="R17768" s="19" t="n"/>
      <c r="Y17768" s="19" t="n"/>
    </row>
    <row r="17769">
      <c r="C17769" s="18" t="n"/>
      <c r="J17769" s="19" t="n"/>
      <c r="P17769" s="20" t="n"/>
      <c r="Q17769" s="19" t="n"/>
      <c r="R17769" s="19" t="n"/>
      <c r="Y17769" s="19" t="n"/>
    </row>
    <row r="17770">
      <c r="C17770" s="18" t="n"/>
      <c r="J17770" s="19" t="n"/>
      <c r="P17770" s="20" t="n"/>
      <c r="Q17770" s="19" t="n"/>
      <c r="R17770" s="19" t="n"/>
      <c r="Y17770" s="19" t="n"/>
    </row>
    <row r="17771">
      <c r="C17771" s="18" t="n"/>
      <c r="J17771" s="19" t="n"/>
      <c r="P17771" s="20" t="n"/>
      <c r="Q17771" s="19" t="n"/>
      <c r="R17771" s="19" t="n"/>
      <c r="Y17771" s="19" t="n"/>
    </row>
    <row r="17772">
      <c r="C17772" s="18" t="n"/>
      <c r="J17772" s="19" t="n"/>
      <c r="P17772" s="20" t="n"/>
      <c r="Q17772" s="19" t="n"/>
      <c r="R17772" s="19" t="n"/>
      <c r="Y17772" s="19" t="n"/>
    </row>
    <row r="17773">
      <c r="C17773" s="18" t="n"/>
      <c r="J17773" s="19" t="n"/>
      <c r="P17773" s="20" t="n"/>
      <c r="Q17773" s="19" t="n"/>
      <c r="R17773" s="19" t="n"/>
      <c r="Y17773" s="19" t="n"/>
    </row>
    <row r="17774">
      <c r="C17774" s="18" t="n"/>
      <c r="J17774" s="19" t="n"/>
      <c r="P17774" s="20" t="n"/>
      <c r="Q17774" s="19" t="n"/>
      <c r="R17774" s="19" t="n"/>
      <c r="Y17774" s="19" t="n"/>
    </row>
    <row r="17775">
      <c r="C17775" s="18" t="n"/>
      <c r="J17775" s="19" t="n"/>
      <c r="P17775" s="20" t="n"/>
      <c r="Q17775" s="19" t="n"/>
      <c r="R17775" s="19" t="n"/>
      <c r="Y17775" s="19" t="n"/>
    </row>
    <row r="17776">
      <c r="C17776" s="18" t="n"/>
      <c r="J17776" s="19" t="n"/>
      <c r="P17776" s="20" t="n"/>
      <c r="Q17776" s="19" t="n"/>
      <c r="R17776" s="19" t="n"/>
      <c r="Y17776" s="19" t="n"/>
    </row>
    <row r="17777">
      <c r="C17777" s="18" t="n"/>
      <c r="J17777" s="19" t="n"/>
      <c r="P17777" s="20" t="n"/>
      <c r="Q17777" s="19" t="n"/>
      <c r="R17777" s="19" t="n"/>
      <c r="Y17777" s="19" t="n"/>
    </row>
    <row r="17778">
      <c r="C17778" s="18" t="n"/>
      <c r="J17778" s="19" t="n"/>
      <c r="P17778" s="20" t="n"/>
      <c r="Q17778" s="19" t="n"/>
      <c r="R17778" s="19" t="n"/>
      <c r="Y17778" s="19" t="n"/>
    </row>
    <row r="17779">
      <c r="C17779" s="18" t="n"/>
      <c r="J17779" s="19" t="n"/>
      <c r="P17779" s="20" t="n"/>
      <c r="Q17779" s="19" t="n"/>
      <c r="R17779" s="19" t="n"/>
      <c r="Y17779" s="19" t="n"/>
    </row>
    <row r="17780">
      <c r="C17780" s="18" t="n"/>
      <c r="J17780" s="19" t="n"/>
      <c r="P17780" s="20" t="n"/>
      <c r="Q17780" s="19" t="n"/>
      <c r="R17780" s="19" t="n"/>
      <c r="Y17780" s="19" t="n"/>
    </row>
    <row r="17781">
      <c r="C17781" s="18" t="n"/>
      <c r="J17781" s="19" t="n"/>
      <c r="P17781" s="20" t="n"/>
      <c r="Q17781" s="19" t="n"/>
      <c r="R17781" s="19" t="n"/>
      <c r="Y17781" s="19" t="n"/>
    </row>
    <row r="17782">
      <c r="C17782" s="18" t="n"/>
      <c r="J17782" s="19" t="n"/>
      <c r="P17782" s="20" t="n"/>
      <c r="Q17782" s="19" t="n"/>
      <c r="R17782" s="19" t="n"/>
      <c r="Y17782" s="19" t="n"/>
    </row>
    <row r="17783">
      <c r="C17783" s="18" t="n"/>
      <c r="J17783" s="19" t="n"/>
      <c r="P17783" s="20" t="n"/>
      <c r="Q17783" s="19" t="n"/>
      <c r="R17783" s="19" t="n"/>
      <c r="Y17783" s="19" t="n"/>
    </row>
    <row r="17784">
      <c r="C17784" s="18" t="n"/>
      <c r="J17784" s="19" t="n"/>
      <c r="P17784" s="20" t="n"/>
      <c r="Q17784" s="19" t="n"/>
      <c r="R17784" s="19" t="n"/>
      <c r="Y17784" s="19" t="n"/>
    </row>
    <row r="17785">
      <c r="C17785" s="18" t="n"/>
      <c r="J17785" s="19" t="n"/>
      <c r="P17785" s="20" t="n"/>
      <c r="Q17785" s="19" t="n"/>
      <c r="R17785" s="19" t="n"/>
      <c r="Y17785" s="19" t="n"/>
    </row>
    <row r="17786">
      <c r="C17786" s="18" t="n"/>
      <c r="J17786" s="19" t="n"/>
      <c r="P17786" s="20" t="n"/>
      <c r="Q17786" s="19" t="n"/>
      <c r="R17786" s="19" t="n"/>
      <c r="Y17786" s="19" t="n"/>
    </row>
    <row r="17787">
      <c r="C17787" s="18" t="n"/>
      <c r="J17787" s="19" t="n"/>
      <c r="P17787" s="20" t="n"/>
      <c r="Q17787" s="19" t="n"/>
      <c r="R17787" s="19" t="n"/>
      <c r="Y17787" s="19" t="n"/>
    </row>
    <row r="17788">
      <c r="C17788" s="18" t="n"/>
      <c r="J17788" s="19" t="n"/>
      <c r="P17788" s="20" t="n"/>
      <c r="Q17788" s="19" t="n"/>
      <c r="R17788" s="19" t="n"/>
      <c r="Y17788" s="19" t="n"/>
    </row>
    <row r="17789">
      <c r="C17789" s="18" t="n"/>
      <c r="J17789" s="19" t="n"/>
      <c r="P17789" s="20" t="n"/>
      <c r="Q17789" s="19" t="n"/>
      <c r="R17789" s="19" t="n"/>
      <c r="Y17789" s="19" t="n"/>
    </row>
    <row r="17790">
      <c r="C17790" s="18" t="n"/>
      <c r="J17790" s="19" t="n"/>
      <c r="P17790" s="20" t="n"/>
      <c r="Q17790" s="19" t="n"/>
      <c r="R17790" s="19" t="n"/>
      <c r="Y17790" s="19" t="n"/>
    </row>
    <row r="17791">
      <c r="C17791" s="18" t="n"/>
      <c r="J17791" s="19" t="n"/>
      <c r="P17791" s="20" t="n"/>
      <c r="Q17791" s="19" t="n"/>
      <c r="R17791" s="19" t="n"/>
      <c r="Y17791" s="19" t="n"/>
    </row>
    <row r="17792">
      <c r="C17792" s="18" t="n"/>
      <c r="J17792" s="19" t="n"/>
      <c r="P17792" s="20" t="n"/>
      <c r="Q17792" s="19" t="n"/>
      <c r="R17792" s="19" t="n"/>
      <c r="Y17792" s="19" t="n"/>
    </row>
    <row r="17793">
      <c r="C17793" s="18" t="n"/>
      <c r="J17793" s="19" t="n"/>
      <c r="P17793" s="20" t="n"/>
      <c r="Q17793" s="19" t="n"/>
      <c r="R17793" s="19" t="n"/>
      <c r="Y17793" s="19" t="n"/>
    </row>
    <row r="17794">
      <c r="C17794" s="18" t="n"/>
      <c r="J17794" s="19" t="n"/>
      <c r="P17794" s="20" t="n"/>
      <c r="Q17794" s="19" t="n"/>
      <c r="R17794" s="19" t="n"/>
      <c r="Y17794" s="19" t="n"/>
    </row>
    <row r="17795">
      <c r="C17795" s="18" t="n"/>
      <c r="J17795" s="19" t="n"/>
      <c r="P17795" s="20" t="n"/>
      <c r="Q17795" s="19" t="n"/>
      <c r="R17795" s="19" t="n"/>
      <c r="Y17795" s="19" t="n"/>
    </row>
    <row r="17796">
      <c r="C17796" s="18" t="n"/>
      <c r="J17796" s="19" t="n"/>
      <c r="P17796" s="20" t="n"/>
      <c r="Q17796" s="19" t="n"/>
      <c r="R17796" s="19" t="n"/>
      <c r="Y17796" s="19" t="n"/>
    </row>
    <row r="17797">
      <c r="C17797" s="18" t="n"/>
      <c r="J17797" s="19" t="n"/>
      <c r="P17797" s="20" t="n"/>
      <c r="Q17797" s="19" t="n"/>
      <c r="R17797" s="19" t="n"/>
      <c r="Y17797" s="19" t="n"/>
    </row>
    <row r="17798">
      <c r="C17798" s="18" t="n"/>
      <c r="J17798" s="19" t="n"/>
      <c r="P17798" s="20" t="n"/>
      <c r="Q17798" s="19" t="n"/>
      <c r="R17798" s="19" t="n"/>
      <c r="Y17798" s="19" t="n"/>
    </row>
    <row r="17799">
      <c r="C17799" s="18" t="n"/>
      <c r="J17799" s="19" t="n"/>
      <c r="P17799" s="20" t="n"/>
      <c r="Q17799" s="19" t="n"/>
      <c r="R17799" s="19" t="n"/>
      <c r="Y17799" s="19" t="n"/>
    </row>
    <row r="17800">
      <c r="C17800" s="18" t="n"/>
      <c r="J17800" s="19" t="n"/>
      <c r="P17800" s="20" t="n"/>
      <c r="Q17800" s="19" t="n"/>
      <c r="R17800" s="19" t="n"/>
      <c r="Y17800" s="19" t="n"/>
    </row>
    <row r="17801">
      <c r="C17801" s="18" t="n"/>
      <c r="J17801" s="19" t="n"/>
      <c r="P17801" s="20" t="n"/>
      <c r="Q17801" s="19" t="n"/>
      <c r="R17801" s="19" t="n"/>
      <c r="Y17801" s="19" t="n"/>
    </row>
    <row r="17802">
      <c r="C17802" s="18" t="n"/>
      <c r="J17802" s="19" t="n"/>
      <c r="P17802" s="20" t="n"/>
      <c r="Q17802" s="19" t="n"/>
      <c r="R17802" s="19" t="n"/>
      <c r="Y17802" s="19" t="n"/>
    </row>
    <row r="17803">
      <c r="C17803" s="18" t="n"/>
      <c r="J17803" s="19" t="n"/>
      <c r="P17803" s="20" t="n"/>
      <c r="Q17803" s="19" t="n"/>
      <c r="R17803" s="19" t="n"/>
      <c r="Y17803" s="19" t="n"/>
    </row>
    <row r="17804">
      <c r="C17804" s="18" t="n"/>
      <c r="J17804" s="19" t="n"/>
      <c r="P17804" s="20" t="n"/>
      <c r="Q17804" s="19" t="n"/>
      <c r="R17804" s="19" t="n"/>
      <c r="Y17804" s="19" t="n"/>
    </row>
    <row r="17805">
      <c r="C17805" s="18" t="n"/>
      <c r="J17805" s="19" t="n"/>
      <c r="P17805" s="20" t="n"/>
      <c r="Q17805" s="19" t="n"/>
      <c r="R17805" s="19" t="n"/>
      <c r="Y17805" s="19" t="n"/>
    </row>
    <row r="17806">
      <c r="C17806" s="18" t="n"/>
      <c r="J17806" s="19" t="n"/>
      <c r="P17806" s="20" t="n"/>
      <c r="Q17806" s="19" t="n"/>
      <c r="R17806" s="19" t="n"/>
      <c r="Y17806" s="19" t="n"/>
    </row>
    <row r="17807">
      <c r="C17807" s="18" t="n"/>
      <c r="J17807" s="19" t="n"/>
      <c r="P17807" s="20" t="n"/>
      <c r="Q17807" s="19" t="n"/>
      <c r="R17807" s="19" t="n"/>
      <c r="Y17807" s="19" t="n"/>
    </row>
    <row r="17808">
      <c r="C17808" s="18" t="n"/>
      <c r="J17808" s="19" t="n"/>
      <c r="P17808" s="20" t="n"/>
      <c r="Q17808" s="19" t="n"/>
      <c r="R17808" s="19" t="n"/>
      <c r="Y17808" s="19" t="n"/>
    </row>
    <row r="17809">
      <c r="C17809" s="18" t="n"/>
      <c r="J17809" s="19" t="n"/>
      <c r="P17809" s="20" t="n"/>
      <c r="Q17809" s="19" t="n"/>
      <c r="R17809" s="19" t="n"/>
      <c r="Y17809" s="19" t="n"/>
    </row>
    <row r="17810">
      <c r="C17810" s="18" t="n"/>
      <c r="J17810" s="19" t="n"/>
      <c r="P17810" s="20" t="n"/>
      <c r="Q17810" s="19" t="n"/>
      <c r="R17810" s="19" t="n"/>
      <c r="Y17810" s="19" t="n"/>
    </row>
    <row r="17811">
      <c r="C17811" s="18" t="n"/>
      <c r="J17811" s="19" t="n"/>
      <c r="P17811" s="20" t="n"/>
      <c r="Q17811" s="19" t="n"/>
      <c r="R17811" s="19" t="n"/>
      <c r="Y17811" s="19" t="n"/>
    </row>
    <row r="17812">
      <c r="C17812" s="18" t="n"/>
      <c r="J17812" s="19" t="n"/>
      <c r="P17812" s="20" t="n"/>
      <c r="Q17812" s="19" t="n"/>
      <c r="R17812" s="19" t="n"/>
      <c r="Y17812" s="19" t="n"/>
    </row>
    <row r="17813">
      <c r="C17813" s="18" t="n"/>
      <c r="J17813" s="19" t="n"/>
      <c r="P17813" s="20" t="n"/>
      <c r="Q17813" s="19" t="n"/>
      <c r="R17813" s="19" t="n"/>
      <c r="Y17813" s="19" t="n"/>
    </row>
    <row r="17814">
      <c r="C17814" s="18" t="n"/>
      <c r="J17814" s="19" t="n"/>
      <c r="P17814" s="20" t="n"/>
      <c r="Q17814" s="19" t="n"/>
      <c r="R17814" s="19" t="n"/>
      <c r="Y17814" s="19" t="n"/>
    </row>
    <row r="17815">
      <c r="C17815" s="18" t="n"/>
      <c r="J17815" s="19" t="n"/>
      <c r="P17815" s="20" t="n"/>
      <c r="Q17815" s="19" t="n"/>
      <c r="R17815" s="19" t="n"/>
      <c r="Y17815" s="19" t="n"/>
    </row>
    <row r="17816">
      <c r="C17816" s="18" t="n"/>
      <c r="J17816" s="19" t="n"/>
      <c r="P17816" s="20" t="n"/>
      <c r="Q17816" s="19" t="n"/>
      <c r="R17816" s="19" t="n"/>
      <c r="Y17816" s="19" t="n"/>
    </row>
    <row r="17817">
      <c r="C17817" s="18" t="n"/>
      <c r="J17817" s="19" t="n"/>
      <c r="P17817" s="20" t="n"/>
      <c r="Q17817" s="19" t="n"/>
      <c r="R17817" s="19" t="n"/>
      <c r="Y17817" s="19" t="n"/>
    </row>
    <row r="17818">
      <c r="C17818" s="18" t="n"/>
      <c r="J17818" s="19" t="n"/>
      <c r="P17818" s="20" t="n"/>
      <c r="Q17818" s="19" t="n"/>
      <c r="R17818" s="19" t="n"/>
      <c r="Y17818" s="19" t="n"/>
    </row>
    <row r="17819">
      <c r="C17819" s="18" t="n"/>
      <c r="J17819" s="19" t="n"/>
      <c r="P17819" s="20" t="n"/>
      <c r="Q17819" s="19" t="n"/>
      <c r="R17819" s="19" t="n"/>
      <c r="Y17819" s="19" t="n"/>
    </row>
    <row r="17820">
      <c r="C17820" s="18" t="n"/>
      <c r="J17820" s="19" t="n"/>
      <c r="P17820" s="20" t="n"/>
      <c r="Q17820" s="19" t="n"/>
      <c r="R17820" s="19" t="n"/>
      <c r="Y17820" s="19" t="n"/>
    </row>
    <row r="17821">
      <c r="C17821" s="18" t="n"/>
      <c r="J17821" s="19" t="n"/>
      <c r="P17821" s="20" t="n"/>
      <c r="Q17821" s="19" t="n"/>
      <c r="R17821" s="19" t="n"/>
      <c r="Y17821" s="19" t="n"/>
    </row>
    <row r="17822">
      <c r="C17822" s="18" t="n"/>
      <c r="J17822" s="19" t="n"/>
      <c r="P17822" s="20" t="n"/>
      <c r="Q17822" s="19" t="n"/>
      <c r="R17822" s="19" t="n"/>
      <c r="Y17822" s="19" t="n"/>
    </row>
    <row r="17823">
      <c r="C17823" s="18" t="n"/>
      <c r="J17823" s="19" t="n"/>
      <c r="P17823" s="20" t="n"/>
      <c r="Q17823" s="19" t="n"/>
      <c r="R17823" s="19" t="n"/>
      <c r="Y17823" s="19" t="n"/>
    </row>
    <row r="17824">
      <c r="C17824" s="18" t="n"/>
      <c r="J17824" s="19" t="n"/>
      <c r="P17824" s="20" t="n"/>
      <c r="Q17824" s="19" t="n"/>
      <c r="R17824" s="19" t="n"/>
      <c r="Y17824" s="19" t="n"/>
    </row>
    <row r="17825">
      <c r="C17825" s="18" t="n"/>
      <c r="J17825" s="19" t="n"/>
      <c r="P17825" s="20" t="n"/>
      <c r="Q17825" s="19" t="n"/>
      <c r="R17825" s="19" t="n"/>
      <c r="Y17825" s="19" t="n"/>
    </row>
    <row r="17826">
      <c r="C17826" s="18" t="n"/>
      <c r="J17826" s="19" t="n"/>
      <c r="P17826" s="20" t="n"/>
      <c r="Q17826" s="19" t="n"/>
      <c r="R17826" s="19" t="n"/>
      <c r="Y17826" s="19" t="n"/>
    </row>
    <row r="17827">
      <c r="C17827" s="18" t="n"/>
      <c r="J17827" s="19" t="n"/>
      <c r="P17827" s="20" t="n"/>
      <c r="Q17827" s="19" t="n"/>
      <c r="R17827" s="19" t="n"/>
      <c r="Y17827" s="19" t="n"/>
    </row>
    <row r="17828">
      <c r="C17828" s="18" t="n"/>
      <c r="J17828" s="19" t="n"/>
      <c r="P17828" s="20" t="n"/>
      <c r="Q17828" s="19" t="n"/>
      <c r="R17828" s="19" t="n"/>
      <c r="Y17828" s="19" t="n"/>
    </row>
    <row r="17829">
      <c r="C17829" s="18" t="n"/>
      <c r="J17829" s="19" t="n"/>
      <c r="P17829" s="20" t="n"/>
      <c r="Q17829" s="19" t="n"/>
      <c r="R17829" s="19" t="n"/>
      <c r="Y17829" s="19" t="n"/>
    </row>
    <row r="17830">
      <c r="C17830" s="18" t="n"/>
      <c r="J17830" s="19" t="n"/>
      <c r="P17830" s="20" t="n"/>
      <c r="Q17830" s="19" t="n"/>
      <c r="R17830" s="19" t="n"/>
      <c r="Y17830" s="19" t="n"/>
    </row>
    <row r="17831">
      <c r="C17831" s="18" t="n"/>
      <c r="J17831" s="19" t="n"/>
      <c r="P17831" s="20" t="n"/>
      <c r="Q17831" s="19" t="n"/>
      <c r="R17831" s="19" t="n"/>
      <c r="Y17831" s="19" t="n"/>
    </row>
    <row r="17832">
      <c r="C17832" s="18" t="n"/>
      <c r="J17832" s="19" t="n"/>
      <c r="P17832" s="20" t="n"/>
      <c r="Q17832" s="19" t="n"/>
      <c r="R17832" s="19" t="n"/>
      <c r="Y17832" s="19" t="n"/>
    </row>
    <row r="17833">
      <c r="C17833" s="18" t="n"/>
      <c r="J17833" s="19" t="n"/>
      <c r="P17833" s="20" t="n"/>
      <c r="Q17833" s="19" t="n"/>
      <c r="R17833" s="19" t="n"/>
      <c r="Y17833" s="19" t="n"/>
    </row>
    <row r="17834">
      <c r="C17834" s="18" t="n"/>
      <c r="J17834" s="19" t="n"/>
      <c r="P17834" s="20" t="n"/>
      <c r="Q17834" s="19" t="n"/>
      <c r="R17834" s="19" t="n"/>
      <c r="Y17834" s="19" t="n"/>
    </row>
    <row r="17835">
      <c r="C17835" s="18" t="n"/>
      <c r="J17835" s="19" t="n"/>
      <c r="P17835" s="20" t="n"/>
      <c r="Q17835" s="19" t="n"/>
      <c r="R17835" s="19" t="n"/>
      <c r="Y17835" s="19" t="n"/>
    </row>
    <row r="17836">
      <c r="C17836" s="18" t="n"/>
      <c r="J17836" s="19" t="n"/>
      <c r="P17836" s="20" t="n"/>
      <c r="Q17836" s="19" t="n"/>
      <c r="R17836" s="19" t="n"/>
      <c r="Y17836" s="19" t="n"/>
    </row>
    <row r="17837">
      <c r="C17837" s="18" t="n"/>
      <c r="J17837" s="19" t="n"/>
      <c r="P17837" s="20" t="n"/>
      <c r="Q17837" s="19" t="n"/>
      <c r="R17837" s="19" t="n"/>
      <c r="Y17837" s="19" t="n"/>
    </row>
    <row r="17838">
      <c r="C17838" s="18" t="n"/>
      <c r="J17838" s="19" t="n"/>
      <c r="P17838" s="20" t="n"/>
      <c r="Q17838" s="19" t="n"/>
      <c r="R17838" s="19" t="n"/>
      <c r="Y17838" s="19" t="n"/>
    </row>
    <row r="17839">
      <c r="C17839" s="18" t="n"/>
      <c r="J17839" s="19" t="n"/>
      <c r="P17839" s="20" t="n"/>
      <c r="Q17839" s="19" t="n"/>
      <c r="R17839" s="19" t="n"/>
      <c r="Y17839" s="19" t="n"/>
    </row>
    <row r="17840">
      <c r="C17840" s="18" t="n"/>
      <c r="J17840" s="19" t="n"/>
      <c r="P17840" s="20" t="n"/>
      <c r="Q17840" s="19" t="n"/>
      <c r="R17840" s="19" t="n"/>
      <c r="Y17840" s="19" t="n"/>
    </row>
    <row r="17841">
      <c r="C17841" s="18" t="n"/>
      <c r="J17841" s="19" t="n"/>
      <c r="P17841" s="20" t="n"/>
      <c r="Q17841" s="19" t="n"/>
      <c r="R17841" s="19" t="n"/>
      <c r="Y17841" s="19" t="n"/>
    </row>
    <row r="17842">
      <c r="C17842" s="18" t="n"/>
      <c r="J17842" s="19" t="n"/>
      <c r="P17842" s="20" t="n"/>
      <c r="Q17842" s="19" t="n"/>
      <c r="R17842" s="19" t="n"/>
      <c r="Y17842" s="19" t="n"/>
    </row>
    <row r="17843">
      <c r="C17843" s="18" t="n"/>
      <c r="J17843" s="19" t="n"/>
      <c r="P17843" s="20" t="n"/>
      <c r="Q17843" s="19" t="n"/>
      <c r="R17843" s="19" t="n"/>
      <c r="Y17843" s="19" t="n"/>
    </row>
    <row r="17844">
      <c r="C17844" s="18" t="n"/>
      <c r="J17844" s="19" t="n"/>
      <c r="P17844" s="20" t="n"/>
      <c r="Q17844" s="19" t="n"/>
      <c r="R17844" s="19" t="n"/>
      <c r="Y17844" s="19" t="n"/>
    </row>
    <row r="17845">
      <c r="C17845" s="18" t="n"/>
      <c r="J17845" s="19" t="n"/>
      <c r="P17845" s="20" t="n"/>
      <c r="Q17845" s="19" t="n"/>
      <c r="R17845" s="19" t="n"/>
      <c r="Y17845" s="19" t="n"/>
    </row>
    <row r="17846">
      <c r="C17846" s="18" t="n"/>
      <c r="J17846" s="19" t="n"/>
      <c r="P17846" s="20" t="n"/>
      <c r="Q17846" s="19" t="n"/>
      <c r="R17846" s="19" t="n"/>
      <c r="Y17846" s="19" t="n"/>
    </row>
    <row r="17847">
      <c r="C17847" s="18" t="n"/>
      <c r="J17847" s="19" t="n"/>
      <c r="P17847" s="20" t="n"/>
      <c r="Q17847" s="19" t="n"/>
      <c r="R17847" s="19" t="n"/>
      <c r="Y17847" s="19" t="n"/>
    </row>
    <row r="17848">
      <c r="C17848" s="18" t="n"/>
      <c r="J17848" s="19" t="n"/>
      <c r="P17848" s="20" t="n"/>
      <c r="Q17848" s="19" t="n"/>
      <c r="R17848" s="19" t="n"/>
      <c r="Y17848" s="19" t="n"/>
    </row>
    <row r="17849">
      <c r="C17849" s="18" t="n"/>
      <c r="J17849" s="19" t="n"/>
      <c r="P17849" s="20" t="n"/>
      <c r="Q17849" s="19" t="n"/>
      <c r="R17849" s="19" t="n"/>
      <c r="Y17849" s="19" t="n"/>
    </row>
    <row r="17850">
      <c r="C17850" s="18" t="n"/>
      <c r="J17850" s="19" t="n"/>
      <c r="P17850" s="20" t="n"/>
      <c r="Q17850" s="19" t="n"/>
      <c r="R17850" s="19" t="n"/>
      <c r="Y17850" s="19" t="n"/>
    </row>
    <row r="17851">
      <c r="C17851" s="18" t="n"/>
      <c r="J17851" s="19" t="n"/>
      <c r="P17851" s="20" t="n"/>
      <c r="Q17851" s="19" t="n"/>
      <c r="R17851" s="19" t="n"/>
      <c r="Y17851" s="19" t="n"/>
    </row>
    <row r="17852">
      <c r="C17852" s="18" t="n"/>
      <c r="J17852" s="19" t="n"/>
      <c r="P17852" s="20" t="n"/>
      <c r="Q17852" s="19" t="n"/>
      <c r="R17852" s="19" t="n"/>
      <c r="Y17852" s="19" t="n"/>
    </row>
    <row r="17853">
      <c r="C17853" s="18" t="n"/>
      <c r="J17853" s="19" t="n"/>
      <c r="P17853" s="20" t="n"/>
      <c r="Q17853" s="19" t="n"/>
      <c r="R17853" s="19" t="n"/>
      <c r="Y17853" s="19" t="n"/>
    </row>
    <row r="17854">
      <c r="C17854" s="18" t="n"/>
      <c r="J17854" s="19" t="n"/>
      <c r="P17854" s="20" t="n"/>
      <c r="Q17854" s="19" t="n"/>
      <c r="R17854" s="19" t="n"/>
      <c r="Y17854" s="19" t="n"/>
    </row>
    <row r="17855">
      <c r="C17855" s="18" t="n"/>
      <c r="J17855" s="19" t="n"/>
      <c r="P17855" s="20" t="n"/>
      <c r="Q17855" s="19" t="n"/>
      <c r="R17855" s="19" t="n"/>
      <c r="Y17855" s="19" t="n"/>
    </row>
    <row r="17856">
      <c r="C17856" s="18" t="n"/>
      <c r="J17856" s="19" t="n"/>
      <c r="P17856" s="20" t="n"/>
      <c r="Q17856" s="19" t="n"/>
      <c r="R17856" s="19" t="n"/>
      <c r="Y17856" s="19" t="n"/>
    </row>
    <row r="17857">
      <c r="C17857" s="18" t="n"/>
      <c r="J17857" s="19" t="n"/>
      <c r="P17857" s="20" t="n"/>
      <c r="Q17857" s="19" t="n"/>
      <c r="R17857" s="19" t="n"/>
      <c r="Y17857" s="19" t="n"/>
    </row>
    <row r="17858">
      <c r="C17858" s="18" t="n"/>
      <c r="J17858" s="19" t="n"/>
      <c r="P17858" s="20" t="n"/>
      <c r="Q17858" s="19" t="n"/>
      <c r="R17858" s="19" t="n"/>
      <c r="Y17858" s="19" t="n"/>
    </row>
    <row r="17859">
      <c r="C17859" s="18" t="n"/>
      <c r="J17859" s="19" t="n"/>
      <c r="P17859" s="20" t="n"/>
      <c r="Q17859" s="19" t="n"/>
      <c r="R17859" s="19" t="n"/>
      <c r="Y17859" s="19" t="n"/>
    </row>
    <row r="17860">
      <c r="C17860" s="18" t="n"/>
      <c r="J17860" s="19" t="n"/>
      <c r="P17860" s="20" t="n"/>
      <c r="Q17860" s="19" t="n"/>
      <c r="R17860" s="19" t="n"/>
      <c r="Y17860" s="19" t="n"/>
    </row>
    <row r="17861">
      <c r="C17861" s="18" t="n"/>
      <c r="J17861" s="19" t="n"/>
      <c r="P17861" s="20" t="n"/>
      <c r="Q17861" s="19" t="n"/>
      <c r="R17861" s="19" t="n"/>
      <c r="Y17861" s="19" t="n"/>
    </row>
    <row r="17862">
      <c r="C17862" s="18" t="n"/>
      <c r="J17862" s="19" t="n"/>
      <c r="P17862" s="20" t="n"/>
      <c r="Q17862" s="19" t="n"/>
      <c r="R17862" s="19" t="n"/>
      <c r="Y17862" s="19" t="n"/>
    </row>
    <row r="17863">
      <c r="C17863" s="18" t="n"/>
      <c r="J17863" s="19" t="n"/>
      <c r="P17863" s="20" t="n"/>
      <c r="Q17863" s="19" t="n"/>
      <c r="R17863" s="19" t="n"/>
      <c r="Y17863" s="19" t="n"/>
    </row>
    <row r="17864">
      <c r="C17864" s="18" t="n"/>
      <c r="J17864" s="19" t="n"/>
      <c r="P17864" s="20" t="n"/>
      <c r="Q17864" s="19" t="n"/>
      <c r="R17864" s="19" t="n"/>
      <c r="Y17864" s="19" t="n"/>
    </row>
    <row r="17865">
      <c r="C17865" s="18" t="n"/>
      <c r="J17865" s="19" t="n"/>
      <c r="P17865" s="20" t="n"/>
      <c r="Q17865" s="19" t="n"/>
      <c r="R17865" s="19" t="n"/>
      <c r="Y17865" s="19" t="n"/>
    </row>
    <row r="17866">
      <c r="C17866" s="18" t="n"/>
      <c r="J17866" s="19" t="n"/>
      <c r="P17866" s="20" t="n"/>
      <c r="Q17866" s="19" t="n"/>
      <c r="R17866" s="19" t="n"/>
      <c r="Y17866" s="19" t="n"/>
    </row>
    <row r="17867">
      <c r="C17867" s="18" t="n"/>
      <c r="J17867" s="19" t="n"/>
      <c r="P17867" s="20" t="n"/>
      <c r="Q17867" s="19" t="n"/>
      <c r="R17867" s="19" t="n"/>
      <c r="Y17867" s="19" t="n"/>
    </row>
    <row r="17868">
      <c r="C17868" s="18" t="n"/>
      <c r="J17868" s="19" t="n"/>
      <c r="P17868" s="20" t="n"/>
      <c r="Q17868" s="19" t="n"/>
      <c r="R17868" s="19" t="n"/>
      <c r="Y17868" s="19" t="n"/>
    </row>
    <row r="17869">
      <c r="C17869" s="18" t="n"/>
      <c r="J17869" s="19" t="n"/>
      <c r="P17869" s="20" t="n"/>
      <c r="Q17869" s="19" t="n"/>
      <c r="R17869" s="19" t="n"/>
      <c r="Y17869" s="19" t="n"/>
    </row>
    <row r="17870">
      <c r="C17870" s="18" t="n"/>
      <c r="J17870" s="19" t="n"/>
      <c r="P17870" s="20" t="n"/>
      <c r="Q17870" s="19" t="n"/>
      <c r="R17870" s="19" t="n"/>
      <c r="Y17870" s="19" t="n"/>
    </row>
    <row r="17871">
      <c r="C17871" s="18" t="n"/>
      <c r="J17871" s="19" t="n"/>
      <c r="P17871" s="20" t="n"/>
      <c r="Q17871" s="19" t="n"/>
      <c r="R17871" s="19" t="n"/>
      <c r="Y17871" s="19" t="n"/>
    </row>
    <row r="17872">
      <c r="C17872" s="18" t="n"/>
      <c r="J17872" s="19" t="n"/>
      <c r="P17872" s="20" t="n"/>
      <c r="Q17872" s="19" t="n"/>
      <c r="R17872" s="19" t="n"/>
      <c r="Y17872" s="19" t="n"/>
    </row>
    <row r="17873">
      <c r="C17873" s="18" t="n"/>
      <c r="J17873" s="19" t="n"/>
      <c r="P17873" s="20" t="n"/>
      <c r="Q17873" s="19" t="n"/>
      <c r="R17873" s="19" t="n"/>
      <c r="Y17873" s="19" t="n"/>
    </row>
    <row r="17874">
      <c r="C17874" s="18" t="n"/>
      <c r="J17874" s="19" t="n"/>
      <c r="P17874" s="20" t="n"/>
      <c r="Q17874" s="19" t="n"/>
      <c r="R17874" s="19" t="n"/>
      <c r="Y17874" s="19" t="n"/>
    </row>
    <row r="17875">
      <c r="C17875" s="18" t="n"/>
      <c r="J17875" s="19" t="n"/>
      <c r="P17875" s="20" t="n"/>
      <c r="Q17875" s="19" t="n"/>
      <c r="R17875" s="19" t="n"/>
      <c r="Y17875" s="19" t="n"/>
    </row>
    <row r="17876">
      <c r="C17876" s="18" t="n"/>
      <c r="J17876" s="19" t="n"/>
      <c r="P17876" s="20" t="n"/>
      <c r="Q17876" s="19" t="n"/>
      <c r="R17876" s="19" t="n"/>
      <c r="Y17876" s="19" t="n"/>
    </row>
    <row r="17877">
      <c r="C17877" s="18" t="n"/>
      <c r="J17877" s="19" t="n"/>
      <c r="P17877" s="20" t="n"/>
      <c r="Q17877" s="19" t="n"/>
      <c r="R17877" s="19" t="n"/>
      <c r="Y17877" s="19" t="n"/>
    </row>
    <row r="17878">
      <c r="C17878" s="18" t="n"/>
      <c r="J17878" s="19" t="n"/>
      <c r="P17878" s="20" t="n"/>
      <c r="Q17878" s="19" t="n"/>
      <c r="R17878" s="19" t="n"/>
      <c r="Y17878" s="19" t="n"/>
    </row>
    <row r="17879">
      <c r="C17879" s="18" t="n"/>
      <c r="J17879" s="19" t="n"/>
      <c r="P17879" s="20" t="n"/>
      <c r="Q17879" s="19" t="n"/>
      <c r="R17879" s="19" t="n"/>
      <c r="Y17879" s="19" t="n"/>
    </row>
    <row r="17880">
      <c r="C17880" s="18" t="n"/>
      <c r="J17880" s="19" t="n"/>
      <c r="P17880" s="20" t="n"/>
      <c r="Q17880" s="19" t="n"/>
      <c r="R17880" s="19" t="n"/>
      <c r="Y17880" s="19" t="n"/>
    </row>
    <row r="17881">
      <c r="C17881" s="18" t="n"/>
      <c r="J17881" s="19" t="n"/>
      <c r="P17881" s="20" t="n"/>
      <c r="Q17881" s="19" t="n"/>
      <c r="R17881" s="19" t="n"/>
      <c r="Y17881" s="19" t="n"/>
    </row>
    <row r="17882">
      <c r="C17882" s="18" t="n"/>
      <c r="J17882" s="19" t="n"/>
      <c r="P17882" s="20" t="n"/>
      <c r="Q17882" s="19" t="n"/>
      <c r="R17882" s="19" t="n"/>
      <c r="Y17882" s="19" t="n"/>
    </row>
    <row r="17883">
      <c r="C17883" s="18" t="n"/>
      <c r="J17883" s="19" t="n"/>
      <c r="P17883" s="20" t="n"/>
      <c r="Q17883" s="19" t="n"/>
      <c r="R17883" s="19" t="n"/>
      <c r="Y17883" s="19" t="n"/>
    </row>
    <row r="17884">
      <c r="C17884" s="18" t="n"/>
      <c r="J17884" s="19" t="n"/>
      <c r="P17884" s="20" t="n"/>
      <c r="Q17884" s="19" t="n"/>
      <c r="R17884" s="19" t="n"/>
      <c r="Y17884" s="19" t="n"/>
    </row>
    <row r="17885">
      <c r="C17885" s="18" t="n"/>
      <c r="J17885" s="19" t="n"/>
      <c r="P17885" s="20" t="n"/>
      <c r="Q17885" s="19" t="n"/>
      <c r="R17885" s="19" t="n"/>
      <c r="Y17885" s="19" t="n"/>
    </row>
    <row r="17886">
      <c r="C17886" s="18" t="n"/>
      <c r="J17886" s="19" t="n"/>
      <c r="P17886" s="20" t="n"/>
      <c r="Q17886" s="19" t="n"/>
      <c r="R17886" s="19" t="n"/>
      <c r="Y17886" s="19" t="n"/>
    </row>
    <row r="17887">
      <c r="C17887" s="18" t="n"/>
      <c r="J17887" s="19" t="n"/>
      <c r="P17887" s="20" t="n"/>
      <c r="Q17887" s="19" t="n"/>
      <c r="R17887" s="19" t="n"/>
      <c r="Y17887" s="19" t="n"/>
    </row>
    <row r="17888">
      <c r="C17888" s="18" t="n"/>
      <c r="J17888" s="19" t="n"/>
      <c r="P17888" s="20" t="n"/>
      <c r="Q17888" s="19" t="n"/>
      <c r="R17888" s="19" t="n"/>
      <c r="Y17888" s="19" t="n"/>
    </row>
    <row r="17889">
      <c r="C17889" s="18" t="n"/>
      <c r="J17889" s="19" t="n"/>
      <c r="P17889" s="20" t="n"/>
      <c r="Q17889" s="19" t="n"/>
      <c r="R17889" s="19" t="n"/>
      <c r="Y17889" s="19" t="n"/>
    </row>
    <row r="17890">
      <c r="C17890" s="18" t="n"/>
      <c r="J17890" s="19" t="n"/>
      <c r="P17890" s="20" t="n"/>
      <c r="Q17890" s="19" t="n"/>
      <c r="R17890" s="19" t="n"/>
      <c r="Y17890" s="19" t="n"/>
    </row>
    <row r="17891">
      <c r="C17891" s="18" t="n"/>
      <c r="J17891" s="19" t="n"/>
      <c r="P17891" s="20" t="n"/>
      <c r="Q17891" s="19" t="n"/>
      <c r="R17891" s="19" t="n"/>
      <c r="Y17891" s="19" t="n"/>
    </row>
    <row r="17892">
      <c r="C17892" s="18" t="n"/>
      <c r="J17892" s="19" t="n"/>
      <c r="P17892" s="20" t="n"/>
      <c r="Q17892" s="19" t="n"/>
      <c r="R17892" s="19" t="n"/>
      <c r="Y17892" s="19" t="n"/>
    </row>
    <row r="17893">
      <c r="C17893" s="18" t="n"/>
      <c r="J17893" s="19" t="n"/>
      <c r="P17893" s="20" t="n"/>
      <c r="Q17893" s="19" t="n"/>
      <c r="R17893" s="19" t="n"/>
      <c r="Y17893" s="19" t="n"/>
    </row>
    <row r="17894">
      <c r="C17894" s="18" t="n"/>
      <c r="J17894" s="19" t="n"/>
      <c r="P17894" s="20" t="n"/>
      <c r="Q17894" s="19" t="n"/>
      <c r="R17894" s="19" t="n"/>
      <c r="Y17894" s="19" t="n"/>
    </row>
    <row r="17895">
      <c r="C17895" s="18" t="n"/>
      <c r="J17895" s="19" t="n"/>
      <c r="P17895" s="20" t="n"/>
      <c r="Q17895" s="19" t="n"/>
      <c r="R17895" s="19" t="n"/>
      <c r="Y17895" s="19" t="n"/>
    </row>
    <row r="17896">
      <c r="C17896" s="18" t="n"/>
      <c r="J17896" s="19" t="n"/>
      <c r="P17896" s="20" t="n"/>
      <c r="Q17896" s="19" t="n"/>
      <c r="R17896" s="19" t="n"/>
      <c r="Y17896" s="19" t="n"/>
    </row>
    <row r="17897">
      <c r="C17897" s="18" t="n"/>
      <c r="J17897" s="19" t="n"/>
      <c r="P17897" s="20" t="n"/>
      <c r="Q17897" s="19" t="n"/>
      <c r="R17897" s="19" t="n"/>
      <c r="Y17897" s="19" t="n"/>
    </row>
    <row r="17898">
      <c r="C17898" s="18" t="n"/>
      <c r="J17898" s="19" t="n"/>
      <c r="P17898" s="20" t="n"/>
      <c r="Q17898" s="19" t="n"/>
      <c r="R17898" s="19" t="n"/>
      <c r="Y17898" s="19" t="n"/>
    </row>
    <row r="17899">
      <c r="C17899" s="18" t="n"/>
      <c r="J17899" s="19" t="n"/>
      <c r="P17899" s="20" t="n"/>
      <c r="Q17899" s="19" t="n"/>
      <c r="R17899" s="19" t="n"/>
      <c r="Y17899" s="19" t="n"/>
    </row>
    <row r="17900">
      <c r="C17900" s="18" t="n"/>
      <c r="J17900" s="19" t="n"/>
      <c r="P17900" s="20" t="n"/>
      <c r="Q17900" s="19" t="n"/>
      <c r="R17900" s="19" t="n"/>
      <c r="Y17900" s="19" t="n"/>
    </row>
    <row r="17901">
      <c r="C17901" s="18" t="n"/>
      <c r="J17901" s="19" t="n"/>
      <c r="P17901" s="20" t="n"/>
      <c r="Q17901" s="19" t="n"/>
      <c r="R17901" s="19" t="n"/>
      <c r="Y17901" s="19" t="n"/>
    </row>
    <row r="17902">
      <c r="C17902" s="18" t="n"/>
      <c r="J17902" s="19" t="n"/>
      <c r="P17902" s="20" t="n"/>
      <c r="Q17902" s="19" t="n"/>
      <c r="R17902" s="19" t="n"/>
      <c r="Y17902" s="19" t="n"/>
    </row>
    <row r="17903">
      <c r="C17903" s="18" t="n"/>
      <c r="J17903" s="19" t="n"/>
      <c r="P17903" s="20" t="n"/>
      <c r="Q17903" s="19" t="n"/>
      <c r="R17903" s="19" t="n"/>
      <c r="Y17903" s="19" t="n"/>
    </row>
    <row r="17904">
      <c r="C17904" s="18" t="n"/>
      <c r="J17904" s="19" t="n"/>
      <c r="P17904" s="20" t="n"/>
      <c r="Q17904" s="19" t="n"/>
      <c r="R17904" s="19" t="n"/>
      <c r="Y17904" s="19" t="n"/>
    </row>
    <row r="17905">
      <c r="C17905" s="18" t="n"/>
      <c r="J17905" s="19" t="n"/>
      <c r="P17905" s="20" t="n"/>
      <c r="Q17905" s="19" t="n"/>
      <c r="R17905" s="19" t="n"/>
      <c r="Y17905" s="19" t="n"/>
    </row>
    <row r="17906">
      <c r="C17906" s="18" t="n"/>
      <c r="J17906" s="19" t="n"/>
      <c r="P17906" s="20" t="n"/>
      <c r="Q17906" s="19" t="n"/>
      <c r="R17906" s="19" t="n"/>
      <c r="Y17906" s="19" t="n"/>
    </row>
    <row r="17907">
      <c r="C17907" s="18" t="n"/>
      <c r="J17907" s="19" t="n"/>
      <c r="P17907" s="20" t="n"/>
      <c r="Q17907" s="19" t="n"/>
      <c r="R17907" s="19" t="n"/>
      <c r="Y17907" s="19" t="n"/>
    </row>
    <row r="17908">
      <c r="C17908" s="18" t="n"/>
      <c r="J17908" s="19" t="n"/>
      <c r="P17908" s="20" t="n"/>
      <c r="Q17908" s="19" t="n"/>
      <c r="R17908" s="19" t="n"/>
      <c r="Y17908" s="19" t="n"/>
    </row>
    <row r="17909">
      <c r="C17909" s="18" t="n"/>
      <c r="J17909" s="19" t="n"/>
      <c r="P17909" s="20" t="n"/>
      <c r="Q17909" s="19" t="n"/>
      <c r="R17909" s="19" t="n"/>
      <c r="Y17909" s="19" t="n"/>
    </row>
    <row r="17910">
      <c r="C17910" s="18" t="n"/>
      <c r="J17910" s="19" t="n"/>
      <c r="P17910" s="20" t="n"/>
      <c r="Q17910" s="19" t="n"/>
      <c r="R17910" s="19" t="n"/>
      <c r="Y17910" s="19" t="n"/>
    </row>
    <row r="17911">
      <c r="C17911" s="18" t="n"/>
      <c r="J17911" s="19" t="n"/>
      <c r="P17911" s="20" t="n"/>
      <c r="Q17911" s="19" t="n"/>
      <c r="R17911" s="19" t="n"/>
      <c r="Y17911" s="19" t="n"/>
    </row>
    <row r="17912">
      <c r="C17912" s="18" t="n"/>
      <c r="J17912" s="19" t="n"/>
      <c r="P17912" s="20" t="n"/>
      <c r="Q17912" s="19" t="n"/>
      <c r="R17912" s="19" t="n"/>
      <c r="Y17912" s="19" t="n"/>
    </row>
    <row r="17913">
      <c r="C17913" s="18" t="n"/>
      <c r="J17913" s="19" t="n"/>
      <c r="P17913" s="20" t="n"/>
      <c r="Q17913" s="19" t="n"/>
      <c r="R17913" s="19" t="n"/>
      <c r="Y17913" s="19" t="n"/>
    </row>
    <row r="17914">
      <c r="C17914" s="18" t="n"/>
      <c r="J17914" s="19" t="n"/>
      <c r="P17914" s="20" t="n"/>
      <c r="Q17914" s="19" t="n"/>
      <c r="R17914" s="19" t="n"/>
      <c r="Y17914" s="19" t="n"/>
    </row>
    <row r="17915">
      <c r="C17915" s="18" t="n"/>
      <c r="J17915" s="19" t="n"/>
      <c r="P17915" s="20" t="n"/>
      <c r="Q17915" s="19" t="n"/>
      <c r="R17915" s="19" t="n"/>
      <c r="Y17915" s="19" t="n"/>
    </row>
    <row r="17916">
      <c r="C17916" s="18" t="n"/>
      <c r="J17916" s="19" t="n"/>
      <c r="P17916" s="20" t="n"/>
      <c r="Q17916" s="19" t="n"/>
      <c r="R17916" s="19" t="n"/>
      <c r="Y17916" s="19" t="n"/>
    </row>
    <row r="17917">
      <c r="C17917" s="18" t="n"/>
      <c r="J17917" s="19" t="n"/>
      <c r="P17917" s="20" t="n"/>
      <c r="Q17917" s="19" t="n"/>
      <c r="R17917" s="19" t="n"/>
      <c r="Y17917" s="19" t="n"/>
    </row>
    <row r="17918">
      <c r="C17918" s="18" t="n"/>
      <c r="J17918" s="19" t="n"/>
      <c r="P17918" s="20" t="n"/>
      <c r="Q17918" s="19" t="n"/>
      <c r="R17918" s="19" t="n"/>
      <c r="Y17918" s="19" t="n"/>
    </row>
    <row r="17919">
      <c r="C17919" s="18" t="n"/>
      <c r="J17919" s="19" t="n"/>
      <c r="P17919" s="20" t="n"/>
      <c r="Q17919" s="19" t="n"/>
      <c r="R17919" s="19" t="n"/>
      <c r="Y17919" s="19" t="n"/>
    </row>
    <row r="17920">
      <c r="C17920" s="18" t="n"/>
      <c r="J17920" s="19" t="n"/>
      <c r="P17920" s="20" t="n"/>
      <c r="Q17920" s="19" t="n"/>
      <c r="R17920" s="19" t="n"/>
      <c r="Y17920" s="19" t="n"/>
    </row>
    <row r="17921">
      <c r="C17921" s="18" t="n"/>
      <c r="J17921" s="19" t="n"/>
      <c r="P17921" s="20" t="n"/>
      <c r="Q17921" s="19" t="n"/>
      <c r="R17921" s="19" t="n"/>
      <c r="Y17921" s="19" t="n"/>
    </row>
    <row r="17922">
      <c r="C17922" s="18" t="n"/>
      <c r="J17922" s="19" t="n"/>
      <c r="P17922" s="20" t="n"/>
      <c r="Q17922" s="19" t="n"/>
      <c r="R17922" s="19" t="n"/>
      <c r="Y17922" s="19" t="n"/>
    </row>
    <row r="17923">
      <c r="C17923" s="18" t="n"/>
      <c r="J17923" s="19" t="n"/>
      <c r="P17923" s="20" t="n"/>
      <c r="Q17923" s="19" t="n"/>
      <c r="R17923" s="19" t="n"/>
      <c r="Y17923" s="19" t="n"/>
    </row>
    <row r="17924">
      <c r="C17924" s="18" t="n"/>
      <c r="J17924" s="19" t="n"/>
      <c r="P17924" s="20" t="n"/>
      <c r="Q17924" s="19" t="n"/>
      <c r="R17924" s="19" t="n"/>
      <c r="Y17924" s="19" t="n"/>
    </row>
    <row r="17925">
      <c r="C17925" s="18" t="n"/>
      <c r="J17925" s="19" t="n"/>
      <c r="P17925" s="20" t="n"/>
      <c r="Q17925" s="19" t="n"/>
      <c r="R17925" s="19" t="n"/>
      <c r="Y17925" s="19" t="n"/>
    </row>
    <row r="17926">
      <c r="C17926" s="18" t="n"/>
      <c r="J17926" s="19" t="n"/>
      <c r="P17926" s="20" t="n"/>
      <c r="Q17926" s="19" t="n"/>
      <c r="R17926" s="19" t="n"/>
      <c r="Y17926" s="19" t="n"/>
    </row>
    <row r="17927">
      <c r="C17927" s="18" t="n"/>
      <c r="J17927" s="19" t="n"/>
      <c r="P17927" s="20" t="n"/>
      <c r="Q17927" s="19" t="n"/>
      <c r="R17927" s="19" t="n"/>
      <c r="Y17927" s="19" t="n"/>
    </row>
    <row r="17928">
      <c r="C17928" s="18" t="n"/>
      <c r="J17928" s="19" t="n"/>
      <c r="P17928" s="20" t="n"/>
      <c r="Q17928" s="19" t="n"/>
      <c r="R17928" s="19" t="n"/>
      <c r="Y17928" s="19" t="n"/>
    </row>
    <row r="17929">
      <c r="C17929" s="18" t="n"/>
      <c r="J17929" s="19" t="n"/>
      <c r="P17929" s="20" t="n"/>
      <c r="Q17929" s="19" t="n"/>
      <c r="R17929" s="19" t="n"/>
      <c r="Y17929" s="19" t="n"/>
    </row>
    <row r="17930">
      <c r="C17930" s="18" t="n"/>
      <c r="J17930" s="19" t="n"/>
      <c r="P17930" s="20" t="n"/>
      <c r="Q17930" s="19" t="n"/>
      <c r="R17930" s="19" t="n"/>
      <c r="Y17930" s="19" t="n"/>
    </row>
    <row r="17931">
      <c r="C17931" s="18" t="n"/>
      <c r="J17931" s="19" t="n"/>
      <c r="P17931" s="20" t="n"/>
      <c r="Q17931" s="19" t="n"/>
      <c r="R17931" s="19" t="n"/>
      <c r="Y17931" s="19" t="n"/>
    </row>
    <row r="17932">
      <c r="C17932" s="18" t="n"/>
      <c r="J17932" s="19" t="n"/>
      <c r="P17932" s="20" t="n"/>
      <c r="Q17932" s="19" t="n"/>
      <c r="R17932" s="19" t="n"/>
      <c r="Y17932" s="19" t="n"/>
    </row>
    <row r="17933">
      <c r="C17933" s="18" t="n"/>
      <c r="J17933" s="19" t="n"/>
      <c r="P17933" s="20" t="n"/>
      <c r="Q17933" s="19" t="n"/>
      <c r="R17933" s="19" t="n"/>
      <c r="Y17933" s="19" t="n"/>
    </row>
    <row r="17934">
      <c r="C17934" s="18" t="n"/>
      <c r="J17934" s="19" t="n"/>
      <c r="P17934" s="20" t="n"/>
      <c r="Q17934" s="19" t="n"/>
      <c r="R17934" s="19" t="n"/>
      <c r="Y17934" s="19" t="n"/>
    </row>
    <row r="17935">
      <c r="C17935" s="18" t="n"/>
      <c r="J17935" s="19" t="n"/>
      <c r="P17935" s="20" t="n"/>
      <c r="Q17935" s="19" t="n"/>
      <c r="R17935" s="19" t="n"/>
      <c r="Y17935" s="19" t="n"/>
    </row>
    <row r="17936">
      <c r="C17936" s="18" t="n"/>
      <c r="J17936" s="19" t="n"/>
      <c r="P17936" s="20" t="n"/>
      <c r="Q17936" s="19" t="n"/>
      <c r="R17936" s="19" t="n"/>
      <c r="Y17936" s="19" t="n"/>
    </row>
    <row r="17937">
      <c r="C17937" s="18" t="n"/>
      <c r="J17937" s="19" t="n"/>
      <c r="P17937" s="20" t="n"/>
      <c r="Q17937" s="19" t="n"/>
      <c r="R17937" s="19" t="n"/>
      <c r="Y17937" s="19" t="n"/>
    </row>
    <row r="17938">
      <c r="C17938" s="18" t="n"/>
      <c r="J17938" s="19" t="n"/>
      <c r="P17938" s="20" t="n"/>
      <c r="Q17938" s="19" t="n"/>
      <c r="R17938" s="19" t="n"/>
      <c r="Y17938" s="19" t="n"/>
    </row>
    <row r="17939">
      <c r="C17939" s="18" t="n"/>
      <c r="J17939" s="19" t="n"/>
      <c r="P17939" s="20" t="n"/>
      <c r="Q17939" s="19" t="n"/>
      <c r="R17939" s="19" t="n"/>
      <c r="Y17939" s="19" t="n"/>
    </row>
    <row r="17940">
      <c r="C17940" s="18" t="n"/>
      <c r="J17940" s="19" t="n"/>
      <c r="P17940" s="20" t="n"/>
      <c r="Q17940" s="19" t="n"/>
      <c r="R17940" s="19" t="n"/>
      <c r="Y17940" s="19" t="n"/>
    </row>
    <row r="17941">
      <c r="C17941" s="18" t="n"/>
      <c r="J17941" s="19" t="n"/>
      <c r="P17941" s="20" t="n"/>
      <c r="Q17941" s="19" t="n"/>
      <c r="R17941" s="19" t="n"/>
      <c r="Y17941" s="19" t="n"/>
    </row>
    <row r="17942">
      <c r="C17942" s="18" t="n"/>
      <c r="J17942" s="19" t="n"/>
      <c r="P17942" s="20" t="n"/>
      <c r="Q17942" s="19" t="n"/>
      <c r="R17942" s="19" t="n"/>
      <c r="Y17942" s="19" t="n"/>
    </row>
    <row r="17943">
      <c r="C17943" s="18" t="n"/>
      <c r="J17943" s="19" t="n"/>
      <c r="P17943" s="20" t="n"/>
      <c r="Q17943" s="19" t="n"/>
      <c r="R17943" s="19" t="n"/>
      <c r="Y17943" s="19" t="n"/>
    </row>
    <row r="17944">
      <c r="C17944" s="18" t="n"/>
      <c r="J17944" s="19" t="n"/>
      <c r="P17944" s="20" t="n"/>
      <c r="Q17944" s="19" t="n"/>
      <c r="R17944" s="19" t="n"/>
      <c r="Y17944" s="19" t="n"/>
    </row>
    <row r="17945">
      <c r="C17945" s="18" t="n"/>
      <c r="J17945" s="19" t="n"/>
      <c r="P17945" s="20" t="n"/>
      <c r="Q17945" s="19" t="n"/>
      <c r="R17945" s="19" t="n"/>
      <c r="Y17945" s="19" t="n"/>
    </row>
    <row r="17946">
      <c r="C17946" s="18" t="n"/>
      <c r="J17946" s="19" t="n"/>
      <c r="P17946" s="20" t="n"/>
      <c r="Q17946" s="19" t="n"/>
      <c r="R17946" s="19" t="n"/>
      <c r="Y17946" s="19" t="n"/>
    </row>
    <row r="17947">
      <c r="C17947" s="18" t="n"/>
      <c r="J17947" s="19" t="n"/>
      <c r="P17947" s="20" t="n"/>
      <c r="Q17947" s="19" t="n"/>
      <c r="R17947" s="19" t="n"/>
      <c r="Y17947" s="19" t="n"/>
    </row>
    <row r="17948">
      <c r="C17948" s="18" t="n"/>
      <c r="J17948" s="19" t="n"/>
      <c r="P17948" s="20" t="n"/>
      <c r="Q17948" s="19" t="n"/>
      <c r="R17948" s="19" t="n"/>
      <c r="Y17948" s="19" t="n"/>
    </row>
    <row r="17949">
      <c r="C17949" s="18" t="n"/>
      <c r="J17949" s="19" t="n"/>
      <c r="P17949" s="20" t="n"/>
      <c r="Q17949" s="19" t="n"/>
      <c r="R17949" s="19" t="n"/>
      <c r="Y17949" s="19" t="n"/>
    </row>
    <row r="17950">
      <c r="C17950" s="18" t="n"/>
      <c r="J17950" s="19" t="n"/>
      <c r="P17950" s="20" t="n"/>
      <c r="Q17950" s="19" t="n"/>
      <c r="R17950" s="19" t="n"/>
      <c r="Y17950" s="19" t="n"/>
    </row>
    <row r="17951">
      <c r="C17951" s="18" t="n"/>
      <c r="J17951" s="19" t="n"/>
      <c r="P17951" s="20" t="n"/>
      <c r="Q17951" s="19" t="n"/>
      <c r="R17951" s="19" t="n"/>
      <c r="Y17951" s="19" t="n"/>
    </row>
    <row r="17952">
      <c r="C17952" s="18" t="n"/>
      <c r="J17952" s="19" t="n"/>
      <c r="P17952" s="20" t="n"/>
      <c r="Q17952" s="19" t="n"/>
      <c r="R17952" s="19" t="n"/>
      <c r="Y17952" s="19" t="n"/>
    </row>
    <row r="17953">
      <c r="C17953" s="18" t="n"/>
      <c r="J17953" s="19" t="n"/>
      <c r="P17953" s="20" t="n"/>
      <c r="Q17953" s="19" t="n"/>
      <c r="R17953" s="19" t="n"/>
      <c r="Y17953" s="19" t="n"/>
    </row>
    <row r="17954">
      <c r="C17954" s="18" t="n"/>
      <c r="J17954" s="19" t="n"/>
      <c r="P17954" s="20" t="n"/>
      <c r="Q17954" s="19" t="n"/>
      <c r="R17954" s="19" t="n"/>
      <c r="Y17954" s="19" t="n"/>
    </row>
    <row r="17955">
      <c r="C17955" s="18" t="n"/>
      <c r="J17955" s="19" t="n"/>
      <c r="P17955" s="20" t="n"/>
      <c r="Q17955" s="19" t="n"/>
      <c r="R17955" s="19" t="n"/>
      <c r="Y17955" s="19" t="n"/>
    </row>
    <row r="17956">
      <c r="C17956" s="18" t="n"/>
      <c r="J17956" s="19" t="n"/>
      <c r="P17956" s="20" t="n"/>
      <c r="Q17956" s="19" t="n"/>
      <c r="R17956" s="19" t="n"/>
      <c r="Y17956" s="19" t="n"/>
    </row>
    <row r="17957">
      <c r="C17957" s="18" t="n"/>
      <c r="J17957" s="19" t="n"/>
      <c r="P17957" s="20" t="n"/>
      <c r="Q17957" s="19" t="n"/>
      <c r="R17957" s="19" t="n"/>
      <c r="Y17957" s="19" t="n"/>
    </row>
    <row r="17958">
      <c r="C17958" s="18" t="n"/>
      <c r="J17958" s="19" t="n"/>
      <c r="P17958" s="20" t="n"/>
      <c r="Q17958" s="19" t="n"/>
      <c r="R17958" s="19" t="n"/>
      <c r="Y17958" s="19" t="n"/>
    </row>
    <row r="17959">
      <c r="C17959" s="18" t="n"/>
      <c r="J17959" s="19" t="n"/>
      <c r="P17959" s="20" t="n"/>
      <c r="Q17959" s="19" t="n"/>
      <c r="R17959" s="19" t="n"/>
      <c r="Y17959" s="19" t="n"/>
    </row>
    <row r="17960">
      <c r="C17960" s="18" t="n"/>
      <c r="J17960" s="19" t="n"/>
      <c r="P17960" s="20" t="n"/>
      <c r="Q17960" s="19" t="n"/>
      <c r="R17960" s="19" t="n"/>
      <c r="Y17960" s="19" t="n"/>
    </row>
    <row r="17961">
      <c r="C17961" s="18" t="n"/>
      <c r="J17961" s="19" t="n"/>
      <c r="P17961" s="20" t="n"/>
      <c r="Q17961" s="19" t="n"/>
      <c r="R17961" s="19" t="n"/>
      <c r="Y17961" s="19" t="n"/>
    </row>
    <row r="17962">
      <c r="C17962" s="18" t="n"/>
      <c r="J17962" s="19" t="n"/>
      <c r="P17962" s="20" t="n"/>
      <c r="Q17962" s="19" t="n"/>
      <c r="R17962" s="19" t="n"/>
      <c r="Y17962" s="19" t="n"/>
    </row>
    <row r="17963">
      <c r="C17963" s="18" t="n"/>
      <c r="J17963" s="19" t="n"/>
      <c r="P17963" s="20" t="n"/>
      <c r="Q17963" s="19" t="n"/>
      <c r="R17963" s="19" t="n"/>
      <c r="Y17963" s="19" t="n"/>
    </row>
    <row r="17964">
      <c r="C17964" s="18" t="n"/>
      <c r="J17964" s="19" t="n"/>
      <c r="P17964" s="20" t="n"/>
      <c r="Q17964" s="19" t="n"/>
      <c r="R17964" s="19" t="n"/>
      <c r="Y17964" s="19" t="n"/>
    </row>
    <row r="17965">
      <c r="C17965" s="18" t="n"/>
      <c r="J17965" s="19" t="n"/>
      <c r="P17965" s="20" t="n"/>
      <c r="Q17965" s="19" t="n"/>
      <c r="R17965" s="19" t="n"/>
      <c r="Y17965" s="19" t="n"/>
    </row>
    <row r="17966">
      <c r="C17966" s="18" t="n"/>
      <c r="J17966" s="19" t="n"/>
      <c r="P17966" s="20" t="n"/>
      <c r="Q17966" s="19" t="n"/>
      <c r="R17966" s="19" t="n"/>
      <c r="Y17966" s="19" t="n"/>
    </row>
    <row r="17967">
      <c r="C17967" s="18" t="n"/>
      <c r="J17967" s="19" t="n"/>
      <c r="P17967" s="20" t="n"/>
      <c r="Q17967" s="19" t="n"/>
      <c r="R17967" s="19" t="n"/>
      <c r="Y17967" s="19" t="n"/>
    </row>
    <row r="17968">
      <c r="C17968" s="18" t="n"/>
      <c r="J17968" s="19" t="n"/>
      <c r="P17968" s="20" t="n"/>
      <c r="Q17968" s="19" t="n"/>
      <c r="R17968" s="19" t="n"/>
      <c r="Y17968" s="19" t="n"/>
    </row>
    <row r="17969">
      <c r="C17969" s="18" t="n"/>
      <c r="J17969" s="19" t="n"/>
      <c r="P17969" s="20" t="n"/>
      <c r="Q17969" s="19" t="n"/>
      <c r="R17969" s="19" t="n"/>
      <c r="Y17969" s="19" t="n"/>
    </row>
    <row r="17970">
      <c r="C17970" s="18" t="n"/>
      <c r="J17970" s="19" t="n"/>
      <c r="P17970" s="20" t="n"/>
      <c r="Q17970" s="19" t="n"/>
      <c r="R17970" s="19" t="n"/>
      <c r="Y17970" s="19" t="n"/>
    </row>
    <row r="17971">
      <c r="C17971" s="18" t="n"/>
      <c r="J17971" s="19" t="n"/>
      <c r="P17971" s="20" t="n"/>
      <c r="Q17971" s="19" t="n"/>
      <c r="R17971" s="19" t="n"/>
      <c r="Y17971" s="19" t="n"/>
    </row>
    <row r="17972">
      <c r="C17972" s="18" t="n"/>
      <c r="J17972" s="19" t="n"/>
      <c r="P17972" s="20" t="n"/>
      <c r="Q17972" s="19" t="n"/>
      <c r="R17972" s="19" t="n"/>
      <c r="Y17972" s="19" t="n"/>
    </row>
    <row r="17973">
      <c r="C17973" s="18" t="n"/>
      <c r="J17973" s="19" t="n"/>
      <c r="P17973" s="20" t="n"/>
      <c r="Q17973" s="19" t="n"/>
      <c r="R17973" s="19" t="n"/>
      <c r="Y17973" s="19" t="n"/>
    </row>
    <row r="17974">
      <c r="C17974" s="18" t="n"/>
      <c r="J17974" s="19" t="n"/>
      <c r="P17974" s="20" t="n"/>
      <c r="Q17974" s="19" t="n"/>
      <c r="R17974" s="19" t="n"/>
      <c r="Y17974" s="19" t="n"/>
    </row>
    <row r="17975">
      <c r="C17975" s="18" t="n"/>
      <c r="J17975" s="19" t="n"/>
      <c r="P17975" s="20" t="n"/>
      <c r="Q17975" s="19" t="n"/>
      <c r="R17975" s="19" t="n"/>
      <c r="Y17975" s="19" t="n"/>
    </row>
    <row r="17976">
      <c r="C17976" s="18" t="n"/>
      <c r="J17976" s="19" t="n"/>
      <c r="P17976" s="20" t="n"/>
      <c r="Q17976" s="19" t="n"/>
      <c r="R17976" s="19" t="n"/>
      <c r="Y17976" s="19" t="n"/>
    </row>
    <row r="17977">
      <c r="C17977" s="18" t="n"/>
      <c r="J17977" s="19" t="n"/>
      <c r="P17977" s="20" t="n"/>
      <c r="Q17977" s="19" t="n"/>
      <c r="R17977" s="19" t="n"/>
      <c r="Y17977" s="19" t="n"/>
    </row>
    <row r="17978">
      <c r="C17978" s="18" t="n"/>
      <c r="J17978" s="19" t="n"/>
      <c r="P17978" s="20" t="n"/>
      <c r="Q17978" s="19" t="n"/>
      <c r="R17978" s="19" t="n"/>
      <c r="Y17978" s="19" t="n"/>
    </row>
    <row r="17979">
      <c r="C17979" s="18" t="n"/>
      <c r="J17979" s="19" t="n"/>
      <c r="P17979" s="20" t="n"/>
      <c r="Q17979" s="19" t="n"/>
      <c r="R17979" s="19" t="n"/>
      <c r="Y17979" s="19" t="n"/>
    </row>
    <row r="17980">
      <c r="C17980" s="18" t="n"/>
      <c r="J17980" s="19" t="n"/>
      <c r="P17980" s="20" t="n"/>
      <c r="Q17980" s="19" t="n"/>
      <c r="R17980" s="19" t="n"/>
      <c r="Y17980" s="19" t="n"/>
    </row>
    <row r="17981">
      <c r="C17981" s="18" t="n"/>
      <c r="J17981" s="19" t="n"/>
      <c r="P17981" s="20" t="n"/>
      <c r="Q17981" s="19" t="n"/>
      <c r="R17981" s="19" t="n"/>
      <c r="Y17981" s="19" t="n"/>
    </row>
    <row r="17982">
      <c r="C17982" s="18" t="n"/>
      <c r="J17982" s="19" t="n"/>
      <c r="P17982" s="20" t="n"/>
      <c r="Q17982" s="19" t="n"/>
      <c r="R17982" s="19" t="n"/>
      <c r="Y17982" s="19" t="n"/>
    </row>
    <row r="17983">
      <c r="C17983" s="18" t="n"/>
      <c r="J17983" s="19" t="n"/>
      <c r="P17983" s="20" t="n"/>
      <c r="Q17983" s="19" t="n"/>
      <c r="R17983" s="19" t="n"/>
      <c r="Y17983" s="19" t="n"/>
    </row>
    <row r="17984">
      <c r="C17984" s="18" t="n"/>
      <c r="J17984" s="19" t="n"/>
      <c r="P17984" s="20" t="n"/>
      <c r="Q17984" s="19" t="n"/>
      <c r="R17984" s="19" t="n"/>
      <c r="Y17984" s="19" t="n"/>
    </row>
    <row r="17985">
      <c r="C17985" s="18" t="n"/>
      <c r="J17985" s="19" t="n"/>
      <c r="P17985" s="20" t="n"/>
      <c r="Q17985" s="19" t="n"/>
      <c r="R17985" s="19" t="n"/>
      <c r="Y17985" s="19" t="n"/>
    </row>
    <row r="17986">
      <c r="C17986" s="18" t="n"/>
      <c r="J17986" s="19" t="n"/>
      <c r="P17986" s="20" t="n"/>
      <c r="Q17986" s="19" t="n"/>
      <c r="R17986" s="19" t="n"/>
      <c r="Y17986" s="19" t="n"/>
    </row>
    <row r="17987">
      <c r="C17987" s="18" t="n"/>
      <c r="J17987" s="19" t="n"/>
      <c r="P17987" s="20" t="n"/>
      <c r="Q17987" s="19" t="n"/>
      <c r="R17987" s="19" t="n"/>
      <c r="Y17987" s="19" t="n"/>
    </row>
    <row r="17988">
      <c r="C17988" s="18" t="n"/>
      <c r="J17988" s="19" t="n"/>
      <c r="P17988" s="20" t="n"/>
      <c r="Q17988" s="19" t="n"/>
      <c r="R17988" s="19" t="n"/>
      <c r="Y17988" s="19" t="n"/>
    </row>
    <row r="17989">
      <c r="C17989" s="18" t="n"/>
      <c r="J17989" s="19" t="n"/>
      <c r="P17989" s="20" t="n"/>
      <c r="Q17989" s="19" t="n"/>
      <c r="R17989" s="19" t="n"/>
      <c r="Y17989" s="19" t="n"/>
    </row>
    <row r="17990">
      <c r="C17990" s="18" t="n"/>
      <c r="J17990" s="19" t="n"/>
      <c r="P17990" s="20" t="n"/>
      <c r="Q17990" s="19" t="n"/>
      <c r="R17990" s="19" t="n"/>
      <c r="Y17990" s="19" t="n"/>
    </row>
    <row r="17991">
      <c r="C17991" s="18" t="n"/>
      <c r="J17991" s="19" t="n"/>
      <c r="P17991" s="20" t="n"/>
      <c r="Q17991" s="19" t="n"/>
      <c r="R17991" s="19" t="n"/>
      <c r="Y17991" s="19" t="n"/>
    </row>
    <row r="17992">
      <c r="C17992" s="18" t="n"/>
      <c r="J17992" s="19" t="n"/>
      <c r="P17992" s="20" t="n"/>
      <c r="Q17992" s="19" t="n"/>
      <c r="R17992" s="19" t="n"/>
      <c r="Y17992" s="19" t="n"/>
    </row>
    <row r="17993">
      <c r="C17993" s="18" t="n"/>
      <c r="J17993" s="19" t="n"/>
      <c r="P17993" s="20" t="n"/>
      <c r="Q17993" s="19" t="n"/>
      <c r="R17993" s="19" t="n"/>
      <c r="Y17993" s="19" t="n"/>
    </row>
    <row r="17994">
      <c r="C17994" s="18" t="n"/>
      <c r="J17994" s="19" t="n"/>
      <c r="P17994" s="20" t="n"/>
      <c r="Q17994" s="19" t="n"/>
      <c r="R17994" s="19" t="n"/>
      <c r="Y17994" s="19" t="n"/>
    </row>
    <row r="17995">
      <c r="C17995" s="18" t="n"/>
      <c r="J17995" s="19" t="n"/>
      <c r="P17995" s="20" t="n"/>
      <c r="Q17995" s="19" t="n"/>
      <c r="R17995" s="19" t="n"/>
      <c r="Y17995" s="19" t="n"/>
    </row>
    <row r="17996">
      <c r="C17996" s="18" t="n"/>
      <c r="J17996" s="19" t="n"/>
      <c r="P17996" s="20" t="n"/>
      <c r="Q17996" s="19" t="n"/>
      <c r="R17996" s="19" t="n"/>
      <c r="Y17996" s="19" t="n"/>
    </row>
    <row r="17997">
      <c r="C17997" s="18" t="n"/>
      <c r="J17997" s="19" t="n"/>
      <c r="P17997" s="20" t="n"/>
      <c r="Q17997" s="19" t="n"/>
      <c r="R17997" s="19" t="n"/>
      <c r="Y17997" s="19" t="n"/>
    </row>
    <row r="17998">
      <c r="C17998" s="18" t="n"/>
      <c r="J17998" s="19" t="n"/>
      <c r="P17998" s="20" t="n"/>
      <c r="Q17998" s="19" t="n"/>
      <c r="R17998" s="19" t="n"/>
      <c r="Y17998" s="19" t="n"/>
    </row>
    <row r="17999">
      <c r="C17999" s="18" t="n"/>
      <c r="J17999" s="19" t="n"/>
      <c r="P17999" s="20" t="n"/>
      <c r="Q17999" s="19" t="n"/>
      <c r="R17999" s="19" t="n"/>
      <c r="Y17999" s="19" t="n"/>
    </row>
    <row r="18000">
      <c r="C18000" s="18" t="n"/>
      <c r="J18000" s="19" t="n"/>
      <c r="P18000" s="20" t="n"/>
      <c r="Q18000" s="19" t="n"/>
      <c r="R18000" s="19" t="n"/>
      <c r="Y18000" s="19" t="n"/>
    </row>
    <row r="18001">
      <c r="C18001" s="18" t="n"/>
      <c r="J18001" s="19" t="n"/>
      <c r="P18001" s="20" t="n"/>
      <c r="Q18001" s="19" t="n"/>
      <c r="R18001" s="19" t="n"/>
      <c r="Y18001" s="19" t="n"/>
    </row>
    <row r="18002">
      <c r="C18002" s="18" t="n"/>
      <c r="J18002" s="19" t="n"/>
      <c r="P18002" s="20" t="n"/>
      <c r="Q18002" s="19" t="n"/>
      <c r="R18002" s="19" t="n"/>
      <c r="Y18002" s="19" t="n"/>
    </row>
    <row r="18003">
      <c r="C18003" s="18" t="n"/>
      <c r="J18003" s="19" t="n"/>
      <c r="P18003" s="20" t="n"/>
      <c r="Q18003" s="19" t="n"/>
      <c r="R18003" s="19" t="n"/>
      <c r="Y18003" s="19" t="n"/>
    </row>
    <row r="18004">
      <c r="C18004" s="18" t="n"/>
      <c r="J18004" s="19" t="n"/>
      <c r="P18004" s="20" t="n"/>
      <c r="Q18004" s="19" t="n"/>
      <c r="R18004" s="19" t="n"/>
      <c r="Y18004" s="19" t="n"/>
    </row>
    <row r="18005">
      <c r="C18005" s="18" t="n"/>
      <c r="J18005" s="19" t="n"/>
      <c r="P18005" s="20" t="n"/>
      <c r="Q18005" s="19" t="n"/>
      <c r="R18005" s="19" t="n"/>
      <c r="Y18005" s="19" t="n"/>
    </row>
    <row r="18006">
      <c r="C18006" s="18" t="n"/>
      <c r="J18006" s="19" t="n"/>
      <c r="P18006" s="20" t="n"/>
      <c r="Q18006" s="19" t="n"/>
      <c r="R18006" s="19" t="n"/>
      <c r="Y18006" s="19" t="n"/>
    </row>
    <row r="18007">
      <c r="C18007" s="18" t="n"/>
      <c r="J18007" s="19" t="n"/>
      <c r="P18007" s="20" t="n"/>
      <c r="Q18007" s="19" t="n"/>
      <c r="R18007" s="19" t="n"/>
      <c r="Y18007" s="19" t="n"/>
    </row>
    <row r="18008">
      <c r="C18008" s="18" t="n"/>
      <c r="J18008" s="19" t="n"/>
      <c r="P18008" s="20" t="n"/>
      <c r="Q18008" s="19" t="n"/>
      <c r="R18008" s="19" t="n"/>
      <c r="Y18008" s="19" t="n"/>
    </row>
    <row r="18009">
      <c r="C18009" s="18" t="n"/>
      <c r="J18009" s="19" t="n"/>
      <c r="P18009" s="20" t="n"/>
      <c r="Q18009" s="19" t="n"/>
      <c r="R18009" s="19" t="n"/>
      <c r="Y18009" s="19" t="n"/>
    </row>
    <row r="18010">
      <c r="C18010" s="18" t="n"/>
      <c r="J18010" s="19" t="n"/>
      <c r="P18010" s="20" t="n"/>
      <c r="Q18010" s="19" t="n"/>
      <c r="R18010" s="19" t="n"/>
      <c r="Y18010" s="19" t="n"/>
    </row>
    <row r="18011">
      <c r="C18011" s="18" t="n"/>
      <c r="J18011" s="19" t="n"/>
      <c r="P18011" s="20" t="n"/>
      <c r="Q18011" s="19" t="n"/>
      <c r="R18011" s="19" t="n"/>
      <c r="Y18011" s="19" t="n"/>
    </row>
    <row r="18012">
      <c r="C18012" s="18" t="n"/>
      <c r="J18012" s="19" t="n"/>
      <c r="P18012" s="20" t="n"/>
      <c r="Q18012" s="19" t="n"/>
      <c r="R18012" s="19" t="n"/>
      <c r="Y18012" s="19" t="n"/>
    </row>
    <row r="18013">
      <c r="C18013" s="18" t="n"/>
      <c r="J18013" s="19" t="n"/>
      <c r="P18013" s="20" t="n"/>
      <c r="Q18013" s="19" t="n"/>
      <c r="R18013" s="19" t="n"/>
      <c r="Y18013" s="19" t="n"/>
    </row>
    <row r="18014">
      <c r="C18014" s="18" t="n"/>
      <c r="J18014" s="19" t="n"/>
      <c r="P18014" s="20" t="n"/>
      <c r="Q18014" s="19" t="n"/>
      <c r="R18014" s="19" t="n"/>
      <c r="Y18014" s="19" t="n"/>
    </row>
    <row r="18015">
      <c r="C18015" s="18" t="n"/>
      <c r="J18015" s="19" t="n"/>
      <c r="P18015" s="20" t="n"/>
      <c r="Q18015" s="19" t="n"/>
      <c r="R18015" s="19" t="n"/>
      <c r="Y18015" s="19" t="n"/>
    </row>
    <row r="18016">
      <c r="C18016" s="18" t="n"/>
      <c r="J18016" s="19" t="n"/>
      <c r="P18016" s="20" t="n"/>
      <c r="Q18016" s="19" t="n"/>
      <c r="R18016" s="19" t="n"/>
      <c r="Y18016" s="19" t="n"/>
    </row>
    <row r="18017">
      <c r="C18017" s="18" t="n"/>
      <c r="J18017" s="19" t="n"/>
      <c r="P18017" s="20" t="n"/>
      <c r="Q18017" s="19" t="n"/>
      <c r="R18017" s="19" t="n"/>
      <c r="Y18017" s="19" t="n"/>
    </row>
    <row r="18018">
      <c r="C18018" s="18" t="n"/>
      <c r="J18018" s="19" t="n"/>
      <c r="P18018" s="20" t="n"/>
      <c r="Q18018" s="19" t="n"/>
      <c r="R18018" s="19" t="n"/>
      <c r="Y18018" s="19" t="n"/>
    </row>
    <row r="18019">
      <c r="C18019" s="18" t="n"/>
      <c r="J18019" s="19" t="n"/>
      <c r="P18019" s="20" t="n"/>
      <c r="Q18019" s="19" t="n"/>
      <c r="R18019" s="19" t="n"/>
      <c r="Y18019" s="19" t="n"/>
    </row>
    <row r="18020">
      <c r="C18020" s="18" t="n"/>
      <c r="J18020" s="19" t="n"/>
      <c r="P18020" s="20" t="n"/>
      <c r="Q18020" s="19" t="n"/>
      <c r="R18020" s="19" t="n"/>
      <c r="Y18020" s="19" t="n"/>
    </row>
    <row r="18021">
      <c r="C18021" s="18" t="n"/>
      <c r="J18021" s="19" t="n"/>
      <c r="P18021" s="20" t="n"/>
      <c r="Q18021" s="19" t="n"/>
      <c r="R18021" s="19" t="n"/>
      <c r="Y18021" s="19" t="n"/>
    </row>
    <row r="18022">
      <c r="C18022" s="18" t="n"/>
      <c r="J18022" s="19" t="n"/>
      <c r="P18022" s="20" t="n"/>
      <c r="Q18022" s="19" t="n"/>
      <c r="R18022" s="19" t="n"/>
      <c r="Y18022" s="19" t="n"/>
    </row>
    <row r="18023">
      <c r="C18023" s="18" t="n"/>
      <c r="J18023" s="19" t="n"/>
      <c r="P18023" s="20" t="n"/>
      <c r="Q18023" s="19" t="n"/>
      <c r="R18023" s="19" t="n"/>
      <c r="Y18023" s="19" t="n"/>
    </row>
    <row r="18024">
      <c r="C18024" s="18" t="n"/>
      <c r="J18024" s="19" t="n"/>
      <c r="P18024" s="20" t="n"/>
      <c r="Q18024" s="19" t="n"/>
      <c r="R18024" s="19" t="n"/>
      <c r="Y18024" s="19" t="n"/>
    </row>
    <row r="18025">
      <c r="C18025" s="18" t="n"/>
      <c r="J18025" s="19" t="n"/>
      <c r="P18025" s="20" t="n"/>
      <c r="Q18025" s="19" t="n"/>
      <c r="R18025" s="19" t="n"/>
      <c r="Y18025" s="19" t="n"/>
    </row>
    <row r="18026">
      <c r="C18026" s="18" t="n"/>
      <c r="J18026" s="19" t="n"/>
      <c r="P18026" s="20" t="n"/>
      <c r="Q18026" s="19" t="n"/>
      <c r="R18026" s="19" t="n"/>
      <c r="Y18026" s="19" t="n"/>
    </row>
    <row r="18027">
      <c r="C18027" s="18" t="n"/>
      <c r="J18027" s="19" t="n"/>
      <c r="P18027" s="20" t="n"/>
      <c r="Q18027" s="19" t="n"/>
      <c r="R18027" s="19" t="n"/>
      <c r="Y18027" s="19" t="n"/>
    </row>
    <row r="18028">
      <c r="C18028" s="18" t="n"/>
      <c r="J18028" s="19" t="n"/>
      <c r="P18028" s="20" t="n"/>
      <c r="Q18028" s="19" t="n"/>
      <c r="R18028" s="19" t="n"/>
      <c r="Y18028" s="19" t="n"/>
    </row>
    <row r="18029">
      <c r="C18029" s="18" t="n"/>
      <c r="J18029" s="19" t="n"/>
      <c r="P18029" s="20" t="n"/>
      <c r="Q18029" s="19" t="n"/>
      <c r="R18029" s="19" t="n"/>
      <c r="Y18029" s="19" t="n"/>
    </row>
    <row r="18030">
      <c r="C18030" s="18" t="n"/>
      <c r="J18030" s="19" t="n"/>
      <c r="P18030" s="20" t="n"/>
      <c r="Q18030" s="19" t="n"/>
      <c r="R18030" s="19" t="n"/>
      <c r="Y18030" s="19" t="n"/>
    </row>
    <row r="18031">
      <c r="C18031" s="18" t="n"/>
      <c r="J18031" s="19" t="n"/>
      <c r="P18031" s="20" t="n"/>
      <c r="Q18031" s="19" t="n"/>
      <c r="R18031" s="19" t="n"/>
      <c r="Y18031" s="19" t="n"/>
    </row>
    <row r="18032">
      <c r="C18032" s="18" t="n"/>
      <c r="J18032" s="19" t="n"/>
      <c r="P18032" s="20" t="n"/>
      <c r="Q18032" s="19" t="n"/>
      <c r="R18032" s="19" t="n"/>
      <c r="Y18032" s="19" t="n"/>
    </row>
    <row r="18033">
      <c r="C18033" s="18" t="n"/>
      <c r="J18033" s="19" t="n"/>
      <c r="P18033" s="20" t="n"/>
      <c r="Q18033" s="19" t="n"/>
      <c r="R18033" s="19" t="n"/>
      <c r="Y18033" s="19" t="n"/>
    </row>
    <row r="18034">
      <c r="C18034" s="18" t="n"/>
      <c r="J18034" s="19" t="n"/>
      <c r="P18034" s="20" t="n"/>
      <c r="Q18034" s="19" t="n"/>
      <c r="R18034" s="19" t="n"/>
      <c r="Y18034" s="19" t="n"/>
    </row>
    <row r="18035">
      <c r="C18035" s="18" t="n"/>
      <c r="J18035" s="19" t="n"/>
      <c r="P18035" s="20" t="n"/>
      <c r="Q18035" s="19" t="n"/>
      <c r="R18035" s="19" t="n"/>
      <c r="Y18035" s="19" t="n"/>
    </row>
    <row r="18036">
      <c r="C18036" s="18" t="n"/>
      <c r="J18036" s="19" t="n"/>
      <c r="P18036" s="20" t="n"/>
      <c r="Q18036" s="19" t="n"/>
      <c r="R18036" s="19" t="n"/>
      <c r="Y18036" s="19" t="n"/>
    </row>
    <row r="18037">
      <c r="C18037" s="18" t="n"/>
      <c r="J18037" s="19" t="n"/>
      <c r="P18037" s="20" t="n"/>
      <c r="Q18037" s="19" t="n"/>
      <c r="R18037" s="19" t="n"/>
      <c r="Y18037" s="19" t="n"/>
    </row>
    <row r="18038">
      <c r="C18038" s="18" t="n"/>
      <c r="J18038" s="19" t="n"/>
      <c r="P18038" s="20" t="n"/>
      <c r="Q18038" s="19" t="n"/>
      <c r="R18038" s="19" t="n"/>
      <c r="Y18038" s="19" t="n"/>
    </row>
    <row r="18039">
      <c r="C18039" s="18" t="n"/>
      <c r="J18039" s="19" t="n"/>
      <c r="P18039" s="20" t="n"/>
      <c r="Q18039" s="19" t="n"/>
      <c r="R18039" s="19" t="n"/>
      <c r="Y18039" s="19" t="n"/>
    </row>
    <row r="18040">
      <c r="C18040" s="18" t="n"/>
      <c r="J18040" s="19" t="n"/>
      <c r="P18040" s="20" t="n"/>
      <c r="Q18040" s="19" t="n"/>
      <c r="R18040" s="19" t="n"/>
      <c r="Y18040" s="19" t="n"/>
    </row>
    <row r="18041">
      <c r="C18041" s="18" t="n"/>
      <c r="J18041" s="19" t="n"/>
      <c r="P18041" s="20" t="n"/>
      <c r="Q18041" s="19" t="n"/>
      <c r="R18041" s="19" t="n"/>
      <c r="Y18041" s="19" t="n"/>
    </row>
    <row r="18042">
      <c r="C18042" s="18" t="n"/>
      <c r="J18042" s="19" t="n"/>
      <c r="P18042" s="20" t="n"/>
      <c r="Q18042" s="19" t="n"/>
      <c r="R18042" s="19" t="n"/>
      <c r="Y18042" s="19" t="n"/>
    </row>
    <row r="18043">
      <c r="C18043" s="18" t="n"/>
      <c r="J18043" s="19" t="n"/>
      <c r="P18043" s="20" t="n"/>
      <c r="Q18043" s="19" t="n"/>
      <c r="R18043" s="19" t="n"/>
      <c r="Y18043" s="19" t="n"/>
    </row>
    <row r="18044">
      <c r="C18044" s="18" t="n"/>
      <c r="J18044" s="19" t="n"/>
      <c r="P18044" s="20" t="n"/>
      <c r="Q18044" s="19" t="n"/>
      <c r="R18044" s="19" t="n"/>
      <c r="Y18044" s="19" t="n"/>
    </row>
    <row r="18045">
      <c r="C18045" s="18" t="n"/>
      <c r="J18045" s="19" t="n"/>
      <c r="P18045" s="20" t="n"/>
      <c r="Q18045" s="19" t="n"/>
      <c r="R18045" s="19" t="n"/>
      <c r="Y18045" s="19" t="n"/>
    </row>
    <row r="18046">
      <c r="C18046" s="18" t="n"/>
      <c r="J18046" s="19" t="n"/>
      <c r="P18046" s="20" t="n"/>
      <c r="Q18046" s="19" t="n"/>
      <c r="R18046" s="19" t="n"/>
      <c r="Y18046" s="19" t="n"/>
    </row>
    <row r="18047">
      <c r="C18047" s="18" t="n"/>
      <c r="J18047" s="19" t="n"/>
      <c r="P18047" s="20" t="n"/>
      <c r="Q18047" s="19" t="n"/>
      <c r="R18047" s="19" t="n"/>
      <c r="Y18047" s="19" t="n"/>
    </row>
    <row r="18048">
      <c r="C18048" s="18" t="n"/>
      <c r="J18048" s="19" t="n"/>
      <c r="P18048" s="20" t="n"/>
      <c r="Q18048" s="19" t="n"/>
      <c r="R18048" s="19" t="n"/>
      <c r="Y18048" s="19" t="n"/>
    </row>
    <row r="18049">
      <c r="C18049" s="18" t="n"/>
      <c r="J18049" s="19" t="n"/>
      <c r="P18049" s="20" t="n"/>
      <c r="Q18049" s="19" t="n"/>
      <c r="R18049" s="19" t="n"/>
      <c r="Y18049" s="19" t="n"/>
    </row>
    <row r="18050">
      <c r="C18050" s="18" t="n"/>
      <c r="J18050" s="19" t="n"/>
      <c r="P18050" s="20" t="n"/>
      <c r="Q18050" s="19" t="n"/>
      <c r="R18050" s="19" t="n"/>
      <c r="Y18050" s="19" t="n"/>
    </row>
    <row r="18051">
      <c r="C18051" s="18" t="n"/>
      <c r="J18051" s="19" t="n"/>
      <c r="P18051" s="20" t="n"/>
      <c r="Q18051" s="19" t="n"/>
      <c r="R18051" s="19" t="n"/>
      <c r="Y18051" s="19" t="n"/>
    </row>
    <row r="18052">
      <c r="C18052" s="18" t="n"/>
      <c r="J18052" s="19" t="n"/>
      <c r="P18052" s="20" t="n"/>
      <c r="Q18052" s="19" t="n"/>
      <c r="R18052" s="19" t="n"/>
      <c r="Y18052" s="19" t="n"/>
    </row>
    <row r="18053">
      <c r="C18053" s="18" t="n"/>
      <c r="J18053" s="19" t="n"/>
      <c r="P18053" s="20" t="n"/>
      <c r="Q18053" s="19" t="n"/>
      <c r="R18053" s="19" t="n"/>
      <c r="Y18053" s="19" t="n"/>
    </row>
    <row r="18054">
      <c r="C18054" s="18" t="n"/>
      <c r="J18054" s="19" t="n"/>
      <c r="P18054" s="20" t="n"/>
      <c r="Q18054" s="19" t="n"/>
      <c r="R18054" s="19" t="n"/>
      <c r="Y18054" s="19" t="n"/>
    </row>
    <row r="18055">
      <c r="C18055" s="18" t="n"/>
      <c r="J18055" s="19" t="n"/>
      <c r="P18055" s="20" t="n"/>
      <c r="Q18055" s="19" t="n"/>
      <c r="R18055" s="19" t="n"/>
      <c r="Y18055" s="19" t="n"/>
    </row>
    <row r="18056">
      <c r="C18056" s="18" t="n"/>
      <c r="J18056" s="19" t="n"/>
      <c r="P18056" s="20" t="n"/>
      <c r="Q18056" s="19" t="n"/>
      <c r="R18056" s="19" t="n"/>
      <c r="Y18056" s="19" t="n"/>
    </row>
    <row r="18057">
      <c r="C18057" s="18" t="n"/>
      <c r="J18057" s="19" t="n"/>
      <c r="P18057" s="20" t="n"/>
      <c r="Q18057" s="19" t="n"/>
      <c r="R18057" s="19" t="n"/>
      <c r="Y18057" s="19" t="n"/>
    </row>
    <row r="18058">
      <c r="C18058" s="18" t="n"/>
      <c r="J18058" s="19" t="n"/>
      <c r="P18058" s="20" t="n"/>
      <c r="Q18058" s="19" t="n"/>
      <c r="R18058" s="19" t="n"/>
      <c r="Y18058" s="19" t="n"/>
    </row>
    <row r="18059">
      <c r="C18059" s="18" t="n"/>
      <c r="J18059" s="19" t="n"/>
      <c r="P18059" s="20" t="n"/>
      <c r="Q18059" s="19" t="n"/>
      <c r="R18059" s="19" t="n"/>
      <c r="Y18059" s="19" t="n"/>
    </row>
    <row r="18060">
      <c r="C18060" s="18" t="n"/>
      <c r="J18060" s="19" t="n"/>
      <c r="P18060" s="20" t="n"/>
      <c r="Q18060" s="19" t="n"/>
      <c r="R18060" s="19" t="n"/>
      <c r="Y18060" s="19" t="n"/>
    </row>
    <row r="18061">
      <c r="C18061" s="18" t="n"/>
      <c r="J18061" s="19" t="n"/>
      <c r="P18061" s="20" t="n"/>
      <c r="Q18061" s="19" t="n"/>
      <c r="R18061" s="19" t="n"/>
      <c r="Y18061" s="19" t="n"/>
    </row>
    <row r="18062">
      <c r="C18062" s="18" t="n"/>
      <c r="J18062" s="19" t="n"/>
      <c r="P18062" s="20" t="n"/>
      <c r="Q18062" s="19" t="n"/>
      <c r="R18062" s="19" t="n"/>
      <c r="Y18062" s="19" t="n"/>
    </row>
    <row r="18063">
      <c r="C18063" s="18" t="n"/>
      <c r="J18063" s="19" t="n"/>
      <c r="P18063" s="20" t="n"/>
      <c r="Q18063" s="19" t="n"/>
      <c r="R18063" s="19" t="n"/>
      <c r="Y18063" s="19" t="n"/>
    </row>
    <row r="18064">
      <c r="C18064" s="18" t="n"/>
      <c r="J18064" s="19" t="n"/>
      <c r="P18064" s="20" t="n"/>
      <c r="Q18064" s="19" t="n"/>
      <c r="R18064" s="19" t="n"/>
      <c r="Y18064" s="19" t="n"/>
    </row>
    <row r="18065">
      <c r="C18065" s="18" t="n"/>
      <c r="J18065" s="19" t="n"/>
      <c r="P18065" s="20" t="n"/>
      <c r="Q18065" s="19" t="n"/>
      <c r="R18065" s="19" t="n"/>
      <c r="Y18065" s="19" t="n"/>
    </row>
    <row r="18066">
      <c r="C18066" s="18" t="n"/>
      <c r="J18066" s="19" t="n"/>
      <c r="P18066" s="20" t="n"/>
      <c r="Q18066" s="19" t="n"/>
      <c r="R18066" s="19" t="n"/>
      <c r="Y18066" s="19" t="n"/>
    </row>
    <row r="18067">
      <c r="C18067" s="18" t="n"/>
      <c r="J18067" s="19" t="n"/>
      <c r="P18067" s="20" t="n"/>
      <c r="Q18067" s="19" t="n"/>
      <c r="R18067" s="19" t="n"/>
      <c r="Y18067" s="19" t="n"/>
    </row>
    <row r="18068">
      <c r="C18068" s="18" t="n"/>
      <c r="J18068" s="19" t="n"/>
      <c r="P18068" s="20" t="n"/>
      <c r="Q18068" s="19" t="n"/>
      <c r="R18068" s="19" t="n"/>
      <c r="Y18068" s="19" t="n"/>
    </row>
    <row r="18069">
      <c r="C18069" s="18" t="n"/>
      <c r="J18069" s="19" t="n"/>
      <c r="P18069" s="20" t="n"/>
      <c r="Q18069" s="19" t="n"/>
      <c r="R18069" s="19" t="n"/>
      <c r="Y18069" s="19" t="n"/>
    </row>
    <row r="18070">
      <c r="C18070" s="18" t="n"/>
      <c r="J18070" s="19" t="n"/>
      <c r="P18070" s="20" t="n"/>
      <c r="Q18070" s="19" t="n"/>
      <c r="R18070" s="19" t="n"/>
      <c r="Y18070" s="19" t="n"/>
    </row>
    <row r="18071">
      <c r="C18071" s="18" t="n"/>
      <c r="J18071" s="19" t="n"/>
      <c r="P18071" s="20" t="n"/>
      <c r="Q18071" s="19" t="n"/>
      <c r="R18071" s="19" t="n"/>
      <c r="Y18071" s="19" t="n"/>
    </row>
    <row r="18072">
      <c r="C18072" s="18" t="n"/>
      <c r="J18072" s="19" t="n"/>
      <c r="P18072" s="20" t="n"/>
      <c r="Q18072" s="19" t="n"/>
      <c r="R18072" s="19" t="n"/>
      <c r="Y18072" s="19" t="n"/>
    </row>
    <row r="18073">
      <c r="C18073" s="18" t="n"/>
      <c r="J18073" s="19" t="n"/>
      <c r="P18073" s="20" t="n"/>
      <c r="Q18073" s="19" t="n"/>
      <c r="R18073" s="19" t="n"/>
      <c r="Y18073" s="19" t="n"/>
    </row>
    <row r="18074">
      <c r="C18074" s="18" t="n"/>
      <c r="J18074" s="19" t="n"/>
      <c r="P18074" s="20" t="n"/>
      <c r="Q18074" s="19" t="n"/>
      <c r="R18074" s="19" t="n"/>
      <c r="Y18074" s="19" t="n"/>
    </row>
    <row r="18075">
      <c r="C18075" s="18" t="n"/>
      <c r="J18075" s="19" t="n"/>
      <c r="P18075" s="20" t="n"/>
      <c r="Q18075" s="19" t="n"/>
      <c r="R18075" s="19" t="n"/>
      <c r="Y18075" s="19" t="n"/>
    </row>
    <row r="18076">
      <c r="C18076" s="18" t="n"/>
      <c r="J18076" s="19" t="n"/>
      <c r="P18076" s="20" t="n"/>
      <c r="Q18076" s="19" t="n"/>
      <c r="R18076" s="19" t="n"/>
      <c r="Y18076" s="19" t="n"/>
    </row>
    <row r="18077">
      <c r="C18077" s="18" t="n"/>
      <c r="J18077" s="19" t="n"/>
      <c r="P18077" s="20" t="n"/>
      <c r="Q18077" s="19" t="n"/>
      <c r="R18077" s="19" t="n"/>
      <c r="Y18077" s="19" t="n"/>
    </row>
    <row r="18078">
      <c r="C18078" s="18" t="n"/>
      <c r="J18078" s="19" t="n"/>
      <c r="P18078" s="20" t="n"/>
      <c r="Q18078" s="19" t="n"/>
      <c r="R18078" s="19" t="n"/>
      <c r="Y18078" s="19" t="n"/>
    </row>
    <row r="18079">
      <c r="C18079" s="18" t="n"/>
      <c r="J18079" s="19" t="n"/>
      <c r="P18079" s="20" t="n"/>
      <c r="Q18079" s="19" t="n"/>
      <c r="R18079" s="19" t="n"/>
      <c r="Y18079" s="19" t="n"/>
    </row>
    <row r="18080">
      <c r="C18080" s="18" t="n"/>
      <c r="J18080" s="19" t="n"/>
      <c r="P18080" s="20" t="n"/>
      <c r="Q18080" s="19" t="n"/>
      <c r="R18080" s="19" t="n"/>
      <c r="Y18080" s="19" t="n"/>
    </row>
    <row r="18081">
      <c r="C18081" s="18" t="n"/>
      <c r="J18081" s="19" t="n"/>
      <c r="P18081" s="20" t="n"/>
      <c r="Q18081" s="19" t="n"/>
      <c r="R18081" s="19" t="n"/>
      <c r="Y18081" s="19" t="n"/>
    </row>
    <row r="18082">
      <c r="C18082" s="18" t="n"/>
      <c r="J18082" s="19" t="n"/>
      <c r="P18082" s="20" t="n"/>
      <c r="Q18082" s="19" t="n"/>
      <c r="R18082" s="19" t="n"/>
      <c r="Y18082" s="19" t="n"/>
    </row>
    <row r="18083">
      <c r="C18083" s="18" t="n"/>
      <c r="J18083" s="19" t="n"/>
      <c r="P18083" s="20" t="n"/>
      <c r="Q18083" s="19" t="n"/>
      <c r="R18083" s="19" t="n"/>
      <c r="Y18083" s="19" t="n"/>
    </row>
    <row r="18084">
      <c r="C18084" s="18" t="n"/>
      <c r="J18084" s="19" t="n"/>
      <c r="P18084" s="20" t="n"/>
      <c r="Q18084" s="19" t="n"/>
      <c r="R18084" s="19" t="n"/>
      <c r="Y18084" s="19" t="n"/>
    </row>
    <row r="18085">
      <c r="C18085" s="18" t="n"/>
      <c r="J18085" s="19" t="n"/>
      <c r="P18085" s="20" t="n"/>
      <c r="Q18085" s="19" t="n"/>
      <c r="R18085" s="19" t="n"/>
      <c r="Y18085" s="19" t="n"/>
    </row>
    <row r="18086">
      <c r="C18086" s="18" t="n"/>
      <c r="J18086" s="19" t="n"/>
      <c r="P18086" s="20" t="n"/>
      <c r="Q18086" s="19" t="n"/>
      <c r="R18086" s="19" t="n"/>
      <c r="Y18086" s="19" t="n"/>
    </row>
    <row r="18087">
      <c r="C18087" s="18" t="n"/>
      <c r="J18087" s="19" t="n"/>
      <c r="P18087" s="20" t="n"/>
      <c r="Q18087" s="19" t="n"/>
      <c r="R18087" s="19" t="n"/>
      <c r="Y18087" s="19" t="n"/>
    </row>
    <row r="18088">
      <c r="C18088" s="18" t="n"/>
      <c r="J18088" s="19" t="n"/>
      <c r="P18088" s="20" t="n"/>
      <c r="Q18088" s="19" t="n"/>
      <c r="R18088" s="19" t="n"/>
      <c r="Y18088" s="19" t="n"/>
    </row>
    <row r="18089">
      <c r="C18089" s="18" t="n"/>
      <c r="J18089" s="19" t="n"/>
      <c r="P18089" s="20" t="n"/>
      <c r="Q18089" s="19" t="n"/>
      <c r="R18089" s="19" t="n"/>
      <c r="Y18089" s="19" t="n"/>
    </row>
    <row r="18090">
      <c r="C18090" s="18" t="n"/>
      <c r="J18090" s="19" t="n"/>
      <c r="P18090" s="20" t="n"/>
      <c r="Q18090" s="19" t="n"/>
      <c r="R18090" s="19" t="n"/>
      <c r="Y18090" s="19" t="n"/>
    </row>
    <row r="18091">
      <c r="C18091" s="18" t="n"/>
      <c r="J18091" s="19" t="n"/>
      <c r="P18091" s="20" t="n"/>
      <c r="Q18091" s="19" t="n"/>
      <c r="R18091" s="19" t="n"/>
      <c r="Y18091" s="19" t="n"/>
    </row>
    <row r="18092">
      <c r="C18092" s="18" t="n"/>
      <c r="J18092" s="19" t="n"/>
      <c r="P18092" s="20" t="n"/>
      <c r="Q18092" s="19" t="n"/>
      <c r="R18092" s="19" t="n"/>
      <c r="Y18092" s="19" t="n"/>
    </row>
    <row r="18093">
      <c r="C18093" s="18" t="n"/>
      <c r="J18093" s="19" t="n"/>
      <c r="P18093" s="20" t="n"/>
      <c r="Q18093" s="19" t="n"/>
      <c r="R18093" s="19" t="n"/>
      <c r="Y18093" s="19" t="n"/>
    </row>
    <row r="18094">
      <c r="C18094" s="18" t="n"/>
      <c r="J18094" s="19" t="n"/>
      <c r="P18094" s="20" t="n"/>
      <c r="Q18094" s="19" t="n"/>
      <c r="R18094" s="19" t="n"/>
      <c r="Y18094" s="19" t="n"/>
    </row>
    <row r="18095">
      <c r="C18095" s="18" t="n"/>
      <c r="J18095" s="19" t="n"/>
      <c r="P18095" s="20" t="n"/>
      <c r="Q18095" s="19" t="n"/>
      <c r="R18095" s="19" t="n"/>
      <c r="Y18095" s="19" t="n"/>
    </row>
    <row r="18096">
      <c r="C18096" s="18" t="n"/>
      <c r="J18096" s="19" t="n"/>
      <c r="P18096" s="20" t="n"/>
      <c r="Q18096" s="19" t="n"/>
      <c r="R18096" s="19" t="n"/>
      <c r="Y18096" s="19" t="n"/>
    </row>
    <row r="18097">
      <c r="C18097" s="18" t="n"/>
      <c r="J18097" s="19" t="n"/>
      <c r="P18097" s="20" t="n"/>
      <c r="Q18097" s="19" t="n"/>
      <c r="R18097" s="19" t="n"/>
      <c r="Y18097" s="19" t="n"/>
    </row>
    <row r="18098">
      <c r="C18098" s="18" t="n"/>
      <c r="J18098" s="19" t="n"/>
      <c r="P18098" s="20" t="n"/>
      <c r="Q18098" s="19" t="n"/>
      <c r="R18098" s="19" t="n"/>
      <c r="Y18098" s="19" t="n"/>
    </row>
    <row r="18099">
      <c r="C18099" s="18" t="n"/>
      <c r="J18099" s="19" t="n"/>
      <c r="P18099" s="20" t="n"/>
      <c r="Q18099" s="19" t="n"/>
      <c r="R18099" s="19" t="n"/>
      <c r="Y18099" s="19" t="n"/>
    </row>
    <row r="18100">
      <c r="C18100" s="18" t="n"/>
      <c r="J18100" s="19" t="n"/>
      <c r="P18100" s="20" t="n"/>
      <c r="Q18100" s="19" t="n"/>
      <c r="R18100" s="19" t="n"/>
      <c r="Y18100" s="19" t="n"/>
    </row>
    <row r="18101">
      <c r="C18101" s="18" t="n"/>
      <c r="J18101" s="19" t="n"/>
      <c r="P18101" s="20" t="n"/>
      <c r="Q18101" s="19" t="n"/>
      <c r="R18101" s="19" t="n"/>
      <c r="Y18101" s="19" t="n"/>
    </row>
    <row r="18102">
      <c r="C18102" s="18" t="n"/>
      <c r="J18102" s="19" t="n"/>
      <c r="P18102" s="20" t="n"/>
      <c r="Q18102" s="19" t="n"/>
      <c r="R18102" s="19" t="n"/>
      <c r="Y18102" s="19" t="n"/>
    </row>
    <row r="18103">
      <c r="C18103" s="18" t="n"/>
      <c r="J18103" s="19" t="n"/>
      <c r="P18103" s="20" t="n"/>
      <c r="Q18103" s="19" t="n"/>
      <c r="R18103" s="19" t="n"/>
      <c r="Y18103" s="19" t="n"/>
    </row>
    <row r="18104">
      <c r="C18104" s="18" t="n"/>
      <c r="J18104" s="19" t="n"/>
      <c r="P18104" s="20" t="n"/>
      <c r="Q18104" s="19" t="n"/>
      <c r="R18104" s="19" t="n"/>
      <c r="Y18104" s="19" t="n"/>
    </row>
    <row r="18105">
      <c r="C18105" s="18" t="n"/>
      <c r="J18105" s="19" t="n"/>
      <c r="P18105" s="20" t="n"/>
      <c r="Q18105" s="19" t="n"/>
      <c r="R18105" s="19" t="n"/>
      <c r="Y18105" s="19" t="n"/>
    </row>
    <row r="18106">
      <c r="C18106" s="18" t="n"/>
      <c r="J18106" s="19" t="n"/>
      <c r="P18106" s="20" t="n"/>
      <c r="Q18106" s="19" t="n"/>
      <c r="R18106" s="19" t="n"/>
      <c r="Y18106" s="19" t="n"/>
    </row>
    <row r="18107">
      <c r="C18107" s="18" t="n"/>
      <c r="J18107" s="19" t="n"/>
      <c r="P18107" s="20" t="n"/>
      <c r="Q18107" s="19" t="n"/>
      <c r="R18107" s="19" t="n"/>
      <c r="Y18107" s="19" t="n"/>
    </row>
    <row r="18108">
      <c r="C18108" s="18" t="n"/>
      <c r="J18108" s="19" t="n"/>
      <c r="P18108" s="20" t="n"/>
      <c r="Q18108" s="19" t="n"/>
      <c r="R18108" s="19" t="n"/>
      <c r="Y18108" s="19" t="n"/>
    </row>
    <row r="18109">
      <c r="C18109" s="18" t="n"/>
      <c r="J18109" s="19" t="n"/>
      <c r="P18109" s="20" t="n"/>
      <c r="Q18109" s="19" t="n"/>
      <c r="R18109" s="19" t="n"/>
      <c r="Y18109" s="19" t="n"/>
    </row>
    <row r="18110">
      <c r="C18110" s="18" t="n"/>
      <c r="J18110" s="19" t="n"/>
      <c r="P18110" s="20" t="n"/>
      <c r="Q18110" s="19" t="n"/>
      <c r="R18110" s="19" t="n"/>
      <c r="Y18110" s="19" t="n"/>
    </row>
    <row r="18111">
      <c r="C18111" s="18" t="n"/>
      <c r="J18111" s="19" t="n"/>
      <c r="P18111" s="20" t="n"/>
      <c r="Q18111" s="19" t="n"/>
      <c r="R18111" s="19" t="n"/>
      <c r="Y18111" s="19" t="n"/>
    </row>
    <row r="18112">
      <c r="C18112" s="18" t="n"/>
      <c r="J18112" s="19" t="n"/>
      <c r="P18112" s="20" t="n"/>
      <c r="Q18112" s="19" t="n"/>
      <c r="R18112" s="19" t="n"/>
      <c r="Y18112" s="19" t="n"/>
    </row>
    <row r="18113">
      <c r="C18113" s="18" t="n"/>
      <c r="J18113" s="19" t="n"/>
      <c r="P18113" s="20" t="n"/>
      <c r="Q18113" s="19" t="n"/>
      <c r="R18113" s="19" t="n"/>
      <c r="Y18113" s="19" t="n"/>
    </row>
    <row r="18114">
      <c r="C18114" s="18" t="n"/>
      <c r="J18114" s="19" t="n"/>
      <c r="P18114" s="20" t="n"/>
      <c r="Q18114" s="19" t="n"/>
      <c r="R18114" s="19" t="n"/>
      <c r="Y18114" s="19" t="n"/>
    </row>
    <row r="18115">
      <c r="C18115" s="18" t="n"/>
      <c r="J18115" s="19" t="n"/>
      <c r="P18115" s="20" t="n"/>
      <c r="Q18115" s="19" t="n"/>
      <c r="R18115" s="19" t="n"/>
      <c r="Y18115" s="19" t="n"/>
    </row>
    <row r="18116">
      <c r="C18116" s="18" t="n"/>
      <c r="J18116" s="19" t="n"/>
      <c r="P18116" s="20" t="n"/>
      <c r="Q18116" s="19" t="n"/>
      <c r="R18116" s="19" t="n"/>
      <c r="Y18116" s="19" t="n"/>
    </row>
    <row r="18117">
      <c r="C18117" s="18" t="n"/>
      <c r="J18117" s="19" t="n"/>
      <c r="P18117" s="20" t="n"/>
      <c r="Q18117" s="19" t="n"/>
      <c r="R18117" s="19" t="n"/>
      <c r="Y18117" s="19" t="n"/>
    </row>
    <row r="18118">
      <c r="C18118" s="18" t="n"/>
      <c r="J18118" s="19" t="n"/>
      <c r="P18118" s="20" t="n"/>
      <c r="Q18118" s="19" t="n"/>
      <c r="R18118" s="19" t="n"/>
      <c r="Y18118" s="19" t="n"/>
    </row>
    <row r="18119">
      <c r="C18119" s="18" t="n"/>
      <c r="J18119" s="19" t="n"/>
      <c r="P18119" s="20" t="n"/>
      <c r="Q18119" s="19" t="n"/>
      <c r="R18119" s="19" t="n"/>
      <c r="Y18119" s="19" t="n"/>
    </row>
    <row r="18120">
      <c r="C18120" s="18" t="n"/>
      <c r="J18120" s="19" t="n"/>
      <c r="P18120" s="20" t="n"/>
      <c r="Q18120" s="19" t="n"/>
      <c r="R18120" s="19" t="n"/>
      <c r="Y18120" s="19" t="n"/>
    </row>
    <row r="18121">
      <c r="C18121" s="18" t="n"/>
      <c r="J18121" s="19" t="n"/>
      <c r="P18121" s="20" t="n"/>
      <c r="Q18121" s="19" t="n"/>
      <c r="R18121" s="19" t="n"/>
      <c r="Y18121" s="19" t="n"/>
    </row>
    <row r="18122">
      <c r="C18122" s="18" t="n"/>
      <c r="J18122" s="19" t="n"/>
      <c r="P18122" s="20" t="n"/>
      <c r="Q18122" s="19" t="n"/>
      <c r="R18122" s="19" t="n"/>
      <c r="Y18122" s="19" t="n"/>
    </row>
    <row r="18123">
      <c r="C18123" s="18" t="n"/>
      <c r="J18123" s="19" t="n"/>
      <c r="P18123" s="20" t="n"/>
      <c r="Q18123" s="19" t="n"/>
      <c r="R18123" s="19" t="n"/>
      <c r="Y18123" s="19" t="n"/>
    </row>
    <row r="18124">
      <c r="C18124" s="18" t="n"/>
      <c r="J18124" s="19" t="n"/>
      <c r="P18124" s="20" t="n"/>
      <c r="Q18124" s="19" t="n"/>
      <c r="R18124" s="19" t="n"/>
      <c r="Y18124" s="19" t="n"/>
    </row>
    <row r="18125">
      <c r="C18125" s="18" t="n"/>
      <c r="J18125" s="19" t="n"/>
      <c r="P18125" s="20" t="n"/>
      <c r="Q18125" s="19" t="n"/>
      <c r="R18125" s="19" t="n"/>
      <c r="Y18125" s="19" t="n"/>
    </row>
    <row r="18126">
      <c r="C18126" s="18" t="n"/>
      <c r="J18126" s="19" t="n"/>
      <c r="P18126" s="20" t="n"/>
      <c r="Q18126" s="19" t="n"/>
      <c r="R18126" s="19" t="n"/>
      <c r="Y18126" s="19" t="n"/>
    </row>
    <row r="18127">
      <c r="C18127" s="18" t="n"/>
      <c r="J18127" s="19" t="n"/>
      <c r="P18127" s="20" t="n"/>
      <c r="Q18127" s="19" t="n"/>
      <c r="R18127" s="19" t="n"/>
      <c r="Y18127" s="19" t="n"/>
    </row>
    <row r="18128">
      <c r="C18128" s="18" t="n"/>
      <c r="J18128" s="19" t="n"/>
      <c r="P18128" s="20" t="n"/>
      <c r="Q18128" s="19" t="n"/>
      <c r="R18128" s="19" t="n"/>
      <c r="Y18128" s="19" t="n"/>
    </row>
    <row r="18129">
      <c r="C18129" s="18" t="n"/>
      <c r="J18129" s="19" t="n"/>
      <c r="P18129" s="20" t="n"/>
      <c r="Q18129" s="19" t="n"/>
      <c r="R18129" s="19" t="n"/>
      <c r="Y18129" s="19" t="n"/>
    </row>
    <row r="18130">
      <c r="C18130" s="18" t="n"/>
      <c r="J18130" s="19" t="n"/>
      <c r="P18130" s="20" t="n"/>
      <c r="Q18130" s="19" t="n"/>
      <c r="R18130" s="19" t="n"/>
      <c r="Y18130" s="19" t="n"/>
    </row>
    <row r="18131">
      <c r="C18131" s="18" t="n"/>
      <c r="J18131" s="19" t="n"/>
      <c r="P18131" s="20" t="n"/>
      <c r="Q18131" s="19" t="n"/>
      <c r="R18131" s="19" t="n"/>
      <c r="Y18131" s="19" t="n"/>
    </row>
    <row r="18132">
      <c r="C18132" s="18" t="n"/>
      <c r="J18132" s="19" t="n"/>
      <c r="P18132" s="20" t="n"/>
      <c r="Q18132" s="19" t="n"/>
      <c r="R18132" s="19" t="n"/>
      <c r="Y18132" s="19" t="n"/>
    </row>
    <row r="18133">
      <c r="C18133" s="18" t="n"/>
      <c r="J18133" s="19" t="n"/>
      <c r="P18133" s="20" t="n"/>
      <c r="Q18133" s="19" t="n"/>
      <c r="R18133" s="19" t="n"/>
      <c r="Y18133" s="19" t="n"/>
    </row>
    <row r="18134">
      <c r="C18134" s="18" t="n"/>
      <c r="J18134" s="19" t="n"/>
      <c r="P18134" s="20" t="n"/>
      <c r="Q18134" s="19" t="n"/>
      <c r="R18134" s="19" t="n"/>
      <c r="Y18134" s="19" t="n"/>
    </row>
    <row r="18135">
      <c r="C18135" s="18" t="n"/>
      <c r="J18135" s="19" t="n"/>
      <c r="P18135" s="20" t="n"/>
      <c r="Q18135" s="19" t="n"/>
      <c r="R18135" s="19" t="n"/>
      <c r="Y18135" s="19" t="n"/>
    </row>
    <row r="18136">
      <c r="C18136" s="18" t="n"/>
      <c r="J18136" s="19" t="n"/>
      <c r="P18136" s="20" t="n"/>
      <c r="Q18136" s="19" t="n"/>
      <c r="R18136" s="19" t="n"/>
      <c r="Y18136" s="19" t="n"/>
    </row>
    <row r="18137">
      <c r="C18137" s="18" t="n"/>
      <c r="J18137" s="19" t="n"/>
      <c r="P18137" s="20" t="n"/>
      <c r="Q18137" s="19" t="n"/>
      <c r="R18137" s="19" t="n"/>
      <c r="Y18137" s="19" t="n"/>
    </row>
    <row r="18138">
      <c r="C18138" s="18" t="n"/>
      <c r="J18138" s="19" t="n"/>
      <c r="P18138" s="20" t="n"/>
      <c r="Q18138" s="19" t="n"/>
      <c r="R18138" s="19" t="n"/>
      <c r="Y18138" s="19" t="n"/>
    </row>
    <row r="18139">
      <c r="C18139" s="18" t="n"/>
      <c r="J18139" s="19" t="n"/>
      <c r="P18139" s="20" t="n"/>
      <c r="Q18139" s="19" t="n"/>
      <c r="R18139" s="19" t="n"/>
      <c r="Y18139" s="19" t="n"/>
    </row>
    <row r="18140">
      <c r="C18140" s="18" t="n"/>
      <c r="J18140" s="19" t="n"/>
      <c r="P18140" s="20" t="n"/>
      <c r="Q18140" s="19" t="n"/>
      <c r="R18140" s="19" t="n"/>
      <c r="Y18140" s="19" t="n"/>
    </row>
    <row r="18141">
      <c r="C18141" s="18" t="n"/>
      <c r="J18141" s="19" t="n"/>
      <c r="P18141" s="20" t="n"/>
      <c r="Q18141" s="19" t="n"/>
      <c r="R18141" s="19" t="n"/>
      <c r="Y18141" s="19" t="n"/>
    </row>
    <row r="18142">
      <c r="C18142" s="18" t="n"/>
      <c r="J18142" s="19" t="n"/>
      <c r="P18142" s="20" t="n"/>
      <c r="Q18142" s="19" t="n"/>
      <c r="R18142" s="19" t="n"/>
      <c r="Y18142" s="19" t="n"/>
    </row>
    <row r="18143">
      <c r="C18143" s="18" t="n"/>
      <c r="J18143" s="19" t="n"/>
      <c r="P18143" s="20" t="n"/>
      <c r="Q18143" s="19" t="n"/>
      <c r="R18143" s="19" t="n"/>
      <c r="Y18143" s="19" t="n"/>
    </row>
    <row r="18144">
      <c r="C18144" s="18" t="n"/>
      <c r="J18144" s="19" t="n"/>
      <c r="P18144" s="20" t="n"/>
      <c r="Q18144" s="19" t="n"/>
      <c r="R18144" s="19" t="n"/>
      <c r="Y18144" s="19" t="n"/>
    </row>
    <row r="18145">
      <c r="C18145" s="18" t="n"/>
      <c r="J18145" s="19" t="n"/>
      <c r="P18145" s="20" t="n"/>
      <c r="Q18145" s="19" t="n"/>
      <c r="R18145" s="19" t="n"/>
      <c r="Y18145" s="19" t="n"/>
    </row>
    <row r="18146">
      <c r="C18146" s="18" t="n"/>
      <c r="J18146" s="19" t="n"/>
      <c r="P18146" s="20" t="n"/>
      <c r="Q18146" s="19" t="n"/>
      <c r="R18146" s="19" t="n"/>
      <c r="Y18146" s="19" t="n"/>
    </row>
    <row r="18147">
      <c r="C18147" s="18" t="n"/>
      <c r="J18147" s="19" t="n"/>
      <c r="P18147" s="20" t="n"/>
      <c r="Q18147" s="19" t="n"/>
      <c r="R18147" s="19" t="n"/>
      <c r="Y18147" s="19" t="n"/>
    </row>
    <row r="18148">
      <c r="C18148" s="18" t="n"/>
      <c r="J18148" s="19" t="n"/>
      <c r="P18148" s="20" t="n"/>
      <c r="Q18148" s="19" t="n"/>
      <c r="R18148" s="19" t="n"/>
      <c r="Y18148" s="19" t="n"/>
    </row>
    <row r="18149">
      <c r="C18149" s="18" t="n"/>
      <c r="J18149" s="19" t="n"/>
      <c r="P18149" s="20" t="n"/>
      <c r="Q18149" s="19" t="n"/>
      <c r="R18149" s="19" t="n"/>
      <c r="Y18149" s="19" t="n"/>
    </row>
    <row r="18150">
      <c r="C18150" s="18" t="n"/>
      <c r="J18150" s="19" t="n"/>
      <c r="P18150" s="20" t="n"/>
      <c r="Q18150" s="19" t="n"/>
      <c r="R18150" s="19" t="n"/>
      <c r="Y18150" s="19" t="n"/>
    </row>
    <row r="18151">
      <c r="C18151" s="18" t="n"/>
      <c r="J18151" s="19" t="n"/>
      <c r="P18151" s="20" t="n"/>
      <c r="Q18151" s="19" t="n"/>
      <c r="R18151" s="19" t="n"/>
      <c r="Y18151" s="19" t="n"/>
    </row>
    <row r="18152">
      <c r="C18152" s="18" t="n"/>
      <c r="J18152" s="19" t="n"/>
      <c r="P18152" s="20" t="n"/>
      <c r="Q18152" s="19" t="n"/>
      <c r="R18152" s="19" t="n"/>
      <c r="Y18152" s="19" t="n"/>
    </row>
    <row r="18153">
      <c r="C18153" s="18" t="n"/>
      <c r="J18153" s="19" t="n"/>
      <c r="P18153" s="20" t="n"/>
      <c r="Q18153" s="19" t="n"/>
      <c r="R18153" s="19" t="n"/>
      <c r="Y18153" s="19" t="n"/>
    </row>
    <row r="18154">
      <c r="C18154" s="18" t="n"/>
      <c r="J18154" s="19" t="n"/>
      <c r="P18154" s="20" t="n"/>
      <c r="Q18154" s="19" t="n"/>
      <c r="R18154" s="19" t="n"/>
      <c r="Y18154" s="19" t="n"/>
    </row>
    <row r="18155">
      <c r="C18155" s="18" t="n"/>
      <c r="J18155" s="19" t="n"/>
      <c r="P18155" s="20" t="n"/>
      <c r="Q18155" s="19" t="n"/>
      <c r="R18155" s="19" t="n"/>
      <c r="Y18155" s="19" t="n"/>
    </row>
    <row r="18156">
      <c r="C18156" s="18" t="n"/>
      <c r="J18156" s="19" t="n"/>
      <c r="P18156" s="20" t="n"/>
      <c r="Q18156" s="19" t="n"/>
      <c r="R18156" s="19" t="n"/>
      <c r="Y18156" s="19" t="n"/>
    </row>
    <row r="18157">
      <c r="C18157" s="18" t="n"/>
      <c r="J18157" s="19" t="n"/>
      <c r="P18157" s="20" t="n"/>
      <c r="Q18157" s="19" t="n"/>
      <c r="R18157" s="19" t="n"/>
      <c r="Y18157" s="19" t="n"/>
    </row>
    <row r="18158">
      <c r="C18158" s="18" t="n"/>
      <c r="J18158" s="19" t="n"/>
      <c r="P18158" s="20" t="n"/>
      <c r="Q18158" s="19" t="n"/>
      <c r="R18158" s="19" t="n"/>
      <c r="Y18158" s="19" t="n"/>
    </row>
    <row r="18159">
      <c r="C18159" s="18" t="n"/>
      <c r="J18159" s="19" t="n"/>
      <c r="P18159" s="20" t="n"/>
      <c r="Q18159" s="19" t="n"/>
      <c r="R18159" s="19" t="n"/>
      <c r="Y18159" s="19" t="n"/>
    </row>
    <row r="18160">
      <c r="C18160" s="18" t="n"/>
      <c r="J18160" s="19" t="n"/>
      <c r="P18160" s="20" t="n"/>
      <c r="Q18160" s="19" t="n"/>
      <c r="R18160" s="19" t="n"/>
      <c r="Y18160" s="19" t="n"/>
    </row>
    <row r="18161">
      <c r="C18161" s="18" t="n"/>
      <c r="J18161" s="19" t="n"/>
      <c r="P18161" s="20" t="n"/>
      <c r="Q18161" s="19" t="n"/>
      <c r="R18161" s="19" t="n"/>
      <c r="Y18161" s="19" t="n"/>
    </row>
    <row r="18162">
      <c r="C18162" s="18" t="n"/>
      <c r="J18162" s="19" t="n"/>
      <c r="P18162" s="20" t="n"/>
      <c r="Q18162" s="19" t="n"/>
      <c r="R18162" s="19" t="n"/>
      <c r="Y18162" s="19" t="n"/>
    </row>
    <row r="18163">
      <c r="C18163" s="18" t="n"/>
      <c r="J18163" s="19" t="n"/>
      <c r="P18163" s="20" t="n"/>
      <c r="Q18163" s="19" t="n"/>
      <c r="R18163" s="19" t="n"/>
      <c r="Y18163" s="19" t="n"/>
    </row>
    <row r="18164">
      <c r="C18164" s="18" t="n"/>
      <c r="J18164" s="19" t="n"/>
      <c r="P18164" s="20" t="n"/>
      <c r="Q18164" s="19" t="n"/>
      <c r="R18164" s="19" t="n"/>
      <c r="Y18164" s="19" t="n"/>
    </row>
    <row r="18165">
      <c r="C18165" s="18" t="n"/>
      <c r="J18165" s="19" t="n"/>
      <c r="P18165" s="20" t="n"/>
      <c r="Q18165" s="19" t="n"/>
      <c r="R18165" s="19" t="n"/>
      <c r="Y18165" s="19" t="n"/>
    </row>
    <row r="18166">
      <c r="C18166" s="18" t="n"/>
      <c r="J18166" s="19" t="n"/>
      <c r="P18166" s="20" t="n"/>
      <c r="Q18166" s="19" t="n"/>
      <c r="R18166" s="19" t="n"/>
      <c r="Y18166" s="19" t="n"/>
    </row>
    <row r="18167">
      <c r="C18167" s="18" t="n"/>
      <c r="J18167" s="19" t="n"/>
      <c r="P18167" s="20" t="n"/>
      <c r="Q18167" s="19" t="n"/>
      <c r="R18167" s="19" t="n"/>
      <c r="Y18167" s="19" t="n"/>
    </row>
    <row r="18168">
      <c r="C18168" s="18" t="n"/>
      <c r="J18168" s="19" t="n"/>
      <c r="P18168" s="20" t="n"/>
      <c r="Q18168" s="19" t="n"/>
      <c r="R18168" s="19" t="n"/>
      <c r="Y18168" s="19" t="n"/>
    </row>
    <row r="18169">
      <c r="C18169" s="18" t="n"/>
      <c r="J18169" s="19" t="n"/>
      <c r="P18169" s="20" t="n"/>
      <c r="Q18169" s="19" t="n"/>
      <c r="R18169" s="19" t="n"/>
      <c r="Y18169" s="19" t="n"/>
    </row>
    <row r="18170">
      <c r="C18170" s="18" t="n"/>
      <c r="J18170" s="19" t="n"/>
      <c r="P18170" s="20" t="n"/>
      <c r="Q18170" s="19" t="n"/>
      <c r="R18170" s="19" t="n"/>
      <c r="Y18170" s="19" t="n"/>
    </row>
    <row r="18171">
      <c r="C18171" s="18" t="n"/>
      <c r="J18171" s="19" t="n"/>
      <c r="P18171" s="20" t="n"/>
      <c r="Q18171" s="19" t="n"/>
      <c r="R18171" s="19" t="n"/>
      <c r="Y18171" s="19" t="n"/>
    </row>
    <row r="18172">
      <c r="C18172" s="18" t="n"/>
      <c r="J18172" s="19" t="n"/>
      <c r="P18172" s="20" t="n"/>
      <c r="Q18172" s="19" t="n"/>
      <c r="R18172" s="19" t="n"/>
      <c r="Y18172" s="19" t="n"/>
    </row>
    <row r="18173">
      <c r="C18173" s="18" t="n"/>
      <c r="J18173" s="19" t="n"/>
      <c r="P18173" s="20" t="n"/>
      <c r="Q18173" s="19" t="n"/>
      <c r="R18173" s="19" t="n"/>
      <c r="Y18173" s="19" t="n"/>
    </row>
    <row r="18174">
      <c r="C18174" s="18" t="n"/>
      <c r="J18174" s="19" t="n"/>
      <c r="P18174" s="20" t="n"/>
      <c r="Q18174" s="19" t="n"/>
      <c r="R18174" s="19" t="n"/>
      <c r="Y18174" s="19" t="n"/>
    </row>
    <row r="18175">
      <c r="C18175" s="18" t="n"/>
      <c r="J18175" s="19" t="n"/>
      <c r="P18175" s="20" t="n"/>
      <c r="Q18175" s="19" t="n"/>
      <c r="R18175" s="19" t="n"/>
      <c r="Y18175" s="19" t="n"/>
    </row>
    <row r="18176">
      <c r="C18176" s="18" t="n"/>
      <c r="J18176" s="19" t="n"/>
      <c r="P18176" s="20" t="n"/>
      <c r="Q18176" s="19" t="n"/>
      <c r="R18176" s="19" t="n"/>
      <c r="Y18176" s="19" t="n"/>
    </row>
    <row r="18177">
      <c r="C18177" s="18" t="n"/>
      <c r="J18177" s="19" t="n"/>
      <c r="P18177" s="20" t="n"/>
      <c r="Q18177" s="19" t="n"/>
      <c r="R18177" s="19" t="n"/>
      <c r="Y18177" s="19" t="n"/>
    </row>
    <row r="18178">
      <c r="C18178" s="18" t="n"/>
      <c r="J18178" s="19" t="n"/>
      <c r="P18178" s="20" t="n"/>
      <c r="Q18178" s="19" t="n"/>
      <c r="R18178" s="19" t="n"/>
      <c r="Y18178" s="19" t="n"/>
    </row>
    <row r="18179">
      <c r="C18179" s="18" t="n"/>
      <c r="J18179" s="19" t="n"/>
      <c r="P18179" s="20" t="n"/>
      <c r="Q18179" s="19" t="n"/>
      <c r="R18179" s="19" t="n"/>
      <c r="Y18179" s="19" t="n"/>
    </row>
    <row r="18180">
      <c r="C18180" s="18" t="n"/>
      <c r="J18180" s="19" t="n"/>
      <c r="P18180" s="20" t="n"/>
      <c r="Q18180" s="19" t="n"/>
      <c r="R18180" s="19" t="n"/>
      <c r="Y18180" s="19" t="n"/>
    </row>
    <row r="18181">
      <c r="C18181" s="18" t="n"/>
      <c r="J18181" s="19" t="n"/>
      <c r="P18181" s="20" t="n"/>
      <c r="Q18181" s="19" t="n"/>
      <c r="R18181" s="19" t="n"/>
      <c r="Y18181" s="19" t="n"/>
    </row>
    <row r="18182">
      <c r="C18182" s="18" t="n"/>
      <c r="J18182" s="19" t="n"/>
      <c r="P18182" s="20" t="n"/>
      <c r="Q18182" s="19" t="n"/>
      <c r="R18182" s="19" t="n"/>
      <c r="Y18182" s="19" t="n"/>
    </row>
    <row r="18183">
      <c r="C18183" s="18" t="n"/>
      <c r="J18183" s="19" t="n"/>
      <c r="P18183" s="20" t="n"/>
      <c r="Q18183" s="19" t="n"/>
      <c r="R18183" s="19" t="n"/>
      <c r="Y18183" s="19" t="n"/>
    </row>
    <row r="18184">
      <c r="C18184" s="18" t="n"/>
      <c r="J18184" s="19" t="n"/>
      <c r="P18184" s="20" t="n"/>
      <c r="Q18184" s="19" t="n"/>
      <c r="R18184" s="19" t="n"/>
      <c r="Y18184" s="19" t="n"/>
    </row>
    <row r="18185">
      <c r="C18185" s="18" t="n"/>
      <c r="J18185" s="19" t="n"/>
      <c r="P18185" s="20" t="n"/>
      <c r="Q18185" s="19" t="n"/>
      <c r="R18185" s="19" t="n"/>
      <c r="Y18185" s="19" t="n"/>
    </row>
    <row r="18186">
      <c r="C18186" s="18" t="n"/>
      <c r="J18186" s="19" t="n"/>
      <c r="P18186" s="20" t="n"/>
      <c r="Q18186" s="19" t="n"/>
      <c r="R18186" s="19" t="n"/>
      <c r="Y18186" s="19" t="n"/>
    </row>
    <row r="18187">
      <c r="C18187" s="18" t="n"/>
      <c r="J18187" s="19" t="n"/>
      <c r="P18187" s="20" t="n"/>
      <c r="Q18187" s="19" t="n"/>
      <c r="R18187" s="19" t="n"/>
      <c r="Y18187" s="19" t="n"/>
    </row>
    <row r="18188">
      <c r="C18188" s="18" t="n"/>
      <c r="J18188" s="19" t="n"/>
      <c r="P18188" s="20" t="n"/>
      <c r="Q18188" s="19" t="n"/>
      <c r="R18188" s="19" t="n"/>
      <c r="Y18188" s="19" t="n"/>
    </row>
    <row r="18189">
      <c r="C18189" s="18" t="n"/>
      <c r="J18189" s="19" t="n"/>
      <c r="P18189" s="20" t="n"/>
      <c r="Q18189" s="19" t="n"/>
      <c r="R18189" s="19" t="n"/>
      <c r="Y18189" s="19" t="n"/>
    </row>
    <row r="18190">
      <c r="C18190" s="18" t="n"/>
      <c r="J18190" s="19" t="n"/>
      <c r="P18190" s="20" t="n"/>
      <c r="Q18190" s="19" t="n"/>
      <c r="R18190" s="19" t="n"/>
      <c r="Y18190" s="19" t="n"/>
    </row>
    <row r="18191">
      <c r="C18191" s="18" t="n"/>
      <c r="J18191" s="19" t="n"/>
      <c r="P18191" s="20" t="n"/>
      <c r="Q18191" s="19" t="n"/>
      <c r="R18191" s="19" t="n"/>
      <c r="Y18191" s="19" t="n"/>
    </row>
    <row r="18192">
      <c r="C18192" s="18" t="n"/>
      <c r="J18192" s="19" t="n"/>
      <c r="P18192" s="20" t="n"/>
      <c r="Q18192" s="19" t="n"/>
      <c r="R18192" s="19" t="n"/>
      <c r="Y18192" s="19" t="n"/>
    </row>
    <row r="18193">
      <c r="C18193" s="18" t="n"/>
      <c r="J18193" s="19" t="n"/>
      <c r="P18193" s="20" t="n"/>
      <c r="Q18193" s="19" t="n"/>
      <c r="R18193" s="19" t="n"/>
      <c r="Y18193" s="19" t="n"/>
    </row>
    <row r="18194">
      <c r="C18194" s="18" t="n"/>
      <c r="J18194" s="19" t="n"/>
      <c r="P18194" s="20" t="n"/>
      <c r="Q18194" s="19" t="n"/>
      <c r="R18194" s="19" t="n"/>
      <c r="Y18194" s="19" t="n"/>
    </row>
    <row r="18195">
      <c r="C18195" s="18" t="n"/>
      <c r="J18195" s="19" t="n"/>
      <c r="P18195" s="20" t="n"/>
      <c r="Q18195" s="19" t="n"/>
      <c r="R18195" s="19" t="n"/>
      <c r="Y18195" s="19" t="n"/>
    </row>
    <row r="18196">
      <c r="C18196" s="18" t="n"/>
      <c r="J18196" s="19" t="n"/>
      <c r="P18196" s="20" t="n"/>
      <c r="Q18196" s="19" t="n"/>
      <c r="R18196" s="19" t="n"/>
      <c r="Y18196" s="19" t="n"/>
    </row>
    <row r="18197">
      <c r="C18197" s="18" t="n"/>
      <c r="J18197" s="19" t="n"/>
      <c r="P18197" s="20" t="n"/>
      <c r="Q18197" s="19" t="n"/>
      <c r="R18197" s="19" t="n"/>
      <c r="Y18197" s="19" t="n"/>
    </row>
    <row r="18198">
      <c r="C18198" s="18" t="n"/>
      <c r="J18198" s="19" t="n"/>
      <c r="P18198" s="20" t="n"/>
      <c r="Q18198" s="19" t="n"/>
      <c r="R18198" s="19" t="n"/>
      <c r="Y18198" s="19" t="n"/>
    </row>
    <row r="18199">
      <c r="C18199" s="18" t="n"/>
      <c r="J18199" s="19" t="n"/>
      <c r="P18199" s="20" t="n"/>
      <c r="Q18199" s="19" t="n"/>
      <c r="R18199" s="19" t="n"/>
      <c r="Y18199" s="19" t="n"/>
    </row>
    <row r="18200">
      <c r="C18200" s="18" t="n"/>
      <c r="J18200" s="19" t="n"/>
      <c r="P18200" s="20" t="n"/>
      <c r="Q18200" s="19" t="n"/>
      <c r="R18200" s="19" t="n"/>
      <c r="Y18200" s="19" t="n"/>
    </row>
    <row r="18201">
      <c r="C18201" s="18" t="n"/>
      <c r="J18201" s="19" t="n"/>
      <c r="P18201" s="20" t="n"/>
      <c r="Q18201" s="19" t="n"/>
      <c r="R18201" s="19" t="n"/>
      <c r="Y18201" s="19" t="n"/>
    </row>
    <row r="18202">
      <c r="C18202" s="18" t="n"/>
      <c r="J18202" s="19" t="n"/>
      <c r="P18202" s="20" t="n"/>
      <c r="Q18202" s="19" t="n"/>
      <c r="R18202" s="19" t="n"/>
      <c r="Y18202" s="19" t="n"/>
    </row>
    <row r="18203">
      <c r="C18203" s="18" t="n"/>
      <c r="J18203" s="19" t="n"/>
      <c r="P18203" s="20" t="n"/>
      <c r="Q18203" s="19" t="n"/>
      <c r="R18203" s="19" t="n"/>
      <c r="Y18203" s="19" t="n"/>
    </row>
    <row r="18204">
      <c r="C18204" s="18" t="n"/>
      <c r="J18204" s="19" t="n"/>
      <c r="P18204" s="20" t="n"/>
      <c r="Q18204" s="19" t="n"/>
      <c r="R18204" s="19" t="n"/>
      <c r="Y18204" s="19" t="n"/>
    </row>
    <row r="18205">
      <c r="C18205" s="18" t="n"/>
      <c r="J18205" s="19" t="n"/>
      <c r="P18205" s="20" t="n"/>
      <c r="Q18205" s="19" t="n"/>
      <c r="R18205" s="19" t="n"/>
      <c r="Y18205" s="19" t="n"/>
    </row>
    <row r="18206">
      <c r="C18206" s="18" t="n"/>
      <c r="J18206" s="19" t="n"/>
      <c r="P18206" s="20" t="n"/>
      <c r="Q18206" s="19" t="n"/>
      <c r="R18206" s="19" t="n"/>
      <c r="Y18206" s="19" t="n"/>
    </row>
    <row r="18207">
      <c r="C18207" s="18" t="n"/>
      <c r="J18207" s="19" t="n"/>
      <c r="P18207" s="20" t="n"/>
      <c r="Q18207" s="19" t="n"/>
      <c r="R18207" s="19" t="n"/>
      <c r="Y18207" s="19" t="n"/>
    </row>
    <row r="18208">
      <c r="C18208" s="18" t="n"/>
      <c r="J18208" s="19" t="n"/>
      <c r="P18208" s="20" t="n"/>
      <c r="Q18208" s="19" t="n"/>
      <c r="R18208" s="19" t="n"/>
      <c r="Y18208" s="19" t="n"/>
    </row>
    <row r="18209">
      <c r="C18209" s="18" t="n"/>
      <c r="J18209" s="19" t="n"/>
      <c r="P18209" s="20" t="n"/>
      <c r="Q18209" s="19" t="n"/>
      <c r="R18209" s="19" t="n"/>
      <c r="Y18209" s="19" t="n"/>
    </row>
    <row r="18210">
      <c r="C18210" s="18" t="n"/>
      <c r="J18210" s="19" t="n"/>
      <c r="P18210" s="20" t="n"/>
      <c r="Q18210" s="19" t="n"/>
      <c r="R18210" s="19" t="n"/>
      <c r="Y18210" s="19" t="n"/>
    </row>
    <row r="18211">
      <c r="C18211" s="18" t="n"/>
      <c r="J18211" s="19" t="n"/>
      <c r="P18211" s="20" t="n"/>
      <c r="Q18211" s="19" t="n"/>
      <c r="R18211" s="19" t="n"/>
      <c r="Y18211" s="19" t="n"/>
    </row>
    <row r="18212">
      <c r="C18212" s="18" t="n"/>
      <c r="J18212" s="19" t="n"/>
      <c r="P18212" s="20" t="n"/>
      <c r="Q18212" s="19" t="n"/>
      <c r="R18212" s="19" t="n"/>
      <c r="Y18212" s="19" t="n"/>
    </row>
    <row r="18213">
      <c r="C18213" s="18" t="n"/>
      <c r="J18213" s="19" t="n"/>
      <c r="P18213" s="20" t="n"/>
      <c r="Q18213" s="19" t="n"/>
      <c r="R18213" s="19" t="n"/>
      <c r="Y18213" s="19" t="n"/>
    </row>
    <row r="18214">
      <c r="C18214" s="18" t="n"/>
      <c r="J18214" s="19" t="n"/>
      <c r="P18214" s="20" t="n"/>
      <c r="Q18214" s="19" t="n"/>
      <c r="R18214" s="19" t="n"/>
      <c r="Y18214" s="19" t="n"/>
    </row>
    <row r="18215">
      <c r="C18215" s="18" t="n"/>
      <c r="J18215" s="19" t="n"/>
      <c r="P18215" s="20" t="n"/>
      <c r="Q18215" s="19" t="n"/>
      <c r="R18215" s="19" t="n"/>
      <c r="Y18215" s="19" t="n"/>
    </row>
    <row r="18216">
      <c r="C18216" s="18" t="n"/>
      <c r="J18216" s="19" t="n"/>
      <c r="P18216" s="20" t="n"/>
      <c r="Q18216" s="19" t="n"/>
      <c r="R18216" s="19" t="n"/>
      <c r="Y18216" s="19" t="n"/>
    </row>
    <row r="18217">
      <c r="C18217" s="18" t="n"/>
      <c r="J18217" s="19" t="n"/>
      <c r="P18217" s="20" t="n"/>
      <c r="Q18217" s="19" t="n"/>
      <c r="R18217" s="19" t="n"/>
      <c r="Y18217" s="19" t="n"/>
    </row>
    <row r="18218">
      <c r="C18218" s="18" t="n"/>
      <c r="J18218" s="19" t="n"/>
      <c r="P18218" s="20" t="n"/>
      <c r="Q18218" s="19" t="n"/>
      <c r="R18218" s="19" t="n"/>
      <c r="Y18218" s="19" t="n"/>
    </row>
    <row r="18219">
      <c r="C18219" s="18" t="n"/>
      <c r="J18219" s="19" t="n"/>
      <c r="P18219" s="20" t="n"/>
      <c r="Q18219" s="19" t="n"/>
      <c r="R18219" s="19" t="n"/>
      <c r="Y18219" s="19" t="n"/>
    </row>
    <row r="18220">
      <c r="C18220" s="18" t="n"/>
      <c r="J18220" s="19" t="n"/>
      <c r="P18220" s="20" t="n"/>
      <c r="Q18220" s="19" t="n"/>
      <c r="R18220" s="19" t="n"/>
      <c r="Y18220" s="19" t="n"/>
    </row>
    <row r="18221">
      <c r="C18221" s="18" t="n"/>
      <c r="J18221" s="19" t="n"/>
      <c r="P18221" s="20" t="n"/>
      <c r="Q18221" s="19" t="n"/>
      <c r="R18221" s="19" t="n"/>
      <c r="Y18221" s="19" t="n"/>
    </row>
    <row r="18222">
      <c r="C18222" s="18" t="n"/>
      <c r="J18222" s="19" t="n"/>
      <c r="P18222" s="20" t="n"/>
      <c r="Q18222" s="19" t="n"/>
      <c r="R18222" s="19" t="n"/>
      <c r="Y18222" s="19" t="n"/>
    </row>
    <row r="18223">
      <c r="C18223" s="18" t="n"/>
      <c r="J18223" s="19" t="n"/>
      <c r="P18223" s="20" t="n"/>
      <c r="Q18223" s="19" t="n"/>
      <c r="R18223" s="19" t="n"/>
      <c r="Y18223" s="19" t="n"/>
    </row>
    <row r="18224">
      <c r="C18224" s="18" t="n"/>
      <c r="J18224" s="19" t="n"/>
      <c r="P18224" s="20" t="n"/>
      <c r="Q18224" s="19" t="n"/>
      <c r="R18224" s="19" t="n"/>
      <c r="Y18224" s="19" t="n"/>
    </row>
    <row r="18225">
      <c r="C18225" s="18" t="n"/>
      <c r="J18225" s="19" t="n"/>
      <c r="P18225" s="20" t="n"/>
      <c r="Q18225" s="19" t="n"/>
      <c r="R18225" s="19" t="n"/>
      <c r="Y18225" s="19" t="n"/>
    </row>
    <row r="18226">
      <c r="C18226" s="18" t="n"/>
      <c r="J18226" s="19" t="n"/>
      <c r="P18226" s="20" t="n"/>
      <c r="Q18226" s="19" t="n"/>
      <c r="R18226" s="19" t="n"/>
      <c r="Y18226" s="19" t="n"/>
    </row>
    <row r="18227">
      <c r="C18227" s="18" t="n"/>
      <c r="J18227" s="19" t="n"/>
      <c r="P18227" s="20" t="n"/>
      <c r="Q18227" s="19" t="n"/>
      <c r="R18227" s="19" t="n"/>
      <c r="Y18227" s="19" t="n"/>
    </row>
    <row r="18228">
      <c r="C18228" s="18" t="n"/>
      <c r="J18228" s="19" t="n"/>
      <c r="P18228" s="20" t="n"/>
      <c r="Q18228" s="19" t="n"/>
      <c r="R18228" s="19" t="n"/>
      <c r="Y18228" s="19" t="n"/>
    </row>
    <row r="18229">
      <c r="C18229" s="18" t="n"/>
      <c r="J18229" s="19" t="n"/>
      <c r="P18229" s="20" t="n"/>
      <c r="Q18229" s="19" t="n"/>
      <c r="R18229" s="19" t="n"/>
      <c r="Y18229" s="19" t="n"/>
    </row>
    <row r="18230">
      <c r="C18230" s="18" t="n"/>
      <c r="J18230" s="19" t="n"/>
      <c r="P18230" s="20" t="n"/>
      <c r="Q18230" s="19" t="n"/>
      <c r="R18230" s="19" t="n"/>
      <c r="Y18230" s="19" t="n"/>
    </row>
    <row r="18231">
      <c r="C18231" s="18" t="n"/>
      <c r="J18231" s="19" t="n"/>
      <c r="P18231" s="20" t="n"/>
      <c r="Q18231" s="19" t="n"/>
      <c r="R18231" s="19" t="n"/>
      <c r="Y18231" s="19" t="n"/>
    </row>
    <row r="18232">
      <c r="C18232" s="18" t="n"/>
      <c r="J18232" s="19" t="n"/>
      <c r="P18232" s="20" t="n"/>
      <c r="Q18232" s="19" t="n"/>
      <c r="R18232" s="19" t="n"/>
      <c r="Y18232" s="19" t="n"/>
    </row>
    <row r="18233">
      <c r="C18233" s="18" t="n"/>
      <c r="J18233" s="19" t="n"/>
      <c r="P18233" s="20" t="n"/>
      <c r="Q18233" s="19" t="n"/>
      <c r="R18233" s="19" t="n"/>
      <c r="Y18233" s="19" t="n"/>
    </row>
    <row r="18234">
      <c r="C18234" s="18" t="n"/>
      <c r="J18234" s="19" t="n"/>
      <c r="P18234" s="20" t="n"/>
      <c r="Q18234" s="19" t="n"/>
      <c r="R18234" s="19" t="n"/>
      <c r="Y18234" s="19" t="n"/>
    </row>
    <row r="18235">
      <c r="C18235" s="18" t="n"/>
      <c r="J18235" s="19" t="n"/>
      <c r="P18235" s="20" t="n"/>
      <c r="Q18235" s="19" t="n"/>
      <c r="R18235" s="19" t="n"/>
      <c r="Y18235" s="19" t="n"/>
    </row>
    <row r="18236">
      <c r="C18236" s="18" t="n"/>
      <c r="J18236" s="19" t="n"/>
      <c r="P18236" s="20" t="n"/>
      <c r="Q18236" s="19" t="n"/>
      <c r="R18236" s="19" t="n"/>
      <c r="Y18236" s="19" t="n"/>
    </row>
    <row r="18237">
      <c r="C18237" s="18" t="n"/>
      <c r="J18237" s="19" t="n"/>
      <c r="P18237" s="20" t="n"/>
      <c r="Q18237" s="19" t="n"/>
      <c r="R18237" s="19" t="n"/>
      <c r="Y18237" s="19" t="n"/>
    </row>
    <row r="18238">
      <c r="C18238" s="18" t="n"/>
      <c r="J18238" s="19" t="n"/>
      <c r="P18238" s="20" t="n"/>
      <c r="Q18238" s="19" t="n"/>
      <c r="R18238" s="19" t="n"/>
      <c r="Y18238" s="19" t="n"/>
    </row>
    <row r="18239">
      <c r="C18239" s="18" t="n"/>
      <c r="J18239" s="19" t="n"/>
      <c r="P18239" s="20" t="n"/>
      <c r="Q18239" s="19" t="n"/>
      <c r="R18239" s="19" t="n"/>
      <c r="Y18239" s="19" t="n"/>
    </row>
    <row r="18240">
      <c r="C18240" s="18" t="n"/>
      <c r="J18240" s="19" t="n"/>
      <c r="P18240" s="20" t="n"/>
      <c r="Q18240" s="19" t="n"/>
      <c r="R18240" s="19" t="n"/>
      <c r="Y18240" s="19" t="n"/>
    </row>
    <row r="18241">
      <c r="C18241" s="18" t="n"/>
      <c r="J18241" s="19" t="n"/>
      <c r="P18241" s="20" t="n"/>
      <c r="Q18241" s="19" t="n"/>
      <c r="R18241" s="19" t="n"/>
      <c r="Y18241" s="19" t="n"/>
    </row>
    <row r="18242">
      <c r="C18242" s="18" t="n"/>
      <c r="J18242" s="19" t="n"/>
      <c r="P18242" s="20" t="n"/>
      <c r="Q18242" s="19" t="n"/>
      <c r="R18242" s="19" t="n"/>
      <c r="Y18242" s="19" t="n"/>
    </row>
    <row r="18243">
      <c r="C18243" s="18" t="n"/>
      <c r="J18243" s="19" t="n"/>
      <c r="P18243" s="20" t="n"/>
      <c r="Q18243" s="19" t="n"/>
      <c r="R18243" s="19" t="n"/>
      <c r="Y18243" s="19" t="n"/>
    </row>
    <row r="18244">
      <c r="C18244" s="18" t="n"/>
      <c r="J18244" s="19" t="n"/>
      <c r="P18244" s="20" t="n"/>
      <c r="Q18244" s="19" t="n"/>
      <c r="R18244" s="19" t="n"/>
      <c r="Y18244" s="19" t="n"/>
    </row>
    <row r="18245">
      <c r="C18245" s="18" t="n"/>
      <c r="J18245" s="19" t="n"/>
      <c r="P18245" s="20" t="n"/>
      <c r="Q18245" s="19" t="n"/>
      <c r="R18245" s="19" t="n"/>
      <c r="Y18245" s="19" t="n"/>
    </row>
    <row r="18246">
      <c r="C18246" s="18" t="n"/>
      <c r="J18246" s="19" t="n"/>
      <c r="P18246" s="20" t="n"/>
      <c r="Q18246" s="19" t="n"/>
      <c r="R18246" s="19" t="n"/>
      <c r="Y18246" s="19" t="n"/>
    </row>
    <row r="18247">
      <c r="C18247" s="18" t="n"/>
      <c r="J18247" s="19" t="n"/>
      <c r="P18247" s="20" t="n"/>
      <c r="Q18247" s="19" t="n"/>
      <c r="R18247" s="19" t="n"/>
      <c r="Y18247" s="19" t="n"/>
    </row>
    <row r="18248">
      <c r="C18248" s="18" t="n"/>
      <c r="J18248" s="19" t="n"/>
      <c r="P18248" s="20" t="n"/>
      <c r="Q18248" s="19" t="n"/>
      <c r="R18248" s="19" t="n"/>
      <c r="Y18248" s="19" t="n"/>
    </row>
    <row r="18249">
      <c r="C18249" s="18" t="n"/>
      <c r="J18249" s="19" t="n"/>
      <c r="P18249" s="20" t="n"/>
      <c r="Q18249" s="19" t="n"/>
      <c r="R18249" s="19" t="n"/>
      <c r="Y18249" s="19" t="n"/>
    </row>
    <row r="18250">
      <c r="C18250" s="18" t="n"/>
      <c r="J18250" s="19" t="n"/>
      <c r="P18250" s="20" t="n"/>
      <c r="Q18250" s="19" t="n"/>
      <c r="R18250" s="19" t="n"/>
      <c r="Y18250" s="19" t="n"/>
    </row>
    <row r="18251">
      <c r="C18251" s="18" t="n"/>
      <c r="J18251" s="19" t="n"/>
      <c r="P18251" s="20" t="n"/>
      <c r="Q18251" s="19" t="n"/>
      <c r="R18251" s="19" t="n"/>
      <c r="Y18251" s="19" t="n"/>
    </row>
    <row r="18252">
      <c r="C18252" s="18" t="n"/>
      <c r="J18252" s="19" t="n"/>
      <c r="P18252" s="20" t="n"/>
      <c r="Q18252" s="19" t="n"/>
      <c r="R18252" s="19" t="n"/>
      <c r="Y18252" s="19" t="n"/>
    </row>
    <row r="18253">
      <c r="C18253" s="18" t="n"/>
      <c r="J18253" s="19" t="n"/>
      <c r="P18253" s="20" t="n"/>
      <c r="Q18253" s="19" t="n"/>
      <c r="R18253" s="19" t="n"/>
      <c r="Y18253" s="19" t="n"/>
    </row>
    <row r="18254">
      <c r="C18254" s="18" t="n"/>
      <c r="J18254" s="19" t="n"/>
      <c r="P18254" s="20" t="n"/>
      <c r="Q18254" s="19" t="n"/>
      <c r="R18254" s="19" t="n"/>
      <c r="Y18254" s="19" t="n"/>
    </row>
    <row r="18255">
      <c r="C18255" s="18" t="n"/>
      <c r="J18255" s="19" t="n"/>
      <c r="P18255" s="20" t="n"/>
      <c r="Q18255" s="19" t="n"/>
      <c r="R18255" s="19" t="n"/>
      <c r="Y18255" s="19" t="n"/>
    </row>
    <row r="18256">
      <c r="C18256" s="18" t="n"/>
      <c r="J18256" s="19" t="n"/>
      <c r="P18256" s="20" t="n"/>
      <c r="Q18256" s="19" t="n"/>
      <c r="R18256" s="19" t="n"/>
      <c r="Y18256" s="19" t="n"/>
    </row>
    <row r="18257">
      <c r="C18257" s="18" t="n"/>
      <c r="J18257" s="19" t="n"/>
      <c r="P18257" s="20" t="n"/>
      <c r="Q18257" s="19" t="n"/>
      <c r="R18257" s="19" t="n"/>
      <c r="Y18257" s="19" t="n"/>
    </row>
    <row r="18258">
      <c r="C18258" s="18" t="n"/>
      <c r="J18258" s="19" t="n"/>
      <c r="P18258" s="20" t="n"/>
      <c r="Q18258" s="19" t="n"/>
      <c r="R18258" s="19" t="n"/>
      <c r="Y18258" s="19" t="n"/>
    </row>
    <row r="18259">
      <c r="C18259" s="18" t="n"/>
      <c r="J18259" s="19" t="n"/>
      <c r="P18259" s="20" t="n"/>
      <c r="Q18259" s="19" t="n"/>
      <c r="R18259" s="19" t="n"/>
      <c r="Y18259" s="19" t="n"/>
    </row>
    <row r="18260">
      <c r="C18260" s="18" t="n"/>
      <c r="J18260" s="19" t="n"/>
      <c r="P18260" s="20" t="n"/>
      <c r="Q18260" s="19" t="n"/>
      <c r="R18260" s="19" t="n"/>
      <c r="Y18260" s="19" t="n"/>
    </row>
    <row r="18261">
      <c r="C18261" s="18" t="n"/>
      <c r="J18261" s="19" t="n"/>
      <c r="P18261" s="20" t="n"/>
      <c r="Q18261" s="19" t="n"/>
      <c r="R18261" s="19" t="n"/>
      <c r="Y18261" s="19" t="n"/>
    </row>
    <row r="18262">
      <c r="C18262" s="18" t="n"/>
      <c r="J18262" s="19" t="n"/>
      <c r="P18262" s="20" t="n"/>
      <c r="Q18262" s="19" t="n"/>
      <c r="R18262" s="19" t="n"/>
      <c r="Y18262" s="19" t="n"/>
    </row>
    <row r="18263">
      <c r="C18263" s="18" t="n"/>
      <c r="J18263" s="19" t="n"/>
      <c r="P18263" s="20" t="n"/>
      <c r="Q18263" s="19" t="n"/>
      <c r="R18263" s="19" t="n"/>
      <c r="Y18263" s="19" t="n"/>
    </row>
    <row r="18264">
      <c r="C18264" s="18" t="n"/>
      <c r="J18264" s="19" t="n"/>
      <c r="P18264" s="20" t="n"/>
      <c r="Q18264" s="19" t="n"/>
      <c r="R18264" s="19" t="n"/>
      <c r="Y18264" s="19" t="n"/>
    </row>
    <row r="18265">
      <c r="C18265" s="18" t="n"/>
      <c r="J18265" s="19" t="n"/>
      <c r="P18265" s="20" t="n"/>
      <c r="Q18265" s="19" t="n"/>
      <c r="R18265" s="19" t="n"/>
      <c r="Y18265" s="19" t="n"/>
    </row>
    <row r="18266">
      <c r="C18266" s="18" t="n"/>
      <c r="J18266" s="19" t="n"/>
      <c r="P18266" s="20" t="n"/>
      <c r="Q18266" s="19" t="n"/>
      <c r="R18266" s="19" t="n"/>
      <c r="Y18266" s="19" t="n"/>
    </row>
    <row r="18267">
      <c r="C18267" s="18" t="n"/>
      <c r="J18267" s="19" t="n"/>
      <c r="P18267" s="20" t="n"/>
      <c r="Q18267" s="19" t="n"/>
      <c r="R18267" s="19" t="n"/>
      <c r="Y18267" s="19" t="n"/>
    </row>
    <row r="18268">
      <c r="C18268" s="18" t="n"/>
      <c r="J18268" s="19" t="n"/>
      <c r="P18268" s="20" t="n"/>
      <c r="Q18268" s="19" t="n"/>
      <c r="R18268" s="19" t="n"/>
      <c r="Y18268" s="19" t="n"/>
    </row>
    <row r="18269">
      <c r="C18269" s="18" t="n"/>
      <c r="J18269" s="19" t="n"/>
      <c r="P18269" s="20" t="n"/>
      <c r="Q18269" s="19" t="n"/>
      <c r="R18269" s="19" t="n"/>
      <c r="Y18269" s="19" t="n"/>
    </row>
    <row r="18270">
      <c r="C18270" s="18" t="n"/>
      <c r="J18270" s="19" t="n"/>
      <c r="P18270" s="20" t="n"/>
      <c r="Q18270" s="19" t="n"/>
      <c r="R18270" s="19" t="n"/>
      <c r="Y18270" s="19" t="n"/>
    </row>
    <row r="18271">
      <c r="C18271" s="18" t="n"/>
      <c r="J18271" s="19" t="n"/>
      <c r="P18271" s="20" t="n"/>
      <c r="Q18271" s="19" t="n"/>
      <c r="R18271" s="19" t="n"/>
      <c r="Y18271" s="19" t="n"/>
    </row>
    <row r="18272">
      <c r="C18272" s="18" t="n"/>
      <c r="J18272" s="19" t="n"/>
      <c r="P18272" s="20" t="n"/>
      <c r="Q18272" s="19" t="n"/>
      <c r="R18272" s="19" t="n"/>
      <c r="Y18272" s="19" t="n"/>
    </row>
    <row r="18273">
      <c r="C18273" s="18" t="n"/>
      <c r="J18273" s="19" t="n"/>
      <c r="P18273" s="20" t="n"/>
      <c r="Q18273" s="19" t="n"/>
      <c r="R18273" s="19" t="n"/>
      <c r="Y18273" s="19" t="n"/>
    </row>
    <row r="18274">
      <c r="C18274" s="18" t="n"/>
      <c r="J18274" s="19" t="n"/>
      <c r="P18274" s="20" t="n"/>
      <c r="Q18274" s="19" t="n"/>
      <c r="R18274" s="19" t="n"/>
      <c r="Y18274" s="19" t="n"/>
    </row>
    <row r="18275">
      <c r="C18275" s="18" t="n"/>
      <c r="J18275" s="19" t="n"/>
      <c r="P18275" s="20" t="n"/>
      <c r="Q18275" s="19" t="n"/>
      <c r="R18275" s="19" t="n"/>
      <c r="Y18275" s="19" t="n"/>
    </row>
    <row r="18276">
      <c r="C18276" s="18" t="n"/>
      <c r="J18276" s="19" t="n"/>
      <c r="P18276" s="20" t="n"/>
      <c r="Q18276" s="19" t="n"/>
      <c r="R18276" s="19" t="n"/>
      <c r="Y18276" s="19" t="n"/>
    </row>
    <row r="18277">
      <c r="C18277" s="18" t="n"/>
      <c r="J18277" s="19" t="n"/>
      <c r="P18277" s="20" t="n"/>
      <c r="Q18277" s="19" t="n"/>
      <c r="R18277" s="19" t="n"/>
      <c r="Y18277" s="19" t="n"/>
    </row>
    <row r="18278">
      <c r="C18278" s="18" t="n"/>
      <c r="J18278" s="19" t="n"/>
      <c r="P18278" s="20" t="n"/>
      <c r="Q18278" s="19" t="n"/>
      <c r="R18278" s="19" t="n"/>
      <c r="Y18278" s="19" t="n"/>
    </row>
    <row r="18279">
      <c r="C18279" s="18" t="n"/>
      <c r="J18279" s="19" t="n"/>
      <c r="P18279" s="20" t="n"/>
      <c r="Q18279" s="19" t="n"/>
      <c r="R18279" s="19" t="n"/>
      <c r="Y18279" s="19" t="n"/>
    </row>
    <row r="18280">
      <c r="C18280" s="18" t="n"/>
      <c r="J18280" s="19" t="n"/>
      <c r="P18280" s="20" t="n"/>
      <c r="Q18280" s="19" t="n"/>
      <c r="R18280" s="19" t="n"/>
      <c r="Y18280" s="19" t="n"/>
    </row>
    <row r="18281">
      <c r="C18281" s="18" t="n"/>
      <c r="J18281" s="19" t="n"/>
      <c r="P18281" s="20" t="n"/>
      <c r="Q18281" s="19" t="n"/>
      <c r="R18281" s="19" t="n"/>
      <c r="Y18281" s="19" t="n"/>
    </row>
    <row r="18282">
      <c r="C18282" s="18" t="n"/>
      <c r="J18282" s="19" t="n"/>
      <c r="P18282" s="20" t="n"/>
      <c r="Q18282" s="19" t="n"/>
      <c r="R18282" s="19" t="n"/>
      <c r="Y18282" s="19" t="n"/>
    </row>
    <row r="18283">
      <c r="C18283" s="18" t="n"/>
      <c r="J18283" s="19" t="n"/>
      <c r="P18283" s="20" t="n"/>
      <c r="Q18283" s="19" t="n"/>
      <c r="R18283" s="19" t="n"/>
      <c r="Y18283" s="19" t="n"/>
    </row>
    <row r="18284">
      <c r="C18284" s="18" t="n"/>
      <c r="J18284" s="19" t="n"/>
      <c r="P18284" s="20" t="n"/>
      <c r="Q18284" s="19" t="n"/>
      <c r="R18284" s="19" t="n"/>
      <c r="Y18284" s="19" t="n"/>
    </row>
    <row r="18285">
      <c r="C18285" s="18" t="n"/>
      <c r="J18285" s="19" t="n"/>
      <c r="P18285" s="20" t="n"/>
      <c r="Q18285" s="19" t="n"/>
      <c r="R18285" s="19" t="n"/>
      <c r="Y18285" s="19" t="n"/>
    </row>
    <row r="18286">
      <c r="C18286" s="18" t="n"/>
      <c r="J18286" s="19" t="n"/>
      <c r="P18286" s="20" t="n"/>
      <c r="Q18286" s="19" t="n"/>
      <c r="R18286" s="19" t="n"/>
      <c r="Y18286" s="19" t="n"/>
    </row>
    <row r="18287">
      <c r="C18287" s="18" t="n"/>
      <c r="J18287" s="19" t="n"/>
      <c r="P18287" s="20" t="n"/>
      <c r="Q18287" s="19" t="n"/>
      <c r="R18287" s="19" t="n"/>
      <c r="Y18287" s="19" t="n"/>
    </row>
    <row r="18288">
      <c r="C18288" s="18" t="n"/>
      <c r="J18288" s="19" t="n"/>
      <c r="P18288" s="20" t="n"/>
      <c r="Q18288" s="19" t="n"/>
      <c r="R18288" s="19" t="n"/>
      <c r="Y18288" s="19" t="n"/>
    </row>
    <row r="18289">
      <c r="C18289" s="18" t="n"/>
      <c r="J18289" s="19" t="n"/>
      <c r="P18289" s="20" t="n"/>
      <c r="Q18289" s="19" t="n"/>
      <c r="R18289" s="19" t="n"/>
      <c r="Y18289" s="19" t="n"/>
    </row>
    <row r="18290">
      <c r="C18290" s="18" t="n"/>
      <c r="J18290" s="19" t="n"/>
      <c r="P18290" s="20" t="n"/>
      <c r="Q18290" s="19" t="n"/>
      <c r="R18290" s="19" t="n"/>
      <c r="Y18290" s="19" t="n"/>
    </row>
    <row r="18291">
      <c r="C18291" s="18" t="n"/>
      <c r="J18291" s="19" t="n"/>
      <c r="P18291" s="20" t="n"/>
      <c r="Q18291" s="19" t="n"/>
      <c r="R18291" s="19" t="n"/>
      <c r="Y18291" s="19" t="n"/>
    </row>
    <row r="18292">
      <c r="C18292" s="18" t="n"/>
      <c r="J18292" s="19" t="n"/>
      <c r="P18292" s="20" t="n"/>
      <c r="Q18292" s="19" t="n"/>
      <c r="R18292" s="19" t="n"/>
      <c r="Y18292" s="19" t="n"/>
    </row>
    <row r="18293">
      <c r="C18293" s="18" t="n"/>
      <c r="J18293" s="19" t="n"/>
      <c r="P18293" s="20" t="n"/>
      <c r="Q18293" s="19" t="n"/>
      <c r="R18293" s="19" t="n"/>
      <c r="Y18293" s="19" t="n"/>
    </row>
    <row r="18294">
      <c r="C18294" s="18" t="n"/>
      <c r="J18294" s="19" t="n"/>
      <c r="P18294" s="20" t="n"/>
      <c r="Q18294" s="19" t="n"/>
      <c r="R18294" s="19" t="n"/>
      <c r="Y18294" s="19" t="n"/>
    </row>
    <row r="18295">
      <c r="C18295" s="18" t="n"/>
      <c r="J18295" s="19" t="n"/>
      <c r="P18295" s="20" t="n"/>
      <c r="Q18295" s="19" t="n"/>
      <c r="R18295" s="19" t="n"/>
      <c r="Y18295" s="19" t="n"/>
    </row>
    <row r="18296">
      <c r="C18296" s="18" t="n"/>
      <c r="J18296" s="19" t="n"/>
      <c r="P18296" s="20" t="n"/>
      <c r="Q18296" s="19" t="n"/>
      <c r="R18296" s="19" t="n"/>
      <c r="Y18296" s="19" t="n"/>
    </row>
    <row r="18297">
      <c r="C18297" s="18" t="n"/>
      <c r="J18297" s="19" t="n"/>
      <c r="P18297" s="20" t="n"/>
      <c r="Q18297" s="19" t="n"/>
      <c r="R18297" s="19" t="n"/>
      <c r="Y18297" s="19" t="n"/>
    </row>
    <row r="18298">
      <c r="C18298" s="18" t="n"/>
      <c r="J18298" s="19" t="n"/>
      <c r="P18298" s="20" t="n"/>
      <c r="Q18298" s="19" t="n"/>
      <c r="R18298" s="19" t="n"/>
      <c r="Y18298" s="19" t="n"/>
    </row>
    <row r="18299">
      <c r="C18299" s="18" t="n"/>
      <c r="J18299" s="19" t="n"/>
      <c r="P18299" s="20" t="n"/>
      <c r="Q18299" s="19" t="n"/>
      <c r="R18299" s="19" t="n"/>
      <c r="Y18299" s="19" t="n"/>
    </row>
    <row r="18300">
      <c r="C18300" s="18" t="n"/>
      <c r="J18300" s="19" t="n"/>
      <c r="P18300" s="20" t="n"/>
      <c r="Q18300" s="19" t="n"/>
      <c r="R18300" s="19" t="n"/>
      <c r="Y18300" s="19" t="n"/>
    </row>
    <row r="18301">
      <c r="C18301" s="18" t="n"/>
      <c r="J18301" s="19" t="n"/>
      <c r="P18301" s="20" t="n"/>
      <c r="Q18301" s="19" t="n"/>
      <c r="R18301" s="19" t="n"/>
      <c r="Y18301" s="19" t="n"/>
    </row>
    <row r="18302">
      <c r="C18302" s="18" t="n"/>
      <c r="J18302" s="19" t="n"/>
      <c r="P18302" s="20" t="n"/>
      <c r="Q18302" s="19" t="n"/>
      <c r="R18302" s="19" t="n"/>
      <c r="Y18302" s="19" t="n"/>
    </row>
    <row r="18303">
      <c r="C18303" s="18" t="n"/>
      <c r="J18303" s="19" t="n"/>
      <c r="P18303" s="20" t="n"/>
      <c r="Q18303" s="19" t="n"/>
      <c r="R18303" s="19" t="n"/>
      <c r="Y18303" s="19" t="n"/>
    </row>
    <row r="18304">
      <c r="C18304" s="18" t="n"/>
      <c r="J18304" s="19" t="n"/>
      <c r="P18304" s="20" t="n"/>
      <c r="Q18304" s="19" t="n"/>
      <c r="R18304" s="19" t="n"/>
      <c r="Y18304" s="19" t="n"/>
    </row>
    <row r="18305">
      <c r="C18305" s="18" t="n"/>
      <c r="J18305" s="19" t="n"/>
      <c r="P18305" s="20" t="n"/>
      <c r="Q18305" s="19" t="n"/>
      <c r="R18305" s="19" t="n"/>
      <c r="Y18305" s="19" t="n"/>
    </row>
    <row r="18306">
      <c r="C18306" s="18" t="n"/>
      <c r="J18306" s="19" t="n"/>
      <c r="P18306" s="20" t="n"/>
      <c r="Q18306" s="19" t="n"/>
      <c r="R18306" s="19" t="n"/>
      <c r="Y18306" s="19" t="n"/>
    </row>
    <row r="18307">
      <c r="C18307" s="18" t="n"/>
      <c r="J18307" s="19" t="n"/>
      <c r="P18307" s="20" t="n"/>
      <c r="Q18307" s="19" t="n"/>
      <c r="R18307" s="19" t="n"/>
      <c r="Y18307" s="19" t="n"/>
    </row>
    <row r="18308">
      <c r="C18308" s="18" t="n"/>
      <c r="J18308" s="19" t="n"/>
      <c r="P18308" s="20" t="n"/>
      <c r="Q18308" s="19" t="n"/>
      <c r="R18308" s="19" t="n"/>
      <c r="Y18308" s="19" t="n"/>
    </row>
    <row r="18309">
      <c r="C18309" s="18" t="n"/>
      <c r="J18309" s="19" t="n"/>
      <c r="P18309" s="20" t="n"/>
      <c r="Q18309" s="19" t="n"/>
      <c r="R18309" s="19" t="n"/>
      <c r="Y18309" s="19" t="n"/>
    </row>
    <row r="18310">
      <c r="C18310" s="18" t="n"/>
      <c r="J18310" s="19" t="n"/>
      <c r="P18310" s="20" t="n"/>
      <c r="Q18310" s="19" t="n"/>
      <c r="R18310" s="19" t="n"/>
      <c r="Y18310" s="19" t="n"/>
    </row>
    <row r="18311">
      <c r="C18311" s="18" t="n"/>
      <c r="J18311" s="19" t="n"/>
      <c r="P18311" s="20" t="n"/>
      <c r="Q18311" s="19" t="n"/>
      <c r="R18311" s="19" t="n"/>
      <c r="Y18311" s="19" t="n"/>
    </row>
    <row r="18312">
      <c r="C18312" s="18" t="n"/>
      <c r="J18312" s="19" t="n"/>
      <c r="P18312" s="20" t="n"/>
      <c r="Q18312" s="19" t="n"/>
      <c r="R18312" s="19" t="n"/>
      <c r="Y18312" s="19" t="n"/>
    </row>
    <row r="18313">
      <c r="C18313" s="18" t="n"/>
      <c r="J18313" s="19" t="n"/>
      <c r="P18313" s="20" t="n"/>
      <c r="Q18313" s="19" t="n"/>
      <c r="R18313" s="19" t="n"/>
      <c r="Y18313" s="19" t="n"/>
    </row>
    <row r="18314">
      <c r="C18314" s="18" t="n"/>
      <c r="J18314" s="19" t="n"/>
      <c r="P18314" s="20" t="n"/>
      <c r="Q18314" s="19" t="n"/>
      <c r="R18314" s="19" t="n"/>
      <c r="Y18314" s="19" t="n"/>
    </row>
    <row r="18315">
      <c r="C18315" s="18" t="n"/>
      <c r="J18315" s="19" t="n"/>
      <c r="P18315" s="20" t="n"/>
      <c r="Q18315" s="19" t="n"/>
      <c r="R18315" s="19" t="n"/>
      <c r="Y18315" s="19" t="n"/>
    </row>
    <row r="18316">
      <c r="C18316" s="18" t="n"/>
      <c r="J18316" s="19" t="n"/>
      <c r="P18316" s="20" t="n"/>
      <c r="Q18316" s="19" t="n"/>
      <c r="R18316" s="19" t="n"/>
      <c r="Y18316" s="19" t="n"/>
    </row>
    <row r="18317">
      <c r="C18317" s="18" t="n"/>
      <c r="J18317" s="19" t="n"/>
      <c r="P18317" s="20" t="n"/>
      <c r="Q18317" s="19" t="n"/>
      <c r="R18317" s="19" t="n"/>
      <c r="Y18317" s="19" t="n"/>
    </row>
    <row r="18318">
      <c r="C18318" s="18" t="n"/>
      <c r="J18318" s="19" t="n"/>
      <c r="P18318" s="20" t="n"/>
      <c r="Q18318" s="19" t="n"/>
      <c r="R18318" s="19" t="n"/>
      <c r="Y18318" s="19" t="n"/>
    </row>
    <row r="18319">
      <c r="C18319" s="18" t="n"/>
      <c r="J18319" s="19" t="n"/>
      <c r="P18319" s="20" t="n"/>
      <c r="Q18319" s="19" t="n"/>
      <c r="R18319" s="19" t="n"/>
      <c r="Y18319" s="19" t="n"/>
    </row>
    <row r="18320">
      <c r="C18320" s="18" t="n"/>
      <c r="J18320" s="19" t="n"/>
      <c r="P18320" s="20" t="n"/>
      <c r="Q18320" s="19" t="n"/>
      <c r="R18320" s="19" t="n"/>
      <c r="Y18320" s="19" t="n"/>
    </row>
    <row r="18321">
      <c r="C18321" s="18" t="n"/>
      <c r="J18321" s="19" t="n"/>
      <c r="P18321" s="20" t="n"/>
      <c r="Q18321" s="19" t="n"/>
      <c r="R18321" s="19" t="n"/>
      <c r="Y18321" s="19" t="n"/>
    </row>
    <row r="18322">
      <c r="C18322" s="18" t="n"/>
      <c r="J18322" s="19" t="n"/>
      <c r="P18322" s="20" t="n"/>
      <c r="Q18322" s="19" t="n"/>
      <c r="R18322" s="19" t="n"/>
      <c r="Y18322" s="19" t="n"/>
    </row>
    <row r="18323">
      <c r="C18323" s="18" t="n"/>
      <c r="J18323" s="19" t="n"/>
      <c r="P18323" s="20" t="n"/>
      <c r="Q18323" s="19" t="n"/>
      <c r="R18323" s="19" t="n"/>
      <c r="Y18323" s="19" t="n"/>
    </row>
    <row r="18324">
      <c r="C18324" s="18" t="n"/>
      <c r="J18324" s="19" t="n"/>
      <c r="P18324" s="20" t="n"/>
      <c r="Q18324" s="19" t="n"/>
      <c r="R18324" s="19" t="n"/>
      <c r="Y18324" s="19" t="n"/>
    </row>
    <row r="18325">
      <c r="C18325" s="18" t="n"/>
      <c r="J18325" s="19" t="n"/>
      <c r="P18325" s="20" t="n"/>
      <c r="Q18325" s="19" t="n"/>
      <c r="R18325" s="19" t="n"/>
      <c r="Y18325" s="19" t="n"/>
    </row>
    <row r="18326">
      <c r="C18326" s="18" t="n"/>
      <c r="J18326" s="19" t="n"/>
      <c r="P18326" s="20" t="n"/>
      <c r="Q18326" s="19" t="n"/>
      <c r="R18326" s="19" t="n"/>
      <c r="Y18326" s="19" t="n"/>
    </row>
    <row r="18327">
      <c r="C18327" s="18" t="n"/>
      <c r="J18327" s="19" t="n"/>
      <c r="P18327" s="20" t="n"/>
      <c r="Q18327" s="19" t="n"/>
      <c r="R18327" s="19" t="n"/>
      <c r="Y18327" s="19" t="n"/>
    </row>
    <row r="18328">
      <c r="C18328" s="18" t="n"/>
      <c r="J18328" s="19" t="n"/>
      <c r="P18328" s="20" t="n"/>
      <c r="Q18328" s="19" t="n"/>
      <c r="R18328" s="19" t="n"/>
      <c r="Y18328" s="19" t="n"/>
    </row>
    <row r="18329">
      <c r="C18329" s="18" t="n"/>
      <c r="J18329" s="19" t="n"/>
      <c r="P18329" s="20" t="n"/>
      <c r="Q18329" s="19" t="n"/>
      <c r="R18329" s="19" t="n"/>
      <c r="Y18329" s="19" t="n"/>
    </row>
    <row r="18330">
      <c r="C18330" s="18" t="n"/>
      <c r="J18330" s="19" t="n"/>
      <c r="P18330" s="20" t="n"/>
      <c r="Q18330" s="19" t="n"/>
      <c r="R18330" s="19" t="n"/>
      <c r="Y18330" s="19" t="n"/>
    </row>
    <row r="18331">
      <c r="C18331" s="18" t="n"/>
      <c r="J18331" s="19" t="n"/>
      <c r="P18331" s="20" t="n"/>
      <c r="Q18331" s="19" t="n"/>
      <c r="R18331" s="19" t="n"/>
      <c r="Y18331" s="19" t="n"/>
    </row>
    <row r="18332">
      <c r="C18332" s="18" t="n"/>
      <c r="J18332" s="19" t="n"/>
      <c r="P18332" s="20" t="n"/>
      <c r="Q18332" s="19" t="n"/>
      <c r="R18332" s="19" t="n"/>
      <c r="Y18332" s="19" t="n"/>
    </row>
    <row r="18333">
      <c r="C18333" s="18" t="n"/>
      <c r="J18333" s="19" t="n"/>
      <c r="P18333" s="20" t="n"/>
      <c r="Q18333" s="19" t="n"/>
      <c r="R18333" s="19" t="n"/>
      <c r="Y18333" s="19" t="n"/>
    </row>
    <row r="18334">
      <c r="C18334" s="18" t="n"/>
      <c r="J18334" s="19" t="n"/>
      <c r="P18334" s="20" t="n"/>
      <c r="Q18334" s="19" t="n"/>
      <c r="R18334" s="19" t="n"/>
      <c r="Y18334" s="19" t="n"/>
    </row>
    <row r="18335">
      <c r="C18335" s="18" t="n"/>
      <c r="J18335" s="19" t="n"/>
      <c r="P18335" s="20" t="n"/>
      <c r="Q18335" s="19" t="n"/>
      <c r="R18335" s="19" t="n"/>
      <c r="Y18335" s="19" t="n"/>
    </row>
    <row r="18336">
      <c r="C18336" s="18" t="n"/>
      <c r="J18336" s="19" t="n"/>
      <c r="P18336" s="20" t="n"/>
      <c r="Q18336" s="19" t="n"/>
      <c r="R18336" s="19" t="n"/>
      <c r="Y18336" s="19" t="n"/>
    </row>
    <row r="18337">
      <c r="C18337" s="18" t="n"/>
      <c r="J18337" s="19" t="n"/>
      <c r="P18337" s="20" t="n"/>
      <c r="Q18337" s="19" t="n"/>
      <c r="R18337" s="19" t="n"/>
      <c r="Y18337" s="19" t="n"/>
    </row>
    <row r="18338">
      <c r="C18338" s="18" t="n"/>
      <c r="J18338" s="19" t="n"/>
      <c r="P18338" s="20" t="n"/>
      <c r="Q18338" s="19" t="n"/>
      <c r="R18338" s="19" t="n"/>
      <c r="Y18338" s="19" t="n"/>
    </row>
    <row r="18339">
      <c r="C18339" s="18" t="n"/>
      <c r="J18339" s="19" t="n"/>
      <c r="P18339" s="20" t="n"/>
      <c r="Q18339" s="19" t="n"/>
      <c r="R18339" s="19" t="n"/>
      <c r="Y18339" s="19" t="n"/>
    </row>
    <row r="18340">
      <c r="C18340" s="18" t="n"/>
      <c r="J18340" s="19" t="n"/>
      <c r="P18340" s="20" t="n"/>
      <c r="Q18340" s="19" t="n"/>
      <c r="R18340" s="19" t="n"/>
      <c r="Y18340" s="19" t="n"/>
    </row>
    <row r="18341">
      <c r="C18341" s="18" t="n"/>
      <c r="J18341" s="19" t="n"/>
      <c r="P18341" s="20" t="n"/>
      <c r="Q18341" s="19" t="n"/>
      <c r="R18341" s="19" t="n"/>
      <c r="Y18341" s="19" t="n"/>
    </row>
    <row r="18342">
      <c r="C18342" s="18" t="n"/>
      <c r="J18342" s="19" t="n"/>
      <c r="P18342" s="20" t="n"/>
      <c r="Q18342" s="19" t="n"/>
      <c r="R18342" s="19" t="n"/>
      <c r="Y18342" s="19" t="n"/>
    </row>
    <row r="18343">
      <c r="C18343" s="18" t="n"/>
      <c r="J18343" s="19" t="n"/>
      <c r="P18343" s="20" t="n"/>
      <c r="Q18343" s="19" t="n"/>
      <c r="R18343" s="19" t="n"/>
      <c r="Y18343" s="19" t="n"/>
    </row>
    <row r="18344">
      <c r="C18344" s="18" t="n"/>
      <c r="J18344" s="19" t="n"/>
      <c r="P18344" s="20" t="n"/>
      <c r="Q18344" s="19" t="n"/>
      <c r="R18344" s="19" t="n"/>
      <c r="Y18344" s="19" t="n"/>
    </row>
    <row r="18345">
      <c r="C18345" s="18" t="n"/>
      <c r="J18345" s="19" t="n"/>
      <c r="P18345" s="20" t="n"/>
      <c r="Q18345" s="19" t="n"/>
      <c r="R18345" s="19" t="n"/>
      <c r="Y18345" s="19" t="n"/>
    </row>
    <row r="18346">
      <c r="C18346" s="18" t="n"/>
      <c r="J18346" s="19" t="n"/>
      <c r="P18346" s="20" t="n"/>
      <c r="Q18346" s="19" t="n"/>
      <c r="R18346" s="19" t="n"/>
      <c r="Y18346" s="19" t="n"/>
    </row>
    <row r="18347">
      <c r="C18347" s="18" t="n"/>
      <c r="J18347" s="19" t="n"/>
      <c r="P18347" s="20" t="n"/>
      <c r="Q18347" s="19" t="n"/>
      <c r="R18347" s="19" t="n"/>
      <c r="Y18347" s="19" t="n"/>
    </row>
    <row r="18348">
      <c r="C18348" s="18" t="n"/>
      <c r="J18348" s="19" t="n"/>
      <c r="P18348" s="20" t="n"/>
      <c r="Q18348" s="19" t="n"/>
      <c r="R18348" s="19" t="n"/>
      <c r="Y18348" s="19" t="n"/>
    </row>
    <row r="18349">
      <c r="C18349" s="18" t="n"/>
      <c r="J18349" s="19" t="n"/>
      <c r="P18349" s="20" t="n"/>
      <c r="Q18349" s="19" t="n"/>
      <c r="R18349" s="19" t="n"/>
      <c r="Y18349" s="19" t="n"/>
    </row>
    <row r="18350">
      <c r="C18350" s="18" t="n"/>
      <c r="J18350" s="19" t="n"/>
      <c r="P18350" s="20" t="n"/>
      <c r="Q18350" s="19" t="n"/>
      <c r="R18350" s="19" t="n"/>
      <c r="Y18350" s="19" t="n"/>
    </row>
    <row r="18351">
      <c r="C18351" s="18" t="n"/>
      <c r="J18351" s="19" t="n"/>
      <c r="P18351" s="20" t="n"/>
      <c r="Q18351" s="19" t="n"/>
      <c r="R18351" s="19" t="n"/>
      <c r="Y18351" s="19" t="n"/>
    </row>
    <row r="18352">
      <c r="C18352" s="18" t="n"/>
      <c r="J18352" s="19" t="n"/>
      <c r="P18352" s="20" t="n"/>
      <c r="Q18352" s="19" t="n"/>
      <c r="R18352" s="19" t="n"/>
      <c r="Y18352" s="19" t="n"/>
    </row>
    <row r="18353">
      <c r="C18353" s="18" t="n"/>
      <c r="J18353" s="19" t="n"/>
      <c r="P18353" s="20" t="n"/>
      <c r="Q18353" s="19" t="n"/>
      <c r="R18353" s="19" t="n"/>
      <c r="Y18353" s="19" t="n"/>
    </row>
    <row r="18354">
      <c r="C18354" s="18" t="n"/>
      <c r="J18354" s="19" t="n"/>
      <c r="P18354" s="20" t="n"/>
      <c r="Q18354" s="19" t="n"/>
      <c r="R18354" s="19" t="n"/>
      <c r="Y18354" s="19" t="n"/>
    </row>
    <row r="18355">
      <c r="C18355" s="18" t="n"/>
      <c r="J18355" s="19" t="n"/>
      <c r="P18355" s="20" t="n"/>
      <c r="Q18355" s="19" t="n"/>
      <c r="R18355" s="19" t="n"/>
      <c r="Y18355" s="19" t="n"/>
    </row>
    <row r="18356">
      <c r="C18356" s="18" t="n"/>
      <c r="J18356" s="19" t="n"/>
      <c r="P18356" s="20" t="n"/>
      <c r="Q18356" s="19" t="n"/>
      <c r="R18356" s="19" t="n"/>
      <c r="Y18356" s="19" t="n"/>
    </row>
    <row r="18357">
      <c r="C18357" s="18" t="n"/>
      <c r="J18357" s="19" t="n"/>
      <c r="P18357" s="20" t="n"/>
      <c r="Q18357" s="19" t="n"/>
      <c r="R18357" s="19" t="n"/>
      <c r="Y18357" s="19" t="n"/>
    </row>
    <row r="18358">
      <c r="C18358" s="18" t="n"/>
      <c r="J18358" s="19" t="n"/>
      <c r="P18358" s="20" t="n"/>
      <c r="Q18358" s="19" t="n"/>
      <c r="R18358" s="19" t="n"/>
      <c r="Y18358" s="19" t="n"/>
    </row>
    <row r="18359">
      <c r="C18359" s="18" t="n"/>
      <c r="J18359" s="19" t="n"/>
      <c r="P18359" s="20" t="n"/>
      <c r="Q18359" s="19" t="n"/>
      <c r="R18359" s="19" t="n"/>
      <c r="Y18359" s="19" t="n"/>
    </row>
    <row r="18360">
      <c r="C18360" s="18" t="n"/>
      <c r="J18360" s="19" t="n"/>
      <c r="P18360" s="20" t="n"/>
      <c r="Q18360" s="19" t="n"/>
      <c r="R18360" s="19" t="n"/>
      <c r="Y18360" s="19" t="n"/>
    </row>
    <row r="18361">
      <c r="C18361" s="18" t="n"/>
      <c r="J18361" s="19" t="n"/>
      <c r="P18361" s="20" t="n"/>
      <c r="Q18361" s="19" t="n"/>
      <c r="R18361" s="19" t="n"/>
      <c r="Y18361" s="19" t="n"/>
    </row>
    <row r="18362">
      <c r="C18362" s="18" t="n"/>
      <c r="J18362" s="19" t="n"/>
      <c r="P18362" s="20" t="n"/>
      <c r="Q18362" s="19" t="n"/>
      <c r="R18362" s="19" t="n"/>
      <c r="Y18362" s="19" t="n"/>
    </row>
    <row r="18363">
      <c r="C18363" s="18" t="n"/>
      <c r="J18363" s="19" t="n"/>
      <c r="P18363" s="20" t="n"/>
      <c r="Q18363" s="19" t="n"/>
      <c r="R18363" s="19" t="n"/>
      <c r="Y18363" s="19" t="n"/>
    </row>
    <row r="18364">
      <c r="C18364" s="18" t="n"/>
      <c r="J18364" s="19" t="n"/>
      <c r="P18364" s="20" t="n"/>
      <c r="Q18364" s="19" t="n"/>
      <c r="R18364" s="19" t="n"/>
      <c r="Y18364" s="19" t="n"/>
    </row>
    <row r="18365">
      <c r="C18365" s="18" t="n"/>
      <c r="J18365" s="19" t="n"/>
      <c r="P18365" s="20" t="n"/>
      <c r="Q18365" s="19" t="n"/>
      <c r="R18365" s="19" t="n"/>
      <c r="Y18365" s="19" t="n"/>
    </row>
    <row r="18366">
      <c r="C18366" s="18" t="n"/>
      <c r="J18366" s="19" t="n"/>
      <c r="P18366" s="20" t="n"/>
      <c r="Q18366" s="19" t="n"/>
      <c r="R18366" s="19" t="n"/>
      <c r="Y18366" s="19" t="n"/>
    </row>
    <row r="18367">
      <c r="C18367" s="18" t="n"/>
      <c r="J18367" s="19" t="n"/>
      <c r="P18367" s="20" t="n"/>
      <c r="Q18367" s="19" t="n"/>
      <c r="R18367" s="19" t="n"/>
      <c r="Y18367" s="19" t="n"/>
    </row>
    <row r="18368">
      <c r="C18368" s="18" t="n"/>
      <c r="J18368" s="19" t="n"/>
      <c r="P18368" s="20" t="n"/>
      <c r="Q18368" s="19" t="n"/>
      <c r="R18368" s="19" t="n"/>
      <c r="Y18368" s="19" t="n"/>
    </row>
    <row r="18369">
      <c r="C18369" s="18" t="n"/>
      <c r="J18369" s="19" t="n"/>
      <c r="P18369" s="20" t="n"/>
      <c r="Q18369" s="19" t="n"/>
      <c r="R18369" s="19" t="n"/>
      <c r="Y18369" s="19" t="n"/>
    </row>
    <row r="18370">
      <c r="C18370" s="18" t="n"/>
      <c r="J18370" s="19" t="n"/>
      <c r="P18370" s="20" t="n"/>
      <c r="Q18370" s="19" t="n"/>
      <c r="R18370" s="19" t="n"/>
      <c r="Y18370" s="19" t="n"/>
    </row>
    <row r="18371">
      <c r="C18371" s="18" t="n"/>
      <c r="J18371" s="19" t="n"/>
      <c r="P18371" s="20" t="n"/>
      <c r="Q18371" s="19" t="n"/>
      <c r="R18371" s="19" t="n"/>
      <c r="Y18371" s="19" t="n"/>
    </row>
    <row r="18372">
      <c r="C18372" s="18" t="n"/>
      <c r="J18372" s="19" t="n"/>
      <c r="P18372" s="20" t="n"/>
      <c r="Q18372" s="19" t="n"/>
      <c r="R18372" s="19" t="n"/>
      <c r="Y18372" s="19" t="n"/>
    </row>
    <row r="18373">
      <c r="C18373" s="18" t="n"/>
      <c r="J18373" s="19" t="n"/>
      <c r="P18373" s="20" t="n"/>
      <c r="Q18373" s="19" t="n"/>
      <c r="R18373" s="19" t="n"/>
      <c r="Y18373" s="19" t="n"/>
    </row>
    <row r="18374">
      <c r="C18374" s="18" t="n"/>
      <c r="J18374" s="19" t="n"/>
      <c r="P18374" s="20" t="n"/>
      <c r="Q18374" s="19" t="n"/>
      <c r="R18374" s="19" t="n"/>
      <c r="Y18374" s="19" t="n"/>
    </row>
    <row r="18375">
      <c r="C18375" s="18" t="n"/>
      <c r="J18375" s="19" t="n"/>
      <c r="P18375" s="20" t="n"/>
      <c r="Q18375" s="19" t="n"/>
      <c r="R18375" s="19" t="n"/>
      <c r="Y18375" s="19" t="n"/>
    </row>
    <row r="18376">
      <c r="C18376" s="18" t="n"/>
      <c r="J18376" s="19" t="n"/>
      <c r="P18376" s="20" t="n"/>
      <c r="Q18376" s="19" t="n"/>
      <c r="R18376" s="19" t="n"/>
      <c r="Y18376" s="19" t="n"/>
    </row>
    <row r="18377">
      <c r="C18377" s="18" t="n"/>
      <c r="J18377" s="19" t="n"/>
      <c r="P18377" s="20" t="n"/>
      <c r="Q18377" s="19" t="n"/>
      <c r="R18377" s="19" t="n"/>
      <c r="Y18377" s="19" t="n"/>
    </row>
    <row r="18378">
      <c r="C18378" s="18" t="n"/>
      <c r="J18378" s="19" t="n"/>
      <c r="P18378" s="20" t="n"/>
      <c r="Q18378" s="19" t="n"/>
      <c r="R18378" s="19" t="n"/>
      <c r="Y18378" s="19" t="n"/>
    </row>
    <row r="18379">
      <c r="C18379" s="18" t="n"/>
      <c r="J18379" s="19" t="n"/>
      <c r="P18379" s="20" t="n"/>
      <c r="Q18379" s="19" t="n"/>
      <c r="R18379" s="19" t="n"/>
      <c r="Y18379" s="19" t="n"/>
    </row>
    <row r="18380">
      <c r="C18380" s="18" t="n"/>
      <c r="J18380" s="19" t="n"/>
      <c r="P18380" s="20" t="n"/>
      <c r="Q18380" s="19" t="n"/>
      <c r="R18380" s="19" t="n"/>
      <c r="Y18380" s="19" t="n"/>
    </row>
    <row r="18381">
      <c r="C18381" s="18" t="n"/>
      <c r="J18381" s="19" t="n"/>
      <c r="P18381" s="20" t="n"/>
      <c r="Q18381" s="19" t="n"/>
      <c r="R18381" s="19" t="n"/>
      <c r="Y18381" s="19" t="n"/>
    </row>
    <row r="18382">
      <c r="C18382" s="18" t="n"/>
      <c r="J18382" s="19" t="n"/>
      <c r="P18382" s="20" t="n"/>
      <c r="Q18382" s="19" t="n"/>
      <c r="R18382" s="19" t="n"/>
      <c r="Y18382" s="19" t="n"/>
    </row>
    <row r="18383">
      <c r="C18383" s="18" t="n"/>
      <c r="J18383" s="19" t="n"/>
      <c r="P18383" s="20" t="n"/>
      <c r="Q18383" s="19" t="n"/>
      <c r="R18383" s="19" t="n"/>
      <c r="Y18383" s="19" t="n"/>
    </row>
    <row r="18384">
      <c r="C18384" s="18" t="n"/>
      <c r="J18384" s="19" t="n"/>
      <c r="P18384" s="20" t="n"/>
      <c r="Q18384" s="19" t="n"/>
      <c r="R18384" s="19" t="n"/>
      <c r="Y18384" s="19" t="n"/>
    </row>
    <row r="18385">
      <c r="C18385" s="18" t="n"/>
      <c r="J18385" s="19" t="n"/>
      <c r="P18385" s="20" t="n"/>
      <c r="Q18385" s="19" t="n"/>
      <c r="R18385" s="19" t="n"/>
      <c r="Y18385" s="19" t="n"/>
    </row>
    <row r="18386">
      <c r="C18386" s="18" t="n"/>
      <c r="J18386" s="19" t="n"/>
      <c r="P18386" s="20" t="n"/>
      <c r="Q18386" s="19" t="n"/>
      <c r="R18386" s="19" t="n"/>
      <c r="Y18386" s="19" t="n"/>
    </row>
    <row r="18387">
      <c r="C18387" s="18" t="n"/>
      <c r="J18387" s="19" t="n"/>
      <c r="P18387" s="20" t="n"/>
      <c r="Q18387" s="19" t="n"/>
      <c r="R18387" s="19" t="n"/>
      <c r="Y18387" s="19" t="n"/>
    </row>
    <row r="18388">
      <c r="C18388" s="18" t="n"/>
      <c r="J18388" s="19" t="n"/>
      <c r="P18388" s="20" t="n"/>
      <c r="Q18388" s="19" t="n"/>
      <c r="R18388" s="19" t="n"/>
      <c r="Y18388" s="19" t="n"/>
    </row>
    <row r="18389">
      <c r="C18389" s="18" t="n"/>
      <c r="J18389" s="19" t="n"/>
      <c r="P18389" s="20" t="n"/>
      <c r="Q18389" s="19" t="n"/>
      <c r="R18389" s="19" t="n"/>
      <c r="Y18389" s="19" t="n"/>
    </row>
    <row r="18390">
      <c r="C18390" s="18" t="n"/>
      <c r="J18390" s="19" t="n"/>
      <c r="P18390" s="20" t="n"/>
      <c r="Q18390" s="19" t="n"/>
      <c r="R18390" s="19" t="n"/>
      <c r="Y18390" s="19" t="n"/>
    </row>
    <row r="18391">
      <c r="C18391" s="18" t="n"/>
      <c r="J18391" s="19" t="n"/>
      <c r="P18391" s="20" t="n"/>
      <c r="Q18391" s="19" t="n"/>
      <c r="R18391" s="19" t="n"/>
      <c r="Y18391" s="19" t="n"/>
    </row>
    <row r="18392">
      <c r="C18392" s="18" t="n"/>
      <c r="J18392" s="19" t="n"/>
      <c r="P18392" s="20" t="n"/>
      <c r="Q18392" s="19" t="n"/>
      <c r="R18392" s="19" t="n"/>
      <c r="Y18392" s="19" t="n"/>
    </row>
    <row r="18393">
      <c r="C18393" s="18" t="n"/>
      <c r="J18393" s="19" t="n"/>
      <c r="P18393" s="20" t="n"/>
      <c r="Q18393" s="19" t="n"/>
      <c r="R18393" s="19" t="n"/>
      <c r="Y18393" s="19" t="n"/>
    </row>
    <row r="18394">
      <c r="C18394" s="18" t="n"/>
      <c r="J18394" s="19" t="n"/>
      <c r="P18394" s="20" t="n"/>
      <c r="Q18394" s="19" t="n"/>
      <c r="R18394" s="19" t="n"/>
      <c r="Y18394" s="19" t="n"/>
    </row>
    <row r="18395">
      <c r="C18395" s="18" t="n"/>
      <c r="J18395" s="19" t="n"/>
      <c r="P18395" s="20" t="n"/>
      <c r="Q18395" s="19" t="n"/>
      <c r="R18395" s="19" t="n"/>
      <c r="Y18395" s="19" t="n"/>
    </row>
    <row r="18396">
      <c r="C18396" s="18" t="n"/>
      <c r="J18396" s="19" t="n"/>
      <c r="P18396" s="20" t="n"/>
      <c r="Q18396" s="19" t="n"/>
      <c r="R18396" s="19" t="n"/>
      <c r="Y18396" s="19" t="n"/>
    </row>
    <row r="18397">
      <c r="C18397" s="18" t="n"/>
      <c r="J18397" s="19" t="n"/>
      <c r="P18397" s="20" t="n"/>
      <c r="Q18397" s="19" t="n"/>
      <c r="R18397" s="19" t="n"/>
      <c r="Y18397" s="19" t="n"/>
    </row>
    <row r="18398">
      <c r="C18398" s="18" t="n"/>
      <c r="J18398" s="19" t="n"/>
      <c r="P18398" s="20" t="n"/>
      <c r="Q18398" s="19" t="n"/>
      <c r="R18398" s="19" t="n"/>
      <c r="Y18398" s="19" t="n"/>
    </row>
    <row r="18399">
      <c r="C18399" s="18" t="n"/>
      <c r="J18399" s="19" t="n"/>
      <c r="P18399" s="20" t="n"/>
      <c r="Q18399" s="19" t="n"/>
      <c r="R18399" s="19" t="n"/>
      <c r="Y18399" s="19" t="n"/>
    </row>
    <row r="18400">
      <c r="C18400" s="18" t="n"/>
      <c r="J18400" s="19" t="n"/>
      <c r="P18400" s="20" t="n"/>
      <c r="Q18400" s="19" t="n"/>
      <c r="R18400" s="19" t="n"/>
      <c r="Y18400" s="19" t="n"/>
    </row>
    <row r="18401">
      <c r="C18401" s="18" t="n"/>
      <c r="J18401" s="19" t="n"/>
      <c r="P18401" s="20" t="n"/>
      <c r="Q18401" s="19" t="n"/>
      <c r="R18401" s="19" t="n"/>
      <c r="Y18401" s="19" t="n"/>
    </row>
    <row r="18402">
      <c r="C18402" s="18" t="n"/>
      <c r="J18402" s="19" t="n"/>
      <c r="P18402" s="20" t="n"/>
      <c r="Q18402" s="19" t="n"/>
      <c r="R18402" s="19" t="n"/>
      <c r="Y18402" s="19" t="n"/>
    </row>
    <row r="18403">
      <c r="C18403" s="18" t="n"/>
      <c r="J18403" s="19" t="n"/>
      <c r="P18403" s="20" t="n"/>
      <c r="Q18403" s="19" t="n"/>
      <c r="R18403" s="19" t="n"/>
      <c r="Y18403" s="19" t="n"/>
    </row>
    <row r="18404">
      <c r="C18404" s="18" t="n"/>
      <c r="J18404" s="19" t="n"/>
      <c r="P18404" s="20" t="n"/>
      <c r="Q18404" s="19" t="n"/>
      <c r="R18404" s="19" t="n"/>
      <c r="Y18404" s="19" t="n"/>
    </row>
    <row r="18405">
      <c r="C18405" s="18" t="n"/>
      <c r="J18405" s="19" t="n"/>
      <c r="P18405" s="20" t="n"/>
      <c r="Q18405" s="19" t="n"/>
      <c r="R18405" s="19" t="n"/>
      <c r="Y18405" s="19" t="n"/>
    </row>
    <row r="18406">
      <c r="C18406" s="18" t="n"/>
      <c r="J18406" s="19" t="n"/>
      <c r="P18406" s="20" t="n"/>
      <c r="Q18406" s="19" t="n"/>
      <c r="R18406" s="19" t="n"/>
      <c r="Y18406" s="19" t="n"/>
    </row>
    <row r="18407">
      <c r="C18407" s="18" t="n"/>
      <c r="J18407" s="19" t="n"/>
      <c r="P18407" s="20" t="n"/>
      <c r="Q18407" s="19" t="n"/>
      <c r="R18407" s="19" t="n"/>
      <c r="Y18407" s="19" t="n"/>
    </row>
    <row r="18408">
      <c r="C18408" s="18" t="n"/>
      <c r="J18408" s="19" t="n"/>
      <c r="P18408" s="20" t="n"/>
      <c r="Q18408" s="19" t="n"/>
      <c r="R18408" s="19" t="n"/>
      <c r="Y18408" s="19" t="n"/>
    </row>
    <row r="18409">
      <c r="C18409" s="18" t="n"/>
      <c r="J18409" s="19" t="n"/>
      <c r="P18409" s="20" t="n"/>
      <c r="Q18409" s="19" t="n"/>
      <c r="R18409" s="19" t="n"/>
      <c r="Y18409" s="19" t="n"/>
    </row>
    <row r="18410">
      <c r="C18410" s="18" t="n"/>
      <c r="J18410" s="19" t="n"/>
      <c r="P18410" s="20" t="n"/>
      <c r="Q18410" s="19" t="n"/>
      <c r="R18410" s="19" t="n"/>
      <c r="Y18410" s="19" t="n"/>
    </row>
    <row r="18411">
      <c r="C18411" s="18" t="n"/>
      <c r="J18411" s="19" t="n"/>
      <c r="P18411" s="20" t="n"/>
      <c r="Q18411" s="19" t="n"/>
      <c r="R18411" s="19" t="n"/>
      <c r="Y18411" s="19" t="n"/>
    </row>
    <row r="18412">
      <c r="C18412" s="18" t="n"/>
      <c r="J18412" s="19" t="n"/>
      <c r="P18412" s="20" t="n"/>
      <c r="Q18412" s="19" t="n"/>
      <c r="R18412" s="19" t="n"/>
      <c r="Y18412" s="19" t="n"/>
    </row>
    <row r="18413">
      <c r="C18413" s="18" t="n"/>
      <c r="J18413" s="19" t="n"/>
      <c r="P18413" s="20" t="n"/>
      <c r="Q18413" s="19" t="n"/>
      <c r="R18413" s="19" t="n"/>
      <c r="Y18413" s="19" t="n"/>
    </row>
    <row r="18414">
      <c r="C18414" s="18" t="n"/>
      <c r="J18414" s="19" t="n"/>
      <c r="P18414" s="20" t="n"/>
      <c r="Q18414" s="19" t="n"/>
      <c r="R18414" s="19" t="n"/>
      <c r="Y18414" s="19" t="n"/>
    </row>
    <row r="18415">
      <c r="C18415" s="18" t="n"/>
      <c r="J18415" s="19" t="n"/>
      <c r="P18415" s="20" t="n"/>
      <c r="Q18415" s="19" t="n"/>
      <c r="R18415" s="19" t="n"/>
      <c r="Y18415" s="19" t="n"/>
    </row>
    <row r="18416">
      <c r="C18416" s="18" t="n"/>
      <c r="J18416" s="19" t="n"/>
      <c r="P18416" s="20" t="n"/>
      <c r="Q18416" s="19" t="n"/>
      <c r="R18416" s="19" t="n"/>
      <c r="Y18416" s="19" t="n"/>
    </row>
    <row r="18417">
      <c r="C18417" s="18" t="n"/>
      <c r="J18417" s="19" t="n"/>
      <c r="P18417" s="20" t="n"/>
      <c r="Q18417" s="19" t="n"/>
      <c r="R18417" s="19" t="n"/>
      <c r="Y18417" s="19" t="n"/>
    </row>
    <row r="18418">
      <c r="C18418" s="18" t="n"/>
      <c r="J18418" s="19" t="n"/>
      <c r="P18418" s="20" t="n"/>
      <c r="Q18418" s="19" t="n"/>
      <c r="R18418" s="19" t="n"/>
      <c r="Y18418" s="19" t="n"/>
    </row>
    <row r="18419">
      <c r="C18419" s="18" t="n"/>
      <c r="J18419" s="19" t="n"/>
      <c r="P18419" s="20" t="n"/>
      <c r="Q18419" s="19" t="n"/>
      <c r="R18419" s="19" t="n"/>
      <c r="Y18419" s="19" t="n"/>
    </row>
    <row r="18420">
      <c r="C18420" s="18" t="n"/>
      <c r="J18420" s="19" t="n"/>
      <c r="P18420" s="20" t="n"/>
      <c r="Q18420" s="19" t="n"/>
      <c r="R18420" s="19" t="n"/>
      <c r="Y18420" s="19" t="n"/>
    </row>
    <row r="18421">
      <c r="C18421" s="18" t="n"/>
      <c r="J18421" s="19" t="n"/>
      <c r="P18421" s="20" t="n"/>
      <c r="Q18421" s="19" t="n"/>
      <c r="R18421" s="19" t="n"/>
      <c r="Y18421" s="19" t="n"/>
    </row>
    <row r="18422">
      <c r="C18422" s="18" t="n"/>
      <c r="J18422" s="19" t="n"/>
      <c r="P18422" s="20" t="n"/>
      <c r="Q18422" s="19" t="n"/>
      <c r="R18422" s="19" t="n"/>
      <c r="Y18422" s="19" t="n"/>
    </row>
    <row r="18423">
      <c r="C18423" s="18" t="n"/>
      <c r="J18423" s="19" t="n"/>
      <c r="P18423" s="20" t="n"/>
      <c r="Q18423" s="19" t="n"/>
      <c r="R18423" s="19" t="n"/>
      <c r="Y18423" s="19" t="n"/>
    </row>
    <row r="18424">
      <c r="C18424" s="18" t="n"/>
      <c r="J18424" s="19" t="n"/>
      <c r="P18424" s="20" t="n"/>
      <c r="Q18424" s="19" t="n"/>
      <c r="R18424" s="19" t="n"/>
      <c r="Y18424" s="19" t="n"/>
    </row>
    <row r="18425">
      <c r="C18425" s="18" t="n"/>
      <c r="J18425" s="19" t="n"/>
      <c r="P18425" s="20" t="n"/>
      <c r="Q18425" s="19" t="n"/>
      <c r="R18425" s="19" t="n"/>
      <c r="Y18425" s="19" t="n"/>
    </row>
    <row r="18426">
      <c r="C18426" s="18" t="n"/>
      <c r="J18426" s="19" t="n"/>
      <c r="P18426" s="20" t="n"/>
      <c r="Q18426" s="19" t="n"/>
      <c r="R18426" s="19" t="n"/>
      <c r="Y18426" s="19" t="n"/>
    </row>
    <row r="18427">
      <c r="C18427" s="18" t="n"/>
      <c r="J18427" s="19" t="n"/>
      <c r="P18427" s="20" t="n"/>
      <c r="Q18427" s="19" t="n"/>
      <c r="R18427" s="19" t="n"/>
      <c r="Y18427" s="19" t="n"/>
    </row>
    <row r="18428">
      <c r="C18428" s="18" t="n"/>
      <c r="J18428" s="19" t="n"/>
      <c r="P18428" s="20" t="n"/>
      <c r="Q18428" s="19" t="n"/>
      <c r="R18428" s="19" t="n"/>
      <c r="Y18428" s="19" t="n"/>
    </row>
    <row r="18429">
      <c r="C18429" s="18" t="n"/>
      <c r="J18429" s="19" t="n"/>
      <c r="P18429" s="20" t="n"/>
      <c r="Q18429" s="19" t="n"/>
      <c r="R18429" s="19" t="n"/>
      <c r="Y18429" s="19" t="n"/>
    </row>
    <row r="18430">
      <c r="C18430" s="18" t="n"/>
      <c r="J18430" s="19" t="n"/>
      <c r="P18430" s="20" t="n"/>
      <c r="Q18430" s="19" t="n"/>
      <c r="R18430" s="19" t="n"/>
      <c r="Y18430" s="19" t="n"/>
    </row>
    <row r="18431">
      <c r="C18431" s="18" t="n"/>
      <c r="J18431" s="19" t="n"/>
      <c r="P18431" s="20" t="n"/>
      <c r="Q18431" s="19" t="n"/>
      <c r="R18431" s="19" t="n"/>
      <c r="Y18431" s="19" t="n"/>
    </row>
    <row r="18432">
      <c r="C18432" s="18" t="n"/>
      <c r="J18432" s="19" t="n"/>
      <c r="P18432" s="20" t="n"/>
      <c r="Q18432" s="19" t="n"/>
      <c r="R18432" s="19" t="n"/>
      <c r="Y18432" s="19" t="n"/>
    </row>
    <row r="18433">
      <c r="C18433" s="18" t="n"/>
      <c r="J18433" s="19" t="n"/>
      <c r="P18433" s="20" t="n"/>
      <c r="Q18433" s="19" t="n"/>
      <c r="R18433" s="19" t="n"/>
      <c r="Y18433" s="19" t="n"/>
    </row>
    <row r="18434">
      <c r="C18434" s="18" t="n"/>
      <c r="J18434" s="19" t="n"/>
      <c r="P18434" s="20" t="n"/>
      <c r="Q18434" s="19" t="n"/>
      <c r="R18434" s="19" t="n"/>
      <c r="Y18434" s="19" t="n"/>
    </row>
    <row r="18435">
      <c r="C18435" s="18" t="n"/>
      <c r="J18435" s="19" t="n"/>
      <c r="P18435" s="20" t="n"/>
      <c r="Q18435" s="19" t="n"/>
      <c r="R18435" s="19" t="n"/>
      <c r="Y18435" s="19" t="n"/>
    </row>
    <row r="18436">
      <c r="C18436" s="18" t="n"/>
      <c r="J18436" s="19" t="n"/>
      <c r="P18436" s="20" t="n"/>
      <c r="Q18436" s="19" t="n"/>
      <c r="R18436" s="19" t="n"/>
      <c r="Y18436" s="19" t="n"/>
    </row>
    <row r="18437">
      <c r="C18437" s="18" t="n"/>
      <c r="J18437" s="19" t="n"/>
      <c r="P18437" s="20" t="n"/>
      <c r="Q18437" s="19" t="n"/>
      <c r="R18437" s="19" t="n"/>
      <c r="Y18437" s="19" t="n"/>
    </row>
    <row r="18438">
      <c r="C18438" s="18" t="n"/>
      <c r="J18438" s="19" t="n"/>
      <c r="P18438" s="20" t="n"/>
      <c r="Q18438" s="19" t="n"/>
      <c r="R18438" s="19" t="n"/>
      <c r="Y18438" s="19" t="n"/>
    </row>
    <row r="18439">
      <c r="C18439" s="18" t="n"/>
      <c r="J18439" s="19" t="n"/>
      <c r="P18439" s="20" t="n"/>
      <c r="Q18439" s="19" t="n"/>
      <c r="R18439" s="19" t="n"/>
      <c r="Y18439" s="19" t="n"/>
    </row>
    <row r="18440">
      <c r="C18440" s="18" t="n"/>
      <c r="J18440" s="19" t="n"/>
      <c r="P18440" s="20" t="n"/>
      <c r="Q18440" s="19" t="n"/>
      <c r="R18440" s="19" t="n"/>
      <c r="Y18440" s="19" t="n"/>
    </row>
    <row r="18441">
      <c r="C18441" s="18" t="n"/>
      <c r="J18441" s="19" t="n"/>
      <c r="P18441" s="20" t="n"/>
      <c r="Q18441" s="19" t="n"/>
      <c r="R18441" s="19" t="n"/>
      <c r="Y18441" s="19" t="n"/>
    </row>
    <row r="18442">
      <c r="C18442" s="18" t="n"/>
      <c r="J18442" s="19" t="n"/>
      <c r="P18442" s="20" t="n"/>
      <c r="Q18442" s="19" t="n"/>
      <c r="R18442" s="19" t="n"/>
      <c r="Y18442" s="19" t="n"/>
    </row>
    <row r="18443">
      <c r="C18443" s="18" t="n"/>
      <c r="J18443" s="19" t="n"/>
      <c r="P18443" s="20" t="n"/>
      <c r="Q18443" s="19" t="n"/>
      <c r="R18443" s="19" t="n"/>
      <c r="Y18443" s="19" t="n"/>
    </row>
    <row r="18444">
      <c r="C18444" s="18" t="n"/>
      <c r="J18444" s="19" t="n"/>
      <c r="P18444" s="20" t="n"/>
      <c r="Q18444" s="19" t="n"/>
      <c r="R18444" s="19" t="n"/>
      <c r="Y18444" s="19" t="n"/>
    </row>
    <row r="18445">
      <c r="C18445" s="18" t="n"/>
      <c r="J18445" s="19" t="n"/>
      <c r="P18445" s="20" t="n"/>
      <c r="Q18445" s="19" t="n"/>
      <c r="R18445" s="19" t="n"/>
      <c r="Y18445" s="19" t="n"/>
    </row>
    <row r="18446">
      <c r="C18446" s="18" t="n"/>
      <c r="J18446" s="19" t="n"/>
      <c r="P18446" s="20" t="n"/>
      <c r="Q18446" s="19" t="n"/>
      <c r="R18446" s="19" t="n"/>
      <c r="Y18446" s="19" t="n"/>
    </row>
    <row r="18447">
      <c r="C18447" s="18" t="n"/>
      <c r="J18447" s="19" t="n"/>
      <c r="P18447" s="20" t="n"/>
      <c r="Q18447" s="19" t="n"/>
      <c r="R18447" s="19" t="n"/>
      <c r="Y18447" s="19" t="n"/>
    </row>
    <row r="18448">
      <c r="C18448" s="18" t="n"/>
      <c r="J18448" s="19" t="n"/>
      <c r="P18448" s="20" t="n"/>
      <c r="Q18448" s="19" t="n"/>
      <c r="R18448" s="19" t="n"/>
      <c r="Y18448" s="19" t="n"/>
    </row>
    <row r="18449">
      <c r="C18449" s="18" t="n"/>
      <c r="J18449" s="19" t="n"/>
      <c r="P18449" s="20" t="n"/>
      <c r="Q18449" s="19" t="n"/>
      <c r="R18449" s="19" t="n"/>
      <c r="Y18449" s="19" t="n"/>
    </row>
    <row r="18450">
      <c r="C18450" s="18" t="n"/>
      <c r="J18450" s="19" t="n"/>
      <c r="P18450" s="20" t="n"/>
      <c r="Q18450" s="19" t="n"/>
      <c r="R18450" s="19" t="n"/>
      <c r="Y18450" s="19" t="n"/>
    </row>
    <row r="18451">
      <c r="C18451" s="18" t="n"/>
      <c r="J18451" s="19" t="n"/>
      <c r="P18451" s="20" t="n"/>
      <c r="Q18451" s="19" t="n"/>
      <c r="R18451" s="19" t="n"/>
      <c r="Y18451" s="19" t="n"/>
    </row>
    <row r="18452">
      <c r="C18452" s="18" t="n"/>
      <c r="J18452" s="19" t="n"/>
      <c r="P18452" s="20" t="n"/>
      <c r="Q18452" s="19" t="n"/>
      <c r="R18452" s="19" t="n"/>
      <c r="Y18452" s="19" t="n"/>
    </row>
    <row r="18453">
      <c r="C18453" s="18" t="n"/>
      <c r="J18453" s="19" t="n"/>
      <c r="P18453" s="20" t="n"/>
      <c r="Q18453" s="19" t="n"/>
      <c r="R18453" s="19" t="n"/>
      <c r="Y18453" s="19" t="n"/>
    </row>
    <row r="18454">
      <c r="C18454" s="18" t="n"/>
      <c r="J18454" s="19" t="n"/>
      <c r="P18454" s="20" t="n"/>
      <c r="Q18454" s="19" t="n"/>
      <c r="R18454" s="19" t="n"/>
      <c r="Y18454" s="19" t="n"/>
    </row>
    <row r="18455">
      <c r="C18455" s="18" t="n"/>
      <c r="J18455" s="19" t="n"/>
      <c r="P18455" s="20" t="n"/>
      <c r="Q18455" s="19" t="n"/>
      <c r="R18455" s="19" t="n"/>
      <c r="Y18455" s="19" t="n"/>
    </row>
    <row r="18456">
      <c r="C18456" s="18" t="n"/>
      <c r="J18456" s="19" t="n"/>
      <c r="P18456" s="20" t="n"/>
      <c r="Q18456" s="19" t="n"/>
      <c r="R18456" s="19" t="n"/>
      <c r="Y18456" s="19" t="n"/>
    </row>
    <row r="18457">
      <c r="C18457" s="18" t="n"/>
      <c r="J18457" s="19" t="n"/>
      <c r="P18457" s="20" t="n"/>
      <c r="Q18457" s="19" t="n"/>
      <c r="R18457" s="19" t="n"/>
      <c r="Y18457" s="19" t="n"/>
    </row>
    <row r="18458">
      <c r="C18458" s="18" t="n"/>
      <c r="J18458" s="19" t="n"/>
      <c r="P18458" s="20" t="n"/>
      <c r="Q18458" s="19" t="n"/>
      <c r="R18458" s="19" t="n"/>
      <c r="Y18458" s="19" t="n"/>
    </row>
    <row r="18459">
      <c r="C18459" s="18" t="n"/>
      <c r="J18459" s="19" t="n"/>
      <c r="P18459" s="20" t="n"/>
      <c r="Q18459" s="19" t="n"/>
      <c r="R18459" s="19" t="n"/>
      <c r="Y18459" s="19" t="n"/>
    </row>
    <row r="18460">
      <c r="C18460" s="18" t="n"/>
      <c r="J18460" s="19" t="n"/>
      <c r="P18460" s="20" t="n"/>
      <c r="Q18460" s="19" t="n"/>
      <c r="R18460" s="19" t="n"/>
      <c r="Y18460" s="19" t="n"/>
    </row>
    <row r="18461">
      <c r="C18461" s="18" t="n"/>
      <c r="J18461" s="19" t="n"/>
      <c r="P18461" s="20" t="n"/>
      <c r="Q18461" s="19" t="n"/>
      <c r="R18461" s="19" t="n"/>
      <c r="Y18461" s="19" t="n"/>
    </row>
    <row r="18462">
      <c r="C18462" s="18" t="n"/>
      <c r="J18462" s="19" t="n"/>
      <c r="P18462" s="20" t="n"/>
      <c r="Q18462" s="19" t="n"/>
      <c r="R18462" s="19" t="n"/>
      <c r="Y18462" s="19" t="n"/>
    </row>
    <row r="18463">
      <c r="C18463" s="18" t="n"/>
      <c r="J18463" s="19" t="n"/>
      <c r="P18463" s="20" t="n"/>
      <c r="Q18463" s="19" t="n"/>
      <c r="R18463" s="19" t="n"/>
      <c r="Y18463" s="19" t="n"/>
    </row>
    <row r="18464">
      <c r="C18464" s="18" t="n"/>
      <c r="J18464" s="19" t="n"/>
      <c r="P18464" s="20" t="n"/>
      <c r="Q18464" s="19" t="n"/>
      <c r="R18464" s="19" t="n"/>
      <c r="Y18464" s="19" t="n"/>
    </row>
    <row r="18465">
      <c r="C18465" s="18" t="n"/>
      <c r="J18465" s="19" t="n"/>
      <c r="P18465" s="20" t="n"/>
      <c r="Q18465" s="19" t="n"/>
      <c r="R18465" s="19" t="n"/>
      <c r="Y18465" s="19" t="n"/>
    </row>
    <row r="18466">
      <c r="C18466" s="18" t="n"/>
      <c r="J18466" s="19" t="n"/>
      <c r="P18466" s="20" t="n"/>
      <c r="Q18466" s="19" t="n"/>
      <c r="R18466" s="19" t="n"/>
      <c r="Y18466" s="19" t="n"/>
    </row>
    <row r="18467">
      <c r="C18467" s="18" t="n"/>
      <c r="J18467" s="19" t="n"/>
      <c r="P18467" s="20" t="n"/>
      <c r="Q18467" s="19" t="n"/>
      <c r="R18467" s="19" t="n"/>
      <c r="Y18467" s="19" t="n"/>
    </row>
    <row r="18468">
      <c r="C18468" s="18" t="n"/>
      <c r="J18468" s="19" t="n"/>
      <c r="P18468" s="20" t="n"/>
      <c r="Q18468" s="19" t="n"/>
      <c r="R18468" s="19" t="n"/>
      <c r="Y18468" s="19" t="n"/>
    </row>
    <row r="18469">
      <c r="C18469" s="18" t="n"/>
      <c r="J18469" s="19" t="n"/>
      <c r="P18469" s="20" t="n"/>
      <c r="Q18469" s="19" t="n"/>
      <c r="R18469" s="19" t="n"/>
      <c r="Y18469" s="19" t="n"/>
    </row>
    <row r="18470">
      <c r="C18470" s="18" t="n"/>
      <c r="J18470" s="19" t="n"/>
      <c r="P18470" s="20" t="n"/>
      <c r="Q18470" s="19" t="n"/>
      <c r="R18470" s="19" t="n"/>
      <c r="Y18470" s="19" t="n"/>
    </row>
    <row r="18471">
      <c r="C18471" s="18" t="n"/>
      <c r="J18471" s="19" t="n"/>
      <c r="P18471" s="20" t="n"/>
      <c r="Q18471" s="19" t="n"/>
      <c r="R18471" s="19" t="n"/>
      <c r="Y18471" s="19" t="n"/>
    </row>
    <row r="18472">
      <c r="C18472" s="18" t="n"/>
      <c r="J18472" s="19" t="n"/>
      <c r="P18472" s="20" t="n"/>
      <c r="Q18472" s="19" t="n"/>
      <c r="R18472" s="19" t="n"/>
      <c r="Y18472" s="19" t="n"/>
    </row>
    <row r="18473">
      <c r="C18473" s="18" t="n"/>
      <c r="J18473" s="19" t="n"/>
      <c r="P18473" s="20" t="n"/>
      <c r="Q18473" s="19" t="n"/>
      <c r="R18473" s="19" t="n"/>
      <c r="Y18473" s="19" t="n"/>
    </row>
    <row r="18474">
      <c r="C18474" s="18" t="n"/>
      <c r="J18474" s="19" t="n"/>
      <c r="P18474" s="20" t="n"/>
      <c r="Q18474" s="19" t="n"/>
      <c r="R18474" s="19" t="n"/>
      <c r="Y18474" s="19" t="n"/>
    </row>
    <row r="18475">
      <c r="C18475" s="18" t="n"/>
      <c r="J18475" s="19" t="n"/>
      <c r="P18475" s="20" t="n"/>
      <c r="Q18475" s="19" t="n"/>
      <c r="R18475" s="19" t="n"/>
      <c r="Y18475" s="19" t="n"/>
    </row>
    <row r="18476">
      <c r="C18476" s="18" t="n"/>
      <c r="J18476" s="19" t="n"/>
      <c r="P18476" s="20" t="n"/>
      <c r="Q18476" s="19" t="n"/>
      <c r="R18476" s="19" t="n"/>
      <c r="Y18476" s="19" t="n"/>
    </row>
    <row r="18477">
      <c r="C18477" s="18" t="n"/>
      <c r="J18477" s="19" t="n"/>
      <c r="P18477" s="20" t="n"/>
      <c r="Q18477" s="19" t="n"/>
      <c r="R18477" s="19" t="n"/>
      <c r="Y18477" s="19" t="n"/>
    </row>
    <row r="18478">
      <c r="C18478" s="18" t="n"/>
      <c r="J18478" s="19" t="n"/>
      <c r="P18478" s="20" t="n"/>
      <c r="Q18478" s="19" t="n"/>
      <c r="R18478" s="19" t="n"/>
      <c r="Y18478" s="19" t="n"/>
    </row>
    <row r="18479">
      <c r="C18479" s="18" t="n"/>
      <c r="J18479" s="19" t="n"/>
      <c r="P18479" s="20" t="n"/>
      <c r="Q18479" s="19" t="n"/>
      <c r="R18479" s="19" t="n"/>
      <c r="Y18479" s="19" t="n"/>
    </row>
    <row r="18480">
      <c r="C18480" s="18" t="n"/>
      <c r="J18480" s="19" t="n"/>
      <c r="P18480" s="20" t="n"/>
      <c r="Q18480" s="19" t="n"/>
      <c r="R18480" s="19" t="n"/>
      <c r="Y18480" s="19" t="n"/>
    </row>
    <row r="18481">
      <c r="C18481" s="18" t="n"/>
      <c r="J18481" s="19" t="n"/>
      <c r="P18481" s="20" t="n"/>
      <c r="Q18481" s="19" t="n"/>
      <c r="R18481" s="19" t="n"/>
      <c r="Y18481" s="19" t="n"/>
    </row>
    <row r="18482">
      <c r="C18482" s="18" t="n"/>
      <c r="J18482" s="19" t="n"/>
      <c r="P18482" s="20" t="n"/>
      <c r="Q18482" s="19" t="n"/>
      <c r="R18482" s="19" t="n"/>
      <c r="Y18482" s="19" t="n"/>
    </row>
    <row r="18483">
      <c r="C18483" s="18" t="n"/>
      <c r="J18483" s="19" t="n"/>
      <c r="P18483" s="20" t="n"/>
      <c r="Q18483" s="19" t="n"/>
      <c r="R18483" s="19" t="n"/>
      <c r="Y18483" s="19" t="n"/>
    </row>
    <row r="18484">
      <c r="C18484" s="18" t="n"/>
      <c r="J18484" s="19" t="n"/>
      <c r="P18484" s="20" t="n"/>
      <c r="Q18484" s="19" t="n"/>
      <c r="R18484" s="19" t="n"/>
      <c r="Y18484" s="19" t="n"/>
    </row>
    <row r="18485">
      <c r="C18485" s="18" t="n"/>
      <c r="J18485" s="19" t="n"/>
      <c r="P18485" s="20" t="n"/>
      <c r="Q18485" s="19" t="n"/>
      <c r="R18485" s="19" t="n"/>
      <c r="Y18485" s="19" t="n"/>
    </row>
    <row r="18486">
      <c r="C18486" s="18" t="n"/>
      <c r="J18486" s="19" t="n"/>
      <c r="P18486" s="20" t="n"/>
      <c r="Q18486" s="19" t="n"/>
      <c r="R18486" s="19" t="n"/>
      <c r="Y18486" s="19" t="n"/>
    </row>
    <row r="18487">
      <c r="C18487" s="18" t="n"/>
      <c r="J18487" s="19" t="n"/>
      <c r="P18487" s="20" t="n"/>
      <c r="Q18487" s="19" t="n"/>
      <c r="R18487" s="19" t="n"/>
      <c r="Y18487" s="19" t="n"/>
    </row>
    <row r="18488">
      <c r="C18488" s="18" t="n"/>
      <c r="J18488" s="19" t="n"/>
      <c r="P18488" s="20" t="n"/>
      <c r="Q18488" s="19" t="n"/>
      <c r="R18488" s="19" t="n"/>
      <c r="Y18488" s="19" t="n"/>
    </row>
    <row r="18489">
      <c r="C18489" s="18" t="n"/>
      <c r="J18489" s="19" t="n"/>
      <c r="P18489" s="20" t="n"/>
      <c r="Q18489" s="19" t="n"/>
      <c r="R18489" s="19" t="n"/>
      <c r="Y18489" s="19" t="n"/>
    </row>
    <row r="18490">
      <c r="C18490" s="18" t="n"/>
      <c r="J18490" s="19" t="n"/>
      <c r="P18490" s="20" t="n"/>
      <c r="Q18490" s="19" t="n"/>
      <c r="R18490" s="19" t="n"/>
      <c r="Y18490" s="19" t="n"/>
    </row>
    <row r="18491">
      <c r="C18491" s="18" t="n"/>
      <c r="J18491" s="19" t="n"/>
      <c r="P18491" s="20" t="n"/>
      <c r="Q18491" s="19" t="n"/>
      <c r="R18491" s="19" t="n"/>
      <c r="Y18491" s="19" t="n"/>
    </row>
    <row r="18492">
      <c r="C18492" s="18" t="n"/>
      <c r="J18492" s="19" t="n"/>
      <c r="P18492" s="20" t="n"/>
      <c r="Q18492" s="19" t="n"/>
      <c r="R18492" s="19" t="n"/>
      <c r="Y18492" s="19" t="n"/>
    </row>
    <row r="18493">
      <c r="C18493" s="18" t="n"/>
      <c r="J18493" s="19" t="n"/>
      <c r="P18493" s="20" t="n"/>
      <c r="Q18493" s="19" t="n"/>
      <c r="R18493" s="19" t="n"/>
      <c r="Y18493" s="19" t="n"/>
    </row>
    <row r="18494">
      <c r="C18494" s="18" t="n"/>
      <c r="J18494" s="19" t="n"/>
      <c r="P18494" s="20" t="n"/>
      <c r="Q18494" s="19" t="n"/>
      <c r="R18494" s="19" t="n"/>
      <c r="Y18494" s="19" t="n"/>
    </row>
    <row r="18495">
      <c r="C18495" s="18" t="n"/>
      <c r="J18495" s="19" t="n"/>
      <c r="P18495" s="20" t="n"/>
      <c r="Q18495" s="19" t="n"/>
      <c r="R18495" s="19" t="n"/>
      <c r="Y18495" s="19" t="n"/>
    </row>
    <row r="18496">
      <c r="C18496" s="18" t="n"/>
      <c r="J18496" s="19" t="n"/>
      <c r="P18496" s="20" t="n"/>
      <c r="Q18496" s="19" t="n"/>
      <c r="R18496" s="19" t="n"/>
      <c r="Y18496" s="19" t="n"/>
    </row>
    <row r="18497">
      <c r="C18497" s="18" t="n"/>
      <c r="J18497" s="19" t="n"/>
      <c r="P18497" s="20" t="n"/>
      <c r="Q18497" s="19" t="n"/>
      <c r="R18497" s="19" t="n"/>
      <c r="Y18497" s="19" t="n"/>
    </row>
    <row r="18498">
      <c r="C18498" s="18" t="n"/>
      <c r="J18498" s="19" t="n"/>
      <c r="P18498" s="20" t="n"/>
      <c r="Q18498" s="19" t="n"/>
      <c r="R18498" s="19" t="n"/>
      <c r="Y18498" s="19" t="n"/>
    </row>
    <row r="18499">
      <c r="C18499" s="18" t="n"/>
      <c r="J18499" s="19" t="n"/>
      <c r="P18499" s="20" t="n"/>
      <c r="Q18499" s="19" t="n"/>
      <c r="R18499" s="19" t="n"/>
      <c r="Y18499" s="19" t="n"/>
    </row>
    <row r="18500">
      <c r="C18500" s="18" t="n"/>
      <c r="J18500" s="19" t="n"/>
      <c r="P18500" s="20" t="n"/>
      <c r="Q18500" s="19" t="n"/>
      <c r="R18500" s="19" t="n"/>
      <c r="Y18500" s="19" t="n"/>
    </row>
    <row r="18501">
      <c r="C18501" s="18" t="n"/>
      <c r="J18501" s="19" t="n"/>
      <c r="P18501" s="20" t="n"/>
      <c r="Q18501" s="19" t="n"/>
      <c r="R18501" s="19" t="n"/>
      <c r="Y18501" s="19" t="n"/>
    </row>
    <row r="18502">
      <c r="C18502" s="18" t="n"/>
      <c r="J18502" s="19" t="n"/>
      <c r="P18502" s="20" t="n"/>
      <c r="Q18502" s="19" t="n"/>
      <c r="R18502" s="19" t="n"/>
      <c r="Y18502" s="19" t="n"/>
    </row>
    <row r="18503">
      <c r="C18503" s="18" t="n"/>
      <c r="J18503" s="19" t="n"/>
      <c r="P18503" s="20" t="n"/>
      <c r="Q18503" s="19" t="n"/>
      <c r="R18503" s="19" t="n"/>
      <c r="Y18503" s="19" t="n"/>
    </row>
    <row r="18504">
      <c r="C18504" s="18" t="n"/>
      <c r="J18504" s="19" t="n"/>
      <c r="P18504" s="20" t="n"/>
      <c r="Q18504" s="19" t="n"/>
      <c r="R18504" s="19" t="n"/>
      <c r="Y18504" s="19" t="n"/>
    </row>
    <row r="18505">
      <c r="C18505" s="18" t="n"/>
      <c r="J18505" s="19" t="n"/>
      <c r="P18505" s="20" t="n"/>
      <c r="Q18505" s="19" t="n"/>
      <c r="R18505" s="19" t="n"/>
      <c r="Y18505" s="19" t="n"/>
    </row>
    <row r="18506">
      <c r="C18506" s="18" t="n"/>
      <c r="J18506" s="19" t="n"/>
      <c r="P18506" s="20" t="n"/>
      <c r="Q18506" s="19" t="n"/>
      <c r="R18506" s="19" t="n"/>
      <c r="Y18506" s="19" t="n"/>
    </row>
    <row r="18507">
      <c r="C18507" s="18" t="n"/>
      <c r="J18507" s="19" t="n"/>
      <c r="P18507" s="20" t="n"/>
      <c r="Q18507" s="19" t="n"/>
      <c r="R18507" s="19" t="n"/>
      <c r="Y18507" s="19" t="n"/>
    </row>
    <row r="18508">
      <c r="C18508" s="18" t="n"/>
      <c r="J18508" s="19" t="n"/>
      <c r="P18508" s="20" t="n"/>
      <c r="Q18508" s="19" t="n"/>
      <c r="R18508" s="19" t="n"/>
      <c r="Y18508" s="19" t="n"/>
    </row>
    <row r="18509">
      <c r="C18509" s="18" t="n"/>
      <c r="J18509" s="19" t="n"/>
      <c r="P18509" s="20" t="n"/>
      <c r="Q18509" s="19" t="n"/>
      <c r="R18509" s="19" t="n"/>
      <c r="Y18509" s="19" t="n"/>
    </row>
    <row r="18510">
      <c r="C18510" s="18" t="n"/>
      <c r="J18510" s="19" t="n"/>
      <c r="P18510" s="20" t="n"/>
      <c r="Q18510" s="19" t="n"/>
      <c r="R18510" s="19" t="n"/>
      <c r="Y18510" s="19" t="n"/>
    </row>
    <row r="18511">
      <c r="C18511" s="18" t="n"/>
      <c r="J18511" s="19" t="n"/>
      <c r="P18511" s="20" t="n"/>
      <c r="Q18511" s="19" t="n"/>
      <c r="R18511" s="19" t="n"/>
      <c r="Y18511" s="19" t="n"/>
    </row>
    <row r="18512">
      <c r="C18512" s="18" t="n"/>
      <c r="J18512" s="19" t="n"/>
      <c r="P18512" s="20" t="n"/>
      <c r="Q18512" s="19" t="n"/>
      <c r="R18512" s="19" t="n"/>
      <c r="Y18512" s="19" t="n"/>
    </row>
    <row r="18513">
      <c r="C18513" s="18" t="n"/>
      <c r="J18513" s="19" t="n"/>
      <c r="P18513" s="20" t="n"/>
      <c r="Q18513" s="19" t="n"/>
      <c r="R18513" s="19" t="n"/>
      <c r="Y18513" s="19" t="n"/>
    </row>
    <row r="18514">
      <c r="C18514" s="18" t="n"/>
      <c r="J18514" s="19" t="n"/>
      <c r="P18514" s="20" t="n"/>
      <c r="Q18514" s="19" t="n"/>
      <c r="R18514" s="19" t="n"/>
      <c r="Y18514" s="19" t="n"/>
    </row>
    <row r="18515">
      <c r="C18515" s="18" t="n"/>
      <c r="J18515" s="19" t="n"/>
      <c r="P18515" s="20" t="n"/>
      <c r="Q18515" s="19" t="n"/>
      <c r="R18515" s="19" t="n"/>
      <c r="Y18515" s="19" t="n"/>
    </row>
    <row r="18516">
      <c r="C18516" s="18" t="n"/>
      <c r="J18516" s="19" t="n"/>
      <c r="P18516" s="20" t="n"/>
      <c r="Q18516" s="19" t="n"/>
      <c r="R18516" s="19" t="n"/>
      <c r="Y18516" s="19" t="n"/>
    </row>
    <row r="18517">
      <c r="C18517" s="18" t="n"/>
      <c r="J18517" s="19" t="n"/>
      <c r="P18517" s="20" t="n"/>
      <c r="Q18517" s="19" t="n"/>
      <c r="R18517" s="19" t="n"/>
      <c r="Y18517" s="19" t="n"/>
    </row>
    <row r="18518">
      <c r="C18518" s="18" t="n"/>
      <c r="J18518" s="19" t="n"/>
      <c r="P18518" s="20" t="n"/>
      <c r="Q18518" s="19" t="n"/>
      <c r="R18518" s="19" t="n"/>
      <c r="Y18518" s="19" t="n"/>
    </row>
    <row r="18519">
      <c r="C18519" s="18" t="n"/>
      <c r="J18519" s="19" t="n"/>
      <c r="P18519" s="20" t="n"/>
      <c r="Q18519" s="19" t="n"/>
      <c r="R18519" s="19" t="n"/>
      <c r="Y18519" s="19" t="n"/>
    </row>
    <row r="18520">
      <c r="C18520" s="18" t="n"/>
      <c r="J18520" s="19" t="n"/>
      <c r="P18520" s="20" t="n"/>
      <c r="Q18520" s="19" t="n"/>
      <c r="R18520" s="19" t="n"/>
      <c r="Y18520" s="19" t="n"/>
    </row>
    <row r="18521">
      <c r="C18521" s="18" t="n"/>
      <c r="J18521" s="19" t="n"/>
      <c r="P18521" s="20" t="n"/>
      <c r="Q18521" s="19" t="n"/>
      <c r="R18521" s="19" t="n"/>
      <c r="Y18521" s="19" t="n"/>
    </row>
    <row r="18522">
      <c r="C18522" s="18" t="n"/>
      <c r="J18522" s="19" t="n"/>
      <c r="P18522" s="20" t="n"/>
      <c r="Q18522" s="19" t="n"/>
      <c r="R18522" s="19" t="n"/>
      <c r="Y18522" s="19" t="n"/>
    </row>
    <row r="18523">
      <c r="C18523" s="18" t="n"/>
      <c r="J18523" s="19" t="n"/>
      <c r="P18523" s="20" t="n"/>
      <c r="Q18523" s="19" t="n"/>
      <c r="R18523" s="19" t="n"/>
      <c r="Y18523" s="19" t="n"/>
    </row>
    <row r="18524">
      <c r="C18524" s="18" t="n"/>
      <c r="J18524" s="19" t="n"/>
      <c r="P18524" s="20" t="n"/>
      <c r="Q18524" s="19" t="n"/>
      <c r="R18524" s="19" t="n"/>
      <c r="Y18524" s="19" t="n"/>
    </row>
    <row r="18525">
      <c r="C18525" s="18" t="n"/>
      <c r="J18525" s="19" t="n"/>
      <c r="P18525" s="20" t="n"/>
      <c r="Q18525" s="19" t="n"/>
      <c r="R18525" s="19" t="n"/>
      <c r="Y18525" s="19" t="n"/>
    </row>
    <row r="18526">
      <c r="C18526" s="18" t="n"/>
      <c r="J18526" s="19" t="n"/>
      <c r="P18526" s="20" t="n"/>
      <c r="Q18526" s="19" t="n"/>
      <c r="R18526" s="19" t="n"/>
      <c r="Y18526" s="19" t="n"/>
    </row>
    <row r="18527">
      <c r="C18527" s="18" t="n"/>
      <c r="J18527" s="19" t="n"/>
      <c r="P18527" s="20" t="n"/>
      <c r="Q18527" s="19" t="n"/>
      <c r="R18527" s="19" t="n"/>
      <c r="Y18527" s="19" t="n"/>
    </row>
    <row r="18528">
      <c r="C18528" s="18" t="n"/>
      <c r="J18528" s="19" t="n"/>
      <c r="P18528" s="20" t="n"/>
      <c r="Q18528" s="19" t="n"/>
      <c r="R18528" s="19" t="n"/>
      <c r="Y18528" s="19" t="n"/>
    </row>
    <row r="18529">
      <c r="C18529" s="18" t="n"/>
      <c r="J18529" s="19" t="n"/>
      <c r="P18529" s="20" t="n"/>
      <c r="Q18529" s="19" t="n"/>
      <c r="R18529" s="19" t="n"/>
      <c r="Y18529" s="19" t="n"/>
    </row>
    <row r="18530">
      <c r="C18530" s="18" t="n"/>
      <c r="J18530" s="19" t="n"/>
      <c r="P18530" s="20" t="n"/>
      <c r="Q18530" s="19" t="n"/>
      <c r="R18530" s="19" t="n"/>
      <c r="Y18530" s="19" t="n"/>
    </row>
    <row r="18531">
      <c r="C18531" s="18" t="n"/>
      <c r="J18531" s="19" t="n"/>
      <c r="P18531" s="20" t="n"/>
      <c r="Q18531" s="19" t="n"/>
      <c r="R18531" s="19" t="n"/>
      <c r="Y18531" s="19" t="n"/>
    </row>
    <row r="18532">
      <c r="C18532" s="18" t="n"/>
      <c r="J18532" s="19" t="n"/>
      <c r="P18532" s="20" t="n"/>
      <c r="Q18532" s="19" t="n"/>
      <c r="R18532" s="19" t="n"/>
      <c r="Y18532" s="19" t="n"/>
    </row>
    <row r="18533">
      <c r="C18533" s="18" t="n"/>
      <c r="J18533" s="19" t="n"/>
      <c r="P18533" s="20" t="n"/>
      <c r="Q18533" s="19" t="n"/>
      <c r="R18533" s="19" t="n"/>
      <c r="Y18533" s="19" t="n"/>
    </row>
    <row r="18534">
      <c r="C18534" s="18" t="n"/>
      <c r="J18534" s="19" t="n"/>
      <c r="P18534" s="20" t="n"/>
      <c r="Q18534" s="19" t="n"/>
      <c r="R18534" s="19" t="n"/>
      <c r="Y18534" s="19" t="n"/>
    </row>
    <row r="18535">
      <c r="C18535" s="18" t="n"/>
      <c r="J18535" s="19" t="n"/>
      <c r="P18535" s="20" t="n"/>
      <c r="Q18535" s="19" t="n"/>
      <c r="R18535" s="19" t="n"/>
      <c r="Y18535" s="19" t="n"/>
    </row>
    <row r="18536">
      <c r="C18536" s="18" t="n"/>
      <c r="J18536" s="19" t="n"/>
      <c r="P18536" s="20" t="n"/>
      <c r="Q18536" s="19" t="n"/>
      <c r="R18536" s="19" t="n"/>
      <c r="Y18536" s="19" t="n"/>
    </row>
    <row r="18537">
      <c r="C18537" s="18" t="n"/>
      <c r="J18537" s="19" t="n"/>
      <c r="P18537" s="20" t="n"/>
      <c r="Q18537" s="19" t="n"/>
      <c r="R18537" s="19" t="n"/>
      <c r="Y18537" s="19" t="n"/>
    </row>
    <row r="18538">
      <c r="C18538" s="18" t="n"/>
      <c r="J18538" s="19" t="n"/>
      <c r="P18538" s="20" t="n"/>
      <c r="Q18538" s="19" t="n"/>
      <c r="R18538" s="19" t="n"/>
      <c r="Y18538" s="19" t="n"/>
    </row>
    <row r="18539">
      <c r="C18539" s="18" t="n"/>
      <c r="J18539" s="19" t="n"/>
      <c r="P18539" s="20" t="n"/>
      <c r="Q18539" s="19" t="n"/>
      <c r="R18539" s="19" t="n"/>
      <c r="Y18539" s="19" t="n"/>
    </row>
    <row r="18540">
      <c r="C18540" s="18" t="n"/>
      <c r="J18540" s="19" t="n"/>
      <c r="P18540" s="20" t="n"/>
      <c r="Q18540" s="19" t="n"/>
      <c r="R18540" s="19" t="n"/>
      <c r="Y18540" s="19" t="n"/>
    </row>
    <row r="18541">
      <c r="C18541" s="18" t="n"/>
      <c r="J18541" s="19" t="n"/>
      <c r="P18541" s="20" t="n"/>
      <c r="Q18541" s="19" t="n"/>
      <c r="R18541" s="19" t="n"/>
      <c r="Y18541" s="19" t="n"/>
    </row>
    <row r="18542">
      <c r="C18542" s="18" t="n"/>
      <c r="J18542" s="19" t="n"/>
      <c r="P18542" s="20" t="n"/>
      <c r="Q18542" s="19" t="n"/>
      <c r="R18542" s="19" t="n"/>
      <c r="Y18542" s="19" t="n"/>
    </row>
    <row r="18543">
      <c r="C18543" s="18" t="n"/>
      <c r="J18543" s="19" t="n"/>
      <c r="P18543" s="20" t="n"/>
      <c r="Q18543" s="19" t="n"/>
      <c r="R18543" s="19" t="n"/>
      <c r="Y18543" s="19" t="n"/>
    </row>
    <row r="18544">
      <c r="C18544" s="18" t="n"/>
      <c r="J18544" s="19" t="n"/>
      <c r="P18544" s="20" t="n"/>
      <c r="Q18544" s="19" t="n"/>
      <c r="R18544" s="19" t="n"/>
      <c r="Y18544" s="19" t="n"/>
    </row>
    <row r="18545">
      <c r="C18545" s="18" t="n"/>
      <c r="J18545" s="19" t="n"/>
      <c r="P18545" s="20" t="n"/>
      <c r="Q18545" s="19" t="n"/>
      <c r="R18545" s="19" t="n"/>
      <c r="Y18545" s="19" t="n"/>
    </row>
    <row r="18546">
      <c r="C18546" s="18" t="n"/>
      <c r="J18546" s="19" t="n"/>
      <c r="P18546" s="20" t="n"/>
      <c r="Q18546" s="19" t="n"/>
      <c r="R18546" s="19" t="n"/>
      <c r="Y18546" s="19" t="n"/>
    </row>
    <row r="18547">
      <c r="C18547" s="18" t="n"/>
      <c r="J18547" s="19" t="n"/>
      <c r="P18547" s="20" t="n"/>
      <c r="Q18547" s="19" t="n"/>
      <c r="R18547" s="19" t="n"/>
      <c r="Y18547" s="19" t="n"/>
    </row>
    <row r="18548">
      <c r="C18548" s="18" t="n"/>
      <c r="J18548" s="19" t="n"/>
      <c r="P18548" s="20" t="n"/>
      <c r="Q18548" s="19" t="n"/>
      <c r="R18548" s="19" t="n"/>
      <c r="Y18548" s="19" t="n"/>
    </row>
    <row r="18549">
      <c r="C18549" s="18" t="n"/>
      <c r="J18549" s="19" t="n"/>
      <c r="P18549" s="20" t="n"/>
      <c r="Q18549" s="19" t="n"/>
      <c r="R18549" s="19" t="n"/>
      <c r="Y18549" s="19" t="n"/>
    </row>
    <row r="18550">
      <c r="C18550" s="18" t="n"/>
      <c r="J18550" s="19" t="n"/>
      <c r="P18550" s="20" t="n"/>
      <c r="Q18550" s="19" t="n"/>
      <c r="R18550" s="19" t="n"/>
      <c r="Y18550" s="19" t="n"/>
    </row>
    <row r="18551">
      <c r="C18551" s="18" t="n"/>
      <c r="J18551" s="19" t="n"/>
      <c r="P18551" s="20" t="n"/>
      <c r="Q18551" s="19" t="n"/>
      <c r="R18551" s="19" t="n"/>
      <c r="Y18551" s="19" t="n"/>
    </row>
    <row r="18552">
      <c r="C18552" s="18" t="n"/>
      <c r="J18552" s="19" t="n"/>
      <c r="P18552" s="20" t="n"/>
      <c r="Q18552" s="19" t="n"/>
      <c r="R18552" s="19" t="n"/>
      <c r="Y18552" s="19" t="n"/>
    </row>
    <row r="18553">
      <c r="C18553" s="18" t="n"/>
      <c r="J18553" s="19" t="n"/>
      <c r="P18553" s="20" t="n"/>
      <c r="Q18553" s="19" t="n"/>
      <c r="R18553" s="19" t="n"/>
      <c r="Y18553" s="19" t="n"/>
    </row>
    <row r="18554">
      <c r="C18554" s="18" t="n"/>
      <c r="J18554" s="19" t="n"/>
      <c r="P18554" s="20" t="n"/>
      <c r="Q18554" s="19" t="n"/>
      <c r="R18554" s="19" t="n"/>
      <c r="Y18554" s="19" t="n"/>
    </row>
    <row r="18555">
      <c r="C18555" s="18" t="n"/>
      <c r="J18555" s="19" t="n"/>
      <c r="P18555" s="20" t="n"/>
      <c r="Q18555" s="19" t="n"/>
      <c r="R18555" s="19" t="n"/>
      <c r="Y18555" s="19" t="n"/>
    </row>
    <row r="18556">
      <c r="C18556" s="18" t="n"/>
      <c r="J18556" s="19" t="n"/>
      <c r="P18556" s="20" t="n"/>
      <c r="Q18556" s="19" t="n"/>
      <c r="R18556" s="19" t="n"/>
      <c r="Y18556" s="19" t="n"/>
    </row>
    <row r="18557">
      <c r="C18557" s="18" t="n"/>
      <c r="J18557" s="19" t="n"/>
      <c r="P18557" s="20" t="n"/>
      <c r="Q18557" s="19" t="n"/>
      <c r="R18557" s="19" t="n"/>
      <c r="Y18557" s="19" t="n"/>
    </row>
    <row r="18558">
      <c r="C18558" s="18" t="n"/>
      <c r="J18558" s="19" t="n"/>
      <c r="P18558" s="20" t="n"/>
      <c r="Q18558" s="19" t="n"/>
      <c r="R18558" s="19" t="n"/>
      <c r="Y18558" s="19" t="n"/>
    </row>
    <row r="18559">
      <c r="C18559" s="18" t="n"/>
      <c r="J18559" s="19" t="n"/>
      <c r="P18559" s="20" t="n"/>
      <c r="Q18559" s="19" t="n"/>
      <c r="R18559" s="19" t="n"/>
      <c r="Y18559" s="19" t="n"/>
    </row>
    <row r="18560">
      <c r="C18560" s="18" t="n"/>
      <c r="J18560" s="19" t="n"/>
      <c r="P18560" s="20" t="n"/>
      <c r="Q18560" s="19" t="n"/>
      <c r="R18560" s="19" t="n"/>
      <c r="Y18560" s="19" t="n"/>
    </row>
    <row r="18561">
      <c r="C18561" s="18" t="n"/>
      <c r="J18561" s="19" t="n"/>
      <c r="P18561" s="20" t="n"/>
      <c r="Q18561" s="19" t="n"/>
      <c r="R18561" s="19" t="n"/>
      <c r="Y18561" s="19" t="n"/>
    </row>
    <row r="18562">
      <c r="C18562" s="18" t="n"/>
      <c r="J18562" s="19" t="n"/>
      <c r="P18562" s="20" t="n"/>
      <c r="Q18562" s="19" t="n"/>
      <c r="R18562" s="19" t="n"/>
      <c r="Y18562" s="19" t="n"/>
    </row>
    <row r="18563">
      <c r="C18563" s="18" t="n"/>
      <c r="J18563" s="19" t="n"/>
      <c r="P18563" s="20" t="n"/>
      <c r="Q18563" s="19" t="n"/>
      <c r="R18563" s="19" t="n"/>
      <c r="Y18563" s="19" t="n"/>
    </row>
    <row r="18564">
      <c r="C18564" s="18" t="n"/>
      <c r="J18564" s="19" t="n"/>
      <c r="P18564" s="20" t="n"/>
      <c r="Q18564" s="19" t="n"/>
      <c r="R18564" s="19" t="n"/>
      <c r="Y18564" s="19" t="n"/>
    </row>
    <row r="18565">
      <c r="C18565" s="18" t="n"/>
      <c r="J18565" s="19" t="n"/>
      <c r="P18565" s="20" t="n"/>
      <c r="Q18565" s="19" t="n"/>
      <c r="R18565" s="19" t="n"/>
      <c r="Y18565" s="19" t="n"/>
    </row>
    <row r="18566">
      <c r="C18566" s="18" t="n"/>
      <c r="J18566" s="19" t="n"/>
      <c r="P18566" s="20" t="n"/>
      <c r="Q18566" s="19" t="n"/>
      <c r="R18566" s="19" t="n"/>
      <c r="Y18566" s="19" t="n"/>
    </row>
    <row r="18567">
      <c r="C18567" s="18" t="n"/>
      <c r="J18567" s="19" t="n"/>
      <c r="P18567" s="20" t="n"/>
      <c r="Q18567" s="19" t="n"/>
      <c r="R18567" s="19" t="n"/>
      <c r="Y18567" s="19" t="n"/>
    </row>
    <row r="18568">
      <c r="C18568" s="18" t="n"/>
      <c r="J18568" s="19" t="n"/>
      <c r="P18568" s="20" t="n"/>
      <c r="Q18568" s="19" t="n"/>
      <c r="R18568" s="19" t="n"/>
      <c r="Y18568" s="19" t="n"/>
    </row>
    <row r="18569">
      <c r="C18569" s="18" t="n"/>
      <c r="J18569" s="19" t="n"/>
      <c r="P18569" s="20" t="n"/>
      <c r="Q18569" s="19" t="n"/>
      <c r="R18569" s="19" t="n"/>
      <c r="Y18569" s="19" t="n"/>
    </row>
    <row r="18570">
      <c r="C18570" s="18" t="n"/>
      <c r="J18570" s="19" t="n"/>
      <c r="P18570" s="20" t="n"/>
      <c r="Q18570" s="19" t="n"/>
      <c r="R18570" s="19" t="n"/>
      <c r="Y18570" s="19" t="n"/>
    </row>
    <row r="18571">
      <c r="C18571" s="18" t="n"/>
      <c r="J18571" s="19" t="n"/>
      <c r="P18571" s="20" t="n"/>
      <c r="Q18571" s="19" t="n"/>
      <c r="R18571" s="19" t="n"/>
      <c r="Y18571" s="19" t="n"/>
    </row>
    <row r="18572">
      <c r="C18572" s="18" t="n"/>
      <c r="J18572" s="19" t="n"/>
      <c r="P18572" s="20" t="n"/>
      <c r="Q18572" s="19" t="n"/>
      <c r="R18572" s="19" t="n"/>
      <c r="Y18572" s="19" t="n"/>
    </row>
    <row r="18573">
      <c r="C18573" s="18" t="n"/>
      <c r="J18573" s="19" t="n"/>
      <c r="P18573" s="20" t="n"/>
      <c r="Q18573" s="19" t="n"/>
      <c r="R18573" s="19" t="n"/>
      <c r="Y18573" s="19" t="n"/>
    </row>
    <row r="18574">
      <c r="C18574" s="18" t="n"/>
      <c r="J18574" s="19" t="n"/>
      <c r="P18574" s="20" t="n"/>
      <c r="Q18574" s="19" t="n"/>
      <c r="R18574" s="19" t="n"/>
      <c r="Y18574" s="19" t="n"/>
    </row>
    <row r="18575">
      <c r="C18575" s="18" t="n"/>
      <c r="J18575" s="19" t="n"/>
      <c r="P18575" s="20" t="n"/>
      <c r="Q18575" s="19" t="n"/>
      <c r="R18575" s="19" t="n"/>
      <c r="Y18575" s="19" t="n"/>
    </row>
    <row r="18576">
      <c r="C18576" s="18" t="n"/>
      <c r="J18576" s="19" t="n"/>
      <c r="P18576" s="20" t="n"/>
      <c r="Q18576" s="19" t="n"/>
      <c r="R18576" s="19" t="n"/>
      <c r="Y18576" s="19" t="n"/>
    </row>
    <row r="18577">
      <c r="C18577" s="18" t="n"/>
      <c r="J18577" s="19" t="n"/>
      <c r="P18577" s="20" t="n"/>
      <c r="Q18577" s="19" t="n"/>
      <c r="R18577" s="19" t="n"/>
      <c r="Y18577" s="19" t="n"/>
    </row>
    <row r="18578">
      <c r="C18578" s="18" t="n"/>
      <c r="J18578" s="19" t="n"/>
      <c r="P18578" s="20" t="n"/>
      <c r="Q18578" s="19" t="n"/>
      <c r="R18578" s="19" t="n"/>
      <c r="Y18578" s="19" t="n"/>
    </row>
    <row r="18579">
      <c r="C18579" s="18" t="n"/>
      <c r="J18579" s="19" t="n"/>
      <c r="P18579" s="20" t="n"/>
      <c r="Q18579" s="19" t="n"/>
      <c r="R18579" s="19" t="n"/>
      <c r="Y18579" s="19" t="n"/>
    </row>
    <row r="18580">
      <c r="C18580" s="18" t="n"/>
      <c r="J18580" s="19" t="n"/>
      <c r="P18580" s="20" t="n"/>
      <c r="Q18580" s="19" t="n"/>
      <c r="R18580" s="19" t="n"/>
      <c r="Y18580" s="19" t="n"/>
    </row>
    <row r="18581">
      <c r="C18581" s="18" t="n"/>
      <c r="J18581" s="19" t="n"/>
      <c r="P18581" s="20" t="n"/>
      <c r="Q18581" s="19" t="n"/>
      <c r="R18581" s="19" t="n"/>
      <c r="Y18581" s="19" t="n"/>
    </row>
    <row r="18582">
      <c r="C18582" s="18" t="n"/>
      <c r="J18582" s="19" t="n"/>
      <c r="P18582" s="20" t="n"/>
      <c r="Q18582" s="19" t="n"/>
      <c r="R18582" s="19" t="n"/>
      <c r="Y18582" s="19" t="n"/>
    </row>
    <row r="18583">
      <c r="C18583" s="18" t="n"/>
      <c r="J18583" s="19" t="n"/>
      <c r="P18583" s="20" t="n"/>
      <c r="Q18583" s="19" t="n"/>
      <c r="R18583" s="19" t="n"/>
      <c r="Y18583" s="19" t="n"/>
    </row>
    <row r="18584">
      <c r="C18584" s="18" t="n"/>
      <c r="J18584" s="19" t="n"/>
      <c r="P18584" s="20" t="n"/>
      <c r="Q18584" s="19" t="n"/>
      <c r="R18584" s="19" t="n"/>
      <c r="Y18584" s="19" t="n"/>
    </row>
    <row r="18585">
      <c r="C18585" s="18" t="n"/>
      <c r="J18585" s="19" t="n"/>
      <c r="P18585" s="20" t="n"/>
      <c r="Q18585" s="19" t="n"/>
      <c r="R18585" s="19" t="n"/>
      <c r="Y18585" s="19" t="n"/>
    </row>
    <row r="18586">
      <c r="C18586" s="18" t="n"/>
      <c r="J18586" s="19" t="n"/>
      <c r="P18586" s="20" t="n"/>
      <c r="Q18586" s="19" t="n"/>
      <c r="R18586" s="19" t="n"/>
      <c r="Y18586" s="19" t="n"/>
    </row>
    <row r="18587">
      <c r="C18587" s="18" t="n"/>
      <c r="J18587" s="19" t="n"/>
      <c r="P18587" s="20" t="n"/>
      <c r="Q18587" s="19" t="n"/>
      <c r="R18587" s="19" t="n"/>
      <c r="Y18587" s="19" t="n"/>
    </row>
    <row r="18588">
      <c r="C18588" s="18" t="n"/>
      <c r="J18588" s="19" t="n"/>
      <c r="P18588" s="20" t="n"/>
      <c r="Q18588" s="19" t="n"/>
      <c r="R18588" s="19" t="n"/>
      <c r="Y18588" s="19" t="n"/>
    </row>
    <row r="18589">
      <c r="C18589" s="18" t="n"/>
      <c r="J18589" s="19" t="n"/>
      <c r="P18589" s="20" t="n"/>
      <c r="Q18589" s="19" t="n"/>
      <c r="R18589" s="19" t="n"/>
      <c r="Y18589" s="19" t="n"/>
    </row>
    <row r="18590">
      <c r="C18590" s="18" t="n"/>
      <c r="J18590" s="19" t="n"/>
      <c r="P18590" s="20" t="n"/>
      <c r="Q18590" s="19" t="n"/>
      <c r="R18590" s="19" t="n"/>
      <c r="Y18590" s="19" t="n"/>
    </row>
    <row r="18591">
      <c r="C18591" s="18" t="n"/>
      <c r="J18591" s="19" t="n"/>
      <c r="P18591" s="20" t="n"/>
      <c r="Q18591" s="19" t="n"/>
      <c r="R18591" s="19" t="n"/>
      <c r="Y18591" s="19" t="n"/>
    </row>
    <row r="18592">
      <c r="C18592" s="18" t="n"/>
      <c r="J18592" s="19" t="n"/>
      <c r="P18592" s="20" t="n"/>
      <c r="Q18592" s="19" t="n"/>
      <c r="R18592" s="19" t="n"/>
      <c r="Y18592" s="19" t="n"/>
    </row>
    <row r="18593">
      <c r="C18593" s="18" t="n"/>
      <c r="J18593" s="19" t="n"/>
      <c r="P18593" s="20" t="n"/>
      <c r="Q18593" s="19" t="n"/>
      <c r="R18593" s="19" t="n"/>
      <c r="Y18593" s="19" t="n"/>
    </row>
    <row r="18594">
      <c r="C18594" s="18" t="n"/>
      <c r="J18594" s="19" t="n"/>
      <c r="P18594" s="20" t="n"/>
      <c r="Q18594" s="19" t="n"/>
      <c r="R18594" s="19" t="n"/>
      <c r="Y18594" s="19" t="n"/>
    </row>
    <row r="18595">
      <c r="C18595" s="18" t="n"/>
      <c r="J18595" s="19" t="n"/>
      <c r="P18595" s="20" t="n"/>
      <c r="Q18595" s="19" t="n"/>
      <c r="R18595" s="19" t="n"/>
      <c r="Y18595" s="19" t="n"/>
    </row>
    <row r="18596">
      <c r="C18596" s="18" t="n"/>
      <c r="J18596" s="19" t="n"/>
      <c r="P18596" s="20" t="n"/>
      <c r="Q18596" s="19" t="n"/>
      <c r="R18596" s="19" t="n"/>
      <c r="Y18596" s="19" t="n"/>
    </row>
    <row r="18597">
      <c r="C18597" s="18" t="n"/>
      <c r="J18597" s="19" t="n"/>
      <c r="P18597" s="20" t="n"/>
      <c r="Q18597" s="19" t="n"/>
      <c r="R18597" s="19" t="n"/>
      <c r="Y18597" s="19" t="n"/>
    </row>
    <row r="18598">
      <c r="C18598" s="18" t="n"/>
      <c r="J18598" s="19" t="n"/>
      <c r="P18598" s="20" t="n"/>
      <c r="Q18598" s="19" t="n"/>
      <c r="R18598" s="19" t="n"/>
      <c r="Y18598" s="19" t="n"/>
    </row>
    <row r="18599">
      <c r="C18599" s="18" t="n"/>
      <c r="J18599" s="19" t="n"/>
      <c r="P18599" s="20" t="n"/>
      <c r="Q18599" s="19" t="n"/>
      <c r="R18599" s="19" t="n"/>
      <c r="Y18599" s="19" t="n"/>
    </row>
    <row r="18600">
      <c r="C18600" s="18" t="n"/>
      <c r="J18600" s="19" t="n"/>
      <c r="P18600" s="20" t="n"/>
      <c r="Q18600" s="19" t="n"/>
      <c r="R18600" s="19" t="n"/>
      <c r="Y18600" s="19" t="n"/>
    </row>
    <row r="18601">
      <c r="C18601" s="18" t="n"/>
      <c r="J18601" s="19" t="n"/>
      <c r="P18601" s="20" t="n"/>
      <c r="Q18601" s="19" t="n"/>
      <c r="R18601" s="19" t="n"/>
      <c r="Y18601" s="19" t="n"/>
    </row>
    <row r="18602">
      <c r="C18602" s="18" t="n"/>
      <c r="J18602" s="19" t="n"/>
      <c r="P18602" s="20" t="n"/>
      <c r="Q18602" s="19" t="n"/>
      <c r="R18602" s="19" t="n"/>
      <c r="Y18602" s="19" t="n"/>
    </row>
    <row r="18603">
      <c r="C18603" s="18" t="n"/>
      <c r="J18603" s="19" t="n"/>
      <c r="P18603" s="20" t="n"/>
      <c r="Q18603" s="19" t="n"/>
      <c r="R18603" s="19" t="n"/>
      <c r="Y18603" s="19" t="n"/>
    </row>
    <row r="18604">
      <c r="C18604" s="18" t="n"/>
      <c r="J18604" s="19" t="n"/>
      <c r="P18604" s="20" t="n"/>
      <c r="Q18604" s="19" t="n"/>
      <c r="R18604" s="19" t="n"/>
      <c r="Y18604" s="19" t="n"/>
    </row>
    <row r="18605">
      <c r="C18605" s="18" t="n"/>
      <c r="J18605" s="19" t="n"/>
      <c r="P18605" s="20" t="n"/>
      <c r="Q18605" s="19" t="n"/>
      <c r="R18605" s="19" t="n"/>
      <c r="Y18605" s="19" t="n"/>
    </row>
    <row r="18606">
      <c r="C18606" s="18" t="n"/>
      <c r="J18606" s="19" t="n"/>
      <c r="P18606" s="20" t="n"/>
      <c r="Q18606" s="19" t="n"/>
      <c r="R18606" s="19" t="n"/>
      <c r="Y18606" s="19" t="n"/>
    </row>
    <row r="18607">
      <c r="C18607" s="18" t="n"/>
      <c r="J18607" s="19" t="n"/>
      <c r="P18607" s="20" t="n"/>
      <c r="Q18607" s="19" t="n"/>
      <c r="R18607" s="19" t="n"/>
      <c r="Y18607" s="19" t="n"/>
    </row>
    <row r="18608">
      <c r="C18608" s="18" t="n"/>
      <c r="J18608" s="19" t="n"/>
      <c r="P18608" s="20" t="n"/>
      <c r="Q18608" s="19" t="n"/>
      <c r="R18608" s="19" t="n"/>
      <c r="Y18608" s="19" t="n"/>
    </row>
    <row r="18609">
      <c r="C18609" s="18" t="n"/>
      <c r="J18609" s="19" t="n"/>
      <c r="P18609" s="20" t="n"/>
      <c r="Q18609" s="19" t="n"/>
      <c r="R18609" s="19" t="n"/>
      <c r="Y18609" s="19" t="n"/>
    </row>
    <row r="18610">
      <c r="C18610" s="18" t="n"/>
      <c r="J18610" s="19" t="n"/>
      <c r="P18610" s="20" t="n"/>
      <c r="Q18610" s="19" t="n"/>
      <c r="R18610" s="19" t="n"/>
      <c r="Y18610" s="19" t="n"/>
    </row>
    <row r="18611">
      <c r="C18611" s="18" t="n"/>
      <c r="J18611" s="19" t="n"/>
      <c r="P18611" s="20" t="n"/>
      <c r="Q18611" s="19" t="n"/>
      <c r="R18611" s="19" t="n"/>
      <c r="Y18611" s="19" t="n"/>
    </row>
    <row r="18612">
      <c r="C18612" s="18" t="n"/>
      <c r="J18612" s="19" t="n"/>
      <c r="P18612" s="20" t="n"/>
      <c r="Q18612" s="19" t="n"/>
      <c r="R18612" s="19" t="n"/>
      <c r="Y18612" s="19" t="n"/>
    </row>
    <row r="18613">
      <c r="C18613" s="18" t="n"/>
      <c r="J18613" s="19" t="n"/>
      <c r="P18613" s="20" t="n"/>
      <c r="Q18613" s="19" t="n"/>
      <c r="R18613" s="19" t="n"/>
      <c r="Y18613" s="19" t="n"/>
    </row>
    <row r="18614">
      <c r="C18614" s="18" t="n"/>
      <c r="J18614" s="19" t="n"/>
      <c r="P18614" s="20" t="n"/>
      <c r="Q18614" s="19" t="n"/>
      <c r="R18614" s="19" t="n"/>
      <c r="Y18614" s="19" t="n"/>
    </row>
    <row r="18615">
      <c r="C18615" s="18" t="n"/>
      <c r="J18615" s="19" t="n"/>
      <c r="P18615" s="20" t="n"/>
      <c r="Q18615" s="19" t="n"/>
      <c r="R18615" s="19" t="n"/>
      <c r="Y18615" s="19" t="n"/>
    </row>
    <row r="18616">
      <c r="C18616" s="18" t="n"/>
      <c r="J18616" s="19" t="n"/>
      <c r="P18616" s="20" t="n"/>
      <c r="Q18616" s="19" t="n"/>
      <c r="R18616" s="19" t="n"/>
      <c r="Y18616" s="19" t="n"/>
    </row>
    <row r="18617">
      <c r="C18617" s="18" t="n"/>
      <c r="J18617" s="19" t="n"/>
      <c r="P18617" s="20" t="n"/>
      <c r="Q18617" s="19" t="n"/>
      <c r="R18617" s="19" t="n"/>
      <c r="Y18617" s="19" t="n"/>
    </row>
    <row r="18618">
      <c r="C18618" s="18" t="n"/>
      <c r="J18618" s="19" t="n"/>
      <c r="P18618" s="20" t="n"/>
      <c r="Q18618" s="19" t="n"/>
      <c r="R18618" s="19" t="n"/>
      <c r="Y18618" s="19" t="n"/>
    </row>
    <row r="18619">
      <c r="C18619" s="18" t="n"/>
      <c r="J18619" s="19" t="n"/>
      <c r="P18619" s="20" t="n"/>
      <c r="Q18619" s="19" t="n"/>
      <c r="R18619" s="19" t="n"/>
      <c r="Y18619" s="19" t="n"/>
    </row>
    <row r="18620">
      <c r="C18620" s="18" t="n"/>
      <c r="J18620" s="19" t="n"/>
      <c r="P18620" s="20" t="n"/>
      <c r="Q18620" s="19" t="n"/>
      <c r="R18620" s="19" t="n"/>
      <c r="Y18620" s="19" t="n"/>
    </row>
    <row r="18621">
      <c r="C18621" s="18" t="n"/>
      <c r="J18621" s="19" t="n"/>
      <c r="P18621" s="20" t="n"/>
      <c r="Q18621" s="19" t="n"/>
      <c r="R18621" s="19" t="n"/>
      <c r="Y18621" s="19" t="n"/>
    </row>
    <row r="18622">
      <c r="C18622" s="18" t="n"/>
      <c r="J18622" s="19" t="n"/>
      <c r="P18622" s="20" t="n"/>
      <c r="Q18622" s="19" t="n"/>
      <c r="R18622" s="19" t="n"/>
      <c r="Y18622" s="19" t="n"/>
    </row>
    <row r="18623">
      <c r="C18623" s="18" t="n"/>
      <c r="J18623" s="19" t="n"/>
      <c r="P18623" s="20" t="n"/>
      <c r="Q18623" s="19" t="n"/>
      <c r="R18623" s="19" t="n"/>
      <c r="Y18623" s="19" t="n"/>
    </row>
    <row r="18624">
      <c r="C18624" s="18" t="n"/>
      <c r="J18624" s="19" t="n"/>
      <c r="P18624" s="20" t="n"/>
      <c r="Q18624" s="19" t="n"/>
      <c r="R18624" s="19" t="n"/>
      <c r="Y18624" s="19" t="n"/>
    </row>
    <row r="18625">
      <c r="C18625" s="18" t="n"/>
      <c r="J18625" s="19" t="n"/>
      <c r="P18625" s="20" t="n"/>
      <c r="Q18625" s="19" t="n"/>
      <c r="R18625" s="19" t="n"/>
      <c r="Y18625" s="19" t="n"/>
    </row>
    <row r="18626">
      <c r="C18626" s="18" t="n"/>
      <c r="J18626" s="19" t="n"/>
      <c r="P18626" s="20" t="n"/>
      <c r="Q18626" s="19" t="n"/>
      <c r="R18626" s="19" t="n"/>
      <c r="Y18626" s="19" t="n"/>
    </row>
    <row r="18627">
      <c r="C18627" s="18" t="n"/>
      <c r="J18627" s="19" t="n"/>
      <c r="P18627" s="20" t="n"/>
      <c r="Q18627" s="19" t="n"/>
      <c r="R18627" s="19" t="n"/>
      <c r="Y18627" s="19" t="n"/>
    </row>
    <row r="18628">
      <c r="C18628" s="18" t="n"/>
      <c r="J18628" s="19" t="n"/>
      <c r="P18628" s="20" t="n"/>
      <c r="Q18628" s="19" t="n"/>
      <c r="R18628" s="19" t="n"/>
      <c r="Y18628" s="19" t="n"/>
    </row>
    <row r="18629">
      <c r="C18629" s="18" t="n"/>
      <c r="J18629" s="19" t="n"/>
      <c r="P18629" s="20" t="n"/>
      <c r="Q18629" s="19" t="n"/>
      <c r="R18629" s="19" t="n"/>
      <c r="Y18629" s="19" t="n"/>
    </row>
    <row r="18630">
      <c r="C18630" s="18" t="n"/>
      <c r="J18630" s="19" t="n"/>
      <c r="P18630" s="20" t="n"/>
      <c r="Q18630" s="19" t="n"/>
      <c r="R18630" s="19" t="n"/>
      <c r="Y18630" s="19" t="n"/>
    </row>
    <row r="18631">
      <c r="C18631" s="18" t="n"/>
      <c r="J18631" s="19" t="n"/>
      <c r="P18631" s="20" t="n"/>
      <c r="Q18631" s="19" t="n"/>
      <c r="R18631" s="19" t="n"/>
      <c r="Y18631" s="19" t="n"/>
    </row>
    <row r="18632">
      <c r="C18632" s="18" t="n"/>
      <c r="J18632" s="19" t="n"/>
      <c r="P18632" s="20" t="n"/>
      <c r="Q18632" s="19" t="n"/>
      <c r="R18632" s="19" t="n"/>
      <c r="Y18632" s="19" t="n"/>
    </row>
    <row r="18633">
      <c r="C18633" s="18" t="n"/>
      <c r="J18633" s="19" t="n"/>
      <c r="P18633" s="20" t="n"/>
      <c r="Q18633" s="19" t="n"/>
      <c r="R18633" s="19" t="n"/>
      <c r="Y18633" s="19" t="n"/>
    </row>
    <row r="18634">
      <c r="C18634" s="18" t="n"/>
      <c r="J18634" s="19" t="n"/>
      <c r="P18634" s="20" t="n"/>
      <c r="Q18634" s="19" t="n"/>
      <c r="R18634" s="19" t="n"/>
      <c r="Y18634" s="19" t="n"/>
    </row>
    <row r="18635">
      <c r="C18635" s="18" t="n"/>
      <c r="J18635" s="19" t="n"/>
      <c r="P18635" s="20" t="n"/>
      <c r="Q18635" s="19" t="n"/>
      <c r="R18635" s="19" t="n"/>
      <c r="Y18635" s="19" t="n"/>
    </row>
    <row r="18636">
      <c r="C18636" s="18" t="n"/>
      <c r="J18636" s="19" t="n"/>
      <c r="P18636" s="20" t="n"/>
      <c r="Q18636" s="19" t="n"/>
      <c r="R18636" s="19" t="n"/>
      <c r="Y18636" s="19" t="n"/>
    </row>
    <row r="18637">
      <c r="C18637" s="18" t="n"/>
      <c r="J18637" s="19" t="n"/>
      <c r="P18637" s="20" t="n"/>
      <c r="Q18637" s="19" t="n"/>
      <c r="R18637" s="19" t="n"/>
      <c r="Y18637" s="19" t="n"/>
    </row>
    <row r="18638">
      <c r="C18638" s="18" t="n"/>
      <c r="J18638" s="19" t="n"/>
      <c r="P18638" s="20" t="n"/>
      <c r="Q18638" s="19" t="n"/>
      <c r="R18638" s="19" t="n"/>
      <c r="Y18638" s="19" t="n"/>
    </row>
    <row r="18639">
      <c r="C18639" s="18" t="n"/>
      <c r="J18639" s="19" t="n"/>
      <c r="P18639" s="20" t="n"/>
      <c r="Q18639" s="19" t="n"/>
      <c r="R18639" s="19" t="n"/>
      <c r="Y18639" s="19" t="n"/>
    </row>
    <row r="18640">
      <c r="C18640" s="18" t="n"/>
      <c r="J18640" s="19" t="n"/>
      <c r="P18640" s="20" t="n"/>
      <c r="Q18640" s="19" t="n"/>
      <c r="R18640" s="19" t="n"/>
      <c r="Y18640" s="19" t="n"/>
    </row>
    <row r="18641">
      <c r="C18641" s="18" t="n"/>
      <c r="J18641" s="19" t="n"/>
      <c r="P18641" s="20" t="n"/>
      <c r="Q18641" s="19" t="n"/>
      <c r="R18641" s="19" t="n"/>
      <c r="Y18641" s="19" t="n"/>
    </row>
    <row r="18642">
      <c r="C18642" s="18" t="n"/>
      <c r="J18642" s="19" t="n"/>
      <c r="P18642" s="20" t="n"/>
      <c r="Q18642" s="19" t="n"/>
      <c r="R18642" s="19" t="n"/>
      <c r="Y18642" s="19" t="n"/>
    </row>
    <row r="18643">
      <c r="C18643" s="18" t="n"/>
      <c r="J18643" s="19" t="n"/>
      <c r="P18643" s="20" t="n"/>
      <c r="Q18643" s="19" t="n"/>
      <c r="R18643" s="19" t="n"/>
      <c r="Y18643" s="19" t="n"/>
    </row>
    <row r="18644">
      <c r="C18644" s="18" t="n"/>
      <c r="J18644" s="19" t="n"/>
      <c r="P18644" s="20" t="n"/>
      <c r="Q18644" s="19" t="n"/>
      <c r="R18644" s="19" t="n"/>
      <c r="Y18644" s="19" t="n"/>
    </row>
    <row r="18645">
      <c r="C18645" s="18" t="n"/>
      <c r="J18645" s="19" t="n"/>
      <c r="P18645" s="20" t="n"/>
      <c r="Q18645" s="19" t="n"/>
      <c r="R18645" s="19" t="n"/>
      <c r="Y18645" s="19" t="n"/>
    </row>
    <row r="18646">
      <c r="C18646" s="18" t="n"/>
      <c r="J18646" s="19" t="n"/>
      <c r="P18646" s="20" t="n"/>
      <c r="Q18646" s="19" t="n"/>
      <c r="R18646" s="19" t="n"/>
      <c r="Y18646" s="19" t="n"/>
    </row>
    <row r="18647">
      <c r="C18647" s="18" t="n"/>
      <c r="J18647" s="19" t="n"/>
      <c r="P18647" s="20" t="n"/>
      <c r="Q18647" s="19" t="n"/>
      <c r="R18647" s="19" t="n"/>
      <c r="Y18647" s="19" t="n"/>
    </row>
    <row r="18648">
      <c r="C18648" s="18" t="n"/>
      <c r="J18648" s="19" t="n"/>
      <c r="P18648" s="20" t="n"/>
      <c r="Q18648" s="19" t="n"/>
      <c r="R18648" s="19" t="n"/>
      <c r="Y18648" s="19" t="n"/>
    </row>
    <row r="18649">
      <c r="C18649" s="18" t="n"/>
      <c r="J18649" s="19" t="n"/>
      <c r="P18649" s="20" t="n"/>
      <c r="Q18649" s="19" t="n"/>
      <c r="R18649" s="19" t="n"/>
      <c r="Y18649" s="19" t="n"/>
    </row>
    <row r="18650">
      <c r="C18650" s="18" t="n"/>
      <c r="J18650" s="19" t="n"/>
      <c r="P18650" s="20" t="n"/>
      <c r="Q18650" s="19" t="n"/>
      <c r="R18650" s="19" t="n"/>
      <c r="Y18650" s="19" t="n"/>
    </row>
    <row r="18651">
      <c r="C18651" s="18" t="n"/>
      <c r="J18651" s="19" t="n"/>
      <c r="P18651" s="20" t="n"/>
      <c r="Q18651" s="19" t="n"/>
      <c r="R18651" s="19" t="n"/>
      <c r="Y18651" s="19" t="n"/>
    </row>
    <row r="18652">
      <c r="C18652" s="18" t="n"/>
      <c r="J18652" s="19" t="n"/>
      <c r="P18652" s="20" t="n"/>
      <c r="Q18652" s="19" t="n"/>
      <c r="R18652" s="19" t="n"/>
      <c r="Y18652" s="19" t="n"/>
    </row>
    <row r="18653">
      <c r="C18653" s="18" t="n"/>
      <c r="J18653" s="19" t="n"/>
      <c r="P18653" s="20" t="n"/>
      <c r="Q18653" s="19" t="n"/>
      <c r="R18653" s="19" t="n"/>
      <c r="Y18653" s="19" t="n"/>
    </row>
    <row r="18654">
      <c r="C18654" s="18" t="n"/>
      <c r="J18654" s="19" t="n"/>
      <c r="P18654" s="20" t="n"/>
      <c r="Q18654" s="19" t="n"/>
      <c r="R18654" s="19" t="n"/>
      <c r="Y18654" s="19" t="n"/>
    </row>
    <row r="18655">
      <c r="C18655" s="18" t="n"/>
      <c r="J18655" s="19" t="n"/>
      <c r="P18655" s="20" t="n"/>
      <c r="Q18655" s="19" t="n"/>
      <c r="R18655" s="19" t="n"/>
      <c r="Y18655" s="19" t="n"/>
    </row>
    <row r="18656">
      <c r="C18656" s="18" t="n"/>
      <c r="J18656" s="19" t="n"/>
      <c r="P18656" s="20" t="n"/>
      <c r="Q18656" s="19" t="n"/>
      <c r="R18656" s="19" t="n"/>
      <c r="Y18656" s="19" t="n"/>
    </row>
    <row r="18657">
      <c r="C18657" s="18" t="n"/>
      <c r="J18657" s="19" t="n"/>
      <c r="P18657" s="20" t="n"/>
      <c r="Q18657" s="19" t="n"/>
      <c r="R18657" s="19" t="n"/>
      <c r="Y18657" s="19" t="n"/>
    </row>
    <row r="18658">
      <c r="C18658" s="18" t="n"/>
      <c r="J18658" s="19" t="n"/>
      <c r="P18658" s="20" t="n"/>
      <c r="Q18658" s="19" t="n"/>
      <c r="R18658" s="19" t="n"/>
      <c r="Y18658" s="19" t="n"/>
    </row>
    <row r="18659">
      <c r="C18659" s="18" t="n"/>
      <c r="J18659" s="19" t="n"/>
      <c r="P18659" s="20" t="n"/>
      <c r="Q18659" s="19" t="n"/>
      <c r="R18659" s="19" t="n"/>
      <c r="Y18659" s="19" t="n"/>
    </row>
    <row r="18660">
      <c r="C18660" s="18" t="n"/>
      <c r="J18660" s="19" t="n"/>
      <c r="P18660" s="20" t="n"/>
      <c r="Q18660" s="19" t="n"/>
      <c r="R18660" s="19" t="n"/>
      <c r="Y18660" s="19" t="n"/>
    </row>
    <row r="18661">
      <c r="C18661" s="18" t="n"/>
      <c r="J18661" s="19" t="n"/>
      <c r="P18661" s="20" t="n"/>
      <c r="Q18661" s="19" t="n"/>
      <c r="R18661" s="19" t="n"/>
      <c r="Y18661" s="19" t="n"/>
    </row>
    <row r="18662">
      <c r="C18662" s="18" t="n"/>
      <c r="J18662" s="19" t="n"/>
      <c r="P18662" s="20" t="n"/>
      <c r="Q18662" s="19" t="n"/>
      <c r="R18662" s="19" t="n"/>
      <c r="Y18662" s="19" t="n"/>
    </row>
    <row r="18663">
      <c r="C18663" s="18" t="n"/>
      <c r="J18663" s="19" t="n"/>
      <c r="P18663" s="20" t="n"/>
      <c r="Q18663" s="19" t="n"/>
      <c r="R18663" s="19" t="n"/>
      <c r="Y18663" s="19" t="n"/>
    </row>
    <row r="18664">
      <c r="C18664" s="18" t="n"/>
      <c r="J18664" s="19" t="n"/>
      <c r="P18664" s="20" t="n"/>
      <c r="Q18664" s="19" t="n"/>
      <c r="R18664" s="19" t="n"/>
      <c r="Y18664" s="19" t="n"/>
    </row>
    <row r="18665">
      <c r="C18665" s="18" t="n"/>
      <c r="J18665" s="19" t="n"/>
      <c r="P18665" s="20" t="n"/>
      <c r="Q18665" s="19" t="n"/>
      <c r="R18665" s="19" t="n"/>
      <c r="Y18665" s="19" t="n"/>
    </row>
    <row r="18666">
      <c r="C18666" s="18" t="n"/>
      <c r="J18666" s="19" t="n"/>
      <c r="P18666" s="20" t="n"/>
      <c r="Q18666" s="19" t="n"/>
      <c r="R18666" s="19" t="n"/>
      <c r="Y18666" s="19" t="n"/>
    </row>
    <row r="18667">
      <c r="C18667" s="18" t="n"/>
      <c r="J18667" s="19" t="n"/>
      <c r="P18667" s="20" t="n"/>
      <c r="Q18667" s="19" t="n"/>
      <c r="R18667" s="19" t="n"/>
      <c r="Y18667" s="19" t="n"/>
    </row>
    <row r="18668">
      <c r="C18668" s="18" t="n"/>
      <c r="J18668" s="19" t="n"/>
      <c r="P18668" s="20" t="n"/>
      <c r="Q18668" s="19" t="n"/>
      <c r="R18668" s="19" t="n"/>
      <c r="Y18668" s="19" t="n"/>
    </row>
    <row r="18669">
      <c r="C18669" s="18" t="n"/>
      <c r="J18669" s="19" t="n"/>
      <c r="P18669" s="20" t="n"/>
      <c r="Q18669" s="19" t="n"/>
      <c r="R18669" s="19" t="n"/>
      <c r="Y18669" s="19" t="n"/>
    </row>
    <row r="18670">
      <c r="C18670" s="18" t="n"/>
      <c r="J18670" s="19" t="n"/>
      <c r="P18670" s="20" t="n"/>
      <c r="Q18670" s="19" t="n"/>
      <c r="R18670" s="19" t="n"/>
      <c r="Y18670" s="19" t="n"/>
    </row>
    <row r="18671">
      <c r="C18671" s="18" t="n"/>
      <c r="J18671" s="19" t="n"/>
      <c r="P18671" s="20" t="n"/>
      <c r="Q18671" s="19" t="n"/>
      <c r="R18671" s="19" t="n"/>
      <c r="Y18671" s="19" t="n"/>
    </row>
    <row r="18672">
      <c r="C18672" s="18" t="n"/>
      <c r="J18672" s="19" t="n"/>
      <c r="P18672" s="20" t="n"/>
      <c r="Q18672" s="19" t="n"/>
      <c r="R18672" s="19" t="n"/>
      <c r="Y18672" s="19" t="n"/>
    </row>
    <row r="18673">
      <c r="C18673" s="18" t="n"/>
      <c r="J18673" s="19" t="n"/>
      <c r="P18673" s="20" t="n"/>
      <c r="Q18673" s="19" t="n"/>
      <c r="R18673" s="19" t="n"/>
      <c r="Y18673" s="19" t="n"/>
    </row>
    <row r="18674">
      <c r="C18674" s="18" t="n"/>
      <c r="J18674" s="19" t="n"/>
      <c r="P18674" s="20" t="n"/>
      <c r="Q18674" s="19" t="n"/>
      <c r="R18674" s="19" t="n"/>
      <c r="Y18674" s="19" t="n"/>
    </row>
    <row r="18675">
      <c r="C18675" s="18" t="n"/>
      <c r="J18675" s="19" t="n"/>
      <c r="P18675" s="20" t="n"/>
      <c r="Q18675" s="19" t="n"/>
      <c r="R18675" s="19" t="n"/>
      <c r="Y18675" s="19" t="n"/>
    </row>
    <row r="18676">
      <c r="C18676" s="18" t="n"/>
      <c r="J18676" s="19" t="n"/>
      <c r="P18676" s="20" t="n"/>
      <c r="Q18676" s="19" t="n"/>
      <c r="R18676" s="19" t="n"/>
      <c r="Y18676" s="19" t="n"/>
    </row>
    <row r="18677">
      <c r="C18677" s="18" t="n"/>
      <c r="J18677" s="19" t="n"/>
      <c r="P18677" s="20" t="n"/>
      <c r="Q18677" s="19" t="n"/>
      <c r="R18677" s="19" t="n"/>
      <c r="Y18677" s="19" t="n"/>
    </row>
    <row r="18678">
      <c r="C18678" s="18" t="n"/>
      <c r="J18678" s="19" t="n"/>
      <c r="P18678" s="20" t="n"/>
      <c r="Q18678" s="19" t="n"/>
      <c r="R18678" s="19" t="n"/>
      <c r="Y18678" s="19" t="n"/>
    </row>
    <row r="18679">
      <c r="C18679" s="18" t="n"/>
      <c r="J18679" s="19" t="n"/>
      <c r="P18679" s="20" t="n"/>
      <c r="Q18679" s="19" t="n"/>
      <c r="R18679" s="19" t="n"/>
      <c r="Y18679" s="19" t="n"/>
    </row>
    <row r="18680">
      <c r="C18680" s="18" t="n"/>
      <c r="J18680" s="19" t="n"/>
      <c r="P18680" s="20" t="n"/>
      <c r="Q18680" s="19" t="n"/>
      <c r="R18680" s="19" t="n"/>
      <c r="Y18680" s="19" t="n"/>
    </row>
    <row r="18681">
      <c r="C18681" s="18" t="n"/>
      <c r="J18681" s="19" t="n"/>
      <c r="P18681" s="20" t="n"/>
      <c r="Q18681" s="19" t="n"/>
      <c r="R18681" s="19" t="n"/>
      <c r="Y18681" s="19" t="n"/>
    </row>
    <row r="18682">
      <c r="C18682" s="18" t="n"/>
      <c r="J18682" s="19" t="n"/>
      <c r="P18682" s="20" t="n"/>
      <c r="Q18682" s="19" t="n"/>
      <c r="R18682" s="19" t="n"/>
      <c r="Y18682" s="19" t="n"/>
    </row>
    <row r="18683">
      <c r="C18683" s="18" t="n"/>
      <c r="J18683" s="19" t="n"/>
      <c r="P18683" s="20" t="n"/>
      <c r="Q18683" s="19" t="n"/>
      <c r="R18683" s="19" t="n"/>
      <c r="Y18683" s="19" t="n"/>
    </row>
    <row r="18684">
      <c r="C18684" s="18" t="n"/>
      <c r="J18684" s="19" t="n"/>
      <c r="P18684" s="20" t="n"/>
      <c r="Q18684" s="19" t="n"/>
      <c r="R18684" s="19" t="n"/>
      <c r="Y18684" s="19" t="n"/>
    </row>
    <row r="18685">
      <c r="C18685" s="18" t="n"/>
      <c r="J18685" s="19" t="n"/>
      <c r="P18685" s="20" t="n"/>
      <c r="Q18685" s="19" t="n"/>
      <c r="R18685" s="19" t="n"/>
      <c r="Y18685" s="19" t="n"/>
    </row>
    <row r="18686">
      <c r="C18686" s="18" t="n"/>
      <c r="J18686" s="19" t="n"/>
      <c r="P18686" s="20" t="n"/>
      <c r="Q18686" s="19" t="n"/>
      <c r="R18686" s="19" t="n"/>
      <c r="Y18686" s="19" t="n"/>
    </row>
    <row r="18687">
      <c r="C18687" s="18" t="n"/>
      <c r="J18687" s="19" t="n"/>
      <c r="P18687" s="20" t="n"/>
      <c r="Q18687" s="19" t="n"/>
      <c r="R18687" s="19" t="n"/>
      <c r="Y18687" s="19" t="n"/>
    </row>
    <row r="18688">
      <c r="C18688" s="18" t="n"/>
      <c r="J18688" s="19" t="n"/>
      <c r="P18688" s="20" t="n"/>
      <c r="Q18688" s="19" t="n"/>
      <c r="R18688" s="19" t="n"/>
      <c r="Y18688" s="19" t="n"/>
    </row>
    <row r="18689">
      <c r="C18689" s="18" t="n"/>
      <c r="J18689" s="19" t="n"/>
      <c r="P18689" s="20" t="n"/>
      <c r="Q18689" s="19" t="n"/>
      <c r="R18689" s="19" t="n"/>
      <c r="Y18689" s="19" t="n"/>
    </row>
    <row r="18690">
      <c r="C18690" s="18" t="n"/>
      <c r="J18690" s="19" t="n"/>
      <c r="P18690" s="20" t="n"/>
      <c r="Q18690" s="19" t="n"/>
      <c r="R18690" s="19" t="n"/>
      <c r="Y18690" s="19" t="n"/>
    </row>
    <row r="18691">
      <c r="C18691" s="18" t="n"/>
      <c r="J18691" s="19" t="n"/>
      <c r="P18691" s="20" t="n"/>
      <c r="Q18691" s="19" t="n"/>
      <c r="R18691" s="19" t="n"/>
      <c r="Y18691" s="19" t="n"/>
    </row>
    <row r="18692">
      <c r="C18692" s="18" t="n"/>
      <c r="J18692" s="19" t="n"/>
      <c r="P18692" s="20" t="n"/>
      <c r="Q18692" s="19" t="n"/>
      <c r="R18692" s="19" t="n"/>
      <c r="Y18692" s="19" t="n"/>
    </row>
    <row r="18693">
      <c r="C18693" s="18" t="n"/>
      <c r="J18693" s="19" t="n"/>
      <c r="P18693" s="20" t="n"/>
      <c r="Q18693" s="19" t="n"/>
      <c r="R18693" s="19" t="n"/>
      <c r="Y18693" s="19" t="n"/>
    </row>
    <row r="18694">
      <c r="C18694" s="18" t="n"/>
      <c r="J18694" s="19" t="n"/>
      <c r="P18694" s="20" t="n"/>
      <c r="Q18694" s="19" t="n"/>
      <c r="R18694" s="19" t="n"/>
      <c r="Y18694" s="19" t="n"/>
    </row>
    <row r="18695">
      <c r="C18695" s="18" t="n"/>
      <c r="J18695" s="19" t="n"/>
      <c r="P18695" s="20" t="n"/>
      <c r="Q18695" s="19" t="n"/>
      <c r="R18695" s="19" t="n"/>
      <c r="Y18695" s="19" t="n"/>
    </row>
    <row r="18696">
      <c r="C18696" s="18" t="n"/>
      <c r="J18696" s="19" t="n"/>
      <c r="P18696" s="20" t="n"/>
      <c r="Q18696" s="19" t="n"/>
      <c r="R18696" s="19" t="n"/>
      <c r="Y18696" s="19" t="n"/>
    </row>
    <row r="18697">
      <c r="C18697" s="18" t="n"/>
      <c r="J18697" s="19" t="n"/>
      <c r="P18697" s="20" t="n"/>
      <c r="Q18697" s="19" t="n"/>
      <c r="R18697" s="19" t="n"/>
      <c r="Y18697" s="19" t="n"/>
    </row>
    <row r="18698">
      <c r="C18698" s="18" t="n"/>
      <c r="J18698" s="19" t="n"/>
      <c r="P18698" s="20" t="n"/>
      <c r="Q18698" s="19" t="n"/>
      <c r="R18698" s="19" t="n"/>
      <c r="Y18698" s="19" t="n"/>
    </row>
    <row r="18699">
      <c r="C18699" s="18" t="n"/>
      <c r="J18699" s="19" t="n"/>
      <c r="P18699" s="20" t="n"/>
      <c r="Q18699" s="19" t="n"/>
      <c r="R18699" s="19" t="n"/>
      <c r="Y18699" s="19" t="n"/>
    </row>
    <row r="18700">
      <c r="C18700" s="18" t="n"/>
      <c r="J18700" s="19" t="n"/>
      <c r="P18700" s="20" t="n"/>
      <c r="Q18700" s="19" t="n"/>
      <c r="R18700" s="19" t="n"/>
      <c r="Y18700" s="19" t="n"/>
    </row>
    <row r="18701">
      <c r="C18701" s="18" t="n"/>
      <c r="J18701" s="19" t="n"/>
      <c r="P18701" s="20" t="n"/>
      <c r="Q18701" s="19" t="n"/>
      <c r="R18701" s="19" t="n"/>
      <c r="Y18701" s="19" t="n"/>
    </row>
    <row r="18702">
      <c r="C18702" s="18" t="n"/>
      <c r="J18702" s="19" t="n"/>
      <c r="P18702" s="20" t="n"/>
      <c r="Q18702" s="19" t="n"/>
      <c r="R18702" s="19" t="n"/>
      <c r="Y18702" s="19" t="n"/>
    </row>
    <row r="18703">
      <c r="C18703" s="18" t="n"/>
      <c r="J18703" s="19" t="n"/>
      <c r="P18703" s="20" t="n"/>
      <c r="Q18703" s="19" t="n"/>
      <c r="R18703" s="19" t="n"/>
      <c r="Y18703" s="19" t="n"/>
    </row>
    <row r="18704">
      <c r="C18704" s="18" t="n"/>
      <c r="J18704" s="19" t="n"/>
      <c r="P18704" s="20" t="n"/>
      <c r="Q18704" s="19" t="n"/>
      <c r="R18704" s="19" t="n"/>
      <c r="Y18704" s="19" t="n"/>
    </row>
    <row r="18705">
      <c r="C18705" s="18" t="n"/>
      <c r="J18705" s="19" t="n"/>
      <c r="P18705" s="20" t="n"/>
      <c r="Q18705" s="19" t="n"/>
      <c r="R18705" s="19" t="n"/>
      <c r="Y18705" s="19" t="n"/>
    </row>
    <row r="18706">
      <c r="C18706" s="18" t="n"/>
      <c r="J18706" s="19" t="n"/>
      <c r="P18706" s="20" t="n"/>
      <c r="Q18706" s="19" t="n"/>
      <c r="R18706" s="19" t="n"/>
      <c r="Y18706" s="19" t="n"/>
    </row>
    <row r="18707">
      <c r="C18707" s="18" t="n"/>
      <c r="J18707" s="19" t="n"/>
      <c r="P18707" s="20" t="n"/>
      <c r="Q18707" s="19" t="n"/>
      <c r="R18707" s="19" t="n"/>
      <c r="Y18707" s="19" t="n"/>
    </row>
    <row r="18708">
      <c r="C18708" s="18" t="n"/>
      <c r="J18708" s="19" t="n"/>
      <c r="P18708" s="20" t="n"/>
      <c r="Q18708" s="19" t="n"/>
      <c r="R18708" s="19" t="n"/>
      <c r="Y18708" s="19" t="n"/>
    </row>
    <row r="18709">
      <c r="C18709" s="18" t="n"/>
      <c r="J18709" s="19" t="n"/>
      <c r="P18709" s="20" t="n"/>
      <c r="Q18709" s="19" t="n"/>
      <c r="R18709" s="19" t="n"/>
      <c r="Y18709" s="19" t="n"/>
    </row>
    <row r="18710">
      <c r="C18710" s="18" t="n"/>
      <c r="J18710" s="19" t="n"/>
      <c r="P18710" s="20" t="n"/>
      <c r="Q18710" s="19" t="n"/>
      <c r="R18710" s="19" t="n"/>
      <c r="Y18710" s="19" t="n"/>
    </row>
    <row r="18711">
      <c r="C18711" s="18" t="n"/>
      <c r="J18711" s="19" t="n"/>
      <c r="P18711" s="20" t="n"/>
      <c r="Q18711" s="19" t="n"/>
      <c r="R18711" s="19" t="n"/>
      <c r="Y18711" s="19" t="n"/>
    </row>
    <row r="18712">
      <c r="C18712" s="18" t="n"/>
      <c r="J18712" s="19" t="n"/>
      <c r="P18712" s="20" t="n"/>
      <c r="Q18712" s="19" t="n"/>
      <c r="R18712" s="19" t="n"/>
      <c r="Y18712" s="19" t="n"/>
    </row>
    <row r="18713">
      <c r="C18713" s="18" t="n"/>
      <c r="J18713" s="19" t="n"/>
      <c r="P18713" s="20" t="n"/>
      <c r="Q18713" s="19" t="n"/>
      <c r="R18713" s="19" t="n"/>
      <c r="Y18713" s="19" t="n"/>
    </row>
    <row r="18714">
      <c r="C18714" s="18" t="n"/>
      <c r="J18714" s="19" t="n"/>
      <c r="P18714" s="20" t="n"/>
      <c r="Q18714" s="19" t="n"/>
      <c r="R18714" s="19" t="n"/>
      <c r="Y18714" s="19" t="n"/>
    </row>
    <row r="18715">
      <c r="C18715" s="18" t="n"/>
      <c r="J18715" s="19" t="n"/>
      <c r="P18715" s="20" t="n"/>
      <c r="Q18715" s="19" t="n"/>
      <c r="R18715" s="19" t="n"/>
      <c r="Y18715" s="19" t="n"/>
    </row>
    <row r="18716">
      <c r="C18716" s="18" t="n"/>
      <c r="J18716" s="19" t="n"/>
      <c r="P18716" s="20" t="n"/>
      <c r="Q18716" s="19" t="n"/>
      <c r="R18716" s="19" t="n"/>
      <c r="Y18716" s="19" t="n"/>
    </row>
    <row r="18717">
      <c r="C18717" s="18" t="n"/>
      <c r="J18717" s="19" t="n"/>
      <c r="P18717" s="20" t="n"/>
      <c r="Q18717" s="19" t="n"/>
      <c r="R18717" s="19" t="n"/>
      <c r="Y18717" s="19" t="n"/>
    </row>
    <row r="18718">
      <c r="C18718" s="18" t="n"/>
      <c r="J18718" s="19" t="n"/>
      <c r="P18718" s="20" t="n"/>
      <c r="Q18718" s="19" t="n"/>
      <c r="R18718" s="19" t="n"/>
      <c r="Y18718" s="19" t="n"/>
    </row>
    <row r="18719">
      <c r="C18719" s="18" t="n"/>
      <c r="J18719" s="19" t="n"/>
      <c r="P18719" s="20" t="n"/>
      <c r="Q18719" s="19" t="n"/>
      <c r="R18719" s="19" t="n"/>
      <c r="Y18719" s="19" t="n"/>
    </row>
    <row r="18720">
      <c r="C18720" s="18" t="n"/>
      <c r="J18720" s="19" t="n"/>
      <c r="P18720" s="20" t="n"/>
      <c r="Q18720" s="19" t="n"/>
      <c r="R18720" s="19" t="n"/>
      <c r="Y18720" s="19" t="n"/>
    </row>
    <row r="18721">
      <c r="C18721" s="18" t="n"/>
      <c r="J18721" s="19" t="n"/>
      <c r="P18721" s="20" t="n"/>
      <c r="Q18721" s="19" t="n"/>
      <c r="R18721" s="19" t="n"/>
      <c r="Y18721" s="19" t="n"/>
    </row>
    <row r="18722">
      <c r="C18722" s="18" t="n"/>
      <c r="J18722" s="19" t="n"/>
      <c r="P18722" s="20" t="n"/>
      <c r="Q18722" s="19" t="n"/>
      <c r="R18722" s="19" t="n"/>
      <c r="Y18722" s="19" t="n"/>
    </row>
    <row r="18723">
      <c r="C18723" s="18" t="n"/>
      <c r="J18723" s="19" t="n"/>
      <c r="P18723" s="20" t="n"/>
      <c r="Q18723" s="19" t="n"/>
      <c r="R18723" s="19" t="n"/>
      <c r="Y18723" s="19" t="n"/>
    </row>
    <row r="18724">
      <c r="C18724" s="18" t="n"/>
      <c r="J18724" s="19" t="n"/>
      <c r="P18724" s="20" t="n"/>
      <c r="Q18724" s="19" t="n"/>
      <c r="R18724" s="19" t="n"/>
      <c r="Y18724" s="19" t="n"/>
    </row>
    <row r="18725">
      <c r="C18725" s="18" t="n"/>
      <c r="J18725" s="19" t="n"/>
      <c r="P18725" s="20" t="n"/>
      <c r="Q18725" s="19" t="n"/>
      <c r="R18725" s="19" t="n"/>
      <c r="Y18725" s="19" t="n"/>
    </row>
    <row r="18726">
      <c r="C18726" s="18" t="n"/>
      <c r="J18726" s="19" t="n"/>
      <c r="P18726" s="20" t="n"/>
      <c r="Q18726" s="19" t="n"/>
      <c r="R18726" s="19" t="n"/>
      <c r="Y18726" s="19" t="n"/>
    </row>
    <row r="18727">
      <c r="C18727" s="18" t="n"/>
      <c r="J18727" s="19" t="n"/>
      <c r="P18727" s="20" t="n"/>
      <c r="Q18727" s="19" t="n"/>
      <c r="R18727" s="19" t="n"/>
      <c r="Y18727" s="19" t="n"/>
    </row>
    <row r="18728">
      <c r="C18728" s="18" t="n"/>
      <c r="J18728" s="19" t="n"/>
      <c r="P18728" s="20" t="n"/>
      <c r="Q18728" s="19" t="n"/>
      <c r="R18728" s="19" t="n"/>
      <c r="Y18728" s="19" t="n"/>
    </row>
    <row r="18729">
      <c r="C18729" s="18" t="n"/>
      <c r="J18729" s="19" t="n"/>
      <c r="P18729" s="20" t="n"/>
      <c r="Q18729" s="19" t="n"/>
      <c r="R18729" s="19" t="n"/>
      <c r="Y18729" s="19" t="n"/>
    </row>
    <row r="18730">
      <c r="C18730" s="18" t="n"/>
      <c r="J18730" s="19" t="n"/>
      <c r="P18730" s="20" t="n"/>
      <c r="Q18730" s="19" t="n"/>
      <c r="R18730" s="19" t="n"/>
      <c r="Y18730" s="19" t="n"/>
    </row>
    <row r="18731">
      <c r="C18731" s="18" t="n"/>
      <c r="J18731" s="19" t="n"/>
      <c r="P18731" s="20" t="n"/>
      <c r="Q18731" s="19" t="n"/>
      <c r="R18731" s="19" t="n"/>
      <c r="Y18731" s="19" t="n"/>
    </row>
    <row r="18732">
      <c r="C18732" s="18" t="n"/>
      <c r="J18732" s="19" t="n"/>
      <c r="P18732" s="20" t="n"/>
      <c r="Q18732" s="19" t="n"/>
      <c r="R18732" s="19" t="n"/>
      <c r="Y18732" s="19" t="n"/>
    </row>
    <row r="18733">
      <c r="C18733" s="18" t="n"/>
      <c r="J18733" s="19" t="n"/>
      <c r="P18733" s="20" t="n"/>
      <c r="Q18733" s="19" t="n"/>
      <c r="R18733" s="19" t="n"/>
      <c r="Y18733" s="19" t="n"/>
    </row>
    <row r="18734">
      <c r="C18734" s="18" t="n"/>
      <c r="J18734" s="19" t="n"/>
      <c r="P18734" s="20" t="n"/>
      <c r="Q18734" s="19" t="n"/>
      <c r="R18734" s="19" t="n"/>
      <c r="Y18734" s="19" t="n"/>
    </row>
    <row r="18735">
      <c r="C18735" s="18" t="n"/>
      <c r="J18735" s="19" t="n"/>
      <c r="P18735" s="20" t="n"/>
      <c r="Q18735" s="19" t="n"/>
      <c r="R18735" s="19" t="n"/>
      <c r="Y18735" s="19" t="n"/>
    </row>
    <row r="18736">
      <c r="C18736" s="18" t="n"/>
      <c r="J18736" s="19" t="n"/>
      <c r="P18736" s="20" t="n"/>
      <c r="Q18736" s="19" t="n"/>
      <c r="R18736" s="19" t="n"/>
      <c r="Y18736" s="19" t="n"/>
    </row>
    <row r="18737">
      <c r="C18737" s="18" t="n"/>
      <c r="J18737" s="19" t="n"/>
      <c r="P18737" s="20" t="n"/>
      <c r="Q18737" s="19" t="n"/>
      <c r="R18737" s="19" t="n"/>
      <c r="Y18737" s="19" t="n"/>
    </row>
    <row r="18738">
      <c r="C18738" s="18" t="n"/>
      <c r="J18738" s="19" t="n"/>
      <c r="P18738" s="20" t="n"/>
      <c r="Q18738" s="19" t="n"/>
      <c r="R18738" s="19" t="n"/>
      <c r="Y18738" s="19" t="n"/>
    </row>
    <row r="18739">
      <c r="C18739" s="18" t="n"/>
      <c r="J18739" s="19" t="n"/>
      <c r="P18739" s="20" t="n"/>
      <c r="Q18739" s="19" t="n"/>
      <c r="R18739" s="19" t="n"/>
      <c r="Y18739" s="19" t="n"/>
    </row>
    <row r="18740">
      <c r="C18740" s="18" t="n"/>
      <c r="J18740" s="19" t="n"/>
      <c r="P18740" s="20" t="n"/>
      <c r="Q18740" s="19" t="n"/>
      <c r="R18740" s="19" t="n"/>
      <c r="Y18740" s="19" t="n"/>
    </row>
    <row r="18741">
      <c r="C18741" s="18" t="n"/>
      <c r="J18741" s="19" t="n"/>
      <c r="P18741" s="20" t="n"/>
      <c r="Q18741" s="19" t="n"/>
      <c r="R18741" s="19" t="n"/>
      <c r="Y18741" s="19" t="n"/>
    </row>
    <row r="18742">
      <c r="C18742" s="18" t="n"/>
      <c r="J18742" s="19" t="n"/>
      <c r="P18742" s="20" t="n"/>
      <c r="Q18742" s="19" t="n"/>
      <c r="R18742" s="19" t="n"/>
      <c r="Y18742" s="19" t="n"/>
    </row>
    <row r="18743">
      <c r="C18743" s="18" t="n"/>
      <c r="J18743" s="19" t="n"/>
      <c r="P18743" s="20" t="n"/>
      <c r="Q18743" s="19" t="n"/>
      <c r="R18743" s="19" t="n"/>
      <c r="Y18743" s="19" t="n"/>
    </row>
    <row r="18744">
      <c r="C18744" s="18" t="n"/>
      <c r="J18744" s="19" t="n"/>
      <c r="P18744" s="20" t="n"/>
      <c r="Q18744" s="19" t="n"/>
      <c r="R18744" s="19" t="n"/>
      <c r="Y18744" s="19" t="n"/>
    </row>
    <row r="18745">
      <c r="C18745" s="18" t="n"/>
      <c r="J18745" s="19" t="n"/>
      <c r="P18745" s="20" t="n"/>
      <c r="Q18745" s="19" t="n"/>
      <c r="R18745" s="19" t="n"/>
      <c r="Y18745" s="19" t="n"/>
    </row>
    <row r="18746">
      <c r="C18746" s="18" t="n"/>
      <c r="J18746" s="19" t="n"/>
      <c r="P18746" s="20" t="n"/>
      <c r="Q18746" s="19" t="n"/>
      <c r="R18746" s="19" t="n"/>
      <c r="Y18746" s="19" t="n"/>
    </row>
    <row r="18747">
      <c r="C18747" s="18" t="n"/>
      <c r="J18747" s="19" t="n"/>
      <c r="P18747" s="20" t="n"/>
      <c r="Q18747" s="19" t="n"/>
      <c r="R18747" s="19" t="n"/>
      <c r="Y18747" s="19" t="n"/>
    </row>
    <row r="18748">
      <c r="C18748" s="18" t="n"/>
      <c r="J18748" s="19" t="n"/>
      <c r="P18748" s="20" t="n"/>
      <c r="Q18748" s="19" t="n"/>
      <c r="R18748" s="19" t="n"/>
      <c r="Y18748" s="19" t="n"/>
    </row>
    <row r="18749">
      <c r="C18749" s="18" t="n"/>
      <c r="J18749" s="19" t="n"/>
      <c r="P18749" s="20" t="n"/>
      <c r="Q18749" s="19" t="n"/>
      <c r="R18749" s="19" t="n"/>
      <c r="Y18749" s="19" t="n"/>
    </row>
    <row r="18750">
      <c r="C18750" s="18" t="n"/>
      <c r="J18750" s="19" t="n"/>
      <c r="P18750" s="20" t="n"/>
      <c r="Q18750" s="19" t="n"/>
      <c r="R18750" s="19" t="n"/>
      <c r="Y18750" s="19" t="n"/>
    </row>
    <row r="18751">
      <c r="C18751" s="18" t="n"/>
      <c r="J18751" s="19" t="n"/>
      <c r="P18751" s="20" t="n"/>
      <c r="Q18751" s="19" t="n"/>
      <c r="R18751" s="19" t="n"/>
      <c r="Y18751" s="19" t="n"/>
    </row>
    <row r="18752">
      <c r="C18752" s="18" t="n"/>
      <c r="J18752" s="19" t="n"/>
      <c r="P18752" s="20" t="n"/>
      <c r="Q18752" s="19" t="n"/>
      <c r="R18752" s="19" t="n"/>
      <c r="Y18752" s="19" t="n"/>
    </row>
    <row r="18753">
      <c r="C18753" s="18" t="n"/>
      <c r="J18753" s="19" t="n"/>
      <c r="P18753" s="20" t="n"/>
      <c r="Q18753" s="19" t="n"/>
      <c r="R18753" s="19" t="n"/>
      <c r="Y18753" s="19" t="n"/>
    </row>
    <row r="18754">
      <c r="C18754" s="18" t="n"/>
      <c r="J18754" s="19" t="n"/>
      <c r="P18754" s="20" t="n"/>
      <c r="Q18754" s="19" t="n"/>
      <c r="R18754" s="19" t="n"/>
      <c r="Y18754" s="19" t="n"/>
    </row>
    <row r="18755">
      <c r="C18755" s="18" t="n"/>
      <c r="J18755" s="19" t="n"/>
      <c r="P18755" s="20" t="n"/>
      <c r="Q18755" s="19" t="n"/>
      <c r="R18755" s="19" t="n"/>
      <c r="Y18755" s="19" t="n"/>
    </row>
    <row r="18756">
      <c r="C18756" s="18" t="n"/>
      <c r="J18756" s="19" t="n"/>
      <c r="P18756" s="20" t="n"/>
      <c r="Q18756" s="19" t="n"/>
      <c r="R18756" s="19" t="n"/>
      <c r="Y18756" s="19" t="n"/>
    </row>
    <row r="18757">
      <c r="C18757" s="18" t="n"/>
      <c r="J18757" s="19" t="n"/>
      <c r="P18757" s="20" t="n"/>
      <c r="Q18757" s="19" t="n"/>
      <c r="R18757" s="19" t="n"/>
      <c r="Y18757" s="19" t="n"/>
    </row>
    <row r="18758">
      <c r="C18758" s="18" t="n"/>
      <c r="J18758" s="19" t="n"/>
      <c r="P18758" s="20" t="n"/>
      <c r="Q18758" s="19" t="n"/>
      <c r="R18758" s="19" t="n"/>
      <c r="Y18758" s="19" t="n"/>
    </row>
    <row r="18759">
      <c r="C18759" s="18" t="n"/>
      <c r="J18759" s="19" t="n"/>
      <c r="P18759" s="20" t="n"/>
      <c r="Q18759" s="19" t="n"/>
      <c r="R18759" s="19" t="n"/>
      <c r="Y18759" s="19" t="n"/>
    </row>
    <row r="18760">
      <c r="C18760" s="18" t="n"/>
      <c r="J18760" s="19" t="n"/>
      <c r="P18760" s="20" t="n"/>
      <c r="Q18760" s="19" t="n"/>
      <c r="R18760" s="19" t="n"/>
      <c r="Y18760" s="19" t="n"/>
    </row>
    <row r="18761">
      <c r="C18761" s="18" t="n"/>
      <c r="J18761" s="19" t="n"/>
      <c r="P18761" s="20" t="n"/>
      <c r="Q18761" s="19" t="n"/>
      <c r="R18761" s="19" t="n"/>
      <c r="Y18761" s="19" t="n"/>
    </row>
    <row r="18762">
      <c r="C18762" s="18" t="n"/>
      <c r="J18762" s="19" t="n"/>
      <c r="P18762" s="20" t="n"/>
      <c r="Q18762" s="19" t="n"/>
      <c r="R18762" s="19" t="n"/>
      <c r="Y18762" s="19" t="n"/>
    </row>
    <row r="18763">
      <c r="C18763" s="18" t="n"/>
      <c r="J18763" s="19" t="n"/>
      <c r="P18763" s="20" t="n"/>
      <c r="Q18763" s="19" t="n"/>
      <c r="R18763" s="19" t="n"/>
      <c r="Y18763" s="19" t="n"/>
    </row>
    <row r="18764">
      <c r="C18764" s="18" t="n"/>
      <c r="J18764" s="19" t="n"/>
      <c r="P18764" s="20" t="n"/>
      <c r="Q18764" s="19" t="n"/>
      <c r="R18764" s="19" t="n"/>
      <c r="Y18764" s="19" t="n"/>
    </row>
    <row r="18765">
      <c r="C18765" s="18" t="n"/>
      <c r="J18765" s="19" t="n"/>
      <c r="P18765" s="20" t="n"/>
      <c r="Q18765" s="19" t="n"/>
      <c r="R18765" s="19" t="n"/>
      <c r="Y18765" s="19" t="n"/>
    </row>
    <row r="18766">
      <c r="C18766" s="18" t="n"/>
      <c r="J18766" s="19" t="n"/>
      <c r="P18766" s="20" t="n"/>
      <c r="Q18766" s="19" t="n"/>
      <c r="R18766" s="19" t="n"/>
      <c r="Y18766" s="19" t="n"/>
    </row>
    <row r="18767">
      <c r="C18767" s="18" t="n"/>
      <c r="J18767" s="19" t="n"/>
      <c r="P18767" s="20" t="n"/>
      <c r="Q18767" s="19" t="n"/>
      <c r="R18767" s="19" t="n"/>
      <c r="Y18767" s="19" t="n"/>
    </row>
    <row r="18768">
      <c r="C18768" s="18" t="n"/>
      <c r="J18768" s="19" t="n"/>
      <c r="P18768" s="20" t="n"/>
      <c r="Q18768" s="19" t="n"/>
      <c r="R18768" s="19" t="n"/>
      <c r="Y18768" s="19" t="n"/>
    </row>
    <row r="18769">
      <c r="C18769" s="18" t="n"/>
      <c r="J18769" s="19" t="n"/>
      <c r="P18769" s="20" t="n"/>
      <c r="Q18769" s="19" t="n"/>
      <c r="R18769" s="19" t="n"/>
      <c r="Y18769" s="19" t="n"/>
    </row>
    <row r="18770">
      <c r="C18770" s="18" t="n"/>
      <c r="J18770" s="19" t="n"/>
      <c r="P18770" s="20" t="n"/>
      <c r="Q18770" s="19" t="n"/>
      <c r="R18770" s="19" t="n"/>
      <c r="Y18770" s="19" t="n"/>
    </row>
    <row r="18771">
      <c r="C18771" s="18" t="n"/>
      <c r="J18771" s="19" t="n"/>
      <c r="P18771" s="20" t="n"/>
      <c r="Q18771" s="19" t="n"/>
      <c r="R18771" s="19" t="n"/>
      <c r="Y18771" s="19" t="n"/>
    </row>
    <row r="18772">
      <c r="C18772" s="18" t="n"/>
      <c r="J18772" s="19" t="n"/>
      <c r="P18772" s="20" t="n"/>
      <c r="Q18772" s="19" t="n"/>
      <c r="R18772" s="19" t="n"/>
      <c r="Y18772" s="19" t="n"/>
    </row>
    <row r="18773">
      <c r="C18773" s="18" t="n"/>
      <c r="J18773" s="19" t="n"/>
      <c r="P18773" s="20" t="n"/>
      <c r="Q18773" s="19" t="n"/>
      <c r="R18773" s="19" t="n"/>
      <c r="Y18773" s="19" t="n"/>
    </row>
    <row r="18774">
      <c r="C18774" s="18" t="n"/>
      <c r="J18774" s="19" t="n"/>
      <c r="P18774" s="20" t="n"/>
      <c r="Q18774" s="19" t="n"/>
      <c r="R18774" s="19" t="n"/>
      <c r="Y18774" s="19" t="n"/>
    </row>
    <row r="18775">
      <c r="C18775" s="18" t="n"/>
      <c r="J18775" s="19" t="n"/>
      <c r="P18775" s="20" t="n"/>
      <c r="Q18775" s="19" t="n"/>
      <c r="R18775" s="19" t="n"/>
      <c r="Y18775" s="19" t="n"/>
    </row>
    <row r="18776">
      <c r="C18776" s="18" t="n"/>
      <c r="J18776" s="19" t="n"/>
      <c r="P18776" s="20" t="n"/>
      <c r="Q18776" s="19" t="n"/>
      <c r="R18776" s="19" t="n"/>
      <c r="Y18776" s="19" t="n"/>
    </row>
    <row r="18777">
      <c r="C18777" s="18" t="n"/>
      <c r="J18777" s="19" t="n"/>
      <c r="P18777" s="20" t="n"/>
      <c r="Q18777" s="19" t="n"/>
      <c r="R18777" s="19" t="n"/>
      <c r="Y18777" s="19" t="n"/>
    </row>
    <row r="18778">
      <c r="C18778" s="18" t="n"/>
      <c r="J18778" s="19" t="n"/>
      <c r="P18778" s="20" t="n"/>
      <c r="Q18778" s="19" t="n"/>
      <c r="R18778" s="19" t="n"/>
      <c r="Y18778" s="19" t="n"/>
    </row>
    <row r="18779">
      <c r="C18779" s="18" t="n"/>
      <c r="J18779" s="19" t="n"/>
      <c r="P18779" s="20" t="n"/>
      <c r="Q18779" s="19" t="n"/>
      <c r="R18779" s="19" t="n"/>
      <c r="Y18779" s="19" t="n"/>
    </row>
    <row r="18780">
      <c r="C18780" s="18" t="n"/>
      <c r="J18780" s="19" t="n"/>
      <c r="P18780" s="20" t="n"/>
      <c r="Q18780" s="19" t="n"/>
      <c r="R18780" s="19" t="n"/>
      <c r="Y18780" s="19" t="n"/>
    </row>
    <row r="18781">
      <c r="C18781" s="18" t="n"/>
      <c r="J18781" s="19" t="n"/>
      <c r="P18781" s="20" t="n"/>
      <c r="Q18781" s="19" t="n"/>
      <c r="R18781" s="19" t="n"/>
      <c r="Y18781" s="19" t="n"/>
    </row>
    <row r="18782">
      <c r="C18782" s="18" t="n"/>
      <c r="J18782" s="19" t="n"/>
      <c r="P18782" s="20" t="n"/>
      <c r="Q18782" s="19" t="n"/>
      <c r="R18782" s="19" t="n"/>
      <c r="Y18782" s="19" t="n"/>
    </row>
    <row r="18783">
      <c r="C18783" s="18" t="n"/>
      <c r="J18783" s="19" t="n"/>
      <c r="P18783" s="20" t="n"/>
      <c r="Q18783" s="19" t="n"/>
      <c r="R18783" s="19" t="n"/>
      <c r="Y18783" s="19" t="n"/>
    </row>
    <row r="18784">
      <c r="C18784" s="18" t="n"/>
      <c r="J18784" s="19" t="n"/>
      <c r="P18784" s="20" t="n"/>
      <c r="Q18784" s="19" t="n"/>
      <c r="R18784" s="19" t="n"/>
      <c r="Y18784" s="19" t="n"/>
    </row>
    <row r="18785">
      <c r="C18785" s="18" t="n"/>
      <c r="J18785" s="19" t="n"/>
      <c r="P18785" s="20" t="n"/>
      <c r="Q18785" s="19" t="n"/>
      <c r="R18785" s="19" t="n"/>
      <c r="Y18785" s="19" t="n"/>
    </row>
    <row r="18786">
      <c r="C18786" s="18" t="n"/>
      <c r="J18786" s="19" t="n"/>
      <c r="P18786" s="20" t="n"/>
      <c r="Q18786" s="19" t="n"/>
      <c r="R18786" s="19" t="n"/>
      <c r="Y18786" s="19" t="n"/>
    </row>
    <row r="18787">
      <c r="C18787" s="18" t="n"/>
      <c r="J18787" s="19" t="n"/>
      <c r="P18787" s="20" t="n"/>
      <c r="Q18787" s="19" t="n"/>
      <c r="R18787" s="19" t="n"/>
      <c r="Y18787" s="19" t="n"/>
    </row>
    <row r="18788">
      <c r="C18788" s="18" t="n"/>
      <c r="J18788" s="19" t="n"/>
      <c r="P18788" s="20" t="n"/>
      <c r="Q18788" s="19" t="n"/>
      <c r="R18788" s="19" t="n"/>
      <c r="Y18788" s="19" t="n"/>
    </row>
    <row r="18789">
      <c r="C18789" s="18" t="n"/>
      <c r="J18789" s="19" t="n"/>
      <c r="P18789" s="20" t="n"/>
      <c r="Q18789" s="19" t="n"/>
      <c r="R18789" s="19" t="n"/>
      <c r="Y18789" s="19" t="n"/>
    </row>
    <row r="18790">
      <c r="C18790" s="18" t="n"/>
      <c r="J18790" s="19" t="n"/>
      <c r="P18790" s="20" t="n"/>
      <c r="Q18790" s="19" t="n"/>
      <c r="R18790" s="19" t="n"/>
      <c r="Y18790" s="19" t="n"/>
    </row>
    <row r="18791">
      <c r="C18791" s="18" t="n"/>
      <c r="J18791" s="19" t="n"/>
      <c r="P18791" s="20" t="n"/>
      <c r="Q18791" s="19" t="n"/>
      <c r="R18791" s="19" t="n"/>
      <c r="Y18791" s="19" t="n"/>
    </row>
    <row r="18792">
      <c r="C18792" s="18" t="n"/>
      <c r="J18792" s="19" t="n"/>
      <c r="P18792" s="20" t="n"/>
      <c r="Q18792" s="19" t="n"/>
      <c r="R18792" s="19" t="n"/>
      <c r="Y18792" s="19" t="n"/>
    </row>
    <row r="18793">
      <c r="C18793" s="18" t="n"/>
      <c r="J18793" s="19" t="n"/>
      <c r="P18793" s="20" t="n"/>
      <c r="Q18793" s="19" t="n"/>
      <c r="R18793" s="19" t="n"/>
      <c r="Y18793" s="19" t="n"/>
    </row>
    <row r="18794">
      <c r="C18794" s="18" t="n"/>
      <c r="J18794" s="19" t="n"/>
      <c r="P18794" s="20" t="n"/>
      <c r="Q18794" s="19" t="n"/>
      <c r="R18794" s="19" t="n"/>
      <c r="Y18794" s="19" t="n"/>
    </row>
    <row r="18795">
      <c r="C18795" s="18" t="n"/>
      <c r="J18795" s="19" t="n"/>
      <c r="P18795" s="20" t="n"/>
      <c r="Q18795" s="19" t="n"/>
      <c r="R18795" s="19" t="n"/>
      <c r="Y18795" s="19" t="n"/>
    </row>
    <row r="18796">
      <c r="C18796" s="18" t="n"/>
      <c r="J18796" s="19" t="n"/>
      <c r="P18796" s="20" t="n"/>
      <c r="Q18796" s="19" t="n"/>
      <c r="R18796" s="19" t="n"/>
      <c r="Y18796" s="19" t="n"/>
    </row>
    <row r="18797">
      <c r="C18797" s="18" t="n"/>
      <c r="J18797" s="19" t="n"/>
      <c r="P18797" s="20" t="n"/>
      <c r="Q18797" s="19" t="n"/>
      <c r="R18797" s="19" t="n"/>
      <c r="Y18797" s="19" t="n"/>
    </row>
    <row r="18798">
      <c r="C18798" s="18" t="n"/>
      <c r="J18798" s="19" t="n"/>
      <c r="P18798" s="20" t="n"/>
      <c r="Q18798" s="19" t="n"/>
      <c r="R18798" s="19" t="n"/>
      <c r="Y18798" s="19" t="n"/>
    </row>
    <row r="18799">
      <c r="C18799" s="18" t="n"/>
      <c r="J18799" s="19" t="n"/>
      <c r="P18799" s="20" t="n"/>
      <c r="Q18799" s="19" t="n"/>
      <c r="R18799" s="19" t="n"/>
      <c r="Y18799" s="19" t="n"/>
    </row>
    <row r="18800">
      <c r="C18800" s="18" t="n"/>
      <c r="J18800" s="19" t="n"/>
      <c r="P18800" s="20" t="n"/>
      <c r="Q18800" s="19" t="n"/>
      <c r="R18800" s="19" t="n"/>
      <c r="Y18800" s="19" t="n"/>
    </row>
    <row r="18801">
      <c r="C18801" s="18" t="n"/>
      <c r="J18801" s="19" t="n"/>
      <c r="P18801" s="20" t="n"/>
      <c r="Q18801" s="19" t="n"/>
      <c r="R18801" s="19" t="n"/>
      <c r="Y18801" s="19" t="n"/>
    </row>
    <row r="18802">
      <c r="C18802" s="18" t="n"/>
      <c r="J18802" s="19" t="n"/>
      <c r="P18802" s="20" t="n"/>
      <c r="Q18802" s="19" t="n"/>
      <c r="R18802" s="19" t="n"/>
      <c r="Y18802" s="19" t="n"/>
    </row>
    <row r="18803">
      <c r="C18803" s="18" t="n"/>
      <c r="J18803" s="19" t="n"/>
      <c r="P18803" s="20" t="n"/>
      <c r="Q18803" s="19" t="n"/>
      <c r="R18803" s="19" t="n"/>
      <c r="Y18803" s="19" t="n"/>
    </row>
    <row r="18804">
      <c r="C18804" s="18" t="n"/>
      <c r="J18804" s="19" t="n"/>
      <c r="P18804" s="20" t="n"/>
      <c r="Q18804" s="19" t="n"/>
      <c r="R18804" s="19" t="n"/>
      <c r="Y18804" s="19" t="n"/>
    </row>
    <row r="18805">
      <c r="C18805" s="18" t="n"/>
      <c r="J18805" s="19" t="n"/>
      <c r="P18805" s="20" t="n"/>
      <c r="Q18805" s="19" t="n"/>
      <c r="R18805" s="19" t="n"/>
      <c r="Y18805" s="19" t="n"/>
    </row>
    <row r="18806">
      <c r="C18806" s="18" t="n"/>
      <c r="J18806" s="19" t="n"/>
      <c r="P18806" s="20" t="n"/>
      <c r="Q18806" s="19" t="n"/>
      <c r="R18806" s="19" t="n"/>
      <c r="Y18806" s="19" t="n"/>
    </row>
    <row r="18807">
      <c r="C18807" s="18" t="n"/>
      <c r="J18807" s="19" t="n"/>
      <c r="P18807" s="20" t="n"/>
      <c r="Q18807" s="19" t="n"/>
      <c r="R18807" s="19" t="n"/>
      <c r="Y18807" s="19" t="n"/>
    </row>
    <row r="18808">
      <c r="C18808" s="18" t="n"/>
      <c r="J18808" s="19" t="n"/>
      <c r="P18808" s="20" t="n"/>
      <c r="Q18808" s="19" t="n"/>
      <c r="R18808" s="19" t="n"/>
      <c r="Y18808" s="19" t="n"/>
    </row>
    <row r="18809">
      <c r="C18809" s="18" t="n"/>
      <c r="J18809" s="19" t="n"/>
      <c r="P18809" s="20" t="n"/>
      <c r="Q18809" s="19" t="n"/>
      <c r="R18809" s="19" t="n"/>
      <c r="Y18809" s="19" t="n"/>
    </row>
    <row r="18810">
      <c r="C18810" s="18" t="n"/>
      <c r="J18810" s="19" t="n"/>
      <c r="P18810" s="20" t="n"/>
      <c r="Q18810" s="19" t="n"/>
      <c r="R18810" s="19" t="n"/>
      <c r="Y18810" s="19" t="n"/>
    </row>
    <row r="18811">
      <c r="C18811" s="18" t="n"/>
      <c r="J18811" s="19" t="n"/>
      <c r="P18811" s="20" t="n"/>
      <c r="Q18811" s="19" t="n"/>
      <c r="R18811" s="19" t="n"/>
      <c r="Y18811" s="19" t="n"/>
    </row>
    <row r="18812">
      <c r="C18812" s="18" t="n"/>
      <c r="J18812" s="19" t="n"/>
      <c r="P18812" s="20" t="n"/>
      <c r="Q18812" s="19" t="n"/>
      <c r="R18812" s="19" t="n"/>
      <c r="Y18812" s="19" t="n"/>
    </row>
    <row r="18813">
      <c r="C18813" s="18" t="n"/>
      <c r="J18813" s="19" t="n"/>
      <c r="P18813" s="20" t="n"/>
      <c r="Q18813" s="19" t="n"/>
      <c r="R18813" s="19" t="n"/>
      <c r="Y18813" s="19" t="n"/>
    </row>
    <row r="18814">
      <c r="C18814" s="18" t="n"/>
      <c r="J18814" s="19" t="n"/>
      <c r="P18814" s="20" t="n"/>
      <c r="Q18814" s="19" t="n"/>
      <c r="R18814" s="19" t="n"/>
      <c r="Y18814" s="19" t="n"/>
    </row>
    <row r="18815">
      <c r="C18815" s="18" t="n"/>
      <c r="J18815" s="19" t="n"/>
      <c r="P18815" s="20" t="n"/>
      <c r="Q18815" s="19" t="n"/>
      <c r="R18815" s="19" t="n"/>
      <c r="Y18815" s="19" t="n"/>
    </row>
    <row r="18816">
      <c r="C18816" s="18" t="n"/>
      <c r="J18816" s="19" t="n"/>
      <c r="P18816" s="20" t="n"/>
      <c r="Q18816" s="19" t="n"/>
      <c r="R18816" s="19" t="n"/>
      <c r="Y18816" s="19" t="n"/>
    </row>
    <row r="18817">
      <c r="C18817" s="18" t="n"/>
      <c r="J18817" s="19" t="n"/>
      <c r="P18817" s="20" t="n"/>
      <c r="Q18817" s="19" t="n"/>
      <c r="R18817" s="19" t="n"/>
      <c r="Y18817" s="19" t="n"/>
    </row>
    <row r="18818">
      <c r="C18818" s="18" t="n"/>
      <c r="J18818" s="19" t="n"/>
      <c r="P18818" s="20" t="n"/>
      <c r="Q18818" s="19" t="n"/>
      <c r="R18818" s="19" t="n"/>
      <c r="Y18818" s="19" t="n"/>
    </row>
    <row r="18819">
      <c r="C18819" s="18" t="n"/>
      <c r="J18819" s="19" t="n"/>
      <c r="P18819" s="20" t="n"/>
      <c r="Q18819" s="19" t="n"/>
      <c r="R18819" s="19" t="n"/>
      <c r="Y18819" s="19" t="n"/>
    </row>
    <row r="18820">
      <c r="C18820" s="18" t="n"/>
      <c r="J18820" s="19" t="n"/>
      <c r="P18820" s="20" t="n"/>
      <c r="Q18820" s="19" t="n"/>
      <c r="R18820" s="19" t="n"/>
      <c r="Y18820" s="19" t="n"/>
    </row>
    <row r="18821">
      <c r="C18821" s="18" t="n"/>
      <c r="J18821" s="19" t="n"/>
      <c r="P18821" s="20" t="n"/>
      <c r="Q18821" s="19" t="n"/>
      <c r="R18821" s="19" t="n"/>
      <c r="Y18821" s="19" t="n"/>
    </row>
    <row r="18822">
      <c r="C18822" s="18" t="n"/>
      <c r="J18822" s="19" t="n"/>
      <c r="P18822" s="20" t="n"/>
      <c r="Q18822" s="19" t="n"/>
      <c r="R18822" s="19" t="n"/>
      <c r="Y18822" s="19" t="n"/>
    </row>
    <row r="18823">
      <c r="C18823" s="18" t="n"/>
      <c r="J18823" s="19" t="n"/>
      <c r="P18823" s="20" t="n"/>
      <c r="Q18823" s="19" t="n"/>
      <c r="R18823" s="19" t="n"/>
      <c r="Y18823" s="19" t="n"/>
    </row>
    <row r="18824">
      <c r="C18824" s="18" t="n"/>
      <c r="J18824" s="19" t="n"/>
      <c r="P18824" s="20" t="n"/>
      <c r="Q18824" s="19" t="n"/>
      <c r="R18824" s="19" t="n"/>
      <c r="Y18824" s="19" t="n"/>
    </row>
    <row r="18825">
      <c r="C18825" s="18" t="n"/>
      <c r="J18825" s="19" t="n"/>
      <c r="P18825" s="20" t="n"/>
      <c r="Q18825" s="19" t="n"/>
      <c r="R18825" s="19" t="n"/>
      <c r="Y18825" s="19" t="n"/>
    </row>
    <row r="18826">
      <c r="C18826" s="18" t="n"/>
      <c r="J18826" s="19" t="n"/>
      <c r="P18826" s="20" t="n"/>
      <c r="Q18826" s="19" t="n"/>
      <c r="R18826" s="19" t="n"/>
      <c r="Y18826" s="19" t="n"/>
    </row>
    <row r="18827">
      <c r="C18827" s="18" t="n"/>
      <c r="J18827" s="19" t="n"/>
      <c r="P18827" s="20" t="n"/>
      <c r="Q18827" s="19" t="n"/>
      <c r="R18827" s="19" t="n"/>
      <c r="Y18827" s="19" t="n"/>
    </row>
    <row r="18828">
      <c r="C18828" s="18" t="n"/>
      <c r="J18828" s="19" t="n"/>
      <c r="P18828" s="20" t="n"/>
      <c r="Q18828" s="19" t="n"/>
      <c r="R18828" s="19" t="n"/>
      <c r="Y18828" s="19" t="n"/>
    </row>
    <row r="18829">
      <c r="C18829" s="18" t="n"/>
      <c r="J18829" s="19" t="n"/>
      <c r="P18829" s="20" t="n"/>
      <c r="Q18829" s="19" t="n"/>
      <c r="R18829" s="19" t="n"/>
      <c r="Y18829" s="19" t="n"/>
    </row>
    <row r="18830">
      <c r="C18830" s="18" t="n"/>
      <c r="J18830" s="19" t="n"/>
      <c r="P18830" s="20" t="n"/>
      <c r="Q18830" s="19" t="n"/>
      <c r="R18830" s="19" t="n"/>
      <c r="Y18830" s="19" t="n"/>
    </row>
    <row r="18831">
      <c r="C18831" s="18" t="n"/>
      <c r="J18831" s="19" t="n"/>
      <c r="P18831" s="20" t="n"/>
      <c r="Q18831" s="19" t="n"/>
      <c r="R18831" s="19" t="n"/>
      <c r="Y18831" s="19" t="n"/>
    </row>
    <row r="18832">
      <c r="C18832" s="18" t="n"/>
      <c r="J18832" s="19" t="n"/>
      <c r="P18832" s="20" t="n"/>
      <c r="Q18832" s="19" t="n"/>
      <c r="R18832" s="19" t="n"/>
      <c r="Y18832" s="19" t="n"/>
    </row>
    <row r="18833">
      <c r="C18833" s="18" t="n"/>
      <c r="J18833" s="19" t="n"/>
      <c r="P18833" s="20" t="n"/>
      <c r="Q18833" s="19" t="n"/>
      <c r="R18833" s="19" t="n"/>
      <c r="Y18833" s="19" t="n"/>
    </row>
    <row r="18834">
      <c r="C18834" s="18" t="n"/>
      <c r="J18834" s="19" t="n"/>
      <c r="P18834" s="20" t="n"/>
      <c r="Q18834" s="19" t="n"/>
      <c r="R18834" s="19" t="n"/>
      <c r="Y18834" s="19" t="n"/>
    </row>
    <row r="18835">
      <c r="C18835" s="18" t="n"/>
      <c r="J18835" s="19" t="n"/>
      <c r="P18835" s="20" t="n"/>
      <c r="Q18835" s="19" t="n"/>
      <c r="R18835" s="19" t="n"/>
      <c r="Y18835" s="19" t="n"/>
    </row>
    <row r="18836">
      <c r="C18836" s="18" t="n"/>
      <c r="J18836" s="19" t="n"/>
      <c r="P18836" s="20" t="n"/>
      <c r="Q18836" s="19" t="n"/>
      <c r="R18836" s="19" t="n"/>
      <c r="Y18836" s="19" t="n"/>
    </row>
    <row r="18837">
      <c r="C18837" s="18" t="n"/>
      <c r="J18837" s="19" t="n"/>
      <c r="P18837" s="20" t="n"/>
      <c r="Q18837" s="19" t="n"/>
      <c r="R18837" s="19" t="n"/>
      <c r="Y18837" s="19" t="n"/>
    </row>
    <row r="18838">
      <c r="C18838" s="18" t="n"/>
      <c r="J18838" s="19" t="n"/>
      <c r="P18838" s="20" t="n"/>
      <c r="Q18838" s="19" t="n"/>
      <c r="R18838" s="19" t="n"/>
      <c r="Y18838" s="19" t="n"/>
    </row>
    <row r="18839">
      <c r="C18839" s="18" t="n"/>
      <c r="J18839" s="19" t="n"/>
      <c r="P18839" s="20" t="n"/>
      <c r="Q18839" s="19" t="n"/>
      <c r="R18839" s="19" t="n"/>
      <c r="Y18839" s="19" t="n"/>
    </row>
    <row r="18840">
      <c r="C18840" s="18" t="n"/>
      <c r="J18840" s="19" t="n"/>
      <c r="P18840" s="20" t="n"/>
      <c r="Q18840" s="19" t="n"/>
      <c r="R18840" s="19" t="n"/>
      <c r="Y18840" s="19" t="n"/>
    </row>
    <row r="18841">
      <c r="C18841" s="18" t="n"/>
      <c r="J18841" s="19" t="n"/>
      <c r="P18841" s="20" t="n"/>
      <c r="Q18841" s="19" t="n"/>
      <c r="R18841" s="19" t="n"/>
      <c r="Y18841" s="19" t="n"/>
    </row>
    <row r="18842">
      <c r="C18842" s="18" t="n"/>
      <c r="J18842" s="19" t="n"/>
      <c r="P18842" s="20" t="n"/>
      <c r="Q18842" s="19" t="n"/>
      <c r="R18842" s="19" t="n"/>
      <c r="Y18842" s="19" t="n"/>
    </row>
    <row r="18843">
      <c r="C18843" s="18" t="n"/>
      <c r="J18843" s="19" t="n"/>
      <c r="P18843" s="20" t="n"/>
      <c r="Q18843" s="19" t="n"/>
      <c r="R18843" s="19" t="n"/>
      <c r="Y18843" s="19" t="n"/>
    </row>
    <row r="18844">
      <c r="C18844" s="18" t="n"/>
      <c r="J18844" s="19" t="n"/>
      <c r="P18844" s="20" t="n"/>
      <c r="Q18844" s="19" t="n"/>
      <c r="R18844" s="19" t="n"/>
      <c r="Y18844" s="19" t="n"/>
    </row>
    <row r="18845">
      <c r="C18845" s="18" t="n"/>
      <c r="J18845" s="19" t="n"/>
      <c r="P18845" s="20" t="n"/>
      <c r="Q18845" s="19" t="n"/>
      <c r="R18845" s="19" t="n"/>
      <c r="Y18845" s="19" t="n"/>
    </row>
    <row r="18846">
      <c r="C18846" s="18" t="n"/>
      <c r="J18846" s="19" t="n"/>
      <c r="P18846" s="20" t="n"/>
      <c r="Q18846" s="19" t="n"/>
      <c r="R18846" s="19" t="n"/>
      <c r="Y18846" s="19" t="n"/>
    </row>
    <row r="18847">
      <c r="C18847" s="18" t="n"/>
      <c r="J18847" s="19" t="n"/>
      <c r="P18847" s="20" t="n"/>
      <c r="Q18847" s="19" t="n"/>
      <c r="R18847" s="19" t="n"/>
      <c r="Y18847" s="19" t="n"/>
    </row>
    <row r="18848">
      <c r="C18848" s="18" t="n"/>
      <c r="J18848" s="19" t="n"/>
      <c r="P18848" s="20" t="n"/>
      <c r="Q18848" s="19" t="n"/>
      <c r="R18848" s="19" t="n"/>
      <c r="Y18848" s="19" t="n"/>
    </row>
    <row r="18849">
      <c r="C18849" s="18" t="n"/>
      <c r="J18849" s="19" t="n"/>
      <c r="P18849" s="20" t="n"/>
      <c r="Q18849" s="19" t="n"/>
      <c r="R18849" s="19" t="n"/>
      <c r="Y18849" s="19" t="n"/>
    </row>
    <row r="18850">
      <c r="C18850" s="18" t="n"/>
      <c r="J18850" s="19" t="n"/>
      <c r="P18850" s="20" t="n"/>
      <c r="Q18850" s="19" t="n"/>
      <c r="R18850" s="19" t="n"/>
      <c r="Y18850" s="19" t="n"/>
    </row>
    <row r="18851">
      <c r="C18851" s="18" t="n"/>
      <c r="J18851" s="19" t="n"/>
      <c r="P18851" s="20" t="n"/>
      <c r="Q18851" s="19" t="n"/>
      <c r="R18851" s="19" t="n"/>
      <c r="Y18851" s="19" t="n"/>
    </row>
    <row r="18852">
      <c r="C18852" s="18" t="n"/>
      <c r="J18852" s="19" t="n"/>
      <c r="P18852" s="20" t="n"/>
      <c r="Q18852" s="19" t="n"/>
      <c r="R18852" s="19" t="n"/>
      <c r="Y18852" s="19" t="n"/>
    </row>
    <row r="18853">
      <c r="C18853" s="18" t="n"/>
      <c r="J18853" s="19" t="n"/>
      <c r="P18853" s="20" t="n"/>
      <c r="Q18853" s="19" t="n"/>
      <c r="R18853" s="19" t="n"/>
      <c r="Y18853" s="19" t="n"/>
    </row>
    <row r="18854">
      <c r="C18854" s="18" t="n"/>
      <c r="J18854" s="19" t="n"/>
      <c r="P18854" s="20" t="n"/>
      <c r="Q18854" s="19" t="n"/>
      <c r="R18854" s="19" t="n"/>
      <c r="Y18854" s="19" t="n"/>
    </row>
    <row r="18855">
      <c r="C18855" s="18" t="n"/>
      <c r="J18855" s="19" t="n"/>
      <c r="P18855" s="20" t="n"/>
      <c r="Q18855" s="19" t="n"/>
      <c r="R18855" s="19" t="n"/>
      <c r="Y18855" s="19" t="n"/>
    </row>
    <row r="18856">
      <c r="C18856" s="18" t="n"/>
      <c r="J18856" s="19" t="n"/>
      <c r="P18856" s="20" t="n"/>
      <c r="Q18856" s="19" t="n"/>
      <c r="R18856" s="19" t="n"/>
      <c r="Y18856" s="19" t="n"/>
    </row>
    <row r="18857">
      <c r="C18857" s="18" t="n"/>
      <c r="J18857" s="19" t="n"/>
      <c r="P18857" s="20" t="n"/>
      <c r="Q18857" s="19" t="n"/>
      <c r="R18857" s="19" t="n"/>
      <c r="Y18857" s="19" t="n"/>
    </row>
    <row r="18858">
      <c r="C18858" s="18" t="n"/>
      <c r="J18858" s="19" t="n"/>
      <c r="P18858" s="20" t="n"/>
      <c r="Q18858" s="19" t="n"/>
      <c r="R18858" s="19" t="n"/>
      <c r="Y18858" s="19" t="n"/>
    </row>
    <row r="18859">
      <c r="C18859" s="18" t="n"/>
      <c r="J18859" s="19" t="n"/>
      <c r="P18859" s="20" t="n"/>
      <c r="Q18859" s="19" t="n"/>
      <c r="R18859" s="19" t="n"/>
      <c r="Y18859" s="19" t="n"/>
    </row>
    <row r="18860">
      <c r="C18860" s="18" t="n"/>
      <c r="J18860" s="19" t="n"/>
      <c r="P18860" s="20" t="n"/>
      <c r="Q18860" s="19" t="n"/>
      <c r="R18860" s="19" t="n"/>
      <c r="Y18860" s="19" t="n"/>
    </row>
    <row r="18861">
      <c r="C18861" s="18" t="n"/>
      <c r="J18861" s="19" t="n"/>
      <c r="P18861" s="20" t="n"/>
      <c r="Q18861" s="19" t="n"/>
      <c r="R18861" s="19" t="n"/>
      <c r="Y18861" s="19" t="n"/>
    </row>
    <row r="18862">
      <c r="C18862" s="18" t="n"/>
      <c r="J18862" s="19" t="n"/>
      <c r="P18862" s="20" t="n"/>
      <c r="Q18862" s="19" t="n"/>
      <c r="R18862" s="19" t="n"/>
      <c r="Y18862" s="19" t="n"/>
    </row>
    <row r="18863">
      <c r="C18863" s="18" t="n"/>
      <c r="J18863" s="19" t="n"/>
      <c r="P18863" s="20" t="n"/>
      <c r="Q18863" s="19" t="n"/>
      <c r="R18863" s="19" t="n"/>
      <c r="Y18863" s="19" t="n"/>
    </row>
    <row r="18864">
      <c r="C18864" s="18" t="n"/>
      <c r="J18864" s="19" t="n"/>
      <c r="P18864" s="20" t="n"/>
      <c r="Q18864" s="19" t="n"/>
      <c r="R18864" s="19" t="n"/>
      <c r="Y18864" s="19" t="n"/>
    </row>
    <row r="18865">
      <c r="C18865" s="18" t="n"/>
      <c r="J18865" s="19" t="n"/>
      <c r="P18865" s="20" t="n"/>
      <c r="Q18865" s="19" t="n"/>
      <c r="R18865" s="19" t="n"/>
      <c r="Y18865" s="19" t="n"/>
    </row>
    <row r="18866">
      <c r="C18866" s="18" t="n"/>
      <c r="J18866" s="19" t="n"/>
      <c r="P18866" s="20" t="n"/>
      <c r="Q18866" s="19" t="n"/>
      <c r="R18866" s="19" t="n"/>
      <c r="Y18866" s="19" t="n"/>
    </row>
    <row r="18867">
      <c r="C18867" s="18" t="n"/>
      <c r="J18867" s="19" t="n"/>
      <c r="P18867" s="20" t="n"/>
      <c r="Q18867" s="19" t="n"/>
      <c r="R18867" s="19" t="n"/>
      <c r="Y18867" s="19" t="n"/>
    </row>
    <row r="18868">
      <c r="C18868" s="18" t="n"/>
      <c r="J18868" s="19" t="n"/>
      <c r="P18868" s="20" t="n"/>
      <c r="Q18868" s="19" t="n"/>
      <c r="R18868" s="19" t="n"/>
      <c r="Y18868" s="19" t="n"/>
    </row>
    <row r="18869">
      <c r="C18869" s="18" t="n"/>
      <c r="J18869" s="19" t="n"/>
      <c r="P18869" s="20" t="n"/>
      <c r="Q18869" s="19" t="n"/>
      <c r="R18869" s="19" t="n"/>
      <c r="Y18869" s="19" t="n"/>
    </row>
    <row r="18870">
      <c r="C18870" s="18" t="n"/>
      <c r="J18870" s="19" t="n"/>
      <c r="P18870" s="20" t="n"/>
      <c r="Q18870" s="19" t="n"/>
      <c r="R18870" s="19" t="n"/>
      <c r="Y18870" s="19" t="n"/>
    </row>
    <row r="18871">
      <c r="C18871" s="18" t="n"/>
      <c r="J18871" s="19" t="n"/>
      <c r="P18871" s="20" t="n"/>
      <c r="Q18871" s="19" t="n"/>
      <c r="R18871" s="19" t="n"/>
      <c r="Y18871" s="19" t="n"/>
    </row>
    <row r="18872">
      <c r="C18872" s="18" t="n"/>
      <c r="J18872" s="19" t="n"/>
      <c r="P18872" s="20" t="n"/>
      <c r="Q18872" s="19" t="n"/>
      <c r="R18872" s="19" t="n"/>
      <c r="Y18872" s="19" t="n"/>
    </row>
    <row r="18873">
      <c r="C18873" s="18" t="n"/>
      <c r="J18873" s="19" t="n"/>
      <c r="P18873" s="20" t="n"/>
      <c r="Q18873" s="19" t="n"/>
      <c r="R18873" s="19" t="n"/>
      <c r="Y18873" s="19" t="n"/>
    </row>
    <row r="18874">
      <c r="C18874" s="18" t="n"/>
      <c r="J18874" s="19" t="n"/>
      <c r="P18874" s="20" t="n"/>
      <c r="Q18874" s="19" t="n"/>
      <c r="R18874" s="19" t="n"/>
      <c r="Y18874" s="19" t="n"/>
    </row>
    <row r="18875">
      <c r="C18875" s="18" t="n"/>
      <c r="J18875" s="19" t="n"/>
      <c r="P18875" s="20" t="n"/>
      <c r="Q18875" s="19" t="n"/>
      <c r="R18875" s="19" t="n"/>
      <c r="Y18875" s="19" t="n"/>
    </row>
    <row r="18876">
      <c r="C18876" s="18" t="n"/>
      <c r="J18876" s="19" t="n"/>
      <c r="P18876" s="20" t="n"/>
      <c r="Q18876" s="19" t="n"/>
      <c r="R18876" s="19" t="n"/>
      <c r="Y18876" s="19" t="n"/>
    </row>
    <row r="18877">
      <c r="C18877" s="18" t="n"/>
      <c r="J18877" s="19" t="n"/>
      <c r="P18877" s="20" t="n"/>
      <c r="Q18877" s="19" t="n"/>
      <c r="R18877" s="19" t="n"/>
      <c r="Y18877" s="19" t="n"/>
    </row>
    <row r="18878">
      <c r="C18878" s="18" t="n"/>
      <c r="J18878" s="19" t="n"/>
      <c r="P18878" s="20" t="n"/>
      <c r="Q18878" s="19" t="n"/>
      <c r="R18878" s="19" t="n"/>
      <c r="Y18878" s="19" t="n"/>
    </row>
    <row r="18879">
      <c r="C18879" s="18" t="n"/>
      <c r="J18879" s="19" t="n"/>
      <c r="P18879" s="20" t="n"/>
      <c r="Q18879" s="19" t="n"/>
      <c r="R18879" s="19" t="n"/>
      <c r="Y18879" s="19" t="n"/>
    </row>
    <row r="18880">
      <c r="C18880" s="18" t="n"/>
      <c r="J18880" s="19" t="n"/>
      <c r="P18880" s="20" t="n"/>
      <c r="Q18880" s="19" t="n"/>
      <c r="R18880" s="19" t="n"/>
      <c r="Y18880" s="19" t="n"/>
    </row>
    <row r="18881">
      <c r="C18881" s="18" t="n"/>
      <c r="J18881" s="19" t="n"/>
      <c r="P18881" s="20" t="n"/>
      <c r="Q18881" s="19" t="n"/>
      <c r="R18881" s="19" t="n"/>
      <c r="Y18881" s="19" t="n"/>
    </row>
    <row r="18882">
      <c r="C18882" s="18" t="n"/>
      <c r="J18882" s="19" t="n"/>
      <c r="P18882" s="20" t="n"/>
      <c r="Q18882" s="19" t="n"/>
      <c r="R18882" s="19" t="n"/>
      <c r="Y18882" s="19" t="n"/>
    </row>
    <row r="18883">
      <c r="C18883" s="18" t="n"/>
      <c r="J18883" s="19" t="n"/>
      <c r="P18883" s="20" t="n"/>
      <c r="Q18883" s="19" t="n"/>
      <c r="R18883" s="19" t="n"/>
      <c r="Y18883" s="19" t="n"/>
    </row>
    <row r="18884">
      <c r="C18884" s="18" t="n"/>
      <c r="J18884" s="19" t="n"/>
      <c r="P18884" s="20" t="n"/>
      <c r="Q18884" s="19" t="n"/>
      <c r="R18884" s="19" t="n"/>
      <c r="Y18884" s="19" t="n"/>
    </row>
    <row r="18885">
      <c r="C18885" s="18" t="n"/>
      <c r="J18885" s="19" t="n"/>
      <c r="P18885" s="20" t="n"/>
      <c r="Q18885" s="19" t="n"/>
      <c r="R18885" s="19" t="n"/>
      <c r="Y18885" s="19" t="n"/>
    </row>
    <row r="18886">
      <c r="C18886" s="18" t="n"/>
      <c r="J18886" s="19" t="n"/>
      <c r="P18886" s="20" t="n"/>
      <c r="Q18886" s="19" t="n"/>
      <c r="R18886" s="19" t="n"/>
      <c r="Y18886" s="19" t="n"/>
    </row>
    <row r="18887">
      <c r="C18887" s="18" t="n"/>
      <c r="J18887" s="19" t="n"/>
      <c r="P18887" s="20" t="n"/>
      <c r="Q18887" s="19" t="n"/>
      <c r="R18887" s="19" t="n"/>
      <c r="Y18887" s="19" t="n"/>
    </row>
    <row r="18888">
      <c r="C18888" s="18" t="n"/>
      <c r="J18888" s="19" t="n"/>
      <c r="P18888" s="20" t="n"/>
      <c r="Q18888" s="19" t="n"/>
      <c r="R18888" s="19" t="n"/>
      <c r="Y18888" s="19" t="n"/>
    </row>
    <row r="18889">
      <c r="C18889" s="18" t="n"/>
      <c r="J18889" s="19" t="n"/>
      <c r="P18889" s="20" t="n"/>
      <c r="Q18889" s="19" t="n"/>
      <c r="R18889" s="19" t="n"/>
      <c r="Y18889" s="19" t="n"/>
    </row>
    <row r="18890">
      <c r="C18890" s="18" t="n"/>
      <c r="J18890" s="19" t="n"/>
      <c r="P18890" s="20" t="n"/>
      <c r="Q18890" s="19" t="n"/>
      <c r="R18890" s="19" t="n"/>
      <c r="Y18890" s="19" t="n"/>
    </row>
    <row r="18891">
      <c r="C18891" s="18" t="n"/>
      <c r="J18891" s="19" t="n"/>
      <c r="P18891" s="20" t="n"/>
      <c r="Q18891" s="19" t="n"/>
      <c r="R18891" s="19" t="n"/>
      <c r="Y18891" s="19" t="n"/>
    </row>
    <row r="18892">
      <c r="C18892" s="18" t="n"/>
      <c r="J18892" s="19" t="n"/>
      <c r="P18892" s="20" t="n"/>
      <c r="Q18892" s="19" t="n"/>
      <c r="R18892" s="19" t="n"/>
      <c r="Y18892" s="19" t="n"/>
    </row>
    <row r="18893">
      <c r="C18893" s="18" t="n"/>
      <c r="J18893" s="19" t="n"/>
      <c r="P18893" s="20" t="n"/>
      <c r="Q18893" s="19" t="n"/>
      <c r="R18893" s="19" t="n"/>
      <c r="Y18893" s="19" t="n"/>
    </row>
    <row r="18894">
      <c r="C18894" s="18" t="n"/>
      <c r="J18894" s="19" t="n"/>
      <c r="P18894" s="20" t="n"/>
      <c r="Q18894" s="19" t="n"/>
      <c r="R18894" s="19" t="n"/>
      <c r="Y18894" s="19" t="n"/>
    </row>
    <row r="18895">
      <c r="C18895" s="18" t="n"/>
      <c r="J18895" s="19" t="n"/>
      <c r="P18895" s="20" t="n"/>
      <c r="Q18895" s="19" t="n"/>
      <c r="R18895" s="19" t="n"/>
      <c r="Y18895" s="19" t="n"/>
    </row>
    <row r="18896">
      <c r="C18896" s="18" t="n"/>
      <c r="J18896" s="19" t="n"/>
      <c r="P18896" s="20" t="n"/>
      <c r="Q18896" s="19" t="n"/>
      <c r="R18896" s="19" t="n"/>
      <c r="Y18896" s="19" t="n"/>
    </row>
    <row r="18897">
      <c r="C18897" s="18" t="n"/>
      <c r="J18897" s="19" t="n"/>
      <c r="P18897" s="20" t="n"/>
      <c r="Q18897" s="19" t="n"/>
      <c r="R18897" s="19" t="n"/>
      <c r="Y18897" s="19" t="n"/>
    </row>
    <row r="18898">
      <c r="C18898" s="18" t="n"/>
      <c r="J18898" s="19" t="n"/>
      <c r="P18898" s="20" t="n"/>
      <c r="Q18898" s="19" t="n"/>
      <c r="R18898" s="19" t="n"/>
      <c r="Y18898" s="19" t="n"/>
    </row>
    <row r="18899">
      <c r="C18899" s="18" t="n"/>
      <c r="J18899" s="19" t="n"/>
      <c r="P18899" s="20" t="n"/>
      <c r="Q18899" s="19" t="n"/>
      <c r="R18899" s="19" t="n"/>
      <c r="Y18899" s="19" t="n"/>
    </row>
    <row r="18900">
      <c r="C18900" s="18" t="n"/>
      <c r="J18900" s="19" t="n"/>
      <c r="P18900" s="20" t="n"/>
      <c r="Q18900" s="19" t="n"/>
      <c r="R18900" s="19" t="n"/>
      <c r="Y18900" s="19" t="n"/>
    </row>
    <row r="18901">
      <c r="C18901" s="18" t="n"/>
      <c r="J18901" s="19" t="n"/>
      <c r="P18901" s="20" t="n"/>
      <c r="Q18901" s="19" t="n"/>
      <c r="R18901" s="19" t="n"/>
      <c r="Y18901" s="19" t="n"/>
    </row>
    <row r="18902">
      <c r="C18902" s="18" t="n"/>
      <c r="J18902" s="19" t="n"/>
      <c r="P18902" s="20" t="n"/>
      <c r="Q18902" s="19" t="n"/>
      <c r="R18902" s="19" t="n"/>
      <c r="Y18902" s="19" t="n"/>
    </row>
    <row r="18903">
      <c r="C18903" s="18" t="n"/>
      <c r="J18903" s="19" t="n"/>
      <c r="P18903" s="20" t="n"/>
      <c r="Q18903" s="19" t="n"/>
      <c r="R18903" s="19" t="n"/>
      <c r="Y18903" s="19" t="n"/>
    </row>
    <row r="18904">
      <c r="C18904" s="18" t="n"/>
      <c r="J18904" s="19" t="n"/>
      <c r="P18904" s="20" t="n"/>
      <c r="Q18904" s="19" t="n"/>
      <c r="R18904" s="19" t="n"/>
      <c r="Y18904" s="19" t="n"/>
    </row>
    <row r="18905">
      <c r="C18905" s="18" t="n"/>
      <c r="J18905" s="19" t="n"/>
      <c r="P18905" s="20" t="n"/>
      <c r="Q18905" s="19" t="n"/>
      <c r="R18905" s="19" t="n"/>
      <c r="Y18905" s="19" t="n"/>
    </row>
    <row r="18906">
      <c r="C18906" s="18" t="n"/>
      <c r="J18906" s="19" t="n"/>
      <c r="P18906" s="20" t="n"/>
      <c r="Q18906" s="19" t="n"/>
      <c r="R18906" s="19" t="n"/>
      <c r="Y18906" s="19" t="n"/>
    </row>
    <row r="18907">
      <c r="C18907" s="18" t="n"/>
      <c r="J18907" s="19" t="n"/>
      <c r="P18907" s="20" t="n"/>
      <c r="Q18907" s="19" t="n"/>
      <c r="R18907" s="19" t="n"/>
      <c r="Y18907" s="19" t="n"/>
    </row>
    <row r="18908">
      <c r="C18908" s="18" t="n"/>
      <c r="J18908" s="19" t="n"/>
      <c r="P18908" s="20" t="n"/>
      <c r="Q18908" s="19" t="n"/>
      <c r="R18908" s="19" t="n"/>
      <c r="Y18908" s="19" t="n"/>
    </row>
    <row r="18909">
      <c r="C18909" s="18" t="n"/>
      <c r="J18909" s="19" t="n"/>
      <c r="P18909" s="20" t="n"/>
      <c r="Q18909" s="19" t="n"/>
      <c r="R18909" s="19" t="n"/>
      <c r="Y18909" s="19" t="n"/>
    </row>
    <row r="18910">
      <c r="C18910" s="18" t="n"/>
      <c r="J18910" s="19" t="n"/>
      <c r="P18910" s="20" t="n"/>
      <c r="Q18910" s="19" t="n"/>
      <c r="R18910" s="19" t="n"/>
      <c r="Y18910" s="19" t="n"/>
    </row>
    <row r="18911">
      <c r="C18911" s="18" t="n"/>
      <c r="J18911" s="19" t="n"/>
      <c r="P18911" s="20" t="n"/>
      <c r="Q18911" s="19" t="n"/>
      <c r="R18911" s="19" t="n"/>
      <c r="Y18911" s="19" t="n"/>
    </row>
    <row r="18912">
      <c r="C18912" s="18" t="n"/>
      <c r="J18912" s="19" t="n"/>
      <c r="P18912" s="20" t="n"/>
      <c r="Q18912" s="19" t="n"/>
      <c r="R18912" s="19" t="n"/>
      <c r="Y18912" s="19" t="n"/>
    </row>
    <row r="18913">
      <c r="C18913" s="18" t="n"/>
      <c r="J18913" s="19" t="n"/>
      <c r="P18913" s="20" t="n"/>
      <c r="Q18913" s="19" t="n"/>
      <c r="R18913" s="19" t="n"/>
      <c r="Y18913" s="19" t="n"/>
    </row>
    <row r="18914">
      <c r="C18914" s="18" t="n"/>
      <c r="J18914" s="19" t="n"/>
      <c r="P18914" s="20" t="n"/>
      <c r="Q18914" s="19" t="n"/>
      <c r="R18914" s="19" t="n"/>
      <c r="Y18914" s="19" t="n"/>
    </row>
    <row r="18915">
      <c r="C18915" s="18" t="n"/>
      <c r="J18915" s="19" t="n"/>
      <c r="P18915" s="20" t="n"/>
      <c r="Q18915" s="19" t="n"/>
      <c r="R18915" s="19" t="n"/>
      <c r="Y18915" s="19" t="n"/>
    </row>
    <row r="18916">
      <c r="C18916" s="18" t="n"/>
      <c r="J18916" s="19" t="n"/>
      <c r="P18916" s="20" t="n"/>
      <c r="Q18916" s="19" t="n"/>
      <c r="R18916" s="19" t="n"/>
      <c r="Y18916" s="19" t="n"/>
    </row>
    <row r="18917">
      <c r="C18917" s="18" t="n"/>
      <c r="J18917" s="19" t="n"/>
      <c r="P18917" s="20" t="n"/>
      <c r="Q18917" s="19" t="n"/>
      <c r="R18917" s="19" t="n"/>
      <c r="Y18917" s="19" t="n"/>
    </row>
    <row r="18918">
      <c r="C18918" s="18" t="n"/>
      <c r="J18918" s="19" t="n"/>
      <c r="P18918" s="20" t="n"/>
      <c r="Q18918" s="19" t="n"/>
      <c r="R18918" s="19" t="n"/>
      <c r="Y18918" s="19" t="n"/>
    </row>
    <row r="18919">
      <c r="C18919" s="18" t="n"/>
      <c r="J18919" s="19" t="n"/>
      <c r="P18919" s="20" t="n"/>
      <c r="Q18919" s="19" t="n"/>
      <c r="R18919" s="19" t="n"/>
      <c r="Y18919" s="19" t="n"/>
    </row>
    <row r="18920">
      <c r="C18920" s="18" t="n"/>
      <c r="J18920" s="19" t="n"/>
      <c r="P18920" s="20" t="n"/>
      <c r="Q18920" s="19" t="n"/>
      <c r="R18920" s="19" t="n"/>
      <c r="Y18920" s="19" t="n"/>
    </row>
    <row r="18921">
      <c r="C18921" s="18" t="n"/>
      <c r="J18921" s="19" t="n"/>
      <c r="P18921" s="20" t="n"/>
      <c r="Q18921" s="19" t="n"/>
      <c r="R18921" s="19" t="n"/>
      <c r="Y18921" s="19" t="n"/>
    </row>
    <row r="18922">
      <c r="C18922" s="18" t="n"/>
      <c r="J18922" s="19" t="n"/>
      <c r="P18922" s="20" t="n"/>
      <c r="Q18922" s="19" t="n"/>
      <c r="R18922" s="19" t="n"/>
      <c r="Y18922" s="19" t="n"/>
    </row>
    <row r="18923">
      <c r="C18923" s="18" t="n"/>
      <c r="J18923" s="19" t="n"/>
      <c r="P18923" s="20" t="n"/>
      <c r="Q18923" s="19" t="n"/>
      <c r="R18923" s="19" t="n"/>
      <c r="Y18923" s="19" t="n"/>
    </row>
    <row r="18924">
      <c r="C18924" s="18" t="n"/>
      <c r="J18924" s="19" t="n"/>
      <c r="P18924" s="20" t="n"/>
      <c r="Q18924" s="19" t="n"/>
      <c r="R18924" s="19" t="n"/>
      <c r="Y18924" s="19" t="n"/>
    </row>
    <row r="18925">
      <c r="C18925" s="18" t="n"/>
      <c r="J18925" s="19" t="n"/>
      <c r="P18925" s="20" t="n"/>
      <c r="Q18925" s="19" t="n"/>
      <c r="R18925" s="19" t="n"/>
      <c r="Y18925" s="19" t="n"/>
    </row>
    <row r="18926">
      <c r="C18926" s="18" t="n"/>
      <c r="J18926" s="19" t="n"/>
      <c r="P18926" s="20" t="n"/>
      <c r="Q18926" s="19" t="n"/>
      <c r="R18926" s="19" t="n"/>
      <c r="Y18926" s="19" t="n"/>
    </row>
    <row r="18927">
      <c r="C18927" s="18" t="n"/>
      <c r="J18927" s="19" t="n"/>
      <c r="P18927" s="20" t="n"/>
      <c r="Q18927" s="19" t="n"/>
      <c r="R18927" s="19" t="n"/>
      <c r="Y18927" s="19" t="n"/>
    </row>
    <row r="18928">
      <c r="C18928" s="18" t="n"/>
      <c r="J18928" s="19" t="n"/>
      <c r="P18928" s="20" t="n"/>
      <c r="Q18928" s="19" t="n"/>
      <c r="R18928" s="19" t="n"/>
      <c r="Y18928" s="19" t="n"/>
    </row>
    <row r="18929">
      <c r="C18929" s="18" t="n"/>
      <c r="J18929" s="19" t="n"/>
      <c r="P18929" s="20" t="n"/>
      <c r="Q18929" s="19" t="n"/>
      <c r="R18929" s="19" t="n"/>
      <c r="Y18929" s="19" t="n"/>
    </row>
    <row r="18930">
      <c r="C18930" s="18" t="n"/>
      <c r="J18930" s="19" t="n"/>
      <c r="P18930" s="20" t="n"/>
      <c r="Q18930" s="19" t="n"/>
      <c r="R18930" s="19" t="n"/>
      <c r="Y18930" s="19" t="n"/>
    </row>
    <row r="18931">
      <c r="C18931" s="18" t="n"/>
      <c r="J18931" s="19" t="n"/>
      <c r="P18931" s="20" t="n"/>
      <c r="Q18931" s="19" t="n"/>
      <c r="R18931" s="19" t="n"/>
      <c r="Y18931" s="19" t="n"/>
    </row>
    <row r="18932">
      <c r="C18932" s="18" t="n"/>
      <c r="J18932" s="19" t="n"/>
      <c r="P18932" s="20" t="n"/>
      <c r="Q18932" s="19" t="n"/>
      <c r="R18932" s="19" t="n"/>
      <c r="Y18932" s="19" t="n"/>
    </row>
    <row r="18933">
      <c r="C18933" s="18" t="n"/>
      <c r="J18933" s="19" t="n"/>
      <c r="P18933" s="20" t="n"/>
      <c r="Q18933" s="19" t="n"/>
      <c r="R18933" s="19" t="n"/>
      <c r="Y18933" s="19" t="n"/>
    </row>
    <row r="18934">
      <c r="C18934" s="18" t="n"/>
      <c r="J18934" s="19" t="n"/>
      <c r="P18934" s="20" t="n"/>
      <c r="Q18934" s="19" t="n"/>
      <c r="R18934" s="19" t="n"/>
      <c r="Y18934" s="19" t="n"/>
    </row>
    <row r="18935">
      <c r="C18935" s="18" t="n"/>
      <c r="J18935" s="19" t="n"/>
      <c r="P18935" s="20" t="n"/>
      <c r="Q18935" s="19" t="n"/>
      <c r="R18935" s="19" t="n"/>
      <c r="Y18935" s="19" t="n"/>
    </row>
    <row r="18936">
      <c r="C18936" s="18" t="n"/>
      <c r="J18936" s="19" t="n"/>
      <c r="P18936" s="20" t="n"/>
      <c r="Q18936" s="19" t="n"/>
      <c r="R18936" s="19" t="n"/>
      <c r="Y18936" s="19" t="n"/>
    </row>
    <row r="18937">
      <c r="C18937" s="18" t="n"/>
      <c r="J18937" s="19" t="n"/>
      <c r="P18937" s="20" t="n"/>
      <c r="Q18937" s="19" t="n"/>
      <c r="R18937" s="19" t="n"/>
      <c r="Y18937" s="19" t="n"/>
    </row>
    <row r="18938">
      <c r="C18938" s="18" t="n"/>
      <c r="J18938" s="19" t="n"/>
      <c r="P18938" s="20" t="n"/>
      <c r="Q18938" s="19" t="n"/>
      <c r="R18938" s="19" t="n"/>
      <c r="Y18938" s="19" t="n"/>
    </row>
    <row r="18939">
      <c r="C18939" s="18" t="n"/>
      <c r="J18939" s="19" t="n"/>
      <c r="P18939" s="20" t="n"/>
      <c r="Q18939" s="19" t="n"/>
      <c r="R18939" s="19" t="n"/>
      <c r="Y18939" s="19" t="n"/>
    </row>
    <row r="18940">
      <c r="C18940" s="18" t="n"/>
      <c r="J18940" s="19" t="n"/>
      <c r="P18940" s="20" t="n"/>
      <c r="Q18940" s="19" t="n"/>
      <c r="R18940" s="19" t="n"/>
      <c r="Y18940" s="19" t="n"/>
    </row>
    <row r="18941">
      <c r="C18941" s="18" t="n"/>
      <c r="J18941" s="19" t="n"/>
      <c r="P18941" s="20" t="n"/>
      <c r="Q18941" s="19" t="n"/>
      <c r="R18941" s="19" t="n"/>
      <c r="Y18941" s="19" t="n"/>
    </row>
    <row r="18942">
      <c r="C18942" s="18" t="n"/>
      <c r="J18942" s="19" t="n"/>
      <c r="P18942" s="20" t="n"/>
      <c r="Q18942" s="19" t="n"/>
      <c r="R18942" s="19" t="n"/>
      <c r="Y18942" s="19" t="n"/>
    </row>
    <row r="18943">
      <c r="C18943" s="18" t="n"/>
      <c r="J18943" s="19" t="n"/>
      <c r="P18943" s="20" t="n"/>
      <c r="Q18943" s="19" t="n"/>
      <c r="R18943" s="19" t="n"/>
      <c r="Y18943" s="19" t="n"/>
    </row>
    <row r="18944">
      <c r="C18944" s="18" t="n"/>
      <c r="J18944" s="19" t="n"/>
      <c r="P18944" s="20" t="n"/>
      <c r="Q18944" s="19" t="n"/>
      <c r="R18944" s="19" t="n"/>
      <c r="Y18944" s="19" t="n"/>
    </row>
    <row r="18945">
      <c r="C18945" s="18" t="n"/>
      <c r="J18945" s="19" t="n"/>
      <c r="P18945" s="20" t="n"/>
      <c r="Q18945" s="19" t="n"/>
      <c r="R18945" s="19" t="n"/>
      <c r="Y18945" s="19" t="n"/>
    </row>
    <row r="18946">
      <c r="C18946" s="18" t="n"/>
      <c r="J18946" s="19" t="n"/>
      <c r="P18946" s="20" t="n"/>
      <c r="Q18946" s="19" t="n"/>
      <c r="R18946" s="19" t="n"/>
      <c r="Y18946" s="19" t="n"/>
    </row>
    <row r="18947">
      <c r="C18947" s="18" t="n"/>
      <c r="J18947" s="19" t="n"/>
      <c r="P18947" s="20" t="n"/>
      <c r="Q18947" s="19" t="n"/>
      <c r="R18947" s="19" t="n"/>
      <c r="Y18947" s="19" t="n"/>
    </row>
    <row r="18948">
      <c r="C18948" s="18" t="n"/>
      <c r="J18948" s="19" t="n"/>
      <c r="P18948" s="20" t="n"/>
      <c r="Q18948" s="19" t="n"/>
      <c r="R18948" s="19" t="n"/>
      <c r="Y18948" s="19" t="n"/>
    </row>
    <row r="18949">
      <c r="C18949" s="18" t="n"/>
      <c r="J18949" s="19" t="n"/>
      <c r="P18949" s="20" t="n"/>
      <c r="Q18949" s="19" t="n"/>
      <c r="R18949" s="19" t="n"/>
      <c r="Y18949" s="19" t="n"/>
    </row>
    <row r="18950">
      <c r="C18950" s="18" t="n"/>
      <c r="J18950" s="19" t="n"/>
      <c r="P18950" s="20" t="n"/>
      <c r="Q18950" s="19" t="n"/>
      <c r="R18950" s="19" t="n"/>
      <c r="Y18950" s="19" t="n"/>
    </row>
    <row r="18951">
      <c r="C18951" s="18" t="n"/>
      <c r="J18951" s="19" t="n"/>
      <c r="P18951" s="20" t="n"/>
      <c r="Q18951" s="19" t="n"/>
      <c r="R18951" s="19" t="n"/>
      <c r="Y18951" s="19" t="n"/>
    </row>
    <row r="18952">
      <c r="C18952" s="18" t="n"/>
      <c r="J18952" s="19" t="n"/>
      <c r="P18952" s="20" t="n"/>
      <c r="Q18952" s="19" t="n"/>
      <c r="R18952" s="19" t="n"/>
      <c r="Y18952" s="19" t="n"/>
    </row>
    <row r="18953">
      <c r="C18953" s="18" t="n"/>
      <c r="J18953" s="19" t="n"/>
      <c r="P18953" s="20" t="n"/>
      <c r="Q18953" s="19" t="n"/>
      <c r="R18953" s="19" t="n"/>
      <c r="Y18953" s="19" t="n"/>
    </row>
    <row r="18954">
      <c r="C18954" s="18" t="n"/>
      <c r="J18954" s="19" t="n"/>
      <c r="P18954" s="20" t="n"/>
      <c r="Q18954" s="19" t="n"/>
      <c r="R18954" s="19" t="n"/>
      <c r="Y18954" s="19" t="n"/>
    </row>
    <row r="18955">
      <c r="C18955" s="18" t="n"/>
      <c r="J18955" s="19" t="n"/>
      <c r="P18955" s="20" t="n"/>
      <c r="Q18955" s="19" t="n"/>
      <c r="R18955" s="19" t="n"/>
      <c r="Y18955" s="19" t="n"/>
    </row>
    <row r="18956">
      <c r="C18956" s="18" t="n"/>
      <c r="J18956" s="19" t="n"/>
      <c r="P18956" s="20" t="n"/>
      <c r="Q18956" s="19" t="n"/>
      <c r="R18956" s="19" t="n"/>
      <c r="Y18956" s="19" t="n"/>
    </row>
    <row r="18957">
      <c r="C18957" s="18" t="n"/>
      <c r="J18957" s="19" t="n"/>
      <c r="P18957" s="20" t="n"/>
      <c r="Q18957" s="19" t="n"/>
      <c r="R18957" s="19" t="n"/>
      <c r="Y18957" s="19" t="n"/>
    </row>
    <row r="18958">
      <c r="C18958" s="18" t="n"/>
      <c r="J18958" s="19" t="n"/>
      <c r="P18958" s="20" t="n"/>
      <c r="Q18958" s="19" t="n"/>
      <c r="R18958" s="19" t="n"/>
      <c r="Y18958" s="19" t="n"/>
    </row>
    <row r="18959">
      <c r="C18959" s="18" t="n"/>
      <c r="J18959" s="19" t="n"/>
      <c r="P18959" s="20" t="n"/>
      <c r="Q18959" s="19" t="n"/>
      <c r="R18959" s="19" t="n"/>
      <c r="Y18959" s="19" t="n"/>
    </row>
    <row r="18960">
      <c r="C18960" s="18" t="n"/>
      <c r="J18960" s="19" t="n"/>
      <c r="P18960" s="20" t="n"/>
      <c r="Q18960" s="19" t="n"/>
      <c r="R18960" s="19" t="n"/>
      <c r="Y18960" s="19" t="n"/>
    </row>
    <row r="18961">
      <c r="C18961" s="18" t="n"/>
      <c r="J18961" s="19" t="n"/>
      <c r="P18961" s="20" t="n"/>
      <c r="Q18961" s="19" t="n"/>
      <c r="R18961" s="19" t="n"/>
      <c r="Y18961" s="19" t="n"/>
    </row>
    <row r="18962">
      <c r="C18962" s="18" t="n"/>
      <c r="J18962" s="19" t="n"/>
      <c r="P18962" s="20" t="n"/>
      <c r="Q18962" s="19" t="n"/>
      <c r="R18962" s="19" t="n"/>
      <c r="Y18962" s="19" t="n"/>
    </row>
    <row r="18963">
      <c r="C18963" s="18" t="n"/>
      <c r="J18963" s="19" t="n"/>
      <c r="P18963" s="20" t="n"/>
      <c r="Q18963" s="19" t="n"/>
      <c r="R18963" s="19" t="n"/>
      <c r="Y18963" s="19" t="n"/>
    </row>
    <row r="18964">
      <c r="C18964" s="18" t="n"/>
      <c r="J18964" s="19" t="n"/>
      <c r="P18964" s="20" t="n"/>
      <c r="Q18964" s="19" t="n"/>
      <c r="R18964" s="19" t="n"/>
      <c r="Y18964" s="19" t="n"/>
    </row>
    <row r="18965">
      <c r="C18965" s="18" t="n"/>
      <c r="J18965" s="19" t="n"/>
      <c r="P18965" s="20" t="n"/>
      <c r="Q18965" s="19" t="n"/>
      <c r="R18965" s="19" t="n"/>
      <c r="Y18965" s="19" t="n"/>
    </row>
    <row r="18966">
      <c r="C18966" s="18" t="n"/>
      <c r="J18966" s="19" t="n"/>
      <c r="P18966" s="20" t="n"/>
      <c r="Q18966" s="19" t="n"/>
      <c r="R18966" s="19" t="n"/>
      <c r="Y18966" s="19" t="n"/>
    </row>
    <row r="18967">
      <c r="C18967" s="18" t="n"/>
      <c r="J18967" s="19" t="n"/>
      <c r="P18967" s="20" t="n"/>
      <c r="Q18967" s="19" t="n"/>
      <c r="R18967" s="19" t="n"/>
      <c r="Y18967" s="19" t="n"/>
    </row>
    <row r="18968">
      <c r="C18968" s="18" t="n"/>
      <c r="J18968" s="19" t="n"/>
      <c r="P18968" s="20" t="n"/>
      <c r="Q18968" s="19" t="n"/>
      <c r="R18968" s="19" t="n"/>
      <c r="Y18968" s="19" t="n"/>
    </row>
    <row r="18969">
      <c r="C18969" s="18" t="n"/>
      <c r="J18969" s="19" t="n"/>
      <c r="P18969" s="20" t="n"/>
      <c r="Q18969" s="19" t="n"/>
      <c r="R18969" s="19" t="n"/>
      <c r="Y18969" s="19" t="n"/>
    </row>
    <row r="18970">
      <c r="C18970" s="18" t="n"/>
      <c r="J18970" s="19" t="n"/>
      <c r="P18970" s="20" t="n"/>
      <c r="Q18970" s="19" t="n"/>
      <c r="R18970" s="19" t="n"/>
      <c r="Y18970" s="19" t="n"/>
    </row>
    <row r="18971">
      <c r="C18971" s="18" t="n"/>
      <c r="J18971" s="19" t="n"/>
      <c r="P18971" s="20" t="n"/>
      <c r="Q18971" s="19" t="n"/>
      <c r="R18971" s="19" t="n"/>
      <c r="Y18971" s="19" t="n"/>
    </row>
    <row r="18972">
      <c r="C18972" s="18" t="n"/>
      <c r="J18972" s="19" t="n"/>
      <c r="P18972" s="20" t="n"/>
      <c r="Q18972" s="19" t="n"/>
      <c r="R18972" s="19" t="n"/>
      <c r="Y18972" s="19" t="n"/>
    </row>
    <row r="18973">
      <c r="C18973" s="18" t="n"/>
      <c r="J18973" s="19" t="n"/>
      <c r="P18973" s="20" t="n"/>
      <c r="Q18973" s="19" t="n"/>
      <c r="R18973" s="19" t="n"/>
      <c r="Y18973" s="19" t="n"/>
    </row>
    <row r="18974">
      <c r="C18974" s="18" t="n"/>
      <c r="J18974" s="19" t="n"/>
      <c r="P18974" s="20" t="n"/>
      <c r="Q18974" s="19" t="n"/>
      <c r="R18974" s="19" t="n"/>
      <c r="Y18974" s="19" t="n"/>
    </row>
    <row r="18975">
      <c r="C18975" s="18" t="n"/>
      <c r="J18975" s="19" t="n"/>
      <c r="P18975" s="20" t="n"/>
      <c r="Q18975" s="19" t="n"/>
      <c r="R18975" s="19" t="n"/>
      <c r="Y18975" s="19" t="n"/>
    </row>
    <row r="18976">
      <c r="C18976" s="18" t="n"/>
      <c r="J18976" s="19" t="n"/>
      <c r="P18976" s="20" t="n"/>
      <c r="Q18976" s="19" t="n"/>
      <c r="R18976" s="19" t="n"/>
      <c r="Y18976" s="19" t="n"/>
    </row>
    <row r="18977">
      <c r="C18977" s="18" t="n"/>
      <c r="J18977" s="19" t="n"/>
      <c r="P18977" s="20" t="n"/>
      <c r="Q18977" s="19" t="n"/>
      <c r="R18977" s="19" t="n"/>
      <c r="Y18977" s="19" t="n"/>
    </row>
    <row r="18978">
      <c r="C18978" s="18" t="n"/>
      <c r="J18978" s="19" t="n"/>
      <c r="P18978" s="20" t="n"/>
      <c r="Q18978" s="19" t="n"/>
      <c r="R18978" s="19" t="n"/>
      <c r="Y18978" s="19" t="n"/>
    </row>
    <row r="18979">
      <c r="C18979" s="18" t="n"/>
      <c r="J18979" s="19" t="n"/>
      <c r="P18979" s="20" t="n"/>
      <c r="Q18979" s="19" t="n"/>
      <c r="R18979" s="19" t="n"/>
      <c r="Y18979" s="19" t="n"/>
    </row>
    <row r="18980">
      <c r="C18980" s="18" t="n"/>
      <c r="J18980" s="19" t="n"/>
      <c r="P18980" s="20" t="n"/>
      <c r="Q18980" s="19" t="n"/>
      <c r="R18980" s="19" t="n"/>
      <c r="Y18980" s="19" t="n"/>
    </row>
    <row r="18981">
      <c r="C18981" s="18" t="n"/>
      <c r="J18981" s="19" t="n"/>
      <c r="P18981" s="20" t="n"/>
      <c r="Q18981" s="19" t="n"/>
      <c r="R18981" s="19" t="n"/>
      <c r="Y18981" s="19" t="n"/>
    </row>
    <row r="18982">
      <c r="C18982" s="18" t="n"/>
      <c r="J18982" s="19" t="n"/>
      <c r="P18982" s="20" t="n"/>
      <c r="Q18982" s="19" t="n"/>
      <c r="R18982" s="19" t="n"/>
      <c r="Y18982" s="19" t="n"/>
    </row>
    <row r="18983">
      <c r="C18983" s="18" t="n"/>
      <c r="J18983" s="19" t="n"/>
      <c r="P18983" s="20" t="n"/>
      <c r="Q18983" s="19" t="n"/>
      <c r="R18983" s="19" t="n"/>
      <c r="Y18983" s="19" t="n"/>
    </row>
    <row r="18984">
      <c r="C18984" s="18" t="n"/>
      <c r="J18984" s="19" t="n"/>
      <c r="P18984" s="20" t="n"/>
      <c r="Q18984" s="19" t="n"/>
      <c r="R18984" s="19" t="n"/>
      <c r="Y18984" s="19" t="n"/>
    </row>
    <row r="18985">
      <c r="C18985" s="18" t="n"/>
      <c r="J18985" s="19" t="n"/>
      <c r="P18985" s="20" t="n"/>
      <c r="Q18985" s="19" t="n"/>
      <c r="R18985" s="19" t="n"/>
      <c r="Y18985" s="19" t="n"/>
    </row>
    <row r="18986">
      <c r="C18986" s="18" t="n"/>
      <c r="J18986" s="19" t="n"/>
      <c r="P18986" s="20" t="n"/>
      <c r="Q18986" s="19" t="n"/>
      <c r="R18986" s="19" t="n"/>
      <c r="Y18986" s="19" t="n"/>
    </row>
    <row r="18987">
      <c r="C18987" s="18" t="n"/>
      <c r="J18987" s="19" t="n"/>
      <c r="P18987" s="20" t="n"/>
      <c r="Q18987" s="19" t="n"/>
      <c r="R18987" s="19" t="n"/>
      <c r="Y18987" s="19" t="n"/>
    </row>
    <row r="18988">
      <c r="C18988" s="18" t="n"/>
      <c r="J18988" s="19" t="n"/>
      <c r="P18988" s="20" t="n"/>
      <c r="Q18988" s="19" t="n"/>
      <c r="R18988" s="19" t="n"/>
      <c r="Y18988" s="19" t="n"/>
    </row>
    <row r="18989">
      <c r="C18989" s="18" t="n"/>
      <c r="J18989" s="19" t="n"/>
      <c r="P18989" s="20" t="n"/>
      <c r="Q18989" s="19" t="n"/>
      <c r="R18989" s="19" t="n"/>
      <c r="Y18989" s="19" t="n"/>
    </row>
    <row r="18990">
      <c r="C18990" s="18" t="n"/>
      <c r="J18990" s="19" t="n"/>
      <c r="P18990" s="20" t="n"/>
      <c r="Q18990" s="19" t="n"/>
      <c r="R18990" s="19" t="n"/>
      <c r="Y18990" s="19" t="n"/>
    </row>
    <row r="18991">
      <c r="C18991" s="18" t="n"/>
      <c r="J18991" s="19" t="n"/>
      <c r="P18991" s="20" t="n"/>
      <c r="Q18991" s="19" t="n"/>
      <c r="R18991" s="19" t="n"/>
      <c r="Y18991" s="19" t="n"/>
    </row>
    <row r="18992">
      <c r="C18992" s="18" t="n"/>
      <c r="J18992" s="19" t="n"/>
      <c r="P18992" s="20" t="n"/>
      <c r="Q18992" s="19" t="n"/>
      <c r="R18992" s="19" t="n"/>
      <c r="Y18992" s="19" t="n"/>
    </row>
    <row r="18993">
      <c r="C18993" s="18" t="n"/>
      <c r="J18993" s="19" t="n"/>
      <c r="P18993" s="20" t="n"/>
      <c r="Q18993" s="19" t="n"/>
      <c r="R18993" s="19" t="n"/>
      <c r="Y18993" s="19" t="n"/>
    </row>
    <row r="18994">
      <c r="C18994" s="18" t="n"/>
      <c r="J18994" s="19" t="n"/>
      <c r="P18994" s="20" t="n"/>
      <c r="Q18994" s="19" t="n"/>
      <c r="R18994" s="19" t="n"/>
      <c r="Y18994" s="19" t="n"/>
    </row>
    <row r="18995">
      <c r="C18995" s="18" t="n"/>
      <c r="J18995" s="19" t="n"/>
      <c r="P18995" s="20" t="n"/>
      <c r="Q18995" s="19" t="n"/>
      <c r="R18995" s="19" t="n"/>
      <c r="Y18995" s="19" t="n"/>
    </row>
    <row r="18996">
      <c r="C18996" s="18" t="n"/>
      <c r="J18996" s="19" t="n"/>
      <c r="P18996" s="20" t="n"/>
      <c r="Q18996" s="19" t="n"/>
      <c r="R18996" s="19" t="n"/>
      <c r="Y18996" s="19" t="n"/>
    </row>
    <row r="18997">
      <c r="C18997" s="18" t="n"/>
      <c r="J18997" s="19" t="n"/>
      <c r="P18997" s="20" t="n"/>
      <c r="Q18997" s="19" t="n"/>
      <c r="R18997" s="19" t="n"/>
      <c r="Y18997" s="19" t="n"/>
    </row>
    <row r="18998">
      <c r="C18998" s="18" t="n"/>
      <c r="J18998" s="19" t="n"/>
      <c r="P18998" s="20" t="n"/>
      <c r="Q18998" s="19" t="n"/>
      <c r="R18998" s="19" t="n"/>
      <c r="Y18998" s="19" t="n"/>
    </row>
    <row r="18999">
      <c r="C18999" s="18" t="n"/>
      <c r="J18999" s="19" t="n"/>
      <c r="P18999" s="20" t="n"/>
      <c r="Q18999" s="19" t="n"/>
      <c r="R18999" s="19" t="n"/>
      <c r="Y18999" s="19" t="n"/>
    </row>
    <row r="19000">
      <c r="C19000" s="18" t="n"/>
      <c r="J19000" s="19" t="n"/>
      <c r="P19000" s="20" t="n"/>
      <c r="Q19000" s="19" t="n"/>
      <c r="R19000" s="19" t="n"/>
      <c r="Y19000" s="19" t="n"/>
    </row>
    <row r="19001">
      <c r="C19001" s="18" t="n"/>
      <c r="J19001" s="19" t="n"/>
      <c r="P19001" s="20" t="n"/>
      <c r="Q19001" s="19" t="n"/>
      <c r="R19001" s="19" t="n"/>
      <c r="Y19001" s="19" t="n"/>
    </row>
    <row r="19002">
      <c r="C19002" s="18" t="n"/>
      <c r="J19002" s="19" t="n"/>
      <c r="P19002" s="20" t="n"/>
      <c r="Q19002" s="19" t="n"/>
      <c r="R19002" s="19" t="n"/>
      <c r="Y19002" s="19" t="n"/>
    </row>
    <row r="19003">
      <c r="C19003" s="18" t="n"/>
      <c r="J19003" s="19" t="n"/>
      <c r="P19003" s="20" t="n"/>
      <c r="Q19003" s="19" t="n"/>
      <c r="R19003" s="19" t="n"/>
      <c r="Y19003" s="19" t="n"/>
    </row>
    <row r="19004">
      <c r="C19004" s="18" t="n"/>
      <c r="J19004" s="19" t="n"/>
      <c r="P19004" s="20" t="n"/>
      <c r="Q19004" s="19" t="n"/>
      <c r="R19004" s="19" t="n"/>
      <c r="Y19004" s="19" t="n"/>
    </row>
    <row r="19005">
      <c r="C19005" s="18" t="n"/>
      <c r="J19005" s="19" t="n"/>
      <c r="P19005" s="20" t="n"/>
      <c r="Q19005" s="19" t="n"/>
      <c r="R19005" s="19" t="n"/>
      <c r="Y19005" s="19" t="n"/>
    </row>
    <row r="19006">
      <c r="C19006" s="18" t="n"/>
      <c r="J19006" s="19" t="n"/>
      <c r="P19006" s="20" t="n"/>
      <c r="Q19006" s="19" t="n"/>
      <c r="R19006" s="19" t="n"/>
      <c r="Y19006" s="19" t="n"/>
    </row>
    <row r="19007">
      <c r="C19007" s="18" t="n"/>
      <c r="J19007" s="19" t="n"/>
      <c r="P19007" s="20" t="n"/>
      <c r="Q19007" s="19" t="n"/>
      <c r="R19007" s="19" t="n"/>
      <c r="Y19007" s="19" t="n"/>
    </row>
    <row r="19008">
      <c r="C19008" s="18" t="n"/>
      <c r="J19008" s="19" t="n"/>
      <c r="P19008" s="20" t="n"/>
      <c r="Q19008" s="19" t="n"/>
      <c r="R19008" s="19" t="n"/>
      <c r="Y19008" s="19" t="n"/>
    </row>
    <row r="19009">
      <c r="C19009" s="18" t="n"/>
      <c r="J19009" s="19" t="n"/>
      <c r="P19009" s="20" t="n"/>
      <c r="Q19009" s="19" t="n"/>
      <c r="R19009" s="19" t="n"/>
      <c r="Y19009" s="19" t="n"/>
    </row>
    <row r="19010">
      <c r="C19010" s="18" t="n"/>
      <c r="J19010" s="19" t="n"/>
      <c r="P19010" s="20" t="n"/>
      <c r="Q19010" s="19" t="n"/>
      <c r="R19010" s="19" t="n"/>
      <c r="Y19010" s="19" t="n"/>
    </row>
    <row r="19011">
      <c r="C19011" s="18" t="n"/>
      <c r="J19011" s="19" t="n"/>
      <c r="P19011" s="20" t="n"/>
      <c r="Q19011" s="19" t="n"/>
      <c r="R19011" s="19" t="n"/>
      <c r="Y19011" s="19" t="n"/>
    </row>
    <row r="19012">
      <c r="C19012" s="18" t="n"/>
      <c r="J19012" s="19" t="n"/>
      <c r="P19012" s="20" t="n"/>
      <c r="Q19012" s="19" t="n"/>
      <c r="R19012" s="19" t="n"/>
      <c r="Y19012" s="19" t="n"/>
    </row>
    <row r="19013">
      <c r="C19013" s="18" t="n"/>
      <c r="J19013" s="19" t="n"/>
      <c r="P19013" s="20" t="n"/>
      <c r="Q19013" s="19" t="n"/>
      <c r="R19013" s="19" t="n"/>
      <c r="Y19013" s="19" t="n"/>
    </row>
    <row r="19014">
      <c r="C19014" s="18" t="n"/>
      <c r="J19014" s="19" t="n"/>
      <c r="P19014" s="20" t="n"/>
      <c r="Q19014" s="19" t="n"/>
      <c r="R19014" s="19" t="n"/>
      <c r="Y19014" s="19" t="n"/>
    </row>
    <row r="19015">
      <c r="C19015" s="18" t="n"/>
      <c r="J19015" s="19" t="n"/>
      <c r="P19015" s="20" t="n"/>
      <c r="Q19015" s="19" t="n"/>
      <c r="R19015" s="19" t="n"/>
      <c r="Y19015" s="19" t="n"/>
    </row>
    <row r="19016">
      <c r="C19016" s="18" t="n"/>
      <c r="J19016" s="19" t="n"/>
      <c r="P19016" s="20" t="n"/>
      <c r="Q19016" s="19" t="n"/>
      <c r="R19016" s="19" t="n"/>
      <c r="Y19016" s="19" t="n"/>
    </row>
    <row r="19017">
      <c r="C19017" s="18" t="n"/>
      <c r="J19017" s="19" t="n"/>
      <c r="P19017" s="20" t="n"/>
      <c r="Q19017" s="19" t="n"/>
      <c r="R19017" s="19" t="n"/>
      <c r="Y19017" s="19" t="n"/>
    </row>
    <row r="19018">
      <c r="C19018" s="18" t="n"/>
      <c r="J19018" s="19" t="n"/>
      <c r="P19018" s="20" t="n"/>
      <c r="Q19018" s="19" t="n"/>
      <c r="R19018" s="19" t="n"/>
      <c r="Y19018" s="19" t="n"/>
    </row>
    <row r="19019">
      <c r="C19019" s="18" t="n"/>
      <c r="J19019" s="19" t="n"/>
      <c r="P19019" s="20" t="n"/>
      <c r="Q19019" s="19" t="n"/>
      <c r="R19019" s="19" t="n"/>
      <c r="Y19019" s="19" t="n"/>
    </row>
    <row r="19020">
      <c r="C19020" s="18" t="n"/>
      <c r="J19020" s="19" t="n"/>
      <c r="P19020" s="20" t="n"/>
      <c r="Q19020" s="19" t="n"/>
      <c r="R19020" s="19" t="n"/>
      <c r="Y19020" s="19" t="n"/>
    </row>
    <row r="19021">
      <c r="C19021" s="18" t="n"/>
      <c r="J19021" s="19" t="n"/>
      <c r="P19021" s="20" t="n"/>
      <c r="Q19021" s="19" t="n"/>
      <c r="R19021" s="19" t="n"/>
      <c r="Y19021" s="19" t="n"/>
    </row>
    <row r="19022">
      <c r="C19022" s="18" t="n"/>
      <c r="J19022" s="19" t="n"/>
      <c r="P19022" s="20" t="n"/>
      <c r="Q19022" s="19" t="n"/>
      <c r="R19022" s="19" t="n"/>
      <c r="Y19022" s="19" t="n"/>
    </row>
    <row r="19023">
      <c r="C19023" s="18" t="n"/>
      <c r="J19023" s="19" t="n"/>
      <c r="P19023" s="20" t="n"/>
      <c r="Q19023" s="19" t="n"/>
      <c r="R19023" s="19" t="n"/>
      <c r="Y19023" s="19" t="n"/>
    </row>
    <row r="19024">
      <c r="C19024" s="18" t="n"/>
      <c r="J19024" s="19" t="n"/>
      <c r="P19024" s="20" t="n"/>
      <c r="Q19024" s="19" t="n"/>
      <c r="R19024" s="19" t="n"/>
      <c r="Y19024" s="19" t="n"/>
    </row>
    <row r="19025">
      <c r="C19025" s="18" t="n"/>
      <c r="J19025" s="19" t="n"/>
      <c r="P19025" s="20" t="n"/>
      <c r="Q19025" s="19" t="n"/>
      <c r="R19025" s="19" t="n"/>
      <c r="Y19025" s="19" t="n"/>
    </row>
    <row r="19026">
      <c r="C19026" s="18" t="n"/>
      <c r="J19026" s="19" t="n"/>
      <c r="P19026" s="20" t="n"/>
      <c r="Q19026" s="19" t="n"/>
      <c r="R19026" s="19" t="n"/>
      <c r="Y19026" s="19" t="n"/>
    </row>
    <row r="19027">
      <c r="C19027" s="18" t="n"/>
      <c r="J19027" s="19" t="n"/>
      <c r="P19027" s="20" t="n"/>
      <c r="Q19027" s="19" t="n"/>
      <c r="R19027" s="19" t="n"/>
      <c r="Y19027" s="19" t="n"/>
    </row>
    <row r="19028">
      <c r="C19028" s="18" t="n"/>
      <c r="J19028" s="19" t="n"/>
      <c r="P19028" s="20" t="n"/>
      <c r="Q19028" s="19" t="n"/>
      <c r="R19028" s="19" t="n"/>
      <c r="Y19028" s="19" t="n"/>
    </row>
    <row r="19029">
      <c r="C19029" s="18" t="n"/>
      <c r="J19029" s="19" t="n"/>
      <c r="P19029" s="20" t="n"/>
      <c r="Q19029" s="19" t="n"/>
      <c r="R19029" s="19" t="n"/>
      <c r="Y19029" s="19" t="n"/>
    </row>
    <row r="19030">
      <c r="C19030" s="18" t="n"/>
      <c r="J19030" s="19" t="n"/>
      <c r="P19030" s="20" t="n"/>
      <c r="Q19030" s="19" t="n"/>
      <c r="R19030" s="19" t="n"/>
      <c r="Y19030" s="19" t="n"/>
    </row>
    <row r="19031">
      <c r="C19031" s="18" t="n"/>
      <c r="J19031" s="19" t="n"/>
      <c r="P19031" s="20" t="n"/>
      <c r="Q19031" s="19" t="n"/>
      <c r="R19031" s="19" t="n"/>
      <c r="Y19031" s="19" t="n"/>
    </row>
    <row r="19032">
      <c r="C19032" s="18" t="n"/>
      <c r="J19032" s="19" t="n"/>
      <c r="P19032" s="20" t="n"/>
      <c r="Q19032" s="19" t="n"/>
      <c r="R19032" s="19" t="n"/>
      <c r="Y19032" s="19" t="n"/>
    </row>
    <row r="19033">
      <c r="C19033" s="18" t="n"/>
      <c r="J19033" s="19" t="n"/>
      <c r="P19033" s="20" t="n"/>
      <c r="Q19033" s="19" t="n"/>
      <c r="R19033" s="19" t="n"/>
      <c r="Y19033" s="19" t="n"/>
    </row>
    <row r="19034">
      <c r="C19034" s="18" t="n"/>
      <c r="J19034" s="19" t="n"/>
      <c r="P19034" s="20" t="n"/>
      <c r="Q19034" s="19" t="n"/>
      <c r="R19034" s="19" t="n"/>
      <c r="Y19034" s="19" t="n"/>
    </row>
    <row r="19035">
      <c r="C19035" s="18" t="n"/>
      <c r="J19035" s="19" t="n"/>
      <c r="P19035" s="20" t="n"/>
      <c r="Q19035" s="19" t="n"/>
      <c r="R19035" s="19" t="n"/>
      <c r="Y19035" s="19" t="n"/>
    </row>
    <row r="19036">
      <c r="C19036" s="18" t="n"/>
      <c r="J19036" s="19" t="n"/>
      <c r="P19036" s="20" t="n"/>
      <c r="Q19036" s="19" t="n"/>
      <c r="R19036" s="19" t="n"/>
      <c r="Y19036" s="19" t="n"/>
    </row>
    <row r="19037">
      <c r="C19037" s="18" t="n"/>
      <c r="J19037" s="19" t="n"/>
      <c r="P19037" s="20" t="n"/>
      <c r="Q19037" s="19" t="n"/>
      <c r="R19037" s="19" t="n"/>
      <c r="Y19037" s="19" t="n"/>
    </row>
    <row r="19038">
      <c r="C19038" s="18" t="n"/>
      <c r="J19038" s="19" t="n"/>
      <c r="P19038" s="20" t="n"/>
      <c r="Q19038" s="19" t="n"/>
      <c r="R19038" s="19" t="n"/>
      <c r="Y19038" s="19" t="n"/>
    </row>
    <row r="19039">
      <c r="C19039" s="18" t="n"/>
      <c r="J19039" s="19" t="n"/>
      <c r="P19039" s="20" t="n"/>
      <c r="Q19039" s="19" t="n"/>
      <c r="R19039" s="19" t="n"/>
      <c r="Y19039" s="19" t="n"/>
    </row>
    <row r="19040">
      <c r="C19040" s="18" t="n"/>
      <c r="J19040" s="19" t="n"/>
      <c r="P19040" s="20" t="n"/>
      <c r="Q19040" s="19" t="n"/>
      <c r="R19040" s="19" t="n"/>
      <c r="Y19040" s="19" t="n"/>
    </row>
    <row r="19041">
      <c r="C19041" s="18" t="n"/>
      <c r="J19041" s="19" t="n"/>
      <c r="P19041" s="20" t="n"/>
      <c r="Q19041" s="19" t="n"/>
      <c r="R19041" s="19" t="n"/>
      <c r="Y19041" s="19" t="n"/>
    </row>
    <row r="19042">
      <c r="C19042" s="18" t="n"/>
      <c r="J19042" s="19" t="n"/>
      <c r="P19042" s="20" t="n"/>
      <c r="Q19042" s="19" t="n"/>
      <c r="R19042" s="19" t="n"/>
      <c r="Y19042" s="19" t="n"/>
    </row>
    <row r="19043">
      <c r="C19043" s="18" t="n"/>
      <c r="J19043" s="19" t="n"/>
      <c r="P19043" s="20" t="n"/>
      <c r="Q19043" s="19" t="n"/>
      <c r="R19043" s="19" t="n"/>
      <c r="Y19043" s="19" t="n"/>
    </row>
    <row r="19044">
      <c r="C19044" s="18" t="n"/>
      <c r="J19044" s="19" t="n"/>
      <c r="P19044" s="20" t="n"/>
      <c r="Q19044" s="19" t="n"/>
      <c r="R19044" s="19" t="n"/>
      <c r="Y19044" s="19" t="n"/>
    </row>
    <row r="19045">
      <c r="C19045" s="18" t="n"/>
      <c r="J19045" s="19" t="n"/>
      <c r="P19045" s="20" t="n"/>
      <c r="Q19045" s="19" t="n"/>
      <c r="R19045" s="19" t="n"/>
      <c r="Y19045" s="19" t="n"/>
    </row>
    <row r="19046">
      <c r="C19046" s="18" t="n"/>
      <c r="J19046" s="19" t="n"/>
      <c r="P19046" s="20" t="n"/>
      <c r="Q19046" s="19" t="n"/>
      <c r="R19046" s="19" t="n"/>
      <c r="Y19046" s="19" t="n"/>
    </row>
    <row r="19047">
      <c r="C19047" s="18" t="n"/>
      <c r="J19047" s="19" t="n"/>
      <c r="P19047" s="20" t="n"/>
      <c r="Q19047" s="19" t="n"/>
      <c r="R19047" s="19" t="n"/>
      <c r="Y19047" s="19" t="n"/>
    </row>
    <row r="19048">
      <c r="C19048" s="18" t="n"/>
      <c r="J19048" s="19" t="n"/>
      <c r="P19048" s="20" t="n"/>
      <c r="Q19048" s="19" t="n"/>
      <c r="R19048" s="19" t="n"/>
      <c r="Y19048" s="19" t="n"/>
    </row>
    <row r="19049">
      <c r="C19049" s="18" t="n"/>
      <c r="J19049" s="19" t="n"/>
      <c r="P19049" s="20" t="n"/>
      <c r="Q19049" s="19" t="n"/>
      <c r="R19049" s="19" t="n"/>
      <c r="Y19049" s="19" t="n"/>
    </row>
    <row r="19050">
      <c r="C19050" s="18" t="n"/>
      <c r="J19050" s="19" t="n"/>
      <c r="P19050" s="20" t="n"/>
      <c r="Q19050" s="19" t="n"/>
      <c r="R19050" s="19" t="n"/>
      <c r="Y19050" s="19" t="n"/>
    </row>
    <row r="19051">
      <c r="C19051" s="18" t="n"/>
      <c r="J19051" s="19" t="n"/>
      <c r="P19051" s="20" t="n"/>
      <c r="Q19051" s="19" t="n"/>
      <c r="R19051" s="19" t="n"/>
      <c r="Y19051" s="19" t="n"/>
    </row>
    <row r="19052">
      <c r="C19052" s="18" t="n"/>
      <c r="J19052" s="19" t="n"/>
      <c r="P19052" s="20" t="n"/>
      <c r="Q19052" s="19" t="n"/>
      <c r="R19052" s="19" t="n"/>
      <c r="Y19052" s="19" t="n"/>
    </row>
    <row r="19053">
      <c r="C19053" s="18" t="n"/>
      <c r="J19053" s="19" t="n"/>
      <c r="P19053" s="20" t="n"/>
      <c r="Q19053" s="19" t="n"/>
      <c r="R19053" s="19" t="n"/>
      <c r="Y19053" s="19" t="n"/>
    </row>
    <row r="19054">
      <c r="C19054" s="18" t="n"/>
      <c r="J19054" s="19" t="n"/>
      <c r="P19054" s="20" t="n"/>
      <c r="Q19054" s="19" t="n"/>
      <c r="R19054" s="19" t="n"/>
      <c r="Y19054" s="19" t="n"/>
    </row>
    <row r="19055">
      <c r="C19055" s="18" t="n"/>
      <c r="J19055" s="19" t="n"/>
      <c r="P19055" s="20" t="n"/>
      <c r="Q19055" s="19" t="n"/>
      <c r="R19055" s="19" t="n"/>
      <c r="Y19055" s="19" t="n"/>
    </row>
    <row r="19056">
      <c r="C19056" s="18" t="n"/>
      <c r="J19056" s="19" t="n"/>
      <c r="P19056" s="20" t="n"/>
      <c r="Q19056" s="19" t="n"/>
      <c r="R19056" s="19" t="n"/>
      <c r="Y19056" s="19" t="n"/>
    </row>
    <row r="19057">
      <c r="C19057" s="18" t="n"/>
      <c r="J19057" s="19" t="n"/>
      <c r="P19057" s="20" t="n"/>
      <c r="Q19057" s="19" t="n"/>
      <c r="R19057" s="19" t="n"/>
      <c r="Y19057" s="19" t="n"/>
    </row>
    <row r="19058">
      <c r="C19058" s="18" t="n"/>
      <c r="J19058" s="19" t="n"/>
      <c r="P19058" s="20" t="n"/>
      <c r="Q19058" s="19" t="n"/>
      <c r="R19058" s="19" t="n"/>
      <c r="Y19058" s="19" t="n"/>
    </row>
    <row r="19059">
      <c r="C19059" s="18" t="n"/>
      <c r="J19059" s="19" t="n"/>
      <c r="P19059" s="20" t="n"/>
      <c r="Q19059" s="19" t="n"/>
      <c r="R19059" s="19" t="n"/>
      <c r="Y19059" s="19" t="n"/>
    </row>
    <row r="19060">
      <c r="C19060" s="18" t="n"/>
      <c r="J19060" s="19" t="n"/>
      <c r="P19060" s="20" t="n"/>
      <c r="Q19060" s="19" t="n"/>
      <c r="R19060" s="19" t="n"/>
      <c r="Y19060" s="19" t="n"/>
    </row>
    <row r="19061">
      <c r="C19061" s="18" t="n"/>
      <c r="J19061" s="19" t="n"/>
      <c r="P19061" s="20" t="n"/>
      <c r="Q19061" s="19" t="n"/>
      <c r="R19061" s="19" t="n"/>
      <c r="Y19061" s="19" t="n"/>
    </row>
    <row r="19062">
      <c r="C19062" s="18" t="n"/>
      <c r="J19062" s="19" t="n"/>
      <c r="P19062" s="20" t="n"/>
      <c r="Q19062" s="19" t="n"/>
      <c r="R19062" s="19" t="n"/>
      <c r="Y19062" s="19" t="n"/>
    </row>
    <row r="19063">
      <c r="C19063" s="18" t="n"/>
      <c r="J19063" s="19" t="n"/>
      <c r="P19063" s="20" t="n"/>
      <c r="Q19063" s="19" t="n"/>
      <c r="R19063" s="19" t="n"/>
      <c r="Y19063" s="19" t="n"/>
    </row>
    <row r="19064">
      <c r="C19064" s="18" t="n"/>
      <c r="J19064" s="19" t="n"/>
      <c r="P19064" s="20" t="n"/>
      <c r="Q19064" s="19" t="n"/>
      <c r="R19064" s="19" t="n"/>
      <c r="Y19064" s="19" t="n"/>
    </row>
    <row r="19065">
      <c r="C19065" s="18" t="n"/>
      <c r="J19065" s="19" t="n"/>
      <c r="P19065" s="20" t="n"/>
      <c r="Q19065" s="19" t="n"/>
      <c r="R19065" s="19" t="n"/>
      <c r="Y19065" s="19" t="n"/>
    </row>
    <row r="19066">
      <c r="C19066" s="18" t="n"/>
      <c r="J19066" s="19" t="n"/>
      <c r="P19066" s="20" t="n"/>
      <c r="Q19066" s="19" t="n"/>
      <c r="R19066" s="19" t="n"/>
      <c r="Y19066" s="19" t="n"/>
    </row>
    <row r="19067">
      <c r="C19067" s="18" t="n"/>
      <c r="J19067" s="19" t="n"/>
      <c r="P19067" s="20" t="n"/>
      <c r="Q19067" s="19" t="n"/>
      <c r="R19067" s="19" t="n"/>
      <c r="Y19067" s="19" t="n"/>
    </row>
    <row r="19068">
      <c r="C19068" s="18" t="n"/>
      <c r="J19068" s="19" t="n"/>
      <c r="P19068" s="20" t="n"/>
      <c r="Q19068" s="19" t="n"/>
      <c r="R19068" s="19" t="n"/>
      <c r="Y19068" s="19" t="n"/>
    </row>
    <row r="19069">
      <c r="C19069" s="18" t="n"/>
      <c r="J19069" s="19" t="n"/>
      <c r="P19069" s="20" t="n"/>
      <c r="Q19069" s="19" t="n"/>
      <c r="R19069" s="19" t="n"/>
      <c r="Y19069" s="19" t="n"/>
    </row>
    <row r="19070">
      <c r="C19070" s="18" t="n"/>
      <c r="J19070" s="19" t="n"/>
      <c r="P19070" s="20" t="n"/>
      <c r="Q19070" s="19" t="n"/>
      <c r="R19070" s="19" t="n"/>
      <c r="Y19070" s="19" t="n"/>
    </row>
    <row r="19071">
      <c r="C19071" s="18" t="n"/>
      <c r="J19071" s="19" t="n"/>
      <c r="P19071" s="20" t="n"/>
      <c r="Q19071" s="19" t="n"/>
      <c r="R19071" s="19" t="n"/>
      <c r="Y19071" s="19" t="n"/>
    </row>
    <row r="19072">
      <c r="C19072" s="18" t="n"/>
      <c r="J19072" s="19" t="n"/>
      <c r="P19072" s="20" t="n"/>
      <c r="Q19072" s="19" t="n"/>
      <c r="R19072" s="19" t="n"/>
      <c r="Y19072" s="19" t="n"/>
    </row>
    <row r="19073">
      <c r="C19073" s="18" t="n"/>
      <c r="J19073" s="19" t="n"/>
      <c r="P19073" s="20" t="n"/>
      <c r="Q19073" s="19" t="n"/>
      <c r="R19073" s="19" t="n"/>
      <c r="Y19073" s="19" t="n"/>
    </row>
    <row r="19074">
      <c r="C19074" s="18" t="n"/>
      <c r="J19074" s="19" t="n"/>
      <c r="P19074" s="20" t="n"/>
      <c r="Q19074" s="19" t="n"/>
      <c r="R19074" s="19" t="n"/>
      <c r="Y19074" s="19" t="n"/>
    </row>
    <row r="19075">
      <c r="C19075" s="18" t="n"/>
      <c r="J19075" s="19" t="n"/>
      <c r="P19075" s="20" t="n"/>
      <c r="Q19075" s="19" t="n"/>
      <c r="R19075" s="19" t="n"/>
      <c r="Y19075" s="19" t="n"/>
    </row>
    <row r="19076">
      <c r="C19076" s="18" t="n"/>
      <c r="J19076" s="19" t="n"/>
      <c r="P19076" s="20" t="n"/>
      <c r="Q19076" s="19" t="n"/>
      <c r="R19076" s="19" t="n"/>
      <c r="Y19076" s="19" t="n"/>
    </row>
    <row r="19077">
      <c r="C19077" s="18" t="n"/>
      <c r="J19077" s="19" t="n"/>
      <c r="P19077" s="20" t="n"/>
      <c r="Q19077" s="19" t="n"/>
      <c r="R19077" s="19" t="n"/>
      <c r="Y19077" s="19" t="n"/>
    </row>
    <row r="19078">
      <c r="C19078" s="18" t="n"/>
      <c r="J19078" s="19" t="n"/>
      <c r="P19078" s="20" t="n"/>
      <c r="Q19078" s="19" t="n"/>
      <c r="R19078" s="19" t="n"/>
      <c r="Y19078" s="19" t="n"/>
    </row>
    <row r="19079">
      <c r="C19079" s="18" t="n"/>
      <c r="J19079" s="19" t="n"/>
      <c r="P19079" s="20" t="n"/>
      <c r="Q19079" s="19" t="n"/>
      <c r="R19079" s="19" t="n"/>
      <c r="Y19079" s="19" t="n"/>
    </row>
    <row r="19080">
      <c r="C19080" s="18" t="n"/>
      <c r="J19080" s="19" t="n"/>
      <c r="P19080" s="20" t="n"/>
      <c r="Q19080" s="19" t="n"/>
      <c r="R19080" s="19" t="n"/>
      <c r="Y19080" s="19" t="n"/>
    </row>
    <row r="19081">
      <c r="C19081" s="18" t="n"/>
      <c r="J19081" s="19" t="n"/>
      <c r="P19081" s="20" t="n"/>
      <c r="Q19081" s="19" t="n"/>
      <c r="R19081" s="19" t="n"/>
      <c r="Y19081" s="19" t="n"/>
    </row>
    <row r="19082">
      <c r="C19082" s="18" t="n"/>
      <c r="J19082" s="19" t="n"/>
      <c r="P19082" s="20" t="n"/>
      <c r="Q19082" s="19" t="n"/>
      <c r="R19082" s="19" t="n"/>
      <c r="Y19082" s="19" t="n"/>
    </row>
    <row r="19083">
      <c r="C19083" s="18" t="n"/>
      <c r="J19083" s="19" t="n"/>
      <c r="P19083" s="20" t="n"/>
      <c r="Q19083" s="19" t="n"/>
      <c r="R19083" s="19" t="n"/>
      <c r="Y19083" s="19" t="n"/>
    </row>
    <row r="19084">
      <c r="C19084" s="18" t="n"/>
      <c r="J19084" s="19" t="n"/>
      <c r="P19084" s="20" t="n"/>
      <c r="Q19084" s="19" t="n"/>
      <c r="R19084" s="19" t="n"/>
      <c r="Y19084" s="19" t="n"/>
    </row>
    <row r="19085">
      <c r="C19085" s="18" t="n"/>
      <c r="J19085" s="19" t="n"/>
      <c r="P19085" s="20" t="n"/>
      <c r="Q19085" s="19" t="n"/>
      <c r="R19085" s="19" t="n"/>
      <c r="Y19085" s="19" t="n"/>
    </row>
    <row r="19086">
      <c r="C19086" s="18" t="n"/>
      <c r="J19086" s="19" t="n"/>
      <c r="P19086" s="20" t="n"/>
      <c r="Q19086" s="19" t="n"/>
      <c r="R19086" s="19" t="n"/>
      <c r="Y19086" s="19" t="n"/>
    </row>
    <row r="19087">
      <c r="C19087" s="18" t="n"/>
      <c r="J19087" s="19" t="n"/>
      <c r="P19087" s="20" t="n"/>
      <c r="Q19087" s="19" t="n"/>
      <c r="R19087" s="19" t="n"/>
      <c r="Y19087" s="19" t="n"/>
    </row>
    <row r="19088">
      <c r="C19088" s="18" t="n"/>
      <c r="J19088" s="19" t="n"/>
      <c r="P19088" s="20" t="n"/>
      <c r="Q19088" s="19" t="n"/>
      <c r="R19088" s="19" t="n"/>
      <c r="Y19088" s="19" t="n"/>
    </row>
    <row r="19089">
      <c r="C19089" s="18" t="n"/>
      <c r="J19089" s="19" t="n"/>
      <c r="P19089" s="20" t="n"/>
      <c r="Q19089" s="19" t="n"/>
      <c r="R19089" s="19" t="n"/>
      <c r="Y19089" s="19" t="n"/>
    </row>
    <row r="19090">
      <c r="C19090" s="18" t="n"/>
      <c r="J19090" s="19" t="n"/>
      <c r="P19090" s="20" t="n"/>
      <c r="Q19090" s="19" t="n"/>
      <c r="R19090" s="19" t="n"/>
      <c r="Y19090" s="19" t="n"/>
    </row>
    <row r="19091">
      <c r="C19091" s="18" t="n"/>
      <c r="J19091" s="19" t="n"/>
      <c r="P19091" s="20" t="n"/>
      <c r="Q19091" s="19" t="n"/>
      <c r="R19091" s="19" t="n"/>
      <c r="Y19091" s="19" t="n"/>
    </row>
    <row r="19092">
      <c r="C19092" s="18" t="n"/>
      <c r="J19092" s="19" t="n"/>
      <c r="P19092" s="20" t="n"/>
      <c r="Q19092" s="19" t="n"/>
      <c r="R19092" s="19" t="n"/>
      <c r="Y19092" s="19" t="n"/>
    </row>
    <row r="19093">
      <c r="C19093" s="18" t="n"/>
      <c r="J19093" s="19" t="n"/>
      <c r="P19093" s="20" t="n"/>
      <c r="Q19093" s="19" t="n"/>
      <c r="R19093" s="19" t="n"/>
      <c r="Y19093" s="19" t="n"/>
    </row>
    <row r="19094">
      <c r="C19094" s="18" t="n"/>
      <c r="J19094" s="19" t="n"/>
      <c r="P19094" s="20" t="n"/>
      <c r="Q19094" s="19" t="n"/>
      <c r="R19094" s="19" t="n"/>
      <c r="Y19094" s="19" t="n"/>
    </row>
    <row r="19095">
      <c r="C19095" s="18" t="n"/>
      <c r="J19095" s="19" t="n"/>
      <c r="P19095" s="20" t="n"/>
      <c r="Q19095" s="19" t="n"/>
      <c r="R19095" s="19" t="n"/>
      <c r="Y19095" s="19" t="n"/>
    </row>
    <row r="19096">
      <c r="C19096" s="18" t="n"/>
      <c r="J19096" s="19" t="n"/>
      <c r="P19096" s="20" t="n"/>
      <c r="Q19096" s="19" t="n"/>
      <c r="R19096" s="19" t="n"/>
      <c r="Y19096" s="19" t="n"/>
    </row>
    <row r="19097">
      <c r="C19097" s="18" t="n"/>
      <c r="J19097" s="19" t="n"/>
      <c r="P19097" s="20" t="n"/>
      <c r="Q19097" s="19" t="n"/>
      <c r="R19097" s="19" t="n"/>
      <c r="Y19097" s="19" t="n"/>
    </row>
    <row r="19098">
      <c r="C19098" s="18" t="n"/>
      <c r="J19098" s="19" t="n"/>
      <c r="P19098" s="20" t="n"/>
      <c r="Q19098" s="19" t="n"/>
      <c r="R19098" s="19" t="n"/>
      <c r="Y19098" s="19" t="n"/>
    </row>
    <row r="19099">
      <c r="C19099" s="18" t="n"/>
      <c r="J19099" s="19" t="n"/>
      <c r="P19099" s="20" t="n"/>
      <c r="Q19099" s="19" t="n"/>
      <c r="R19099" s="19" t="n"/>
      <c r="Y19099" s="19" t="n"/>
    </row>
    <row r="19100">
      <c r="C19100" s="18" t="n"/>
      <c r="J19100" s="19" t="n"/>
      <c r="P19100" s="20" t="n"/>
      <c r="Q19100" s="19" t="n"/>
      <c r="R19100" s="19" t="n"/>
      <c r="Y19100" s="19" t="n"/>
    </row>
    <row r="19101">
      <c r="C19101" s="18" t="n"/>
      <c r="J19101" s="19" t="n"/>
      <c r="P19101" s="20" t="n"/>
      <c r="Q19101" s="19" t="n"/>
      <c r="R19101" s="19" t="n"/>
      <c r="Y19101" s="19" t="n"/>
    </row>
    <row r="19102">
      <c r="C19102" s="18" t="n"/>
      <c r="J19102" s="19" t="n"/>
      <c r="P19102" s="20" t="n"/>
      <c r="Q19102" s="19" t="n"/>
      <c r="R19102" s="19" t="n"/>
      <c r="Y19102" s="19" t="n"/>
    </row>
    <row r="19103">
      <c r="C19103" s="18" t="n"/>
      <c r="J19103" s="19" t="n"/>
      <c r="P19103" s="20" t="n"/>
      <c r="Q19103" s="19" t="n"/>
      <c r="R19103" s="19" t="n"/>
      <c r="Y19103" s="19" t="n"/>
    </row>
    <row r="19104">
      <c r="C19104" s="18" t="n"/>
      <c r="J19104" s="19" t="n"/>
      <c r="P19104" s="20" t="n"/>
      <c r="Q19104" s="19" t="n"/>
      <c r="R19104" s="19" t="n"/>
      <c r="Y19104" s="19" t="n"/>
    </row>
    <row r="19105">
      <c r="C19105" s="18" t="n"/>
      <c r="J19105" s="19" t="n"/>
      <c r="P19105" s="20" t="n"/>
      <c r="Q19105" s="19" t="n"/>
      <c r="R19105" s="19" t="n"/>
      <c r="Y19105" s="19" t="n"/>
    </row>
    <row r="19106">
      <c r="C19106" s="18" t="n"/>
      <c r="J19106" s="19" t="n"/>
      <c r="P19106" s="20" t="n"/>
      <c r="Q19106" s="19" t="n"/>
      <c r="R19106" s="19" t="n"/>
      <c r="Y19106" s="19" t="n"/>
    </row>
    <row r="19107">
      <c r="C19107" s="18" t="n"/>
      <c r="J19107" s="19" t="n"/>
      <c r="P19107" s="20" t="n"/>
      <c r="Q19107" s="19" t="n"/>
      <c r="R19107" s="19" t="n"/>
      <c r="Y19107" s="19" t="n"/>
    </row>
    <row r="19108">
      <c r="C19108" s="18" t="n"/>
      <c r="J19108" s="19" t="n"/>
      <c r="P19108" s="20" t="n"/>
      <c r="Q19108" s="19" t="n"/>
      <c r="R19108" s="19" t="n"/>
      <c r="Y19108" s="19" t="n"/>
    </row>
    <row r="19109">
      <c r="C19109" s="18" t="n"/>
      <c r="J19109" s="19" t="n"/>
      <c r="P19109" s="20" t="n"/>
      <c r="Q19109" s="19" t="n"/>
      <c r="R19109" s="19" t="n"/>
      <c r="Y19109" s="19" t="n"/>
    </row>
    <row r="19110">
      <c r="C19110" s="18" t="n"/>
      <c r="J19110" s="19" t="n"/>
      <c r="P19110" s="20" t="n"/>
      <c r="Q19110" s="19" t="n"/>
      <c r="R19110" s="19" t="n"/>
      <c r="Y19110" s="19" t="n"/>
    </row>
    <row r="19111">
      <c r="C19111" s="18" t="n"/>
      <c r="J19111" s="19" t="n"/>
      <c r="P19111" s="20" t="n"/>
      <c r="Q19111" s="19" t="n"/>
      <c r="R19111" s="19" t="n"/>
      <c r="Y19111" s="19" t="n"/>
    </row>
    <row r="19112">
      <c r="C19112" s="18" t="n"/>
      <c r="J19112" s="19" t="n"/>
      <c r="P19112" s="20" t="n"/>
      <c r="Q19112" s="19" t="n"/>
      <c r="R19112" s="19" t="n"/>
      <c r="Y19112" s="19" t="n"/>
    </row>
    <row r="19113">
      <c r="C19113" s="18" t="n"/>
      <c r="J19113" s="19" t="n"/>
      <c r="P19113" s="20" t="n"/>
      <c r="Q19113" s="19" t="n"/>
      <c r="R19113" s="19" t="n"/>
      <c r="Y19113" s="19" t="n"/>
    </row>
    <row r="19114">
      <c r="C19114" s="18" t="n"/>
      <c r="J19114" s="19" t="n"/>
      <c r="P19114" s="20" t="n"/>
      <c r="Q19114" s="19" t="n"/>
      <c r="R19114" s="19" t="n"/>
      <c r="Y19114" s="19" t="n"/>
    </row>
    <row r="19115">
      <c r="C19115" s="18" t="n"/>
      <c r="J19115" s="19" t="n"/>
      <c r="P19115" s="20" t="n"/>
      <c r="Q19115" s="19" t="n"/>
      <c r="R19115" s="19" t="n"/>
      <c r="Y19115" s="19" t="n"/>
    </row>
    <row r="19116">
      <c r="C19116" s="18" t="n"/>
      <c r="J19116" s="19" t="n"/>
      <c r="P19116" s="20" t="n"/>
      <c r="Q19116" s="19" t="n"/>
      <c r="R19116" s="19" t="n"/>
      <c r="Y19116" s="19" t="n"/>
    </row>
    <row r="19117">
      <c r="C19117" s="18" t="n"/>
      <c r="J19117" s="19" t="n"/>
      <c r="P19117" s="20" t="n"/>
      <c r="Q19117" s="19" t="n"/>
      <c r="R19117" s="19" t="n"/>
      <c r="Y19117" s="19" t="n"/>
    </row>
    <row r="19118">
      <c r="C19118" s="18" t="n"/>
      <c r="J19118" s="19" t="n"/>
      <c r="P19118" s="20" t="n"/>
      <c r="Q19118" s="19" t="n"/>
      <c r="R19118" s="19" t="n"/>
      <c r="Y19118" s="19" t="n"/>
    </row>
    <row r="19119">
      <c r="C19119" s="18" t="n"/>
      <c r="J19119" s="19" t="n"/>
      <c r="P19119" s="20" t="n"/>
      <c r="Q19119" s="19" t="n"/>
      <c r="R19119" s="19" t="n"/>
      <c r="Y19119" s="19" t="n"/>
    </row>
    <row r="19120">
      <c r="C19120" s="18" t="n"/>
      <c r="J19120" s="19" t="n"/>
      <c r="P19120" s="20" t="n"/>
      <c r="Q19120" s="19" t="n"/>
      <c r="R19120" s="19" t="n"/>
      <c r="Y19120" s="19" t="n"/>
    </row>
    <row r="19121">
      <c r="C19121" s="18" t="n"/>
      <c r="J19121" s="19" t="n"/>
      <c r="P19121" s="20" t="n"/>
      <c r="Q19121" s="19" t="n"/>
      <c r="R19121" s="19" t="n"/>
      <c r="Y19121" s="19" t="n"/>
    </row>
    <row r="19122">
      <c r="C19122" s="18" t="n"/>
      <c r="J19122" s="19" t="n"/>
      <c r="P19122" s="20" t="n"/>
      <c r="Q19122" s="19" t="n"/>
      <c r="R19122" s="19" t="n"/>
      <c r="Y19122" s="19" t="n"/>
    </row>
    <row r="19123">
      <c r="C19123" s="18" t="n"/>
      <c r="J19123" s="19" t="n"/>
      <c r="P19123" s="20" t="n"/>
      <c r="Q19123" s="19" t="n"/>
      <c r="R19123" s="19" t="n"/>
      <c r="Y19123" s="19" t="n"/>
    </row>
    <row r="19124">
      <c r="C19124" s="18" t="n"/>
      <c r="J19124" s="19" t="n"/>
      <c r="P19124" s="20" t="n"/>
      <c r="Q19124" s="19" t="n"/>
      <c r="R19124" s="19" t="n"/>
      <c r="Y19124" s="19" t="n"/>
    </row>
    <row r="19125">
      <c r="C19125" s="18" t="n"/>
      <c r="J19125" s="19" t="n"/>
      <c r="P19125" s="20" t="n"/>
      <c r="Q19125" s="19" t="n"/>
      <c r="R19125" s="19" t="n"/>
      <c r="Y19125" s="19" t="n"/>
    </row>
    <row r="19126">
      <c r="C19126" s="18" t="n"/>
      <c r="J19126" s="19" t="n"/>
      <c r="P19126" s="20" t="n"/>
      <c r="Q19126" s="19" t="n"/>
      <c r="R19126" s="19" t="n"/>
      <c r="Y19126" s="19" t="n"/>
    </row>
    <row r="19127">
      <c r="C19127" s="18" t="n"/>
      <c r="J19127" s="19" t="n"/>
      <c r="P19127" s="20" t="n"/>
      <c r="Q19127" s="19" t="n"/>
      <c r="R19127" s="19" t="n"/>
      <c r="Y19127" s="19" t="n"/>
    </row>
    <row r="19128">
      <c r="C19128" s="18" t="n"/>
      <c r="J19128" s="19" t="n"/>
      <c r="P19128" s="20" t="n"/>
      <c r="Q19128" s="19" t="n"/>
      <c r="R19128" s="19" t="n"/>
      <c r="Y19128" s="19" t="n"/>
    </row>
    <row r="19129">
      <c r="C19129" s="18" t="n"/>
      <c r="J19129" s="19" t="n"/>
      <c r="P19129" s="20" t="n"/>
      <c r="Q19129" s="19" t="n"/>
      <c r="R19129" s="19" t="n"/>
      <c r="Y19129" s="19" t="n"/>
    </row>
    <row r="19130">
      <c r="C19130" s="18" t="n"/>
      <c r="J19130" s="19" t="n"/>
      <c r="P19130" s="20" t="n"/>
      <c r="Q19130" s="19" t="n"/>
      <c r="R19130" s="19" t="n"/>
      <c r="Y19130" s="19" t="n"/>
    </row>
    <row r="19131">
      <c r="C19131" s="18" t="n"/>
      <c r="J19131" s="19" t="n"/>
      <c r="P19131" s="20" t="n"/>
      <c r="Q19131" s="19" t="n"/>
      <c r="R19131" s="19" t="n"/>
      <c r="Y19131" s="19" t="n"/>
    </row>
    <row r="19132">
      <c r="C19132" s="18" t="n"/>
      <c r="J19132" s="19" t="n"/>
      <c r="P19132" s="20" t="n"/>
      <c r="Q19132" s="19" t="n"/>
      <c r="R19132" s="19" t="n"/>
      <c r="Y19132" s="19" t="n"/>
    </row>
    <row r="19133">
      <c r="C19133" s="18" t="n"/>
      <c r="J19133" s="19" t="n"/>
      <c r="P19133" s="20" t="n"/>
      <c r="Q19133" s="19" t="n"/>
      <c r="R19133" s="19" t="n"/>
      <c r="Y19133" s="19" t="n"/>
    </row>
    <row r="19134">
      <c r="C19134" s="18" t="n"/>
      <c r="J19134" s="19" t="n"/>
      <c r="P19134" s="20" t="n"/>
      <c r="Q19134" s="19" t="n"/>
      <c r="R19134" s="19" t="n"/>
      <c r="Y19134" s="19" t="n"/>
    </row>
    <row r="19135">
      <c r="C19135" s="18" t="n"/>
      <c r="J19135" s="19" t="n"/>
      <c r="P19135" s="20" t="n"/>
      <c r="Q19135" s="19" t="n"/>
      <c r="R19135" s="19" t="n"/>
      <c r="Y19135" s="19" t="n"/>
    </row>
    <row r="19136">
      <c r="C19136" s="18" t="n"/>
      <c r="J19136" s="19" t="n"/>
      <c r="P19136" s="20" t="n"/>
      <c r="Q19136" s="19" t="n"/>
      <c r="R19136" s="19" t="n"/>
      <c r="Y19136" s="19" t="n"/>
    </row>
    <row r="19137">
      <c r="C19137" s="18" t="n"/>
      <c r="J19137" s="19" t="n"/>
      <c r="P19137" s="20" t="n"/>
      <c r="Q19137" s="19" t="n"/>
      <c r="R19137" s="19" t="n"/>
      <c r="Y19137" s="19" t="n"/>
    </row>
    <row r="19138">
      <c r="C19138" s="18" t="n"/>
      <c r="J19138" s="19" t="n"/>
      <c r="P19138" s="20" t="n"/>
      <c r="Q19138" s="19" t="n"/>
      <c r="R19138" s="19" t="n"/>
      <c r="Y19138" s="19" t="n"/>
    </row>
    <row r="19139">
      <c r="C19139" s="18" t="n"/>
      <c r="J19139" s="19" t="n"/>
      <c r="P19139" s="20" t="n"/>
      <c r="Q19139" s="19" t="n"/>
      <c r="R19139" s="19" t="n"/>
      <c r="Y19139" s="19" t="n"/>
    </row>
    <row r="19140">
      <c r="C19140" s="18" t="n"/>
      <c r="J19140" s="19" t="n"/>
      <c r="P19140" s="20" t="n"/>
      <c r="Q19140" s="19" t="n"/>
      <c r="R19140" s="19" t="n"/>
      <c r="Y19140" s="19" t="n"/>
    </row>
    <row r="19141">
      <c r="C19141" s="18" t="n"/>
      <c r="J19141" s="19" t="n"/>
      <c r="P19141" s="20" t="n"/>
      <c r="Q19141" s="19" t="n"/>
      <c r="R19141" s="19" t="n"/>
      <c r="Y19141" s="19" t="n"/>
    </row>
    <row r="19142">
      <c r="C19142" s="18" t="n"/>
      <c r="J19142" s="19" t="n"/>
      <c r="P19142" s="20" t="n"/>
      <c r="Q19142" s="19" t="n"/>
      <c r="R19142" s="19" t="n"/>
      <c r="Y19142" s="19" t="n"/>
    </row>
    <row r="19143">
      <c r="C19143" s="18" t="n"/>
      <c r="J19143" s="19" t="n"/>
      <c r="P19143" s="20" t="n"/>
      <c r="Q19143" s="19" t="n"/>
      <c r="R19143" s="19" t="n"/>
      <c r="Y19143" s="19" t="n"/>
    </row>
    <row r="19144">
      <c r="C19144" s="18" t="n"/>
      <c r="J19144" s="19" t="n"/>
      <c r="P19144" s="20" t="n"/>
      <c r="Q19144" s="19" t="n"/>
      <c r="R19144" s="19" t="n"/>
      <c r="Y19144" s="19" t="n"/>
    </row>
    <row r="19145">
      <c r="C19145" s="18" t="n"/>
      <c r="J19145" s="19" t="n"/>
      <c r="P19145" s="20" t="n"/>
      <c r="Q19145" s="19" t="n"/>
      <c r="R19145" s="19" t="n"/>
      <c r="Y19145" s="19" t="n"/>
    </row>
    <row r="19146">
      <c r="C19146" s="18" t="n"/>
      <c r="J19146" s="19" t="n"/>
      <c r="P19146" s="20" t="n"/>
      <c r="Q19146" s="19" t="n"/>
      <c r="R19146" s="19" t="n"/>
      <c r="Y19146" s="19" t="n"/>
    </row>
    <row r="19147">
      <c r="C19147" s="18" t="n"/>
      <c r="J19147" s="19" t="n"/>
      <c r="P19147" s="20" t="n"/>
      <c r="Q19147" s="19" t="n"/>
      <c r="R19147" s="19" t="n"/>
      <c r="Y19147" s="19" t="n"/>
    </row>
    <row r="19148">
      <c r="C19148" s="18" t="n"/>
      <c r="J19148" s="19" t="n"/>
      <c r="P19148" s="20" t="n"/>
      <c r="Q19148" s="19" t="n"/>
      <c r="R19148" s="19" t="n"/>
      <c r="Y19148" s="19" t="n"/>
    </row>
    <row r="19149">
      <c r="C19149" s="18" t="n"/>
      <c r="J19149" s="19" t="n"/>
      <c r="P19149" s="20" t="n"/>
      <c r="Q19149" s="19" t="n"/>
      <c r="R19149" s="19" t="n"/>
      <c r="Y19149" s="19" t="n"/>
    </row>
    <row r="19150">
      <c r="C19150" s="18" t="n"/>
      <c r="J19150" s="19" t="n"/>
      <c r="P19150" s="20" t="n"/>
      <c r="Q19150" s="19" t="n"/>
      <c r="R19150" s="19" t="n"/>
      <c r="Y19150" s="19" t="n"/>
    </row>
    <row r="19151">
      <c r="C19151" s="18" t="n"/>
      <c r="J19151" s="19" t="n"/>
      <c r="P19151" s="20" t="n"/>
      <c r="Q19151" s="19" t="n"/>
      <c r="R19151" s="19" t="n"/>
      <c r="Y19151" s="19" t="n"/>
    </row>
    <row r="19152">
      <c r="C19152" s="18" t="n"/>
      <c r="J19152" s="19" t="n"/>
      <c r="P19152" s="20" t="n"/>
      <c r="Q19152" s="19" t="n"/>
      <c r="R19152" s="19" t="n"/>
      <c r="Y19152" s="19" t="n"/>
    </row>
    <row r="19153">
      <c r="C19153" s="18" t="n"/>
      <c r="J19153" s="19" t="n"/>
      <c r="P19153" s="20" t="n"/>
      <c r="Q19153" s="19" t="n"/>
      <c r="R19153" s="19" t="n"/>
      <c r="Y19153" s="19" t="n"/>
    </row>
    <row r="19154">
      <c r="C19154" s="18" t="n"/>
      <c r="J19154" s="19" t="n"/>
      <c r="P19154" s="20" t="n"/>
      <c r="Q19154" s="19" t="n"/>
      <c r="R19154" s="19" t="n"/>
      <c r="Y19154" s="19" t="n"/>
    </row>
    <row r="19155">
      <c r="C19155" s="18" t="n"/>
      <c r="J19155" s="19" t="n"/>
      <c r="P19155" s="20" t="n"/>
      <c r="Q19155" s="19" t="n"/>
      <c r="R19155" s="19" t="n"/>
      <c r="Y19155" s="19" t="n"/>
    </row>
    <row r="19156">
      <c r="C19156" s="18" t="n"/>
      <c r="J19156" s="19" t="n"/>
      <c r="P19156" s="20" t="n"/>
      <c r="Q19156" s="19" t="n"/>
      <c r="R19156" s="19" t="n"/>
      <c r="Y19156" s="19" t="n"/>
    </row>
    <row r="19157">
      <c r="C19157" s="18" t="n"/>
      <c r="J19157" s="19" t="n"/>
      <c r="P19157" s="20" t="n"/>
      <c r="Q19157" s="19" t="n"/>
      <c r="R19157" s="19" t="n"/>
      <c r="Y19157" s="19" t="n"/>
    </row>
    <row r="19158">
      <c r="C19158" s="18" t="n"/>
      <c r="J19158" s="19" t="n"/>
      <c r="P19158" s="20" t="n"/>
      <c r="Q19158" s="19" t="n"/>
      <c r="R19158" s="19" t="n"/>
      <c r="Y19158" s="19" t="n"/>
    </row>
    <row r="19159">
      <c r="C19159" s="18" t="n"/>
      <c r="J19159" s="19" t="n"/>
      <c r="P19159" s="20" t="n"/>
      <c r="Q19159" s="19" t="n"/>
      <c r="R19159" s="19" t="n"/>
      <c r="Y19159" s="19" t="n"/>
    </row>
    <row r="19160">
      <c r="C19160" s="18" t="n"/>
      <c r="J19160" s="19" t="n"/>
      <c r="P19160" s="20" t="n"/>
      <c r="Q19160" s="19" t="n"/>
      <c r="R19160" s="19" t="n"/>
      <c r="Y19160" s="19" t="n"/>
    </row>
    <row r="19161">
      <c r="C19161" s="18" t="n"/>
      <c r="J19161" s="19" t="n"/>
      <c r="P19161" s="20" t="n"/>
      <c r="Q19161" s="19" t="n"/>
      <c r="R19161" s="19" t="n"/>
      <c r="Y19161" s="19" t="n"/>
    </row>
    <row r="19162">
      <c r="C19162" s="18" t="n"/>
      <c r="J19162" s="19" t="n"/>
      <c r="P19162" s="20" t="n"/>
      <c r="Q19162" s="19" t="n"/>
      <c r="R19162" s="19" t="n"/>
      <c r="Y19162" s="19" t="n"/>
    </row>
    <row r="19163">
      <c r="C19163" s="18" t="n"/>
      <c r="J19163" s="19" t="n"/>
      <c r="P19163" s="20" t="n"/>
      <c r="Q19163" s="19" t="n"/>
      <c r="R19163" s="19" t="n"/>
      <c r="Y19163" s="19" t="n"/>
    </row>
    <row r="19164">
      <c r="C19164" s="18" t="n"/>
      <c r="J19164" s="19" t="n"/>
      <c r="P19164" s="20" t="n"/>
      <c r="Q19164" s="19" t="n"/>
      <c r="R19164" s="19" t="n"/>
      <c r="Y19164" s="19" t="n"/>
    </row>
    <row r="19165">
      <c r="C19165" s="18" t="n"/>
      <c r="J19165" s="19" t="n"/>
      <c r="P19165" s="20" t="n"/>
      <c r="Q19165" s="19" t="n"/>
      <c r="R19165" s="19" t="n"/>
      <c r="Y19165" s="19" t="n"/>
    </row>
    <row r="19166">
      <c r="C19166" s="18" t="n"/>
      <c r="J19166" s="19" t="n"/>
      <c r="P19166" s="20" t="n"/>
      <c r="Q19166" s="19" t="n"/>
      <c r="R19166" s="19" t="n"/>
      <c r="Y19166" s="19" t="n"/>
    </row>
    <row r="19167">
      <c r="C19167" s="18" t="n"/>
      <c r="J19167" s="19" t="n"/>
      <c r="P19167" s="20" t="n"/>
      <c r="Q19167" s="19" t="n"/>
      <c r="R19167" s="19" t="n"/>
      <c r="Y19167" s="19" t="n"/>
    </row>
    <row r="19168">
      <c r="C19168" s="18" t="n"/>
      <c r="J19168" s="19" t="n"/>
      <c r="P19168" s="20" t="n"/>
      <c r="Q19168" s="19" t="n"/>
      <c r="R19168" s="19" t="n"/>
      <c r="Y19168" s="19" t="n"/>
    </row>
    <row r="19169">
      <c r="C19169" s="18" t="n"/>
      <c r="J19169" s="19" t="n"/>
      <c r="P19169" s="20" t="n"/>
      <c r="Q19169" s="19" t="n"/>
      <c r="R19169" s="19" t="n"/>
      <c r="Y19169" s="19" t="n"/>
    </row>
    <row r="19170">
      <c r="C19170" s="18" t="n"/>
      <c r="J19170" s="19" t="n"/>
      <c r="P19170" s="20" t="n"/>
      <c r="Q19170" s="19" t="n"/>
      <c r="R19170" s="19" t="n"/>
      <c r="Y19170" s="19" t="n"/>
    </row>
    <row r="19171">
      <c r="C19171" s="18" t="n"/>
      <c r="J19171" s="19" t="n"/>
      <c r="P19171" s="20" t="n"/>
      <c r="Q19171" s="19" t="n"/>
      <c r="R19171" s="19" t="n"/>
      <c r="Y19171" s="19" t="n"/>
    </row>
    <row r="19172">
      <c r="C19172" s="18" t="n"/>
      <c r="J19172" s="19" t="n"/>
      <c r="P19172" s="20" t="n"/>
      <c r="Q19172" s="19" t="n"/>
      <c r="R19172" s="19" t="n"/>
      <c r="Y19172" s="19" t="n"/>
    </row>
    <row r="19173">
      <c r="C19173" s="18" t="n"/>
      <c r="J19173" s="19" t="n"/>
      <c r="P19173" s="20" t="n"/>
      <c r="Q19173" s="19" t="n"/>
      <c r="R19173" s="19" t="n"/>
      <c r="Y19173" s="19" t="n"/>
    </row>
    <row r="19174">
      <c r="C19174" s="18" t="n"/>
      <c r="J19174" s="19" t="n"/>
      <c r="P19174" s="20" t="n"/>
      <c r="Q19174" s="19" t="n"/>
      <c r="R19174" s="19" t="n"/>
      <c r="Y19174" s="19" t="n"/>
    </row>
    <row r="19175">
      <c r="C19175" s="18" t="n"/>
      <c r="J19175" s="19" t="n"/>
      <c r="P19175" s="20" t="n"/>
      <c r="Q19175" s="19" t="n"/>
      <c r="R19175" s="19" t="n"/>
      <c r="Y19175" s="19" t="n"/>
    </row>
    <row r="19176">
      <c r="C19176" s="18" t="n"/>
      <c r="J19176" s="19" t="n"/>
      <c r="P19176" s="20" t="n"/>
      <c r="Q19176" s="19" t="n"/>
      <c r="R19176" s="19" t="n"/>
      <c r="Y19176" s="19" t="n"/>
    </row>
    <row r="19177">
      <c r="C19177" s="18" t="n"/>
      <c r="J19177" s="19" t="n"/>
      <c r="P19177" s="20" t="n"/>
      <c r="Q19177" s="19" t="n"/>
      <c r="R19177" s="19" t="n"/>
      <c r="Y19177" s="19" t="n"/>
    </row>
    <row r="19178">
      <c r="C19178" s="18" t="n"/>
      <c r="J19178" s="19" t="n"/>
      <c r="P19178" s="20" t="n"/>
      <c r="Q19178" s="19" t="n"/>
      <c r="R19178" s="19" t="n"/>
      <c r="Y19178" s="19" t="n"/>
    </row>
    <row r="19179">
      <c r="C19179" s="18" t="n"/>
      <c r="J19179" s="19" t="n"/>
      <c r="P19179" s="20" t="n"/>
      <c r="Q19179" s="19" t="n"/>
      <c r="R19179" s="19" t="n"/>
      <c r="Y19179" s="19" t="n"/>
    </row>
    <row r="19180">
      <c r="C19180" s="18" t="n"/>
      <c r="J19180" s="19" t="n"/>
      <c r="P19180" s="20" t="n"/>
      <c r="Q19180" s="19" t="n"/>
      <c r="R19180" s="19" t="n"/>
      <c r="Y19180" s="19" t="n"/>
    </row>
    <row r="19181">
      <c r="C19181" s="18" t="n"/>
      <c r="J19181" s="19" t="n"/>
      <c r="P19181" s="20" t="n"/>
      <c r="Q19181" s="19" t="n"/>
      <c r="R19181" s="19" t="n"/>
      <c r="Y19181" s="19" t="n"/>
    </row>
    <row r="19182">
      <c r="C19182" s="18" t="n"/>
      <c r="J19182" s="19" t="n"/>
      <c r="P19182" s="20" t="n"/>
      <c r="Q19182" s="19" t="n"/>
      <c r="R19182" s="19" t="n"/>
      <c r="Y19182" s="19" t="n"/>
    </row>
    <row r="19183">
      <c r="C19183" s="18" t="n"/>
      <c r="J19183" s="19" t="n"/>
      <c r="P19183" s="20" t="n"/>
      <c r="Q19183" s="19" t="n"/>
      <c r="R19183" s="19" t="n"/>
      <c r="Y19183" s="19" t="n"/>
    </row>
    <row r="19184">
      <c r="C19184" s="18" t="n"/>
      <c r="J19184" s="19" t="n"/>
      <c r="P19184" s="20" t="n"/>
      <c r="Q19184" s="19" t="n"/>
      <c r="R19184" s="19" t="n"/>
      <c r="Y19184" s="19" t="n"/>
    </row>
    <row r="19185">
      <c r="C19185" s="18" t="n"/>
      <c r="J19185" s="19" t="n"/>
      <c r="P19185" s="20" t="n"/>
      <c r="Q19185" s="19" t="n"/>
      <c r="R19185" s="19" t="n"/>
      <c r="Y19185" s="19" t="n"/>
    </row>
    <row r="19186">
      <c r="C19186" s="18" t="n"/>
      <c r="J19186" s="19" t="n"/>
      <c r="P19186" s="20" t="n"/>
      <c r="Q19186" s="19" t="n"/>
      <c r="R19186" s="19" t="n"/>
      <c r="Y19186" s="19" t="n"/>
    </row>
    <row r="19187">
      <c r="C19187" s="18" t="n"/>
      <c r="J19187" s="19" t="n"/>
      <c r="P19187" s="20" t="n"/>
      <c r="Q19187" s="19" t="n"/>
      <c r="R19187" s="19" t="n"/>
      <c r="Y19187" s="19" t="n"/>
    </row>
    <row r="19188">
      <c r="C19188" s="18" t="n"/>
      <c r="J19188" s="19" t="n"/>
      <c r="P19188" s="20" t="n"/>
      <c r="Q19188" s="19" t="n"/>
      <c r="R19188" s="19" t="n"/>
      <c r="Y19188" s="19" t="n"/>
    </row>
    <row r="19189">
      <c r="C19189" s="18" t="n"/>
      <c r="J19189" s="19" t="n"/>
      <c r="P19189" s="20" t="n"/>
      <c r="Q19189" s="19" t="n"/>
      <c r="R19189" s="19" t="n"/>
      <c r="Y19189" s="19" t="n"/>
    </row>
    <row r="19190">
      <c r="C19190" s="18" t="n"/>
      <c r="J19190" s="19" t="n"/>
      <c r="P19190" s="20" t="n"/>
      <c r="Q19190" s="19" t="n"/>
      <c r="R19190" s="19" t="n"/>
      <c r="Y19190" s="19" t="n"/>
    </row>
    <row r="19191">
      <c r="C19191" s="18" t="n"/>
      <c r="J19191" s="19" t="n"/>
      <c r="P19191" s="20" t="n"/>
      <c r="Q19191" s="19" t="n"/>
      <c r="R19191" s="19" t="n"/>
      <c r="Y19191" s="19" t="n"/>
    </row>
    <row r="19192">
      <c r="C19192" s="18" t="n"/>
      <c r="J19192" s="19" t="n"/>
      <c r="P19192" s="20" t="n"/>
      <c r="Q19192" s="19" t="n"/>
      <c r="R19192" s="19" t="n"/>
      <c r="Y19192" s="19" t="n"/>
    </row>
    <row r="19193">
      <c r="C19193" s="18" t="n"/>
      <c r="J19193" s="19" t="n"/>
      <c r="P19193" s="20" t="n"/>
      <c r="Q19193" s="19" t="n"/>
      <c r="R19193" s="19" t="n"/>
      <c r="Y19193" s="19" t="n"/>
    </row>
    <row r="19194">
      <c r="C19194" s="18" t="n"/>
      <c r="J19194" s="19" t="n"/>
      <c r="P19194" s="20" t="n"/>
      <c r="Q19194" s="19" t="n"/>
      <c r="R19194" s="19" t="n"/>
      <c r="Y19194" s="19" t="n"/>
    </row>
    <row r="19195">
      <c r="C19195" s="18" t="n"/>
      <c r="J19195" s="19" t="n"/>
      <c r="P19195" s="20" t="n"/>
      <c r="Q19195" s="19" t="n"/>
      <c r="R19195" s="19" t="n"/>
      <c r="Y19195" s="19" t="n"/>
    </row>
    <row r="19196">
      <c r="C19196" s="18" t="n"/>
      <c r="J19196" s="19" t="n"/>
      <c r="P19196" s="20" t="n"/>
      <c r="Q19196" s="19" t="n"/>
      <c r="R19196" s="19" t="n"/>
      <c r="Y19196" s="19" t="n"/>
    </row>
    <row r="19197">
      <c r="C19197" s="18" t="n"/>
      <c r="J19197" s="19" t="n"/>
      <c r="P19197" s="20" t="n"/>
      <c r="Q19197" s="19" t="n"/>
      <c r="R19197" s="19" t="n"/>
      <c r="Y19197" s="19" t="n"/>
    </row>
    <row r="19198">
      <c r="C19198" s="18" t="n"/>
      <c r="J19198" s="19" t="n"/>
      <c r="P19198" s="20" t="n"/>
      <c r="Q19198" s="19" t="n"/>
      <c r="R19198" s="19" t="n"/>
      <c r="Y19198" s="19" t="n"/>
    </row>
    <row r="19199">
      <c r="C19199" s="18" t="n"/>
      <c r="J19199" s="19" t="n"/>
      <c r="P19199" s="20" t="n"/>
      <c r="Q19199" s="19" t="n"/>
      <c r="R19199" s="19" t="n"/>
      <c r="Y19199" s="19" t="n"/>
    </row>
    <row r="19200">
      <c r="C19200" s="18" t="n"/>
      <c r="J19200" s="19" t="n"/>
      <c r="P19200" s="20" t="n"/>
      <c r="Q19200" s="19" t="n"/>
      <c r="R19200" s="19" t="n"/>
      <c r="Y19200" s="19" t="n"/>
    </row>
    <row r="19201">
      <c r="C19201" s="18" t="n"/>
      <c r="J19201" s="19" t="n"/>
      <c r="P19201" s="20" t="n"/>
      <c r="Q19201" s="19" t="n"/>
      <c r="R19201" s="19" t="n"/>
      <c r="Y19201" s="19" t="n"/>
    </row>
    <row r="19202">
      <c r="C19202" s="18" t="n"/>
      <c r="J19202" s="19" t="n"/>
      <c r="P19202" s="20" t="n"/>
      <c r="Q19202" s="19" t="n"/>
      <c r="R19202" s="19" t="n"/>
      <c r="Y19202" s="19" t="n"/>
    </row>
    <row r="19203">
      <c r="C19203" s="18" t="n"/>
      <c r="J19203" s="19" t="n"/>
      <c r="P19203" s="20" t="n"/>
      <c r="Q19203" s="19" t="n"/>
      <c r="R19203" s="19" t="n"/>
      <c r="Y19203" s="19" t="n"/>
    </row>
    <row r="19204">
      <c r="C19204" s="18" t="n"/>
      <c r="J19204" s="19" t="n"/>
      <c r="P19204" s="20" t="n"/>
      <c r="Q19204" s="19" t="n"/>
      <c r="R19204" s="19" t="n"/>
      <c r="Y19204" s="19" t="n"/>
    </row>
    <row r="19205">
      <c r="C19205" s="18" t="n"/>
      <c r="J19205" s="19" t="n"/>
      <c r="P19205" s="20" t="n"/>
      <c r="Q19205" s="19" t="n"/>
      <c r="R19205" s="19" t="n"/>
      <c r="Y19205" s="19" t="n"/>
    </row>
    <row r="19206">
      <c r="C19206" s="18" t="n"/>
      <c r="J19206" s="19" t="n"/>
      <c r="P19206" s="20" t="n"/>
      <c r="Q19206" s="19" t="n"/>
      <c r="R19206" s="19" t="n"/>
      <c r="Y19206" s="19" t="n"/>
    </row>
    <row r="19207">
      <c r="C19207" s="18" t="n"/>
      <c r="J19207" s="19" t="n"/>
      <c r="P19207" s="20" t="n"/>
      <c r="Q19207" s="19" t="n"/>
      <c r="R19207" s="19" t="n"/>
      <c r="Y19207" s="19" t="n"/>
    </row>
    <row r="19208">
      <c r="C19208" s="18" t="n"/>
      <c r="J19208" s="19" t="n"/>
      <c r="P19208" s="20" t="n"/>
      <c r="Q19208" s="19" t="n"/>
      <c r="R19208" s="19" t="n"/>
      <c r="Y19208" s="19" t="n"/>
    </row>
    <row r="19209">
      <c r="C19209" s="18" t="n"/>
      <c r="J19209" s="19" t="n"/>
      <c r="P19209" s="20" t="n"/>
      <c r="Q19209" s="19" t="n"/>
      <c r="R19209" s="19" t="n"/>
      <c r="Y19209" s="19" t="n"/>
    </row>
    <row r="19210">
      <c r="C19210" s="18" t="n"/>
      <c r="J19210" s="19" t="n"/>
      <c r="P19210" s="20" t="n"/>
      <c r="Q19210" s="19" t="n"/>
      <c r="R19210" s="19" t="n"/>
      <c r="Y19210" s="19" t="n"/>
    </row>
    <row r="19211">
      <c r="C19211" s="18" t="n"/>
      <c r="J19211" s="19" t="n"/>
      <c r="P19211" s="20" t="n"/>
      <c r="Q19211" s="19" t="n"/>
      <c r="R19211" s="19" t="n"/>
      <c r="Y19211" s="19" t="n"/>
    </row>
    <row r="19212">
      <c r="C19212" s="18" t="n"/>
      <c r="J19212" s="19" t="n"/>
      <c r="P19212" s="20" t="n"/>
      <c r="Q19212" s="19" t="n"/>
      <c r="R19212" s="19" t="n"/>
      <c r="Y19212" s="19" t="n"/>
    </row>
    <row r="19213">
      <c r="C19213" s="18" t="n"/>
      <c r="J19213" s="19" t="n"/>
      <c r="P19213" s="20" t="n"/>
      <c r="Q19213" s="19" t="n"/>
      <c r="R19213" s="19" t="n"/>
      <c r="Y19213" s="19" t="n"/>
    </row>
    <row r="19214">
      <c r="C19214" s="18" t="n"/>
      <c r="J19214" s="19" t="n"/>
      <c r="P19214" s="20" t="n"/>
      <c r="Q19214" s="19" t="n"/>
      <c r="R19214" s="19" t="n"/>
      <c r="Y19214" s="19" t="n"/>
    </row>
    <row r="19215">
      <c r="C19215" s="18" t="n"/>
      <c r="J19215" s="19" t="n"/>
      <c r="P19215" s="20" t="n"/>
      <c r="Q19215" s="19" t="n"/>
      <c r="R19215" s="19" t="n"/>
      <c r="Y19215" s="19" t="n"/>
    </row>
    <row r="19216">
      <c r="C19216" s="18" t="n"/>
      <c r="J19216" s="19" t="n"/>
      <c r="P19216" s="20" t="n"/>
      <c r="Q19216" s="19" t="n"/>
      <c r="R19216" s="19" t="n"/>
      <c r="Y19216" s="19" t="n"/>
    </row>
    <row r="19217">
      <c r="C19217" s="18" t="n"/>
      <c r="J19217" s="19" t="n"/>
      <c r="P19217" s="20" t="n"/>
      <c r="Q19217" s="19" t="n"/>
      <c r="R19217" s="19" t="n"/>
      <c r="Y19217" s="19" t="n"/>
    </row>
    <row r="19218">
      <c r="C19218" s="18" t="n"/>
      <c r="J19218" s="19" t="n"/>
      <c r="P19218" s="20" t="n"/>
      <c r="Q19218" s="19" t="n"/>
      <c r="R19218" s="19" t="n"/>
      <c r="Y19218" s="19" t="n"/>
    </row>
    <row r="19219">
      <c r="C19219" s="18" t="n"/>
      <c r="J19219" s="19" t="n"/>
      <c r="P19219" s="20" t="n"/>
      <c r="Q19219" s="19" t="n"/>
      <c r="R19219" s="19" t="n"/>
      <c r="Y19219" s="19" t="n"/>
    </row>
    <row r="19220">
      <c r="C19220" s="18" t="n"/>
      <c r="J19220" s="19" t="n"/>
      <c r="P19220" s="20" t="n"/>
      <c r="Q19220" s="19" t="n"/>
      <c r="R19220" s="19" t="n"/>
      <c r="Y19220" s="19" t="n"/>
    </row>
    <row r="19221">
      <c r="C19221" s="18" t="n"/>
      <c r="J19221" s="19" t="n"/>
      <c r="P19221" s="20" t="n"/>
      <c r="Q19221" s="19" t="n"/>
      <c r="R19221" s="19" t="n"/>
      <c r="Y19221" s="19" t="n"/>
    </row>
    <row r="19222">
      <c r="C19222" s="18" t="n"/>
      <c r="J19222" s="19" t="n"/>
      <c r="P19222" s="20" t="n"/>
      <c r="Q19222" s="19" t="n"/>
      <c r="R19222" s="19" t="n"/>
      <c r="Y19222" s="19" t="n"/>
    </row>
    <row r="19223">
      <c r="C19223" s="18" t="n"/>
      <c r="J19223" s="19" t="n"/>
      <c r="P19223" s="20" t="n"/>
      <c r="Q19223" s="19" t="n"/>
      <c r="R19223" s="19" t="n"/>
      <c r="Y19223" s="19" t="n"/>
    </row>
    <row r="19224">
      <c r="C19224" s="18" t="n"/>
      <c r="J19224" s="19" t="n"/>
      <c r="P19224" s="20" t="n"/>
      <c r="Q19224" s="19" t="n"/>
      <c r="R19224" s="19" t="n"/>
      <c r="Y19224" s="19" t="n"/>
    </row>
    <row r="19225">
      <c r="C19225" s="18" t="n"/>
      <c r="J19225" s="19" t="n"/>
      <c r="P19225" s="20" t="n"/>
      <c r="Q19225" s="19" t="n"/>
      <c r="R19225" s="19" t="n"/>
      <c r="Y19225" s="19" t="n"/>
    </row>
    <row r="19226">
      <c r="C19226" s="18" t="n"/>
      <c r="J19226" s="19" t="n"/>
      <c r="P19226" s="20" t="n"/>
      <c r="Q19226" s="19" t="n"/>
      <c r="R19226" s="19" t="n"/>
      <c r="Y19226" s="19" t="n"/>
    </row>
    <row r="19227">
      <c r="C19227" s="18" t="n"/>
      <c r="J19227" s="19" t="n"/>
      <c r="P19227" s="20" t="n"/>
      <c r="Q19227" s="19" t="n"/>
      <c r="R19227" s="19" t="n"/>
      <c r="Y19227" s="19" t="n"/>
    </row>
    <row r="19228">
      <c r="C19228" s="18" t="n"/>
      <c r="J19228" s="19" t="n"/>
      <c r="P19228" s="20" t="n"/>
      <c r="Q19228" s="19" t="n"/>
      <c r="R19228" s="19" t="n"/>
      <c r="Y19228" s="19" t="n"/>
    </row>
    <row r="19229">
      <c r="C19229" s="18" t="n"/>
      <c r="J19229" s="19" t="n"/>
      <c r="P19229" s="20" t="n"/>
      <c r="Q19229" s="19" t="n"/>
      <c r="R19229" s="19" t="n"/>
      <c r="Y19229" s="19" t="n"/>
    </row>
    <row r="19230">
      <c r="C19230" s="18" t="n"/>
      <c r="J19230" s="19" t="n"/>
      <c r="P19230" s="20" t="n"/>
      <c r="Q19230" s="19" t="n"/>
      <c r="R19230" s="19" t="n"/>
      <c r="Y19230" s="19" t="n"/>
    </row>
    <row r="19231">
      <c r="C19231" s="18" t="n"/>
      <c r="J19231" s="19" t="n"/>
      <c r="P19231" s="20" t="n"/>
      <c r="Q19231" s="19" t="n"/>
      <c r="R19231" s="19" t="n"/>
      <c r="Y19231" s="19" t="n"/>
    </row>
    <row r="19232">
      <c r="C19232" s="18" t="n"/>
      <c r="J19232" s="19" t="n"/>
      <c r="P19232" s="20" t="n"/>
      <c r="Q19232" s="19" t="n"/>
      <c r="R19232" s="19" t="n"/>
      <c r="Y19232" s="19" t="n"/>
    </row>
    <row r="19233">
      <c r="C19233" s="18" t="n"/>
      <c r="J19233" s="19" t="n"/>
      <c r="P19233" s="20" t="n"/>
      <c r="Q19233" s="19" t="n"/>
      <c r="R19233" s="19" t="n"/>
      <c r="Y19233" s="19" t="n"/>
    </row>
    <row r="19234">
      <c r="C19234" s="18" t="n"/>
      <c r="J19234" s="19" t="n"/>
      <c r="P19234" s="20" t="n"/>
      <c r="Q19234" s="19" t="n"/>
      <c r="R19234" s="19" t="n"/>
      <c r="Y19234" s="19" t="n"/>
    </row>
    <row r="19235">
      <c r="C19235" s="18" t="n"/>
      <c r="J19235" s="19" t="n"/>
      <c r="P19235" s="20" t="n"/>
      <c r="Q19235" s="19" t="n"/>
      <c r="R19235" s="19" t="n"/>
      <c r="Y19235" s="19" t="n"/>
    </row>
    <row r="19236">
      <c r="C19236" s="18" t="n"/>
      <c r="J19236" s="19" t="n"/>
      <c r="P19236" s="20" t="n"/>
      <c r="Q19236" s="19" t="n"/>
      <c r="R19236" s="19" t="n"/>
      <c r="Y19236" s="19" t="n"/>
    </row>
    <row r="19237">
      <c r="C19237" s="18" t="n"/>
      <c r="J19237" s="19" t="n"/>
      <c r="P19237" s="20" t="n"/>
      <c r="Q19237" s="19" t="n"/>
      <c r="R19237" s="19" t="n"/>
      <c r="Y19237" s="19" t="n"/>
    </row>
    <row r="19238">
      <c r="C19238" s="18" t="n"/>
      <c r="J19238" s="19" t="n"/>
      <c r="P19238" s="20" t="n"/>
      <c r="Q19238" s="19" t="n"/>
      <c r="R19238" s="19" t="n"/>
      <c r="Y19238" s="19" t="n"/>
    </row>
    <row r="19239">
      <c r="C19239" s="18" t="n"/>
      <c r="J19239" s="19" t="n"/>
      <c r="P19239" s="20" t="n"/>
      <c r="Q19239" s="19" t="n"/>
      <c r="R19239" s="19" t="n"/>
      <c r="Y19239" s="19" t="n"/>
    </row>
    <row r="19240">
      <c r="C19240" s="18" t="n"/>
      <c r="J19240" s="19" t="n"/>
      <c r="P19240" s="20" t="n"/>
      <c r="Q19240" s="19" t="n"/>
      <c r="R19240" s="19" t="n"/>
      <c r="Y19240" s="19" t="n"/>
    </row>
    <row r="19241">
      <c r="C19241" s="18" t="n"/>
      <c r="J19241" s="19" t="n"/>
      <c r="P19241" s="20" t="n"/>
      <c r="Q19241" s="19" t="n"/>
      <c r="R19241" s="19" t="n"/>
      <c r="Y19241" s="19" t="n"/>
    </row>
    <row r="19242">
      <c r="C19242" s="18" t="n"/>
      <c r="J19242" s="19" t="n"/>
      <c r="P19242" s="20" t="n"/>
      <c r="Q19242" s="19" t="n"/>
      <c r="R19242" s="19" t="n"/>
      <c r="Y19242" s="19" t="n"/>
    </row>
    <row r="19243">
      <c r="C19243" s="18" t="n"/>
      <c r="J19243" s="19" t="n"/>
      <c r="P19243" s="20" t="n"/>
      <c r="Q19243" s="19" t="n"/>
      <c r="R19243" s="19" t="n"/>
      <c r="Y19243" s="19" t="n"/>
    </row>
    <row r="19244">
      <c r="C19244" s="18" t="n"/>
      <c r="J19244" s="19" t="n"/>
      <c r="P19244" s="20" t="n"/>
      <c r="Q19244" s="19" t="n"/>
      <c r="R19244" s="19" t="n"/>
      <c r="Y19244" s="19" t="n"/>
    </row>
    <row r="19245">
      <c r="C19245" s="18" t="n"/>
      <c r="J19245" s="19" t="n"/>
      <c r="P19245" s="20" t="n"/>
      <c r="Q19245" s="19" t="n"/>
      <c r="R19245" s="19" t="n"/>
      <c r="Y19245" s="19" t="n"/>
    </row>
    <row r="19246">
      <c r="C19246" s="18" t="n"/>
      <c r="J19246" s="19" t="n"/>
      <c r="P19246" s="20" t="n"/>
      <c r="Q19246" s="19" t="n"/>
      <c r="R19246" s="19" t="n"/>
      <c r="Y19246" s="19" t="n"/>
    </row>
    <row r="19247">
      <c r="C19247" s="18" t="n"/>
      <c r="J19247" s="19" t="n"/>
      <c r="P19247" s="20" t="n"/>
      <c r="Q19247" s="19" t="n"/>
      <c r="R19247" s="19" t="n"/>
      <c r="Y19247" s="19" t="n"/>
    </row>
    <row r="19248">
      <c r="C19248" s="18" t="n"/>
      <c r="J19248" s="19" t="n"/>
      <c r="P19248" s="20" t="n"/>
      <c r="Q19248" s="19" t="n"/>
      <c r="R19248" s="19" t="n"/>
      <c r="Y19248" s="19" t="n"/>
    </row>
    <row r="19249">
      <c r="C19249" s="18" t="n"/>
      <c r="J19249" s="19" t="n"/>
      <c r="P19249" s="20" t="n"/>
      <c r="Q19249" s="19" t="n"/>
      <c r="R19249" s="19" t="n"/>
      <c r="Y19249" s="19" t="n"/>
    </row>
    <row r="19250">
      <c r="C19250" s="18" t="n"/>
      <c r="J19250" s="19" t="n"/>
      <c r="P19250" s="20" t="n"/>
      <c r="Q19250" s="19" t="n"/>
      <c r="R19250" s="19" t="n"/>
      <c r="Y19250" s="19" t="n"/>
    </row>
    <row r="19251">
      <c r="C19251" s="18" t="n"/>
      <c r="J19251" s="19" t="n"/>
      <c r="P19251" s="20" t="n"/>
      <c r="Q19251" s="19" t="n"/>
      <c r="R19251" s="19" t="n"/>
      <c r="Y19251" s="19" t="n"/>
    </row>
    <row r="19252">
      <c r="C19252" s="18" t="n"/>
      <c r="J19252" s="19" t="n"/>
      <c r="P19252" s="20" t="n"/>
      <c r="Q19252" s="19" t="n"/>
      <c r="R19252" s="19" t="n"/>
      <c r="Y19252" s="19" t="n"/>
    </row>
    <row r="19253">
      <c r="C19253" s="18" t="n"/>
      <c r="J19253" s="19" t="n"/>
      <c r="P19253" s="20" t="n"/>
      <c r="Q19253" s="19" t="n"/>
      <c r="R19253" s="19" t="n"/>
      <c r="Y19253" s="19" t="n"/>
    </row>
    <row r="19254">
      <c r="C19254" s="18" t="n"/>
      <c r="J19254" s="19" t="n"/>
      <c r="P19254" s="20" t="n"/>
      <c r="Q19254" s="19" t="n"/>
      <c r="R19254" s="19" t="n"/>
      <c r="Y19254" s="19" t="n"/>
    </row>
    <row r="19255">
      <c r="C19255" s="18" t="n"/>
      <c r="J19255" s="19" t="n"/>
      <c r="P19255" s="20" t="n"/>
      <c r="Q19255" s="19" t="n"/>
      <c r="R19255" s="19" t="n"/>
      <c r="Y19255" s="19" t="n"/>
    </row>
    <row r="19256">
      <c r="C19256" s="18" t="n"/>
      <c r="J19256" s="19" t="n"/>
      <c r="P19256" s="20" t="n"/>
      <c r="Q19256" s="19" t="n"/>
      <c r="R19256" s="19" t="n"/>
      <c r="Y19256" s="19" t="n"/>
    </row>
    <row r="19257">
      <c r="C19257" s="18" t="n"/>
      <c r="J19257" s="19" t="n"/>
      <c r="P19257" s="20" t="n"/>
      <c r="Q19257" s="19" t="n"/>
      <c r="R19257" s="19" t="n"/>
      <c r="Y19257" s="19" t="n"/>
    </row>
    <row r="19258">
      <c r="C19258" s="18" t="n"/>
      <c r="J19258" s="19" t="n"/>
      <c r="P19258" s="20" t="n"/>
      <c r="Q19258" s="19" t="n"/>
      <c r="R19258" s="19" t="n"/>
      <c r="Y19258" s="19" t="n"/>
    </row>
    <row r="19259">
      <c r="C19259" s="18" t="n"/>
      <c r="J19259" s="19" t="n"/>
      <c r="P19259" s="20" t="n"/>
      <c r="Q19259" s="19" t="n"/>
      <c r="R19259" s="19" t="n"/>
      <c r="Y19259" s="19" t="n"/>
    </row>
    <row r="19260">
      <c r="C19260" s="18" t="n"/>
      <c r="J19260" s="19" t="n"/>
      <c r="P19260" s="20" t="n"/>
      <c r="Q19260" s="19" t="n"/>
      <c r="R19260" s="19" t="n"/>
      <c r="Y19260" s="19" t="n"/>
    </row>
    <row r="19261">
      <c r="C19261" s="18" t="n"/>
      <c r="J19261" s="19" t="n"/>
      <c r="P19261" s="20" t="n"/>
      <c r="Q19261" s="19" t="n"/>
      <c r="R19261" s="19" t="n"/>
      <c r="Y19261" s="19" t="n"/>
    </row>
    <row r="19262">
      <c r="C19262" s="18" t="n"/>
      <c r="J19262" s="19" t="n"/>
      <c r="P19262" s="20" t="n"/>
      <c r="Q19262" s="19" t="n"/>
      <c r="R19262" s="19" t="n"/>
      <c r="Y19262" s="19" t="n"/>
    </row>
    <row r="19263">
      <c r="C19263" s="18" t="n"/>
      <c r="J19263" s="19" t="n"/>
      <c r="P19263" s="20" t="n"/>
      <c r="Q19263" s="19" t="n"/>
      <c r="R19263" s="19" t="n"/>
      <c r="Y19263" s="19" t="n"/>
    </row>
    <row r="19264">
      <c r="C19264" s="18" t="n"/>
      <c r="J19264" s="19" t="n"/>
      <c r="P19264" s="20" t="n"/>
      <c r="Q19264" s="19" t="n"/>
      <c r="R19264" s="19" t="n"/>
      <c r="Y19264" s="19" t="n"/>
    </row>
    <row r="19265">
      <c r="C19265" s="18" t="n"/>
      <c r="J19265" s="19" t="n"/>
      <c r="P19265" s="20" t="n"/>
      <c r="Q19265" s="19" t="n"/>
      <c r="R19265" s="19" t="n"/>
      <c r="Y19265" s="19" t="n"/>
    </row>
    <row r="19266">
      <c r="C19266" s="18" t="n"/>
      <c r="J19266" s="19" t="n"/>
      <c r="P19266" s="20" t="n"/>
      <c r="Q19266" s="19" t="n"/>
      <c r="R19266" s="19" t="n"/>
      <c r="Y19266" s="19" t="n"/>
    </row>
    <row r="19267">
      <c r="C19267" s="18" t="n"/>
      <c r="J19267" s="19" t="n"/>
      <c r="P19267" s="20" t="n"/>
      <c r="Q19267" s="19" t="n"/>
      <c r="R19267" s="19" t="n"/>
      <c r="Y19267" s="19" t="n"/>
    </row>
    <row r="19268">
      <c r="C19268" s="18" t="n"/>
      <c r="J19268" s="19" t="n"/>
      <c r="P19268" s="20" t="n"/>
      <c r="Q19268" s="19" t="n"/>
      <c r="R19268" s="19" t="n"/>
      <c r="Y19268" s="19" t="n"/>
    </row>
    <row r="19269">
      <c r="C19269" s="18" t="n"/>
      <c r="J19269" s="19" t="n"/>
      <c r="P19269" s="20" t="n"/>
      <c r="Q19269" s="19" t="n"/>
      <c r="R19269" s="19" t="n"/>
      <c r="Y19269" s="19" t="n"/>
    </row>
    <row r="19270">
      <c r="C19270" s="18" t="n"/>
      <c r="J19270" s="19" t="n"/>
      <c r="P19270" s="20" t="n"/>
      <c r="Q19270" s="19" t="n"/>
      <c r="R19270" s="19" t="n"/>
      <c r="Y19270" s="19" t="n"/>
    </row>
    <row r="19271">
      <c r="C19271" s="18" t="n"/>
      <c r="J19271" s="19" t="n"/>
      <c r="P19271" s="20" t="n"/>
      <c r="Q19271" s="19" t="n"/>
      <c r="R19271" s="19" t="n"/>
      <c r="Y19271" s="19" t="n"/>
    </row>
    <row r="19272">
      <c r="C19272" s="18" t="n"/>
      <c r="J19272" s="19" t="n"/>
      <c r="P19272" s="20" t="n"/>
      <c r="Q19272" s="19" t="n"/>
      <c r="R19272" s="19" t="n"/>
      <c r="Y19272" s="19" t="n"/>
    </row>
    <row r="19273">
      <c r="C19273" s="18" t="n"/>
      <c r="J19273" s="19" t="n"/>
      <c r="P19273" s="20" t="n"/>
      <c r="Q19273" s="19" t="n"/>
      <c r="R19273" s="19" t="n"/>
      <c r="Y19273" s="19" t="n"/>
    </row>
    <row r="19274">
      <c r="C19274" s="18" t="n"/>
      <c r="J19274" s="19" t="n"/>
      <c r="P19274" s="20" t="n"/>
      <c r="Q19274" s="19" t="n"/>
      <c r="R19274" s="19" t="n"/>
      <c r="Y19274" s="19" t="n"/>
    </row>
    <row r="19275">
      <c r="C19275" s="18" t="n"/>
      <c r="J19275" s="19" t="n"/>
      <c r="P19275" s="20" t="n"/>
      <c r="Q19275" s="19" t="n"/>
      <c r="R19275" s="19" t="n"/>
      <c r="Y19275" s="19" t="n"/>
    </row>
    <row r="19276">
      <c r="C19276" s="18" t="n"/>
      <c r="J19276" s="19" t="n"/>
      <c r="P19276" s="20" t="n"/>
      <c r="Q19276" s="19" t="n"/>
      <c r="R19276" s="19" t="n"/>
      <c r="Y19276" s="19" t="n"/>
    </row>
    <row r="19277">
      <c r="C19277" s="18" t="n"/>
      <c r="J19277" s="19" t="n"/>
      <c r="P19277" s="20" t="n"/>
      <c r="Q19277" s="19" t="n"/>
      <c r="R19277" s="19" t="n"/>
      <c r="Y19277" s="19" t="n"/>
    </row>
    <row r="19278">
      <c r="C19278" s="18" t="n"/>
      <c r="J19278" s="19" t="n"/>
      <c r="P19278" s="20" t="n"/>
      <c r="Q19278" s="19" t="n"/>
      <c r="R19278" s="19" t="n"/>
      <c r="Y19278" s="19" t="n"/>
    </row>
    <row r="19279">
      <c r="C19279" s="18" t="n"/>
      <c r="J19279" s="19" t="n"/>
      <c r="P19279" s="20" t="n"/>
      <c r="Q19279" s="19" t="n"/>
      <c r="R19279" s="19" t="n"/>
      <c r="Y19279" s="19" t="n"/>
    </row>
    <row r="19280">
      <c r="C19280" s="18" t="n"/>
      <c r="J19280" s="19" t="n"/>
      <c r="P19280" s="20" t="n"/>
      <c r="Q19280" s="19" t="n"/>
      <c r="R19280" s="19" t="n"/>
      <c r="Y19280" s="19" t="n"/>
    </row>
    <row r="19281">
      <c r="C19281" s="18" t="n"/>
      <c r="J19281" s="19" t="n"/>
      <c r="P19281" s="20" t="n"/>
      <c r="Q19281" s="19" t="n"/>
      <c r="R19281" s="19" t="n"/>
      <c r="Y19281" s="19" t="n"/>
    </row>
    <row r="19282">
      <c r="C19282" s="18" t="n"/>
      <c r="J19282" s="19" t="n"/>
      <c r="P19282" s="20" t="n"/>
      <c r="Q19282" s="19" t="n"/>
      <c r="R19282" s="19" t="n"/>
      <c r="Y19282" s="19" t="n"/>
    </row>
    <row r="19283">
      <c r="C19283" s="18" t="n"/>
      <c r="J19283" s="19" t="n"/>
      <c r="P19283" s="20" t="n"/>
      <c r="Q19283" s="19" t="n"/>
      <c r="R19283" s="19" t="n"/>
      <c r="Y19283" s="19" t="n"/>
    </row>
    <row r="19284">
      <c r="C19284" s="18" t="n"/>
      <c r="J19284" s="19" t="n"/>
      <c r="P19284" s="20" t="n"/>
      <c r="Q19284" s="19" t="n"/>
      <c r="R19284" s="19" t="n"/>
      <c r="Y19284" s="19" t="n"/>
    </row>
    <row r="19285">
      <c r="C19285" s="18" t="n"/>
      <c r="J19285" s="19" t="n"/>
      <c r="P19285" s="20" t="n"/>
      <c r="Q19285" s="19" t="n"/>
      <c r="R19285" s="19" t="n"/>
      <c r="Y19285" s="19" t="n"/>
    </row>
    <row r="19286">
      <c r="C19286" s="18" t="n"/>
      <c r="J19286" s="19" t="n"/>
      <c r="P19286" s="20" t="n"/>
      <c r="Q19286" s="19" t="n"/>
      <c r="R19286" s="19" t="n"/>
      <c r="Y19286" s="19" t="n"/>
    </row>
    <row r="19287">
      <c r="C19287" s="18" t="n"/>
      <c r="J19287" s="19" t="n"/>
      <c r="P19287" s="20" t="n"/>
      <c r="Q19287" s="19" t="n"/>
      <c r="R19287" s="19" t="n"/>
      <c r="Y19287" s="19" t="n"/>
    </row>
    <row r="19288">
      <c r="C19288" s="18" t="n"/>
      <c r="J19288" s="19" t="n"/>
      <c r="P19288" s="20" t="n"/>
      <c r="Q19288" s="19" t="n"/>
      <c r="R19288" s="19" t="n"/>
      <c r="Y19288" s="19" t="n"/>
    </row>
    <row r="19289">
      <c r="C19289" s="18" t="n"/>
      <c r="J19289" s="19" t="n"/>
      <c r="P19289" s="20" t="n"/>
      <c r="Q19289" s="19" t="n"/>
      <c r="R19289" s="19" t="n"/>
      <c r="Y19289" s="19" t="n"/>
    </row>
    <row r="19290">
      <c r="C19290" s="18" t="n"/>
      <c r="J19290" s="19" t="n"/>
      <c r="P19290" s="20" t="n"/>
      <c r="Q19290" s="19" t="n"/>
      <c r="R19290" s="19" t="n"/>
      <c r="Y19290" s="19" t="n"/>
    </row>
    <row r="19291">
      <c r="C19291" s="18" t="n"/>
      <c r="J19291" s="19" t="n"/>
      <c r="P19291" s="20" t="n"/>
      <c r="Q19291" s="19" t="n"/>
      <c r="R19291" s="19" t="n"/>
      <c r="Y19291" s="19" t="n"/>
    </row>
    <row r="19292">
      <c r="C19292" s="18" t="n"/>
      <c r="J19292" s="19" t="n"/>
      <c r="P19292" s="20" t="n"/>
      <c r="Q19292" s="19" t="n"/>
      <c r="R19292" s="19" t="n"/>
      <c r="Y19292" s="19" t="n"/>
    </row>
    <row r="19293">
      <c r="C19293" s="18" t="n"/>
      <c r="J19293" s="19" t="n"/>
      <c r="P19293" s="20" t="n"/>
      <c r="Q19293" s="19" t="n"/>
      <c r="R19293" s="19" t="n"/>
      <c r="Y19293" s="19" t="n"/>
    </row>
    <row r="19294">
      <c r="C19294" s="18" t="n"/>
      <c r="J19294" s="19" t="n"/>
      <c r="P19294" s="20" t="n"/>
      <c r="Q19294" s="19" t="n"/>
      <c r="R19294" s="19" t="n"/>
      <c r="Y19294" s="19" t="n"/>
    </row>
    <row r="19295">
      <c r="C19295" s="18" t="n"/>
      <c r="J19295" s="19" t="n"/>
      <c r="P19295" s="20" t="n"/>
      <c r="Q19295" s="19" t="n"/>
      <c r="R19295" s="19" t="n"/>
      <c r="Y19295" s="19" t="n"/>
    </row>
    <row r="19296">
      <c r="C19296" s="18" t="n"/>
      <c r="J19296" s="19" t="n"/>
      <c r="P19296" s="20" t="n"/>
      <c r="Q19296" s="19" t="n"/>
      <c r="R19296" s="19" t="n"/>
      <c r="Y19296" s="19" t="n"/>
    </row>
    <row r="19297">
      <c r="C19297" s="18" t="n"/>
      <c r="J19297" s="19" t="n"/>
      <c r="P19297" s="20" t="n"/>
      <c r="Q19297" s="19" t="n"/>
      <c r="R19297" s="19" t="n"/>
      <c r="Y19297" s="19" t="n"/>
    </row>
    <row r="19298">
      <c r="C19298" s="18" t="n"/>
      <c r="J19298" s="19" t="n"/>
      <c r="P19298" s="20" t="n"/>
      <c r="Q19298" s="19" t="n"/>
      <c r="R19298" s="19" t="n"/>
      <c r="Y19298" s="19" t="n"/>
    </row>
    <row r="19299">
      <c r="C19299" s="18" t="n"/>
      <c r="J19299" s="19" t="n"/>
      <c r="P19299" s="20" t="n"/>
      <c r="Q19299" s="19" t="n"/>
      <c r="R19299" s="19" t="n"/>
      <c r="Y19299" s="19" t="n"/>
    </row>
    <row r="19300">
      <c r="C19300" s="18" t="n"/>
      <c r="J19300" s="19" t="n"/>
      <c r="P19300" s="20" t="n"/>
      <c r="Q19300" s="19" t="n"/>
      <c r="R19300" s="19" t="n"/>
      <c r="Y19300" s="19" t="n"/>
    </row>
    <row r="19301">
      <c r="C19301" s="18" t="n"/>
      <c r="J19301" s="19" t="n"/>
      <c r="P19301" s="20" t="n"/>
      <c r="Q19301" s="19" t="n"/>
      <c r="R19301" s="19" t="n"/>
      <c r="Y19301" s="19" t="n"/>
    </row>
    <row r="19302">
      <c r="C19302" s="18" t="n"/>
      <c r="J19302" s="19" t="n"/>
      <c r="P19302" s="20" t="n"/>
      <c r="Q19302" s="19" t="n"/>
      <c r="R19302" s="19" t="n"/>
      <c r="Y19302" s="19" t="n"/>
    </row>
    <row r="19303">
      <c r="C19303" s="18" t="n"/>
      <c r="J19303" s="19" t="n"/>
      <c r="P19303" s="20" t="n"/>
      <c r="Q19303" s="19" t="n"/>
      <c r="R19303" s="19" t="n"/>
      <c r="Y19303" s="19" t="n"/>
    </row>
    <row r="19304">
      <c r="C19304" s="18" t="n"/>
      <c r="J19304" s="19" t="n"/>
      <c r="P19304" s="20" t="n"/>
      <c r="Q19304" s="19" t="n"/>
      <c r="R19304" s="19" t="n"/>
      <c r="Y19304" s="19" t="n"/>
    </row>
    <row r="19305">
      <c r="C19305" s="18" t="n"/>
      <c r="J19305" s="19" t="n"/>
      <c r="P19305" s="20" t="n"/>
      <c r="Q19305" s="19" t="n"/>
      <c r="R19305" s="19" t="n"/>
      <c r="Y19305" s="19" t="n"/>
    </row>
    <row r="19306">
      <c r="C19306" s="18" t="n"/>
      <c r="J19306" s="19" t="n"/>
      <c r="P19306" s="20" t="n"/>
      <c r="Q19306" s="19" t="n"/>
      <c r="R19306" s="19" t="n"/>
      <c r="Y19306" s="19" t="n"/>
    </row>
    <row r="19307">
      <c r="C19307" s="18" t="n"/>
      <c r="J19307" s="19" t="n"/>
      <c r="P19307" s="20" t="n"/>
      <c r="Q19307" s="19" t="n"/>
      <c r="R19307" s="19" t="n"/>
      <c r="Y19307" s="19" t="n"/>
    </row>
    <row r="19308">
      <c r="C19308" s="18" t="n"/>
      <c r="J19308" s="19" t="n"/>
      <c r="P19308" s="20" t="n"/>
      <c r="Q19308" s="19" t="n"/>
      <c r="R19308" s="19" t="n"/>
      <c r="Y19308" s="19" t="n"/>
    </row>
    <row r="19309">
      <c r="C19309" s="18" t="n"/>
      <c r="J19309" s="19" t="n"/>
      <c r="P19309" s="20" t="n"/>
      <c r="Q19309" s="19" t="n"/>
      <c r="R19309" s="19" t="n"/>
      <c r="Y19309" s="19" t="n"/>
    </row>
    <row r="19310">
      <c r="C19310" s="18" t="n"/>
      <c r="J19310" s="19" t="n"/>
      <c r="P19310" s="20" t="n"/>
      <c r="Q19310" s="19" t="n"/>
      <c r="R19310" s="19" t="n"/>
      <c r="Y19310" s="19" t="n"/>
    </row>
    <row r="19311">
      <c r="C19311" s="18" t="n"/>
      <c r="J19311" s="19" t="n"/>
      <c r="P19311" s="20" t="n"/>
      <c r="Q19311" s="19" t="n"/>
      <c r="R19311" s="19" t="n"/>
      <c r="Y19311" s="19" t="n"/>
    </row>
    <row r="19312">
      <c r="C19312" s="18" t="n"/>
      <c r="J19312" s="19" t="n"/>
      <c r="P19312" s="20" t="n"/>
      <c r="Q19312" s="19" t="n"/>
      <c r="R19312" s="19" t="n"/>
      <c r="Y19312" s="19" t="n"/>
    </row>
    <row r="19313">
      <c r="C19313" s="18" t="n"/>
      <c r="J19313" s="19" t="n"/>
      <c r="P19313" s="20" t="n"/>
      <c r="Q19313" s="19" t="n"/>
      <c r="R19313" s="19" t="n"/>
      <c r="Y19313" s="19" t="n"/>
    </row>
    <row r="19314">
      <c r="C19314" s="18" t="n"/>
      <c r="J19314" s="19" t="n"/>
      <c r="P19314" s="20" t="n"/>
      <c r="Q19314" s="19" t="n"/>
      <c r="R19314" s="19" t="n"/>
      <c r="Y19314" s="19" t="n"/>
    </row>
    <row r="19315">
      <c r="C19315" s="18" t="n"/>
      <c r="J19315" s="19" t="n"/>
      <c r="P19315" s="20" t="n"/>
      <c r="Q19315" s="19" t="n"/>
      <c r="R19315" s="19" t="n"/>
      <c r="Y19315" s="19" t="n"/>
    </row>
    <row r="19316">
      <c r="C19316" s="18" t="n"/>
      <c r="J19316" s="19" t="n"/>
      <c r="P19316" s="20" t="n"/>
      <c r="Q19316" s="19" t="n"/>
      <c r="R19316" s="19" t="n"/>
      <c r="Y19316" s="19" t="n"/>
    </row>
    <row r="19317">
      <c r="C19317" s="18" t="n"/>
      <c r="J19317" s="19" t="n"/>
      <c r="P19317" s="20" t="n"/>
      <c r="Q19317" s="19" t="n"/>
      <c r="R19317" s="19" t="n"/>
      <c r="Y19317" s="19" t="n"/>
    </row>
    <row r="19318">
      <c r="C19318" s="18" t="n"/>
      <c r="J19318" s="19" t="n"/>
      <c r="P19318" s="20" t="n"/>
      <c r="Q19318" s="19" t="n"/>
      <c r="R19318" s="19" t="n"/>
      <c r="Y19318" s="19" t="n"/>
    </row>
    <row r="19319">
      <c r="C19319" s="18" t="n"/>
      <c r="J19319" s="19" t="n"/>
      <c r="P19319" s="20" t="n"/>
      <c r="Q19319" s="19" t="n"/>
      <c r="R19319" s="19" t="n"/>
      <c r="Y19319" s="19" t="n"/>
    </row>
    <row r="19320">
      <c r="C19320" s="18" t="n"/>
      <c r="J19320" s="19" t="n"/>
      <c r="P19320" s="20" t="n"/>
      <c r="Q19320" s="19" t="n"/>
      <c r="R19320" s="19" t="n"/>
      <c r="Y19320" s="19" t="n"/>
    </row>
    <row r="19321">
      <c r="C19321" s="18" t="n"/>
      <c r="J19321" s="19" t="n"/>
      <c r="P19321" s="20" t="n"/>
      <c r="Q19321" s="19" t="n"/>
      <c r="R19321" s="19" t="n"/>
      <c r="Y19321" s="19" t="n"/>
    </row>
    <row r="19322">
      <c r="C19322" s="18" t="n"/>
      <c r="J19322" s="19" t="n"/>
      <c r="P19322" s="20" t="n"/>
      <c r="Q19322" s="19" t="n"/>
      <c r="R19322" s="19" t="n"/>
      <c r="Y19322" s="19" t="n"/>
    </row>
    <row r="19323">
      <c r="C19323" s="18" t="n"/>
      <c r="J19323" s="19" t="n"/>
      <c r="P19323" s="20" t="n"/>
      <c r="Q19323" s="19" t="n"/>
      <c r="R19323" s="19" t="n"/>
      <c r="Y19323" s="19" t="n"/>
    </row>
    <row r="19324">
      <c r="C19324" s="18" t="n"/>
      <c r="J19324" s="19" t="n"/>
      <c r="P19324" s="20" t="n"/>
      <c r="Q19324" s="19" t="n"/>
      <c r="R19324" s="19" t="n"/>
      <c r="Y19324" s="19" t="n"/>
    </row>
    <row r="19325">
      <c r="C19325" s="18" t="n"/>
      <c r="J19325" s="19" t="n"/>
      <c r="P19325" s="20" t="n"/>
      <c r="Q19325" s="19" t="n"/>
      <c r="R19325" s="19" t="n"/>
      <c r="Y19325" s="19" t="n"/>
    </row>
    <row r="19326">
      <c r="C19326" s="18" t="n"/>
      <c r="J19326" s="19" t="n"/>
      <c r="P19326" s="20" t="n"/>
      <c r="Q19326" s="19" t="n"/>
      <c r="R19326" s="19" t="n"/>
      <c r="Y19326" s="19" t="n"/>
    </row>
    <row r="19327">
      <c r="C19327" s="18" t="n"/>
      <c r="J19327" s="19" t="n"/>
      <c r="P19327" s="20" t="n"/>
      <c r="Q19327" s="19" t="n"/>
      <c r="R19327" s="19" t="n"/>
      <c r="Y19327" s="19" t="n"/>
    </row>
    <row r="19328">
      <c r="C19328" s="18" t="n"/>
      <c r="J19328" s="19" t="n"/>
      <c r="P19328" s="20" t="n"/>
      <c r="Q19328" s="19" t="n"/>
      <c r="R19328" s="19" t="n"/>
      <c r="Y19328" s="19" t="n"/>
    </row>
    <row r="19329">
      <c r="C19329" s="18" t="n"/>
      <c r="J19329" s="19" t="n"/>
      <c r="P19329" s="20" t="n"/>
      <c r="Q19329" s="19" t="n"/>
      <c r="R19329" s="19" t="n"/>
      <c r="Y19329" s="19" t="n"/>
    </row>
    <row r="19330">
      <c r="C19330" s="18" t="n"/>
      <c r="J19330" s="19" t="n"/>
      <c r="P19330" s="20" t="n"/>
      <c r="Q19330" s="19" t="n"/>
      <c r="R19330" s="19" t="n"/>
      <c r="Y19330" s="19" t="n"/>
    </row>
    <row r="19331">
      <c r="C19331" s="18" t="n"/>
      <c r="J19331" s="19" t="n"/>
      <c r="P19331" s="20" t="n"/>
      <c r="Q19331" s="19" t="n"/>
      <c r="R19331" s="19" t="n"/>
      <c r="Y19331" s="19" t="n"/>
    </row>
    <row r="19332">
      <c r="C19332" s="18" t="n"/>
      <c r="J19332" s="19" t="n"/>
      <c r="P19332" s="20" t="n"/>
      <c r="Q19332" s="19" t="n"/>
      <c r="R19332" s="19" t="n"/>
      <c r="Y19332" s="19" t="n"/>
    </row>
    <row r="19333">
      <c r="C19333" s="18" t="n"/>
      <c r="J19333" s="19" t="n"/>
      <c r="P19333" s="20" t="n"/>
      <c r="Q19333" s="19" t="n"/>
      <c r="R19333" s="19" t="n"/>
      <c r="Y19333" s="19" t="n"/>
    </row>
    <row r="19334">
      <c r="C19334" s="18" t="n"/>
      <c r="J19334" s="19" t="n"/>
      <c r="P19334" s="20" t="n"/>
      <c r="Q19334" s="19" t="n"/>
      <c r="R19334" s="19" t="n"/>
      <c r="Y19334" s="19" t="n"/>
    </row>
    <row r="19335">
      <c r="C19335" s="18" t="n"/>
      <c r="J19335" s="19" t="n"/>
      <c r="P19335" s="20" t="n"/>
      <c r="Q19335" s="19" t="n"/>
      <c r="R19335" s="19" t="n"/>
      <c r="Y19335" s="19" t="n"/>
    </row>
    <row r="19336">
      <c r="C19336" s="18" t="n"/>
      <c r="J19336" s="19" t="n"/>
      <c r="P19336" s="20" t="n"/>
      <c r="Q19336" s="19" t="n"/>
      <c r="R19336" s="19" t="n"/>
      <c r="Y19336" s="19" t="n"/>
    </row>
    <row r="19337">
      <c r="C19337" s="18" t="n"/>
      <c r="J19337" s="19" t="n"/>
      <c r="P19337" s="20" t="n"/>
      <c r="Q19337" s="19" t="n"/>
      <c r="R19337" s="19" t="n"/>
      <c r="Y19337" s="19" t="n"/>
    </row>
    <row r="19338">
      <c r="C19338" s="18" t="n"/>
      <c r="J19338" s="19" t="n"/>
      <c r="P19338" s="20" t="n"/>
      <c r="Q19338" s="19" t="n"/>
      <c r="R19338" s="19" t="n"/>
      <c r="Y19338" s="19" t="n"/>
    </row>
    <row r="19339">
      <c r="C19339" s="18" t="n"/>
      <c r="J19339" s="19" t="n"/>
      <c r="P19339" s="20" t="n"/>
      <c r="Q19339" s="19" t="n"/>
      <c r="R19339" s="19" t="n"/>
      <c r="Y19339" s="19" t="n"/>
    </row>
    <row r="19340">
      <c r="C19340" s="18" t="n"/>
      <c r="J19340" s="19" t="n"/>
      <c r="P19340" s="20" t="n"/>
      <c r="Q19340" s="19" t="n"/>
      <c r="R19340" s="19" t="n"/>
      <c r="Y19340" s="19" t="n"/>
    </row>
    <row r="19341">
      <c r="C19341" s="18" t="n"/>
      <c r="J19341" s="19" t="n"/>
      <c r="P19341" s="20" t="n"/>
      <c r="Q19341" s="19" t="n"/>
      <c r="R19341" s="19" t="n"/>
      <c r="Y19341" s="19" t="n"/>
    </row>
    <row r="19342">
      <c r="C19342" s="18" t="n"/>
      <c r="J19342" s="19" t="n"/>
      <c r="P19342" s="20" t="n"/>
      <c r="Q19342" s="19" t="n"/>
      <c r="R19342" s="19" t="n"/>
      <c r="Y19342" s="19" t="n"/>
    </row>
    <row r="19343">
      <c r="C19343" s="18" t="n"/>
      <c r="J19343" s="19" t="n"/>
      <c r="P19343" s="20" t="n"/>
      <c r="Q19343" s="19" t="n"/>
      <c r="R19343" s="19" t="n"/>
      <c r="Y19343" s="19" t="n"/>
    </row>
    <row r="19344">
      <c r="C19344" s="18" t="n"/>
      <c r="J19344" s="19" t="n"/>
      <c r="P19344" s="20" t="n"/>
      <c r="Q19344" s="19" t="n"/>
      <c r="R19344" s="19" t="n"/>
      <c r="Y19344" s="19" t="n"/>
    </row>
    <row r="19345">
      <c r="C19345" s="18" t="n"/>
      <c r="J19345" s="19" t="n"/>
      <c r="P19345" s="20" t="n"/>
      <c r="Q19345" s="19" t="n"/>
      <c r="R19345" s="19" t="n"/>
      <c r="Y19345" s="19" t="n"/>
    </row>
    <row r="19346">
      <c r="C19346" s="18" t="n"/>
      <c r="J19346" s="19" t="n"/>
      <c r="P19346" s="20" t="n"/>
      <c r="Q19346" s="19" t="n"/>
      <c r="R19346" s="19" t="n"/>
      <c r="Y19346" s="19" t="n"/>
    </row>
    <row r="19347">
      <c r="C19347" s="18" t="n"/>
      <c r="J19347" s="19" t="n"/>
      <c r="P19347" s="20" t="n"/>
      <c r="Q19347" s="19" t="n"/>
      <c r="R19347" s="19" t="n"/>
      <c r="Y19347" s="19" t="n"/>
    </row>
    <row r="19348">
      <c r="C19348" s="18" t="n"/>
      <c r="J19348" s="19" t="n"/>
      <c r="P19348" s="20" t="n"/>
      <c r="Q19348" s="19" t="n"/>
      <c r="R19348" s="19" t="n"/>
      <c r="Y19348" s="19" t="n"/>
    </row>
    <row r="19349">
      <c r="C19349" s="18" t="n"/>
      <c r="J19349" s="19" t="n"/>
      <c r="P19349" s="20" t="n"/>
      <c r="Q19349" s="19" t="n"/>
      <c r="R19349" s="19" t="n"/>
      <c r="Y19349" s="19" t="n"/>
    </row>
    <row r="19350">
      <c r="C19350" s="18" t="n"/>
      <c r="J19350" s="19" t="n"/>
      <c r="P19350" s="20" t="n"/>
      <c r="Q19350" s="19" t="n"/>
      <c r="R19350" s="19" t="n"/>
      <c r="Y19350" s="19" t="n"/>
    </row>
    <row r="19351">
      <c r="C19351" s="18" t="n"/>
      <c r="J19351" s="19" t="n"/>
      <c r="P19351" s="20" t="n"/>
      <c r="Q19351" s="19" t="n"/>
      <c r="R19351" s="19" t="n"/>
      <c r="Y19351" s="19" t="n"/>
    </row>
    <row r="19352">
      <c r="C19352" s="18" t="n"/>
      <c r="J19352" s="19" t="n"/>
      <c r="P19352" s="20" t="n"/>
      <c r="Q19352" s="19" t="n"/>
      <c r="R19352" s="19" t="n"/>
      <c r="Y19352" s="19" t="n"/>
    </row>
    <row r="19353">
      <c r="C19353" s="18" t="n"/>
      <c r="J19353" s="19" t="n"/>
      <c r="P19353" s="20" t="n"/>
      <c r="Q19353" s="19" t="n"/>
      <c r="R19353" s="19" t="n"/>
      <c r="Y19353" s="19" t="n"/>
    </row>
    <row r="19354">
      <c r="C19354" s="18" t="n"/>
      <c r="J19354" s="19" t="n"/>
      <c r="P19354" s="20" t="n"/>
      <c r="Q19354" s="19" t="n"/>
      <c r="R19354" s="19" t="n"/>
      <c r="Y19354" s="19" t="n"/>
    </row>
    <row r="19355">
      <c r="C19355" s="18" t="n"/>
      <c r="J19355" s="19" t="n"/>
      <c r="P19355" s="20" t="n"/>
      <c r="Q19355" s="19" t="n"/>
      <c r="R19355" s="19" t="n"/>
      <c r="Y19355" s="19" t="n"/>
    </row>
    <row r="19356">
      <c r="C19356" s="18" t="n"/>
      <c r="J19356" s="19" t="n"/>
      <c r="P19356" s="20" t="n"/>
      <c r="Q19356" s="19" t="n"/>
      <c r="R19356" s="19" t="n"/>
      <c r="Y19356" s="19" t="n"/>
    </row>
    <row r="19357">
      <c r="C19357" s="18" t="n"/>
      <c r="J19357" s="19" t="n"/>
      <c r="P19357" s="20" t="n"/>
      <c r="Q19357" s="19" t="n"/>
      <c r="R19357" s="19" t="n"/>
      <c r="Y19357" s="19" t="n"/>
    </row>
    <row r="19358">
      <c r="C19358" s="18" t="n"/>
      <c r="J19358" s="19" t="n"/>
      <c r="P19358" s="20" t="n"/>
      <c r="Q19358" s="19" t="n"/>
      <c r="R19358" s="19" t="n"/>
      <c r="Y19358" s="19" t="n"/>
    </row>
    <row r="19359">
      <c r="C19359" s="18" t="n"/>
      <c r="J19359" s="19" t="n"/>
      <c r="P19359" s="20" t="n"/>
      <c r="Q19359" s="19" t="n"/>
      <c r="R19359" s="19" t="n"/>
      <c r="Y19359" s="19" t="n"/>
    </row>
    <row r="19360">
      <c r="C19360" s="18" t="n"/>
      <c r="J19360" s="19" t="n"/>
      <c r="P19360" s="20" t="n"/>
      <c r="Q19360" s="19" t="n"/>
      <c r="R19360" s="19" t="n"/>
      <c r="Y19360" s="19" t="n"/>
    </row>
    <row r="19361">
      <c r="C19361" s="18" t="n"/>
      <c r="J19361" s="19" t="n"/>
      <c r="P19361" s="20" t="n"/>
      <c r="Q19361" s="19" t="n"/>
      <c r="R19361" s="19" t="n"/>
      <c r="Y19361" s="19" t="n"/>
    </row>
    <row r="19362">
      <c r="C19362" s="18" t="n"/>
      <c r="J19362" s="19" t="n"/>
      <c r="P19362" s="20" t="n"/>
      <c r="Q19362" s="19" t="n"/>
      <c r="R19362" s="19" t="n"/>
      <c r="Y19362" s="19" t="n"/>
    </row>
    <row r="19363">
      <c r="C19363" s="18" t="n"/>
      <c r="J19363" s="19" t="n"/>
      <c r="P19363" s="20" t="n"/>
      <c r="Q19363" s="19" t="n"/>
      <c r="R19363" s="19" t="n"/>
      <c r="Y19363" s="19" t="n"/>
    </row>
    <row r="19364">
      <c r="C19364" s="18" t="n"/>
      <c r="J19364" s="19" t="n"/>
      <c r="P19364" s="20" t="n"/>
      <c r="Q19364" s="19" t="n"/>
      <c r="R19364" s="19" t="n"/>
      <c r="Y19364" s="19" t="n"/>
    </row>
    <row r="19365">
      <c r="C19365" s="18" t="n"/>
      <c r="J19365" s="19" t="n"/>
      <c r="P19365" s="20" t="n"/>
      <c r="Q19365" s="19" t="n"/>
      <c r="R19365" s="19" t="n"/>
      <c r="Y19365" s="19" t="n"/>
    </row>
    <row r="19366">
      <c r="C19366" s="18" t="n"/>
      <c r="J19366" s="19" t="n"/>
      <c r="P19366" s="20" t="n"/>
      <c r="Q19366" s="19" t="n"/>
      <c r="R19366" s="19" t="n"/>
      <c r="Y19366" s="19" t="n"/>
    </row>
    <row r="19367">
      <c r="C19367" s="18" t="n"/>
      <c r="J19367" s="19" t="n"/>
      <c r="P19367" s="20" t="n"/>
      <c r="Q19367" s="19" t="n"/>
      <c r="R19367" s="19" t="n"/>
      <c r="Y19367" s="19" t="n"/>
    </row>
    <row r="19368">
      <c r="C19368" s="18" t="n"/>
      <c r="J19368" s="19" t="n"/>
      <c r="P19368" s="20" t="n"/>
      <c r="Q19368" s="19" t="n"/>
      <c r="R19368" s="19" t="n"/>
      <c r="Y19368" s="19" t="n"/>
    </row>
    <row r="19369">
      <c r="C19369" s="18" t="n"/>
      <c r="J19369" s="19" t="n"/>
      <c r="P19369" s="20" t="n"/>
      <c r="Q19369" s="19" t="n"/>
      <c r="R19369" s="19" t="n"/>
      <c r="Y19369" s="19" t="n"/>
    </row>
    <row r="19370">
      <c r="C19370" s="18" t="n"/>
      <c r="J19370" s="19" t="n"/>
      <c r="P19370" s="20" t="n"/>
      <c r="Q19370" s="19" t="n"/>
      <c r="R19370" s="19" t="n"/>
      <c r="Y19370" s="19" t="n"/>
    </row>
    <row r="19371">
      <c r="C19371" s="18" t="n"/>
      <c r="J19371" s="19" t="n"/>
      <c r="P19371" s="20" t="n"/>
      <c r="Q19371" s="19" t="n"/>
      <c r="R19371" s="19" t="n"/>
      <c r="Y19371" s="19" t="n"/>
    </row>
    <row r="19372">
      <c r="C19372" s="18" t="n"/>
      <c r="J19372" s="19" t="n"/>
      <c r="P19372" s="20" t="n"/>
      <c r="Q19372" s="19" t="n"/>
      <c r="R19372" s="19" t="n"/>
      <c r="Y19372" s="19" t="n"/>
    </row>
    <row r="19373">
      <c r="C19373" s="18" t="n"/>
      <c r="J19373" s="19" t="n"/>
      <c r="P19373" s="20" t="n"/>
      <c r="Q19373" s="19" t="n"/>
      <c r="R19373" s="19" t="n"/>
      <c r="Y19373" s="19" t="n"/>
    </row>
    <row r="19374">
      <c r="C19374" s="18" t="n"/>
      <c r="J19374" s="19" t="n"/>
      <c r="P19374" s="20" t="n"/>
      <c r="Q19374" s="19" t="n"/>
      <c r="R19374" s="19" t="n"/>
      <c r="Y19374" s="19" t="n"/>
    </row>
    <row r="19375">
      <c r="C19375" s="18" t="n"/>
      <c r="J19375" s="19" t="n"/>
      <c r="P19375" s="20" t="n"/>
      <c r="Q19375" s="19" t="n"/>
      <c r="R19375" s="19" t="n"/>
      <c r="Y19375" s="19" t="n"/>
    </row>
    <row r="19376">
      <c r="C19376" s="18" t="n"/>
      <c r="J19376" s="19" t="n"/>
      <c r="P19376" s="20" t="n"/>
      <c r="Q19376" s="19" t="n"/>
      <c r="R19376" s="19" t="n"/>
      <c r="Y19376" s="19" t="n"/>
    </row>
    <row r="19377">
      <c r="C19377" s="18" t="n"/>
      <c r="J19377" s="19" t="n"/>
      <c r="P19377" s="20" t="n"/>
      <c r="Q19377" s="19" t="n"/>
      <c r="R19377" s="19" t="n"/>
      <c r="Y19377" s="19" t="n"/>
    </row>
    <row r="19378">
      <c r="C19378" s="18" t="n"/>
      <c r="J19378" s="19" t="n"/>
      <c r="P19378" s="20" t="n"/>
      <c r="Q19378" s="19" t="n"/>
      <c r="R19378" s="19" t="n"/>
      <c r="Y19378" s="19" t="n"/>
    </row>
    <row r="19379">
      <c r="C19379" s="18" t="n"/>
      <c r="J19379" s="19" t="n"/>
      <c r="P19379" s="20" t="n"/>
      <c r="Q19379" s="19" t="n"/>
      <c r="R19379" s="19" t="n"/>
      <c r="Y19379" s="19" t="n"/>
    </row>
    <row r="19380">
      <c r="C19380" s="18" t="n"/>
      <c r="J19380" s="19" t="n"/>
      <c r="P19380" s="20" t="n"/>
      <c r="Q19380" s="19" t="n"/>
      <c r="R19380" s="19" t="n"/>
      <c r="Y19380" s="19" t="n"/>
    </row>
    <row r="19381">
      <c r="C19381" s="18" t="n"/>
      <c r="J19381" s="19" t="n"/>
      <c r="P19381" s="20" t="n"/>
      <c r="Q19381" s="19" t="n"/>
      <c r="R19381" s="19" t="n"/>
      <c r="Y19381" s="19" t="n"/>
    </row>
    <row r="19382">
      <c r="C19382" s="18" t="n"/>
      <c r="J19382" s="19" t="n"/>
      <c r="P19382" s="20" t="n"/>
      <c r="Q19382" s="19" t="n"/>
      <c r="R19382" s="19" t="n"/>
      <c r="Y19382" s="19" t="n"/>
    </row>
    <row r="19383">
      <c r="C19383" s="18" t="n"/>
      <c r="J19383" s="19" t="n"/>
      <c r="P19383" s="20" t="n"/>
      <c r="Q19383" s="19" t="n"/>
      <c r="R19383" s="19" t="n"/>
      <c r="Y19383" s="19" t="n"/>
    </row>
    <row r="19384">
      <c r="C19384" s="18" t="n"/>
      <c r="J19384" s="19" t="n"/>
      <c r="P19384" s="20" t="n"/>
      <c r="Q19384" s="19" t="n"/>
      <c r="R19384" s="19" t="n"/>
      <c r="Y19384" s="19" t="n"/>
    </row>
    <row r="19385">
      <c r="C19385" s="18" t="n"/>
      <c r="J19385" s="19" t="n"/>
      <c r="P19385" s="20" t="n"/>
      <c r="Q19385" s="19" t="n"/>
      <c r="R19385" s="19" t="n"/>
      <c r="Y19385" s="19" t="n"/>
    </row>
    <row r="19386">
      <c r="C19386" s="18" t="n"/>
      <c r="J19386" s="19" t="n"/>
      <c r="P19386" s="20" t="n"/>
      <c r="Q19386" s="19" t="n"/>
      <c r="R19386" s="19" t="n"/>
      <c r="Y19386" s="19" t="n"/>
    </row>
    <row r="19387">
      <c r="C19387" s="18" t="n"/>
      <c r="J19387" s="19" t="n"/>
      <c r="P19387" s="20" t="n"/>
      <c r="Q19387" s="19" t="n"/>
      <c r="R19387" s="19" t="n"/>
      <c r="Y19387" s="19" t="n"/>
    </row>
    <row r="19388">
      <c r="C19388" s="18" t="n"/>
      <c r="J19388" s="19" t="n"/>
      <c r="P19388" s="20" t="n"/>
      <c r="Q19388" s="19" t="n"/>
      <c r="R19388" s="19" t="n"/>
      <c r="Y19388" s="19" t="n"/>
    </row>
    <row r="19389">
      <c r="C19389" s="18" t="n"/>
      <c r="J19389" s="19" t="n"/>
      <c r="P19389" s="20" t="n"/>
      <c r="Q19389" s="19" t="n"/>
      <c r="R19389" s="19" t="n"/>
      <c r="Y19389" s="19" t="n"/>
    </row>
    <row r="19390">
      <c r="C19390" s="18" t="n"/>
      <c r="J19390" s="19" t="n"/>
      <c r="P19390" s="20" t="n"/>
      <c r="Q19390" s="19" t="n"/>
      <c r="R19390" s="19" t="n"/>
      <c r="Y19390" s="19" t="n"/>
    </row>
    <row r="19391">
      <c r="C19391" s="18" t="n"/>
      <c r="J19391" s="19" t="n"/>
      <c r="P19391" s="20" t="n"/>
      <c r="Q19391" s="19" t="n"/>
      <c r="R19391" s="19" t="n"/>
      <c r="Y19391" s="19" t="n"/>
    </row>
    <row r="19392">
      <c r="C19392" s="18" t="n"/>
      <c r="J19392" s="19" t="n"/>
      <c r="P19392" s="20" t="n"/>
      <c r="Q19392" s="19" t="n"/>
      <c r="R19392" s="19" t="n"/>
      <c r="Y19392" s="19" t="n"/>
    </row>
    <row r="19393">
      <c r="C19393" s="18" t="n"/>
      <c r="J19393" s="19" t="n"/>
      <c r="P19393" s="20" t="n"/>
      <c r="Q19393" s="19" t="n"/>
      <c r="R19393" s="19" t="n"/>
      <c r="Y19393" s="19" t="n"/>
    </row>
    <row r="19394">
      <c r="C19394" s="18" t="n"/>
      <c r="J19394" s="19" t="n"/>
      <c r="P19394" s="20" t="n"/>
      <c r="Q19394" s="19" t="n"/>
      <c r="R19394" s="19" t="n"/>
      <c r="Y19394" s="19" t="n"/>
    </row>
    <row r="19395">
      <c r="C19395" s="18" t="n"/>
      <c r="J19395" s="19" t="n"/>
      <c r="P19395" s="20" t="n"/>
      <c r="Q19395" s="19" t="n"/>
      <c r="R19395" s="19" t="n"/>
      <c r="Y19395" s="19" t="n"/>
    </row>
    <row r="19396">
      <c r="C19396" s="18" t="n"/>
      <c r="J19396" s="19" t="n"/>
      <c r="P19396" s="20" t="n"/>
      <c r="Q19396" s="19" t="n"/>
      <c r="R19396" s="19" t="n"/>
      <c r="Y19396" s="19" t="n"/>
    </row>
    <row r="19397">
      <c r="C19397" s="18" t="n"/>
      <c r="J19397" s="19" t="n"/>
      <c r="P19397" s="20" t="n"/>
      <c r="Q19397" s="19" t="n"/>
      <c r="R19397" s="19" t="n"/>
      <c r="Y19397" s="19" t="n"/>
    </row>
    <row r="19398">
      <c r="C19398" s="18" t="n"/>
      <c r="J19398" s="19" t="n"/>
      <c r="P19398" s="20" t="n"/>
      <c r="Q19398" s="19" t="n"/>
      <c r="R19398" s="19" t="n"/>
      <c r="Y19398" s="19" t="n"/>
    </row>
    <row r="19399">
      <c r="C19399" s="18" t="n"/>
      <c r="J19399" s="19" t="n"/>
      <c r="P19399" s="20" t="n"/>
      <c r="Q19399" s="19" t="n"/>
      <c r="R19399" s="19" t="n"/>
      <c r="Y19399" s="19" t="n"/>
    </row>
    <row r="19400">
      <c r="C19400" s="18" t="n"/>
      <c r="J19400" s="19" t="n"/>
      <c r="P19400" s="20" t="n"/>
      <c r="Q19400" s="19" t="n"/>
      <c r="R19400" s="19" t="n"/>
      <c r="Y19400" s="19" t="n"/>
    </row>
    <row r="19401">
      <c r="C19401" s="18" t="n"/>
      <c r="J19401" s="19" t="n"/>
      <c r="P19401" s="20" t="n"/>
      <c r="Q19401" s="19" t="n"/>
      <c r="R19401" s="19" t="n"/>
      <c r="Y19401" s="19" t="n"/>
    </row>
    <row r="19402">
      <c r="C19402" s="18" t="n"/>
      <c r="J19402" s="19" t="n"/>
      <c r="P19402" s="20" t="n"/>
      <c r="Q19402" s="19" t="n"/>
      <c r="R19402" s="19" t="n"/>
      <c r="Y19402" s="19" t="n"/>
    </row>
    <row r="19403">
      <c r="C19403" s="18" t="n"/>
      <c r="J19403" s="19" t="n"/>
      <c r="P19403" s="20" t="n"/>
      <c r="Q19403" s="19" t="n"/>
      <c r="R19403" s="19" t="n"/>
      <c r="Y19403" s="19" t="n"/>
    </row>
    <row r="19404">
      <c r="C19404" s="18" t="n"/>
      <c r="J19404" s="19" t="n"/>
      <c r="P19404" s="20" t="n"/>
      <c r="Q19404" s="19" t="n"/>
      <c r="R19404" s="19" t="n"/>
      <c r="Y19404" s="19" t="n"/>
    </row>
    <row r="19405">
      <c r="C19405" s="18" t="n"/>
      <c r="J19405" s="19" t="n"/>
      <c r="P19405" s="20" t="n"/>
      <c r="Q19405" s="19" t="n"/>
      <c r="R19405" s="19" t="n"/>
      <c r="Y19405" s="19" t="n"/>
    </row>
    <row r="19406">
      <c r="C19406" s="18" t="n"/>
      <c r="J19406" s="19" t="n"/>
      <c r="P19406" s="20" t="n"/>
      <c r="Q19406" s="19" t="n"/>
      <c r="R19406" s="19" t="n"/>
      <c r="Y19406" s="19" t="n"/>
    </row>
    <row r="19407">
      <c r="C19407" s="18" t="n"/>
      <c r="J19407" s="19" t="n"/>
      <c r="P19407" s="20" t="n"/>
      <c r="Q19407" s="19" t="n"/>
      <c r="R19407" s="19" t="n"/>
      <c r="Y19407" s="19" t="n"/>
    </row>
    <row r="19408">
      <c r="C19408" s="18" t="n"/>
      <c r="J19408" s="19" t="n"/>
      <c r="P19408" s="20" t="n"/>
      <c r="Q19408" s="19" t="n"/>
      <c r="R19408" s="19" t="n"/>
      <c r="Y19408" s="19" t="n"/>
    </row>
    <row r="19409">
      <c r="C19409" s="18" t="n"/>
      <c r="J19409" s="19" t="n"/>
      <c r="P19409" s="20" t="n"/>
      <c r="Q19409" s="19" t="n"/>
      <c r="R19409" s="19" t="n"/>
      <c r="Y19409" s="19" t="n"/>
    </row>
    <row r="19410">
      <c r="C19410" s="18" t="n"/>
      <c r="J19410" s="19" t="n"/>
      <c r="P19410" s="20" t="n"/>
      <c r="Q19410" s="19" t="n"/>
      <c r="R19410" s="19" t="n"/>
      <c r="Y19410" s="19" t="n"/>
    </row>
    <row r="19411">
      <c r="C19411" s="18" t="n"/>
      <c r="J19411" s="19" t="n"/>
      <c r="P19411" s="20" t="n"/>
      <c r="Q19411" s="19" t="n"/>
      <c r="R19411" s="19" t="n"/>
      <c r="Y19411" s="19" t="n"/>
    </row>
    <row r="19412">
      <c r="C19412" s="18" t="n"/>
      <c r="J19412" s="19" t="n"/>
      <c r="P19412" s="20" t="n"/>
      <c r="Q19412" s="19" t="n"/>
      <c r="R19412" s="19" t="n"/>
      <c r="Y19412" s="19" t="n"/>
    </row>
    <row r="19413">
      <c r="C19413" s="18" t="n"/>
      <c r="J19413" s="19" t="n"/>
      <c r="P19413" s="20" t="n"/>
      <c r="Q19413" s="19" t="n"/>
      <c r="R19413" s="19" t="n"/>
      <c r="Y19413" s="19" t="n"/>
    </row>
    <row r="19414">
      <c r="C19414" s="18" t="n"/>
      <c r="J19414" s="19" t="n"/>
      <c r="P19414" s="20" t="n"/>
      <c r="Q19414" s="19" t="n"/>
      <c r="R19414" s="19" t="n"/>
      <c r="Y19414" s="19" t="n"/>
    </row>
    <row r="19415">
      <c r="C19415" s="18" t="n"/>
      <c r="J19415" s="19" t="n"/>
      <c r="P19415" s="20" t="n"/>
      <c r="Q19415" s="19" t="n"/>
      <c r="R19415" s="19" t="n"/>
      <c r="Y19415" s="19" t="n"/>
    </row>
    <row r="19416">
      <c r="C19416" s="18" t="n"/>
      <c r="J19416" s="19" t="n"/>
      <c r="P19416" s="20" t="n"/>
      <c r="Q19416" s="19" t="n"/>
      <c r="R19416" s="19" t="n"/>
      <c r="Y19416" s="19" t="n"/>
    </row>
    <row r="19417">
      <c r="C19417" s="18" t="n"/>
      <c r="J19417" s="19" t="n"/>
      <c r="P19417" s="20" t="n"/>
      <c r="Q19417" s="19" t="n"/>
      <c r="R19417" s="19" t="n"/>
      <c r="Y19417" s="19" t="n"/>
    </row>
    <row r="19418">
      <c r="C19418" s="18" t="n"/>
      <c r="J19418" s="19" t="n"/>
      <c r="P19418" s="20" t="n"/>
      <c r="Q19418" s="19" t="n"/>
      <c r="R19418" s="19" t="n"/>
      <c r="Y19418" s="19" t="n"/>
    </row>
    <row r="19419">
      <c r="C19419" s="18" t="n"/>
      <c r="J19419" s="19" t="n"/>
      <c r="P19419" s="20" t="n"/>
      <c r="Q19419" s="19" t="n"/>
      <c r="R19419" s="19" t="n"/>
      <c r="Y19419" s="19" t="n"/>
    </row>
    <row r="19420">
      <c r="C19420" s="18" t="n"/>
      <c r="J19420" s="19" t="n"/>
      <c r="P19420" s="20" t="n"/>
      <c r="Q19420" s="19" t="n"/>
      <c r="R19420" s="19" t="n"/>
      <c r="Y19420" s="19" t="n"/>
    </row>
    <row r="19421">
      <c r="C19421" s="18" t="n"/>
      <c r="J19421" s="19" t="n"/>
      <c r="P19421" s="20" t="n"/>
      <c r="Q19421" s="19" t="n"/>
      <c r="R19421" s="19" t="n"/>
      <c r="Y19421" s="19" t="n"/>
    </row>
    <row r="19422">
      <c r="C19422" s="18" t="n"/>
      <c r="J19422" s="19" t="n"/>
      <c r="P19422" s="20" t="n"/>
      <c r="Q19422" s="19" t="n"/>
      <c r="R19422" s="19" t="n"/>
      <c r="Y19422" s="19" t="n"/>
    </row>
    <row r="19423">
      <c r="C19423" s="18" t="n"/>
      <c r="J19423" s="19" t="n"/>
      <c r="P19423" s="20" t="n"/>
      <c r="Q19423" s="19" t="n"/>
      <c r="R19423" s="19" t="n"/>
      <c r="Y19423" s="19" t="n"/>
    </row>
    <row r="19424">
      <c r="C19424" s="18" t="n"/>
      <c r="J19424" s="19" t="n"/>
      <c r="P19424" s="20" t="n"/>
      <c r="Q19424" s="19" t="n"/>
      <c r="R19424" s="19" t="n"/>
      <c r="Y19424" s="19" t="n"/>
    </row>
    <row r="19425">
      <c r="C19425" s="18" t="n"/>
      <c r="J19425" s="19" t="n"/>
      <c r="P19425" s="20" t="n"/>
      <c r="Q19425" s="19" t="n"/>
      <c r="R19425" s="19" t="n"/>
      <c r="Y19425" s="19" t="n"/>
    </row>
    <row r="19426">
      <c r="C19426" s="18" t="n"/>
      <c r="J19426" s="19" t="n"/>
      <c r="P19426" s="20" t="n"/>
      <c r="Q19426" s="19" t="n"/>
      <c r="R19426" s="19" t="n"/>
      <c r="Y19426" s="19" t="n"/>
    </row>
    <row r="19427">
      <c r="C19427" s="18" t="n"/>
      <c r="J19427" s="19" t="n"/>
      <c r="P19427" s="20" t="n"/>
      <c r="Q19427" s="19" t="n"/>
      <c r="R19427" s="19" t="n"/>
      <c r="Y19427" s="19" t="n"/>
    </row>
    <row r="19428">
      <c r="C19428" s="18" t="n"/>
      <c r="J19428" s="19" t="n"/>
      <c r="P19428" s="20" t="n"/>
      <c r="Q19428" s="19" t="n"/>
      <c r="R19428" s="19" t="n"/>
      <c r="Y19428" s="19" t="n"/>
    </row>
    <row r="19429">
      <c r="C19429" s="18" t="n"/>
      <c r="J19429" s="19" t="n"/>
      <c r="P19429" s="20" t="n"/>
      <c r="Q19429" s="19" t="n"/>
      <c r="R19429" s="19" t="n"/>
      <c r="Y19429" s="19" t="n"/>
    </row>
    <row r="19430">
      <c r="C19430" s="18" t="n"/>
      <c r="J19430" s="19" t="n"/>
      <c r="P19430" s="20" t="n"/>
      <c r="Q19430" s="19" t="n"/>
      <c r="R19430" s="19" t="n"/>
      <c r="Y19430" s="19" t="n"/>
    </row>
    <row r="19431">
      <c r="C19431" s="18" t="n"/>
      <c r="J19431" s="19" t="n"/>
      <c r="P19431" s="20" t="n"/>
      <c r="Q19431" s="19" t="n"/>
      <c r="R19431" s="19" t="n"/>
      <c r="Y19431" s="19" t="n"/>
    </row>
    <row r="19432">
      <c r="C19432" s="18" t="n"/>
      <c r="J19432" s="19" t="n"/>
      <c r="P19432" s="20" t="n"/>
      <c r="Q19432" s="19" t="n"/>
      <c r="R19432" s="19" t="n"/>
      <c r="Y19432" s="19" t="n"/>
    </row>
    <row r="19433">
      <c r="C19433" s="18" t="n"/>
      <c r="J19433" s="19" t="n"/>
      <c r="P19433" s="20" t="n"/>
      <c r="Q19433" s="19" t="n"/>
      <c r="R19433" s="19" t="n"/>
      <c r="Y19433" s="19" t="n"/>
    </row>
    <row r="19434">
      <c r="C19434" s="18" t="n"/>
      <c r="J19434" s="19" t="n"/>
      <c r="P19434" s="20" t="n"/>
      <c r="Q19434" s="19" t="n"/>
      <c r="R19434" s="19" t="n"/>
      <c r="Y19434" s="19" t="n"/>
    </row>
    <row r="19435">
      <c r="C19435" s="18" t="n"/>
      <c r="J19435" s="19" t="n"/>
      <c r="P19435" s="20" t="n"/>
      <c r="Q19435" s="19" t="n"/>
      <c r="R19435" s="19" t="n"/>
      <c r="Y19435" s="19" t="n"/>
    </row>
    <row r="19436">
      <c r="C19436" s="18" t="n"/>
      <c r="J19436" s="19" t="n"/>
      <c r="P19436" s="20" t="n"/>
      <c r="Q19436" s="19" t="n"/>
      <c r="R19436" s="19" t="n"/>
      <c r="Y19436" s="19" t="n"/>
    </row>
    <row r="19437">
      <c r="C19437" s="18" t="n"/>
      <c r="J19437" s="19" t="n"/>
      <c r="P19437" s="20" t="n"/>
      <c r="Q19437" s="19" t="n"/>
      <c r="R19437" s="19" t="n"/>
      <c r="Y19437" s="19" t="n"/>
    </row>
    <row r="19438">
      <c r="C19438" s="18" t="n"/>
      <c r="J19438" s="19" t="n"/>
      <c r="P19438" s="20" t="n"/>
      <c r="Q19438" s="19" t="n"/>
      <c r="R19438" s="19" t="n"/>
      <c r="Y19438" s="19" t="n"/>
    </row>
    <row r="19439">
      <c r="C19439" s="18" t="n"/>
      <c r="J19439" s="19" t="n"/>
      <c r="P19439" s="20" t="n"/>
      <c r="Q19439" s="19" t="n"/>
      <c r="R19439" s="19" t="n"/>
      <c r="Y19439" s="19" t="n"/>
    </row>
    <row r="19440">
      <c r="C19440" s="18" t="n"/>
      <c r="J19440" s="19" t="n"/>
      <c r="P19440" s="20" t="n"/>
      <c r="Q19440" s="19" t="n"/>
      <c r="R19440" s="19" t="n"/>
      <c r="Y19440" s="19" t="n"/>
    </row>
    <row r="19441">
      <c r="C19441" s="18" t="n"/>
      <c r="J19441" s="19" t="n"/>
      <c r="P19441" s="20" t="n"/>
      <c r="Q19441" s="19" t="n"/>
      <c r="R19441" s="19" t="n"/>
      <c r="Y19441" s="19" t="n"/>
    </row>
    <row r="19442">
      <c r="C19442" s="18" t="n"/>
      <c r="J19442" s="19" t="n"/>
      <c r="P19442" s="20" t="n"/>
      <c r="Q19442" s="19" t="n"/>
      <c r="R19442" s="19" t="n"/>
      <c r="Y19442" s="19" t="n"/>
    </row>
    <row r="19443">
      <c r="C19443" s="18" t="n"/>
      <c r="J19443" s="19" t="n"/>
      <c r="P19443" s="20" t="n"/>
      <c r="Q19443" s="19" t="n"/>
      <c r="R19443" s="19" t="n"/>
      <c r="Y19443" s="19" t="n"/>
    </row>
    <row r="19444">
      <c r="C19444" s="18" t="n"/>
      <c r="J19444" s="19" t="n"/>
      <c r="P19444" s="20" t="n"/>
      <c r="Q19444" s="19" t="n"/>
      <c r="R19444" s="19" t="n"/>
      <c r="Y19444" s="19" t="n"/>
    </row>
    <row r="19445">
      <c r="C19445" s="18" t="n"/>
      <c r="J19445" s="19" t="n"/>
      <c r="P19445" s="20" t="n"/>
      <c r="Q19445" s="19" t="n"/>
      <c r="R19445" s="19" t="n"/>
      <c r="Y19445" s="19" t="n"/>
    </row>
    <row r="19446">
      <c r="C19446" s="18" t="n"/>
      <c r="J19446" s="19" t="n"/>
      <c r="P19446" s="20" t="n"/>
      <c r="Q19446" s="19" t="n"/>
      <c r="R19446" s="19" t="n"/>
      <c r="Y19446" s="19" t="n"/>
    </row>
    <row r="19447">
      <c r="C19447" s="18" t="n"/>
      <c r="J19447" s="19" t="n"/>
      <c r="P19447" s="20" t="n"/>
      <c r="Q19447" s="19" t="n"/>
      <c r="R19447" s="19" t="n"/>
      <c r="Y19447" s="19" t="n"/>
    </row>
    <row r="19448">
      <c r="C19448" s="18" t="n"/>
      <c r="J19448" s="19" t="n"/>
      <c r="P19448" s="20" t="n"/>
      <c r="Q19448" s="19" t="n"/>
      <c r="R19448" s="19" t="n"/>
      <c r="Y19448" s="19" t="n"/>
    </row>
    <row r="19449">
      <c r="C19449" s="18" t="n"/>
      <c r="J19449" s="19" t="n"/>
      <c r="P19449" s="20" t="n"/>
      <c r="Q19449" s="19" t="n"/>
      <c r="R19449" s="19" t="n"/>
      <c r="Y19449" s="19" t="n"/>
    </row>
    <row r="19450">
      <c r="C19450" s="18" t="n"/>
      <c r="J19450" s="19" t="n"/>
      <c r="P19450" s="20" t="n"/>
      <c r="Q19450" s="19" t="n"/>
      <c r="R19450" s="19" t="n"/>
      <c r="Y19450" s="19" t="n"/>
    </row>
    <row r="19451">
      <c r="C19451" s="18" t="n"/>
      <c r="J19451" s="19" t="n"/>
      <c r="P19451" s="20" t="n"/>
      <c r="Q19451" s="19" t="n"/>
      <c r="R19451" s="19" t="n"/>
      <c r="Y19451" s="19" t="n"/>
    </row>
    <row r="19452">
      <c r="C19452" s="18" t="n"/>
      <c r="J19452" s="19" t="n"/>
      <c r="P19452" s="20" t="n"/>
      <c r="Q19452" s="19" t="n"/>
      <c r="R19452" s="19" t="n"/>
      <c r="Y19452" s="19" t="n"/>
    </row>
    <row r="19453">
      <c r="C19453" s="18" t="n"/>
      <c r="J19453" s="19" t="n"/>
      <c r="P19453" s="20" t="n"/>
      <c r="Q19453" s="19" t="n"/>
      <c r="R19453" s="19" t="n"/>
      <c r="Y19453" s="19" t="n"/>
    </row>
    <row r="19454">
      <c r="C19454" s="18" t="n"/>
      <c r="J19454" s="19" t="n"/>
      <c r="P19454" s="20" t="n"/>
      <c r="Q19454" s="19" t="n"/>
      <c r="R19454" s="19" t="n"/>
      <c r="Y19454" s="19" t="n"/>
    </row>
    <row r="19455">
      <c r="C19455" s="18" t="n"/>
      <c r="J19455" s="19" t="n"/>
      <c r="P19455" s="20" t="n"/>
      <c r="Q19455" s="19" t="n"/>
      <c r="R19455" s="19" t="n"/>
      <c r="Y19455" s="19" t="n"/>
    </row>
    <row r="19456">
      <c r="C19456" s="18" t="n"/>
      <c r="J19456" s="19" t="n"/>
      <c r="P19456" s="20" t="n"/>
      <c r="Q19456" s="19" t="n"/>
      <c r="R19456" s="19" t="n"/>
      <c r="Y19456" s="19" t="n"/>
    </row>
    <row r="19457">
      <c r="C19457" s="18" t="n"/>
      <c r="J19457" s="19" t="n"/>
      <c r="P19457" s="20" t="n"/>
      <c r="Q19457" s="19" t="n"/>
      <c r="R19457" s="19" t="n"/>
      <c r="Y19457" s="19" t="n"/>
    </row>
    <row r="19458">
      <c r="C19458" s="18" t="n"/>
      <c r="J19458" s="19" t="n"/>
      <c r="P19458" s="20" t="n"/>
      <c r="Q19458" s="19" t="n"/>
      <c r="R19458" s="19" t="n"/>
      <c r="Y19458" s="19" t="n"/>
    </row>
    <row r="19459">
      <c r="C19459" s="18" t="n"/>
      <c r="J19459" s="19" t="n"/>
      <c r="P19459" s="20" t="n"/>
      <c r="Q19459" s="19" t="n"/>
      <c r="R19459" s="19" t="n"/>
      <c r="Y19459" s="19" t="n"/>
    </row>
    <row r="19460">
      <c r="C19460" s="18" t="n"/>
      <c r="J19460" s="19" t="n"/>
      <c r="P19460" s="20" t="n"/>
      <c r="Q19460" s="19" t="n"/>
      <c r="R19460" s="19" t="n"/>
      <c r="Y19460" s="19" t="n"/>
    </row>
    <row r="19461">
      <c r="C19461" s="18" t="n"/>
      <c r="J19461" s="19" t="n"/>
      <c r="P19461" s="20" t="n"/>
      <c r="Q19461" s="19" t="n"/>
      <c r="R19461" s="19" t="n"/>
      <c r="Y19461" s="19" t="n"/>
    </row>
    <row r="19462">
      <c r="C19462" s="18" t="n"/>
      <c r="J19462" s="19" t="n"/>
      <c r="P19462" s="20" t="n"/>
      <c r="Q19462" s="19" t="n"/>
      <c r="R19462" s="19" t="n"/>
      <c r="Y19462" s="19" t="n"/>
    </row>
    <row r="19463">
      <c r="C19463" s="18" t="n"/>
      <c r="J19463" s="19" t="n"/>
      <c r="P19463" s="20" t="n"/>
      <c r="Q19463" s="19" t="n"/>
      <c r="R19463" s="19" t="n"/>
      <c r="Y19463" s="19" t="n"/>
    </row>
    <row r="19464">
      <c r="C19464" s="18" t="n"/>
      <c r="J19464" s="19" t="n"/>
      <c r="P19464" s="20" t="n"/>
      <c r="Q19464" s="19" t="n"/>
      <c r="R19464" s="19" t="n"/>
      <c r="Y19464" s="19" t="n"/>
    </row>
    <row r="19465">
      <c r="C19465" s="18" t="n"/>
      <c r="J19465" s="19" t="n"/>
      <c r="P19465" s="20" t="n"/>
      <c r="Q19465" s="19" t="n"/>
      <c r="R19465" s="19" t="n"/>
      <c r="Y19465" s="19" t="n"/>
    </row>
    <row r="19466">
      <c r="C19466" s="18" t="n"/>
      <c r="J19466" s="19" t="n"/>
      <c r="P19466" s="20" t="n"/>
      <c r="Q19466" s="19" t="n"/>
      <c r="R19466" s="19" t="n"/>
      <c r="Y19466" s="19" t="n"/>
    </row>
    <row r="19467">
      <c r="C19467" s="18" t="n"/>
      <c r="J19467" s="19" t="n"/>
      <c r="P19467" s="20" t="n"/>
      <c r="Q19467" s="19" t="n"/>
      <c r="R19467" s="19" t="n"/>
      <c r="Y19467" s="19" t="n"/>
    </row>
    <row r="19468">
      <c r="C19468" s="18" t="n"/>
      <c r="J19468" s="19" t="n"/>
      <c r="P19468" s="20" t="n"/>
      <c r="Q19468" s="19" t="n"/>
      <c r="R19468" s="19" t="n"/>
      <c r="Y19468" s="19" t="n"/>
    </row>
    <row r="19469">
      <c r="C19469" s="18" t="n"/>
      <c r="J19469" s="19" t="n"/>
      <c r="P19469" s="20" t="n"/>
      <c r="Q19469" s="19" t="n"/>
      <c r="R19469" s="19" t="n"/>
      <c r="Y19469" s="19" t="n"/>
    </row>
    <row r="19470">
      <c r="C19470" s="18" t="n"/>
      <c r="J19470" s="19" t="n"/>
      <c r="P19470" s="20" t="n"/>
      <c r="Q19470" s="19" t="n"/>
      <c r="R19470" s="19" t="n"/>
      <c r="Y19470" s="19" t="n"/>
    </row>
    <row r="19471">
      <c r="C19471" s="18" t="n"/>
      <c r="J19471" s="19" t="n"/>
      <c r="P19471" s="20" t="n"/>
      <c r="Q19471" s="19" t="n"/>
      <c r="R19471" s="19" t="n"/>
      <c r="Y19471" s="19" t="n"/>
    </row>
    <row r="19472">
      <c r="C19472" s="18" t="n"/>
      <c r="J19472" s="19" t="n"/>
      <c r="P19472" s="20" t="n"/>
      <c r="Q19472" s="19" t="n"/>
      <c r="R19472" s="19" t="n"/>
      <c r="Y19472" s="19" t="n"/>
    </row>
    <row r="19473">
      <c r="C19473" s="18" t="n"/>
      <c r="J19473" s="19" t="n"/>
      <c r="P19473" s="20" t="n"/>
      <c r="Q19473" s="19" t="n"/>
      <c r="R19473" s="19" t="n"/>
      <c r="Y19473" s="19" t="n"/>
    </row>
    <row r="19474">
      <c r="C19474" s="18" t="n"/>
      <c r="J19474" s="19" t="n"/>
      <c r="P19474" s="20" t="n"/>
      <c r="Q19474" s="19" t="n"/>
      <c r="R19474" s="19" t="n"/>
      <c r="Y19474" s="19" t="n"/>
    </row>
    <row r="19475">
      <c r="C19475" s="18" t="n"/>
      <c r="J19475" s="19" t="n"/>
      <c r="P19475" s="20" t="n"/>
      <c r="Q19475" s="19" t="n"/>
      <c r="R19475" s="19" t="n"/>
      <c r="Y19475" s="19" t="n"/>
    </row>
    <row r="19476">
      <c r="C19476" s="18" t="n"/>
      <c r="J19476" s="19" t="n"/>
      <c r="P19476" s="20" t="n"/>
      <c r="Q19476" s="19" t="n"/>
      <c r="R19476" s="19" t="n"/>
      <c r="Y19476" s="19" t="n"/>
    </row>
    <row r="19477">
      <c r="C19477" s="18" t="n"/>
      <c r="J19477" s="19" t="n"/>
      <c r="P19477" s="20" t="n"/>
      <c r="Q19477" s="19" t="n"/>
      <c r="R19477" s="19" t="n"/>
      <c r="Y19477" s="19" t="n"/>
    </row>
    <row r="19478">
      <c r="C19478" s="18" t="n"/>
      <c r="J19478" s="19" t="n"/>
      <c r="P19478" s="20" t="n"/>
      <c r="Q19478" s="19" t="n"/>
      <c r="R19478" s="19" t="n"/>
      <c r="Y19478" s="19" t="n"/>
    </row>
    <row r="19479">
      <c r="C19479" s="18" t="n"/>
      <c r="J19479" s="19" t="n"/>
      <c r="P19479" s="20" t="n"/>
      <c r="Q19479" s="19" t="n"/>
      <c r="R19479" s="19" t="n"/>
      <c r="Y19479" s="19" t="n"/>
    </row>
    <row r="19480">
      <c r="C19480" s="18" t="n"/>
      <c r="J19480" s="19" t="n"/>
      <c r="P19480" s="20" t="n"/>
      <c r="Q19480" s="19" t="n"/>
      <c r="R19480" s="19" t="n"/>
      <c r="Y19480" s="19" t="n"/>
    </row>
    <row r="19481">
      <c r="C19481" s="18" t="n"/>
      <c r="J19481" s="19" t="n"/>
      <c r="P19481" s="20" t="n"/>
      <c r="Q19481" s="19" t="n"/>
      <c r="R19481" s="19" t="n"/>
      <c r="Y19481" s="19" t="n"/>
    </row>
    <row r="19482">
      <c r="C19482" s="18" t="n"/>
      <c r="J19482" s="19" t="n"/>
      <c r="P19482" s="20" t="n"/>
      <c r="Q19482" s="19" t="n"/>
      <c r="R19482" s="19" t="n"/>
      <c r="Y19482" s="19" t="n"/>
    </row>
    <row r="19483">
      <c r="C19483" s="18" t="n"/>
      <c r="J19483" s="19" t="n"/>
      <c r="P19483" s="20" t="n"/>
      <c r="Q19483" s="19" t="n"/>
      <c r="R19483" s="19" t="n"/>
      <c r="Y19483" s="19" t="n"/>
    </row>
    <row r="19484">
      <c r="C19484" s="18" t="n"/>
      <c r="J19484" s="19" t="n"/>
      <c r="P19484" s="20" t="n"/>
      <c r="Q19484" s="19" t="n"/>
      <c r="R19484" s="19" t="n"/>
      <c r="Y19484" s="19" t="n"/>
    </row>
    <row r="19485">
      <c r="C19485" s="18" t="n"/>
      <c r="J19485" s="19" t="n"/>
      <c r="P19485" s="20" t="n"/>
      <c r="Q19485" s="19" t="n"/>
      <c r="R19485" s="19" t="n"/>
      <c r="Y19485" s="19" t="n"/>
    </row>
    <row r="19486">
      <c r="C19486" s="18" t="n"/>
      <c r="J19486" s="19" t="n"/>
      <c r="P19486" s="20" t="n"/>
      <c r="Q19486" s="19" t="n"/>
      <c r="R19486" s="19" t="n"/>
      <c r="Y19486" s="19" t="n"/>
    </row>
    <row r="19487">
      <c r="C19487" s="18" t="n"/>
      <c r="J19487" s="19" t="n"/>
      <c r="P19487" s="20" t="n"/>
      <c r="Q19487" s="19" t="n"/>
      <c r="R19487" s="19" t="n"/>
      <c r="Y19487" s="19" t="n"/>
    </row>
    <row r="19488">
      <c r="C19488" s="18" t="n"/>
      <c r="J19488" s="19" t="n"/>
      <c r="P19488" s="20" t="n"/>
      <c r="Q19488" s="19" t="n"/>
      <c r="R19488" s="19" t="n"/>
      <c r="Y19488" s="19" t="n"/>
    </row>
    <row r="19489">
      <c r="C19489" s="18" t="n"/>
      <c r="J19489" s="19" t="n"/>
      <c r="P19489" s="20" t="n"/>
      <c r="Q19489" s="19" t="n"/>
      <c r="R19489" s="19" t="n"/>
      <c r="Y19489" s="19" t="n"/>
    </row>
    <row r="19490">
      <c r="C19490" s="18" t="n"/>
      <c r="J19490" s="19" t="n"/>
      <c r="P19490" s="20" t="n"/>
      <c r="Q19490" s="19" t="n"/>
      <c r="R19490" s="19" t="n"/>
      <c r="Y19490" s="19" t="n"/>
    </row>
    <row r="19491">
      <c r="C19491" s="18" t="n"/>
      <c r="J19491" s="19" t="n"/>
      <c r="P19491" s="20" t="n"/>
      <c r="Q19491" s="19" t="n"/>
      <c r="R19491" s="19" t="n"/>
      <c r="Y19491" s="19" t="n"/>
    </row>
    <row r="19492">
      <c r="C19492" s="18" t="n"/>
      <c r="J19492" s="19" t="n"/>
      <c r="P19492" s="20" t="n"/>
      <c r="Q19492" s="19" t="n"/>
      <c r="R19492" s="19" t="n"/>
      <c r="Y19492" s="19" t="n"/>
    </row>
    <row r="19493">
      <c r="C19493" s="18" t="n"/>
      <c r="J19493" s="19" t="n"/>
      <c r="P19493" s="20" t="n"/>
      <c r="Q19493" s="19" t="n"/>
      <c r="R19493" s="19" t="n"/>
      <c r="Y19493" s="19" t="n"/>
    </row>
    <row r="19494">
      <c r="C19494" s="18" t="n"/>
      <c r="J19494" s="19" t="n"/>
      <c r="P19494" s="20" t="n"/>
      <c r="Q19494" s="19" t="n"/>
      <c r="R19494" s="19" t="n"/>
      <c r="Y19494" s="19" t="n"/>
    </row>
    <row r="19495">
      <c r="C19495" s="18" t="n"/>
      <c r="J19495" s="19" t="n"/>
      <c r="P19495" s="20" t="n"/>
      <c r="Q19495" s="19" t="n"/>
      <c r="R19495" s="19" t="n"/>
      <c r="Y19495" s="19" t="n"/>
    </row>
    <row r="19496">
      <c r="C19496" s="18" t="n"/>
      <c r="J19496" s="19" t="n"/>
      <c r="P19496" s="20" t="n"/>
      <c r="Q19496" s="19" t="n"/>
      <c r="R19496" s="19" t="n"/>
      <c r="Y19496" s="19" t="n"/>
    </row>
    <row r="19497">
      <c r="C19497" s="18" t="n"/>
      <c r="J19497" s="19" t="n"/>
      <c r="P19497" s="20" t="n"/>
      <c r="Q19497" s="19" t="n"/>
      <c r="R19497" s="19" t="n"/>
      <c r="Y19497" s="19" t="n"/>
    </row>
    <row r="19498">
      <c r="C19498" s="18" t="n"/>
      <c r="J19498" s="19" t="n"/>
      <c r="P19498" s="20" t="n"/>
      <c r="Q19498" s="19" t="n"/>
      <c r="R19498" s="19" t="n"/>
      <c r="Y19498" s="19" t="n"/>
    </row>
    <row r="19499">
      <c r="C19499" s="18" t="n"/>
      <c r="J19499" s="19" t="n"/>
      <c r="P19499" s="20" t="n"/>
      <c r="Q19499" s="19" t="n"/>
      <c r="R19499" s="19" t="n"/>
      <c r="Y19499" s="19" t="n"/>
    </row>
    <row r="19500">
      <c r="C19500" s="18" t="n"/>
      <c r="J19500" s="19" t="n"/>
      <c r="P19500" s="20" t="n"/>
      <c r="Q19500" s="19" t="n"/>
      <c r="R19500" s="19" t="n"/>
      <c r="Y19500" s="19" t="n"/>
    </row>
    <row r="19501">
      <c r="C19501" s="18" t="n"/>
      <c r="J19501" s="19" t="n"/>
      <c r="P19501" s="20" t="n"/>
      <c r="Q19501" s="19" t="n"/>
      <c r="R19501" s="19" t="n"/>
      <c r="Y19501" s="19" t="n"/>
    </row>
    <row r="19502">
      <c r="C19502" s="18" t="n"/>
      <c r="J19502" s="19" t="n"/>
      <c r="P19502" s="20" t="n"/>
      <c r="Q19502" s="19" t="n"/>
      <c r="R19502" s="19" t="n"/>
      <c r="Y19502" s="19" t="n"/>
    </row>
    <row r="19503">
      <c r="C19503" s="18" t="n"/>
      <c r="J19503" s="19" t="n"/>
      <c r="P19503" s="20" t="n"/>
      <c r="Q19503" s="19" t="n"/>
      <c r="R19503" s="19" t="n"/>
      <c r="Y19503" s="19" t="n"/>
    </row>
    <row r="19504">
      <c r="C19504" s="18" t="n"/>
      <c r="J19504" s="19" t="n"/>
      <c r="P19504" s="20" t="n"/>
      <c r="Q19504" s="19" t="n"/>
      <c r="R19504" s="19" t="n"/>
      <c r="Y19504" s="19" t="n"/>
    </row>
    <row r="19505">
      <c r="C19505" s="18" t="n"/>
      <c r="J19505" s="19" t="n"/>
      <c r="P19505" s="20" t="n"/>
      <c r="Q19505" s="19" t="n"/>
      <c r="R19505" s="19" t="n"/>
      <c r="Y19505" s="19" t="n"/>
    </row>
    <row r="19506">
      <c r="C19506" s="18" t="n"/>
      <c r="J19506" s="19" t="n"/>
      <c r="P19506" s="20" t="n"/>
      <c r="Q19506" s="19" t="n"/>
      <c r="R19506" s="19" t="n"/>
      <c r="Y19506" s="19" t="n"/>
    </row>
    <row r="19507">
      <c r="C19507" s="18" t="n"/>
      <c r="J19507" s="19" t="n"/>
      <c r="P19507" s="20" t="n"/>
      <c r="Q19507" s="19" t="n"/>
      <c r="R19507" s="19" t="n"/>
      <c r="Y19507" s="19" t="n"/>
    </row>
    <row r="19508">
      <c r="C19508" s="18" t="n"/>
      <c r="J19508" s="19" t="n"/>
      <c r="P19508" s="20" t="n"/>
      <c r="Q19508" s="19" t="n"/>
      <c r="R19508" s="19" t="n"/>
      <c r="Y19508" s="19" t="n"/>
    </row>
    <row r="19509">
      <c r="C19509" s="18" t="n"/>
      <c r="J19509" s="19" t="n"/>
      <c r="P19509" s="20" t="n"/>
      <c r="Q19509" s="19" t="n"/>
      <c r="R19509" s="19" t="n"/>
      <c r="Y19509" s="19" t="n"/>
    </row>
    <row r="19510">
      <c r="C19510" s="18" t="n"/>
      <c r="J19510" s="19" t="n"/>
      <c r="P19510" s="20" t="n"/>
      <c r="Q19510" s="19" t="n"/>
      <c r="R19510" s="19" t="n"/>
      <c r="Y19510" s="19" t="n"/>
    </row>
    <row r="19511">
      <c r="C19511" s="18" t="n"/>
      <c r="J19511" s="19" t="n"/>
      <c r="P19511" s="20" t="n"/>
      <c r="Q19511" s="19" t="n"/>
      <c r="R19511" s="19" t="n"/>
      <c r="Y19511" s="19" t="n"/>
    </row>
    <row r="19512">
      <c r="C19512" s="18" t="n"/>
      <c r="J19512" s="19" t="n"/>
      <c r="P19512" s="20" t="n"/>
      <c r="Q19512" s="19" t="n"/>
      <c r="R19512" s="19" t="n"/>
      <c r="Y19512" s="19" t="n"/>
    </row>
    <row r="19513">
      <c r="C19513" s="18" t="n"/>
      <c r="J19513" s="19" t="n"/>
      <c r="P19513" s="20" t="n"/>
      <c r="Q19513" s="19" t="n"/>
      <c r="R19513" s="19" t="n"/>
      <c r="Y19513" s="19" t="n"/>
    </row>
    <row r="19514">
      <c r="C19514" s="18" t="n"/>
      <c r="J19514" s="19" t="n"/>
      <c r="P19514" s="20" t="n"/>
      <c r="Q19514" s="19" t="n"/>
      <c r="R19514" s="19" t="n"/>
      <c r="Y19514" s="19" t="n"/>
    </row>
    <row r="19515">
      <c r="C19515" s="18" t="n"/>
      <c r="J19515" s="19" t="n"/>
      <c r="P19515" s="20" t="n"/>
      <c r="Q19515" s="19" t="n"/>
      <c r="R19515" s="19" t="n"/>
      <c r="Y19515" s="19" t="n"/>
    </row>
    <row r="19516">
      <c r="C19516" s="18" t="n"/>
      <c r="J19516" s="19" t="n"/>
      <c r="P19516" s="20" t="n"/>
      <c r="Q19516" s="19" t="n"/>
      <c r="R19516" s="19" t="n"/>
      <c r="Y19516" s="19" t="n"/>
    </row>
    <row r="19517">
      <c r="C19517" s="18" t="n"/>
      <c r="J19517" s="19" t="n"/>
      <c r="P19517" s="20" t="n"/>
      <c r="Q19517" s="19" t="n"/>
      <c r="R19517" s="19" t="n"/>
      <c r="Y19517" s="19" t="n"/>
    </row>
    <row r="19518">
      <c r="C19518" s="18" t="n"/>
      <c r="J19518" s="19" t="n"/>
      <c r="P19518" s="20" t="n"/>
      <c r="Q19518" s="19" t="n"/>
      <c r="R19518" s="19" t="n"/>
      <c r="Y19518" s="19" t="n"/>
    </row>
    <row r="19519">
      <c r="C19519" s="18" t="n"/>
      <c r="J19519" s="19" t="n"/>
      <c r="P19519" s="20" t="n"/>
      <c r="Q19519" s="19" t="n"/>
      <c r="R19519" s="19" t="n"/>
      <c r="Y19519" s="19" t="n"/>
    </row>
    <row r="19520">
      <c r="C19520" s="18" t="n"/>
      <c r="J19520" s="19" t="n"/>
      <c r="P19520" s="20" t="n"/>
      <c r="Q19520" s="19" t="n"/>
      <c r="R19520" s="19" t="n"/>
      <c r="Y19520" s="19" t="n"/>
    </row>
    <row r="19521">
      <c r="C19521" s="18" t="n"/>
      <c r="J19521" s="19" t="n"/>
      <c r="P19521" s="20" t="n"/>
      <c r="Q19521" s="19" t="n"/>
      <c r="R19521" s="19" t="n"/>
      <c r="Y19521" s="19" t="n"/>
    </row>
    <row r="19522">
      <c r="C19522" s="18" t="n"/>
      <c r="J19522" s="19" t="n"/>
      <c r="P19522" s="20" t="n"/>
      <c r="Q19522" s="19" t="n"/>
      <c r="R19522" s="19" t="n"/>
      <c r="Y19522" s="19" t="n"/>
    </row>
    <row r="19523">
      <c r="C19523" s="18" t="n"/>
      <c r="J19523" s="19" t="n"/>
      <c r="P19523" s="20" t="n"/>
      <c r="Q19523" s="19" t="n"/>
      <c r="R19523" s="19" t="n"/>
      <c r="Y19523" s="19" t="n"/>
    </row>
    <row r="19524">
      <c r="C19524" s="18" t="n"/>
      <c r="J19524" s="19" t="n"/>
      <c r="P19524" s="20" t="n"/>
      <c r="Q19524" s="19" t="n"/>
      <c r="R19524" s="19" t="n"/>
      <c r="Y19524" s="19" t="n"/>
    </row>
    <row r="19525">
      <c r="C19525" s="18" t="n"/>
      <c r="J19525" s="19" t="n"/>
      <c r="P19525" s="20" t="n"/>
      <c r="Q19525" s="19" t="n"/>
      <c r="R19525" s="19" t="n"/>
      <c r="Y19525" s="19" t="n"/>
    </row>
    <row r="19526">
      <c r="C19526" s="18" t="n"/>
      <c r="J19526" s="19" t="n"/>
      <c r="P19526" s="20" t="n"/>
      <c r="Q19526" s="19" t="n"/>
      <c r="R19526" s="19" t="n"/>
      <c r="Y19526" s="19" t="n"/>
    </row>
    <row r="19527">
      <c r="C19527" s="18" t="n"/>
      <c r="J19527" s="19" t="n"/>
      <c r="P19527" s="20" t="n"/>
      <c r="Q19527" s="19" t="n"/>
      <c r="R19527" s="19" t="n"/>
      <c r="Y19527" s="19" t="n"/>
    </row>
    <row r="19528">
      <c r="C19528" s="18" t="n"/>
      <c r="J19528" s="19" t="n"/>
      <c r="P19528" s="20" t="n"/>
      <c r="Q19528" s="19" t="n"/>
      <c r="R19528" s="19" t="n"/>
      <c r="Y19528" s="19" t="n"/>
    </row>
    <row r="19529">
      <c r="C19529" s="18" t="n"/>
      <c r="J19529" s="19" t="n"/>
      <c r="P19529" s="20" t="n"/>
      <c r="Q19529" s="19" t="n"/>
      <c r="R19529" s="19" t="n"/>
      <c r="Y19529" s="19" t="n"/>
    </row>
    <row r="19530">
      <c r="C19530" s="18" t="n"/>
      <c r="J19530" s="19" t="n"/>
      <c r="P19530" s="20" t="n"/>
      <c r="Q19530" s="19" t="n"/>
      <c r="R19530" s="19" t="n"/>
      <c r="Y19530" s="19" t="n"/>
    </row>
    <row r="19531">
      <c r="C19531" s="18" t="n"/>
      <c r="J19531" s="19" t="n"/>
      <c r="P19531" s="20" t="n"/>
      <c r="Q19531" s="19" t="n"/>
      <c r="R19531" s="19" t="n"/>
      <c r="Y19531" s="19" t="n"/>
    </row>
    <row r="19532">
      <c r="C19532" s="18" t="n"/>
      <c r="J19532" s="19" t="n"/>
      <c r="P19532" s="20" t="n"/>
      <c r="Q19532" s="19" t="n"/>
      <c r="R19532" s="19" t="n"/>
      <c r="Y19532" s="19" t="n"/>
    </row>
    <row r="19533">
      <c r="C19533" s="18" t="n"/>
      <c r="J19533" s="19" t="n"/>
      <c r="P19533" s="20" t="n"/>
      <c r="Q19533" s="19" t="n"/>
      <c r="R19533" s="19" t="n"/>
      <c r="Y19533" s="19" t="n"/>
    </row>
    <row r="19534">
      <c r="C19534" s="18" t="n"/>
      <c r="J19534" s="19" t="n"/>
      <c r="P19534" s="20" t="n"/>
      <c r="Q19534" s="19" t="n"/>
      <c r="R19534" s="19" t="n"/>
      <c r="Y19534" s="19" t="n"/>
    </row>
    <row r="19535">
      <c r="C19535" s="18" t="n"/>
      <c r="J19535" s="19" t="n"/>
      <c r="P19535" s="20" t="n"/>
      <c r="Q19535" s="19" t="n"/>
      <c r="R19535" s="19" t="n"/>
      <c r="Y19535" s="19" t="n"/>
    </row>
    <row r="19536">
      <c r="C19536" s="18" t="n"/>
      <c r="J19536" s="19" t="n"/>
      <c r="P19536" s="20" t="n"/>
      <c r="Q19536" s="19" t="n"/>
      <c r="R19536" s="19" t="n"/>
      <c r="Y19536" s="19" t="n"/>
    </row>
    <row r="19537">
      <c r="C19537" s="18" t="n"/>
      <c r="J19537" s="19" t="n"/>
      <c r="P19537" s="20" t="n"/>
      <c r="Q19537" s="19" t="n"/>
      <c r="R19537" s="19" t="n"/>
      <c r="Y19537" s="19" t="n"/>
    </row>
    <row r="19538">
      <c r="C19538" s="18" t="n"/>
      <c r="J19538" s="19" t="n"/>
      <c r="P19538" s="20" t="n"/>
      <c r="Q19538" s="19" t="n"/>
      <c r="R19538" s="19" t="n"/>
      <c r="Y19538" s="19" t="n"/>
    </row>
    <row r="19539">
      <c r="C19539" s="18" t="n"/>
      <c r="J19539" s="19" t="n"/>
      <c r="P19539" s="20" t="n"/>
      <c r="Q19539" s="19" t="n"/>
      <c r="R19539" s="19" t="n"/>
      <c r="Y19539" s="19" t="n"/>
    </row>
    <row r="19540">
      <c r="C19540" s="18" t="n"/>
      <c r="J19540" s="19" t="n"/>
      <c r="P19540" s="20" t="n"/>
      <c r="Q19540" s="19" t="n"/>
      <c r="R19540" s="19" t="n"/>
      <c r="Y19540" s="19" t="n"/>
    </row>
    <row r="19541">
      <c r="C19541" s="18" t="n"/>
      <c r="J19541" s="19" t="n"/>
      <c r="P19541" s="20" t="n"/>
      <c r="Q19541" s="19" t="n"/>
      <c r="R19541" s="19" t="n"/>
      <c r="Y19541" s="19" t="n"/>
    </row>
    <row r="19542">
      <c r="C19542" s="18" t="n"/>
      <c r="J19542" s="19" t="n"/>
      <c r="P19542" s="20" t="n"/>
      <c r="Q19542" s="19" t="n"/>
      <c r="R19542" s="19" t="n"/>
      <c r="Y19542" s="19" t="n"/>
    </row>
    <row r="19543">
      <c r="C19543" s="18" t="n"/>
      <c r="J19543" s="19" t="n"/>
      <c r="P19543" s="20" t="n"/>
      <c r="Q19543" s="19" t="n"/>
      <c r="R19543" s="19" t="n"/>
      <c r="Y19543" s="19" t="n"/>
    </row>
    <row r="19544">
      <c r="C19544" s="18" t="n"/>
      <c r="J19544" s="19" t="n"/>
      <c r="P19544" s="20" t="n"/>
      <c r="Q19544" s="19" t="n"/>
      <c r="R19544" s="19" t="n"/>
      <c r="Y19544" s="19" t="n"/>
    </row>
    <row r="19545">
      <c r="C19545" s="18" t="n"/>
      <c r="J19545" s="19" t="n"/>
      <c r="P19545" s="20" t="n"/>
      <c r="Q19545" s="19" t="n"/>
      <c r="R19545" s="19" t="n"/>
      <c r="Y19545" s="19" t="n"/>
    </row>
    <row r="19546">
      <c r="C19546" s="18" t="n"/>
      <c r="J19546" s="19" t="n"/>
      <c r="P19546" s="20" t="n"/>
      <c r="Q19546" s="19" t="n"/>
      <c r="R19546" s="19" t="n"/>
      <c r="Y19546" s="19" t="n"/>
    </row>
    <row r="19547">
      <c r="C19547" s="18" t="n"/>
      <c r="J19547" s="19" t="n"/>
      <c r="P19547" s="20" t="n"/>
      <c r="Q19547" s="19" t="n"/>
      <c r="R19547" s="19" t="n"/>
      <c r="Y19547" s="19" t="n"/>
    </row>
    <row r="19548">
      <c r="C19548" s="18" t="n"/>
      <c r="J19548" s="19" t="n"/>
      <c r="P19548" s="20" t="n"/>
      <c r="Q19548" s="19" t="n"/>
      <c r="R19548" s="19" t="n"/>
      <c r="Y19548" s="19" t="n"/>
    </row>
    <row r="19549">
      <c r="C19549" s="18" t="n"/>
      <c r="J19549" s="19" t="n"/>
      <c r="P19549" s="20" t="n"/>
      <c r="Q19549" s="19" t="n"/>
      <c r="R19549" s="19" t="n"/>
      <c r="Y19549" s="19" t="n"/>
    </row>
    <row r="19550">
      <c r="C19550" s="18" t="n"/>
      <c r="J19550" s="19" t="n"/>
      <c r="P19550" s="20" t="n"/>
      <c r="Q19550" s="19" t="n"/>
      <c r="R19550" s="19" t="n"/>
      <c r="Y19550" s="19" t="n"/>
    </row>
    <row r="19551">
      <c r="C19551" s="18" t="n"/>
      <c r="J19551" s="19" t="n"/>
      <c r="P19551" s="20" t="n"/>
      <c r="Q19551" s="19" t="n"/>
      <c r="R19551" s="19" t="n"/>
      <c r="Y19551" s="19" t="n"/>
    </row>
    <row r="19552">
      <c r="C19552" s="18" t="n"/>
      <c r="J19552" s="19" t="n"/>
      <c r="P19552" s="20" t="n"/>
      <c r="Q19552" s="19" t="n"/>
      <c r="R19552" s="19" t="n"/>
      <c r="Y19552" s="19" t="n"/>
    </row>
    <row r="19553">
      <c r="C19553" s="18" t="n"/>
      <c r="J19553" s="19" t="n"/>
      <c r="P19553" s="20" t="n"/>
      <c r="Q19553" s="19" t="n"/>
      <c r="R19553" s="19" t="n"/>
      <c r="Y19553" s="19" t="n"/>
    </row>
    <row r="19554">
      <c r="C19554" s="18" t="n"/>
      <c r="J19554" s="19" t="n"/>
      <c r="P19554" s="20" t="n"/>
      <c r="Q19554" s="19" t="n"/>
      <c r="R19554" s="19" t="n"/>
      <c r="Y19554" s="19" t="n"/>
    </row>
    <row r="19555">
      <c r="C19555" s="18" t="n"/>
      <c r="J19555" s="19" t="n"/>
      <c r="P19555" s="20" t="n"/>
      <c r="Q19555" s="19" t="n"/>
      <c r="R19555" s="19" t="n"/>
      <c r="Y19555" s="19" t="n"/>
    </row>
    <row r="19556">
      <c r="C19556" s="18" t="n"/>
      <c r="J19556" s="19" t="n"/>
      <c r="P19556" s="20" t="n"/>
      <c r="Q19556" s="19" t="n"/>
      <c r="R19556" s="19" t="n"/>
      <c r="Y19556" s="19" t="n"/>
    </row>
    <row r="19557">
      <c r="C19557" s="18" t="n"/>
      <c r="J19557" s="19" t="n"/>
      <c r="P19557" s="20" t="n"/>
      <c r="Q19557" s="19" t="n"/>
      <c r="R19557" s="19" t="n"/>
      <c r="Y19557" s="19" t="n"/>
    </row>
    <row r="19558">
      <c r="C19558" s="18" t="n"/>
      <c r="J19558" s="19" t="n"/>
      <c r="P19558" s="20" t="n"/>
      <c r="Q19558" s="19" t="n"/>
      <c r="R19558" s="19" t="n"/>
      <c r="Y19558" s="19" t="n"/>
    </row>
    <row r="19559">
      <c r="C19559" s="18" t="n"/>
      <c r="J19559" s="19" t="n"/>
      <c r="P19559" s="20" t="n"/>
      <c r="Q19559" s="19" t="n"/>
      <c r="R19559" s="19" t="n"/>
      <c r="Y19559" s="19" t="n"/>
    </row>
    <row r="19560">
      <c r="C19560" s="18" t="n"/>
      <c r="J19560" s="19" t="n"/>
      <c r="P19560" s="20" t="n"/>
      <c r="Q19560" s="19" t="n"/>
      <c r="R19560" s="19" t="n"/>
      <c r="Y19560" s="19" t="n"/>
    </row>
    <row r="19561">
      <c r="C19561" s="18" t="n"/>
      <c r="J19561" s="19" t="n"/>
      <c r="P19561" s="20" t="n"/>
      <c r="Q19561" s="19" t="n"/>
      <c r="R19561" s="19" t="n"/>
      <c r="Y19561" s="19" t="n"/>
    </row>
    <row r="19562">
      <c r="C19562" s="18" t="n"/>
      <c r="J19562" s="19" t="n"/>
      <c r="P19562" s="20" t="n"/>
      <c r="Q19562" s="19" t="n"/>
      <c r="R19562" s="19" t="n"/>
      <c r="Y19562" s="19" t="n"/>
    </row>
    <row r="19563">
      <c r="C19563" s="18" t="n"/>
      <c r="J19563" s="19" t="n"/>
      <c r="P19563" s="20" t="n"/>
      <c r="Q19563" s="19" t="n"/>
      <c r="R19563" s="19" t="n"/>
      <c r="Y19563" s="19" t="n"/>
    </row>
    <row r="19564">
      <c r="C19564" s="18" t="n"/>
      <c r="J19564" s="19" t="n"/>
      <c r="P19564" s="20" t="n"/>
      <c r="Q19564" s="19" t="n"/>
      <c r="R19564" s="19" t="n"/>
      <c r="Y19564" s="19" t="n"/>
    </row>
    <row r="19565">
      <c r="C19565" s="18" t="n"/>
      <c r="J19565" s="19" t="n"/>
      <c r="P19565" s="20" t="n"/>
      <c r="Q19565" s="19" t="n"/>
      <c r="R19565" s="19" t="n"/>
      <c r="Y19565" s="19" t="n"/>
    </row>
    <row r="19566">
      <c r="C19566" s="18" t="n"/>
      <c r="J19566" s="19" t="n"/>
      <c r="P19566" s="20" t="n"/>
      <c r="Q19566" s="19" t="n"/>
      <c r="R19566" s="19" t="n"/>
      <c r="Y19566" s="19" t="n"/>
    </row>
    <row r="19567">
      <c r="C19567" s="18" t="n"/>
      <c r="J19567" s="19" t="n"/>
      <c r="P19567" s="20" t="n"/>
      <c r="Q19567" s="19" t="n"/>
      <c r="R19567" s="19" t="n"/>
      <c r="Y19567" s="19" t="n"/>
    </row>
    <row r="19568">
      <c r="C19568" s="18" t="n"/>
      <c r="J19568" s="19" t="n"/>
      <c r="P19568" s="20" t="n"/>
      <c r="Q19568" s="19" t="n"/>
      <c r="R19568" s="19" t="n"/>
      <c r="Y19568" s="19" t="n"/>
    </row>
    <row r="19569">
      <c r="C19569" s="18" t="n"/>
      <c r="J19569" s="19" t="n"/>
      <c r="P19569" s="20" t="n"/>
      <c r="Q19569" s="19" t="n"/>
      <c r="R19569" s="19" t="n"/>
      <c r="Y19569" s="19" t="n"/>
    </row>
    <row r="19570">
      <c r="C19570" s="18" t="n"/>
      <c r="J19570" s="19" t="n"/>
      <c r="P19570" s="20" t="n"/>
      <c r="Q19570" s="19" t="n"/>
      <c r="R19570" s="19" t="n"/>
      <c r="Y19570" s="19" t="n"/>
    </row>
    <row r="19571">
      <c r="C19571" s="18" t="n"/>
      <c r="J19571" s="19" t="n"/>
      <c r="P19571" s="20" t="n"/>
      <c r="Q19571" s="19" t="n"/>
      <c r="R19571" s="19" t="n"/>
      <c r="Y19571" s="19" t="n"/>
    </row>
    <row r="19572">
      <c r="C19572" s="18" t="n"/>
      <c r="J19572" s="19" t="n"/>
      <c r="P19572" s="20" t="n"/>
      <c r="Q19572" s="19" t="n"/>
      <c r="R19572" s="19" t="n"/>
      <c r="Y19572" s="19" t="n"/>
    </row>
    <row r="19573">
      <c r="C19573" s="18" t="n"/>
      <c r="J19573" s="19" t="n"/>
      <c r="P19573" s="20" t="n"/>
      <c r="Q19573" s="19" t="n"/>
      <c r="R19573" s="19" t="n"/>
      <c r="Y19573" s="19" t="n"/>
    </row>
    <row r="19574">
      <c r="C19574" s="18" t="n"/>
      <c r="J19574" s="19" t="n"/>
      <c r="P19574" s="20" t="n"/>
      <c r="Q19574" s="19" t="n"/>
      <c r="R19574" s="19" t="n"/>
      <c r="Y19574" s="19" t="n"/>
    </row>
    <row r="19575">
      <c r="C19575" s="18" t="n"/>
      <c r="J19575" s="19" t="n"/>
      <c r="P19575" s="20" t="n"/>
      <c r="Q19575" s="19" t="n"/>
      <c r="R19575" s="19" t="n"/>
      <c r="Y19575" s="19" t="n"/>
    </row>
    <row r="19576">
      <c r="C19576" s="18" t="n"/>
      <c r="J19576" s="19" t="n"/>
      <c r="P19576" s="20" t="n"/>
      <c r="Q19576" s="19" t="n"/>
      <c r="R19576" s="19" t="n"/>
      <c r="Y19576" s="19" t="n"/>
    </row>
    <row r="19577">
      <c r="C19577" s="18" t="n"/>
      <c r="J19577" s="19" t="n"/>
      <c r="P19577" s="20" t="n"/>
      <c r="Q19577" s="19" t="n"/>
      <c r="R19577" s="19" t="n"/>
      <c r="Y19577" s="19" t="n"/>
    </row>
    <row r="19578">
      <c r="C19578" s="18" t="n"/>
      <c r="J19578" s="19" t="n"/>
      <c r="P19578" s="20" t="n"/>
      <c r="Q19578" s="19" t="n"/>
      <c r="R19578" s="19" t="n"/>
      <c r="Y19578" s="19" t="n"/>
    </row>
    <row r="19579">
      <c r="C19579" s="18" t="n"/>
      <c r="J19579" s="19" t="n"/>
      <c r="P19579" s="20" t="n"/>
      <c r="Q19579" s="19" t="n"/>
      <c r="R19579" s="19" t="n"/>
      <c r="Y19579" s="19" t="n"/>
    </row>
    <row r="19580">
      <c r="C19580" s="18" t="n"/>
      <c r="J19580" s="19" t="n"/>
      <c r="P19580" s="20" t="n"/>
      <c r="Q19580" s="19" t="n"/>
      <c r="R19580" s="19" t="n"/>
      <c r="Y19580" s="19" t="n"/>
    </row>
    <row r="19581">
      <c r="C19581" s="18" t="n"/>
      <c r="J19581" s="19" t="n"/>
      <c r="P19581" s="20" t="n"/>
      <c r="Q19581" s="19" t="n"/>
      <c r="R19581" s="19" t="n"/>
      <c r="Y19581" s="19" t="n"/>
    </row>
    <row r="19582">
      <c r="C19582" s="18" t="n"/>
      <c r="J19582" s="19" t="n"/>
      <c r="P19582" s="20" t="n"/>
      <c r="Q19582" s="19" t="n"/>
      <c r="R19582" s="19" t="n"/>
      <c r="Y19582" s="19" t="n"/>
    </row>
    <row r="19583">
      <c r="C19583" s="18" t="n"/>
      <c r="J19583" s="19" t="n"/>
      <c r="P19583" s="20" t="n"/>
      <c r="Q19583" s="19" t="n"/>
      <c r="R19583" s="19" t="n"/>
      <c r="Y19583" s="19" t="n"/>
    </row>
    <row r="19584">
      <c r="C19584" s="18" t="n"/>
      <c r="J19584" s="19" t="n"/>
      <c r="P19584" s="20" t="n"/>
      <c r="Q19584" s="19" t="n"/>
      <c r="R19584" s="19" t="n"/>
      <c r="Y19584" s="19" t="n"/>
    </row>
    <row r="19585">
      <c r="C19585" s="18" t="n"/>
      <c r="J19585" s="19" t="n"/>
      <c r="P19585" s="20" t="n"/>
      <c r="Q19585" s="19" t="n"/>
      <c r="R19585" s="19" t="n"/>
      <c r="Y19585" s="19" t="n"/>
    </row>
    <row r="19586">
      <c r="C19586" s="18" t="n"/>
      <c r="J19586" s="19" t="n"/>
      <c r="P19586" s="20" t="n"/>
      <c r="Q19586" s="19" t="n"/>
      <c r="R19586" s="19" t="n"/>
      <c r="Y19586" s="19" t="n"/>
    </row>
    <row r="19587">
      <c r="C19587" s="18" t="n"/>
      <c r="J19587" s="19" t="n"/>
      <c r="P19587" s="20" t="n"/>
      <c r="Q19587" s="19" t="n"/>
      <c r="R19587" s="19" t="n"/>
      <c r="Y19587" s="19" t="n"/>
    </row>
    <row r="19588">
      <c r="C19588" s="18" t="n"/>
      <c r="J19588" s="19" t="n"/>
      <c r="P19588" s="20" t="n"/>
      <c r="Q19588" s="19" t="n"/>
      <c r="R19588" s="19" t="n"/>
      <c r="Y19588" s="19" t="n"/>
    </row>
    <row r="19589">
      <c r="C19589" s="18" t="n"/>
      <c r="J19589" s="19" t="n"/>
      <c r="P19589" s="20" t="n"/>
      <c r="Q19589" s="19" t="n"/>
      <c r="R19589" s="19" t="n"/>
      <c r="Y19589" s="19" t="n"/>
    </row>
    <row r="19590">
      <c r="C19590" s="18" t="n"/>
      <c r="J19590" s="19" t="n"/>
      <c r="P19590" s="20" t="n"/>
      <c r="Q19590" s="19" t="n"/>
      <c r="R19590" s="19" t="n"/>
      <c r="Y19590" s="19" t="n"/>
    </row>
    <row r="19591">
      <c r="C19591" s="18" t="n"/>
      <c r="J19591" s="19" t="n"/>
      <c r="P19591" s="20" t="n"/>
      <c r="Q19591" s="19" t="n"/>
      <c r="R19591" s="19" t="n"/>
      <c r="Y19591" s="19" t="n"/>
    </row>
    <row r="19592">
      <c r="C19592" s="18" t="n"/>
      <c r="J19592" s="19" t="n"/>
      <c r="P19592" s="20" t="n"/>
      <c r="Q19592" s="19" t="n"/>
      <c r="R19592" s="19" t="n"/>
      <c r="Y19592" s="19" t="n"/>
    </row>
    <row r="19593">
      <c r="C19593" s="18" t="n"/>
      <c r="J19593" s="19" t="n"/>
      <c r="P19593" s="20" t="n"/>
      <c r="Q19593" s="19" t="n"/>
      <c r="R19593" s="19" t="n"/>
      <c r="Y19593" s="19" t="n"/>
    </row>
    <row r="19594">
      <c r="C19594" s="18" t="n"/>
      <c r="J19594" s="19" t="n"/>
      <c r="P19594" s="20" t="n"/>
      <c r="Q19594" s="19" t="n"/>
      <c r="R19594" s="19" t="n"/>
      <c r="Y19594" s="19" t="n"/>
    </row>
    <row r="19595">
      <c r="C19595" s="18" t="n"/>
      <c r="J19595" s="19" t="n"/>
      <c r="P19595" s="20" t="n"/>
      <c r="Q19595" s="19" t="n"/>
      <c r="R19595" s="19" t="n"/>
      <c r="Y19595" s="19" t="n"/>
    </row>
    <row r="19596">
      <c r="C19596" s="18" t="n"/>
      <c r="J19596" s="19" t="n"/>
      <c r="P19596" s="20" t="n"/>
      <c r="Q19596" s="19" t="n"/>
      <c r="R19596" s="19" t="n"/>
      <c r="Y19596" s="19" t="n"/>
    </row>
    <row r="19597">
      <c r="C19597" s="18" t="n"/>
      <c r="J19597" s="19" t="n"/>
      <c r="P19597" s="20" t="n"/>
      <c r="Q19597" s="19" t="n"/>
      <c r="R19597" s="19" t="n"/>
      <c r="Y19597" s="19" t="n"/>
    </row>
    <row r="19598">
      <c r="C19598" s="18" t="n"/>
      <c r="J19598" s="19" t="n"/>
      <c r="P19598" s="20" t="n"/>
      <c r="Q19598" s="19" t="n"/>
      <c r="R19598" s="19" t="n"/>
      <c r="Y19598" s="19" t="n"/>
    </row>
    <row r="19599">
      <c r="C19599" s="18" t="n"/>
      <c r="J19599" s="19" t="n"/>
      <c r="P19599" s="20" t="n"/>
      <c r="Q19599" s="19" t="n"/>
      <c r="R19599" s="19" t="n"/>
      <c r="Y19599" s="19" t="n"/>
    </row>
    <row r="19600">
      <c r="C19600" s="18" t="n"/>
      <c r="J19600" s="19" t="n"/>
      <c r="P19600" s="20" t="n"/>
      <c r="Q19600" s="19" t="n"/>
      <c r="R19600" s="19" t="n"/>
      <c r="Y19600" s="19" t="n"/>
    </row>
    <row r="19601">
      <c r="C19601" s="18" t="n"/>
      <c r="J19601" s="19" t="n"/>
      <c r="P19601" s="20" t="n"/>
      <c r="Q19601" s="19" t="n"/>
      <c r="R19601" s="19" t="n"/>
      <c r="Y19601" s="19" t="n"/>
    </row>
    <row r="19602">
      <c r="C19602" s="18" t="n"/>
      <c r="J19602" s="19" t="n"/>
      <c r="P19602" s="20" t="n"/>
      <c r="Q19602" s="19" t="n"/>
      <c r="R19602" s="19" t="n"/>
      <c r="Y19602" s="19" t="n"/>
    </row>
    <row r="19603">
      <c r="C19603" s="18" t="n"/>
      <c r="J19603" s="19" t="n"/>
      <c r="P19603" s="20" t="n"/>
      <c r="Q19603" s="19" t="n"/>
      <c r="R19603" s="19" t="n"/>
      <c r="Y19603" s="19" t="n"/>
    </row>
    <row r="19604">
      <c r="C19604" s="18" t="n"/>
      <c r="J19604" s="19" t="n"/>
      <c r="P19604" s="20" t="n"/>
      <c r="Q19604" s="19" t="n"/>
      <c r="R19604" s="19" t="n"/>
      <c r="Y19604" s="19" t="n"/>
    </row>
    <row r="19605">
      <c r="C19605" s="18" t="n"/>
      <c r="J19605" s="19" t="n"/>
      <c r="P19605" s="20" t="n"/>
      <c r="Q19605" s="19" t="n"/>
      <c r="R19605" s="19" t="n"/>
      <c r="Y19605" s="19" t="n"/>
    </row>
    <row r="19606">
      <c r="C19606" s="18" t="n"/>
      <c r="J19606" s="19" t="n"/>
      <c r="P19606" s="20" t="n"/>
      <c r="Q19606" s="19" t="n"/>
      <c r="R19606" s="19" t="n"/>
      <c r="Y19606" s="19" t="n"/>
    </row>
    <row r="19607">
      <c r="C19607" s="18" t="n"/>
      <c r="J19607" s="19" t="n"/>
      <c r="P19607" s="20" t="n"/>
      <c r="Q19607" s="19" t="n"/>
      <c r="R19607" s="19" t="n"/>
      <c r="Y19607" s="19" t="n"/>
    </row>
    <row r="19608">
      <c r="C19608" s="18" t="n"/>
      <c r="J19608" s="19" t="n"/>
      <c r="P19608" s="20" t="n"/>
      <c r="Q19608" s="19" t="n"/>
      <c r="R19608" s="19" t="n"/>
      <c r="Y19608" s="19" t="n"/>
    </row>
    <row r="19609">
      <c r="C19609" s="18" t="n"/>
      <c r="J19609" s="19" t="n"/>
      <c r="P19609" s="20" t="n"/>
      <c r="Q19609" s="19" t="n"/>
      <c r="R19609" s="19" t="n"/>
      <c r="Y19609" s="19" t="n"/>
    </row>
    <row r="19610">
      <c r="C19610" s="18" t="n"/>
      <c r="J19610" s="19" t="n"/>
      <c r="P19610" s="20" t="n"/>
      <c r="Q19610" s="19" t="n"/>
      <c r="R19610" s="19" t="n"/>
      <c r="Y19610" s="19" t="n"/>
    </row>
    <row r="19611">
      <c r="C19611" s="18" t="n"/>
      <c r="J19611" s="19" t="n"/>
      <c r="P19611" s="20" t="n"/>
      <c r="Q19611" s="19" t="n"/>
      <c r="R19611" s="19" t="n"/>
      <c r="Y19611" s="19" t="n"/>
    </row>
    <row r="19612">
      <c r="C19612" s="18" t="n"/>
      <c r="J19612" s="19" t="n"/>
      <c r="P19612" s="20" t="n"/>
      <c r="Q19612" s="19" t="n"/>
      <c r="R19612" s="19" t="n"/>
      <c r="Y19612" s="19" t="n"/>
    </row>
    <row r="19613">
      <c r="C19613" s="18" t="n"/>
      <c r="J19613" s="19" t="n"/>
      <c r="P19613" s="20" t="n"/>
      <c r="Q19613" s="19" t="n"/>
      <c r="R19613" s="19" t="n"/>
      <c r="Y19613" s="19" t="n"/>
    </row>
    <row r="19614">
      <c r="C19614" s="18" t="n"/>
      <c r="J19614" s="19" t="n"/>
      <c r="P19614" s="20" t="n"/>
      <c r="Q19614" s="19" t="n"/>
      <c r="R19614" s="19" t="n"/>
      <c r="Y19614" s="19" t="n"/>
    </row>
    <row r="19615">
      <c r="C19615" s="18" t="n"/>
      <c r="J19615" s="19" t="n"/>
      <c r="P19615" s="20" t="n"/>
      <c r="Q19615" s="19" t="n"/>
      <c r="R19615" s="19" t="n"/>
      <c r="Y19615" s="19" t="n"/>
    </row>
    <row r="19616">
      <c r="C19616" s="18" t="n"/>
      <c r="J19616" s="19" t="n"/>
      <c r="P19616" s="20" t="n"/>
      <c r="Q19616" s="19" t="n"/>
      <c r="R19616" s="19" t="n"/>
      <c r="Y19616" s="19" t="n"/>
    </row>
    <row r="19617">
      <c r="C19617" s="18" t="n"/>
      <c r="J19617" s="19" t="n"/>
      <c r="P19617" s="20" t="n"/>
      <c r="Q19617" s="19" t="n"/>
      <c r="R19617" s="19" t="n"/>
      <c r="Y19617" s="19" t="n"/>
    </row>
    <row r="19618">
      <c r="C19618" s="18" t="n"/>
      <c r="J19618" s="19" t="n"/>
      <c r="P19618" s="20" t="n"/>
      <c r="Q19618" s="19" t="n"/>
      <c r="R19618" s="19" t="n"/>
      <c r="Y19618" s="19" t="n"/>
    </row>
    <row r="19619">
      <c r="C19619" s="18" t="n"/>
      <c r="J19619" s="19" t="n"/>
      <c r="P19619" s="20" t="n"/>
      <c r="Q19619" s="19" t="n"/>
      <c r="R19619" s="19" t="n"/>
      <c r="Y19619" s="19" t="n"/>
    </row>
    <row r="19620">
      <c r="C19620" s="18" t="n"/>
      <c r="J19620" s="19" t="n"/>
      <c r="P19620" s="20" t="n"/>
      <c r="Q19620" s="19" t="n"/>
      <c r="R19620" s="19" t="n"/>
      <c r="Y19620" s="19" t="n"/>
    </row>
    <row r="19621">
      <c r="C19621" s="18" t="n"/>
      <c r="J19621" s="19" t="n"/>
      <c r="P19621" s="20" t="n"/>
      <c r="Q19621" s="19" t="n"/>
      <c r="R19621" s="19" t="n"/>
      <c r="Y19621" s="19" t="n"/>
    </row>
    <row r="19622">
      <c r="C19622" s="18" t="n"/>
      <c r="J19622" s="19" t="n"/>
      <c r="P19622" s="20" t="n"/>
      <c r="Q19622" s="19" t="n"/>
      <c r="R19622" s="19" t="n"/>
      <c r="Y19622" s="19" t="n"/>
    </row>
    <row r="19623">
      <c r="C19623" s="18" t="n"/>
      <c r="J19623" s="19" t="n"/>
      <c r="P19623" s="20" t="n"/>
      <c r="Q19623" s="19" t="n"/>
      <c r="R19623" s="19" t="n"/>
      <c r="Y19623" s="19" t="n"/>
    </row>
    <row r="19624">
      <c r="C19624" s="18" t="n"/>
      <c r="J19624" s="19" t="n"/>
      <c r="P19624" s="20" t="n"/>
      <c r="Q19624" s="19" t="n"/>
      <c r="R19624" s="19" t="n"/>
      <c r="Y19624" s="19" t="n"/>
    </row>
    <row r="19625">
      <c r="C19625" s="18" t="n"/>
      <c r="J19625" s="19" t="n"/>
      <c r="P19625" s="20" t="n"/>
      <c r="Q19625" s="19" t="n"/>
      <c r="R19625" s="19" t="n"/>
      <c r="Y19625" s="19" t="n"/>
    </row>
    <row r="19626">
      <c r="C19626" s="18" t="n"/>
      <c r="J19626" s="19" t="n"/>
      <c r="P19626" s="20" t="n"/>
      <c r="Q19626" s="19" t="n"/>
      <c r="R19626" s="19" t="n"/>
      <c r="Y19626" s="19" t="n"/>
    </row>
    <row r="19627">
      <c r="C19627" s="18" t="n"/>
      <c r="J19627" s="19" t="n"/>
      <c r="P19627" s="20" t="n"/>
      <c r="Q19627" s="19" t="n"/>
      <c r="R19627" s="19" t="n"/>
      <c r="Y19627" s="19" t="n"/>
    </row>
    <row r="19628">
      <c r="C19628" s="18" t="n"/>
      <c r="J19628" s="19" t="n"/>
      <c r="P19628" s="20" t="n"/>
      <c r="Q19628" s="19" t="n"/>
      <c r="R19628" s="19" t="n"/>
      <c r="Y19628" s="19" t="n"/>
    </row>
    <row r="19629">
      <c r="C19629" s="18" t="n"/>
      <c r="J19629" s="19" t="n"/>
      <c r="P19629" s="20" t="n"/>
      <c r="Q19629" s="19" t="n"/>
      <c r="R19629" s="19" t="n"/>
      <c r="Y19629" s="19" t="n"/>
    </row>
    <row r="19630">
      <c r="C19630" s="18" t="n"/>
      <c r="J19630" s="19" t="n"/>
      <c r="P19630" s="20" t="n"/>
      <c r="Q19630" s="19" t="n"/>
      <c r="R19630" s="19" t="n"/>
      <c r="Y19630" s="19" t="n"/>
    </row>
    <row r="19631">
      <c r="C19631" s="18" t="n"/>
      <c r="J19631" s="19" t="n"/>
      <c r="P19631" s="20" t="n"/>
      <c r="Q19631" s="19" t="n"/>
      <c r="R19631" s="19" t="n"/>
      <c r="Y19631" s="19" t="n"/>
    </row>
    <row r="19632">
      <c r="C19632" s="18" t="n"/>
      <c r="J19632" s="19" t="n"/>
      <c r="P19632" s="20" t="n"/>
      <c r="Q19632" s="19" t="n"/>
      <c r="R19632" s="19" t="n"/>
      <c r="Y19632" s="19" t="n"/>
    </row>
    <row r="19633">
      <c r="C19633" s="18" t="n"/>
      <c r="J19633" s="19" t="n"/>
      <c r="P19633" s="20" t="n"/>
      <c r="Q19633" s="19" t="n"/>
      <c r="R19633" s="19" t="n"/>
      <c r="Y19633" s="19" t="n"/>
    </row>
    <row r="19634">
      <c r="C19634" s="18" t="n"/>
      <c r="J19634" s="19" t="n"/>
      <c r="P19634" s="20" t="n"/>
      <c r="Q19634" s="19" t="n"/>
      <c r="R19634" s="19" t="n"/>
      <c r="Y19634" s="19" t="n"/>
    </row>
    <row r="19635">
      <c r="C19635" s="18" t="n"/>
      <c r="J19635" s="19" t="n"/>
      <c r="P19635" s="20" t="n"/>
      <c r="Q19635" s="19" t="n"/>
      <c r="R19635" s="19" t="n"/>
      <c r="Y19635" s="19" t="n"/>
    </row>
    <row r="19636">
      <c r="C19636" s="18" t="n"/>
      <c r="J19636" s="19" t="n"/>
      <c r="P19636" s="20" t="n"/>
      <c r="Q19636" s="19" t="n"/>
      <c r="R19636" s="19" t="n"/>
      <c r="Y19636" s="19" t="n"/>
    </row>
    <row r="19637">
      <c r="C19637" s="18" t="n"/>
      <c r="J19637" s="19" t="n"/>
      <c r="P19637" s="20" t="n"/>
      <c r="Q19637" s="19" t="n"/>
      <c r="R19637" s="19" t="n"/>
      <c r="Y19637" s="19" t="n"/>
    </row>
    <row r="19638">
      <c r="C19638" s="18" t="n"/>
      <c r="J19638" s="19" t="n"/>
      <c r="P19638" s="20" t="n"/>
      <c r="Q19638" s="19" t="n"/>
      <c r="R19638" s="19" t="n"/>
      <c r="Y19638" s="19" t="n"/>
    </row>
    <row r="19639">
      <c r="C19639" s="18" t="n"/>
      <c r="J19639" s="19" t="n"/>
      <c r="P19639" s="20" t="n"/>
      <c r="Q19639" s="19" t="n"/>
      <c r="R19639" s="19" t="n"/>
      <c r="Y19639" s="19" t="n"/>
    </row>
    <row r="19640">
      <c r="C19640" s="18" t="n"/>
      <c r="J19640" s="19" t="n"/>
      <c r="P19640" s="20" t="n"/>
      <c r="Q19640" s="19" t="n"/>
      <c r="R19640" s="19" t="n"/>
      <c r="Y19640" s="19" t="n"/>
    </row>
    <row r="19641">
      <c r="C19641" s="18" t="n"/>
      <c r="J19641" s="19" t="n"/>
      <c r="P19641" s="20" t="n"/>
      <c r="Q19641" s="19" t="n"/>
      <c r="R19641" s="19" t="n"/>
      <c r="Y19641" s="19" t="n"/>
    </row>
    <row r="19642">
      <c r="C19642" s="18" t="n"/>
      <c r="J19642" s="19" t="n"/>
      <c r="P19642" s="20" t="n"/>
      <c r="Q19642" s="19" t="n"/>
      <c r="R19642" s="19" t="n"/>
      <c r="Y19642" s="19" t="n"/>
    </row>
    <row r="19643">
      <c r="C19643" s="18" t="n"/>
      <c r="J19643" s="19" t="n"/>
      <c r="P19643" s="20" t="n"/>
      <c r="Q19643" s="19" t="n"/>
      <c r="R19643" s="19" t="n"/>
      <c r="Y19643" s="19" t="n"/>
    </row>
    <row r="19644">
      <c r="C19644" s="18" t="n"/>
      <c r="J19644" s="19" t="n"/>
      <c r="P19644" s="20" t="n"/>
      <c r="Q19644" s="19" t="n"/>
      <c r="R19644" s="19" t="n"/>
      <c r="Y19644" s="19" t="n"/>
    </row>
    <row r="19645">
      <c r="C19645" s="18" t="n"/>
      <c r="J19645" s="19" t="n"/>
      <c r="P19645" s="20" t="n"/>
      <c r="Q19645" s="19" t="n"/>
      <c r="R19645" s="19" t="n"/>
      <c r="Y19645" s="19" t="n"/>
    </row>
    <row r="19646">
      <c r="C19646" s="18" t="n"/>
      <c r="J19646" s="19" t="n"/>
      <c r="P19646" s="20" t="n"/>
      <c r="Q19646" s="19" t="n"/>
      <c r="R19646" s="19" t="n"/>
      <c r="Y19646" s="19" t="n"/>
    </row>
    <row r="19647">
      <c r="C19647" s="18" t="n"/>
      <c r="J19647" s="19" t="n"/>
      <c r="P19647" s="20" t="n"/>
      <c r="Q19647" s="19" t="n"/>
      <c r="R19647" s="19" t="n"/>
      <c r="Y19647" s="19" t="n"/>
    </row>
    <row r="19648">
      <c r="C19648" s="18" t="n"/>
      <c r="J19648" s="19" t="n"/>
      <c r="P19648" s="20" t="n"/>
      <c r="Q19648" s="19" t="n"/>
      <c r="R19648" s="19" t="n"/>
      <c r="Y19648" s="19" t="n"/>
    </row>
    <row r="19649">
      <c r="C19649" s="18" t="n"/>
      <c r="J19649" s="19" t="n"/>
      <c r="P19649" s="20" t="n"/>
      <c r="Q19649" s="19" t="n"/>
      <c r="R19649" s="19" t="n"/>
      <c r="Y19649" s="19" t="n"/>
    </row>
    <row r="19650">
      <c r="C19650" s="18" t="n"/>
      <c r="J19650" s="19" t="n"/>
      <c r="P19650" s="20" t="n"/>
      <c r="Q19650" s="19" t="n"/>
      <c r="R19650" s="19" t="n"/>
      <c r="Y19650" s="19" t="n"/>
    </row>
    <row r="19651">
      <c r="C19651" s="18" t="n"/>
      <c r="J19651" s="19" t="n"/>
      <c r="P19651" s="20" t="n"/>
      <c r="Q19651" s="19" t="n"/>
      <c r="R19651" s="19" t="n"/>
      <c r="Y19651" s="19" t="n"/>
    </row>
    <row r="19652">
      <c r="C19652" s="18" t="n"/>
      <c r="J19652" s="19" t="n"/>
      <c r="P19652" s="20" t="n"/>
      <c r="Q19652" s="19" t="n"/>
      <c r="R19652" s="19" t="n"/>
      <c r="Y19652" s="19" t="n"/>
    </row>
    <row r="19653">
      <c r="C19653" s="18" t="n"/>
      <c r="J19653" s="19" t="n"/>
      <c r="P19653" s="20" t="n"/>
      <c r="Q19653" s="19" t="n"/>
      <c r="R19653" s="19" t="n"/>
      <c r="Y19653" s="19" t="n"/>
    </row>
    <row r="19654">
      <c r="C19654" s="18" t="n"/>
      <c r="J19654" s="19" t="n"/>
      <c r="P19654" s="20" t="n"/>
      <c r="Q19654" s="19" t="n"/>
      <c r="R19654" s="19" t="n"/>
      <c r="Y19654" s="19" t="n"/>
    </row>
    <row r="19655">
      <c r="C19655" s="18" t="n"/>
      <c r="J19655" s="19" t="n"/>
      <c r="P19655" s="20" t="n"/>
      <c r="Q19655" s="19" t="n"/>
      <c r="R19655" s="19" t="n"/>
      <c r="Y19655" s="19" t="n"/>
    </row>
    <row r="19656">
      <c r="C19656" s="18" t="n"/>
      <c r="J19656" s="19" t="n"/>
      <c r="P19656" s="20" t="n"/>
      <c r="Q19656" s="19" t="n"/>
      <c r="R19656" s="19" t="n"/>
      <c r="Y19656" s="19" t="n"/>
    </row>
    <row r="19657">
      <c r="C19657" s="18" t="n"/>
      <c r="J19657" s="19" t="n"/>
      <c r="P19657" s="20" t="n"/>
      <c r="Q19657" s="19" t="n"/>
      <c r="R19657" s="19" t="n"/>
      <c r="Y19657" s="19" t="n"/>
    </row>
    <row r="19658">
      <c r="C19658" s="18" t="n"/>
      <c r="J19658" s="19" t="n"/>
      <c r="P19658" s="20" t="n"/>
      <c r="Q19658" s="19" t="n"/>
      <c r="R19658" s="19" t="n"/>
      <c r="Y19658" s="19" t="n"/>
    </row>
    <row r="19659">
      <c r="C19659" s="18" t="n"/>
      <c r="J19659" s="19" t="n"/>
      <c r="P19659" s="20" t="n"/>
      <c r="Q19659" s="19" t="n"/>
      <c r="R19659" s="19" t="n"/>
      <c r="Y19659" s="19" t="n"/>
    </row>
    <row r="19660">
      <c r="C19660" s="18" t="n"/>
      <c r="J19660" s="19" t="n"/>
      <c r="P19660" s="20" t="n"/>
      <c r="Q19660" s="19" t="n"/>
      <c r="R19660" s="19" t="n"/>
      <c r="Y19660" s="19" t="n"/>
    </row>
    <row r="19661">
      <c r="C19661" s="18" t="n"/>
      <c r="J19661" s="19" t="n"/>
      <c r="P19661" s="20" t="n"/>
      <c r="Q19661" s="19" t="n"/>
      <c r="R19661" s="19" t="n"/>
      <c r="Y19661" s="19" t="n"/>
    </row>
    <row r="19662">
      <c r="C19662" s="18" t="n"/>
      <c r="J19662" s="19" t="n"/>
      <c r="P19662" s="20" t="n"/>
      <c r="Q19662" s="19" t="n"/>
      <c r="R19662" s="19" t="n"/>
      <c r="Y19662" s="19" t="n"/>
    </row>
    <row r="19663">
      <c r="C19663" s="18" t="n"/>
      <c r="J19663" s="19" t="n"/>
      <c r="P19663" s="20" t="n"/>
      <c r="Q19663" s="19" t="n"/>
      <c r="R19663" s="19" t="n"/>
      <c r="Y19663" s="19" t="n"/>
    </row>
    <row r="19664">
      <c r="C19664" s="18" t="n"/>
      <c r="J19664" s="19" t="n"/>
      <c r="P19664" s="20" t="n"/>
      <c r="Q19664" s="19" t="n"/>
      <c r="R19664" s="19" t="n"/>
      <c r="Y19664" s="19" t="n"/>
    </row>
    <row r="19665">
      <c r="C19665" s="18" t="n"/>
      <c r="J19665" s="19" t="n"/>
      <c r="P19665" s="20" t="n"/>
      <c r="Q19665" s="19" t="n"/>
      <c r="R19665" s="19" t="n"/>
      <c r="Y19665" s="19" t="n"/>
    </row>
    <row r="19666">
      <c r="C19666" s="18" t="n"/>
      <c r="J19666" s="19" t="n"/>
      <c r="P19666" s="20" t="n"/>
      <c r="Q19666" s="19" t="n"/>
      <c r="R19666" s="19" t="n"/>
      <c r="Y19666" s="19" t="n"/>
    </row>
    <row r="19667">
      <c r="C19667" s="18" t="n"/>
      <c r="J19667" s="19" t="n"/>
      <c r="P19667" s="20" t="n"/>
      <c r="Q19667" s="19" t="n"/>
      <c r="R19667" s="19" t="n"/>
      <c r="Y19667" s="19" t="n"/>
    </row>
    <row r="19668">
      <c r="C19668" s="18" t="n"/>
      <c r="J19668" s="19" t="n"/>
      <c r="P19668" s="20" t="n"/>
      <c r="Q19668" s="19" t="n"/>
      <c r="R19668" s="19" t="n"/>
      <c r="Y19668" s="19" t="n"/>
    </row>
    <row r="19669">
      <c r="C19669" s="18" t="n"/>
      <c r="J19669" s="19" t="n"/>
      <c r="P19669" s="20" t="n"/>
      <c r="Q19669" s="19" t="n"/>
      <c r="R19669" s="19" t="n"/>
      <c r="Y19669" s="19" t="n"/>
    </row>
    <row r="19670">
      <c r="C19670" s="18" t="n"/>
      <c r="J19670" s="19" t="n"/>
      <c r="P19670" s="20" t="n"/>
      <c r="Q19670" s="19" t="n"/>
      <c r="R19670" s="19" t="n"/>
      <c r="Y19670" s="19" t="n"/>
    </row>
    <row r="19671">
      <c r="C19671" s="18" t="n"/>
      <c r="J19671" s="19" t="n"/>
      <c r="P19671" s="20" t="n"/>
      <c r="Q19671" s="19" t="n"/>
      <c r="R19671" s="19" t="n"/>
      <c r="Y19671" s="19" t="n"/>
    </row>
    <row r="19672">
      <c r="C19672" s="18" t="n"/>
      <c r="J19672" s="19" t="n"/>
      <c r="P19672" s="20" t="n"/>
      <c r="Q19672" s="19" t="n"/>
      <c r="R19672" s="19" t="n"/>
      <c r="Y19672" s="19" t="n"/>
    </row>
    <row r="19673">
      <c r="C19673" s="18" t="n"/>
      <c r="J19673" s="19" t="n"/>
      <c r="P19673" s="20" t="n"/>
      <c r="Q19673" s="19" t="n"/>
      <c r="R19673" s="19" t="n"/>
      <c r="Y19673" s="19" t="n"/>
    </row>
    <row r="19674">
      <c r="C19674" s="18" t="n"/>
      <c r="J19674" s="19" t="n"/>
      <c r="P19674" s="20" t="n"/>
      <c r="Q19674" s="19" t="n"/>
      <c r="R19674" s="19" t="n"/>
      <c r="Y19674" s="19" t="n"/>
    </row>
    <row r="19675">
      <c r="C19675" s="18" t="n"/>
      <c r="J19675" s="19" t="n"/>
      <c r="P19675" s="20" t="n"/>
      <c r="Q19675" s="19" t="n"/>
      <c r="R19675" s="19" t="n"/>
      <c r="Y19675" s="19" t="n"/>
    </row>
    <row r="19676">
      <c r="C19676" s="18" t="n"/>
      <c r="J19676" s="19" t="n"/>
      <c r="P19676" s="20" t="n"/>
      <c r="Q19676" s="19" t="n"/>
      <c r="R19676" s="19" t="n"/>
      <c r="Y19676" s="19" t="n"/>
    </row>
    <row r="19677">
      <c r="C19677" s="18" t="n"/>
      <c r="J19677" s="19" t="n"/>
      <c r="P19677" s="20" t="n"/>
      <c r="Q19677" s="19" t="n"/>
      <c r="R19677" s="19" t="n"/>
      <c r="Y19677" s="19" t="n"/>
    </row>
    <row r="19678">
      <c r="C19678" s="18" t="n"/>
      <c r="J19678" s="19" t="n"/>
      <c r="P19678" s="20" t="n"/>
      <c r="Q19678" s="19" t="n"/>
      <c r="R19678" s="19" t="n"/>
      <c r="Y19678" s="19" t="n"/>
    </row>
    <row r="19679">
      <c r="C19679" s="18" t="n"/>
      <c r="J19679" s="19" t="n"/>
      <c r="P19679" s="20" t="n"/>
      <c r="Q19679" s="19" t="n"/>
      <c r="R19679" s="19" t="n"/>
      <c r="Y19679" s="19" t="n"/>
    </row>
    <row r="19680">
      <c r="C19680" s="18" t="n"/>
      <c r="J19680" s="19" t="n"/>
      <c r="P19680" s="20" t="n"/>
      <c r="Q19680" s="19" t="n"/>
      <c r="R19680" s="19" t="n"/>
      <c r="Y19680" s="19" t="n"/>
    </row>
    <row r="19681">
      <c r="C19681" s="18" t="n"/>
      <c r="J19681" s="19" t="n"/>
      <c r="P19681" s="20" t="n"/>
      <c r="Q19681" s="19" t="n"/>
      <c r="R19681" s="19" t="n"/>
      <c r="Y19681" s="19" t="n"/>
    </row>
    <row r="19682">
      <c r="C19682" s="18" t="n"/>
      <c r="J19682" s="19" t="n"/>
      <c r="P19682" s="20" t="n"/>
      <c r="Q19682" s="19" t="n"/>
      <c r="R19682" s="19" t="n"/>
      <c r="Y19682" s="19" t="n"/>
    </row>
    <row r="19683">
      <c r="C19683" s="18" t="n"/>
      <c r="J19683" s="19" t="n"/>
      <c r="P19683" s="20" t="n"/>
      <c r="Q19683" s="19" t="n"/>
      <c r="R19683" s="19" t="n"/>
      <c r="Y19683" s="19" t="n"/>
    </row>
    <row r="19684">
      <c r="C19684" s="18" t="n"/>
      <c r="J19684" s="19" t="n"/>
      <c r="P19684" s="20" t="n"/>
      <c r="Q19684" s="19" t="n"/>
      <c r="R19684" s="19" t="n"/>
      <c r="Y19684" s="19" t="n"/>
    </row>
    <row r="19685">
      <c r="C19685" s="18" t="n"/>
      <c r="J19685" s="19" t="n"/>
      <c r="P19685" s="20" t="n"/>
      <c r="Q19685" s="19" t="n"/>
      <c r="R19685" s="19" t="n"/>
      <c r="Y19685" s="19" t="n"/>
    </row>
    <row r="19686">
      <c r="C19686" s="18" t="n"/>
      <c r="J19686" s="19" t="n"/>
      <c r="P19686" s="20" t="n"/>
      <c r="Q19686" s="19" t="n"/>
      <c r="R19686" s="19" t="n"/>
      <c r="Y19686" s="19" t="n"/>
    </row>
    <row r="19687">
      <c r="C19687" s="18" t="n"/>
      <c r="J19687" s="19" t="n"/>
      <c r="P19687" s="20" t="n"/>
      <c r="Q19687" s="19" t="n"/>
      <c r="R19687" s="19" t="n"/>
      <c r="Y19687" s="19" t="n"/>
    </row>
    <row r="19688">
      <c r="C19688" s="18" t="n"/>
      <c r="J19688" s="19" t="n"/>
      <c r="P19688" s="20" t="n"/>
      <c r="Q19688" s="19" t="n"/>
      <c r="R19688" s="19" t="n"/>
      <c r="Y19688" s="19" t="n"/>
    </row>
    <row r="19689">
      <c r="C19689" s="18" t="n"/>
      <c r="J19689" s="19" t="n"/>
      <c r="P19689" s="20" t="n"/>
      <c r="Q19689" s="19" t="n"/>
      <c r="R19689" s="19" t="n"/>
      <c r="Y19689" s="19" t="n"/>
    </row>
    <row r="19690">
      <c r="C19690" s="18" t="n"/>
      <c r="J19690" s="19" t="n"/>
      <c r="P19690" s="20" t="n"/>
      <c r="Q19690" s="19" t="n"/>
      <c r="R19690" s="19" t="n"/>
      <c r="Y19690" s="19" t="n"/>
    </row>
    <row r="19691">
      <c r="C19691" s="18" t="n"/>
      <c r="J19691" s="19" t="n"/>
      <c r="P19691" s="20" t="n"/>
      <c r="Q19691" s="19" t="n"/>
      <c r="R19691" s="19" t="n"/>
      <c r="Y19691" s="19" t="n"/>
    </row>
    <row r="19692">
      <c r="C19692" s="18" t="n"/>
      <c r="J19692" s="19" t="n"/>
      <c r="P19692" s="20" t="n"/>
      <c r="Q19692" s="19" t="n"/>
      <c r="R19692" s="19" t="n"/>
      <c r="Y19692" s="19" t="n"/>
    </row>
    <row r="19693">
      <c r="C19693" s="18" t="n"/>
      <c r="J19693" s="19" t="n"/>
      <c r="P19693" s="20" t="n"/>
      <c r="Q19693" s="19" t="n"/>
      <c r="R19693" s="19" t="n"/>
      <c r="Y19693" s="19" t="n"/>
    </row>
    <row r="19694">
      <c r="C19694" s="18" t="n"/>
      <c r="J19694" s="19" t="n"/>
      <c r="P19694" s="20" t="n"/>
      <c r="Q19694" s="19" t="n"/>
      <c r="R19694" s="19" t="n"/>
      <c r="Y19694" s="19" t="n"/>
    </row>
    <row r="19695">
      <c r="C19695" s="18" t="n"/>
      <c r="J19695" s="19" t="n"/>
      <c r="P19695" s="20" t="n"/>
      <c r="Q19695" s="19" t="n"/>
      <c r="R19695" s="19" t="n"/>
      <c r="Y19695" s="19" t="n"/>
    </row>
    <row r="19696">
      <c r="C19696" s="18" t="n"/>
      <c r="J19696" s="19" t="n"/>
      <c r="P19696" s="20" t="n"/>
      <c r="Q19696" s="19" t="n"/>
      <c r="R19696" s="19" t="n"/>
      <c r="Y19696" s="19" t="n"/>
    </row>
    <row r="19697">
      <c r="C19697" s="18" t="n"/>
      <c r="J19697" s="19" t="n"/>
      <c r="P19697" s="20" t="n"/>
      <c r="Q19697" s="19" t="n"/>
      <c r="R19697" s="19" t="n"/>
      <c r="Y19697" s="19" t="n"/>
    </row>
    <row r="19698">
      <c r="C19698" s="18" t="n"/>
      <c r="J19698" s="19" t="n"/>
      <c r="P19698" s="20" t="n"/>
      <c r="Q19698" s="19" t="n"/>
      <c r="R19698" s="19" t="n"/>
      <c r="Y19698" s="19" t="n"/>
    </row>
    <row r="19699">
      <c r="C19699" s="18" t="n"/>
      <c r="J19699" s="19" t="n"/>
      <c r="P19699" s="20" t="n"/>
      <c r="Q19699" s="19" t="n"/>
      <c r="R19699" s="19" t="n"/>
      <c r="Y19699" s="19" t="n"/>
    </row>
    <row r="19700">
      <c r="C19700" s="18" t="n"/>
      <c r="J19700" s="19" t="n"/>
      <c r="P19700" s="20" t="n"/>
      <c r="Q19700" s="19" t="n"/>
      <c r="R19700" s="19" t="n"/>
      <c r="Y19700" s="19" t="n"/>
    </row>
    <row r="19701">
      <c r="C19701" s="18" t="n"/>
      <c r="J19701" s="19" t="n"/>
      <c r="P19701" s="20" t="n"/>
      <c r="Q19701" s="19" t="n"/>
      <c r="R19701" s="19" t="n"/>
      <c r="Y19701" s="19" t="n"/>
    </row>
    <row r="19702">
      <c r="C19702" s="18" t="n"/>
      <c r="J19702" s="19" t="n"/>
      <c r="P19702" s="20" t="n"/>
      <c r="Q19702" s="19" t="n"/>
      <c r="R19702" s="19" t="n"/>
      <c r="Y19702" s="19" t="n"/>
    </row>
    <row r="19703">
      <c r="C19703" s="18" t="n"/>
      <c r="J19703" s="19" t="n"/>
      <c r="P19703" s="20" t="n"/>
      <c r="Q19703" s="19" t="n"/>
      <c r="R19703" s="19" t="n"/>
      <c r="Y19703" s="19" t="n"/>
    </row>
    <row r="19704">
      <c r="C19704" s="18" t="n"/>
      <c r="J19704" s="19" t="n"/>
      <c r="P19704" s="20" t="n"/>
      <c r="Q19704" s="19" t="n"/>
      <c r="R19704" s="19" t="n"/>
      <c r="Y19704" s="19" t="n"/>
    </row>
    <row r="19705">
      <c r="C19705" s="18" t="n"/>
      <c r="J19705" s="19" t="n"/>
      <c r="P19705" s="20" t="n"/>
      <c r="Q19705" s="19" t="n"/>
      <c r="R19705" s="19" t="n"/>
      <c r="Y19705" s="19" t="n"/>
    </row>
    <row r="19706">
      <c r="C19706" s="18" t="n"/>
      <c r="J19706" s="19" t="n"/>
      <c r="P19706" s="20" t="n"/>
      <c r="Q19706" s="19" t="n"/>
      <c r="R19706" s="19" t="n"/>
      <c r="Y19706" s="19" t="n"/>
    </row>
    <row r="19707">
      <c r="C19707" s="18" t="n"/>
      <c r="J19707" s="19" t="n"/>
      <c r="P19707" s="20" t="n"/>
      <c r="Q19707" s="19" t="n"/>
      <c r="R19707" s="19" t="n"/>
      <c r="Y19707" s="19" t="n"/>
    </row>
    <row r="19708">
      <c r="C19708" s="18" t="n"/>
      <c r="J19708" s="19" t="n"/>
      <c r="P19708" s="20" t="n"/>
      <c r="Q19708" s="19" t="n"/>
      <c r="R19708" s="19" t="n"/>
      <c r="Y19708" s="19" t="n"/>
    </row>
    <row r="19709">
      <c r="C19709" s="18" t="n"/>
      <c r="J19709" s="19" t="n"/>
      <c r="P19709" s="20" t="n"/>
      <c r="Q19709" s="19" t="n"/>
      <c r="R19709" s="19" t="n"/>
      <c r="Y19709" s="19" t="n"/>
    </row>
    <row r="19710">
      <c r="C19710" s="18" t="n"/>
      <c r="J19710" s="19" t="n"/>
      <c r="P19710" s="20" t="n"/>
      <c r="Q19710" s="19" t="n"/>
      <c r="R19710" s="19" t="n"/>
      <c r="Y19710" s="19" t="n"/>
    </row>
    <row r="19711">
      <c r="C19711" s="18" t="n"/>
      <c r="J19711" s="19" t="n"/>
      <c r="P19711" s="20" t="n"/>
      <c r="Q19711" s="19" t="n"/>
      <c r="R19711" s="19" t="n"/>
      <c r="Y19711" s="19" t="n"/>
    </row>
    <row r="19712">
      <c r="C19712" s="18" t="n"/>
      <c r="J19712" s="19" t="n"/>
      <c r="P19712" s="20" t="n"/>
      <c r="Q19712" s="19" t="n"/>
      <c r="R19712" s="19" t="n"/>
      <c r="Y19712" s="19" t="n"/>
    </row>
    <row r="19713">
      <c r="C19713" s="18" t="n"/>
      <c r="J19713" s="19" t="n"/>
      <c r="P19713" s="20" t="n"/>
      <c r="Q19713" s="19" t="n"/>
      <c r="R19713" s="19" t="n"/>
      <c r="Y19713" s="19" t="n"/>
    </row>
    <row r="19714">
      <c r="C19714" s="18" t="n"/>
      <c r="J19714" s="19" t="n"/>
      <c r="P19714" s="20" t="n"/>
      <c r="Q19714" s="19" t="n"/>
      <c r="R19714" s="19" t="n"/>
      <c r="Y19714" s="19" t="n"/>
    </row>
    <row r="19715">
      <c r="C19715" s="18" t="n"/>
      <c r="J19715" s="19" t="n"/>
      <c r="P19715" s="20" t="n"/>
      <c r="Q19715" s="19" t="n"/>
      <c r="R19715" s="19" t="n"/>
      <c r="Y19715" s="19" t="n"/>
    </row>
    <row r="19716">
      <c r="C19716" s="18" t="n"/>
      <c r="J19716" s="19" t="n"/>
      <c r="P19716" s="20" t="n"/>
      <c r="Q19716" s="19" t="n"/>
      <c r="R19716" s="19" t="n"/>
      <c r="Y19716" s="19" t="n"/>
    </row>
    <row r="19717">
      <c r="C19717" s="18" t="n"/>
      <c r="J19717" s="19" t="n"/>
      <c r="P19717" s="20" t="n"/>
      <c r="Q19717" s="19" t="n"/>
      <c r="R19717" s="19" t="n"/>
      <c r="Y19717" s="19" t="n"/>
    </row>
    <row r="19718">
      <c r="C19718" s="18" t="n"/>
      <c r="J19718" s="19" t="n"/>
      <c r="P19718" s="20" t="n"/>
      <c r="Q19718" s="19" t="n"/>
      <c r="R19718" s="19" t="n"/>
      <c r="Y19718" s="19" t="n"/>
    </row>
    <row r="19719">
      <c r="C19719" s="18" t="n"/>
      <c r="J19719" s="19" t="n"/>
      <c r="P19719" s="20" t="n"/>
      <c r="Q19719" s="19" t="n"/>
      <c r="R19719" s="19" t="n"/>
      <c r="Y19719" s="19" t="n"/>
    </row>
    <row r="19720">
      <c r="C19720" s="18" t="n"/>
      <c r="J19720" s="19" t="n"/>
      <c r="P19720" s="20" t="n"/>
      <c r="Q19720" s="19" t="n"/>
      <c r="R19720" s="19" t="n"/>
      <c r="Y19720" s="19" t="n"/>
    </row>
    <row r="19721">
      <c r="C19721" s="18" t="n"/>
      <c r="J19721" s="19" t="n"/>
      <c r="P19721" s="20" t="n"/>
      <c r="Q19721" s="19" t="n"/>
      <c r="R19721" s="19" t="n"/>
      <c r="Y19721" s="19" t="n"/>
    </row>
    <row r="19722">
      <c r="C19722" s="18" t="n"/>
      <c r="J19722" s="19" t="n"/>
      <c r="P19722" s="20" t="n"/>
      <c r="Q19722" s="19" t="n"/>
      <c r="R19722" s="19" t="n"/>
      <c r="Y19722" s="19" t="n"/>
    </row>
    <row r="19723">
      <c r="C19723" s="18" t="n"/>
      <c r="J19723" s="19" t="n"/>
      <c r="P19723" s="20" t="n"/>
      <c r="Q19723" s="19" t="n"/>
      <c r="R19723" s="19" t="n"/>
      <c r="Y19723" s="19" t="n"/>
    </row>
    <row r="19724">
      <c r="C19724" s="18" t="n"/>
      <c r="J19724" s="19" t="n"/>
      <c r="P19724" s="20" t="n"/>
      <c r="Q19724" s="19" t="n"/>
      <c r="R19724" s="19" t="n"/>
      <c r="Y19724" s="19" t="n"/>
    </row>
    <row r="19725">
      <c r="C19725" s="18" t="n"/>
      <c r="J19725" s="19" t="n"/>
      <c r="P19725" s="20" t="n"/>
      <c r="Q19725" s="19" t="n"/>
      <c r="R19725" s="19" t="n"/>
      <c r="Y19725" s="19" t="n"/>
    </row>
    <row r="19726">
      <c r="C19726" s="18" t="n"/>
      <c r="J19726" s="19" t="n"/>
      <c r="P19726" s="20" t="n"/>
      <c r="Q19726" s="19" t="n"/>
      <c r="R19726" s="19" t="n"/>
      <c r="Y19726" s="19" t="n"/>
    </row>
    <row r="19727">
      <c r="C19727" s="18" t="n"/>
      <c r="J19727" s="19" t="n"/>
      <c r="P19727" s="20" t="n"/>
      <c r="Q19727" s="19" t="n"/>
      <c r="R19727" s="19" t="n"/>
      <c r="Y19727" s="19" t="n"/>
    </row>
    <row r="19728">
      <c r="C19728" s="18" t="n"/>
      <c r="J19728" s="19" t="n"/>
      <c r="P19728" s="20" t="n"/>
      <c r="Q19728" s="19" t="n"/>
      <c r="R19728" s="19" t="n"/>
      <c r="Y19728" s="19" t="n"/>
    </row>
    <row r="19729">
      <c r="C19729" s="18" t="n"/>
      <c r="J19729" s="19" t="n"/>
      <c r="P19729" s="20" t="n"/>
      <c r="Q19729" s="19" t="n"/>
      <c r="R19729" s="19" t="n"/>
      <c r="Y19729" s="19" t="n"/>
    </row>
    <row r="19730">
      <c r="C19730" s="18" t="n"/>
      <c r="J19730" s="19" t="n"/>
      <c r="P19730" s="20" t="n"/>
      <c r="Q19730" s="19" t="n"/>
      <c r="R19730" s="19" t="n"/>
      <c r="Y19730" s="19" t="n"/>
    </row>
    <row r="19731">
      <c r="C19731" s="18" t="n"/>
      <c r="J19731" s="19" t="n"/>
      <c r="P19731" s="20" t="n"/>
      <c r="Q19731" s="19" t="n"/>
      <c r="R19731" s="19" t="n"/>
      <c r="Y19731" s="19" t="n"/>
    </row>
    <row r="19732">
      <c r="C19732" s="18" t="n"/>
      <c r="J19732" s="19" t="n"/>
      <c r="P19732" s="20" t="n"/>
      <c r="Q19732" s="19" t="n"/>
      <c r="R19732" s="19" t="n"/>
      <c r="Y19732" s="19" t="n"/>
    </row>
    <row r="19733">
      <c r="C19733" s="18" t="n"/>
      <c r="J19733" s="19" t="n"/>
      <c r="P19733" s="20" t="n"/>
      <c r="Q19733" s="19" t="n"/>
      <c r="R19733" s="19" t="n"/>
      <c r="Y19733" s="19" t="n"/>
    </row>
    <row r="19734">
      <c r="C19734" s="18" t="n"/>
      <c r="J19734" s="19" t="n"/>
      <c r="P19734" s="20" t="n"/>
      <c r="Q19734" s="19" t="n"/>
      <c r="R19734" s="19" t="n"/>
      <c r="Y19734" s="19" t="n"/>
    </row>
    <row r="19735">
      <c r="C19735" s="18" t="n"/>
      <c r="J19735" s="19" t="n"/>
      <c r="P19735" s="20" t="n"/>
      <c r="Q19735" s="19" t="n"/>
      <c r="R19735" s="19" t="n"/>
      <c r="Y19735" s="19" t="n"/>
    </row>
    <row r="19736">
      <c r="C19736" s="18" t="n"/>
      <c r="J19736" s="19" t="n"/>
      <c r="P19736" s="20" t="n"/>
      <c r="Q19736" s="19" t="n"/>
      <c r="R19736" s="19" t="n"/>
      <c r="Y19736" s="19" t="n"/>
    </row>
    <row r="19737">
      <c r="C19737" s="18" t="n"/>
      <c r="J19737" s="19" t="n"/>
      <c r="P19737" s="20" t="n"/>
      <c r="Q19737" s="19" t="n"/>
      <c r="R19737" s="19" t="n"/>
      <c r="Y19737" s="19" t="n"/>
    </row>
    <row r="19738">
      <c r="C19738" s="18" t="n"/>
      <c r="J19738" s="19" t="n"/>
      <c r="P19738" s="20" t="n"/>
      <c r="Q19738" s="19" t="n"/>
      <c r="R19738" s="19" t="n"/>
      <c r="Y19738" s="19" t="n"/>
    </row>
    <row r="19739">
      <c r="C19739" s="18" t="n"/>
      <c r="J19739" s="19" t="n"/>
      <c r="P19739" s="20" t="n"/>
      <c r="Q19739" s="19" t="n"/>
      <c r="R19739" s="19" t="n"/>
      <c r="Y19739" s="19" t="n"/>
    </row>
    <row r="19740">
      <c r="C19740" s="18" t="n"/>
      <c r="J19740" s="19" t="n"/>
      <c r="P19740" s="20" t="n"/>
      <c r="Q19740" s="19" t="n"/>
      <c r="R19740" s="19" t="n"/>
      <c r="Y19740" s="19" t="n"/>
    </row>
    <row r="19741">
      <c r="C19741" s="18" t="n"/>
      <c r="J19741" s="19" t="n"/>
      <c r="P19741" s="20" t="n"/>
      <c r="Q19741" s="19" t="n"/>
      <c r="R19741" s="19" t="n"/>
      <c r="Y19741" s="19" t="n"/>
    </row>
    <row r="19742">
      <c r="C19742" s="18" t="n"/>
      <c r="J19742" s="19" t="n"/>
      <c r="P19742" s="20" t="n"/>
      <c r="Q19742" s="19" t="n"/>
      <c r="R19742" s="19" t="n"/>
      <c r="Y19742" s="19" t="n"/>
    </row>
    <row r="19743">
      <c r="C19743" s="18" t="n"/>
      <c r="J19743" s="19" t="n"/>
      <c r="P19743" s="20" t="n"/>
      <c r="Q19743" s="19" t="n"/>
      <c r="R19743" s="19" t="n"/>
      <c r="Y19743" s="19" t="n"/>
    </row>
    <row r="19744">
      <c r="C19744" s="18" t="n"/>
      <c r="J19744" s="19" t="n"/>
      <c r="P19744" s="20" t="n"/>
      <c r="Q19744" s="19" t="n"/>
      <c r="R19744" s="19" t="n"/>
      <c r="Y19744" s="19" t="n"/>
    </row>
    <row r="19745">
      <c r="C19745" s="18" t="n"/>
      <c r="J19745" s="19" t="n"/>
      <c r="P19745" s="20" t="n"/>
      <c r="Q19745" s="19" t="n"/>
      <c r="R19745" s="19" t="n"/>
      <c r="Y19745" s="19" t="n"/>
    </row>
    <row r="19746">
      <c r="C19746" s="18" t="n"/>
      <c r="J19746" s="19" t="n"/>
      <c r="P19746" s="20" t="n"/>
      <c r="Q19746" s="19" t="n"/>
      <c r="R19746" s="19" t="n"/>
      <c r="Y19746" s="19" t="n"/>
    </row>
    <row r="19747">
      <c r="C19747" s="18" t="n"/>
      <c r="J19747" s="19" t="n"/>
      <c r="P19747" s="20" t="n"/>
      <c r="Q19747" s="19" t="n"/>
      <c r="R19747" s="19" t="n"/>
      <c r="Y19747" s="19" t="n"/>
    </row>
    <row r="19748">
      <c r="C19748" s="18" t="n"/>
      <c r="J19748" s="19" t="n"/>
      <c r="P19748" s="20" t="n"/>
      <c r="Q19748" s="19" t="n"/>
      <c r="R19748" s="19" t="n"/>
      <c r="Y19748" s="19" t="n"/>
    </row>
    <row r="19749">
      <c r="C19749" s="18" t="n"/>
      <c r="J19749" s="19" t="n"/>
      <c r="P19749" s="20" t="n"/>
      <c r="Q19749" s="19" t="n"/>
      <c r="R19749" s="19" t="n"/>
      <c r="Y19749" s="19" t="n"/>
    </row>
    <row r="19750">
      <c r="C19750" s="18" t="n"/>
      <c r="J19750" s="19" t="n"/>
      <c r="P19750" s="20" t="n"/>
      <c r="Q19750" s="19" t="n"/>
      <c r="R19750" s="19" t="n"/>
      <c r="Y19750" s="19" t="n"/>
    </row>
    <row r="19751">
      <c r="C19751" s="18" t="n"/>
      <c r="J19751" s="19" t="n"/>
      <c r="P19751" s="20" t="n"/>
      <c r="Q19751" s="19" t="n"/>
      <c r="R19751" s="19" t="n"/>
      <c r="Y19751" s="19" t="n"/>
    </row>
    <row r="19752">
      <c r="C19752" s="18" t="n"/>
      <c r="J19752" s="19" t="n"/>
      <c r="P19752" s="20" t="n"/>
      <c r="Q19752" s="19" t="n"/>
      <c r="R19752" s="19" t="n"/>
      <c r="Y19752" s="19" t="n"/>
    </row>
    <row r="19753">
      <c r="C19753" s="18" t="n"/>
      <c r="J19753" s="19" t="n"/>
      <c r="P19753" s="20" t="n"/>
      <c r="Q19753" s="19" t="n"/>
      <c r="R19753" s="19" t="n"/>
      <c r="Y19753" s="19" t="n"/>
    </row>
    <row r="19754">
      <c r="C19754" s="18" t="n"/>
      <c r="J19754" s="19" t="n"/>
      <c r="P19754" s="20" t="n"/>
      <c r="Q19754" s="19" t="n"/>
      <c r="R19754" s="19" t="n"/>
      <c r="Y19754" s="19" t="n"/>
    </row>
    <row r="19755">
      <c r="C19755" s="18" t="n"/>
      <c r="J19755" s="19" t="n"/>
      <c r="P19755" s="20" t="n"/>
      <c r="Q19755" s="19" t="n"/>
      <c r="R19755" s="19" t="n"/>
      <c r="Y19755" s="19" t="n"/>
    </row>
    <row r="19756">
      <c r="C19756" s="18" t="n"/>
      <c r="J19756" s="19" t="n"/>
      <c r="P19756" s="20" t="n"/>
      <c r="Q19756" s="19" t="n"/>
      <c r="R19756" s="19" t="n"/>
      <c r="Y19756" s="19" t="n"/>
    </row>
    <row r="19757">
      <c r="C19757" s="18" t="n"/>
      <c r="J19757" s="19" t="n"/>
      <c r="P19757" s="20" t="n"/>
      <c r="Q19757" s="19" t="n"/>
      <c r="R19757" s="19" t="n"/>
      <c r="Y19757" s="19" t="n"/>
    </row>
    <row r="19758">
      <c r="C19758" s="18" t="n"/>
      <c r="J19758" s="19" t="n"/>
      <c r="P19758" s="20" t="n"/>
      <c r="Q19758" s="19" t="n"/>
      <c r="R19758" s="19" t="n"/>
      <c r="Y19758" s="19" t="n"/>
    </row>
    <row r="19759">
      <c r="C19759" s="18" t="n"/>
      <c r="J19759" s="19" t="n"/>
      <c r="P19759" s="20" t="n"/>
      <c r="Q19759" s="19" t="n"/>
      <c r="R19759" s="19" t="n"/>
      <c r="Y19759" s="19" t="n"/>
    </row>
    <row r="19760">
      <c r="C19760" s="18" t="n"/>
      <c r="J19760" s="19" t="n"/>
      <c r="P19760" s="20" t="n"/>
      <c r="Q19760" s="19" t="n"/>
      <c r="R19760" s="19" t="n"/>
      <c r="Y19760" s="19" t="n"/>
    </row>
    <row r="19761">
      <c r="C19761" s="18" t="n"/>
      <c r="J19761" s="19" t="n"/>
      <c r="P19761" s="20" t="n"/>
      <c r="Q19761" s="19" t="n"/>
      <c r="R19761" s="19" t="n"/>
      <c r="Y19761" s="19" t="n"/>
    </row>
    <row r="19762">
      <c r="C19762" s="18" t="n"/>
      <c r="J19762" s="19" t="n"/>
      <c r="P19762" s="20" t="n"/>
      <c r="Q19762" s="19" t="n"/>
      <c r="R19762" s="19" t="n"/>
      <c r="Y19762" s="19" t="n"/>
    </row>
    <row r="19763">
      <c r="C19763" s="18" t="n"/>
      <c r="J19763" s="19" t="n"/>
      <c r="P19763" s="20" t="n"/>
      <c r="Q19763" s="19" t="n"/>
      <c r="R19763" s="19" t="n"/>
      <c r="Y19763" s="19" t="n"/>
    </row>
    <row r="19764">
      <c r="C19764" s="18" t="n"/>
      <c r="J19764" s="19" t="n"/>
      <c r="P19764" s="20" t="n"/>
      <c r="Q19764" s="19" t="n"/>
      <c r="R19764" s="19" t="n"/>
      <c r="Y19764" s="19" t="n"/>
    </row>
    <row r="19765">
      <c r="C19765" s="18" t="n"/>
      <c r="J19765" s="19" t="n"/>
      <c r="P19765" s="20" t="n"/>
      <c r="Q19765" s="19" t="n"/>
      <c r="R19765" s="19" t="n"/>
      <c r="Y19765" s="19" t="n"/>
    </row>
    <row r="19766">
      <c r="C19766" s="18" t="n"/>
      <c r="J19766" s="19" t="n"/>
      <c r="P19766" s="20" t="n"/>
      <c r="Q19766" s="19" t="n"/>
      <c r="R19766" s="19" t="n"/>
      <c r="Y19766" s="19" t="n"/>
    </row>
    <row r="19767">
      <c r="C19767" s="18" t="n"/>
      <c r="J19767" s="19" t="n"/>
      <c r="P19767" s="20" t="n"/>
      <c r="Q19767" s="19" t="n"/>
      <c r="R19767" s="19" t="n"/>
      <c r="Y19767" s="19" t="n"/>
    </row>
    <row r="19768">
      <c r="C19768" s="18" t="n"/>
      <c r="J19768" s="19" t="n"/>
      <c r="P19768" s="20" t="n"/>
      <c r="Q19768" s="19" t="n"/>
      <c r="R19768" s="19" t="n"/>
      <c r="Y19768" s="19" t="n"/>
    </row>
    <row r="19769">
      <c r="C19769" s="18" t="n"/>
      <c r="J19769" s="19" t="n"/>
      <c r="P19769" s="20" t="n"/>
      <c r="Q19769" s="19" t="n"/>
      <c r="R19769" s="19" t="n"/>
      <c r="Y19769" s="19" t="n"/>
    </row>
    <row r="19770">
      <c r="C19770" s="18" t="n"/>
      <c r="J19770" s="19" t="n"/>
      <c r="P19770" s="20" t="n"/>
      <c r="Q19770" s="19" t="n"/>
      <c r="R19770" s="19" t="n"/>
      <c r="Y19770" s="19" t="n"/>
    </row>
    <row r="19771">
      <c r="C19771" s="18" t="n"/>
      <c r="J19771" s="19" t="n"/>
      <c r="P19771" s="20" t="n"/>
      <c r="Q19771" s="19" t="n"/>
      <c r="R19771" s="19" t="n"/>
      <c r="Y19771" s="19" t="n"/>
    </row>
    <row r="19772">
      <c r="C19772" s="18" t="n"/>
      <c r="J19772" s="19" t="n"/>
      <c r="P19772" s="20" t="n"/>
      <c r="Q19772" s="19" t="n"/>
      <c r="R19772" s="19" t="n"/>
      <c r="Y19772" s="19" t="n"/>
    </row>
    <row r="19773">
      <c r="C19773" s="18" t="n"/>
      <c r="J19773" s="19" t="n"/>
      <c r="P19773" s="20" t="n"/>
      <c r="Q19773" s="19" t="n"/>
      <c r="R19773" s="19" t="n"/>
      <c r="Y19773" s="19" t="n"/>
    </row>
    <row r="19774">
      <c r="C19774" s="18" t="n"/>
      <c r="J19774" s="19" t="n"/>
      <c r="P19774" s="20" t="n"/>
      <c r="Q19774" s="19" t="n"/>
      <c r="R19774" s="19" t="n"/>
      <c r="Y19774" s="19" t="n"/>
    </row>
    <row r="19775">
      <c r="C19775" s="18" t="n"/>
      <c r="J19775" s="19" t="n"/>
      <c r="P19775" s="20" t="n"/>
      <c r="Q19775" s="19" t="n"/>
      <c r="R19775" s="19" t="n"/>
      <c r="Y19775" s="19" t="n"/>
    </row>
    <row r="19776">
      <c r="C19776" s="18" t="n"/>
      <c r="J19776" s="19" t="n"/>
      <c r="P19776" s="20" t="n"/>
      <c r="Q19776" s="19" t="n"/>
      <c r="R19776" s="19" t="n"/>
      <c r="Y19776" s="19" t="n"/>
    </row>
    <row r="19777">
      <c r="C19777" s="18" t="n"/>
      <c r="J19777" s="19" t="n"/>
      <c r="P19777" s="20" t="n"/>
      <c r="Q19777" s="19" t="n"/>
      <c r="R19777" s="19" t="n"/>
      <c r="Y19777" s="19" t="n"/>
    </row>
    <row r="19778">
      <c r="C19778" s="18" t="n"/>
      <c r="J19778" s="19" t="n"/>
      <c r="P19778" s="20" t="n"/>
      <c r="Q19778" s="19" t="n"/>
      <c r="R19778" s="19" t="n"/>
      <c r="Y19778" s="19" t="n"/>
    </row>
    <row r="19779">
      <c r="C19779" s="18" t="n"/>
      <c r="J19779" s="19" t="n"/>
      <c r="P19779" s="20" t="n"/>
      <c r="Q19779" s="19" t="n"/>
      <c r="R19779" s="19" t="n"/>
      <c r="Y19779" s="19" t="n"/>
    </row>
    <row r="19780">
      <c r="C19780" s="18" t="n"/>
      <c r="J19780" s="19" t="n"/>
      <c r="P19780" s="20" t="n"/>
      <c r="Q19780" s="19" t="n"/>
      <c r="R19780" s="19" t="n"/>
      <c r="Y19780" s="19" t="n"/>
    </row>
    <row r="19781">
      <c r="C19781" s="18" t="n"/>
      <c r="J19781" s="19" t="n"/>
      <c r="P19781" s="20" t="n"/>
      <c r="Q19781" s="19" t="n"/>
      <c r="R19781" s="19" t="n"/>
      <c r="Y19781" s="19" t="n"/>
    </row>
    <row r="19782">
      <c r="C19782" s="18" t="n"/>
      <c r="J19782" s="19" t="n"/>
      <c r="P19782" s="20" t="n"/>
      <c r="Q19782" s="19" t="n"/>
      <c r="R19782" s="19" t="n"/>
      <c r="Y19782" s="19" t="n"/>
    </row>
    <row r="19783">
      <c r="C19783" s="18" t="n"/>
      <c r="J19783" s="19" t="n"/>
      <c r="P19783" s="20" t="n"/>
      <c r="Q19783" s="19" t="n"/>
      <c r="R19783" s="19" t="n"/>
      <c r="Y19783" s="19" t="n"/>
    </row>
    <row r="19784">
      <c r="C19784" s="18" t="n"/>
      <c r="J19784" s="19" t="n"/>
      <c r="P19784" s="20" t="n"/>
      <c r="Q19784" s="19" t="n"/>
      <c r="R19784" s="19" t="n"/>
      <c r="Y19784" s="19" t="n"/>
    </row>
    <row r="19785">
      <c r="C19785" s="18" t="n"/>
      <c r="J19785" s="19" t="n"/>
      <c r="P19785" s="20" t="n"/>
      <c r="Q19785" s="19" t="n"/>
      <c r="R19785" s="19" t="n"/>
      <c r="Y19785" s="19" t="n"/>
    </row>
    <row r="19786">
      <c r="C19786" s="18" t="n"/>
      <c r="J19786" s="19" t="n"/>
      <c r="P19786" s="20" t="n"/>
      <c r="Q19786" s="19" t="n"/>
      <c r="R19786" s="19" t="n"/>
      <c r="Y19786" s="19" t="n"/>
    </row>
    <row r="19787">
      <c r="C19787" s="18" t="n"/>
      <c r="J19787" s="19" t="n"/>
      <c r="P19787" s="20" t="n"/>
      <c r="Q19787" s="19" t="n"/>
      <c r="R19787" s="19" t="n"/>
      <c r="Y19787" s="19" t="n"/>
    </row>
    <row r="19788">
      <c r="C19788" s="18" t="n"/>
      <c r="J19788" s="19" t="n"/>
      <c r="P19788" s="20" t="n"/>
      <c r="Q19788" s="19" t="n"/>
      <c r="R19788" s="19" t="n"/>
      <c r="Y19788" s="19" t="n"/>
    </row>
    <row r="19789">
      <c r="C19789" s="18" t="n"/>
      <c r="J19789" s="19" t="n"/>
      <c r="P19789" s="20" t="n"/>
      <c r="Q19789" s="19" t="n"/>
      <c r="R19789" s="19" t="n"/>
      <c r="Y19789" s="19" t="n"/>
    </row>
    <row r="19790">
      <c r="C19790" s="18" t="n"/>
      <c r="J19790" s="19" t="n"/>
      <c r="P19790" s="20" t="n"/>
      <c r="Q19790" s="19" t="n"/>
      <c r="R19790" s="19" t="n"/>
      <c r="Y19790" s="19" t="n"/>
    </row>
    <row r="19791">
      <c r="C19791" s="18" t="n"/>
      <c r="J19791" s="19" t="n"/>
      <c r="P19791" s="20" t="n"/>
      <c r="Q19791" s="19" t="n"/>
      <c r="R19791" s="19" t="n"/>
      <c r="Y19791" s="19" t="n"/>
    </row>
    <row r="19792">
      <c r="C19792" s="18" t="n"/>
      <c r="J19792" s="19" t="n"/>
      <c r="P19792" s="20" t="n"/>
      <c r="Q19792" s="19" t="n"/>
      <c r="R19792" s="19" t="n"/>
      <c r="Y19792" s="19" t="n"/>
    </row>
    <row r="19793">
      <c r="C19793" s="18" t="n"/>
      <c r="J19793" s="19" t="n"/>
      <c r="P19793" s="20" t="n"/>
      <c r="Q19793" s="19" t="n"/>
      <c r="R19793" s="19" t="n"/>
      <c r="Y19793" s="19" t="n"/>
    </row>
    <row r="19794">
      <c r="C19794" s="18" t="n"/>
      <c r="J19794" s="19" t="n"/>
      <c r="P19794" s="20" t="n"/>
      <c r="Q19794" s="19" t="n"/>
      <c r="R19794" s="19" t="n"/>
      <c r="Y19794" s="19" t="n"/>
    </row>
    <row r="19795">
      <c r="C19795" s="18" t="n"/>
      <c r="J19795" s="19" t="n"/>
      <c r="P19795" s="20" t="n"/>
      <c r="Q19795" s="19" t="n"/>
      <c r="R19795" s="19" t="n"/>
      <c r="Y19795" s="19" t="n"/>
    </row>
    <row r="19796">
      <c r="C19796" s="18" t="n"/>
      <c r="J19796" s="19" t="n"/>
      <c r="P19796" s="20" t="n"/>
      <c r="Q19796" s="19" t="n"/>
      <c r="R19796" s="19" t="n"/>
      <c r="Y19796" s="19" t="n"/>
    </row>
    <row r="19797">
      <c r="C19797" s="18" t="n"/>
      <c r="J19797" s="19" t="n"/>
      <c r="P19797" s="20" t="n"/>
      <c r="Q19797" s="19" t="n"/>
      <c r="R19797" s="19" t="n"/>
      <c r="Y19797" s="19" t="n"/>
    </row>
    <row r="19798">
      <c r="C19798" s="18" t="n"/>
      <c r="J19798" s="19" t="n"/>
      <c r="P19798" s="20" t="n"/>
      <c r="Q19798" s="19" t="n"/>
      <c r="R19798" s="19" t="n"/>
      <c r="Y19798" s="19" t="n"/>
    </row>
    <row r="19799">
      <c r="C19799" s="18" t="n"/>
      <c r="J19799" s="19" t="n"/>
      <c r="P19799" s="20" t="n"/>
      <c r="Q19799" s="19" t="n"/>
      <c r="R19799" s="19" t="n"/>
      <c r="Y19799" s="19" t="n"/>
    </row>
    <row r="19800">
      <c r="C19800" s="18" t="n"/>
      <c r="J19800" s="19" t="n"/>
      <c r="P19800" s="20" t="n"/>
      <c r="Q19800" s="19" t="n"/>
      <c r="R19800" s="19" t="n"/>
      <c r="Y19800" s="19" t="n"/>
    </row>
    <row r="19801">
      <c r="C19801" s="18" t="n"/>
      <c r="J19801" s="19" t="n"/>
      <c r="P19801" s="20" t="n"/>
      <c r="Q19801" s="19" t="n"/>
      <c r="R19801" s="19" t="n"/>
      <c r="Y19801" s="19" t="n"/>
    </row>
    <row r="19802">
      <c r="C19802" s="18" t="n"/>
      <c r="J19802" s="19" t="n"/>
      <c r="P19802" s="20" t="n"/>
      <c r="Q19802" s="19" t="n"/>
      <c r="R19802" s="19" t="n"/>
      <c r="Y19802" s="19" t="n"/>
    </row>
    <row r="19803">
      <c r="C19803" s="18" t="n"/>
      <c r="J19803" s="19" t="n"/>
      <c r="P19803" s="20" t="n"/>
      <c r="Q19803" s="19" t="n"/>
      <c r="R19803" s="19" t="n"/>
      <c r="Y19803" s="19" t="n"/>
    </row>
    <row r="19804">
      <c r="C19804" s="18" t="n"/>
      <c r="J19804" s="19" t="n"/>
      <c r="P19804" s="20" t="n"/>
      <c r="Q19804" s="19" t="n"/>
      <c r="R19804" s="19" t="n"/>
      <c r="Y19804" s="19" t="n"/>
    </row>
    <row r="19805">
      <c r="C19805" s="18" t="n"/>
      <c r="J19805" s="19" t="n"/>
      <c r="P19805" s="20" t="n"/>
      <c r="Q19805" s="19" t="n"/>
      <c r="R19805" s="19" t="n"/>
      <c r="Y19805" s="19" t="n"/>
    </row>
    <row r="19806">
      <c r="C19806" s="18" t="n"/>
      <c r="J19806" s="19" t="n"/>
      <c r="P19806" s="20" t="n"/>
      <c r="Q19806" s="19" t="n"/>
      <c r="R19806" s="19" t="n"/>
      <c r="Y19806" s="19" t="n"/>
    </row>
    <row r="19807">
      <c r="C19807" s="18" t="n"/>
      <c r="J19807" s="19" t="n"/>
      <c r="P19807" s="20" t="n"/>
      <c r="Q19807" s="19" t="n"/>
      <c r="R19807" s="19" t="n"/>
      <c r="Y19807" s="19" t="n"/>
    </row>
    <row r="19808">
      <c r="C19808" s="18" t="n"/>
      <c r="J19808" s="19" t="n"/>
      <c r="P19808" s="20" t="n"/>
      <c r="Q19808" s="19" t="n"/>
      <c r="R19808" s="19" t="n"/>
      <c r="Y19808" s="19" t="n"/>
    </row>
    <row r="19809">
      <c r="C19809" s="18" t="n"/>
      <c r="J19809" s="19" t="n"/>
      <c r="P19809" s="20" t="n"/>
      <c r="Q19809" s="19" t="n"/>
      <c r="R19809" s="19" t="n"/>
      <c r="Y19809" s="19" t="n"/>
    </row>
    <row r="19810">
      <c r="C19810" s="18" t="n"/>
      <c r="J19810" s="19" t="n"/>
      <c r="P19810" s="20" t="n"/>
      <c r="Q19810" s="19" t="n"/>
      <c r="R19810" s="19" t="n"/>
      <c r="Y19810" s="19" t="n"/>
    </row>
    <row r="19811">
      <c r="C19811" s="18" t="n"/>
      <c r="J19811" s="19" t="n"/>
      <c r="P19811" s="20" t="n"/>
      <c r="Q19811" s="19" t="n"/>
      <c r="R19811" s="19" t="n"/>
      <c r="Y19811" s="19" t="n"/>
    </row>
    <row r="19812">
      <c r="C19812" s="18" t="n"/>
      <c r="J19812" s="19" t="n"/>
      <c r="P19812" s="20" t="n"/>
      <c r="Q19812" s="19" t="n"/>
      <c r="R19812" s="19" t="n"/>
      <c r="Y19812" s="19" t="n"/>
    </row>
    <row r="19813">
      <c r="C19813" s="18" t="n"/>
      <c r="J19813" s="19" t="n"/>
      <c r="P19813" s="20" t="n"/>
      <c r="Q19813" s="19" t="n"/>
      <c r="R19813" s="19" t="n"/>
      <c r="Y19813" s="19" t="n"/>
    </row>
    <row r="19814">
      <c r="C19814" s="18" t="n"/>
      <c r="J19814" s="19" t="n"/>
      <c r="P19814" s="20" t="n"/>
      <c r="Q19814" s="19" t="n"/>
      <c r="R19814" s="19" t="n"/>
      <c r="Y19814" s="19" t="n"/>
    </row>
    <row r="19815">
      <c r="C19815" s="18" t="n"/>
      <c r="J19815" s="19" t="n"/>
      <c r="P19815" s="20" t="n"/>
      <c r="Q19815" s="19" t="n"/>
      <c r="R19815" s="19" t="n"/>
      <c r="Y19815" s="19" t="n"/>
    </row>
    <row r="19816">
      <c r="C19816" s="18" t="n"/>
      <c r="J19816" s="19" t="n"/>
      <c r="P19816" s="20" t="n"/>
      <c r="Q19816" s="19" t="n"/>
      <c r="R19816" s="19" t="n"/>
      <c r="Y19816" s="19" t="n"/>
    </row>
    <row r="19817">
      <c r="C19817" s="18" t="n"/>
      <c r="J19817" s="19" t="n"/>
      <c r="P19817" s="20" t="n"/>
      <c r="Q19817" s="19" t="n"/>
      <c r="R19817" s="19" t="n"/>
      <c r="Y19817" s="19" t="n"/>
    </row>
    <row r="19818">
      <c r="C19818" s="18" t="n"/>
      <c r="J19818" s="19" t="n"/>
      <c r="P19818" s="20" t="n"/>
      <c r="Q19818" s="19" t="n"/>
      <c r="R19818" s="19" t="n"/>
      <c r="Y19818" s="19" t="n"/>
    </row>
    <row r="19819">
      <c r="C19819" s="18" t="n"/>
      <c r="J19819" s="19" t="n"/>
      <c r="P19819" s="20" t="n"/>
      <c r="Q19819" s="19" t="n"/>
      <c r="R19819" s="19" t="n"/>
      <c r="Y19819" s="19" t="n"/>
    </row>
    <row r="19820">
      <c r="C19820" s="18" t="n"/>
      <c r="J19820" s="19" t="n"/>
      <c r="P19820" s="20" t="n"/>
      <c r="Q19820" s="19" t="n"/>
      <c r="R19820" s="19" t="n"/>
      <c r="Y19820" s="19" t="n"/>
    </row>
    <row r="19821">
      <c r="C19821" s="18" t="n"/>
      <c r="J19821" s="19" t="n"/>
      <c r="P19821" s="20" t="n"/>
      <c r="Q19821" s="19" t="n"/>
      <c r="R19821" s="19" t="n"/>
      <c r="Y19821" s="19" t="n"/>
    </row>
    <row r="19822">
      <c r="C19822" s="18" t="n"/>
      <c r="J19822" s="19" t="n"/>
      <c r="P19822" s="20" t="n"/>
      <c r="Q19822" s="19" t="n"/>
      <c r="R19822" s="19" t="n"/>
      <c r="Y19822" s="19" t="n"/>
    </row>
    <row r="19823">
      <c r="C19823" s="18" t="n"/>
      <c r="J19823" s="19" t="n"/>
      <c r="P19823" s="20" t="n"/>
      <c r="Q19823" s="19" t="n"/>
      <c r="R19823" s="19" t="n"/>
      <c r="Y19823" s="19" t="n"/>
    </row>
    <row r="19824">
      <c r="C19824" s="18" t="n"/>
      <c r="J19824" s="19" t="n"/>
      <c r="P19824" s="20" t="n"/>
      <c r="Q19824" s="19" t="n"/>
      <c r="R19824" s="19" t="n"/>
      <c r="Y19824" s="19" t="n"/>
    </row>
    <row r="19825">
      <c r="C19825" s="18" t="n"/>
      <c r="J19825" s="19" t="n"/>
      <c r="P19825" s="20" t="n"/>
      <c r="Q19825" s="19" t="n"/>
      <c r="R19825" s="19" t="n"/>
      <c r="Y19825" s="19" t="n"/>
    </row>
    <row r="19826">
      <c r="C19826" s="18" t="n"/>
      <c r="J19826" s="19" t="n"/>
      <c r="P19826" s="20" t="n"/>
      <c r="Q19826" s="19" t="n"/>
      <c r="R19826" s="19" t="n"/>
      <c r="Y19826" s="19" t="n"/>
    </row>
    <row r="19827">
      <c r="C19827" s="18" t="n"/>
      <c r="J19827" s="19" t="n"/>
      <c r="P19827" s="20" t="n"/>
      <c r="Q19827" s="19" t="n"/>
      <c r="R19827" s="19" t="n"/>
      <c r="Y19827" s="19" t="n"/>
    </row>
    <row r="19828">
      <c r="C19828" s="18" t="n"/>
      <c r="J19828" s="19" t="n"/>
      <c r="P19828" s="20" t="n"/>
      <c r="Q19828" s="19" t="n"/>
      <c r="R19828" s="19" t="n"/>
      <c r="Y19828" s="19" t="n"/>
    </row>
    <row r="19829">
      <c r="C19829" s="18" t="n"/>
      <c r="J19829" s="19" t="n"/>
      <c r="P19829" s="20" t="n"/>
      <c r="Q19829" s="19" t="n"/>
      <c r="R19829" s="19" t="n"/>
      <c r="Y19829" s="19" t="n"/>
    </row>
    <row r="19830">
      <c r="C19830" s="18" t="n"/>
      <c r="J19830" s="19" t="n"/>
      <c r="P19830" s="20" t="n"/>
      <c r="Q19830" s="19" t="n"/>
      <c r="R19830" s="19" t="n"/>
      <c r="Y19830" s="19" t="n"/>
    </row>
    <row r="19831">
      <c r="C19831" s="18" t="n"/>
      <c r="J19831" s="19" t="n"/>
      <c r="P19831" s="20" t="n"/>
      <c r="Q19831" s="19" t="n"/>
      <c r="R19831" s="19" t="n"/>
      <c r="Y19831" s="19" t="n"/>
    </row>
    <row r="19832">
      <c r="C19832" s="18" t="n"/>
      <c r="J19832" s="19" t="n"/>
      <c r="P19832" s="20" t="n"/>
      <c r="Q19832" s="19" t="n"/>
      <c r="R19832" s="19" t="n"/>
      <c r="Y19832" s="19" t="n"/>
    </row>
    <row r="19833">
      <c r="C19833" s="18" t="n"/>
      <c r="J19833" s="19" t="n"/>
      <c r="P19833" s="20" t="n"/>
      <c r="Q19833" s="19" t="n"/>
      <c r="R19833" s="19" t="n"/>
      <c r="Y19833" s="19" t="n"/>
    </row>
    <row r="19834">
      <c r="C19834" s="18" t="n"/>
      <c r="J19834" s="19" t="n"/>
      <c r="P19834" s="20" t="n"/>
      <c r="Q19834" s="19" t="n"/>
      <c r="R19834" s="19" t="n"/>
      <c r="Y19834" s="19" t="n"/>
    </row>
    <row r="19835">
      <c r="C19835" s="18" t="n"/>
      <c r="J19835" s="19" t="n"/>
      <c r="P19835" s="20" t="n"/>
      <c r="Q19835" s="19" t="n"/>
      <c r="R19835" s="19" t="n"/>
      <c r="Y19835" s="19" t="n"/>
    </row>
    <row r="19836">
      <c r="C19836" s="18" t="n"/>
      <c r="J19836" s="19" t="n"/>
      <c r="P19836" s="20" t="n"/>
      <c r="Q19836" s="19" t="n"/>
      <c r="R19836" s="19" t="n"/>
      <c r="Y19836" s="19" t="n"/>
    </row>
    <row r="19837">
      <c r="C19837" s="18" t="n"/>
      <c r="J19837" s="19" t="n"/>
      <c r="P19837" s="20" t="n"/>
      <c r="Q19837" s="19" t="n"/>
      <c r="R19837" s="19" t="n"/>
      <c r="Y19837" s="19" t="n"/>
    </row>
    <row r="19838">
      <c r="C19838" s="18" t="n"/>
      <c r="J19838" s="19" t="n"/>
      <c r="P19838" s="20" t="n"/>
      <c r="Q19838" s="19" t="n"/>
      <c r="R19838" s="19" t="n"/>
      <c r="Y19838" s="19" t="n"/>
    </row>
    <row r="19839">
      <c r="C19839" s="18" t="n"/>
      <c r="J19839" s="19" t="n"/>
      <c r="P19839" s="20" t="n"/>
      <c r="Q19839" s="19" t="n"/>
      <c r="R19839" s="19" t="n"/>
      <c r="Y19839" s="19" t="n"/>
    </row>
    <row r="19840">
      <c r="C19840" s="18" t="n"/>
      <c r="J19840" s="19" t="n"/>
      <c r="P19840" s="20" t="n"/>
      <c r="Q19840" s="19" t="n"/>
      <c r="R19840" s="19" t="n"/>
      <c r="Y19840" s="19" t="n"/>
    </row>
    <row r="19841">
      <c r="C19841" s="18" t="n"/>
      <c r="J19841" s="19" t="n"/>
      <c r="P19841" s="20" t="n"/>
      <c r="Q19841" s="19" t="n"/>
      <c r="R19841" s="19" t="n"/>
      <c r="Y19841" s="19" t="n"/>
    </row>
    <row r="19842">
      <c r="C19842" s="18" t="n"/>
      <c r="J19842" s="19" t="n"/>
      <c r="P19842" s="20" t="n"/>
      <c r="Q19842" s="19" t="n"/>
      <c r="R19842" s="19" t="n"/>
      <c r="Y19842" s="19" t="n"/>
    </row>
    <row r="19843">
      <c r="C19843" s="18" t="n"/>
      <c r="J19843" s="19" t="n"/>
      <c r="P19843" s="20" t="n"/>
      <c r="Q19843" s="19" t="n"/>
      <c r="R19843" s="19" t="n"/>
      <c r="Y19843" s="19" t="n"/>
    </row>
    <row r="19844">
      <c r="C19844" s="18" t="n"/>
      <c r="J19844" s="19" t="n"/>
      <c r="P19844" s="20" t="n"/>
      <c r="Q19844" s="19" t="n"/>
      <c r="R19844" s="19" t="n"/>
      <c r="Y19844" s="19" t="n"/>
    </row>
    <row r="19845">
      <c r="C19845" s="18" t="n"/>
      <c r="J19845" s="19" t="n"/>
      <c r="P19845" s="20" t="n"/>
      <c r="Q19845" s="19" t="n"/>
      <c r="R19845" s="19" t="n"/>
      <c r="Y19845" s="19" t="n"/>
    </row>
    <row r="19846">
      <c r="C19846" s="18" t="n"/>
      <c r="J19846" s="19" t="n"/>
      <c r="P19846" s="20" t="n"/>
      <c r="Q19846" s="19" t="n"/>
      <c r="R19846" s="19" t="n"/>
      <c r="Y19846" s="19" t="n"/>
    </row>
    <row r="19847">
      <c r="C19847" s="18" t="n"/>
      <c r="J19847" s="19" t="n"/>
      <c r="P19847" s="20" t="n"/>
      <c r="Q19847" s="19" t="n"/>
      <c r="R19847" s="19" t="n"/>
      <c r="Y19847" s="19" t="n"/>
    </row>
    <row r="19848">
      <c r="C19848" s="18" t="n"/>
      <c r="J19848" s="19" t="n"/>
      <c r="P19848" s="20" t="n"/>
      <c r="Q19848" s="19" t="n"/>
      <c r="R19848" s="19" t="n"/>
      <c r="Y19848" s="19" t="n"/>
    </row>
    <row r="19849">
      <c r="C19849" s="18" t="n"/>
      <c r="J19849" s="19" t="n"/>
      <c r="P19849" s="20" t="n"/>
      <c r="Q19849" s="19" t="n"/>
      <c r="R19849" s="19" t="n"/>
      <c r="Y19849" s="19" t="n"/>
    </row>
    <row r="19850">
      <c r="C19850" s="18" t="n"/>
      <c r="J19850" s="19" t="n"/>
      <c r="P19850" s="20" t="n"/>
      <c r="Q19850" s="19" t="n"/>
      <c r="R19850" s="19" t="n"/>
      <c r="Y19850" s="19" t="n"/>
    </row>
    <row r="19851">
      <c r="C19851" s="18" t="n"/>
      <c r="J19851" s="19" t="n"/>
      <c r="P19851" s="20" t="n"/>
      <c r="Q19851" s="19" t="n"/>
      <c r="R19851" s="19" t="n"/>
      <c r="Y19851" s="19" t="n"/>
    </row>
    <row r="19852">
      <c r="C19852" s="18" t="n"/>
      <c r="J19852" s="19" t="n"/>
      <c r="P19852" s="20" t="n"/>
      <c r="Q19852" s="19" t="n"/>
      <c r="R19852" s="19" t="n"/>
      <c r="Y19852" s="19" t="n"/>
    </row>
    <row r="19853">
      <c r="C19853" s="18" t="n"/>
      <c r="J19853" s="19" t="n"/>
      <c r="P19853" s="20" t="n"/>
      <c r="Q19853" s="19" t="n"/>
      <c r="R19853" s="19" t="n"/>
      <c r="Y19853" s="19" t="n"/>
    </row>
    <row r="19854">
      <c r="C19854" s="18" t="n"/>
      <c r="J19854" s="19" t="n"/>
      <c r="P19854" s="20" t="n"/>
      <c r="Q19854" s="19" t="n"/>
      <c r="R19854" s="19" t="n"/>
      <c r="Y19854" s="19" t="n"/>
    </row>
    <row r="19855">
      <c r="C19855" s="18" t="n"/>
      <c r="J19855" s="19" t="n"/>
      <c r="P19855" s="20" t="n"/>
      <c r="Q19855" s="19" t="n"/>
      <c r="R19855" s="19" t="n"/>
      <c r="Y19855" s="19" t="n"/>
    </row>
    <row r="19856">
      <c r="C19856" s="18" t="n"/>
      <c r="J19856" s="19" t="n"/>
      <c r="P19856" s="20" t="n"/>
      <c r="Q19856" s="19" t="n"/>
      <c r="R19856" s="19" t="n"/>
      <c r="Y19856" s="19" t="n"/>
    </row>
    <row r="19857">
      <c r="C19857" s="18" t="n"/>
      <c r="J19857" s="19" t="n"/>
      <c r="P19857" s="20" t="n"/>
      <c r="Q19857" s="19" t="n"/>
      <c r="R19857" s="19" t="n"/>
      <c r="Y19857" s="19" t="n"/>
    </row>
    <row r="19858">
      <c r="C19858" s="18" t="n"/>
      <c r="J19858" s="19" t="n"/>
      <c r="P19858" s="20" t="n"/>
      <c r="Q19858" s="19" t="n"/>
      <c r="R19858" s="19" t="n"/>
      <c r="Y19858" s="19" t="n"/>
    </row>
    <row r="19859">
      <c r="C19859" s="18" t="n"/>
      <c r="J19859" s="19" t="n"/>
      <c r="P19859" s="20" t="n"/>
      <c r="Q19859" s="19" t="n"/>
      <c r="R19859" s="19" t="n"/>
      <c r="Y19859" s="19" t="n"/>
    </row>
    <row r="19860">
      <c r="C19860" s="18" t="n"/>
      <c r="J19860" s="19" t="n"/>
      <c r="P19860" s="20" t="n"/>
      <c r="Q19860" s="19" t="n"/>
      <c r="R19860" s="19" t="n"/>
      <c r="Y19860" s="19" t="n"/>
    </row>
    <row r="19861">
      <c r="C19861" s="18" t="n"/>
      <c r="J19861" s="19" t="n"/>
      <c r="P19861" s="20" t="n"/>
      <c r="Q19861" s="19" t="n"/>
      <c r="R19861" s="19" t="n"/>
      <c r="Y19861" s="19" t="n"/>
    </row>
    <row r="19862">
      <c r="C19862" s="18" t="n"/>
      <c r="J19862" s="19" t="n"/>
      <c r="P19862" s="20" t="n"/>
      <c r="Q19862" s="19" t="n"/>
      <c r="R19862" s="19" t="n"/>
      <c r="Y19862" s="19" t="n"/>
    </row>
    <row r="19863">
      <c r="C19863" s="18" t="n"/>
      <c r="J19863" s="19" t="n"/>
      <c r="P19863" s="20" t="n"/>
      <c r="Q19863" s="19" t="n"/>
      <c r="R19863" s="19" t="n"/>
      <c r="Y19863" s="19" t="n"/>
    </row>
    <row r="19864">
      <c r="C19864" s="18" t="n"/>
      <c r="J19864" s="19" t="n"/>
      <c r="P19864" s="20" t="n"/>
      <c r="Q19864" s="19" t="n"/>
      <c r="R19864" s="19" t="n"/>
      <c r="Y19864" s="19" t="n"/>
    </row>
    <row r="19865">
      <c r="C19865" s="18" t="n"/>
      <c r="J19865" s="19" t="n"/>
      <c r="P19865" s="20" t="n"/>
      <c r="Q19865" s="19" t="n"/>
      <c r="R19865" s="19" t="n"/>
      <c r="Y19865" s="19" t="n"/>
    </row>
    <row r="19866">
      <c r="C19866" s="18" t="n"/>
      <c r="J19866" s="19" t="n"/>
      <c r="P19866" s="20" t="n"/>
      <c r="Q19866" s="19" t="n"/>
      <c r="R19866" s="19" t="n"/>
      <c r="Y19866" s="19" t="n"/>
    </row>
    <row r="19867">
      <c r="C19867" s="18" t="n"/>
      <c r="J19867" s="19" t="n"/>
      <c r="P19867" s="20" t="n"/>
      <c r="Q19867" s="19" t="n"/>
      <c r="R19867" s="19" t="n"/>
      <c r="Y19867" s="19" t="n"/>
    </row>
    <row r="19868">
      <c r="C19868" s="18" t="n"/>
      <c r="J19868" s="19" t="n"/>
      <c r="P19868" s="20" t="n"/>
      <c r="Q19868" s="19" t="n"/>
      <c r="R19868" s="19" t="n"/>
      <c r="Y19868" s="19" t="n"/>
    </row>
    <row r="19869">
      <c r="C19869" s="18" t="n"/>
      <c r="J19869" s="19" t="n"/>
      <c r="P19869" s="20" t="n"/>
      <c r="Q19869" s="19" t="n"/>
      <c r="R19869" s="19" t="n"/>
      <c r="Y19869" s="19" t="n"/>
    </row>
    <row r="19870">
      <c r="C19870" s="18" t="n"/>
      <c r="J19870" s="19" t="n"/>
      <c r="P19870" s="20" t="n"/>
      <c r="Q19870" s="19" t="n"/>
      <c r="R19870" s="19" t="n"/>
      <c r="Y19870" s="19" t="n"/>
    </row>
    <row r="19871">
      <c r="C19871" s="18" t="n"/>
      <c r="J19871" s="19" t="n"/>
      <c r="P19871" s="20" t="n"/>
      <c r="Q19871" s="19" t="n"/>
      <c r="R19871" s="19" t="n"/>
      <c r="Y19871" s="19" t="n"/>
    </row>
    <row r="19872">
      <c r="C19872" s="18" t="n"/>
      <c r="J19872" s="19" t="n"/>
      <c r="P19872" s="20" t="n"/>
      <c r="Q19872" s="19" t="n"/>
      <c r="R19872" s="19" t="n"/>
      <c r="Y19872" s="19" t="n"/>
    </row>
    <row r="19873">
      <c r="C19873" s="18" t="n"/>
      <c r="J19873" s="19" t="n"/>
      <c r="P19873" s="20" t="n"/>
      <c r="Q19873" s="19" t="n"/>
      <c r="R19873" s="19" t="n"/>
      <c r="Y19873" s="19" t="n"/>
    </row>
    <row r="19874">
      <c r="C19874" s="18" t="n"/>
      <c r="J19874" s="19" t="n"/>
      <c r="P19874" s="20" t="n"/>
      <c r="Q19874" s="19" t="n"/>
      <c r="R19874" s="19" t="n"/>
      <c r="Y19874" s="19" t="n"/>
    </row>
    <row r="19875">
      <c r="C19875" s="18" t="n"/>
      <c r="J19875" s="19" t="n"/>
      <c r="P19875" s="20" t="n"/>
      <c r="Q19875" s="19" t="n"/>
      <c r="R19875" s="19" t="n"/>
      <c r="Y19875" s="19" t="n"/>
    </row>
    <row r="19876">
      <c r="C19876" s="18" t="n"/>
      <c r="J19876" s="19" t="n"/>
      <c r="P19876" s="20" t="n"/>
      <c r="Q19876" s="19" t="n"/>
      <c r="R19876" s="19" t="n"/>
      <c r="Y19876" s="19" t="n"/>
    </row>
    <row r="19877">
      <c r="C19877" s="18" t="n"/>
      <c r="J19877" s="19" t="n"/>
      <c r="P19877" s="20" t="n"/>
      <c r="Q19877" s="19" t="n"/>
      <c r="R19877" s="19" t="n"/>
      <c r="Y19877" s="19" t="n"/>
    </row>
    <row r="19878">
      <c r="C19878" s="18" t="n"/>
      <c r="J19878" s="19" t="n"/>
      <c r="P19878" s="20" t="n"/>
      <c r="Q19878" s="19" t="n"/>
      <c r="R19878" s="19" t="n"/>
      <c r="Y19878" s="19" t="n"/>
    </row>
    <row r="19879">
      <c r="C19879" s="18" t="n"/>
      <c r="J19879" s="19" t="n"/>
      <c r="P19879" s="20" t="n"/>
      <c r="Q19879" s="19" t="n"/>
      <c r="R19879" s="19" t="n"/>
      <c r="Y19879" s="19" t="n"/>
    </row>
    <row r="19880">
      <c r="C19880" s="18" t="n"/>
      <c r="J19880" s="19" t="n"/>
      <c r="P19880" s="20" t="n"/>
      <c r="Q19880" s="19" t="n"/>
      <c r="R19880" s="19" t="n"/>
      <c r="Y19880" s="19" t="n"/>
    </row>
    <row r="19881">
      <c r="C19881" s="18" t="n"/>
      <c r="J19881" s="19" t="n"/>
      <c r="P19881" s="20" t="n"/>
      <c r="Q19881" s="19" t="n"/>
      <c r="R19881" s="19" t="n"/>
      <c r="Y19881" s="19" t="n"/>
    </row>
    <row r="19882">
      <c r="C19882" s="18" t="n"/>
      <c r="J19882" s="19" t="n"/>
      <c r="P19882" s="20" t="n"/>
      <c r="Q19882" s="19" t="n"/>
      <c r="R19882" s="19" t="n"/>
      <c r="Y19882" s="19" t="n"/>
    </row>
    <row r="19883">
      <c r="C19883" s="18" t="n"/>
      <c r="J19883" s="19" t="n"/>
      <c r="P19883" s="20" t="n"/>
      <c r="Q19883" s="19" t="n"/>
      <c r="R19883" s="19" t="n"/>
      <c r="Y19883" s="19" t="n"/>
    </row>
    <row r="19884">
      <c r="C19884" s="18" t="n"/>
      <c r="J19884" s="19" t="n"/>
      <c r="P19884" s="20" t="n"/>
      <c r="Q19884" s="19" t="n"/>
      <c r="R19884" s="19" t="n"/>
      <c r="Y19884" s="19" t="n"/>
    </row>
    <row r="19885">
      <c r="C19885" s="18" t="n"/>
      <c r="J19885" s="19" t="n"/>
      <c r="P19885" s="20" t="n"/>
      <c r="Q19885" s="19" t="n"/>
      <c r="R19885" s="19" t="n"/>
      <c r="Y19885" s="19" t="n"/>
    </row>
    <row r="19886">
      <c r="C19886" s="18" t="n"/>
      <c r="J19886" s="19" t="n"/>
      <c r="P19886" s="20" t="n"/>
      <c r="Q19886" s="19" t="n"/>
      <c r="R19886" s="19" t="n"/>
      <c r="Y19886" s="19" t="n"/>
    </row>
    <row r="19887">
      <c r="C19887" s="18" t="n"/>
      <c r="J19887" s="19" t="n"/>
      <c r="P19887" s="20" t="n"/>
      <c r="Q19887" s="19" t="n"/>
      <c r="R19887" s="19" t="n"/>
      <c r="Y19887" s="19" t="n"/>
    </row>
    <row r="19888">
      <c r="C19888" s="18" t="n"/>
      <c r="J19888" s="19" t="n"/>
      <c r="P19888" s="20" t="n"/>
      <c r="Q19888" s="19" t="n"/>
      <c r="R19888" s="19" t="n"/>
      <c r="Y19888" s="19" t="n"/>
    </row>
    <row r="19889">
      <c r="C19889" s="18" t="n"/>
      <c r="J19889" s="19" t="n"/>
      <c r="P19889" s="20" t="n"/>
      <c r="Q19889" s="19" t="n"/>
      <c r="R19889" s="19" t="n"/>
      <c r="Y19889" s="19" t="n"/>
    </row>
    <row r="19890">
      <c r="C19890" s="18" t="n"/>
      <c r="J19890" s="19" t="n"/>
      <c r="P19890" s="20" t="n"/>
      <c r="Q19890" s="19" t="n"/>
      <c r="R19890" s="19" t="n"/>
      <c r="Y19890" s="19" t="n"/>
    </row>
    <row r="19891">
      <c r="C19891" s="18" t="n"/>
      <c r="J19891" s="19" t="n"/>
      <c r="P19891" s="20" t="n"/>
      <c r="Q19891" s="19" t="n"/>
      <c r="R19891" s="19" t="n"/>
      <c r="Y19891" s="19" t="n"/>
    </row>
    <row r="19892">
      <c r="C19892" s="18" t="n"/>
      <c r="J19892" s="19" t="n"/>
      <c r="P19892" s="20" t="n"/>
      <c r="Q19892" s="19" t="n"/>
      <c r="R19892" s="19" t="n"/>
      <c r="Y19892" s="19" t="n"/>
    </row>
    <row r="19893">
      <c r="C19893" s="18" t="n"/>
      <c r="J19893" s="19" t="n"/>
      <c r="P19893" s="20" t="n"/>
      <c r="Q19893" s="19" t="n"/>
      <c r="R19893" s="19" t="n"/>
      <c r="Y19893" s="19" t="n"/>
    </row>
    <row r="19894">
      <c r="C19894" s="18" t="n"/>
      <c r="J19894" s="19" t="n"/>
      <c r="P19894" s="20" t="n"/>
      <c r="Q19894" s="19" t="n"/>
      <c r="R19894" s="19" t="n"/>
      <c r="Y19894" s="19" t="n"/>
    </row>
    <row r="19895">
      <c r="C19895" s="18" t="n"/>
      <c r="J19895" s="19" t="n"/>
      <c r="P19895" s="20" t="n"/>
      <c r="Q19895" s="19" t="n"/>
      <c r="R19895" s="19" t="n"/>
      <c r="Y19895" s="19" t="n"/>
    </row>
    <row r="19896">
      <c r="C19896" s="18" t="n"/>
      <c r="J19896" s="19" t="n"/>
      <c r="P19896" s="20" t="n"/>
      <c r="Q19896" s="19" t="n"/>
      <c r="R19896" s="19" t="n"/>
      <c r="Y19896" s="19" t="n"/>
    </row>
    <row r="19897">
      <c r="C19897" s="18" t="n"/>
      <c r="J19897" s="19" t="n"/>
      <c r="P19897" s="20" t="n"/>
      <c r="Q19897" s="19" t="n"/>
      <c r="R19897" s="19" t="n"/>
      <c r="Y19897" s="19" t="n"/>
    </row>
    <row r="19898">
      <c r="C19898" s="18" t="n"/>
      <c r="J19898" s="19" t="n"/>
      <c r="P19898" s="20" t="n"/>
      <c r="Q19898" s="19" t="n"/>
      <c r="R19898" s="19" t="n"/>
      <c r="Y19898" s="19" t="n"/>
    </row>
    <row r="19899">
      <c r="C19899" s="18" t="n"/>
      <c r="J19899" s="19" t="n"/>
      <c r="P19899" s="20" t="n"/>
      <c r="Q19899" s="19" t="n"/>
      <c r="R19899" s="19" t="n"/>
      <c r="Y19899" s="19" t="n"/>
    </row>
    <row r="19900">
      <c r="C19900" s="18" t="n"/>
      <c r="J19900" s="19" t="n"/>
      <c r="P19900" s="20" t="n"/>
      <c r="Q19900" s="19" t="n"/>
      <c r="R19900" s="19" t="n"/>
      <c r="Y19900" s="19" t="n"/>
    </row>
    <row r="19901">
      <c r="C19901" s="18" t="n"/>
      <c r="J19901" s="19" t="n"/>
      <c r="P19901" s="20" t="n"/>
      <c r="Q19901" s="19" t="n"/>
      <c r="R19901" s="19" t="n"/>
      <c r="Y19901" s="19" t="n"/>
    </row>
    <row r="19902">
      <c r="C19902" s="18" t="n"/>
      <c r="J19902" s="19" t="n"/>
      <c r="P19902" s="20" t="n"/>
      <c r="Q19902" s="19" t="n"/>
      <c r="R19902" s="19" t="n"/>
      <c r="Y19902" s="19" t="n"/>
    </row>
    <row r="19903">
      <c r="C19903" s="18" t="n"/>
      <c r="J19903" s="19" t="n"/>
      <c r="P19903" s="20" t="n"/>
      <c r="Q19903" s="19" t="n"/>
      <c r="R19903" s="19" t="n"/>
      <c r="Y19903" s="19" t="n"/>
    </row>
    <row r="19904">
      <c r="C19904" s="18" t="n"/>
      <c r="J19904" s="19" t="n"/>
      <c r="P19904" s="20" t="n"/>
      <c r="Q19904" s="19" t="n"/>
      <c r="R19904" s="19" t="n"/>
      <c r="Y19904" s="19" t="n"/>
    </row>
    <row r="19905">
      <c r="C19905" s="18" t="n"/>
      <c r="J19905" s="19" t="n"/>
      <c r="P19905" s="20" t="n"/>
      <c r="Q19905" s="19" t="n"/>
      <c r="R19905" s="19" t="n"/>
      <c r="Y19905" s="19" t="n"/>
    </row>
    <row r="19906">
      <c r="C19906" s="18" t="n"/>
      <c r="J19906" s="19" t="n"/>
      <c r="P19906" s="20" t="n"/>
      <c r="Q19906" s="19" t="n"/>
      <c r="R19906" s="19" t="n"/>
      <c r="Y19906" s="19" t="n"/>
    </row>
    <row r="19907">
      <c r="C19907" s="18" t="n"/>
      <c r="J19907" s="19" t="n"/>
      <c r="P19907" s="20" t="n"/>
      <c r="Q19907" s="19" t="n"/>
      <c r="R19907" s="19" t="n"/>
      <c r="Y19907" s="19" t="n"/>
    </row>
    <row r="19908">
      <c r="C19908" s="18" t="n"/>
      <c r="J19908" s="19" t="n"/>
      <c r="P19908" s="20" t="n"/>
      <c r="Q19908" s="19" t="n"/>
      <c r="R19908" s="19" t="n"/>
      <c r="Y19908" s="19" t="n"/>
    </row>
    <row r="19909">
      <c r="C19909" s="18" t="n"/>
      <c r="J19909" s="19" t="n"/>
      <c r="P19909" s="20" t="n"/>
      <c r="Q19909" s="19" t="n"/>
      <c r="R19909" s="19" t="n"/>
      <c r="Y19909" s="19" t="n"/>
    </row>
    <row r="19910">
      <c r="C19910" s="18" t="n"/>
      <c r="J19910" s="19" t="n"/>
      <c r="P19910" s="20" t="n"/>
      <c r="Q19910" s="19" t="n"/>
      <c r="R19910" s="19" t="n"/>
      <c r="Y19910" s="19" t="n"/>
    </row>
    <row r="19911">
      <c r="C19911" s="18" t="n"/>
      <c r="J19911" s="19" t="n"/>
      <c r="P19911" s="20" t="n"/>
      <c r="Q19911" s="19" t="n"/>
      <c r="R19911" s="19" t="n"/>
      <c r="Y19911" s="19" t="n"/>
    </row>
    <row r="19912">
      <c r="C19912" s="18" t="n"/>
      <c r="J19912" s="19" t="n"/>
      <c r="P19912" s="20" t="n"/>
      <c r="Q19912" s="19" t="n"/>
      <c r="R19912" s="19" t="n"/>
      <c r="Y19912" s="19" t="n"/>
    </row>
    <row r="19913">
      <c r="C19913" s="18" t="n"/>
      <c r="J19913" s="19" t="n"/>
      <c r="P19913" s="20" t="n"/>
      <c r="Q19913" s="19" t="n"/>
      <c r="R19913" s="19" t="n"/>
      <c r="Y19913" s="19" t="n"/>
    </row>
    <row r="19914">
      <c r="C19914" s="18" t="n"/>
      <c r="J19914" s="19" t="n"/>
      <c r="P19914" s="20" t="n"/>
      <c r="Q19914" s="19" t="n"/>
      <c r="R19914" s="19" t="n"/>
      <c r="Y19914" s="19" t="n"/>
    </row>
    <row r="19915">
      <c r="C19915" s="18" t="n"/>
      <c r="J19915" s="19" t="n"/>
      <c r="P19915" s="20" t="n"/>
      <c r="Q19915" s="19" t="n"/>
      <c r="R19915" s="19" t="n"/>
      <c r="Y19915" s="19" t="n"/>
    </row>
    <row r="19916">
      <c r="C19916" s="18" t="n"/>
      <c r="J19916" s="19" t="n"/>
      <c r="P19916" s="20" t="n"/>
      <c r="Q19916" s="19" t="n"/>
      <c r="R19916" s="19" t="n"/>
      <c r="Y19916" s="19" t="n"/>
    </row>
    <row r="19917">
      <c r="C19917" s="18" t="n"/>
      <c r="J19917" s="19" t="n"/>
      <c r="P19917" s="20" t="n"/>
      <c r="Q19917" s="19" t="n"/>
      <c r="R19917" s="19" t="n"/>
      <c r="Y19917" s="19" t="n"/>
    </row>
    <row r="19918">
      <c r="C19918" s="18" t="n"/>
      <c r="J19918" s="19" t="n"/>
      <c r="P19918" s="20" t="n"/>
      <c r="Q19918" s="19" t="n"/>
      <c r="R19918" s="19" t="n"/>
      <c r="Y19918" s="19" t="n"/>
    </row>
    <row r="19919">
      <c r="C19919" s="18" t="n"/>
      <c r="J19919" s="19" t="n"/>
      <c r="P19919" s="20" t="n"/>
      <c r="Q19919" s="19" t="n"/>
      <c r="R19919" s="19" t="n"/>
      <c r="Y19919" s="19" t="n"/>
    </row>
    <row r="19920">
      <c r="C19920" s="18" t="n"/>
      <c r="J19920" s="19" t="n"/>
      <c r="P19920" s="20" t="n"/>
      <c r="Q19920" s="19" t="n"/>
      <c r="R19920" s="19" t="n"/>
      <c r="Y19920" s="19" t="n"/>
    </row>
    <row r="19921">
      <c r="C19921" s="18" t="n"/>
      <c r="J19921" s="19" t="n"/>
      <c r="P19921" s="20" t="n"/>
      <c r="Q19921" s="19" t="n"/>
      <c r="R19921" s="19" t="n"/>
      <c r="Y19921" s="19" t="n"/>
    </row>
    <row r="19922">
      <c r="C19922" s="18" t="n"/>
      <c r="J19922" s="19" t="n"/>
      <c r="P19922" s="20" t="n"/>
      <c r="Q19922" s="19" t="n"/>
      <c r="R19922" s="19" t="n"/>
      <c r="Y19922" s="19" t="n"/>
    </row>
    <row r="19923">
      <c r="C19923" s="18" t="n"/>
      <c r="J19923" s="19" t="n"/>
      <c r="P19923" s="20" t="n"/>
      <c r="Q19923" s="19" t="n"/>
      <c r="R19923" s="19" t="n"/>
      <c r="Y19923" s="19" t="n"/>
    </row>
    <row r="19924">
      <c r="C19924" s="18" t="n"/>
      <c r="J19924" s="19" t="n"/>
      <c r="P19924" s="20" t="n"/>
      <c r="Q19924" s="19" t="n"/>
      <c r="R19924" s="19" t="n"/>
      <c r="Y19924" s="19" t="n"/>
    </row>
    <row r="19925">
      <c r="C19925" s="18" t="n"/>
      <c r="J19925" s="19" t="n"/>
      <c r="P19925" s="20" t="n"/>
      <c r="Q19925" s="19" t="n"/>
      <c r="R19925" s="19" t="n"/>
      <c r="Y19925" s="19" t="n"/>
    </row>
    <row r="19926">
      <c r="C19926" s="18" t="n"/>
      <c r="J19926" s="19" t="n"/>
      <c r="P19926" s="20" t="n"/>
      <c r="Q19926" s="19" t="n"/>
      <c r="R19926" s="19" t="n"/>
      <c r="Y19926" s="19" t="n"/>
    </row>
    <row r="19927">
      <c r="C19927" s="18" t="n"/>
      <c r="J19927" s="19" t="n"/>
      <c r="P19927" s="20" t="n"/>
      <c r="Q19927" s="19" t="n"/>
      <c r="R19927" s="19" t="n"/>
      <c r="Y19927" s="19" t="n"/>
    </row>
    <row r="19928">
      <c r="C19928" s="18" t="n"/>
      <c r="J19928" s="19" t="n"/>
      <c r="P19928" s="20" t="n"/>
      <c r="Q19928" s="19" t="n"/>
      <c r="R19928" s="19" t="n"/>
      <c r="Y19928" s="19" t="n"/>
    </row>
    <row r="19929">
      <c r="C19929" s="18" t="n"/>
      <c r="J19929" s="19" t="n"/>
      <c r="P19929" s="20" t="n"/>
      <c r="Q19929" s="19" t="n"/>
      <c r="R19929" s="19" t="n"/>
      <c r="Y19929" s="19" t="n"/>
    </row>
    <row r="19930">
      <c r="C19930" s="18" t="n"/>
      <c r="J19930" s="19" t="n"/>
      <c r="P19930" s="20" t="n"/>
      <c r="Q19930" s="19" t="n"/>
      <c r="R19930" s="19" t="n"/>
      <c r="Y19930" s="19" t="n"/>
    </row>
    <row r="19931">
      <c r="C19931" s="18" t="n"/>
      <c r="J19931" s="19" t="n"/>
      <c r="P19931" s="20" t="n"/>
      <c r="Q19931" s="19" t="n"/>
      <c r="R19931" s="19" t="n"/>
      <c r="Y19931" s="19" t="n"/>
    </row>
    <row r="19932">
      <c r="C19932" s="18" t="n"/>
      <c r="J19932" s="19" t="n"/>
      <c r="P19932" s="20" t="n"/>
      <c r="Q19932" s="19" t="n"/>
      <c r="R19932" s="19" t="n"/>
      <c r="Y19932" s="19" t="n"/>
    </row>
    <row r="19933">
      <c r="C19933" s="18" t="n"/>
      <c r="J19933" s="19" t="n"/>
      <c r="P19933" s="20" t="n"/>
      <c r="Q19933" s="19" t="n"/>
      <c r="R19933" s="19" t="n"/>
      <c r="Y19933" s="19" t="n"/>
    </row>
    <row r="19934">
      <c r="C19934" s="18" t="n"/>
      <c r="J19934" s="19" t="n"/>
      <c r="P19934" s="20" t="n"/>
      <c r="Q19934" s="19" t="n"/>
      <c r="R19934" s="19" t="n"/>
      <c r="Y19934" s="19" t="n"/>
    </row>
    <row r="19935">
      <c r="C19935" s="18" t="n"/>
      <c r="J19935" s="19" t="n"/>
      <c r="P19935" s="20" t="n"/>
      <c r="Q19935" s="19" t="n"/>
      <c r="R19935" s="19" t="n"/>
      <c r="Y19935" s="19" t="n"/>
    </row>
    <row r="19936">
      <c r="C19936" s="18" t="n"/>
      <c r="J19936" s="19" t="n"/>
      <c r="P19936" s="20" t="n"/>
      <c r="Q19936" s="19" t="n"/>
      <c r="R19936" s="19" t="n"/>
      <c r="Y19936" s="19" t="n"/>
    </row>
    <row r="19937">
      <c r="C19937" s="18" t="n"/>
      <c r="J19937" s="19" t="n"/>
      <c r="P19937" s="20" t="n"/>
      <c r="Q19937" s="19" t="n"/>
      <c r="R19937" s="19" t="n"/>
      <c r="Y19937" s="19" t="n"/>
    </row>
    <row r="19938">
      <c r="C19938" s="18" t="n"/>
      <c r="J19938" s="19" t="n"/>
      <c r="P19938" s="20" t="n"/>
      <c r="Q19938" s="19" t="n"/>
      <c r="R19938" s="19" t="n"/>
      <c r="Y19938" s="19" t="n"/>
    </row>
    <row r="19939">
      <c r="C19939" s="18" t="n"/>
      <c r="J19939" s="19" t="n"/>
      <c r="P19939" s="20" t="n"/>
      <c r="Q19939" s="19" t="n"/>
      <c r="R19939" s="19" t="n"/>
      <c r="Y19939" s="19" t="n"/>
    </row>
    <row r="19940">
      <c r="C19940" s="18" t="n"/>
      <c r="J19940" s="19" t="n"/>
      <c r="P19940" s="20" t="n"/>
      <c r="Q19940" s="19" t="n"/>
      <c r="R19940" s="19" t="n"/>
      <c r="Y19940" s="19" t="n"/>
    </row>
    <row r="19941">
      <c r="C19941" s="18" t="n"/>
      <c r="J19941" s="19" t="n"/>
      <c r="P19941" s="20" t="n"/>
      <c r="Q19941" s="19" t="n"/>
      <c r="R19941" s="19" t="n"/>
      <c r="Y19941" s="19" t="n"/>
    </row>
    <row r="19942">
      <c r="C19942" s="18" t="n"/>
      <c r="J19942" s="19" t="n"/>
      <c r="P19942" s="20" t="n"/>
      <c r="Q19942" s="19" t="n"/>
      <c r="R19942" s="19" t="n"/>
      <c r="Y19942" s="19" t="n"/>
    </row>
    <row r="19943">
      <c r="C19943" s="18" t="n"/>
      <c r="J19943" s="19" t="n"/>
      <c r="P19943" s="20" t="n"/>
      <c r="Q19943" s="19" t="n"/>
      <c r="R19943" s="19" t="n"/>
      <c r="Y19943" s="19" t="n"/>
    </row>
    <row r="19944">
      <c r="C19944" s="18" t="n"/>
      <c r="J19944" s="19" t="n"/>
      <c r="P19944" s="20" t="n"/>
      <c r="Q19944" s="19" t="n"/>
      <c r="R19944" s="19" t="n"/>
      <c r="Y19944" s="19" t="n"/>
    </row>
    <row r="19945">
      <c r="C19945" s="18" t="n"/>
      <c r="J19945" s="19" t="n"/>
      <c r="P19945" s="20" t="n"/>
      <c r="Q19945" s="19" t="n"/>
      <c r="R19945" s="19" t="n"/>
      <c r="Y19945" s="19" t="n"/>
    </row>
    <row r="19946">
      <c r="C19946" s="18" t="n"/>
      <c r="J19946" s="19" t="n"/>
      <c r="P19946" s="20" t="n"/>
      <c r="Q19946" s="19" t="n"/>
      <c r="R19946" s="19" t="n"/>
      <c r="Y19946" s="19" t="n"/>
    </row>
    <row r="19947">
      <c r="C19947" s="18" t="n"/>
      <c r="J19947" s="19" t="n"/>
      <c r="P19947" s="20" t="n"/>
      <c r="Q19947" s="19" t="n"/>
      <c r="R19947" s="19" t="n"/>
      <c r="Y19947" s="19" t="n"/>
    </row>
    <row r="19948">
      <c r="C19948" s="18" t="n"/>
      <c r="J19948" s="19" t="n"/>
      <c r="P19948" s="20" t="n"/>
      <c r="Q19948" s="19" t="n"/>
      <c r="R19948" s="19" t="n"/>
      <c r="Y19948" s="19" t="n"/>
    </row>
    <row r="19949">
      <c r="C19949" s="18" t="n"/>
      <c r="J19949" s="19" t="n"/>
      <c r="P19949" s="20" t="n"/>
      <c r="Q19949" s="19" t="n"/>
      <c r="R19949" s="19" t="n"/>
      <c r="Y19949" s="19" t="n"/>
    </row>
    <row r="19950">
      <c r="C19950" s="18" t="n"/>
      <c r="J19950" s="19" t="n"/>
      <c r="P19950" s="20" t="n"/>
      <c r="Q19950" s="19" t="n"/>
      <c r="R19950" s="19" t="n"/>
      <c r="Y19950" s="19" t="n"/>
    </row>
    <row r="19951">
      <c r="C19951" s="18" t="n"/>
      <c r="J19951" s="19" t="n"/>
      <c r="P19951" s="20" t="n"/>
      <c r="Q19951" s="19" t="n"/>
      <c r="R19951" s="19" t="n"/>
      <c r="Y19951" s="19" t="n"/>
    </row>
    <row r="19952">
      <c r="C19952" s="18" t="n"/>
      <c r="J19952" s="19" t="n"/>
      <c r="P19952" s="20" t="n"/>
      <c r="Q19952" s="19" t="n"/>
      <c r="R19952" s="19" t="n"/>
      <c r="Y19952" s="19" t="n"/>
    </row>
    <row r="19953">
      <c r="C19953" s="18" t="n"/>
      <c r="J19953" s="19" t="n"/>
      <c r="P19953" s="20" t="n"/>
      <c r="Q19953" s="19" t="n"/>
      <c r="R19953" s="19" t="n"/>
      <c r="Y19953" s="19" t="n"/>
    </row>
    <row r="19954">
      <c r="C19954" s="18" t="n"/>
      <c r="J19954" s="19" t="n"/>
      <c r="P19954" s="20" t="n"/>
      <c r="Q19954" s="19" t="n"/>
      <c r="R19954" s="19" t="n"/>
      <c r="Y19954" s="19" t="n"/>
    </row>
    <row r="19955">
      <c r="C19955" s="18" t="n"/>
      <c r="J19955" s="19" t="n"/>
      <c r="P19955" s="20" t="n"/>
      <c r="Q19955" s="19" t="n"/>
      <c r="R19955" s="19" t="n"/>
      <c r="Y19955" s="19" t="n"/>
    </row>
    <row r="19956">
      <c r="C19956" s="18" t="n"/>
      <c r="J19956" s="19" t="n"/>
      <c r="P19956" s="20" t="n"/>
      <c r="Q19956" s="19" t="n"/>
      <c r="R19956" s="19" t="n"/>
      <c r="Y19956" s="19" t="n"/>
    </row>
    <row r="19957">
      <c r="C19957" s="18" t="n"/>
      <c r="J19957" s="19" t="n"/>
      <c r="P19957" s="20" t="n"/>
      <c r="Q19957" s="19" t="n"/>
      <c r="R19957" s="19" t="n"/>
      <c r="Y19957" s="19" t="n"/>
    </row>
    <row r="19958">
      <c r="C19958" s="18" t="n"/>
      <c r="J19958" s="19" t="n"/>
      <c r="P19958" s="20" t="n"/>
      <c r="Q19958" s="19" t="n"/>
      <c r="R19958" s="19" t="n"/>
      <c r="Y19958" s="19" t="n"/>
    </row>
    <row r="19959">
      <c r="C19959" s="18" t="n"/>
      <c r="J19959" s="19" t="n"/>
      <c r="P19959" s="20" t="n"/>
      <c r="Q19959" s="19" t="n"/>
      <c r="R19959" s="19" t="n"/>
      <c r="Y19959" s="19" t="n"/>
    </row>
    <row r="19960">
      <c r="C19960" s="18" t="n"/>
      <c r="J19960" s="19" t="n"/>
      <c r="P19960" s="20" t="n"/>
      <c r="Q19960" s="19" t="n"/>
      <c r="R19960" s="19" t="n"/>
      <c r="Y19960" s="19" t="n"/>
    </row>
    <row r="19961">
      <c r="C19961" s="18" t="n"/>
      <c r="J19961" s="19" t="n"/>
      <c r="P19961" s="20" t="n"/>
      <c r="Q19961" s="19" t="n"/>
      <c r="R19961" s="19" t="n"/>
      <c r="Y19961" s="19" t="n"/>
    </row>
    <row r="19962">
      <c r="C19962" s="18" t="n"/>
      <c r="J19962" s="19" t="n"/>
      <c r="P19962" s="20" t="n"/>
      <c r="Q19962" s="19" t="n"/>
      <c r="R19962" s="19" t="n"/>
      <c r="Y19962" s="19" t="n"/>
    </row>
    <row r="19963">
      <c r="C19963" s="18" t="n"/>
      <c r="J19963" s="19" t="n"/>
      <c r="P19963" s="20" t="n"/>
      <c r="Q19963" s="19" t="n"/>
      <c r="R19963" s="19" t="n"/>
      <c r="Y19963" s="19" t="n"/>
    </row>
    <row r="19964">
      <c r="C19964" s="18" t="n"/>
      <c r="J19964" s="19" t="n"/>
      <c r="P19964" s="20" t="n"/>
      <c r="Q19964" s="19" t="n"/>
      <c r="R19964" s="19" t="n"/>
      <c r="Y19964" s="19" t="n"/>
    </row>
    <row r="19965">
      <c r="C19965" s="18" t="n"/>
      <c r="J19965" s="19" t="n"/>
      <c r="P19965" s="20" t="n"/>
      <c r="Q19965" s="19" t="n"/>
      <c r="R19965" s="19" t="n"/>
      <c r="Y19965" s="19" t="n"/>
    </row>
    <row r="19966">
      <c r="C19966" s="18" t="n"/>
      <c r="J19966" s="19" t="n"/>
      <c r="P19966" s="20" t="n"/>
      <c r="Q19966" s="19" t="n"/>
      <c r="R19966" s="19" t="n"/>
      <c r="Y19966" s="19" t="n"/>
    </row>
    <row r="19967">
      <c r="C19967" s="18" t="n"/>
      <c r="J19967" s="19" t="n"/>
      <c r="P19967" s="20" t="n"/>
      <c r="Q19967" s="19" t="n"/>
      <c r="R19967" s="19" t="n"/>
      <c r="Y19967" s="19" t="n"/>
    </row>
    <row r="19968">
      <c r="C19968" s="18" t="n"/>
      <c r="J19968" s="19" t="n"/>
      <c r="P19968" s="20" t="n"/>
      <c r="Q19968" s="19" t="n"/>
      <c r="R19968" s="19" t="n"/>
      <c r="Y19968" s="19" t="n"/>
    </row>
    <row r="19969">
      <c r="C19969" s="18" t="n"/>
      <c r="J19969" s="19" t="n"/>
      <c r="P19969" s="20" t="n"/>
      <c r="Q19969" s="19" t="n"/>
      <c r="R19969" s="19" t="n"/>
      <c r="Y19969" s="19" t="n"/>
    </row>
    <row r="19970">
      <c r="C19970" s="18" t="n"/>
      <c r="J19970" s="19" t="n"/>
      <c r="P19970" s="20" t="n"/>
      <c r="Q19970" s="19" t="n"/>
      <c r="R19970" s="19" t="n"/>
      <c r="Y19970" s="19" t="n"/>
    </row>
    <row r="19971">
      <c r="C19971" s="18" t="n"/>
      <c r="J19971" s="19" t="n"/>
      <c r="P19971" s="20" t="n"/>
      <c r="Q19971" s="19" t="n"/>
      <c r="R19971" s="19" t="n"/>
      <c r="Y19971" s="19" t="n"/>
    </row>
    <row r="19972">
      <c r="C19972" s="18" t="n"/>
      <c r="J19972" s="19" t="n"/>
      <c r="P19972" s="20" t="n"/>
      <c r="Q19972" s="19" t="n"/>
      <c r="R19972" s="19" t="n"/>
      <c r="Y19972" s="19" t="n"/>
    </row>
    <row r="19973">
      <c r="C19973" s="18" t="n"/>
      <c r="J19973" s="19" t="n"/>
      <c r="P19973" s="20" t="n"/>
      <c r="Q19973" s="19" t="n"/>
      <c r="R19973" s="19" t="n"/>
      <c r="Y19973" s="19" t="n"/>
    </row>
    <row r="19974">
      <c r="C19974" s="18" t="n"/>
      <c r="J19974" s="19" t="n"/>
      <c r="P19974" s="20" t="n"/>
      <c r="Q19974" s="19" t="n"/>
      <c r="R19974" s="19" t="n"/>
      <c r="Y19974" s="19" t="n"/>
    </row>
    <row r="19975">
      <c r="C19975" s="18" t="n"/>
      <c r="J19975" s="19" t="n"/>
      <c r="P19975" s="20" t="n"/>
      <c r="Q19975" s="19" t="n"/>
      <c r="R19975" s="19" t="n"/>
      <c r="Y19975" s="19" t="n"/>
    </row>
    <row r="19976">
      <c r="C19976" s="18" t="n"/>
      <c r="J19976" s="19" t="n"/>
      <c r="P19976" s="20" t="n"/>
      <c r="Q19976" s="19" t="n"/>
      <c r="R19976" s="19" t="n"/>
      <c r="Y19976" s="19" t="n"/>
    </row>
    <row r="19977">
      <c r="C19977" s="18" t="n"/>
      <c r="J19977" s="19" t="n"/>
      <c r="P19977" s="20" t="n"/>
      <c r="Q19977" s="19" t="n"/>
      <c r="R19977" s="19" t="n"/>
      <c r="Y19977" s="19" t="n"/>
    </row>
    <row r="19978">
      <c r="C19978" s="18" t="n"/>
      <c r="J19978" s="19" t="n"/>
      <c r="P19978" s="20" t="n"/>
      <c r="Q19978" s="19" t="n"/>
      <c r="R19978" s="19" t="n"/>
      <c r="Y19978" s="19" t="n"/>
    </row>
    <row r="19979">
      <c r="C19979" s="18" t="n"/>
      <c r="J19979" s="19" t="n"/>
      <c r="P19979" s="20" t="n"/>
      <c r="Q19979" s="19" t="n"/>
      <c r="R19979" s="19" t="n"/>
      <c r="Y19979" s="19" t="n"/>
    </row>
    <row r="19980">
      <c r="C19980" s="18" t="n"/>
      <c r="J19980" s="19" t="n"/>
      <c r="P19980" s="20" t="n"/>
      <c r="Q19980" s="19" t="n"/>
      <c r="R19980" s="19" t="n"/>
      <c r="Y19980" s="19" t="n"/>
    </row>
    <row r="19981">
      <c r="C19981" s="18" t="n"/>
      <c r="J19981" s="19" t="n"/>
      <c r="P19981" s="20" t="n"/>
      <c r="Q19981" s="19" t="n"/>
      <c r="R19981" s="19" t="n"/>
      <c r="Y19981" s="19" t="n"/>
    </row>
    <row r="19982">
      <c r="C19982" s="18" t="n"/>
      <c r="J19982" s="19" t="n"/>
      <c r="P19982" s="20" t="n"/>
      <c r="Q19982" s="19" t="n"/>
      <c r="R19982" s="19" t="n"/>
      <c r="Y19982" s="19" t="n"/>
    </row>
    <row r="19983">
      <c r="C19983" s="18" t="n"/>
      <c r="J19983" s="19" t="n"/>
      <c r="P19983" s="20" t="n"/>
      <c r="Q19983" s="19" t="n"/>
      <c r="R19983" s="19" t="n"/>
      <c r="Y19983" s="19" t="n"/>
    </row>
    <row r="19984">
      <c r="C19984" s="18" t="n"/>
      <c r="J19984" s="19" t="n"/>
      <c r="P19984" s="20" t="n"/>
      <c r="Q19984" s="19" t="n"/>
      <c r="R19984" s="19" t="n"/>
      <c r="Y19984" s="19" t="n"/>
    </row>
    <row r="19985">
      <c r="C19985" s="18" t="n"/>
      <c r="J19985" s="19" t="n"/>
      <c r="P19985" s="20" t="n"/>
      <c r="Q19985" s="19" t="n"/>
      <c r="R19985" s="19" t="n"/>
      <c r="Y19985" s="19" t="n"/>
    </row>
    <row r="19986">
      <c r="C19986" s="18" t="n"/>
      <c r="J19986" s="19" t="n"/>
      <c r="P19986" s="20" t="n"/>
      <c r="Q19986" s="19" t="n"/>
      <c r="R19986" s="19" t="n"/>
      <c r="Y19986" s="19" t="n"/>
    </row>
    <row r="19987">
      <c r="C19987" s="18" t="n"/>
      <c r="J19987" s="19" t="n"/>
      <c r="P19987" s="20" t="n"/>
      <c r="Q19987" s="19" t="n"/>
      <c r="R19987" s="19" t="n"/>
      <c r="Y19987" s="19" t="n"/>
    </row>
    <row r="19988">
      <c r="C19988" s="18" t="n"/>
      <c r="J19988" s="19" t="n"/>
      <c r="P19988" s="20" t="n"/>
      <c r="Q19988" s="19" t="n"/>
      <c r="R19988" s="19" t="n"/>
      <c r="Y19988" s="19" t="n"/>
    </row>
    <row r="19989">
      <c r="C19989" s="18" t="n"/>
      <c r="J19989" s="19" t="n"/>
      <c r="P19989" s="20" t="n"/>
      <c r="Q19989" s="19" t="n"/>
      <c r="R19989" s="19" t="n"/>
      <c r="Y19989" s="19" t="n"/>
    </row>
    <row r="19990">
      <c r="C19990" s="18" t="n"/>
      <c r="J19990" s="19" t="n"/>
      <c r="P19990" s="20" t="n"/>
      <c r="Q19990" s="19" t="n"/>
      <c r="R19990" s="19" t="n"/>
      <c r="Y19990" s="19" t="n"/>
    </row>
    <row r="19991">
      <c r="C19991" s="18" t="n"/>
      <c r="J19991" s="19" t="n"/>
      <c r="P19991" s="20" t="n"/>
      <c r="Q19991" s="19" t="n"/>
      <c r="R19991" s="19" t="n"/>
      <c r="Y19991" s="19" t="n"/>
    </row>
    <row r="19992">
      <c r="C19992" s="18" t="n"/>
      <c r="J19992" s="19" t="n"/>
      <c r="P19992" s="20" t="n"/>
      <c r="Q19992" s="19" t="n"/>
      <c r="R19992" s="19" t="n"/>
      <c r="Y19992" s="19" t="n"/>
    </row>
    <row r="19993">
      <c r="C19993" s="18" t="n"/>
      <c r="J19993" s="19" t="n"/>
      <c r="P19993" s="20" t="n"/>
      <c r="Q19993" s="19" t="n"/>
      <c r="R19993" s="19" t="n"/>
      <c r="Y19993" s="19" t="n"/>
    </row>
    <row r="19994">
      <c r="C19994" s="18" t="n"/>
      <c r="J19994" s="19" t="n"/>
      <c r="P19994" s="20" t="n"/>
      <c r="Q19994" s="19" t="n"/>
      <c r="R19994" s="19" t="n"/>
      <c r="Y19994" s="19" t="n"/>
    </row>
    <row r="19995">
      <c r="C19995" s="18" t="n"/>
      <c r="J19995" s="19" t="n"/>
      <c r="P19995" s="20" t="n"/>
      <c r="Q19995" s="19" t="n"/>
      <c r="R19995" s="19" t="n"/>
      <c r="Y19995" s="19" t="n"/>
    </row>
    <row r="19996">
      <c r="C19996" s="18" t="n"/>
      <c r="J19996" s="19" t="n"/>
      <c r="P19996" s="20" t="n"/>
      <c r="Q19996" s="19" t="n"/>
      <c r="R19996" s="19" t="n"/>
      <c r="Y19996" s="19" t="n"/>
    </row>
    <row r="19997">
      <c r="C19997" s="18" t="n"/>
      <c r="J19997" s="19" t="n"/>
      <c r="P19997" s="20" t="n"/>
      <c r="Q19997" s="19" t="n"/>
      <c r="R19997" s="19" t="n"/>
      <c r="Y19997" s="19" t="n"/>
    </row>
    <row r="19998">
      <c r="C19998" s="18" t="n"/>
      <c r="J19998" s="19" t="n"/>
      <c r="P19998" s="20" t="n"/>
      <c r="Q19998" s="19" t="n"/>
      <c r="R19998" s="19" t="n"/>
      <c r="Y19998" s="19" t="n"/>
    </row>
    <row r="19999">
      <c r="C19999" s="18" t="n"/>
      <c r="J19999" s="19" t="n"/>
      <c r="P19999" s="20" t="n"/>
      <c r="Q19999" s="19" t="n"/>
      <c r="R19999" s="19" t="n"/>
      <c r="Y19999" s="19" t="n"/>
    </row>
    <row r="20000">
      <c r="C20000" s="18" t="n"/>
      <c r="J20000" s="19" t="n"/>
      <c r="P20000" s="20" t="n"/>
      <c r="Q20000" s="19" t="n"/>
      <c r="R20000" s="19" t="n"/>
      <c r="Y20000" s="19" t="n"/>
    </row>
    <row r="20001">
      <c r="C20001" s="18" t="n"/>
      <c r="J20001" s="19" t="n"/>
      <c r="P20001" s="20" t="n"/>
      <c r="Q20001" s="19" t="n"/>
      <c r="R20001" s="19" t="n"/>
      <c r="Y20001" s="19" t="n"/>
    </row>
    <row r="20002">
      <c r="C20002" s="18" t="n"/>
      <c r="J20002" s="19" t="n"/>
      <c r="P20002" s="20" t="n"/>
      <c r="Q20002" s="19" t="n"/>
      <c r="R20002" s="19" t="n"/>
      <c r="Y20002" s="19" t="n"/>
    </row>
    <row r="20003">
      <c r="C20003" s="18" t="n"/>
      <c r="J20003" s="19" t="n"/>
      <c r="P20003" s="20" t="n"/>
      <c r="Q20003" s="19" t="n"/>
      <c r="R20003" s="19" t="n"/>
      <c r="Y20003" s="19" t="n"/>
    </row>
    <row r="20004">
      <c r="C20004" s="18" t="n"/>
      <c r="J20004" s="19" t="n"/>
      <c r="P20004" s="20" t="n"/>
      <c r="Q20004" s="19" t="n"/>
      <c r="R20004" s="19" t="n"/>
      <c r="Y20004" s="19" t="n"/>
    </row>
    <row r="20005">
      <c r="C20005" s="18" t="n"/>
      <c r="J20005" s="19" t="n"/>
      <c r="P20005" s="20" t="n"/>
      <c r="Q20005" s="19" t="n"/>
      <c r="R20005" s="19" t="n"/>
      <c r="Y20005" s="19" t="n"/>
    </row>
  </sheetData>
  <conditionalFormatting sqref="J7:J20006">
    <cfRule type="cellIs" priority="1" operator="greaterThan" dxfId="0">
      <formula>0</formula>
    </cfRule>
  </conditionalFormatting>
  <conditionalFormatting sqref="B7:Y20006">
    <cfRule type="expression" priority="2" dxfId="1" stopIfTrue="0">
      <formula>$K7="Uncategorized"</formula>
    </cfRule>
  </conditionalFormatting>
  <conditionalFormatting sqref="K7:K20006">
    <cfRule type="cellIs" priority="3" operator="equal" dxfId="2">
      <formula>"Uncategorized"</formula>
    </cfRule>
  </conditionalFormatting>
  <dataValidations count="4">
    <dataValidation sqref="K7:K20006" showDropDown="0" showInputMessage="0" showErrorMessage="0" allowBlank="1" type="list">
      <formula1>=CategoryList</formula1>
    </dataValidation>
    <dataValidation sqref="E7:E20006" showDropDown="0" showInputMessage="0" showErrorMessage="0" allowBlank="1" type="list">
      <formula1>=AccountList</formula1>
    </dataValidation>
    <dataValidation sqref="G7:G20006" showDropDown="0" showInputMessage="0" showErrorMessage="0" allowBlank="1" type="list">
      <formula1>=OwnerList</formula1>
    </dataValidation>
    <dataValidation sqref="S7:S20006" showDropDown="0" showInputMessage="0" showErrorMessage="0" allowBlank="1" type="list">
      <formula1>=YesNoList</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codeName="shAccounts">
    <outlinePr summaryBelow="1" summaryRight="1"/>
    <pageSetUpPr fitToPage="1"/>
  </sheetPr>
  <dimension ref="B1:I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20" customWidth="1" min="3" max="3"/>
    <col width="14" customWidth="1" min="4" max="4"/>
    <col width="14" customWidth="1" min="5" max="5"/>
    <col width="28" customWidth="1" min="6" max="6"/>
    <col width="24" customWidth="1" min="7" max="7"/>
    <col width="18" customWidth="1" min="8" max="8"/>
    <col width="30" customWidth="1" min="9" max="9"/>
  </cols>
  <sheetData>
    <row r="1">
      <c r="B1" s="1" t="inlineStr">
        <is>
          <t>Accounts</t>
        </is>
      </c>
    </row>
    <row r="2">
      <c r="B2" s="2" t="inlineStr">
        <is>
          <t>One row per bank or card account. The Owner is who "Paid By" names when a transaction uses that account. Bank Format and File Name Contains are only used by the macro-enabled edition.</t>
        </is>
      </c>
    </row>
    <row r="4">
      <c r="B4" s="17" t="inlineStr">
        <is>
          <t>Account</t>
        </is>
      </c>
      <c r="C4" s="17" t="inlineStr">
        <is>
          <t>Institution</t>
        </is>
      </c>
      <c r="D4" s="17" t="inlineStr">
        <is>
          <t>Type</t>
        </is>
      </c>
      <c r="E4" s="17" t="inlineStr">
        <is>
          <t>Owner</t>
        </is>
      </c>
      <c r="F4" s="17" t="inlineStr">
        <is>
          <t>Bank Format</t>
        </is>
      </c>
      <c r="G4" s="17" t="inlineStr">
        <is>
          <t>File Name Contains</t>
        </is>
      </c>
      <c r="H4" s="17" t="inlineStr">
        <is>
          <t>Include in Household</t>
        </is>
      </c>
      <c r="I4" s="17" t="inlineStr">
        <is>
          <t>Notes</t>
        </is>
      </c>
    </row>
    <row r="5">
      <c r="B5" t="inlineStr">
        <is>
          <t>RBC Chequing (Alex)</t>
        </is>
      </c>
      <c r="C5" t="inlineStr">
        <is>
          <t>RBC Royal Bank</t>
        </is>
      </c>
      <c r="D5" t="inlineStr">
        <is>
          <t>Chequing</t>
        </is>
      </c>
      <c r="E5" t="inlineStr">
        <is>
          <t>Alex</t>
        </is>
      </c>
      <c r="F5" t="inlineStr">
        <is>
          <t>RBC Chequing/Savings/Card</t>
        </is>
      </c>
      <c r="G5" t="inlineStr">
        <is>
          <t>rbc-chequing-alex</t>
        </is>
      </c>
      <c r="H5" t="inlineStr">
        <is>
          <t>Yes</t>
        </is>
      </c>
      <c r="I5" t="inlineStr">
        <is>
          <t>Sample account</t>
        </is>
      </c>
    </row>
    <row r="6">
      <c r="B6" t="inlineStr">
        <is>
          <t>Tangerine Chequing (Sam)</t>
        </is>
      </c>
      <c r="C6" t="inlineStr">
        <is>
          <t>Tangerine</t>
        </is>
      </c>
      <c r="D6" t="inlineStr">
        <is>
          <t>Chequing</t>
        </is>
      </c>
      <c r="E6" t="inlineStr">
        <is>
          <t>Sam</t>
        </is>
      </c>
      <c r="F6" t="inlineStr">
        <is>
          <t>Tangerine</t>
        </is>
      </c>
      <c r="G6" t="inlineStr">
        <is>
          <t>tangerine-chequing-sam</t>
        </is>
      </c>
      <c r="H6" t="inlineStr">
        <is>
          <t>Yes</t>
        </is>
      </c>
      <c r="I6" t="inlineStr">
        <is>
          <t>Sample account</t>
        </is>
      </c>
    </row>
    <row r="7">
      <c r="B7" t="inlineStr">
        <is>
          <t>BMO Joint Chequing</t>
        </is>
      </c>
      <c r="C7" t="inlineStr">
        <is>
          <t>BMO</t>
        </is>
      </c>
      <c r="D7" t="inlineStr">
        <is>
          <t>Chequing</t>
        </is>
      </c>
      <c r="E7" t="inlineStr">
        <is>
          <t>Joint</t>
        </is>
      </c>
      <c r="F7" t="inlineStr">
        <is>
          <t>BMO</t>
        </is>
      </c>
      <c r="G7" t="inlineStr">
        <is>
          <t>bmo-joint-chequing</t>
        </is>
      </c>
      <c r="H7" t="inlineStr">
        <is>
          <t>Yes</t>
        </is>
      </c>
      <c r="I7" t="inlineStr">
        <is>
          <t>Sample account</t>
        </is>
      </c>
    </row>
    <row r="8">
      <c r="B8" t="inlineStr">
        <is>
          <t>Amex Cobalt (Joint)</t>
        </is>
      </c>
      <c r="C8" t="inlineStr">
        <is>
          <t>American Express</t>
        </is>
      </c>
      <c r="D8" t="inlineStr">
        <is>
          <t>Credit Card</t>
        </is>
      </c>
      <c r="E8" t="inlineStr">
        <is>
          <t>Joint</t>
        </is>
      </c>
      <c r="F8" t="inlineStr">
        <is>
          <t>Amex Canada</t>
        </is>
      </c>
      <c r="G8" t="inlineStr">
        <is>
          <t>amex-cobalt-joint</t>
        </is>
      </c>
      <c r="H8" t="inlineStr">
        <is>
          <t>Yes</t>
        </is>
      </c>
      <c r="I8" t="inlineStr">
        <is>
          <t>Sample account</t>
        </is>
      </c>
    </row>
    <row r="9"/>
    <row r="10"/>
    <row r="11"/>
    <row r="12"/>
  </sheetData>
  <dataValidations count="3">
    <dataValidation sqref="D5:D200" showDropDown="0" showInputMessage="0" showErrorMessage="0" allowBlank="1" type="list">
      <formula1>=AccountTypeList</formula1>
    </dataValidation>
    <dataValidation sqref="E5:E200" showDropDown="0" showInputMessage="0" showErrorMessage="0" allowBlank="1" type="list">
      <formula1>=OwnerList</formula1>
    </dataValidation>
    <dataValidation sqref="H5:H200" showDropDown="0" showInputMessage="0" showErrorMessage="0" allowBlank="1" type="list">
      <formula1>=YesNoList</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codeName="shCategories">
    <outlinePr summaryBelow="1" summaryRight="1"/>
    <pageSetUpPr fitToPage="1"/>
  </sheetPr>
  <dimension ref="B1:J9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28" customWidth="1" min="2" max="2"/>
    <col width="16" customWidth="1" min="3" max="3"/>
    <col width="11" customWidth="1" min="4" max="4"/>
    <col width="11" customWidth="1" min="5" max="5"/>
    <col width="26" customWidth="1" min="6" max="6"/>
    <col width="15" customWidth="1" min="7" max="7"/>
    <col width="14" customWidth="1" min="8" max="8"/>
    <col width="13" customWidth="1" min="9" max="9"/>
    <col width="34" customWidth="1" min="10" max="10"/>
  </cols>
  <sheetData>
    <row r="1">
      <c r="B1" s="1" t="inlineStr">
        <is>
          <t>Categories</t>
        </is>
      </c>
    </row>
    <row r="2">
      <c r="B2" s="2" t="inlineStr">
        <is>
          <t>Add your own rows freely. Type drives the reports: Income and Expense count in cash flow, Saving is money you kept, Transfer is ignored. "Default Owner" decides whose expense it is when the rules categorise a row, and "Joint Split A" overrides the household split for one category.</t>
        </is>
      </c>
    </row>
    <row r="4">
      <c r="B4" s="17" t="inlineStr">
        <is>
          <t>Category</t>
        </is>
      </c>
      <c r="C4" s="17" t="inlineStr">
        <is>
          <t>Group</t>
        </is>
      </c>
      <c r="D4" s="17" t="inlineStr">
        <is>
          <t>Type</t>
        </is>
      </c>
      <c r="E4" s="17" t="inlineStr">
        <is>
          <t>Essential</t>
        </is>
      </c>
      <c r="F4" s="17" t="inlineStr">
        <is>
          <t>Tax Tag</t>
        </is>
      </c>
      <c r="G4" s="17" t="inlineStr">
        <is>
          <t>Monthly Budget</t>
        </is>
      </c>
      <c r="H4" s="17" t="inlineStr">
        <is>
          <t>Default Owner</t>
        </is>
      </c>
      <c r="I4" s="17" t="inlineStr">
        <is>
          <t>Joint Split A</t>
        </is>
      </c>
      <c r="J4" s="17" t="inlineStr">
        <is>
          <t>Notes</t>
        </is>
      </c>
    </row>
    <row r="5">
      <c r="B5" t="inlineStr">
        <is>
          <t>Employment Income</t>
        </is>
      </c>
      <c r="C5" t="inlineStr">
        <is>
          <t>Income</t>
        </is>
      </c>
      <c r="D5" t="inlineStr">
        <is>
          <t>Income</t>
        </is>
      </c>
      <c r="E5" t="inlineStr">
        <is>
          <t>Yes</t>
        </is>
      </c>
      <c r="G5" s="19" t="n"/>
      <c r="I5" s="20">
        <f>DefaultSplitA</f>
        <v/>
      </c>
      <c r="J5" t="inlineStr">
        <is>
          <t>Net pay after source deductions</t>
        </is>
      </c>
    </row>
    <row r="6">
      <c r="B6" t="inlineStr">
        <is>
          <t>Bonus &amp; Commission</t>
        </is>
      </c>
      <c r="C6" t="inlineStr">
        <is>
          <t>Income</t>
        </is>
      </c>
      <c r="D6" t="inlineStr">
        <is>
          <t>Income</t>
        </is>
      </c>
      <c r="E6" t="inlineStr">
        <is>
          <t>No</t>
        </is>
      </c>
      <c r="G6" s="19" t="n"/>
      <c r="I6" s="20">
        <f>DefaultSplitA</f>
        <v/>
      </c>
    </row>
    <row r="7">
      <c r="B7" t="inlineStr">
        <is>
          <t>Self-Employment Income</t>
        </is>
      </c>
      <c r="C7" t="inlineStr">
        <is>
          <t>Income</t>
        </is>
      </c>
      <c r="D7" t="inlineStr">
        <is>
          <t>Income</t>
        </is>
      </c>
      <c r="E7" t="inlineStr">
        <is>
          <t>No</t>
        </is>
      </c>
      <c r="F7" t="inlineStr">
        <is>
          <t>Business income</t>
        </is>
      </c>
      <c r="G7" s="19" t="n"/>
      <c r="I7" s="20">
        <f>DefaultSplitA</f>
        <v/>
      </c>
      <c r="J7" t="inlineStr">
        <is>
          <t>T2125</t>
        </is>
      </c>
    </row>
    <row r="8">
      <c r="B8" t="inlineStr">
        <is>
          <t>EI Benefits</t>
        </is>
      </c>
      <c r="C8" t="inlineStr">
        <is>
          <t>Income</t>
        </is>
      </c>
      <c r="D8" t="inlineStr">
        <is>
          <t>Income</t>
        </is>
      </c>
      <c r="E8" t="inlineStr">
        <is>
          <t>Yes</t>
        </is>
      </c>
      <c r="G8" s="19" t="n"/>
      <c r="I8" s="20">
        <f>DefaultSplitA</f>
        <v/>
      </c>
    </row>
    <row r="9">
      <c r="B9" t="inlineStr">
        <is>
          <t>CPP / OAS</t>
        </is>
      </c>
      <c r="C9" t="inlineStr">
        <is>
          <t>Income</t>
        </is>
      </c>
      <c r="D9" t="inlineStr">
        <is>
          <t>Income</t>
        </is>
      </c>
      <c r="E9" t="inlineStr">
        <is>
          <t>Yes</t>
        </is>
      </c>
      <c r="G9" s="19" t="n"/>
      <c r="I9" s="20">
        <f>DefaultSplitA</f>
        <v/>
      </c>
    </row>
    <row r="10">
      <c r="B10" t="inlineStr">
        <is>
          <t>Canada Child Benefit</t>
        </is>
      </c>
      <c r="C10" t="inlineStr">
        <is>
          <t>Income</t>
        </is>
      </c>
      <c r="D10" t="inlineStr">
        <is>
          <t>Income</t>
        </is>
      </c>
      <c r="E10" t="inlineStr">
        <is>
          <t>Yes</t>
        </is>
      </c>
      <c r="G10" s="19" t="n"/>
      <c r="H10" t="inlineStr">
        <is>
          <t>Joint</t>
        </is>
      </c>
      <c r="I10" s="20">
        <f>DefaultSplitA</f>
        <v/>
      </c>
      <c r="J10" t="inlineStr">
        <is>
          <t>Tax free</t>
        </is>
      </c>
    </row>
    <row r="11">
      <c r="B11" t="inlineStr">
        <is>
          <t>GST/HST Credit</t>
        </is>
      </c>
      <c r="C11" t="inlineStr">
        <is>
          <t>Income</t>
        </is>
      </c>
      <c r="D11" t="inlineStr">
        <is>
          <t>Income</t>
        </is>
      </c>
      <c r="E11" t="inlineStr">
        <is>
          <t>No</t>
        </is>
      </c>
      <c r="G11" s="19" t="n"/>
      <c r="I11" s="20">
        <f>DefaultSplitA</f>
        <v/>
      </c>
      <c r="J11" t="inlineStr">
        <is>
          <t>Tax free</t>
        </is>
      </c>
    </row>
    <row r="12">
      <c r="B12" t="inlineStr">
        <is>
          <t>Canada Carbon Rebate</t>
        </is>
      </c>
      <c r="C12" t="inlineStr">
        <is>
          <t>Income</t>
        </is>
      </c>
      <c r="D12" t="inlineStr">
        <is>
          <t>Income</t>
        </is>
      </c>
      <c r="E12" t="inlineStr">
        <is>
          <t>No</t>
        </is>
      </c>
      <c r="G12" s="19" t="n"/>
      <c r="I12" s="20">
        <f>DefaultSplitA</f>
        <v/>
      </c>
      <c r="J12" t="inlineStr">
        <is>
          <t>Where it still applies</t>
        </is>
      </c>
    </row>
    <row r="13">
      <c r="B13" t="inlineStr">
        <is>
          <t>Tax Refund (CRA)</t>
        </is>
      </c>
      <c r="C13" t="inlineStr">
        <is>
          <t>Income</t>
        </is>
      </c>
      <c r="D13" t="inlineStr">
        <is>
          <t>Income</t>
        </is>
      </c>
      <c r="E13" t="inlineStr">
        <is>
          <t>No</t>
        </is>
      </c>
      <c r="G13" s="19" t="n"/>
      <c r="I13" s="20">
        <f>DefaultSplitA</f>
        <v/>
      </c>
    </row>
    <row r="14">
      <c r="B14" t="inlineStr">
        <is>
          <t>Investment Income</t>
        </is>
      </c>
      <c r="C14" t="inlineStr">
        <is>
          <t>Income</t>
        </is>
      </c>
      <c r="D14" t="inlineStr">
        <is>
          <t>Income</t>
        </is>
      </c>
      <c r="E14" t="inlineStr">
        <is>
          <t>No</t>
        </is>
      </c>
      <c r="F14" t="inlineStr">
        <is>
          <t>Investment income</t>
        </is>
      </c>
      <c r="G14" s="19" t="n"/>
      <c r="I14" s="20">
        <f>DefaultSplitA</f>
        <v/>
      </c>
      <c r="J14" t="inlineStr">
        <is>
          <t>T5 / T3</t>
        </is>
      </c>
    </row>
    <row r="15">
      <c r="B15" t="inlineStr">
        <is>
          <t>Rental Income</t>
        </is>
      </c>
      <c r="C15" t="inlineStr">
        <is>
          <t>Income</t>
        </is>
      </c>
      <c r="D15" t="inlineStr">
        <is>
          <t>Income</t>
        </is>
      </c>
      <c r="E15" t="inlineStr">
        <is>
          <t>No</t>
        </is>
      </c>
      <c r="F15" t="inlineStr">
        <is>
          <t>Rental income</t>
        </is>
      </c>
      <c r="G15" s="19" t="n"/>
      <c r="I15" s="20">
        <f>DefaultSplitA</f>
        <v/>
      </c>
      <c r="J15" t="inlineStr">
        <is>
          <t>T776</t>
        </is>
      </c>
    </row>
    <row r="16">
      <c r="B16" t="inlineStr">
        <is>
          <t>Interest Earned</t>
        </is>
      </c>
      <c r="C16" t="inlineStr">
        <is>
          <t>Income</t>
        </is>
      </c>
      <c r="D16" t="inlineStr">
        <is>
          <t>Income</t>
        </is>
      </c>
      <c r="E16" t="inlineStr">
        <is>
          <t>No</t>
        </is>
      </c>
      <c r="F16" t="inlineStr">
        <is>
          <t>Investment income</t>
        </is>
      </c>
      <c r="G16" s="19" t="n"/>
      <c r="I16" s="20">
        <f>DefaultSplitA</f>
        <v/>
      </c>
    </row>
    <row r="17">
      <c r="B17" t="inlineStr">
        <is>
          <t>Gifts Received</t>
        </is>
      </c>
      <c r="C17" t="inlineStr">
        <is>
          <t>Income</t>
        </is>
      </c>
      <c r="D17" t="inlineStr">
        <is>
          <t>Income</t>
        </is>
      </c>
      <c r="E17" t="inlineStr">
        <is>
          <t>No</t>
        </is>
      </c>
      <c r="G17" s="19" t="n"/>
      <c r="I17" s="20">
        <f>DefaultSplitA</f>
        <v/>
      </c>
    </row>
    <row r="18">
      <c r="B18" t="inlineStr">
        <is>
          <t>Other Income</t>
        </is>
      </c>
      <c r="C18" t="inlineStr">
        <is>
          <t>Income</t>
        </is>
      </c>
      <c r="D18" t="inlineStr">
        <is>
          <t>Income</t>
        </is>
      </c>
      <c r="E18" t="inlineStr">
        <is>
          <t>No</t>
        </is>
      </c>
      <c r="G18" s="19" t="n"/>
      <c r="I18" s="20">
        <f>DefaultSplitA</f>
        <v/>
      </c>
    </row>
    <row r="19">
      <c r="B19" t="inlineStr">
        <is>
          <t>Rent</t>
        </is>
      </c>
      <c r="C19" t="inlineStr">
        <is>
          <t>Housing</t>
        </is>
      </c>
      <c r="D19" t="inlineStr">
        <is>
          <t>Expense</t>
        </is>
      </c>
      <c r="E19" t="inlineStr">
        <is>
          <t>Yes</t>
        </is>
      </c>
      <c r="G19" s="19" t="n"/>
      <c r="H19" t="inlineStr">
        <is>
          <t>Joint</t>
        </is>
      </c>
      <c r="I19" s="20">
        <f>DefaultSplitA</f>
        <v/>
      </c>
    </row>
    <row r="20">
      <c r="B20" t="inlineStr">
        <is>
          <t>Mortgage Payment</t>
        </is>
      </c>
      <c r="C20" t="inlineStr">
        <is>
          <t>Housing</t>
        </is>
      </c>
      <c r="D20" t="inlineStr">
        <is>
          <t>Expense</t>
        </is>
      </c>
      <c r="E20" t="inlineStr">
        <is>
          <t>Yes</t>
        </is>
      </c>
      <c r="G20" s="19" t="n"/>
      <c r="H20" t="inlineStr">
        <is>
          <t>Joint</t>
        </is>
      </c>
      <c r="I20" s="20">
        <f>DefaultSplitA</f>
        <v/>
      </c>
      <c r="J20" t="inlineStr">
        <is>
          <t>Principal plus interest</t>
        </is>
      </c>
    </row>
    <row r="21">
      <c r="B21" t="inlineStr">
        <is>
          <t>Property Tax</t>
        </is>
      </c>
      <c r="C21" t="inlineStr">
        <is>
          <t>Housing</t>
        </is>
      </c>
      <c r="D21" t="inlineStr">
        <is>
          <t>Expense</t>
        </is>
      </c>
      <c r="E21" t="inlineStr">
        <is>
          <t>Yes</t>
        </is>
      </c>
      <c r="G21" s="19" t="n"/>
      <c r="H21" t="inlineStr">
        <is>
          <t>Joint</t>
        </is>
      </c>
      <c r="I21" s="20">
        <f>DefaultSplitA</f>
        <v/>
      </c>
    </row>
    <row r="22">
      <c r="B22" t="inlineStr">
        <is>
          <t>Condo / Strata Fees</t>
        </is>
      </c>
      <c r="C22" t="inlineStr">
        <is>
          <t>Housing</t>
        </is>
      </c>
      <c r="D22" t="inlineStr">
        <is>
          <t>Expense</t>
        </is>
      </c>
      <c r="E22" t="inlineStr">
        <is>
          <t>Yes</t>
        </is>
      </c>
      <c r="G22" s="19" t="n"/>
      <c r="H22" t="inlineStr">
        <is>
          <t>Joint</t>
        </is>
      </c>
      <c r="I22" s="20">
        <f>DefaultSplitA</f>
        <v/>
      </c>
    </row>
    <row r="23">
      <c r="B23" t="inlineStr">
        <is>
          <t>Home Insurance</t>
        </is>
      </c>
      <c r="C23" t="inlineStr">
        <is>
          <t>Housing</t>
        </is>
      </c>
      <c r="D23" t="inlineStr">
        <is>
          <t>Expense</t>
        </is>
      </c>
      <c r="E23" t="inlineStr">
        <is>
          <t>Yes</t>
        </is>
      </c>
      <c r="G23" s="19" t="n"/>
      <c r="H23" t="inlineStr">
        <is>
          <t>Joint</t>
        </is>
      </c>
      <c r="I23" s="20">
        <f>DefaultSplitA</f>
        <v/>
      </c>
    </row>
    <row r="24">
      <c r="B24" t="inlineStr">
        <is>
          <t>Home Maintenance</t>
        </is>
      </c>
      <c r="C24" t="inlineStr">
        <is>
          <t>Housing</t>
        </is>
      </c>
      <c r="D24" t="inlineStr">
        <is>
          <t>Expense</t>
        </is>
      </c>
      <c r="E24" t="inlineStr">
        <is>
          <t>Yes</t>
        </is>
      </c>
      <c r="G24" s="19" t="n"/>
      <c r="H24" t="inlineStr">
        <is>
          <t>Joint</t>
        </is>
      </c>
      <c r="I24" s="20">
        <f>DefaultSplitA</f>
        <v/>
      </c>
    </row>
    <row r="25">
      <c r="B25" t="inlineStr">
        <is>
          <t>Home Improvement</t>
        </is>
      </c>
      <c r="C25" t="inlineStr">
        <is>
          <t>Housing</t>
        </is>
      </c>
      <c r="D25" t="inlineStr">
        <is>
          <t>Expense</t>
        </is>
      </c>
      <c r="E25" t="inlineStr">
        <is>
          <t>No</t>
        </is>
      </c>
      <c r="G25" s="19" t="n"/>
      <c r="H25" t="inlineStr">
        <is>
          <t>Joint</t>
        </is>
      </c>
      <c r="I25" s="20">
        <f>DefaultSplitA</f>
        <v/>
      </c>
    </row>
    <row r="26">
      <c r="B26" t="inlineStr">
        <is>
          <t>Furniture &amp; Housewares</t>
        </is>
      </c>
      <c r="C26" t="inlineStr">
        <is>
          <t>Housing</t>
        </is>
      </c>
      <c r="D26" t="inlineStr">
        <is>
          <t>Expense</t>
        </is>
      </c>
      <c r="E26" t="inlineStr">
        <is>
          <t>No</t>
        </is>
      </c>
      <c r="G26" s="19" t="n"/>
      <c r="H26" t="inlineStr">
        <is>
          <t>Joint</t>
        </is>
      </c>
      <c r="I26" s="20">
        <f>DefaultSplitA</f>
        <v/>
      </c>
    </row>
    <row r="27">
      <c r="B27" t="inlineStr">
        <is>
          <t>Electricity / Hydro</t>
        </is>
      </c>
      <c r="C27" t="inlineStr">
        <is>
          <t>Utilities</t>
        </is>
      </c>
      <c r="D27" t="inlineStr">
        <is>
          <t>Expense</t>
        </is>
      </c>
      <c r="E27" t="inlineStr">
        <is>
          <t>Yes</t>
        </is>
      </c>
      <c r="G27" s="19" t="n"/>
      <c r="H27" t="inlineStr">
        <is>
          <t>Joint</t>
        </is>
      </c>
      <c r="I27" s="20">
        <f>DefaultSplitA</f>
        <v/>
      </c>
    </row>
    <row r="28">
      <c r="B28" t="inlineStr">
        <is>
          <t>Natural Gas / Heating</t>
        </is>
      </c>
      <c r="C28" t="inlineStr">
        <is>
          <t>Utilities</t>
        </is>
      </c>
      <c r="D28" t="inlineStr">
        <is>
          <t>Expense</t>
        </is>
      </c>
      <c r="E28" t="inlineStr">
        <is>
          <t>Yes</t>
        </is>
      </c>
      <c r="G28" s="19" t="n"/>
      <c r="H28" t="inlineStr">
        <is>
          <t>Joint</t>
        </is>
      </c>
      <c r="I28" s="20">
        <f>DefaultSplitA</f>
        <v/>
      </c>
    </row>
    <row r="29">
      <c r="B29" t="inlineStr">
        <is>
          <t>Water &amp; Sewer</t>
        </is>
      </c>
      <c r="C29" t="inlineStr">
        <is>
          <t>Utilities</t>
        </is>
      </c>
      <c r="D29" t="inlineStr">
        <is>
          <t>Expense</t>
        </is>
      </c>
      <c r="E29" t="inlineStr">
        <is>
          <t>Yes</t>
        </is>
      </c>
      <c r="G29" s="19" t="n"/>
      <c r="H29" t="inlineStr">
        <is>
          <t>Joint</t>
        </is>
      </c>
      <c r="I29" s="20">
        <f>DefaultSplitA</f>
        <v/>
      </c>
    </row>
    <row r="30">
      <c r="B30" t="inlineStr">
        <is>
          <t>Internet</t>
        </is>
      </c>
      <c r="C30" t="inlineStr">
        <is>
          <t>Utilities</t>
        </is>
      </c>
      <c r="D30" t="inlineStr">
        <is>
          <t>Expense</t>
        </is>
      </c>
      <c r="E30" t="inlineStr">
        <is>
          <t>Yes</t>
        </is>
      </c>
      <c r="G30" s="19" t="n"/>
      <c r="H30" t="inlineStr">
        <is>
          <t>Joint</t>
        </is>
      </c>
      <c r="I30" s="20">
        <f>DefaultSplitA</f>
        <v/>
      </c>
    </row>
    <row r="31">
      <c r="B31" t="inlineStr">
        <is>
          <t>Mobile Phone</t>
        </is>
      </c>
      <c r="C31" t="inlineStr">
        <is>
          <t>Utilities</t>
        </is>
      </c>
      <c r="D31" t="inlineStr">
        <is>
          <t>Expense</t>
        </is>
      </c>
      <c r="E31" t="inlineStr">
        <is>
          <t>Yes</t>
        </is>
      </c>
      <c r="G31" s="19" t="n"/>
      <c r="I31" s="20">
        <f>DefaultSplitA</f>
        <v/>
      </c>
    </row>
    <row r="32">
      <c r="B32" t="inlineStr">
        <is>
          <t>Groceries</t>
        </is>
      </c>
      <c r="C32" t="inlineStr">
        <is>
          <t>Food</t>
        </is>
      </c>
      <c r="D32" t="inlineStr">
        <is>
          <t>Expense</t>
        </is>
      </c>
      <c r="E32" t="inlineStr">
        <is>
          <t>Yes</t>
        </is>
      </c>
      <c r="G32" s="19" t="n"/>
      <c r="H32" t="inlineStr">
        <is>
          <t>Joint</t>
        </is>
      </c>
      <c r="I32" s="20">
        <f>DefaultSplitA</f>
        <v/>
      </c>
    </row>
    <row r="33">
      <c r="B33" t="inlineStr">
        <is>
          <t>Restaurants &amp; Takeout</t>
        </is>
      </c>
      <c r="C33" t="inlineStr">
        <is>
          <t>Food</t>
        </is>
      </c>
      <c r="D33" t="inlineStr">
        <is>
          <t>Expense</t>
        </is>
      </c>
      <c r="E33" t="inlineStr">
        <is>
          <t>No</t>
        </is>
      </c>
      <c r="G33" s="19" t="n"/>
      <c r="H33" t="inlineStr">
        <is>
          <t>Joint</t>
        </is>
      </c>
      <c r="I33" s="20">
        <f>DefaultSplitA</f>
        <v/>
      </c>
    </row>
    <row r="34">
      <c r="B34" t="inlineStr">
        <is>
          <t>Coffee &amp; Snacks</t>
        </is>
      </c>
      <c r="C34" t="inlineStr">
        <is>
          <t>Food</t>
        </is>
      </c>
      <c r="D34" t="inlineStr">
        <is>
          <t>Expense</t>
        </is>
      </c>
      <c r="E34" t="inlineStr">
        <is>
          <t>No</t>
        </is>
      </c>
      <c r="G34" s="19" t="n"/>
      <c r="I34" s="20">
        <f>DefaultSplitA</f>
        <v/>
      </c>
    </row>
    <row r="35">
      <c r="B35" t="inlineStr">
        <is>
          <t>Alcohol</t>
        </is>
      </c>
      <c r="C35" t="inlineStr">
        <is>
          <t>Food</t>
        </is>
      </c>
      <c r="D35" t="inlineStr">
        <is>
          <t>Expense</t>
        </is>
      </c>
      <c r="E35" t="inlineStr">
        <is>
          <t>No</t>
        </is>
      </c>
      <c r="G35" s="19" t="n"/>
      <c r="I35" s="20">
        <f>DefaultSplitA</f>
        <v/>
      </c>
      <c r="J35" t="inlineStr">
        <is>
          <t>LCBO, SAQ, BC Liquor, ANBL</t>
        </is>
      </c>
    </row>
    <row r="36">
      <c r="B36" t="inlineStr">
        <is>
          <t>Cannabis</t>
        </is>
      </c>
      <c r="C36" t="inlineStr">
        <is>
          <t>Food</t>
        </is>
      </c>
      <c r="D36" t="inlineStr">
        <is>
          <t>Expense</t>
        </is>
      </c>
      <c r="E36" t="inlineStr">
        <is>
          <t>No</t>
        </is>
      </c>
      <c r="G36" s="19" t="n"/>
      <c r="I36" s="20">
        <f>DefaultSplitA</f>
        <v/>
      </c>
    </row>
    <row r="37">
      <c r="B37" t="inlineStr">
        <is>
          <t>Fuel</t>
        </is>
      </c>
      <c r="C37" t="inlineStr">
        <is>
          <t>Transportation</t>
        </is>
      </c>
      <c r="D37" t="inlineStr">
        <is>
          <t>Expense</t>
        </is>
      </c>
      <c r="E37" t="inlineStr">
        <is>
          <t>Yes</t>
        </is>
      </c>
      <c r="G37" s="19" t="n"/>
      <c r="H37" t="inlineStr">
        <is>
          <t>Joint</t>
        </is>
      </c>
      <c r="I37" s="20">
        <f>DefaultSplitA</f>
        <v/>
      </c>
    </row>
    <row r="38">
      <c r="B38" t="inlineStr">
        <is>
          <t>Auto Insurance</t>
        </is>
      </c>
      <c r="C38" t="inlineStr">
        <is>
          <t>Transportation</t>
        </is>
      </c>
      <c r="D38" t="inlineStr">
        <is>
          <t>Expense</t>
        </is>
      </c>
      <c r="E38" t="inlineStr">
        <is>
          <t>Yes</t>
        </is>
      </c>
      <c r="G38" s="19" t="n"/>
      <c r="H38" t="inlineStr">
        <is>
          <t>Joint</t>
        </is>
      </c>
      <c r="I38" s="20">
        <f>DefaultSplitA</f>
        <v/>
      </c>
    </row>
    <row r="39">
      <c r="B39" t="inlineStr">
        <is>
          <t>Auto Maintenance</t>
        </is>
      </c>
      <c r="C39" t="inlineStr">
        <is>
          <t>Transportation</t>
        </is>
      </c>
      <c r="D39" t="inlineStr">
        <is>
          <t>Expense</t>
        </is>
      </c>
      <c r="E39" t="inlineStr">
        <is>
          <t>Yes</t>
        </is>
      </c>
      <c r="G39" s="19" t="n"/>
      <c r="H39" t="inlineStr">
        <is>
          <t>Joint</t>
        </is>
      </c>
      <c r="I39" s="20">
        <f>DefaultSplitA</f>
        <v/>
      </c>
    </row>
    <row r="40">
      <c r="B40" t="inlineStr">
        <is>
          <t>Vehicle Payment</t>
        </is>
      </c>
      <c r="C40" t="inlineStr">
        <is>
          <t>Transportation</t>
        </is>
      </c>
      <c r="D40" t="inlineStr">
        <is>
          <t>Expense</t>
        </is>
      </c>
      <c r="E40" t="inlineStr">
        <is>
          <t>Yes</t>
        </is>
      </c>
      <c r="G40" s="19" t="n"/>
      <c r="H40" t="inlineStr">
        <is>
          <t>Joint</t>
        </is>
      </c>
      <c r="I40" s="20">
        <f>DefaultSplitA</f>
        <v/>
      </c>
      <c r="J40" t="inlineStr">
        <is>
          <t>Loan or lease</t>
        </is>
      </c>
    </row>
    <row r="41">
      <c r="B41" t="inlineStr">
        <is>
          <t>Vehicle Registration</t>
        </is>
      </c>
      <c r="C41" t="inlineStr">
        <is>
          <t>Transportation</t>
        </is>
      </c>
      <c r="D41" t="inlineStr">
        <is>
          <t>Expense</t>
        </is>
      </c>
      <c r="E41" t="inlineStr">
        <is>
          <t>Yes</t>
        </is>
      </c>
      <c r="G41" s="19" t="n"/>
      <c r="H41" t="inlineStr">
        <is>
          <t>Joint</t>
        </is>
      </c>
      <c r="I41" s="20">
        <f>DefaultSplitA</f>
        <v/>
      </c>
    </row>
    <row r="42">
      <c r="B42" t="inlineStr">
        <is>
          <t>Public Transit</t>
        </is>
      </c>
      <c r="C42" t="inlineStr">
        <is>
          <t>Transportation</t>
        </is>
      </c>
      <c r="D42" t="inlineStr">
        <is>
          <t>Expense</t>
        </is>
      </c>
      <c r="E42" t="inlineStr">
        <is>
          <t>Yes</t>
        </is>
      </c>
      <c r="G42" s="19" t="n"/>
      <c r="I42" s="20">
        <f>DefaultSplitA</f>
        <v/>
      </c>
      <c r="J42" t="inlineStr">
        <is>
          <t>Presto, Compass, OPUS</t>
        </is>
      </c>
    </row>
    <row r="43">
      <c r="B43" t="inlineStr">
        <is>
          <t>Taxi &amp; Rideshare</t>
        </is>
      </c>
      <c r="C43" t="inlineStr">
        <is>
          <t>Transportation</t>
        </is>
      </c>
      <c r="D43" t="inlineStr">
        <is>
          <t>Expense</t>
        </is>
      </c>
      <c r="E43" t="inlineStr">
        <is>
          <t>No</t>
        </is>
      </c>
      <c r="G43" s="19" t="n"/>
      <c r="I43" s="20">
        <f>DefaultSplitA</f>
        <v/>
      </c>
    </row>
    <row r="44">
      <c r="B44" t="inlineStr">
        <is>
          <t>Parking &amp; Tolls</t>
        </is>
      </c>
      <c r="C44" t="inlineStr">
        <is>
          <t>Transportation</t>
        </is>
      </c>
      <c r="D44" t="inlineStr">
        <is>
          <t>Expense</t>
        </is>
      </c>
      <c r="E44" t="inlineStr">
        <is>
          <t>No</t>
        </is>
      </c>
      <c r="G44" s="19" t="n"/>
      <c r="H44" t="inlineStr">
        <is>
          <t>Joint</t>
        </is>
      </c>
      <c r="I44" s="20">
        <f>DefaultSplitA</f>
        <v/>
      </c>
      <c r="J44" t="inlineStr">
        <is>
          <t>407 ETR, city parking</t>
        </is>
      </c>
    </row>
    <row r="45">
      <c r="B45" t="inlineStr">
        <is>
          <t>Health Insurance</t>
        </is>
      </c>
      <c r="C45" t="inlineStr">
        <is>
          <t>Health</t>
        </is>
      </c>
      <c r="D45" t="inlineStr">
        <is>
          <t>Expense</t>
        </is>
      </c>
      <c r="E45" t="inlineStr">
        <is>
          <t>Yes</t>
        </is>
      </c>
      <c r="F45" t="inlineStr">
        <is>
          <t>Medical</t>
        </is>
      </c>
      <c r="G45" s="19" t="n"/>
      <c r="I45" s="20">
        <f>DefaultSplitA</f>
        <v/>
      </c>
    </row>
    <row r="46">
      <c r="B46" t="inlineStr">
        <is>
          <t>Dental</t>
        </is>
      </c>
      <c r="C46" t="inlineStr">
        <is>
          <t>Health</t>
        </is>
      </c>
      <c r="D46" t="inlineStr">
        <is>
          <t>Expense</t>
        </is>
      </c>
      <c r="E46" t="inlineStr">
        <is>
          <t>Yes</t>
        </is>
      </c>
      <c r="F46" t="inlineStr">
        <is>
          <t>Medical</t>
        </is>
      </c>
      <c r="G46" s="19" t="n"/>
      <c r="I46" s="20">
        <f>DefaultSplitA</f>
        <v/>
      </c>
      <c r="J46" t="inlineStr">
        <is>
          <t>Line 33099</t>
        </is>
      </c>
    </row>
    <row r="47">
      <c r="B47" t="inlineStr">
        <is>
          <t>Prescriptions &amp; Pharmacy</t>
        </is>
      </c>
      <c r="C47" t="inlineStr">
        <is>
          <t>Health</t>
        </is>
      </c>
      <c r="D47" t="inlineStr">
        <is>
          <t>Expense</t>
        </is>
      </c>
      <c r="E47" t="inlineStr">
        <is>
          <t>Yes</t>
        </is>
      </c>
      <c r="F47" t="inlineStr">
        <is>
          <t>Medical</t>
        </is>
      </c>
      <c r="G47" s="19" t="n"/>
      <c r="I47" s="20">
        <f>DefaultSplitA</f>
        <v/>
      </c>
      <c r="J47" t="inlineStr">
        <is>
          <t>Line 33099</t>
        </is>
      </c>
    </row>
    <row r="48">
      <c r="B48" t="inlineStr">
        <is>
          <t>Vision</t>
        </is>
      </c>
      <c r="C48" t="inlineStr">
        <is>
          <t>Health</t>
        </is>
      </c>
      <c r="D48" t="inlineStr">
        <is>
          <t>Expense</t>
        </is>
      </c>
      <c r="E48" t="inlineStr">
        <is>
          <t>Yes</t>
        </is>
      </c>
      <c r="F48" t="inlineStr">
        <is>
          <t>Medical</t>
        </is>
      </c>
      <c r="G48" s="19" t="n"/>
      <c r="I48" s="20">
        <f>DefaultSplitA</f>
        <v/>
      </c>
      <c r="J48" t="inlineStr">
        <is>
          <t>Line 33099</t>
        </is>
      </c>
    </row>
    <row r="49">
      <c r="B49" t="inlineStr">
        <is>
          <t>Therapy &amp; Counselling</t>
        </is>
      </c>
      <c r="C49" t="inlineStr">
        <is>
          <t>Health</t>
        </is>
      </c>
      <c r="D49" t="inlineStr">
        <is>
          <t>Expense</t>
        </is>
      </c>
      <c r="E49" t="inlineStr">
        <is>
          <t>Yes</t>
        </is>
      </c>
      <c r="F49" t="inlineStr">
        <is>
          <t>Medical</t>
        </is>
      </c>
      <c r="G49" s="19" t="n"/>
      <c r="I49" s="20">
        <f>DefaultSplitA</f>
        <v/>
      </c>
      <c r="J49" t="inlineStr">
        <is>
          <t>Line 33099</t>
        </is>
      </c>
    </row>
    <row r="50">
      <c r="B50" t="inlineStr">
        <is>
          <t>Other Medical</t>
        </is>
      </c>
      <c r="C50" t="inlineStr">
        <is>
          <t>Health</t>
        </is>
      </c>
      <c r="D50" t="inlineStr">
        <is>
          <t>Expense</t>
        </is>
      </c>
      <c r="E50" t="inlineStr">
        <is>
          <t>Yes</t>
        </is>
      </c>
      <c r="F50" t="inlineStr">
        <is>
          <t>Medical</t>
        </is>
      </c>
      <c r="G50" s="19" t="n"/>
      <c r="I50" s="20">
        <f>DefaultSplitA</f>
        <v/>
      </c>
      <c r="J50" t="inlineStr">
        <is>
          <t>Line 33099</t>
        </is>
      </c>
    </row>
    <row r="51">
      <c r="B51" t="inlineStr">
        <is>
          <t>Fitness &amp; Sports</t>
        </is>
      </c>
      <c r="C51" t="inlineStr">
        <is>
          <t>Health</t>
        </is>
      </c>
      <c r="D51" t="inlineStr">
        <is>
          <t>Expense</t>
        </is>
      </c>
      <c r="E51" t="inlineStr">
        <is>
          <t>No</t>
        </is>
      </c>
      <c r="G51" s="19" t="n"/>
      <c r="I51" s="20">
        <f>DefaultSplitA</f>
        <v/>
      </c>
    </row>
    <row r="52">
      <c r="B52" t="inlineStr">
        <is>
          <t>Childcare &amp; Daycare</t>
        </is>
      </c>
      <c r="C52" t="inlineStr">
        <is>
          <t>Family</t>
        </is>
      </c>
      <c r="D52" t="inlineStr">
        <is>
          <t>Expense</t>
        </is>
      </c>
      <c r="E52" t="inlineStr">
        <is>
          <t>Yes</t>
        </is>
      </c>
      <c r="F52" t="inlineStr">
        <is>
          <t>Childcare</t>
        </is>
      </c>
      <c r="G52" s="19" t="n"/>
      <c r="H52" t="inlineStr">
        <is>
          <t>Joint</t>
        </is>
      </c>
      <c r="I52" s="20">
        <f>DefaultSplitA</f>
        <v/>
      </c>
      <c r="J52" t="inlineStr">
        <is>
          <t>Line 21400</t>
        </is>
      </c>
    </row>
    <row r="53">
      <c r="B53" t="inlineStr">
        <is>
          <t>Children's Activities</t>
        </is>
      </c>
      <c r="C53" t="inlineStr">
        <is>
          <t>Family</t>
        </is>
      </c>
      <c r="D53" t="inlineStr">
        <is>
          <t>Expense</t>
        </is>
      </c>
      <c r="E53" t="inlineStr">
        <is>
          <t>No</t>
        </is>
      </c>
      <c r="G53" s="19" t="n"/>
      <c r="H53" t="inlineStr">
        <is>
          <t>Joint</t>
        </is>
      </c>
      <c r="I53" s="20">
        <f>DefaultSplitA</f>
        <v/>
      </c>
    </row>
    <row r="54">
      <c r="B54" t="inlineStr">
        <is>
          <t>Children's Clothing</t>
        </is>
      </c>
      <c r="C54" t="inlineStr">
        <is>
          <t>Family</t>
        </is>
      </c>
      <c r="D54" t="inlineStr">
        <is>
          <t>Expense</t>
        </is>
      </c>
      <c r="E54" t="inlineStr">
        <is>
          <t>Yes</t>
        </is>
      </c>
      <c r="G54" s="19" t="n"/>
      <c r="H54" t="inlineStr">
        <is>
          <t>Joint</t>
        </is>
      </c>
      <c r="I54" s="20">
        <f>DefaultSplitA</f>
        <v/>
      </c>
    </row>
    <row r="55">
      <c r="B55" t="inlineStr">
        <is>
          <t>Baby Supplies</t>
        </is>
      </c>
      <c r="C55" t="inlineStr">
        <is>
          <t>Family</t>
        </is>
      </c>
      <c r="D55" t="inlineStr">
        <is>
          <t>Expense</t>
        </is>
      </c>
      <c r="E55" t="inlineStr">
        <is>
          <t>Yes</t>
        </is>
      </c>
      <c r="G55" s="19" t="n"/>
      <c r="H55" t="inlineStr">
        <is>
          <t>Joint</t>
        </is>
      </c>
      <c r="I55" s="20">
        <f>DefaultSplitA</f>
        <v/>
      </c>
    </row>
    <row r="56">
      <c r="B56" t="inlineStr">
        <is>
          <t>Child / Spousal Support</t>
        </is>
      </c>
      <c r="C56" t="inlineStr">
        <is>
          <t>Family</t>
        </is>
      </c>
      <c r="D56" t="inlineStr">
        <is>
          <t>Expense</t>
        </is>
      </c>
      <c r="E56" t="inlineStr">
        <is>
          <t>Yes</t>
        </is>
      </c>
      <c r="F56" t="inlineStr">
        <is>
          <t>Support payments</t>
        </is>
      </c>
      <c r="G56" s="19" t="n"/>
      <c r="I56" s="20">
        <f>DefaultSplitA</f>
        <v/>
      </c>
      <c r="J56" t="inlineStr">
        <is>
          <t>Line 22000</t>
        </is>
      </c>
    </row>
    <row r="57">
      <c r="B57" t="inlineStr">
        <is>
          <t>Pet Care</t>
        </is>
      </c>
      <c r="C57" t="inlineStr">
        <is>
          <t>Family</t>
        </is>
      </c>
      <c r="D57" t="inlineStr">
        <is>
          <t>Expense</t>
        </is>
      </c>
      <c r="E57" t="inlineStr">
        <is>
          <t>No</t>
        </is>
      </c>
      <c r="G57" s="19" t="n"/>
      <c r="H57" t="inlineStr">
        <is>
          <t>Joint</t>
        </is>
      </c>
      <c r="I57" s="20">
        <f>DefaultSplitA</f>
        <v/>
      </c>
    </row>
    <row r="58">
      <c r="B58" t="inlineStr">
        <is>
          <t>Elder Care</t>
        </is>
      </c>
      <c r="C58" t="inlineStr">
        <is>
          <t>Family</t>
        </is>
      </c>
      <c r="D58" t="inlineStr">
        <is>
          <t>Expense</t>
        </is>
      </c>
      <c r="E58" t="inlineStr">
        <is>
          <t>Yes</t>
        </is>
      </c>
      <c r="F58" t="inlineStr">
        <is>
          <t>Medical</t>
        </is>
      </c>
      <c r="G58" s="19" t="n"/>
      <c r="I58" s="20">
        <f>DefaultSplitA</f>
        <v/>
      </c>
    </row>
    <row r="59">
      <c r="B59" t="inlineStr">
        <is>
          <t>Tuition</t>
        </is>
      </c>
      <c r="C59" t="inlineStr">
        <is>
          <t>Education</t>
        </is>
      </c>
      <c r="D59" t="inlineStr">
        <is>
          <t>Expense</t>
        </is>
      </c>
      <c r="E59" t="inlineStr">
        <is>
          <t>No</t>
        </is>
      </c>
      <c r="F59" t="inlineStr">
        <is>
          <t>Tuition</t>
        </is>
      </c>
      <c r="G59" s="19" t="n"/>
      <c r="I59" s="20">
        <f>DefaultSplitA</f>
        <v/>
      </c>
      <c r="J59" t="inlineStr">
        <is>
          <t>T2202</t>
        </is>
      </c>
    </row>
    <row r="60">
      <c r="B60" t="inlineStr">
        <is>
          <t>Student Loan Payment</t>
        </is>
      </c>
      <c r="C60" t="inlineStr">
        <is>
          <t>Education</t>
        </is>
      </c>
      <c r="D60" t="inlineStr">
        <is>
          <t>Expense</t>
        </is>
      </c>
      <c r="E60" t="inlineStr">
        <is>
          <t>Yes</t>
        </is>
      </c>
      <c r="F60" t="inlineStr">
        <is>
          <t>Student loan interest</t>
        </is>
      </c>
      <c r="G60" s="19" t="n"/>
      <c r="I60" s="20">
        <f>DefaultSplitA</f>
        <v/>
      </c>
      <c r="J60" t="inlineStr">
        <is>
          <t>OSAP / CSLP</t>
        </is>
      </c>
    </row>
    <row r="61">
      <c r="B61" t="inlineStr">
        <is>
          <t>Books &amp; Supplies</t>
        </is>
      </c>
      <c r="C61" t="inlineStr">
        <is>
          <t>Education</t>
        </is>
      </c>
      <c r="D61" t="inlineStr">
        <is>
          <t>Expense</t>
        </is>
      </c>
      <c r="E61" t="inlineStr">
        <is>
          <t>No</t>
        </is>
      </c>
      <c r="G61" s="19" t="n"/>
      <c r="I61" s="20">
        <f>DefaultSplitA</f>
        <v/>
      </c>
    </row>
    <row r="62">
      <c r="B62" t="inlineStr">
        <is>
          <t>Courses &amp; Training</t>
        </is>
      </c>
      <c r="C62" t="inlineStr">
        <is>
          <t>Education</t>
        </is>
      </c>
      <c r="D62" t="inlineStr">
        <is>
          <t>Expense</t>
        </is>
      </c>
      <c r="E62" t="inlineStr">
        <is>
          <t>No</t>
        </is>
      </c>
      <c r="G62" s="19" t="n"/>
      <c r="I62" s="20">
        <f>DefaultSplitA</f>
        <v/>
      </c>
    </row>
    <row r="63">
      <c r="B63" t="inlineStr">
        <is>
          <t>Professional Dues</t>
        </is>
      </c>
      <c r="C63" t="inlineStr">
        <is>
          <t>Education</t>
        </is>
      </c>
      <c r="D63" t="inlineStr">
        <is>
          <t>Expense</t>
        </is>
      </c>
      <c r="E63" t="inlineStr">
        <is>
          <t>Yes</t>
        </is>
      </c>
      <c r="F63" t="inlineStr">
        <is>
          <t>Union or professional dues</t>
        </is>
      </c>
      <c r="G63" s="19" t="n"/>
      <c r="I63" s="20">
        <f>DefaultSplitA</f>
        <v/>
      </c>
      <c r="J63" t="inlineStr">
        <is>
          <t>Line 21200</t>
        </is>
      </c>
    </row>
    <row r="64">
      <c r="B64" t="inlineStr">
        <is>
          <t>Clothing &amp; Shoes</t>
        </is>
      </c>
      <c r="C64" t="inlineStr">
        <is>
          <t>Personal</t>
        </is>
      </c>
      <c r="D64" t="inlineStr">
        <is>
          <t>Expense</t>
        </is>
      </c>
      <c r="E64" t="inlineStr">
        <is>
          <t>No</t>
        </is>
      </c>
      <c r="G64" s="19" t="n"/>
      <c r="I64" s="20">
        <f>DefaultSplitA</f>
        <v/>
      </c>
    </row>
    <row r="65">
      <c r="B65" t="inlineStr">
        <is>
          <t>Personal Care</t>
        </is>
      </c>
      <c r="C65" t="inlineStr">
        <is>
          <t>Personal</t>
        </is>
      </c>
      <c r="D65" t="inlineStr">
        <is>
          <t>Expense</t>
        </is>
      </c>
      <c r="E65" t="inlineStr">
        <is>
          <t>No</t>
        </is>
      </c>
      <c r="G65" s="19" t="n"/>
      <c r="I65" s="20">
        <f>DefaultSplitA</f>
        <v/>
      </c>
      <c r="J65" t="inlineStr">
        <is>
          <t>Haircuts, cosmetics</t>
        </is>
      </c>
    </row>
    <row r="66">
      <c r="B66" t="inlineStr">
        <is>
          <t>Subscriptions</t>
        </is>
      </c>
      <c r="C66" t="inlineStr">
        <is>
          <t>Personal</t>
        </is>
      </c>
      <c r="D66" t="inlineStr">
        <is>
          <t>Expense</t>
        </is>
      </c>
      <c r="E66" t="inlineStr">
        <is>
          <t>No</t>
        </is>
      </c>
      <c r="G66" s="19" t="n"/>
      <c r="I66" s="20">
        <f>DefaultSplitA</f>
        <v/>
      </c>
      <c r="J66" t="inlineStr">
        <is>
          <t>Streaming, apps, news</t>
        </is>
      </c>
    </row>
    <row r="67">
      <c r="B67" t="inlineStr">
        <is>
          <t>Entertainment</t>
        </is>
      </c>
      <c r="C67" t="inlineStr">
        <is>
          <t>Personal</t>
        </is>
      </c>
      <c r="D67" t="inlineStr">
        <is>
          <t>Expense</t>
        </is>
      </c>
      <c r="E67" t="inlineStr">
        <is>
          <t>No</t>
        </is>
      </c>
      <c r="G67" s="19" t="n"/>
      <c r="H67" t="inlineStr">
        <is>
          <t>Joint</t>
        </is>
      </c>
      <c r="I67" s="20">
        <f>DefaultSplitA</f>
        <v/>
      </c>
    </row>
    <row r="68">
      <c r="B68" t="inlineStr">
        <is>
          <t>Hobbies</t>
        </is>
      </c>
      <c r="C68" t="inlineStr">
        <is>
          <t>Personal</t>
        </is>
      </c>
      <c r="D68" t="inlineStr">
        <is>
          <t>Expense</t>
        </is>
      </c>
      <c r="E68" t="inlineStr">
        <is>
          <t>No</t>
        </is>
      </c>
      <c r="G68" s="19" t="n"/>
      <c r="I68" s="20">
        <f>DefaultSplitA</f>
        <v/>
      </c>
    </row>
    <row r="69">
      <c r="B69" t="inlineStr">
        <is>
          <t>Gifts &amp; Celebrations</t>
        </is>
      </c>
      <c r="C69" t="inlineStr">
        <is>
          <t>Personal</t>
        </is>
      </c>
      <c r="D69" t="inlineStr">
        <is>
          <t>Expense</t>
        </is>
      </c>
      <c r="E69" t="inlineStr">
        <is>
          <t>No</t>
        </is>
      </c>
      <c r="G69" s="19" t="n"/>
      <c r="I69" s="20">
        <f>DefaultSplitA</f>
        <v/>
      </c>
    </row>
    <row r="70">
      <c r="B70" t="inlineStr">
        <is>
          <t>Donations</t>
        </is>
      </c>
      <c r="C70" t="inlineStr">
        <is>
          <t>Personal</t>
        </is>
      </c>
      <c r="D70" t="inlineStr">
        <is>
          <t>Expense</t>
        </is>
      </c>
      <c r="E70" t="inlineStr">
        <is>
          <t>No</t>
        </is>
      </c>
      <c r="F70" t="inlineStr">
        <is>
          <t>Donations</t>
        </is>
      </c>
      <c r="G70" s="19" t="n"/>
      <c r="I70" s="20">
        <f>DefaultSplitA</f>
        <v/>
      </c>
      <c r="J70" t="inlineStr">
        <is>
          <t>Line 34900</t>
        </is>
      </c>
    </row>
    <row r="71">
      <c r="B71" t="inlineStr">
        <is>
          <t>Electronics</t>
        </is>
      </c>
      <c r="C71" t="inlineStr">
        <is>
          <t>Personal</t>
        </is>
      </c>
      <c r="D71" t="inlineStr">
        <is>
          <t>Expense</t>
        </is>
      </c>
      <c r="E71" t="inlineStr">
        <is>
          <t>No</t>
        </is>
      </c>
      <c r="G71" s="19" t="n"/>
      <c r="I71" s="20">
        <f>DefaultSplitA</f>
        <v/>
      </c>
    </row>
    <row r="72">
      <c r="B72" t="inlineStr">
        <is>
          <t>Flights</t>
        </is>
      </c>
      <c r="C72" t="inlineStr">
        <is>
          <t>Travel</t>
        </is>
      </c>
      <c r="D72" t="inlineStr">
        <is>
          <t>Expense</t>
        </is>
      </c>
      <c r="E72" t="inlineStr">
        <is>
          <t>No</t>
        </is>
      </c>
      <c r="G72" s="19" t="n"/>
      <c r="H72" t="inlineStr">
        <is>
          <t>Joint</t>
        </is>
      </c>
      <c r="I72" s="20">
        <f>DefaultSplitA</f>
        <v/>
      </c>
    </row>
    <row r="73">
      <c r="B73" t="inlineStr">
        <is>
          <t>Accommodation</t>
        </is>
      </c>
      <c r="C73" t="inlineStr">
        <is>
          <t>Travel</t>
        </is>
      </c>
      <c r="D73" t="inlineStr">
        <is>
          <t>Expense</t>
        </is>
      </c>
      <c r="E73" t="inlineStr">
        <is>
          <t>No</t>
        </is>
      </c>
      <c r="G73" s="19" t="n"/>
      <c r="H73" t="inlineStr">
        <is>
          <t>Joint</t>
        </is>
      </c>
      <c r="I73" s="20">
        <f>DefaultSplitA</f>
        <v/>
      </c>
    </row>
    <row r="74">
      <c r="B74" t="inlineStr">
        <is>
          <t>Travel Other</t>
        </is>
      </c>
      <c r="C74" t="inlineStr">
        <is>
          <t>Travel</t>
        </is>
      </c>
      <c r="D74" t="inlineStr">
        <is>
          <t>Expense</t>
        </is>
      </c>
      <c r="E74" t="inlineStr">
        <is>
          <t>No</t>
        </is>
      </c>
      <c r="G74" s="19" t="n"/>
      <c r="H74" t="inlineStr">
        <is>
          <t>Joint</t>
        </is>
      </c>
      <c r="I74" s="20">
        <f>DefaultSplitA</f>
        <v/>
      </c>
    </row>
    <row r="75">
      <c r="B75" t="inlineStr">
        <is>
          <t>Bank Fees</t>
        </is>
      </c>
      <c r="C75" t="inlineStr">
        <is>
          <t>Financial</t>
        </is>
      </c>
      <c r="D75" t="inlineStr">
        <is>
          <t>Expense</t>
        </is>
      </c>
      <c r="E75" t="inlineStr">
        <is>
          <t>Yes</t>
        </is>
      </c>
      <c r="G75" s="19" t="n"/>
      <c r="I75" s="20">
        <f>DefaultSplitA</f>
        <v/>
      </c>
    </row>
    <row r="76">
      <c r="B76" t="inlineStr">
        <is>
          <t>Interest &amp; Card Charges</t>
        </is>
      </c>
      <c r="C76" t="inlineStr">
        <is>
          <t>Financial</t>
        </is>
      </c>
      <c r="D76" t="inlineStr">
        <is>
          <t>Expense</t>
        </is>
      </c>
      <c r="E76" t="inlineStr">
        <is>
          <t>Yes</t>
        </is>
      </c>
      <c r="G76" s="19" t="n"/>
      <c r="I76" s="20">
        <f>DefaultSplitA</f>
        <v/>
      </c>
    </row>
    <row r="77">
      <c r="B77" t="inlineStr">
        <is>
          <t>Foreign Exchange Fees</t>
        </is>
      </c>
      <c r="C77" t="inlineStr">
        <is>
          <t>Financial</t>
        </is>
      </c>
      <c r="D77" t="inlineStr">
        <is>
          <t>Expense</t>
        </is>
      </c>
      <c r="E77" t="inlineStr">
        <is>
          <t>No</t>
        </is>
      </c>
      <c r="G77" s="19" t="n"/>
      <c r="I77" s="20">
        <f>DefaultSplitA</f>
        <v/>
      </c>
    </row>
    <row r="78">
      <c r="B78" t="inlineStr">
        <is>
          <t>Life &amp; Disability Insurance</t>
        </is>
      </c>
      <c r="C78" t="inlineStr">
        <is>
          <t>Financial</t>
        </is>
      </c>
      <c r="D78" t="inlineStr">
        <is>
          <t>Expense</t>
        </is>
      </c>
      <c r="E78" t="inlineStr">
        <is>
          <t>Yes</t>
        </is>
      </c>
      <c r="G78" s="19" t="n"/>
      <c r="I78" s="20">
        <f>DefaultSplitA</f>
        <v/>
      </c>
    </row>
    <row r="79">
      <c r="B79" t="inlineStr">
        <is>
          <t>Investment Fees</t>
        </is>
      </c>
      <c r="C79" t="inlineStr">
        <is>
          <t>Financial</t>
        </is>
      </c>
      <c r="D79" t="inlineStr">
        <is>
          <t>Expense</t>
        </is>
      </c>
      <c r="E79" t="inlineStr">
        <is>
          <t>No</t>
        </is>
      </c>
      <c r="F79" t="inlineStr">
        <is>
          <t>Investment expenses</t>
        </is>
      </c>
      <c r="G79" s="19" t="n"/>
      <c r="I79" s="20">
        <f>DefaultSplitA</f>
        <v/>
      </c>
    </row>
    <row r="80">
      <c r="B80" t="inlineStr">
        <is>
          <t>Tax Payment to CRA</t>
        </is>
      </c>
      <c r="C80" t="inlineStr">
        <is>
          <t>Financial</t>
        </is>
      </c>
      <c r="D80" t="inlineStr">
        <is>
          <t>Expense</t>
        </is>
      </c>
      <c r="E80" t="inlineStr">
        <is>
          <t>Yes</t>
        </is>
      </c>
      <c r="F80" t="inlineStr">
        <is>
          <t>Taxes paid</t>
        </is>
      </c>
      <c r="G80" s="19" t="n"/>
      <c r="I80" s="20">
        <f>DefaultSplitA</f>
        <v/>
      </c>
    </row>
    <row r="81">
      <c r="B81" t="inlineStr">
        <is>
          <t>Legal &amp; Accounting</t>
        </is>
      </c>
      <c r="C81" t="inlineStr">
        <is>
          <t>Financial</t>
        </is>
      </c>
      <c r="D81" t="inlineStr">
        <is>
          <t>Expense</t>
        </is>
      </c>
      <c r="E81" t="inlineStr">
        <is>
          <t>No</t>
        </is>
      </c>
      <c r="G81" s="19" t="n"/>
      <c r="I81" s="20">
        <f>DefaultSplitA</f>
        <v/>
      </c>
    </row>
    <row r="82">
      <c r="B82" t="inlineStr">
        <is>
          <t>Debt Payment</t>
        </is>
      </c>
      <c r="C82" t="inlineStr">
        <is>
          <t>Financial</t>
        </is>
      </c>
      <c r="D82" t="inlineStr">
        <is>
          <t>Expense</t>
        </is>
      </c>
      <c r="E82" t="inlineStr">
        <is>
          <t>Yes</t>
        </is>
      </c>
      <c r="G82" s="19" t="n"/>
      <c r="I82" s="20">
        <f>DefaultSplitA</f>
        <v/>
      </c>
      <c r="J82" t="inlineStr">
        <is>
          <t>Loan or line of credit</t>
        </is>
      </c>
    </row>
    <row r="83">
      <c r="B83" t="inlineStr">
        <is>
          <t>RRSP Contribution</t>
        </is>
      </c>
      <c r="C83" t="inlineStr">
        <is>
          <t>Saving</t>
        </is>
      </c>
      <c r="D83" t="inlineStr">
        <is>
          <t>Saving</t>
        </is>
      </c>
      <c r="E83" t="inlineStr">
        <is>
          <t>Yes</t>
        </is>
      </c>
      <c r="F83" t="inlineStr">
        <is>
          <t>RRSP</t>
        </is>
      </c>
      <c r="G83" s="19" t="n"/>
      <c r="I83" s="20">
        <f>DefaultSplitA</f>
        <v/>
      </c>
      <c r="J83" t="inlineStr">
        <is>
          <t>Keep every receipt</t>
        </is>
      </c>
    </row>
    <row r="84">
      <c r="B84" t="inlineStr">
        <is>
          <t>TFSA Contribution</t>
        </is>
      </c>
      <c r="C84" t="inlineStr">
        <is>
          <t>Saving</t>
        </is>
      </c>
      <c r="D84" t="inlineStr">
        <is>
          <t>Saving</t>
        </is>
      </c>
      <c r="E84" t="inlineStr">
        <is>
          <t>Yes</t>
        </is>
      </c>
      <c r="G84" s="19" t="n"/>
      <c r="I84" s="20">
        <f>DefaultSplitA</f>
        <v/>
      </c>
    </row>
    <row r="85">
      <c r="B85" t="inlineStr">
        <is>
          <t>FHSA Contribution</t>
        </is>
      </c>
      <c r="C85" t="inlineStr">
        <is>
          <t>Saving</t>
        </is>
      </c>
      <c r="D85" t="inlineStr">
        <is>
          <t>Saving</t>
        </is>
      </c>
      <c r="E85" t="inlineStr">
        <is>
          <t>No</t>
        </is>
      </c>
      <c r="F85" t="inlineStr">
        <is>
          <t>FHSA</t>
        </is>
      </c>
      <c r="G85" s="19" t="n"/>
      <c r="I85" s="20">
        <f>DefaultSplitA</f>
        <v/>
      </c>
      <c r="J85" t="inlineStr">
        <is>
          <t>First Home Savings Account</t>
        </is>
      </c>
    </row>
    <row r="86">
      <c r="B86" t="inlineStr">
        <is>
          <t>RESP Contribution</t>
        </is>
      </c>
      <c r="C86" t="inlineStr">
        <is>
          <t>Saving</t>
        </is>
      </c>
      <c r="D86" t="inlineStr">
        <is>
          <t>Saving</t>
        </is>
      </c>
      <c r="E86" t="inlineStr">
        <is>
          <t>No</t>
        </is>
      </c>
      <c r="G86" s="19" t="n"/>
      <c r="H86" t="inlineStr">
        <is>
          <t>Joint</t>
        </is>
      </c>
      <c r="I86" s="20">
        <f>DefaultSplitA</f>
        <v/>
      </c>
      <c r="J86" t="inlineStr">
        <is>
          <t>Attracts the CESG</t>
        </is>
      </c>
    </row>
    <row r="87">
      <c r="B87" t="inlineStr">
        <is>
          <t>Non-Registered Investing</t>
        </is>
      </c>
      <c r="C87" t="inlineStr">
        <is>
          <t>Saving</t>
        </is>
      </c>
      <c r="D87" t="inlineStr">
        <is>
          <t>Saving</t>
        </is>
      </c>
      <c r="E87" t="inlineStr">
        <is>
          <t>No</t>
        </is>
      </c>
      <c r="G87" s="19" t="n"/>
      <c r="I87" s="20">
        <f>DefaultSplitA</f>
        <v/>
      </c>
    </row>
    <row r="88">
      <c r="B88" t="inlineStr">
        <is>
          <t>Emergency Savings</t>
        </is>
      </c>
      <c r="C88" t="inlineStr">
        <is>
          <t>Saving</t>
        </is>
      </c>
      <c r="D88" t="inlineStr">
        <is>
          <t>Saving</t>
        </is>
      </c>
      <c r="E88" t="inlineStr">
        <is>
          <t>Yes</t>
        </is>
      </c>
      <c r="G88" s="19" t="n"/>
      <c r="H88" t="inlineStr">
        <is>
          <t>Joint</t>
        </is>
      </c>
      <c r="I88" s="20">
        <f>DefaultSplitA</f>
        <v/>
      </c>
    </row>
    <row r="89">
      <c r="B89" t="inlineStr">
        <is>
          <t>Internal Transfer</t>
        </is>
      </c>
      <c r="C89" t="inlineStr">
        <is>
          <t>Transfers</t>
        </is>
      </c>
      <c r="D89" t="inlineStr">
        <is>
          <t>Transfer</t>
        </is>
      </c>
      <c r="E89" t="inlineStr">
        <is>
          <t>No</t>
        </is>
      </c>
      <c r="G89" s="19" t="n"/>
      <c r="I89" s="20">
        <f>DefaultSplitA</f>
        <v/>
      </c>
      <c r="J89" t="inlineStr">
        <is>
          <t>Between your own accounts</t>
        </is>
      </c>
    </row>
    <row r="90">
      <c r="B90" t="inlineStr">
        <is>
          <t>Credit Card Payment</t>
        </is>
      </c>
      <c r="C90" t="inlineStr">
        <is>
          <t>Transfers</t>
        </is>
      </c>
      <c r="D90" t="inlineStr">
        <is>
          <t>Transfer</t>
        </is>
      </c>
      <c r="E90" t="inlineStr">
        <is>
          <t>No</t>
        </is>
      </c>
      <c r="G90" s="19" t="n"/>
      <c r="I90" s="20">
        <f>DefaultSplitA</f>
        <v/>
      </c>
      <c r="J90" t="inlineStr">
        <is>
          <t>Not an expense on its own</t>
        </is>
      </c>
    </row>
    <row r="91">
      <c r="B91" t="inlineStr">
        <is>
          <t>Interac e-Transfer Sent</t>
        </is>
      </c>
      <c r="C91" t="inlineStr">
        <is>
          <t>Other</t>
        </is>
      </c>
      <c r="D91" t="inlineStr">
        <is>
          <t>Expense</t>
        </is>
      </c>
      <c r="E91" t="inlineStr">
        <is>
          <t>No</t>
        </is>
      </c>
      <c r="G91" s="19" t="n"/>
      <c r="I91" s="20">
        <f>DefaultSplitA</f>
        <v/>
      </c>
      <c r="J91" t="inlineStr">
        <is>
          <t>Re-categorise when you can</t>
        </is>
      </c>
    </row>
    <row r="92">
      <c r="B92" t="inlineStr">
        <is>
          <t>Interac e-Transfer Received</t>
        </is>
      </c>
      <c r="C92" t="inlineStr">
        <is>
          <t>Income</t>
        </is>
      </c>
      <c r="D92" t="inlineStr">
        <is>
          <t>Income</t>
        </is>
      </c>
      <c r="E92" t="inlineStr">
        <is>
          <t>No</t>
        </is>
      </c>
      <c r="G92" s="19" t="n"/>
      <c r="I92" s="20">
        <f>DefaultSplitA</f>
        <v/>
      </c>
    </row>
    <row r="93">
      <c r="B93" t="inlineStr">
        <is>
          <t>Cash Withdrawal</t>
        </is>
      </c>
      <c r="C93" t="inlineStr">
        <is>
          <t>Other</t>
        </is>
      </c>
      <c r="D93" t="inlineStr">
        <is>
          <t>Expense</t>
        </is>
      </c>
      <c r="E93" t="inlineStr">
        <is>
          <t>No</t>
        </is>
      </c>
      <c r="G93" s="19" t="n"/>
      <c r="I93" s="20">
        <f>DefaultSplitA</f>
        <v/>
      </c>
      <c r="J93" t="inlineStr">
        <is>
          <t>Where the cash went is unknown</t>
        </is>
      </c>
    </row>
    <row r="94">
      <c r="B94" t="inlineStr">
        <is>
          <t>Business Expense</t>
        </is>
      </c>
      <c r="C94" t="inlineStr">
        <is>
          <t>Other</t>
        </is>
      </c>
      <c r="D94" t="inlineStr">
        <is>
          <t>Expense</t>
        </is>
      </c>
      <c r="E94" t="inlineStr">
        <is>
          <t>No</t>
        </is>
      </c>
      <c r="F94" t="inlineStr">
        <is>
          <t>Business expense</t>
        </is>
      </c>
      <c r="G94" s="19" t="n"/>
      <c r="I94" s="20">
        <f>DefaultSplitA</f>
        <v/>
      </c>
      <c r="J94" t="inlineStr">
        <is>
          <t>T2125</t>
        </is>
      </c>
    </row>
    <row r="95">
      <c r="B95" t="inlineStr">
        <is>
          <t>Miscellaneous</t>
        </is>
      </c>
      <c r="C95" t="inlineStr">
        <is>
          <t>Other</t>
        </is>
      </c>
      <c r="D95" t="inlineStr">
        <is>
          <t>Expense</t>
        </is>
      </c>
      <c r="E95" t="inlineStr">
        <is>
          <t>No</t>
        </is>
      </c>
      <c r="G95" s="19" t="n"/>
      <c r="I95" s="20">
        <f>DefaultSplitA</f>
        <v/>
      </c>
    </row>
    <row r="96">
      <c r="B96" t="inlineStr">
        <is>
          <t>Uncategorized</t>
        </is>
      </c>
      <c r="C96" t="inlineStr">
        <is>
          <t>Other</t>
        </is>
      </c>
      <c r="D96" t="inlineStr">
        <is>
          <t>Expense</t>
        </is>
      </c>
      <c r="E96" t="inlineStr">
        <is>
          <t>No</t>
        </is>
      </c>
      <c r="G96" s="19" t="n"/>
      <c r="I96" s="20">
        <f>DefaultSplitA</f>
        <v/>
      </c>
      <c r="J96" t="inlineStr">
        <is>
          <t>Anything the rules could not place</t>
        </is>
      </c>
    </row>
  </sheetData>
  <dataValidations count="5">
    <dataValidation sqref="C5:C196" showDropDown="0" showInputMessage="0" showErrorMessage="0" allowBlank="1" type="list">
      <formula1>=GroupList</formula1>
    </dataValidation>
    <dataValidation sqref="D5:D196" showDropDown="0" showInputMessage="0" showErrorMessage="0" allowBlank="1" type="list">
      <formula1>=TypeList</formula1>
    </dataValidation>
    <dataValidation sqref="E5:E196" showDropDown="0" showInputMessage="0" showErrorMessage="0" allowBlank="1" type="list">
      <formula1>=YesNoList</formula1>
    </dataValidation>
    <dataValidation sqref="F5:F196" showDropDown="0" showInputMessage="0" showErrorMessage="0" allowBlank="1" type="list">
      <formula1>=TaxTagList</formula1>
    </dataValidation>
    <dataValidation sqref="H5:H196" showDropDown="0" showInputMessage="0" showErrorMessage="0" allowBlank="1" type="list">
      <formula1>=OwnerList</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codeName="shRules">
    <outlinePr summaryBelow="1" summaryRight="1"/>
    <pageSetUpPr fitToPage="1"/>
  </sheetPr>
  <dimension ref="B1:M19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9" customWidth="1" min="3" max="3"/>
    <col width="13" customWidth="1" min="4" max="4"/>
    <col width="13" customWidth="1" min="5" max="5"/>
    <col width="32" customWidth="1" min="6" max="6"/>
    <col width="12" customWidth="1" min="7" max="7"/>
    <col width="12" customWidth="1" min="8" max="8"/>
    <col width="12" customWidth="1" min="9" max="9"/>
    <col width="26" customWidth="1" min="10" max="10"/>
    <col width="12" customWidth="1" min="11" max="11"/>
    <col width="8" customWidth="1" min="12" max="12"/>
    <col width="26" customWidth="1" min="13" max="13"/>
  </cols>
  <sheetData>
    <row r="1">
      <c r="B1" s="1" t="inlineStr">
        <is>
          <t>Rules</t>
        </is>
      </c>
    </row>
    <row r="2">
      <c r="B2" s="2" t="inlineStr">
        <is>
          <t>Rules run in Priority order, lowest first, and the first match wins. Add a row to teach a new one - the Category column on the Transactions sheet picks it up at once. This edition applies Contains and Word tests and the Flow; the pattern is looked for in the Description (or the Account).</t>
        </is>
      </c>
    </row>
    <row r="4">
      <c r="B4" s="17" t="inlineStr">
        <is>
          <t>Priority</t>
        </is>
      </c>
      <c r="C4" s="17" t="inlineStr">
        <is>
          <t>Enabled</t>
        </is>
      </c>
      <c r="D4" s="17" t="inlineStr">
        <is>
          <t>Look In</t>
        </is>
      </c>
      <c r="E4" s="17" t="inlineStr">
        <is>
          <t>Test</t>
        </is>
      </c>
      <c r="F4" s="17" t="inlineStr">
        <is>
          <t>Pattern</t>
        </is>
      </c>
      <c r="G4" s="17" t="inlineStr">
        <is>
          <t>Min Amount</t>
        </is>
      </c>
      <c r="H4" s="17" t="inlineStr">
        <is>
          <t>Max Amount</t>
        </is>
      </c>
      <c r="I4" s="17" t="inlineStr">
        <is>
          <t>Flow</t>
        </is>
      </c>
      <c r="J4" s="17" t="inlineStr">
        <is>
          <t>Category</t>
        </is>
      </c>
      <c r="K4" s="17" t="inlineStr">
        <is>
          <t>Set Owner</t>
        </is>
      </c>
      <c r="L4" s="17" t="inlineStr">
        <is>
          <t>Hits</t>
        </is>
      </c>
      <c r="M4" s="17" t="inlineStr">
        <is>
          <t>Notes</t>
        </is>
      </c>
    </row>
    <row r="5">
      <c r="B5" t="n">
        <v>9</v>
      </c>
      <c r="C5" t="inlineStr">
        <is>
          <t>Yes</t>
        </is>
      </c>
      <c r="D5" t="inlineStr">
        <is>
          <t>Description</t>
        </is>
      </c>
      <c r="E5" t="inlineStr">
        <is>
          <t>Contains</t>
        </is>
      </c>
      <c r="F5" t="inlineStr">
        <is>
          <t>RRSP</t>
        </is>
      </c>
      <c r="G5" s="19" t="n"/>
      <c r="H5" s="19" t="n"/>
      <c r="I5" t="inlineStr">
        <is>
          <t>Money out</t>
        </is>
      </c>
      <c r="J5" t="inlineStr">
        <is>
          <t>RRSP Contribution</t>
        </is>
      </c>
      <c r="L5" t="n">
        <v>0</v>
      </c>
      <c r="M5" t="inlineStr">
        <is>
          <t>Built in</t>
        </is>
      </c>
    </row>
    <row r="6">
      <c r="B6" t="n">
        <v>9</v>
      </c>
      <c r="C6" t="inlineStr">
        <is>
          <t>Yes</t>
        </is>
      </c>
      <c r="D6" t="inlineStr">
        <is>
          <t>Description</t>
        </is>
      </c>
      <c r="E6" t="inlineStr">
        <is>
          <t>Contains</t>
        </is>
      </c>
      <c r="F6" t="inlineStr">
        <is>
          <t>TFSA</t>
        </is>
      </c>
      <c r="G6" s="19" t="n"/>
      <c r="H6" s="19" t="n"/>
      <c r="I6" t="inlineStr">
        <is>
          <t>Money out</t>
        </is>
      </c>
      <c r="J6" t="inlineStr">
        <is>
          <t>TFSA Contribution</t>
        </is>
      </c>
      <c r="L6" t="n">
        <v>0</v>
      </c>
      <c r="M6" t="inlineStr">
        <is>
          <t>Built in</t>
        </is>
      </c>
    </row>
    <row r="7">
      <c r="B7" t="n">
        <v>9</v>
      </c>
      <c r="C7" t="inlineStr">
        <is>
          <t>Yes</t>
        </is>
      </c>
      <c r="D7" t="inlineStr">
        <is>
          <t>Description</t>
        </is>
      </c>
      <c r="E7" t="inlineStr">
        <is>
          <t>Contains</t>
        </is>
      </c>
      <c r="F7" t="inlineStr">
        <is>
          <t>FHSA</t>
        </is>
      </c>
      <c r="G7" s="19" t="n"/>
      <c r="H7" s="19" t="n"/>
      <c r="I7" t="inlineStr">
        <is>
          <t>Money out</t>
        </is>
      </c>
      <c r="J7" t="inlineStr">
        <is>
          <t>FHSA Contribution</t>
        </is>
      </c>
      <c r="L7" t="n">
        <v>0</v>
      </c>
      <c r="M7" t="inlineStr">
        <is>
          <t>Built in</t>
        </is>
      </c>
    </row>
    <row r="8">
      <c r="B8" t="n">
        <v>9</v>
      </c>
      <c r="C8" t="inlineStr">
        <is>
          <t>Yes</t>
        </is>
      </c>
      <c r="D8" t="inlineStr">
        <is>
          <t>Description</t>
        </is>
      </c>
      <c r="E8" t="inlineStr">
        <is>
          <t>Contains</t>
        </is>
      </c>
      <c r="F8" t="inlineStr">
        <is>
          <t>RESP</t>
        </is>
      </c>
      <c r="G8" s="19" t="n"/>
      <c r="H8" s="19" t="n"/>
      <c r="I8" t="inlineStr">
        <is>
          <t>Money out</t>
        </is>
      </c>
      <c r="J8" t="inlineStr">
        <is>
          <t>RESP Contribution</t>
        </is>
      </c>
      <c r="L8" t="n">
        <v>0</v>
      </c>
      <c r="M8" t="inlineStr">
        <is>
          <t>Built in</t>
        </is>
      </c>
    </row>
    <row r="9">
      <c r="B9" t="n">
        <v>10</v>
      </c>
      <c r="C9" t="inlineStr">
        <is>
          <t>Yes</t>
        </is>
      </c>
      <c r="D9" t="inlineStr">
        <is>
          <t>Description</t>
        </is>
      </c>
      <c r="E9" t="inlineStr">
        <is>
          <t>Contains</t>
        </is>
      </c>
      <c r="F9" t="inlineStr">
        <is>
          <t>PAYMENT - THANK YOU</t>
        </is>
      </c>
      <c r="G9" s="19" t="n"/>
      <c r="H9" s="19" t="n"/>
      <c r="I9" t="inlineStr">
        <is>
          <t>Money in</t>
        </is>
      </c>
      <c r="J9" t="inlineStr">
        <is>
          <t>Credit Card Payment</t>
        </is>
      </c>
      <c r="L9" t="n">
        <v>0</v>
      </c>
      <c r="M9" t="inlineStr">
        <is>
          <t>Built in</t>
        </is>
      </c>
    </row>
    <row r="10">
      <c r="B10" t="n">
        <v>10</v>
      </c>
      <c r="C10" t="inlineStr">
        <is>
          <t>Yes</t>
        </is>
      </c>
      <c r="D10" t="inlineStr">
        <is>
          <t>Description</t>
        </is>
      </c>
      <c r="E10" t="inlineStr">
        <is>
          <t>Contains</t>
        </is>
      </c>
      <c r="F10" t="inlineStr">
        <is>
          <t>PAIEMENT</t>
        </is>
      </c>
      <c r="G10" s="19" t="n"/>
      <c r="H10" s="19" t="n"/>
      <c r="I10" t="inlineStr">
        <is>
          <t>Money in</t>
        </is>
      </c>
      <c r="J10" t="inlineStr">
        <is>
          <t>Credit Card Payment</t>
        </is>
      </c>
      <c r="L10" t="n">
        <v>0</v>
      </c>
      <c r="M10" t="inlineStr">
        <is>
          <t>Built in</t>
        </is>
      </c>
    </row>
    <row r="11">
      <c r="B11" t="n">
        <v>11</v>
      </c>
      <c r="C11" t="inlineStr">
        <is>
          <t>Yes</t>
        </is>
      </c>
      <c r="D11" t="inlineStr">
        <is>
          <t>Description</t>
        </is>
      </c>
      <c r="E11" t="inlineStr">
        <is>
          <t>Contains</t>
        </is>
      </c>
      <c r="F11" t="inlineStr">
        <is>
          <t>CREDIT CARD/LOC PAY</t>
        </is>
      </c>
      <c r="G11" s="19" t="n"/>
      <c r="H11" s="19" t="n"/>
      <c r="I11" t="inlineStr">
        <is>
          <t>Any</t>
        </is>
      </c>
      <c r="J11" t="inlineStr">
        <is>
          <t>Credit Card Payment</t>
        </is>
      </c>
      <c r="L11" t="n">
        <v>0</v>
      </c>
      <c r="M11" t="inlineStr">
        <is>
          <t>Built in</t>
        </is>
      </c>
    </row>
    <row r="12">
      <c r="B12" t="n">
        <v>12</v>
      </c>
      <c r="C12" t="inlineStr">
        <is>
          <t>Yes</t>
        </is>
      </c>
      <c r="D12" t="inlineStr">
        <is>
          <t>Description</t>
        </is>
      </c>
      <c r="E12" t="inlineStr">
        <is>
          <t>Contains</t>
        </is>
      </c>
      <c r="F12" t="inlineStr">
        <is>
          <t>TRANSFER TO</t>
        </is>
      </c>
      <c r="G12" s="19" t="n"/>
      <c r="H12" s="19" t="n"/>
      <c r="I12" t="inlineStr">
        <is>
          <t>Money out</t>
        </is>
      </c>
      <c r="J12" t="inlineStr">
        <is>
          <t>Internal Transfer</t>
        </is>
      </c>
      <c r="L12" t="n">
        <v>0</v>
      </c>
      <c r="M12" t="inlineStr">
        <is>
          <t>Built in</t>
        </is>
      </c>
    </row>
    <row r="13">
      <c r="B13" t="n">
        <v>12</v>
      </c>
      <c r="C13" t="inlineStr">
        <is>
          <t>Yes</t>
        </is>
      </c>
      <c r="D13" t="inlineStr">
        <is>
          <t>Description</t>
        </is>
      </c>
      <c r="E13" t="inlineStr">
        <is>
          <t>Contains</t>
        </is>
      </c>
      <c r="F13" t="inlineStr">
        <is>
          <t>TRANSFER FROM</t>
        </is>
      </c>
      <c r="G13" s="19" t="n"/>
      <c r="H13" s="19" t="n"/>
      <c r="I13" t="inlineStr">
        <is>
          <t>Money in</t>
        </is>
      </c>
      <c r="J13" t="inlineStr">
        <is>
          <t>Internal Transfer</t>
        </is>
      </c>
      <c r="L13" t="n">
        <v>0</v>
      </c>
      <c r="M13" t="inlineStr">
        <is>
          <t>Built in</t>
        </is>
      </c>
    </row>
    <row r="14">
      <c r="B14" t="n">
        <v>13</v>
      </c>
      <c r="C14" t="inlineStr">
        <is>
          <t>Yes</t>
        </is>
      </c>
      <c r="D14" t="inlineStr">
        <is>
          <t>Description</t>
        </is>
      </c>
      <c r="E14" t="inlineStr">
        <is>
          <t>Contains</t>
        </is>
      </c>
      <c r="F14" t="inlineStr">
        <is>
          <t>E-TRANSFER SENT</t>
        </is>
      </c>
      <c r="G14" s="19" t="n"/>
      <c r="H14" s="19" t="n"/>
      <c r="I14" t="inlineStr">
        <is>
          <t>Money out</t>
        </is>
      </c>
      <c r="J14" t="inlineStr">
        <is>
          <t>Interac e-Transfer Sent</t>
        </is>
      </c>
      <c r="L14" t="n">
        <v>0</v>
      </c>
      <c r="M14" t="inlineStr">
        <is>
          <t>Built in</t>
        </is>
      </c>
    </row>
    <row r="15">
      <c r="B15" t="n">
        <v>13</v>
      </c>
      <c r="C15" t="inlineStr">
        <is>
          <t>Yes</t>
        </is>
      </c>
      <c r="D15" t="inlineStr">
        <is>
          <t>Description</t>
        </is>
      </c>
      <c r="E15" t="inlineStr">
        <is>
          <t>Contains</t>
        </is>
      </c>
      <c r="F15" t="inlineStr">
        <is>
          <t>INTERAC E-TRANSFER SENT</t>
        </is>
      </c>
      <c r="G15" s="19" t="n"/>
      <c r="H15" s="19" t="n"/>
      <c r="I15" t="inlineStr">
        <is>
          <t>Money out</t>
        </is>
      </c>
      <c r="J15" t="inlineStr">
        <is>
          <t>Interac e-Transfer Sent</t>
        </is>
      </c>
      <c r="L15" t="n">
        <v>0</v>
      </c>
      <c r="M15" t="inlineStr">
        <is>
          <t>Built in</t>
        </is>
      </c>
    </row>
    <row r="16">
      <c r="B16" t="n">
        <v>13</v>
      </c>
      <c r="C16" t="inlineStr">
        <is>
          <t>Yes</t>
        </is>
      </c>
      <c r="D16" t="inlineStr">
        <is>
          <t>Description</t>
        </is>
      </c>
      <c r="E16" t="inlineStr">
        <is>
          <t>Contains</t>
        </is>
      </c>
      <c r="F16" t="inlineStr">
        <is>
          <t>E-TRANSFER RECEIVED</t>
        </is>
      </c>
      <c r="G16" s="19" t="n"/>
      <c r="H16" s="19" t="n"/>
      <c r="I16" t="inlineStr">
        <is>
          <t>Money in</t>
        </is>
      </c>
      <c r="J16" t="inlineStr">
        <is>
          <t>Interac e-Transfer Received</t>
        </is>
      </c>
      <c r="L16" t="n">
        <v>0</v>
      </c>
      <c r="M16" t="inlineStr">
        <is>
          <t>Built in</t>
        </is>
      </c>
    </row>
    <row r="17">
      <c r="B17" t="n">
        <v>14</v>
      </c>
      <c r="C17" t="inlineStr">
        <is>
          <t>Yes</t>
        </is>
      </c>
      <c r="D17" t="inlineStr">
        <is>
          <t>Description</t>
        </is>
      </c>
      <c r="E17" t="inlineStr">
        <is>
          <t>Contains</t>
        </is>
      </c>
      <c r="F17" t="inlineStr">
        <is>
          <t>ATM WITHDRAWAL</t>
        </is>
      </c>
      <c r="G17" s="19" t="n"/>
      <c r="H17" s="19" t="n"/>
      <c r="I17" t="inlineStr">
        <is>
          <t>Money out</t>
        </is>
      </c>
      <c r="J17" t="inlineStr">
        <is>
          <t>Cash Withdrawal</t>
        </is>
      </c>
      <c r="L17" t="n">
        <v>0</v>
      </c>
      <c r="M17" t="inlineStr">
        <is>
          <t>Built in</t>
        </is>
      </c>
    </row>
    <row r="18">
      <c r="B18" t="n">
        <v>14</v>
      </c>
      <c r="C18" t="inlineStr">
        <is>
          <t>Yes</t>
        </is>
      </c>
      <c r="D18" t="inlineStr">
        <is>
          <t>Description</t>
        </is>
      </c>
      <c r="E18" t="inlineStr">
        <is>
          <t>Contains</t>
        </is>
      </c>
      <c r="F18" t="inlineStr">
        <is>
          <t>CASH WITHDRAWAL</t>
        </is>
      </c>
      <c r="G18" s="19" t="n"/>
      <c r="H18" s="19" t="n"/>
      <c r="I18" t="inlineStr">
        <is>
          <t>Money out</t>
        </is>
      </c>
      <c r="J18" t="inlineStr">
        <is>
          <t>Cash Withdrawal</t>
        </is>
      </c>
      <c r="L18" t="n">
        <v>0</v>
      </c>
      <c r="M18" t="inlineStr">
        <is>
          <t>Built in</t>
        </is>
      </c>
    </row>
    <row r="19">
      <c r="B19" t="n">
        <v>14</v>
      </c>
      <c r="C19" t="inlineStr">
        <is>
          <t>Yes</t>
        </is>
      </c>
      <c r="D19" t="inlineStr">
        <is>
          <t>Description</t>
        </is>
      </c>
      <c r="E19" t="inlineStr">
        <is>
          <t>Contains</t>
        </is>
      </c>
      <c r="F19" t="inlineStr">
        <is>
          <t>ABM WITHDRAWAL</t>
        </is>
      </c>
      <c r="G19" s="19" t="n"/>
      <c r="H19" s="19" t="n"/>
      <c r="I19" t="inlineStr">
        <is>
          <t>Money out</t>
        </is>
      </c>
      <c r="J19" t="inlineStr">
        <is>
          <t>Cash Withdrawal</t>
        </is>
      </c>
      <c r="L19" t="n">
        <v>0</v>
      </c>
      <c r="M19" t="inlineStr">
        <is>
          <t>Built in</t>
        </is>
      </c>
    </row>
    <row r="20">
      <c r="B20" t="n">
        <v>20</v>
      </c>
      <c r="C20" t="inlineStr">
        <is>
          <t>Yes</t>
        </is>
      </c>
      <c r="D20" t="inlineStr">
        <is>
          <t>Description</t>
        </is>
      </c>
      <c r="E20" t="inlineStr">
        <is>
          <t>Contains</t>
        </is>
      </c>
      <c r="F20" t="inlineStr">
        <is>
          <t>CANADA FED</t>
        </is>
      </c>
      <c r="G20" s="19" t="n"/>
      <c r="H20" s="19" t="n"/>
      <c r="I20" t="inlineStr">
        <is>
          <t>Money in</t>
        </is>
      </c>
      <c r="J20" t="inlineStr">
        <is>
          <t>Canada Child Benefit</t>
        </is>
      </c>
      <c r="L20" t="n">
        <v>0</v>
      </c>
      <c r="M20" t="inlineStr">
        <is>
          <t>Built in</t>
        </is>
      </c>
    </row>
    <row r="21">
      <c r="B21" t="n">
        <v>20</v>
      </c>
      <c r="C21" t="inlineStr">
        <is>
          <t>Yes</t>
        </is>
      </c>
      <c r="D21" t="inlineStr">
        <is>
          <t>Description</t>
        </is>
      </c>
      <c r="E21" t="inlineStr">
        <is>
          <t>Contains</t>
        </is>
      </c>
      <c r="F21" t="inlineStr">
        <is>
          <t>CANADA CCB</t>
        </is>
      </c>
      <c r="G21" s="19" t="n"/>
      <c r="H21" s="19" t="n"/>
      <c r="I21" t="inlineStr">
        <is>
          <t>Money in</t>
        </is>
      </c>
      <c r="J21" t="inlineStr">
        <is>
          <t>Canada Child Benefit</t>
        </is>
      </c>
      <c r="L21" t="n">
        <v>0</v>
      </c>
      <c r="M21" t="inlineStr">
        <is>
          <t>Built in</t>
        </is>
      </c>
    </row>
    <row r="22">
      <c r="B22" t="n">
        <v>21</v>
      </c>
      <c r="C22" t="inlineStr">
        <is>
          <t>Yes</t>
        </is>
      </c>
      <c r="D22" t="inlineStr">
        <is>
          <t>Description</t>
        </is>
      </c>
      <c r="E22" t="inlineStr">
        <is>
          <t>Word</t>
        </is>
      </c>
      <c r="F22" t="inlineStr">
        <is>
          <t>GST</t>
        </is>
      </c>
      <c r="G22" s="19" t="n"/>
      <c r="H22" s="19" t="n"/>
      <c r="I22" t="inlineStr">
        <is>
          <t>Money in</t>
        </is>
      </c>
      <c r="J22" t="inlineStr">
        <is>
          <t>GST/HST Credit</t>
        </is>
      </c>
      <c r="L22" t="n">
        <v>0</v>
      </c>
      <c r="M22" t="inlineStr">
        <is>
          <t>Built in</t>
        </is>
      </c>
    </row>
    <row r="23">
      <c r="B23" t="n">
        <v>21</v>
      </c>
      <c r="C23" t="inlineStr">
        <is>
          <t>Yes</t>
        </is>
      </c>
      <c r="D23" t="inlineStr">
        <is>
          <t>Description</t>
        </is>
      </c>
      <c r="E23" t="inlineStr">
        <is>
          <t>Contains</t>
        </is>
      </c>
      <c r="F23" t="inlineStr">
        <is>
          <t>CANADA CARBON REBATE</t>
        </is>
      </c>
      <c r="G23" s="19" t="n"/>
      <c r="H23" s="19" t="n"/>
      <c r="I23" t="inlineStr">
        <is>
          <t>Money in</t>
        </is>
      </c>
      <c r="J23" t="inlineStr">
        <is>
          <t>Canada Carbon Rebate</t>
        </is>
      </c>
      <c r="L23" t="n">
        <v>0</v>
      </c>
      <c r="M23" t="inlineStr">
        <is>
          <t>Built in</t>
        </is>
      </c>
    </row>
    <row r="24">
      <c r="B24" t="n">
        <v>21</v>
      </c>
      <c r="C24" t="inlineStr">
        <is>
          <t>Yes</t>
        </is>
      </c>
      <c r="D24" t="inlineStr">
        <is>
          <t>Description</t>
        </is>
      </c>
      <c r="E24" t="inlineStr">
        <is>
          <t>Contains</t>
        </is>
      </c>
      <c r="F24" t="inlineStr">
        <is>
          <t>CLIMATE ACTION INCENTIVE</t>
        </is>
      </c>
      <c r="G24" s="19" t="n"/>
      <c r="H24" s="19" t="n"/>
      <c r="I24" t="inlineStr">
        <is>
          <t>Money in</t>
        </is>
      </c>
      <c r="J24" t="inlineStr">
        <is>
          <t>Canada Carbon Rebate</t>
        </is>
      </c>
      <c r="L24" t="n">
        <v>0</v>
      </c>
      <c r="M24" t="inlineStr">
        <is>
          <t>Built in</t>
        </is>
      </c>
    </row>
    <row r="25">
      <c r="B25" t="n">
        <v>22</v>
      </c>
      <c r="C25" t="inlineStr">
        <is>
          <t>Yes</t>
        </is>
      </c>
      <c r="D25" t="inlineStr">
        <is>
          <t>Description</t>
        </is>
      </c>
      <c r="E25" t="inlineStr">
        <is>
          <t>Contains</t>
        </is>
      </c>
      <c r="F25" t="inlineStr">
        <is>
          <t>CANADA REVENUE AGENCY</t>
        </is>
      </c>
      <c r="G25" s="19" t="n"/>
      <c r="H25" s="19" t="n"/>
      <c r="I25" t="inlineStr">
        <is>
          <t>Money in</t>
        </is>
      </c>
      <c r="J25" t="inlineStr">
        <is>
          <t>Tax Refund (CRA)</t>
        </is>
      </c>
      <c r="L25" t="n">
        <v>0</v>
      </c>
      <c r="M25" t="inlineStr">
        <is>
          <t>Built in</t>
        </is>
      </c>
    </row>
    <row r="26">
      <c r="B26" t="n">
        <v>22</v>
      </c>
      <c r="C26" t="inlineStr">
        <is>
          <t>Yes</t>
        </is>
      </c>
      <c r="D26" t="inlineStr">
        <is>
          <t>Description</t>
        </is>
      </c>
      <c r="E26" t="inlineStr">
        <is>
          <t>Contains</t>
        </is>
      </c>
      <c r="F26" t="inlineStr">
        <is>
          <t>CRA REFUND</t>
        </is>
      </c>
      <c r="G26" s="19" t="n"/>
      <c r="H26" s="19" t="n"/>
      <c r="I26" t="inlineStr">
        <is>
          <t>Money in</t>
        </is>
      </c>
      <c r="J26" t="inlineStr">
        <is>
          <t>Tax Refund (CRA)</t>
        </is>
      </c>
      <c r="L26" t="n">
        <v>0</v>
      </c>
      <c r="M26" t="inlineStr">
        <is>
          <t>Built in</t>
        </is>
      </c>
    </row>
    <row r="27">
      <c r="B27" t="n">
        <v>23</v>
      </c>
      <c r="C27" t="inlineStr">
        <is>
          <t>Yes</t>
        </is>
      </c>
      <c r="D27" t="inlineStr">
        <is>
          <t>Description</t>
        </is>
      </c>
      <c r="E27" t="inlineStr">
        <is>
          <t>Contains</t>
        </is>
      </c>
      <c r="F27" t="inlineStr">
        <is>
          <t>CANADA REVENUE AGENCY</t>
        </is>
      </c>
      <c r="G27" s="19" t="n"/>
      <c r="H27" s="19" t="n"/>
      <c r="I27" t="inlineStr">
        <is>
          <t>Money out</t>
        </is>
      </c>
      <c r="J27" t="inlineStr">
        <is>
          <t>Tax Payment to CRA</t>
        </is>
      </c>
      <c r="L27" t="n">
        <v>0</v>
      </c>
      <c r="M27" t="inlineStr">
        <is>
          <t>Built in</t>
        </is>
      </c>
    </row>
    <row r="28">
      <c r="B28" t="n">
        <v>24</v>
      </c>
      <c r="C28" t="inlineStr">
        <is>
          <t>Yes</t>
        </is>
      </c>
      <c r="D28" t="inlineStr">
        <is>
          <t>Description</t>
        </is>
      </c>
      <c r="E28" t="inlineStr">
        <is>
          <t>Contains</t>
        </is>
      </c>
      <c r="F28" t="inlineStr">
        <is>
          <t>EMPLOYMENT INSURANCE</t>
        </is>
      </c>
      <c r="G28" s="19" t="n"/>
      <c r="H28" s="19" t="n"/>
      <c r="I28" t="inlineStr">
        <is>
          <t>Money in</t>
        </is>
      </c>
      <c r="J28" t="inlineStr">
        <is>
          <t>EI Benefits</t>
        </is>
      </c>
      <c r="L28" t="n">
        <v>0</v>
      </c>
      <c r="M28" t="inlineStr">
        <is>
          <t>Built in</t>
        </is>
      </c>
    </row>
    <row r="29">
      <c r="B29" t="n">
        <v>24</v>
      </c>
      <c r="C29" t="inlineStr">
        <is>
          <t>Yes</t>
        </is>
      </c>
      <c r="D29" t="inlineStr">
        <is>
          <t>Description</t>
        </is>
      </c>
      <c r="E29" t="inlineStr">
        <is>
          <t>Contains</t>
        </is>
      </c>
      <c r="F29" t="inlineStr">
        <is>
          <t>CANADA EI</t>
        </is>
      </c>
      <c r="G29" s="19" t="n"/>
      <c r="H29" s="19" t="n"/>
      <c r="I29" t="inlineStr">
        <is>
          <t>Money in</t>
        </is>
      </c>
      <c r="J29" t="inlineStr">
        <is>
          <t>EI Benefits</t>
        </is>
      </c>
      <c r="L29" t="n">
        <v>0</v>
      </c>
      <c r="M29" t="inlineStr">
        <is>
          <t>Built in</t>
        </is>
      </c>
    </row>
    <row r="30">
      <c r="B30" t="n">
        <v>25</v>
      </c>
      <c r="C30" t="inlineStr">
        <is>
          <t>Yes</t>
        </is>
      </c>
      <c r="D30" t="inlineStr">
        <is>
          <t>Description</t>
        </is>
      </c>
      <c r="E30" t="inlineStr">
        <is>
          <t>Contains</t>
        </is>
      </c>
      <c r="F30" t="inlineStr">
        <is>
          <t>PAYROLL DEP</t>
        </is>
      </c>
      <c r="G30" s="19" t="n"/>
      <c r="H30" s="19" t="n"/>
      <c r="I30" t="inlineStr">
        <is>
          <t>Money in</t>
        </is>
      </c>
      <c r="J30" t="inlineStr">
        <is>
          <t>Employment Income</t>
        </is>
      </c>
      <c r="L30" t="n">
        <v>0</v>
      </c>
      <c r="M30" t="inlineStr">
        <is>
          <t>Built in</t>
        </is>
      </c>
    </row>
    <row r="31">
      <c r="B31" t="n">
        <v>25</v>
      </c>
      <c r="C31" t="inlineStr">
        <is>
          <t>Yes</t>
        </is>
      </c>
      <c r="D31" t="inlineStr">
        <is>
          <t>Description</t>
        </is>
      </c>
      <c r="E31" t="inlineStr">
        <is>
          <t>Contains</t>
        </is>
      </c>
      <c r="F31" t="inlineStr">
        <is>
          <t>PAY DEPOSIT</t>
        </is>
      </c>
      <c r="G31" s="19" t="n"/>
      <c r="H31" s="19" t="n"/>
      <c r="I31" t="inlineStr">
        <is>
          <t>Money in</t>
        </is>
      </c>
      <c r="J31" t="inlineStr">
        <is>
          <t>Employment Income</t>
        </is>
      </c>
      <c r="L31" t="n">
        <v>0</v>
      </c>
      <c r="M31" t="inlineStr">
        <is>
          <t>Built in</t>
        </is>
      </c>
    </row>
    <row r="32">
      <c r="B32" t="n">
        <v>25</v>
      </c>
      <c r="C32" t="inlineStr">
        <is>
          <t>Yes</t>
        </is>
      </c>
      <c r="D32" t="inlineStr">
        <is>
          <t>Description</t>
        </is>
      </c>
      <c r="E32" t="inlineStr">
        <is>
          <t>Contains</t>
        </is>
      </c>
      <c r="F32" t="inlineStr">
        <is>
          <t>DIRECT DEPOSIT</t>
        </is>
      </c>
      <c r="G32" s="19" t="n"/>
      <c r="H32" s="19" t="n"/>
      <c r="I32" t="inlineStr">
        <is>
          <t>Money in</t>
        </is>
      </c>
      <c r="J32" t="inlineStr">
        <is>
          <t>Employment Income</t>
        </is>
      </c>
      <c r="L32" t="n">
        <v>0</v>
      </c>
      <c r="M32" t="inlineStr">
        <is>
          <t>Built in</t>
        </is>
      </c>
    </row>
    <row r="33">
      <c r="B33" t="n">
        <v>25</v>
      </c>
      <c r="C33" t="inlineStr">
        <is>
          <t>Yes</t>
        </is>
      </c>
      <c r="D33" t="inlineStr">
        <is>
          <t>Description</t>
        </is>
      </c>
      <c r="E33" t="inlineStr">
        <is>
          <t>Contains</t>
        </is>
      </c>
      <c r="F33" t="inlineStr">
        <is>
          <t>PAYROLL</t>
        </is>
      </c>
      <c r="G33" s="19" t="n"/>
      <c r="H33" s="19" t="n"/>
      <c r="I33" t="inlineStr">
        <is>
          <t>Money in</t>
        </is>
      </c>
      <c r="J33" t="inlineStr">
        <is>
          <t>Employment Income</t>
        </is>
      </c>
      <c r="L33" t="n">
        <v>0</v>
      </c>
      <c r="M33" t="inlineStr">
        <is>
          <t>Built in</t>
        </is>
      </c>
    </row>
    <row r="34">
      <c r="B34" t="n">
        <v>40</v>
      </c>
      <c r="C34" t="inlineStr">
        <is>
          <t>Yes</t>
        </is>
      </c>
      <c r="D34" t="inlineStr">
        <is>
          <t>Merchant</t>
        </is>
      </c>
      <c r="E34" t="inlineStr">
        <is>
          <t>Contains</t>
        </is>
      </c>
      <c r="F34" t="inlineStr">
        <is>
          <t>LOBLAW</t>
        </is>
      </c>
      <c r="G34" s="19" t="n"/>
      <c r="H34" s="19" t="n"/>
      <c r="I34" t="inlineStr">
        <is>
          <t>Money out</t>
        </is>
      </c>
      <c r="J34" t="inlineStr">
        <is>
          <t>Groceries</t>
        </is>
      </c>
      <c r="L34" t="n">
        <v>0</v>
      </c>
      <c r="M34" t="inlineStr">
        <is>
          <t>Built in</t>
        </is>
      </c>
    </row>
    <row r="35">
      <c r="B35" t="n">
        <v>40</v>
      </c>
      <c r="C35" t="inlineStr">
        <is>
          <t>Yes</t>
        </is>
      </c>
      <c r="D35" t="inlineStr">
        <is>
          <t>Merchant</t>
        </is>
      </c>
      <c r="E35" t="inlineStr">
        <is>
          <t>Contains</t>
        </is>
      </c>
      <c r="F35" t="inlineStr">
        <is>
          <t>NO FRILLS</t>
        </is>
      </c>
      <c r="G35" s="19" t="n"/>
      <c r="H35" s="19" t="n"/>
      <c r="I35" t="inlineStr">
        <is>
          <t>Money out</t>
        </is>
      </c>
      <c r="J35" t="inlineStr">
        <is>
          <t>Groceries</t>
        </is>
      </c>
      <c r="L35" t="n">
        <v>0</v>
      </c>
      <c r="M35" t="inlineStr">
        <is>
          <t>Built in</t>
        </is>
      </c>
    </row>
    <row r="36">
      <c r="B36" t="n">
        <v>40</v>
      </c>
      <c r="C36" t="inlineStr">
        <is>
          <t>Yes</t>
        </is>
      </c>
      <c r="D36" t="inlineStr">
        <is>
          <t>Merchant</t>
        </is>
      </c>
      <c r="E36" t="inlineStr">
        <is>
          <t>Contains</t>
        </is>
      </c>
      <c r="F36" t="inlineStr">
        <is>
          <t>REAL CDN SUPERSTORE</t>
        </is>
      </c>
      <c r="G36" s="19" t="n"/>
      <c r="H36" s="19" t="n"/>
      <c r="I36" t="inlineStr">
        <is>
          <t>Money out</t>
        </is>
      </c>
      <c r="J36" t="inlineStr">
        <is>
          <t>Groceries</t>
        </is>
      </c>
      <c r="L36" t="n">
        <v>0</v>
      </c>
      <c r="M36" t="inlineStr">
        <is>
          <t>Built in</t>
        </is>
      </c>
    </row>
    <row r="37">
      <c r="B37" t="n">
        <v>40</v>
      </c>
      <c r="C37" t="inlineStr">
        <is>
          <t>Yes</t>
        </is>
      </c>
      <c r="D37" t="inlineStr">
        <is>
          <t>Merchant</t>
        </is>
      </c>
      <c r="E37" t="inlineStr">
        <is>
          <t>Contains</t>
        </is>
      </c>
      <c r="F37" t="inlineStr">
        <is>
          <t>REAL CANADIAN SUPERSTORE</t>
        </is>
      </c>
      <c r="G37" s="19" t="n"/>
      <c r="H37" s="19" t="n"/>
      <c r="I37" t="inlineStr">
        <is>
          <t>Money out</t>
        </is>
      </c>
      <c r="J37" t="inlineStr">
        <is>
          <t>Groceries</t>
        </is>
      </c>
      <c r="L37" t="n">
        <v>0</v>
      </c>
      <c r="M37" t="inlineStr">
        <is>
          <t>Built in</t>
        </is>
      </c>
    </row>
    <row r="38">
      <c r="B38" t="n">
        <v>40</v>
      </c>
      <c r="C38" t="inlineStr">
        <is>
          <t>Yes</t>
        </is>
      </c>
      <c r="D38" t="inlineStr">
        <is>
          <t>Merchant</t>
        </is>
      </c>
      <c r="E38" t="inlineStr">
        <is>
          <t>Word</t>
        </is>
      </c>
      <c r="F38" t="inlineStr">
        <is>
          <t>METRO</t>
        </is>
      </c>
      <c r="G38" s="19" t="n"/>
      <c r="H38" s="19" t="n"/>
      <c r="I38" t="inlineStr">
        <is>
          <t>Money out</t>
        </is>
      </c>
      <c r="J38" t="inlineStr">
        <is>
          <t>Groceries</t>
        </is>
      </c>
      <c r="L38" t="n">
        <v>0</v>
      </c>
      <c r="M38" t="inlineStr">
        <is>
          <t>Built in</t>
        </is>
      </c>
    </row>
    <row r="39">
      <c r="B39" t="n">
        <v>40</v>
      </c>
      <c r="C39" t="inlineStr">
        <is>
          <t>Yes</t>
        </is>
      </c>
      <c r="D39" t="inlineStr">
        <is>
          <t>Merchant</t>
        </is>
      </c>
      <c r="E39" t="inlineStr">
        <is>
          <t>Contains</t>
        </is>
      </c>
      <c r="F39" t="inlineStr">
        <is>
          <t>SOBEYS</t>
        </is>
      </c>
      <c r="G39" s="19" t="n"/>
      <c r="H39" s="19" t="n"/>
      <c r="I39" t="inlineStr">
        <is>
          <t>Money out</t>
        </is>
      </c>
      <c r="J39" t="inlineStr">
        <is>
          <t>Groceries</t>
        </is>
      </c>
      <c r="L39" t="n">
        <v>0</v>
      </c>
      <c r="M39" t="inlineStr">
        <is>
          <t>Built in</t>
        </is>
      </c>
    </row>
    <row r="40">
      <c r="B40" t="n">
        <v>40</v>
      </c>
      <c r="C40" t="inlineStr">
        <is>
          <t>Yes</t>
        </is>
      </c>
      <c r="D40" t="inlineStr">
        <is>
          <t>Merchant</t>
        </is>
      </c>
      <c r="E40" t="inlineStr">
        <is>
          <t>Contains</t>
        </is>
      </c>
      <c r="F40" t="inlineStr">
        <is>
          <t>SAFEWAY</t>
        </is>
      </c>
      <c r="G40" s="19" t="n"/>
      <c r="H40" s="19" t="n"/>
      <c r="I40" t="inlineStr">
        <is>
          <t>Money out</t>
        </is>
      </c>
      <c r="J40" t="inlineStr">
        <is>
          <t>Groceries</t>
        </is>
      </c>
      <c r="L40" t="n">
        <v>0</v>
      </c>
      <c r="M40" t="inlineStr">
        <is>
          <t>Built in</t>
        </is>
      </c>
    </row>
    <row r="41">
      <c r="B41" t="n">
        <v>40</v>
      </c>
      <c r="C41" t="inlineStr">
        <is>
          <t>Yes</t>
        </is>
      </c>
      <c r="D41" t="inlineStr">
        <is>
          <t>Merchant</t>
        </is>
      </c>
      <c r="E41" t="inlineStr">
        <is>
          <t>Contains</t>
        </is>
      </c>
      <c r="F41" t="inlineStr">
        <is>
          <t>FOODLAND</t>
        </is>
      </c>
      <c r="G41" s="19" t="n"/>
      <c r="H41" s="19" t="n"/>
      <c r="I41" t="inlineStr">
        <is>
          <t>Money out</t>
        </is>
      </c>
      <c r="J41" t="inlineStr">
        <is>
          <t>Groceries</t>
        </is>
      </c>
      <c r="L41" t="n">
        <v>0</v>
      </c>
      <c r="M41" t="inlineStr">
        <is>
          <t>Built in</t>
        </is>
      </c>
    </row>
    <row r="42">
      <c r="B42" t="n">
        <v>40</v>
      </c>
      <c r="C42" t="inlineStr">
        <is>
          <t>Yes</t>
        </is>
      </c>
      <c r="D42" t="inlineStr">
        <is>
          <t>Merchant</t>
        </is>
      </c>
      <c r="E42" t="inlineStr">
        <is>
          <t>Word</t>
        </is>
      </c>
      <c r="F42" t="inlineStr">
        <is>
          <t>IGA</t>
        </is>
      </c>
      <c r="G42" s="19" t="n"/>
      <c r="H42" s="19" t="n"/>
      <c r="I42" t="inlineStr">
        <is>
          <t>Money out</t>
        </is>
      </c>
      <c r="J42" t="inlineStr">
        <is>
          <t>Groceries</t>
        </is>
      </c>
      <c r="L42" t="n">
        <v>0</v>
      </c>
      <c r="M42" t="inlineStr">
        <is>
          <t>Built in</t>
        </is>
      </c>
    </row>
    <row r="43">
      <c r="B43" t="n">
        <v>40</v>
      </c>
      <c r="C43" t="inlineStr">
        <is>
          <t>Yes</t>
        </is>
      </c>
      <c r="D43" t="inlineStr">
        <is>
          <t>Merchant</t>
        </is>
      </c>
      <c r="E43" t="inlineStr">
        <is>
          <t>Contains</t>
        </is>
      </c>
      <c r="F43" t="inlineStr">
        <is>
          <t>PROVIGO</t>
        </is>
      </c>
      <c r="G43" s="19" t="n"/>
      <c r="H43" s="19" t="n"/>
      <c r="I43" t="inlineStr">
        <is>
          <t>Money out</t>
        </is>
      </c>
      <c r="J43" t="inlineStr">
        <is>
          <t>Groceries</t>
        </is>
      </c>
      <c r="L43" t="n">
        <v>0</v>
      </c>
      <c r="M43" t="inlineStr">
        <is>
          <t>Built in</t>
        </is>
      </c>
    </row>
    <row r="44">
      <c r="B44" t="n">
        <v>40</v>
      </c>
      <c r="C44" t="inlineStr">
        <is>
          <t>Yes</t>
        </is>
      </c>
      <c r="D44" t="inlineStr">
        <is>
          <t>Merchant</t>
        </is>
      </c>
      <c r="E44" t="inlineStr">
        <is>
          <t>Word</t>
        </is>
      </c>
      <c r="F44" t="inlineStr">
        <is>
          <t>MAXI</t>
        </is>
      </c>
      <c r="G44" s="19" t="n"/>
      <c r="H44" s="19" t="n"/>
      <c r="I44" t="inlineStr">
        <is>
          <t>Money out</t>
        </is>
      </c>
      <c r="J44" t="inlineStr">
        <is>
          <t>Groceries</t>
        </is>
      </c>
      <c r="L44" t="n">
        <v>0</v>
      </c>
      <c r="M44" t="inlineStr">
        <is>
          <t>Built in</t>
        </is>
      </c>
    </row>
    <row r="45">
      <c r="B45" t="n">
        <v>40</v>
      </c>
      <c r="C45" t="inlineStr">
        <is>
          <t>Yes</t>
        </is>
      </c>
      <c r="D45" t="inlineStr">
        <is>
          <t>Merchant</t>
        </is>
      </c>
      <c r="E45" t="inlineStr">
        <is>
          <t>Word</t>
        </is>
      </c>
      <c r="F45" t="inlineStr">
        <is>
          <t>SUPER C</t>
        </is>
      </c>
      <c r="G45" s="19" t="n"/>
      <c r="H45" s="19" t="n"/>
      <c r="I45" t="inlineStr">
        <is>
          <t>Money out</t>
        </is>
      </c>
      <c r="J45" t="inlineStr">
        <is>
          <t>Groceries</t>
        </is>
      </c>
      <c r="L45" t="n">
        <v>0</v>
      </c>
      <c r="M45" t="inlineStr">
        <is>
          <t>Built in</t>
        </is>
      </c>
    </row>
    <row r="46">
      <c r="B46" t="n">
        <v>40</v>
      </c>
      <c r="C46" t="inlineStr">
        <is>
          <t>Yes</t>
        </is>
      </c>
      <c r="D46" t="inlineStr">
        <is>
          <t>Merchant</t>
        </is>
      </c>
      <c r="E46" t="inlineStr">
        <is>
          <t>Contains</t>
        </is>
      </c>
      <c r="F46" t="inlineStr">
        <is>
          <t>FRESHCO</t>
        </is>
      </c>
      <c r="G46" s="19" t="n"/>
      <c r="H46" s="19" t="n"/>
      <c r="I46" t="inlineStr">
        <is>
          <t>Money out</t>
        </is>
      </c>
      <c r="J46" t="inlineStr">
        <is>
          <t>Groceries</t>
        </is>
      </c>
      <c r="L46" t="n">
        <v>0</v>
      </c>
      <c r="M46" t="inlineStr">
        <is>
          <t>Built in</t>
        </is>
      </c>
    </row>
    <row r="47">
      <c r="B47" t="n">
        <v>40</v>
      </c>
      <c r="C47" t="inlineStr">
        <is>
          <t>Yes</t>
        </is>
      </c>
      <c r="D47" t="inlineStr">
        <is>
          <t>Merchant</t>
        </is>
      </c>
      <c r="E47" t="inlineStr">
        <is>
          <t>Contains</t>
        </is>
      </c>
      <c r="F47" t="inlineStr">
        <is>
          <t>FARM BOY</t>
        </is>
      </c>
      <c r="G47" s="19" t="n"/>
      <c r="H47" s="19" t="n"/>
      <c r="I47" t="inlineStr">
        <is>
          <t>Money out</t>
        </is>
      </c>
      <c r="J47" t="inlineStr">
        <is>
          <t>Groceries</t>
        </is>
      </c>
      <c r="L47" t="n">
        <v>0</v>
      </c>
      <c r="M47" t="inlineStr">
        <is>
          <t>Built in</t>
        </is>
      </c>
    </row>
    <row r="48">
      <c r="B48" t="n">
        <v>40</v>
      </c>
      <c r="C48" t="inlineStr">
        <is>
          <t>Yes</t>
        </is>
      </c>
      <c r="D48" t="inlineStr">
        <is>
          <t>Merchant</t>
        </is>
      </c>
      <c r="E48" t="inlineStr">
        <is>
          <t>Contains</t>
        </is>
      </c>
      <c r="F48" t="inlineStr">
        <is>
          <t>WHOLE FOODS</t>
        </is>
      </c>
      <c r="G48" s="19" t="n"/>
      <c r="H48" s="19" t="n"/>
      <c r="I48" t="inlineStr">
        <is>
          <t>Money out</t>
        </is>
      </c>
      <c r="J48" t="inlineStr">
        <is>
          <t>Groceries</t>
        </is>
      </c>
      <c r="L48" t="n">
        <v>0</v>
      </c>
      <c r="M48" t="inlineStr">
        <is>
          <t>Built in</t>
        </is>
      </c>
    </row>
    <row r="49">
      <c r="B49" t="n">
        <v>40</v>
      </c>
      <c r="C49" t="inlineStr">
        <is>
          <t>Yes</t>
        </is>
      </c>
      <c r="D49" t="inlineStr">
        <is>
          <t>Merchant</t>
        </is>
      </c>
      <c r="E49" t="inlineStr">
        <is>
          <t>Contains</t>
        </is>
      </c>
      <c r="F49" t="inlineStr">
        <is>
          <t>T&amp;T SUPERMARKET</t>
        </is>
      </c>
      <c r="G49" s="19" t="n"/>
      <c r="H49" s="19" t="n"/>
      <c r="I49" t="inlineStr">
        <is>
          <t>Money out</t>
        </is>
      </c>
      <c r="J49" t="inlineStr">
        <is>
          <t>Groceries</t>
        </is>
      </c>
      <c r="L49" t="n">
        <v>0</v>
      </c>
      <c r="M49" t="inlineStr">
        <is>
          <t>Built in</t>
        </is>
      </c>
    </row>
    <row r="50">
      <c r="B50" t="n">
        <v>40</v>
      </c>
      <c r="C50" t="inlineStr">
        <is>
          <t>Yes</t>
        </is>
      </c>
      <c r="D50" t="inlineStr">
        <is>
          <t>Merchant</t>
        </is>
      </c>
      <c r="E50" t="inlineStr">
        <is>
          <t>Contains</t>
        </is>
      </c>
      <c r="F50" t="inlineStr">
        <is>
          <t>SAVE ON FOODS</t>
        </is>
      </c>
      <c r="G50" s="19" t="n"/>
      <c r="H50" s="19" t="n"/>
      <c r="I50" t="inlineStr">
        <is>
          <t>Money out</t>
        </is>
      </c>
      <c r="J50" t="inlineStr">
        <is>
          <t>Groceries</t>
        </is>
      </c>
      <c r="L50" t="n">
        <v>0</v>
      </c>
      <c r="M50" t="inlineStr">
        <is>
          <t>Built in</t>
        </is>
      </c>
    </row>
    <row r="51">
      <c r="B51" t="n">
        <v>40</v>
      </c>
      <c r="C51" t="inlineStr">
        <is>
          <t>Yes</t>
        </is>
      </c>
      <c r="D51" t="inlineStr">
        <is>
          <t>Merchant</t>
        </is>
      </c>
      <c r="E51" t="inlineStr">
        <is>
          <t>Contains</t>
        </is>
      </c>
      <c r="F51" t="inlineStr">
        <is>
          <t>COSTCO WHOLESALE</t>
        </is>
      </c>
      <c r="G51" s="19" t="n"/>
      <c r="H51" s="19" t="n"/>
      <c r="I51" t="inlineStr">
        <is>
          <t>Money out</t>
        </is>
      </c>
      <c r="J51" t="inlineStr">
        <is>
          <t>Groceries</t>
        </is>
      </c>
      <c r="L51" t="n">
        <v>0</v>
      </c>
      <c r="M51" t="inlineStr">
        <is>
          <t>Built in</t>
        </is>
      </c>
    </row>
    <row r="52">
      <c r="B52" t="n">
        <v>40</v>
      </c>
      <c r="C52" t="inlineStr">
        <is>
          <t>Yes</t>
        </is>
      </c>
      <c r="D52" t="inlineStr">
        <is>
          <t>Merchant</t>
        </is>
      </c>
      <c r="E52" t="inlineStr">
        <is>
          <t>Contains</t>
        </is>
      </c>
      <c r="F52" t="inlineStr">
        <is>
          <t>WALMART</t>
        </is>
      </c>
      <c r="G52" s="19" t="n"/>
      <c r="H52" s="19" t="n"/>
      <c r="I52" t="inlineStr">
        <is>
          <t>Money out</t>
        </is>
      </c>
      <c r="J52" t="inlineStr">
        <is>
          <t>Groceries</t>
        </is>
      </c>
      <c r="L52" t="n">
        <v>0</v>
      </c>
      <c r="M52" t="inlineStr">
        <is>
          <t>Built in</t>
        </is>
      </c>
    </row>
    <row r="53">
      <c r="B53" t="n">
        <v>40</v>
      </c>
      <c r="C53" t="inlineStr">
        <is>
          <t>Yes</t>
        </is>
      </c>
      <c r="D53" t="inlineStr">
        <is>
          <t>Merchant</t>
        </is>
      </c>
      <c r="E53" t="inlineStr">
        <is>
          <t>Contains</t>
        </is>
      </c>
      <c r="F53" t="inlineStr">
        <is>
          <t>BULK BARN</t>
        </is>
      </c>
      <c r="G53" s="19" t="n"/>
      <c r="H53" s="19" t="n"/>
      <c r="I53" t="inlineStr">
        <is>
          <t>Money out</t>
        </is>
      </c>
      <c r="J53" t="inlineStr">
        <is>
          <t>Groceries</t>
        </is>
      </c>
      <c r="L53" t="n">
        <v>0</v>
      </c>
      <c r="M53" t="inlineStr">
        <is>
          <t>Built in</t>
        </is>
      </c>
    </row>
    <row r="54">
      <c r="B54" t="n">
        <v>45</v>
      </c>
      <c r="C54" t="inlineStr">
        <is>
          <t>Yes</t>
        </is>
      </c>
      <c r="D54" t="inlineStr">
        <is>
          <t>Merchant</t>
        </is>
      </c>
      <c r="E54" t="inlineStr">
        <is>
          <t>Contains</t>
        </is>
      </c>
      <c r="F54" t="inlineStr">
        <is>
          <t>TIM HORTONS</t>
        </is>
      </c>
      <c r="G54" s="19" t="n"/>
      <c r="H54" s="19" t="n"/>
      <c r="I54" t="inlineStr">
        <is>
          <t>Money out</t>
        </is>
      </c>
      <c r="J54" t="inlineStr">
        <is>
          <t>Coffee &amp; Snacks</t>
        </is>
      </c>
      <c r="L54" t="n">
        <v>0</v>
      </c>
      <c r="M54" t="inlineStr">
        <is>
          <t>Built in</t>
        </is>
      </c>
    </row>
    <row r="55">
      <c r="B55" t="n">
        <v>45</v>
      </c>
      <c r="C55" t="inlineStr">
        <is>
          <t>Yes</t>
        </is>
      </c>
      <c r="D55" t="inlineStr">
        <is>
          <t>Merchant</t>
        </is>
      </c>
      <c r="E55" t="inlineStr">
        <is>
          <t>Contains</t>
        </is>
      </c>
      <c r="F55" t="inlineStr">
        <is>
          <t>STARBUCKS</t>
        </is>
      </c>
      <c r="G55" s="19" t="n"/>
      <c r="H55" s="19" t="n"/>
      <c r="I55" t="inlineStr">
        <is>
          <t>Money out</t>
        </is>
      </c>
      <c r="J55" t="inlineStr">
        <is>
          <t>Coffee &amp; Snacks</t>
        </is>
      </c>
      <c r="L55" t="n">
        <v>0</v>
      </c>
      <c r="M55" t="inlineStr">
        <is>
          <t>Built in</t>
        </is>
      </c>
    </row>
    <row r="56">
      <c r="B56" t="n">
        <v>45</v>
      </c>
      <c r="C56" t="inlineStr">
        <is>
          <t>Yes</t>
        </is>
      </c>
      <c r="D56" t="inlineStr">
        <is>
          <t>Merchant</t>
        </is>
      </c>
      <c r="E56" t="inlineStr">
        <is>
          <t>Contains</t>
        </is>
      </c>
      <c r="F56" t="inlineStr">
        <is>
          <t>SECOND CUP</t>
        </is>
      </c>
      <c r="G56" s="19" t="n"/>
      <c r="H56" s="19" t="n"/>
      <c r="I56" t="inlineStr">
        <is>
          <t>Money out</t>
        </is>
      </c>
      <c r="J56" t="inlineStr">
        <is>
          <t>Coffee &amp; Snacks</t>
        </is>
      </c>
      <c r="L56" t="n">
        <v>0</v>
      </c>
      <c r="M56" t="inlineStr">
        <is>
          <t>Built in</t>
        </is>
      </c>
    </row>
    <row r="57">
      <c r="B57" t="n">
        <v>45</v>
      </c>
      <c r="C57" t="inlineStr">
        <is>
          <t>Yes</t>
        </is>
      </c>
      <c r="D57" t="inlineStr">
        <is>
          <t>Merchant</t>
        </is>
      </c>
      <c r="E57" t="inlineStr">
        <is>
          <t>Contains</t>
        </is>
      </c>
      <c r="F57" t="inlineStr">
        <is>
          <t>COUNTRY STYLE</t>
        </is>
      </c>
      <c r="G57" s="19" t="n"/>
      <c r="H57" s="19" t="n"/>
      <c r="I57" t="inlineStr">
        <is>
          <t>Money out</t>
        </is>
      </c>
      <c r="J57" t="inlineStr">
        <is>
          <t>Coffee &amp; Snacks</t>
        </is>
      </c>
      <c r="L57" t="n">
        <v>0</v>
      </c>
      <c r="M57" t="inlineStr">
        <is>
          <t>Built in</t>
        </is>
      </c>
    </row>
    <row r="58">
      <c r="B58" t="n">
        <v>46</v>
      </c>
      <c r="C58" t="inlineStr">
        <is>
          <t>Yes</t>
        </is>
      </c>
      <c r="D58" t="inlineStr">
        <is>
          <t>Merchant</t>
        </is>
      </c>
      <c r="E58" t="inlineStr">
        <is>
          <t>Contains</t>
        </is>
      </c>
      <c r="F58" t="inlineStr">
        <is>
          <t>MCDONALD</t>
        </is>
      </c>
      <c r="G58" s="19" t="n"/>
      <c r="H58" s="19" t="n"/>
      <c r="I58" t="inlineStr">
        <is>
          <t>Money out</t>
        </is>
      </c>
      <c r="J58" t="inlineStr">
        <is>
          <t>Restaurants &amp; Takeout</t>
        </is>
      </c>
      <c r="L58" t="n">
        <v>0</v>
      </c>
      <c r="M58" t="inlineStr">
        <is>
          <t>Built in</t>
        </is>
      </c>
    </row>
    <row r="59">
      <c r="B59" t="n">
        <v>46</v>
      </c>
      <c r="C59" t="inlineStr">
        <is>
          <t>Yes</t>
        </is>
      </c>
      <c r="D59" t="inlineStr">
        <is>
          <t>Merchant</t>
        </is>
      </c>
      <c r="E59" t="inlineStr">
        <is>
          <t>Word</t>
        </is>
      </c>
      <c r="F59" t="inlineStr">
        <is>
          <t>A&amp;W</t>
        </is>
      </c>
      <c r="G59" s="19" t="n"/>
      <c r="H59" s="19" t="n"/>
      <c r="I59" t="inlineStr">
        <is>
          <t>Money out</t>
        </is>
      </c>
      <c r="J59" t="inlineStr">
        <is>
          <t>Restaurants &amp; Takeout</t>
        </is>
      </c>
      <c r="L59" t="n">
        <v>0</v>
      </c>
      <c r="M59" t="inlineStr">
        <is>
          <t>Built in</t>
        </is>
      </c>
    </row>
    <row r="60">
      <c r="B60" t="n">
        <v>46</v>
      </c>
      <c r="C60" t="inlineStr">
        <is>
          <t>Yes</t>
        </is>
      </c>
      <c r="D60" t="inlineStr">
        <is>
          <t>Merchant</t>
        </is>
      </c>
      <c r="E60" t="inlineStr">
        <is>
          <t>Contains</t>
        </is>
      </c>
      <c r="F60" t="inlineStr">
        <is>
          <t>SUBWAY</t>
        </is>
      </c>
      <c r="G60" s="19" t="n"/>
      <c r="H60" s="19" t="n"/>
      <c r="I60" t="inlineStr">
        <is>
          <t>Money out</t>
        </is>
      </c>
      <c r="J60" t="inlineStr">
        <is>
          <t>Restaurants &amp; Takeout</t>
        </is>
      </c>
      <c r="L60" t="n">
        <v>0</v>
      </c>
      <c r="M60" t="inlineStr">
        <is>
          <t>Built in</t>
        </is>
      </c>
    </row>
    <row r="61">
      <c r="B61" t="n">
        <v>46</v>
      </c>
      <c r="C61" t="inlineStr">
        <is>
          <t>Yes</t>
        </is>
      </c>
      <c r="D61" t="inlineStr">
        <is>
          <t>Merchant</t>
        </is>
      </c>
      <c r="E61" t="inlineStr">
        <is>
          <t>Contains</t>
        </is>
      </c>
      <c r="F61" t="inlineStr">
        <is>
          <t>HARVEY</t>
        </is>
      </c>
      <c r="G61" s="19" t="n"/>
      <c r="H61" s="19" t="n"/>
      <c r="I61" t="inlineStr">
        <is>
          <t>Money out</t>
        </is>
      </c>
      <c r="J61" t="inlineStr">
        <is>
          <t>Restaurants &amp; Takeout</t>
        </is>
      </c>
      <c r="L61" t="n">
        <v>0</v>
      </c>
      <c r="M61" t="inlineStr">
        <is>
          <t>Built in</t>
        </is>
      </c>
    </row>
    <row r="62">
      <c r="B62" t="n">
        <v>46</v>
      </c>
      <c r="C62" t="inlineStr">
        <is>
          <t>Yes</t>
        </is>
      </c>
      <c r="D62" t="inlineStr">
        <is>
          <t>Merchant</t>
        </is>
      </c>
      <c r="E62" t="inlineStr">
        <is>
          <t>Contains</t>
        </is>
      </c>
      <c r="F62" t="inlineStr">
        <is>
          <t>SWISS CHALET</t>
        </is>
      </c>
      <c r="G62" s="19" t="n"/>
      <c r="H62" s="19" t="n"/>
      <c r="I62" t="inlineStr">
        <is>
          <t>Money out</t>
        </is>
      </c>
      <c r="J62" t="inlineStr">
        <is>
          <t>Restaurants &amp; Takeout</t>
        </is>
      </c>
      <c r="L62" t="n">
        <v>0</v>
      </c>
      <c r="M62" t="inlineStr">
        <is>
          <t>Built in</t>
        </is>
      </c>
    </row>
    <row r="63">
      <c r="B63" t="n">
        <v>46</v>
      </c>
      <c r="C63" t="inlineStr">
        <is>
          <t>Yes</t>
        </is>
      </c>
      <c r="D63" t="inlineStr">
        <is>
          <t>Merchant</t>
        </is>
      </c>
      <c r="E63" t="inlineStr">
        <is>
          <t>Contains</t>
        </is>
      </c>
      <c r="F63" t="inlineStr">
        <is>
          <t>BOSTON PIZZA</t>
        </is>
      </c>
      <c r="G63" s="19" t="n"/>
      <c r="H63" s="19" t="n"/>
      <c r="I63" t="inlineStr">
        <is>
          <t>Money out</t>
        </is>
      </c>
      <c r="J63" t="inlineStr">
        <is>
          <t>Restaurants &amp; Takeout</t>
        </is>
      </c>
      <c r="L63" t="n">
        <v>0</v>
      </c>
      <c r="M63" t="inlineStr">
        <is>
          <t>Built in</t>
        </is>
      </c>
    </row>
    <row r="64">
      <c r="B64" t="n">
        <v>46</v>
      </c>
      <c r="C64" t="inlineStr">
        <is>
          <t>Yes</t>
        </is>
      </c>
      <c r="D64" t="inlineStr">
        <is>
          <t>Merchant</t>
        </is>
      </c>
      <c r="E64" t="inlineStr">
        <is>
          <t>Contains</t>
        </is>
      </c>
      <c r="F64" t="inlineStr">
        <is>
          <t>PIZZA</t>
        </is>
      </c>
      <c r="G64" s="19" t="n"/>
      <c r="H64" s="19" t="n"/>
      <c r="I64" t="inlineStr">
        <is>
          <t>Money out</t>
        </is>
      </c>
      <c r="J64" t="inlineStr">
        <is>
          <t>Restaurants &amp; Takeout</t>
        </is>
      </c>
      <c r="L64" t="n">
        <v>0</v>
      </c>
      <c r="M64" t="inlineStr">
        <is>
          <t>Built in</t>
        </is>
      </c>
    </row>
    <row r="65">
      <c r="B65" t="n">
        <v>46</v>
      </c>
      <c r="C65" t="inlineStr">
        <is>
          <t>Yes</t>
        </is>
      </c>
      <c r="D65" t="inlineStr">
        <is>
          <t>Merchant</t>
        </is>
      </c>
      <c r="E65" t="inlineStr">
        <is>
          <t>Contains</t>
        </is>
      </c>
      <c r="F65" t="inlineStr">
        <is>
          <t>SKIPTHEDISHES</t>
        </is>
      </c>
      <c r="G65" s="19" t="n"/>
      <c r="H65" s="19" t="n"/>
      <c r="I65" t="inlineStr">
        <is>
          <t>Money out</t>
        </is>
      </c>
      <c r="J65" t="inlineStr">
        <is>
          <t>Restaurants &amp; Takeout</t>
        </is>
      </c>
      <c r="L65" t="n">
        <v>0</v>
      </c>
      <c r="M65" t="inlineStr">
        <is>
          <t>Built in</t>
        </is>
      </c>
    </row>
    <row r="66">
      <c r="B66" t="n">
        <v>46</v>
      </c>
      <c r="C66" t="inlineStr">
        <is>
          <t>Yes</t>
        </is>
      </c>
      <c r="D66" t="inlineStr">
        <is>
          <t>Merchant</t>
        </is>
      </c>
      <c r="E66" t="inlineStr">
        <is>
          <t>Contains</t>
        </is>
      </c>
      <c r="F66" t="inlineStr">
        <is>
          <t>UBER EATS</t>
        </is>
      </c>
      <c r="G66" s="19" t="n"/>
      <c r="H66" s="19" t="n"/>
      <c r="I66" t="inlineStr">
        <is>
          <t>Money out</t>
        </is>
      </c>
      <c r="J66" t="inlineStr">
        <is>
          <t>Restaurants &amp; Takeout</t>
        </is>
      </c>
      <c r="L66" t="n">
        <v>0</v>
      </c>
      <c r="M66" t="inlineStr">
        <is>
          <t>Built in</t>
        </is>
      </c>
    </row>
    <row r="67">
      <c r="B67" t="n">
        <v>46</v>
      </c>
      <c r="C67" t="inlineStr">
        <is>
          <t>Yes</t>
        </is>
      </c>
      <c r="D67" t="inlineStr">
        <is>
          <t>Merchant</t>
        </is>
      </c>
      <c r="E67" t="inlineStr">
        <is>
          <t>Contains</t>
        </is>
      </c>
      <c r="F67" t="inlineStr">
        <is>
          <t>DOORDASH</t>
        </is>
      </c>
      <c r="G67" s="19" t="n"/>
      <c r="H67" s="19" t="n"/>
      <c r="I67" t="inlineStr">
        <is>
          <t>Money out</t>
        </is>
      </c>
      <c r="J67" t="inlineStr">
        <is>
          <t>Restaurants &amp; Takeout</t>
        </is>
      </c>
      <c r="L67" t="n">
        <v>0</v>
      </c>
      <c r="M67" t="inlineStr">
        <is>
          <t>Built in</t>
        </is>
      </c>
    </row>
    <row r="68">
      <c r="B68" t="n">
        <v>46</v>
      </c>
      <c r="C68" t="inlineStr">
        <is>
          <t>Yes</t>
        </is>
      </c>
      <c r="D68" t="inlineStr">
        <is>
          <t>Merchant</t>
        </is>
      </c>
      <c r="E68" t="inlineStr">
        <is>
          <t>Contains</t>
        </is>
      </c>
      <c r="F68" t="inlineStr">
        <is>
          <t>RESTAURANT</t>
        </is>
      </c>
      <c r="G68" s="19" t="n"/>
      <c r="H68" s="19" t="n"/>
      <c r="I68" t="inlineStr">
        <is>
          <t>Money out</t>
        </is>
      </c>
      <c r="J68" t="inlineStr">
        <is>
          <t>Restaurants &amp; Takeout</t>
        </is>
      </c>
      <c r="L68" t="n">
        <v>0</v>
      </c>
      <c r="M68" t="inlineStr">
        <is>
          <t>Built in</t>
        </is>
      </c>
    </row>
    <row r="69">
      <c r="B69" t="n">
        <v>46</v>
      </c>
      <c r="C69" t="inlineStr">
        <is>
          <t>Yes</t>
        </is>
      </c>
      <c r="D69" t="inlineStr">
        <is>
          <t>Merchant</t>
        </is>
      </c>
      <c r="E69" t="inlineStr">
        <is>
          <t>Contains</t>
        </is>
      </c>
      <c r="F69" t="inlineStr">
        <is>
          <t>SUSHI</t>
        </is>
      </c>
      <c r="G69" s="19" t="n"/>
      <c r="H69" s="19" t="n"/>
      <c r="I69" t="inlineStr">
        <is>
          <t>Money out</t>
        </is>
      </c>
      <c r="J69" t="inlineStr">
        <is>
          <t>Restaurants &amp; Takeout</t>
        </is>
      </c>
      <c r="L69" t="n">
        <v>0</v>
      </c>
      <c r="M69" t="inlineStr">
        <is>
          <t>Built in</t>
        </is>
      </c>
    </row>
    <row r="70">
      <c r="B70" t="n">
        <v>46</v>
      </c>
      <c r="C70" t="inlineStr">
        <is>
          <t>Yes</t>
        </is>
      </c>
      <c r="D70" t="inlineStr">
        <is>
          <t>Merchant</t>
        </is>
      </c>
      <c r="E70" t="inlineStr">
        <is>
          <t>Contains</t>
        </is>
      </c>
      <c r="F70" t="inlineStr">
        <is>
          <t>CAFE</t>
        </is>
      </c>
      <c r="G70" s="19" t="n"/>
      <c r="H70" s="19" t="n"/>
      <c r="I70" t="inlineStr">
        <is>
          <t>Money out</t>
        </is>
      </c>
      <c r="J70" t="inlineStr">
        <is>
          <t>Restaurants &amp; Takeout</t>
        </is>
      </c>
      <c r="L70" t="n">
        <v>0</v>
      </c>
      <c r="M70" t="inlineStr">
        <is>
          <t>Built in</t>
        </is>
      </c>
    </row>
    <row r="71">
      <c r="B71" t="n">
        <v>47</v>
      </c>
      <c r="C71" t="inlineStr">
        <is>
          <t>Yes</t>
        </is>
      </c>
      <c r="D71" t="inlineStr">
        <is>
          <t>Merchant</t>
        </is>
      </c>
      <c r="E71" t="inlineStr">
        <is>
          <t>Contains</t>
        </is>
      </c>
      <c r="F71" t="inlineStr">
        <is>
          <t>LCBO</t>
        </is>
      </c>
      <c r="G71" s="19" t="n"/>
      <c r="H71" s="19" t="n"/>
      <c r="I71" t="inlineStr">
        <is>
          <t>Money out</t>
        </is>
      </c>
      <c r="J71" t="inlineStr">
        <is>
          <t>Alcohol</t>
        </is>
      </c>
      <c r="L71" t="n">
        <v>0</v>
      </c>
      <c r="M71" t="inlineStr">
        <is>
          <t>Built in</t>
        </is>
      </c>
    </row>
    <row r="72">
      <c r="B72" t="n">
        <v>47</v>
      </c>
      <c r="C72" t="inlineStr">
        <is>
          <t>Yes</t>
        </is>
      </c>
      <c r="D72" t="inlineStr">
        <is>
          <t>Merchant</t>
        </is>
      </c>
      <c r="E72" t="inlineStr">
        <is>
          <t>Word</t>
        </is>
      </c>
      <c r="F72" t="inlineStr">
        <is>
          <t>SAQ</t>
        </is>
      </c>
      <c r="G72" s="19" t="n"/>
      <c r="H72" s="19" t="n"/>
      <c r="I72" t="inlineStr">
        <is>
          <t>Money out</t>
        </is>
      </c>
      <c r="J72" t="inlineStr">
        <is>
          <t>Alcohol</t>
        </is>
      </c>
      <c r="L72" t="n">
        <v>0</v>
      </c>
      <c r="M72" t="inlineStr">
        <is>
          <t>Built in</t>
        </is>
      </c>
    </row>
    <row r="73">
      <c r="B73" t="n">
        <v>47</v>
      </c>
      <c r="C73" t="inlineStr">
        <is>
          <t>Yes</t>
        </is>
      </c>
      <c r="D73" t="inlineStr">
        <is>
          <t>Merchant</t>
        </is>
      </c>
      <c r="E73" t="inlineStr">
        <is>
          <t>Contains</t>
        </is>
      </c>
      <c r="F73" t="inlineStr">
        <is>
          <t>BC LIQUOR</t>
        </is>
      </c>
      <c r="G73" s="19" t="n"/>
      <c r="H73" s="19" t="n"/>
      <c r="I73" t="inlineStr">
        <is>
          <t>Money out</t>
        </is>
      </c>
      <c r="J73" t="inlineStr">
        <is>
          <t>Alcohol</t>
        </is>
      </c>
      <c r="L73" t="n">
        <v>0</v>
      </c>
      <c r="M73" t="inlineStr">
        <is>
          <t>Built in</t>
        </is>
      </c>
    </row>
    <row r="74">
      <c r="B74" t="n">
        <v>47</v>
      </c>
      <c r="C74" t="inlineStr">
        <is>
          <t>Yes</t>
        </is>
      </c>
      <c r="D74" t="inlineStr">
        <is>
          <t>Merchant</t>
        </is>
      </c>
      <c r="E74" t="inlineStr">
        <is>
          <t>Contains</t>
        </is>
      </c>
      <c r="F74" t="inlineStr">
        <is>
          <t>BEER STORE</t>
        </is>
      </c>
      <c r="G74" s="19" t="n"/>
      <c r="H74" s="19" t="n"/>
      <c r="I74" t="inlineStr">
        <is>
          <t>Money out</t>
        </is>
      </c>
      <c r="J74" t="inlineStr">
        <is>
          <t>Alcohol</t>
        </is>
      </c>
      <c r="L74" t="n">
        <v>0</v>
      </c>
      <c r="M74" t="inlineStr">
        <is>
          <t>Built in</t>
        </is>
      </c>
    </row>
    <row r="75">
      <c r="B75" t="n">
        <v>47</v>
      </c>
      <c r="C75" t="inlineStr">
        <is>
          <t>Yes</t>
        </is>
      </c>
      <c r="D75" t="inlineStr">
        <is>
          <t>Merchant</t>
        </is>
      </c>
      <c r="E75" t="inlineStr">
        <is>
          <t>Word</t>
        </is>
      </c>
      <c r="F75" t="inlineStr">
        <is>
          <t>ANBL</t>
        </is>
      </c>
      <c r="G75" s="19" t="n"/>
      <c r="H75" s="19" t="n"/>
      <c r="I75" t="inlineStr">
        <is>
          <t>Money out</t>
        </is>
      </c>
      <c r="J75" t="inlineStr">
        <is>
          <t>Alcohol</t>
        </is>
      </c>
      <c r="L75" t="n">
        <v>0</v>
      </c>
      <c r="M75" t="inlineStr">
        <is>
          <t>Built in</t>
        </is>
      </c>
    </row>
    <row r="76">
      <c r="B76" t="n">
        <v>48</v>
      </c>
      <c r="C76" t="inlineStr">
        <is>
          <t>Yes</t>
        </is>
      </c>
      <c r="D76" t="inlineStr">
        <is>
          <t>Merchant</t>
        </is>
      </c>
      <c r="E76" t="inlineStr">
        <is>
          <t>Word</t>
        </is>
      </c>
      <c r="F76" t="inlineStr">
        <is>
          <t>OCS</t>
        </is>
      </c>
      <c r="G76" s="19" t="n"/>
      <c r="H76" s="19" t="n"/>
      <c r="I76" t="inlineStr">
        <is>
          <t>Money out</t>
        </is>
      </c>
      <c r="J76" t="inlineStr">
        <is>
          <t>Cannabis</t>
        </is>
      </c>
      <c r="L76" t="n">
        <v>0</v>
      </c>
      <c r="M76" t="inlineStr">
        <is>
          <t>Built in</t>
        </is>
      </c>
    </row>
    <row r="77">
      <c r="B77" t="n">
        <v>48</v>
      </c>
      <c r="C77" t="inlineStr">
        <is>
          <t>Yes</t>
        </is>
      </c>
      <c r="D77" t="inlineStr">
        <is>
          <t>Merchant</t>
        </is>
      </c>
      <c r="E77" t="inlineStr">
        <is>
          <t>Contains</t>
        </is>
      </c>
      <c r="F77" t="inlineStr">
        <is>
          <t>CANNABIS</t>
        </is>
      </c>
      <c r="G77" s="19" t="n"/>
      <c r="H77" s="19" t="n"/>
      <c r="I77" t="inlineStr">
        <is>
          <t>Money out</t>
        </is>
      </c>
      <c r="J77" t="inlineStr">
        <is>
          <t>Cannabis</t>
        </is>
      </c>
      <c r="L77" t="n">
        <v>0</v>
      </c>
      <c r="M77" t="inlineStr">
        <is>
          <t>Built in</t>
        </is>
      </c>
    </row>
    <row r="78">
      <c r="B78" t="n">
        <v>48</v>
      </c>
      <c r="C78" t="inlineStr">
        <is>
          <t>Yes</t>
        </is>
      </c>
      <c r="D78" t="inlineStr">
        <is>
          <t>Merchant</t>
        </is>
      </c>
      <c r="E78" t="inlineStr">
        <is>
          <t>Contains</t>
        </is>
      </c>
      <c r="F78" t="inlineStr">
        <is>
          <t>TOKYO SMOKE</t>
        </is>
      </c>
      <c r="G78" s="19" t="n"/>
      <c r="H78" s="19" t="n"/>
      <c r="I78" t="inlineStr">
        <is>
          <t>Money out</t>
        </is>
      </c>
      <c r="J78" t="inlineStr">
        <is>
          <t>Cannabis</t>
        </is>
      </c>
      <c r="L78" t="n">
        <v>0</v>
      </c>
      <c r="M78" t="inlineStr">
        <is>
          <t>Built in</t>
        </is>
      </c>
    </row>
    <row r="79">
      <c r="B79" t="n">
        <v>50</v>
      </c>
      <c r="C79" t="inlineStr">
        <is>
          <t>Yes</t>
        </is>
      </c>
      <c r="D79" t="inlineStr">
        <is>
          <t>Merchant</t>
        </is>
      </c>
      <c r="E79" t="inlineStr">
        <is>
          <t>Contains</t>
        </is>
      </c>
      <c r="F79" t="inlineStr">
        <is>
          <t>PETRO-CANADA</t>
        </is>
      </c>
      <c r="G79" s="19" t="n"/>
      <c r="H79" s="19" t="n"/>
      <c r="I79" t="inlineStr">
        <is>
          <t>Money out</t>
        </is>
      </c>
      <c r="J79" t="inlineStr">
        <is>
          <t>Fuel</t>
        </is>
      </c>
      <c r="L79" t="n">
        <v>0</v>
      </c>
      <c r="M79" t="inlineStr">
        <is>
          <t>Built in</t>
        </is>
      </c>
    </row>
    <row r="80">
      <c r="B80" t="n">
        <v>50</v>
      </c>
      <c r="C80" t="inlineStr">
        <is>
          <t>Yes</t>
        </is>
      </c>
      <c r="D80" t="inlineStr">
        <is>
          <t>Merchant</t>
        </is>
      </c>
      <c r="E80" t="inlineStr">
        <is>
          <t>Contains</t>
        </is>
      </c>
      <c r="F80" t="inlineStr">
        <is>
          <t>PETRO CANADA</t>
        </is>
      </c>
      <c r="G80" s="19" t="n"/>
      <c r="H80" s="19" t="n"/>
      <c r="I80" t="inlineStr">
        <is>
          <t>Money out</t>
        </is>
      </c>
      <c r="J80" t="inlineStr">
        <is>
          <t>Fuel</t>
        </is>
      </c>
      <c r="L80" t="n">
        <v>0</v>
      </c>
      <c r="M80" t="inlineStr">
        <is>
          <t>Built in</t>
        </is>
      </c>
    </row>
    <row r="81">
      <c r="B81" t="n">
        <v>50</v>
      </c>
      <c r="C81" t="inlineStr">
        <is>
          <t>Yes</t>
        </is>
      </c>
      <c r="D81" t="inlineStr">
        <is>
          <t>Merchant</t>
        </is>
      </c>
      <c r="E81" t="inlineStr">
        <is>
          <t>Word</t>
        </is>
      </c>
      <c r="F81" t="inlineStr">
        <is>
          <t>ESSO</t>
        </is>
      </c>
      <c r="G81" s="19" t="n"/>
      <c r="H81" s="19" t="n"/>
      <c r="I81" t="inlineStr">
        <is>
          <t>Money out</t>
        </is>
      </c>
      <c r="J81" t="inlineStr">
        <is>
          <t>Fuel</t>
        </is>
      </c>
      <c r="L81" t="n">
        <v>0</v>
      </c>
      <c r="M81" t="inlineStr">
        <is>
          <t>Built in</t>
        </is>
      </c>
    </row>
    <row r="82">
      <c r="B82" t="n">
        <v>50</v>
      </c>
      <c r="C82" t="inlineStr">
        <is>
          <t>Yes</t>
        </is>
      </c>
      <c r="D82" t="inlineStr">
        <is>
          <t>Merchant</t>
        </is>
      </c>
      <c r="E82" t="inlineStr">
        <is>
          <t>Word</t>
        </is>
      </c>
      <c r="F82" t="inlineStr">
        <is>
          <t>SHELL</t>
        </is>
      </c>
      <c r="G82" s="19" t="n"/>
      <c r="H82" s="19" t="n"/>
      <c r="I82" t="inlineStr">
        <is>
          <t>Money out</t>
        </is>
      </c>
      <c r="J82" t="inlineStr">
        <is>
          <t>Fuel</t>
        </is>
      </c>
      <c r="L82" t="n">
        <v>0</v>
      </c>
      <c r="M82" t="inlineStr">
        <is>
          <t>Built in</t>
        </is>
      </c>
    </row>
    <row r="83">
      <c r="B83" t="n">
        <v>50</v>
      </c>
      <c r="C83" t="inlineStr">
        <is>
          <t>Yes</t>
        </is>
      </c>
      <c r="D83" t="inlineStr">
        <is>
          <t>Merchant</t>
        </is>
      </c>
      <c r="E83" t="inlineStr">
        <is>
          <t>Word</t>
        </is>
      </c>
      <c r="F83" t="inlineStr">
        <is>
          <t>HUSKY</t>
        </is>
      </c>
      <c r="G83" s="19" t="n"/>
      <c r="H83" s="19" t="n"/>
      <c r="I83" t="inlineStr">
        <is>
          <t>Money out</t>
        </is>
      </c>
      <c r="J83" t="inlineStr">
        <is>
          <t>Fuel</t>
        </is>
      </c>
      <c r="L83" t="n">
        <v>0</v>
      </c>
      <c r="M83" t="inlineStr">
        <is>
          <t>Built in</t>
        </is>
      </c>
    </row>
    <row r="84">
      <c r="B84" t="n">
        <v>50</v>
      </c>
      <c r="C84" t="inlineStr">
        <is>
          <t>Yes</t>
        </is>
      </c>
      <c r="D84" t="inlineStr">
        <is>
          <t>Merchant</t>
        </is>
      </c>
      <c r="E84" t="inlineStr">
        <is>
          <t>Contains</t>
        </is>
      </c>
      <c r="F84" t="inlineStr">
        <is>
          <t>ULTRAMAR</t>
        </is>
      </c>
      <c r="G84" s="19" t="n"/>
      <c r="H84" s="19" t="n"/>
      <c r="I84" t="inlineStr">
        <is>
          <t>Money out</t>
        </is>
      </c>
      <c r="J84" t="inlineStr">
        <is>
          <t>Fuel</t>
        </is>
      </c>
      <c r="L84" t="n">
        <v>0</v>
      </c>
      <c r="M84" t="inlineStr">
        <is>
          <t>Built in</t>
        </is>
      </c>
    </row>
    <row r="85">
      <c r="B85" t="n">
        <v>50</v>
      </c>
      <c r="C85" t="inlineStr">
        <is>
          <t>Yes</t>
        </is>
      </c>
      <c r="D85" t="inlineStr">
        <is>
          <t>Merchant</t>
        </is>
      </c>
      <c r="E85" t="inlineStr">
        <is>
          <t>Contains</t>
        </is>
      </c>
      <c r="F85" t="inlineStr">
        <is>
          <t>CHEVRON</t>
        </is>
      </c>
      <c r="G85" s="19" t="n"/>
      <c r="H85" s="19" t="n"/>
      <c r="I85" t="inlineStr">
        <is>
          <t>Money out</t>
        </is>
      </c>
      <c r="J85" t="inlineStr">
        <is>
          <t>Fuel</t>
        </is>
      </c>
      <c r="L85" t="n">
        <v>0</v>
      </c>
      <c r="M85" t="inlineStr">
        <is>
          <t>Built in</t>
        </is>
      </c>
    </row>
    <row r="86">
      <c r="B86" t="n">
        <v>50</v>
      </c>
      <c r="C86" t="inlineStr">
        <is>
          <t>Yes</t>
        </is>
      </c>
      <c r="D86" t="inlineStr">
        <is>
          <t>Merchant</t>
        </is>
      </c>
      <c r="E86" t="inlineStr">
        <is>
          <t>Contains</t>
        </is>
      </c>
      <c r="F86" t="inlineStr">
        <is>
          <t>PIONEER</t>
        </is>
      </c>
      <c r="G86" s="19" t="n"/>
      <c r="H86" s="19" t="n"/>
      <c r="I86" t="inlineStr">
        <is>
          <t>Money out</t>
        </is>
      </c>
      <c r="J86" t="inlineStr">
        <is>
          <t>Fuel</t>
        </is>
      </c>
      <c r="L86" t="n">
        <v>0</v>
      </c>
      <c r="M86" t="inlineStr">
        <is>
          <t>Built in</t>
        </is>
      </c>
    </row>
    <row r="87">
      <c r="B87" t="n">
        <v>50</v>
      </c>
      <c r="C87" t="inlineStr">
        <is>
          <t>Yes</t>
        </is>
      </c>
      <c r="D87" t="inlineStr">
        <is>
          <t>Merchant</t>
        </is>
      </c>
      <c r="E87" t="inlineStr">
        <is>
          <t>Word</t>
        </is>
      </c>
      <c r="F87" t="inlineStr">
        <is>
          <t>MOBIL</t>
        </is>
      </c>
      <c r="G87" s="19" t="n"/>
      <c r="H87" s="19" t="n"/>
      <c r="I87" t="inlineStr">
        <is>
          <t>Money out</t>
        </is>
      </c>
      <c r="J87" t="inlineStr">
        <is>
          <t>Fuel</t>
        </is>
      </c>
      <c r="L87" t="n">
        <v>0</v>
      </c>
      <c r="M87" t="inlineStr">
        <is>
          <t>Built in</t>
        </is>
      </c>
    </row>
    <row r="88">
      <c r="B88" t="n">
        <v>51</v>
      </c>
      <c r="C88" t="inlineStr">
        <is>
          <t>Yes</t>
        </is>
      </c>
      <c r="D88" t="inlineStr">
        <is>
          <t>Merchant</t>
        </is>
      </c>
      <c r="E88" t="inlineStr">
        <is>
          <t>Contains</t>
        </is>
      </c>
      <c r="F88" t="inlineStr">
        <is>
          <t>PRESTO</t>
        </is>
      </c>
      <c r="G88" s="19" t="n"/>
      <c r="H88" s="19" t="n"/>
      <c r="I88" t="inlineStr">
        <is>
          <t>Money out</t>
        </is>
      </c>
      <c r="J88" t="inlineStr">
        <is>
          <t>Public Transit</t>
        </is>
      </c>
      <c r="L88" t="n">
        <v>0</v>
      </c>
      <c r="M88" t="inlineStr">
        <is>
          <t>Built in</t>
        </is>
      </c>
    </row>
    <row r="89">
      <c r="B89" t="n">
        <v>51</v>
      </c>
      <c r="C89" t="inlineStr">
        <is>
          <t>Yes</t>
        </is>
      </c>
      <c r="D89" t="inlineStr">
        <is>
          <t>Merchant</t>
        </is>
      </c>
      <c r="E89" t="inlineStr">
        <is>
          <t>Word</t>
        </is>
      </c>
      <c r="F89" t="inlineStr">
        <is>
          <t>TTC</t>
        </is>
      </c>
      <c r="G89" s="19" t="n"/>
      <c r="H89" s="19" t="n"/>
      <c r="I89" t="inlineStr">
        <is>
          <t>Money out</t>
        </is>
      </c>
      <c r="J89" t="inlineStr">
        <is>
          <t>Public Transit</t>
        </is>
      </c>
      <c r="L89" t="n">
        <v>0</v>
      </c>
      <c r="M89" t="inlineStr">
        <is>
          <t>Built in</t>
        </is>
      </c>
    </row>
    <row r="90">
      <c r="B90" t="n">
        <v>51</v>
      </c>
      <c r="C90" t="inlineStr">
        <is>
          <t>Yes</t>
        </is>
      </c>
      <c r="D90" t="inlineStr">
        <is>
          <t>Merchant</t>
        </is>
      </c>
      <c r="E90" t="inlineStr">
        <is>
          <t>Contains</t>
        </is>
      </c>
      <c r="F90" t="inlineStr">
        <is>
          <t>GO TRANSIT</t>
        </is>
      </c>
      <c r="G90" s="19" t="n"/>
      <c r="H90" s="19" t="n"/>
      <c r="I90" t="inlineStr">
        <is>
          <t>Money out</t>
        </is>
      </c>
      <c r="J90" t="inlineStr">
        <is>
          <t>Public Transit</t>
        </is>
      </c>
      <c r="L90" t="n">
        <v>0</v>
      </c>
      <c r="M90" t="inlineStr">
        <is>
          <t>Built in</t>
        </is>
      </c>
    </row>
    <row r="91">
      <c r="B91" t="n">
        <v>51</v>
      </c>
      <c r="C91" t="inlineStr">
        <is>
          <t>Yes</t>
        </is>
      </c>
      <c r="D91" t="inlineStr">
        <is>
          <t>Merchant</t>
        </is>
      </c>
      <c r="E91" t="inlineStr">
        <is>
          <t>Contains</t>
        </is>
      </c>
      <c r="F91" t="inlineStr">
        <is>
          <t>TRANSLINK</t>
        </is>
      </c>
      <c r="G91" s="19" t="n"/>
      <c r="H91" s="19" t="n"/>
      <c r="I91" t="inlineStr">
        <is>
          <t>Money out</t>
        </is>
      </c>
      <c r="J91" t="inlineStr">
        <is>
          <t>Public Transit</t>
        </is>
      </c>
      <c r="L91" t="n">
        <v>0</v>
      </c>
      <c r="M91" t="inlineStr">
        <is>
          <t>Built in</t>
        </is>
      </c>
    </row>
    <row r="92">
      <c r="B92" t="n">
        <v>51</v>
      </c>
      <c r="C92" t="inlineStr">
        <is>
          <t>Yes</t>
        </is>
      </c>
      <c r="D92" t="inlineStr">
        <is>
          <t>Merchant</t>
        </is>
      </c>
      <c r="E92" t="inlineStr">
        <is>
          <t>Contains</t>
        </is>
      </c>
      <c r="F92" t="inlineStr">
        <is>
          <t>COMPASS CARD</t>
        </is>
      </c>
      <c r="G92" s="19" t="n"/>
      <c r="H92" s="19" t="n"/>
      <c r="I92" t="inlineStr">
        <is>
          <t>Money out</t>
        </is>
      </c>
      <c r="J92" t="inlineStr">
        <is>
          <t>Public Transit</t>
        </is>
      </c>
      <c r="L92" t="n">
        <v>0</v>
      </c>
      <c r="M92" t="inlineStr">
        <is>
          <t>Built in</t>
        </is>
      </c>
    </row>
    <row r="93">
      <c r="B93" t="n">
        <v>51</v>
      </c>
      <c r="C93" t="inlineStr">
        <is>
          <t>Yes</t>
        </is>
      </c>
      <c r="D93" t="inlineStr">
        <is>
          <t>Merchant</t>
        </is>
      </c>
      <c r="E93" t="inlineStr">
        <is>
          <t>Word</t>
        </is>
      </c>
      <c r="F93" t="inlineStr">
        <is>
          <t>STM</t>
        </is>
      </c>
      <c r="G93" s="19" t="n"/>
      <c r="H93" s="19" t="n"/>
      <c r="I93" t="inlineStr">
        <is>
          <t>Money out</t>
        </is>
      </c>
      <c r="J93" t="inlineStr">
        <is>
          <t>Public Transit</t>
        </is>
      </c>
      <c r="L93" t="n">
        <v>0</v>
      </c>
      <c r="M93" t="inlineStr">
        <is>
          <t>Built in</t>
        </is>
      </c>
    </row>
    <row r="94">
      <c r="B94" t="n">
        <v>51</v>
      </c>
      <c r="C94" t="inlineStr">
        <is>
          <t>Yes</t>
        </is>
      </c>
      <c r="D94" t="inlineStr">
        <is>
          <t>Merchant</t>
        </is>
      </c>
      <c r="E94" t="inlineStr">
        <is>
          <t>Word</t>
        </is>
      </c>
      <c r="F94" t="inlineStr">
        <is>
          <t>OPUS</t>
        </is>
      </c>
      <c r="G94" s="19" t="n"/>
      <c r="H94" s="19" t="n"/>
      <c r="I94" t="inlineStr">
        <is>
          <t>Money out</t>
        </is>
      </c>
      <c r="J94" t="inlineStr">
        <is>
          <t>Public Transit</t>
        </is>
      </c>
      <c r="L94" t="n">
        <v>0</v>
      </c>
      <c r="M94" t="inlineStr">
        <is>
          <t>Built in</t>
        </is>
      </c>
    </row>
    <row r="95">
      <c r="B95" t="n">
        <v>51</v>
      </c>
      <c r="C95" t="inlineStr">
        <is>
          <t>Yes</t>
        </is>
      </c>
      <c r="D95" t="inlineStr">
        <is>
          <t>Merchant</t>
        </is>
      </c>
      <c r="E95" t="inlineStr">
        <is>
          <t>Contains</t>
        </is>
      </c>
      <c r="F95" t="inlineStr">
        <is>
          <t>VIA RAIL</t>
        </is>
      </c>
      <c r="G95" s="19" t="n"/>
      <c r="H95" s="19" t="n"/>
      <c r="I95" t="inlineStr">
        <is>
          <t>Money out</t>
        </is>
      </c>
      <c r="J95" t="inlineStr">
        <is>
          <t>Public Transit</t>
        </is>
      </c>
      <c r="L95" t="n">
        <v>0</v>
      </c>
      <c r="M95" t="inlineStr">
        <is>
          <t>Built in</t>
        </is>
      </c>
    </row>
    <row r="96">
      <c r="B96" t="n">
        <v>52</v>
      </c>
      <c r="C96" t="inlineStr">
        <is>
          <t>Yes</t>
        </is>
      </c>
      <c r="D96" t="inlineStr">
        <is>
          <t>Merchant</t>
        </is>
      </c>
      <c r="E96" t="inlineStr">
        <is>
          <t>Contains</t>
        </is>
      </c>
      <c r="F96" t="inlineStr">
        <is>
          <t>UBER</t>
        </is>
      </c>
      <c r="G96" s="19" t="n"/>
      <c r="H96" s="19" t="n"/>
      <c r="I96" t="inlineStr">
        <is>
          <t>Money out</t>
        </is>
      </c>
      <c r="J96" t="inlineStr">
        <is>
          <t>Taxi &amp; Rideshare</t>
        </is>
      </c>
      <c r="L96" t="n">
        <v>0</v>
      </c>
      <c r="M96" t="inlineStr">
        <is>
          <t>Built in</t>
        </is>
      </c>
    </row>
    <row r="97">
      <c r="B97" t="n">
        <v>52</v>
      </c>
      <c r="C97" t="inlineStr">
        <is>
          <t>Yes</t>
        </is>
      </c>
      <c r="D97" t="inlineStr">
        <is>
          <t>Merchant</t>
        </is>
      </c>
      <c r="E97" t="inlineStr">
        <is>
          <t>Contains</t>
        </is>
      </c>
      <c r="F97" t="inlineStr">
        <is>
          <t>LYFT</t>
        </is>
      </c>
      <c r="G97" s="19" t="n"/>
      <c r="H97" s="19" t="n"/>
      <c r="I97" t="inlineStr">
        <is>
          <t>Money out</t>
        </is>
      </c>
      <c r="J97" t="inlineStr">
        <is>
          <t>Taxi &amp; Rideshare</t>
        </is>
      </c>
      <c r="L97" t="n">
        <v>0</v>
      </c>
      <c r="M97" t="inlineStr">
        <is>
          <t>Built in</t>
        </is>
      </c>
    </row>
    <row r="98">
      <c r="B98" t="n">
        <v>52</v>
      </c>
      <c r="C98" t="inlineStr">
        <is>
          <t>Yes</t>
        </is>
      </c>
      <c r="D98" t="inlineStr">
        <is>
          <t>Merchant</t>
        </is>
      </c>
      <c r="E98" t="inlineStr">
        <is>
          <t>Contains</t>
        </is>
      </c>
      <c r="F98" t="inlineStr">
        <is>
          <t>TAXI</t>
        </is>
      </c>
      <c r="G98" s="19" t="n"/>
      <c r="H98" s="19" t="n"/>
      <c r="I98" t="inlineStr">
        <is>
          <t>Money out</t>
        </is>
      </c>
      <c r="J98" t="inlineStr">
        <is>
          <t>Taxi &amp; Rideshare</t>
        </is>
      </c>
      <c r="L98" t="n">
        <v>0</v>
      </c>
      <c r="M98" t="inlineStr">
        <is>
          <t>Built in</t>
        </is>
      </c>
    </row>
    <row r="99">
      <c r="B99" t="n">
        <v>53</v>
      </c>
      <c r="C99" t="inlineStr">
        <is>
          <t>Yes</t>
        </is>
      </c>
      <c r="D99" t="inlineStr">
        <is>
          <t>Merchant</t>
        </is>
      </c>
      <c r="E99" t="inlineStr">
        <is>
          <t>Contains</t>
        </is>
      </c>
      <c r="F99" t="inlineStr">
        <is>
          <t>407 ETR</t>
        </is>
      </c>
      <c r="G99" s="19" t="n"/>
      <c r="H99" s="19" t="n"/>
      <c r="I99" t="inlineStr">
        <is>
          <t>Money out</t>
        </is>
      </c>
      <c r="J99" t="inlineStr">
        <is>
          <t>Parking &amp; Tolls</t>
        </is>
      </c>
      <c r="L99" t="n">
        <v>0</v>
      </c>
      <c r="M99" t="inlineStr">
        <is>
          <t>Built in</t>
        </is>
      </c>
    </row>
    <row r="100">
      <c r="B100" t="n">
        <v>53</v>
      </c>
      <c r="C100" t="inlineStr">
        <is>
          <t>Yes</t>
        </is>
      </c>
      <c r="D100" t="inlineStr">
        <is>
          <t>Merchant</t>
        </is>
      </c>
      <c r="E100" t="inlineStr">
        <is>
          <t>Contains</t>
        </is>
      </c>
      <c r="F100" t="inlineStr">
        <is>
          <t>GREEN P</t>
        </is>
      </c>
      <c r="G100" s="19" t="n"/>
      <c r="H100" s="19" t="n"/>
      <c r="I100" t="inlineStr">
        <is>
          <t>Money out</t>
        </is>
      </c>
      <c r="J100" t="inlineStr">
        <is>
          <t>Parking &amp; Tolls</t>
        </is>
      </c>
      <c r="L100" t="n">
        <v>0</v>
      </c>
      <c r="M100" t="inlineStr">
        <is>
          <t>Built in</t>
        </is>
      </c>
    </row>
    <row r="101">
      <c r="B101" t="n">
        <v>53</v>
      </c>
      <c r="C101" t="inlineStr">
        <is>
          <t>Yes</t>
        </is>
      </c>
      <c r="D101" t="inlineStr">
        <is>
          <t>Merchant</t>
        </is>
      </c>
      <c r="E101" t="inlineStr">
        <is>
          <t>Contains</t>
        </is>
      </c>
      <c r="F101" t="inlineStr">
        <is>
          <t>IMPARK</t>
        </is>
      </c>
      <c r="G101" s="19" t="n"/>
      <c r="H101" s="19" t="n"/>
      <c r="I101" t="inlineStr">
        <is>
          <t>Money out</t>
        </is>
      </c>
      <c r="J101" t="inlineStr">
        <is>
          <t>Parking &amp; Tolls</t>
        </is>
      </c>
      <c r="L101" t="n">
        <v>0</v>
      </c>
      <c r="M101" t="inlineStr">
        <is>
          <t>Built in</t>
        </is>
      </c>
    </row>
    <row r="102">
      <c r="B102" t="n">
        <v>53</v>
      </c>
      <c r="C102" t="inlineStr">
        <is>
          <t>Yes</t>
        </is>
      </c>
      <c r="D102" t="inlineStr">
        <is>
          <t>Merchant</t>
        </is>
      </c>
      <c r="E102" t="inlineStr">
        <is>
          <t>Contains</t>
        </is>
      </c>
      <c r="F102" t="inlineStr">
        <is>
          <t>PARKING</t>
        </is>
      </c>
      <c r="G102" s="19" t="n"/>
      <c r="H102" s="19" t="n"/>
      <c r="I102" t="inlineStr">
        <is>
          <t>Money out</t>
        </is>
      </c>
      <c r="J102" t="inlineStr">
        <is>
          <t>Parking &amp; Tolls</t>
        </is>
      </c>
      <c r="L102" t="n">
        <v>0</v>
      </c>
      <c r="M102" t="inlineStr">
        <is>
          <t>Built in</t>
        </is>
      </c>
    </row>
    <row r="103">
      <c r="B103" t="n">
        <v>54</v>
      </c>
      <c r="C103" t="inlineStr">
        <is>
          <t>Yes</t>
        </is>
      </c>
      <c r="D103" t="inlineStr">
        <is>
          <t>Merchant</t>
        </is>
      </c>
      <c r="E103" t="inlineStr">
        <is>
          <t>Contains</t>
        </is>
      </c>
      <c r="F103" t="inlineStr">
        <is>
          <t>CANADIAN TIRE</t>
        </is>
      </c>
      <c r="G103" s="19" t="n"/>
      <c r="H103" s="19" t="n"/>
      <c r="I103" t="inlineStr">
        <is>
          <t>Money out</t>
        </is>
      </c>
      <c r="J103" t="inlineStr">
        <is>
          <t>Auto Maintenance</t>
        </is>
      </c>
      <c r="L103" t="n">
        <v>0</v>
      </c>
      <c r="M103" t="inlineStr">
        <is>
          <t>Built in</t>
        </is>
      </c>
    </row>
    <row r="104">
      <c r="B104" t="n">
        <v>54</v>
      </c>
      <c r="C104" t="inlineStr">
        <is>
          <t>Yes</t>
        </is>
      </c>
      <c r="D104" t="inlineStr">
        <is>
          <t>Merchant</t>
        </is>
      </c>
      <c r="E104" t="inlineStr">
        <is>
          <t>Contains</t>
        </is>
      </c>
      <c r="F104" t="inlineStr">
        <is>
          <t>MR LUBE</t>
        </is>
      </c>
      <c r="G104" s="19" t="n"/>
      <c r="H104" s="19" t="n"/>
      <c r="I104" t="inlineStr">
        <is>
          <t>Money out</t>
        </is>
      </c>
      <c r="J104" t="inlineStr">
        <is>
          <t>Auto Maintenance</t>
        </is>
      </c>
      <c r="L104" t="n">
        <v>0</v>
      </c>
      <c r="M104" t="inlineStr">
        <is>
          <t>Built in</t>
        </is>
      </c>
    </row>
    <row r="105">
      <c r="B105" t="n">
        <v>54</v>
      </c>
      <c r="C105" t="inlineStr">
        <is>
          <t>Yes</t>
        </is>
      </c>
      <c r="D105" t="inlineStr">
        <is>
          <t>Merchant</t>
        </is>
      </c>
      <c r="E105" t="inlineStr">
        <is>
          <t>Contains</t>
        </is>
      </c>
      <c r="F105" t="inlineStr">
        <is>
          <t>KAL TIRE</t>
        </is>
      </c>
      <c r="G105" s="19" t="n"/>
      <c r="H105" s="19" t="n"/>
      <c r="I105" t="inlineStr">
        <is>
          <t>Money out</t>
        </is>
      </c>
      <c r="J105" t="inlineStr">
        <is>
          <t>Auto Maintenance</t>
        </is>
      </c>
      <c r="L105" t="n">
        <v>0</v>
      </c>
      <c r="M105" t="inlineStr">
        <is>
          <t>Built in</t>
        </is>
      </c>
    </row>
    <row r="106">
      <c r="B106" t="n">
        <v>54</v>
      </c>
      <c r="C106" t="inlineStr">
        <is>
          <t>Yes</t>
        </is>
      </c>
      <c r="D106" t="inlineStr">
        <is>
          <t>Merchant</t>
        </is>
      </c>
      <c r="E106" t="inlineStr">
        <is>
          <t>Contains</t>
        </is>
      </c>
      <c r="F106" t="inlineStr">
        <is>
          <t>SERVICE ONTARIO</t>
        </is>
      </c>
      <c r="G106" s="19" t="n"/>
      <c r="H106" s="19" t="n"/>
      <c r="I106" t="inlineStr">
        <is>
          <t>Money out</t>
        </is>
      </c>
      <c r="J106" t="inlineStr">
        <is>
          <t>Vehicle Registration</t>
        </is>
      </c>
      <c r="L106" t="n">
        <v>0</v>
      </c>
      <c r="M106" t="inlineStr">
        <is>
          <t>Built in</t>
        </is>
      </c>
    </row>
    <row r="107">
      <c r="B107" t="n">
        <v>54</v>
      </c>
      <c r="C107" t="inlineStr">
        <is>
          <t>Yes</t>
        </is>
      </c>
      <c r="D107" t="inlineStr">
        <is>
          <t>Merchant</t>
        </is>
      </c>
      <c r="E107" t="inlineStr">
        <is>
          <t>Contains</t>
        </is>
      </c>
      <c r="F107" t="inlineStr">
        <is>
          <t>SAAQ</t>
        </is>
      </c>
      <c r="G107" s="19" t="n"/>
      <c r="H107" s="19" t="n"/>
      <c r="I107" t="inlineStr">
        <is>
          <t>Money out</t>
        </is>
      </c>
      <c r="J107" t="inlineStr">
        <is>
          <t>Vehicle Registration</t>
        </is>
      </c>
      <c r="L107" t="n">
        <v>0</v>
      </c>
      <c r="M107" t="inlineStr">
        <is>
          <t>Built in</t>
        </is>
      </c>
    </row>
    <row r="108">
      <c r="B108" t="n">
        <v>54</v>
      </c>
      <c r="C108" t="inlineStr">
        <is>
          <t>Yes</t>
        </is>
      </c>
      <c r="D108" t="inlineStr">
        <is>
          <t>Merchant</t>
        </is>
      </c>
      <c r="E108" t="inlineStr">
        <is>
          <t>Contains</t>
        </is>
      </c>
      <c r="F108" t="inlineStr">
        <is>
          <t>ICBC</t>
        </is>
      </c>
      <c r="G108" s="19" t="n"/>
      <c r="H108" s="19" t="n"/>
      <c r="I108" t="inlineStr">
        <is>
          <t>Money out</t>
        </is>
      </c>
      <c r="J108" t="inlineStr">
        <is>
          <t>Auto Insurance</t>
        </is>
      </c>
      <c r="L108" t="n">
        <v>0</v>
      </c>
      <c r="M108" t="inlineStr">
        <is>
          <t>Built in</t>
        </is>
      </c>
    </row>
    <row r="109">
      <c r="B109" t="n">
        <v>55</v>
      </c>
      <c r="C109" t="inlineStr">
        <is>
          <t>Yes</t>
        </is>
      </c>
      <c r="D109" t="inlineStr">
        <is>
          <t>Merchant</t>
        </is>
      </c>
      <c r="E109" t="inlineStr">
        <is>
          <t>Contains</t>
        </is>
      </c>
      <c r="F109" t="inlineStr">
        <is>
          <t>INTACT INSURANCE</t>
        </is>
      </c>
      <c r="G109" s="19" t="n"/>
      <c r="H109" s="19" t="n"/>
      <c r="I109" t="inlineStr">
        <is>
          <t>Money out</t>
        </is>
      </c>
      <c r="J109" t="inlineStr">
        <is>
          <t>Auto Insurance</t>
        </is>
      </c>
      <c r="L109" t="n">
        <v>0</v>
      </c>
      <c r="M109" t="inlineStr">
        <is>
          <t>Built in</t>
        </is>
      </c>
    </row>
    <row r="110">
      <c r="B110" t="n">
        <v>55</v>
      </c>
      <c r="C110" t="inlineStr">
        <is>
          <t>Yes</t>
        </is>
      </c>
      <c r="D110" t="inlineStr">
        <is>
          <t>Merchant</t>
        </is>
      </c>
      <c r="E110" t="inlineStr">
        <is>
          <t>Contains</t>
        </is>
      </c>
      <c r="F110" t="inlineStr">
        <is>
          <t>BELAIRDIRECT</t>
        </is>
      </c>
      <c r="G110" s="19" t="n"/>
      <c r="H110" s="19" t="n"/>
      <c r="I110" t="inlineStr">
        <is>
          <t>Money out</t>
        </is>
      </c>
      <c r="J110" t="inlineStr">
        <is>
          <t>Auto Insurance</t>
        </is>
      </c>
      <c r="L110" t="n">
        <v>0</v>
      </c>
      <c r="M110" t="inlineStr">
        <is>
          <t>Built in</t>
        </is>
      </c>
    </row>
    <row r="111">
      <c r="B111" t="n">
        <v>55</v>
      </c>
      <c r="C111" t="inlineStr">
        <is>
          <t>Yes</t>
        </is>
      </c>
      <c r="D111" t="inlineStr">
        <is>
          <t>Merchant</t>
        </is>
      </c>
      <c r="E111" t="inlineStr">
        <is>
          <t>Contains</t>
        </is>
      </c>
      <c r="F111" t="inlineStr">
        <is>
          <t>TD INSURANCE</t>
        </is>
      </c>
      <c r="G111" s="19" t="n"/>
      <c r="H111" s="19" t="n"/>
      <c r="I111" t="inlineStr">
        <is>
          <t>Money out</t>
        </is>
      </c>
      <c r="J111" t="inlineStr">
        <is>
          <t>Auto Insurance</t>
        </is>
      </c>
      <c r="L111" t="n">
        <v>0</v>
      </c>
      <c r="M111" t="inlineStr">
        <is>
          <t>Built in</t>
        </is>
      </c>
    </row>
    <row r="112">
      <c r="B112" t="n">
        <v>55</v>
      </c>
      <c r="C112" t="inlineStr">
        <is>
          <t>Yes</t>
        </is>
      </c>
      <c r="D112" t="inlineStr">
        <is>
          <t>Merchant</t>
        </is>
      </c>
      <c r="E112" t="inlineStr">
        <is>
          <t>Contains</t>
        </is>
      </c>
      <c r="F112" t="inlineStr">
        <is>
          <t>DESJARDINS INSURANCE</t>
        </is>
      </c>
      <c r="G112" s="19" t="n"/>
      <c r="H112" s="19" t="n"/>
      <c r="I112" t="inlineStr">
        <is>
          <t>Money out</t>
        </is>
      </c>
      <c r="J112" t="inlineStr">
        <is>
          <t>Auto Insurance</t>
        </is>
      </c>
      <c r="L112" t="n">
        <v>0</v>
      </c>
      <c r="M112" t="inlineStr">
        <is>
          <t>Built in</t>
        </is>
      </c>
    </row>
    <row r="113">
      <c r="B113" t="n">
        <v>55</v>
      </c>
      <c r="C113" t="inlineStr">
        <is>
          <t>Yes</t>
        </is>
      </c>
      <c r="D113" t="inlineStr">
        <is>
          <t>Merchant</t>
        </is>
      </c>
      <c r="E113" t="inlineStr">
        <is>
          <t>Contains</t>
        </is>
      </c>
      <c r="F113" t="inlineStr">
        <is>
          <t>SONNET</t>
        </is>
      </c>
      <c r="G113" s="19" t="n"/>
      <c r="H113" s="19" t="n"/>
      <c r="I113" t="inlineStr">
        <is>
          <t>Money out</t>
        </is>
      </c>
      <c r="J113" t="inlineStr">
        <is>
          <t>Auto Insurance</t>
        </is>
      </c>
      <c r="L113" t="n">
        <v>0</v>
      </c>
      <c r="M113" t="inlineStr">
        <is>
          <t>Built in</t>
        </is>
      </c>
    </row>
    <row r="114">
      <c r="B114" t="n">
        <v>60</v>
      </c>
      <c r="C114" t="inlineStr">
        <is>
          <t>Yes</t>
        </is>
      </c>
      <c r="D114" t="inlineStr">
        <is>
          <t>Merchant</t>
        </is>
      </c>
      <c r="E114" t="inlineStr">
        <is>
          <t>Contains</t>
        </is>
      </c>
      <c r="F114" t="inlineStr">
        <is>
          <t>HYDRO</t>
        </is>
      </c>
      <c r="G114" s="19" t="n"/>
      <c r="H114" s="19" t="n"/>
      <c r="I114" t="inlineStr">
        <is>
          <t>Money out</t>
        </is>
      </c>
      <c r="J114" t="inlineStr">
        <is>
          <t>Electricity / Hydro</t>
        </is>
      </c>
      <c r="L114" t="n">
        <v>0</v>
      </c>
      <c r="M114" t="inlineStr">
        <is>
          <t>Built in</t>
        </is>
      </c>
    </row>
    <row r="115">
      <c r="B115" t="n">
        <v>60</v>
      </c>
      <c r="C115" t="inlineStr">
        <is>
          <t>Yes</t>
        </is>
      </c>
      <c r="D115" t="inlineStr">
        <is>
          <t>Merchant</t>
        </is>
      </c>
      <c r="E115" t="inlineStr">
        <is>
          <t>Contains</t>
        </is>
      </c>
      <c r="F115" t="inlineStr">
        <is>
          <t>BC HYDRO</t>
        </is>
      </c>
      <c r="G115" s="19" t="n"/>
      <c r="H115" s="19" t="n"/>
      <c r="I115" t="inlineStr">
        <is>
          <t>Money out</t>
        </is>
      </c>
      <c r="J115" t="inlineStr">
        <is>
          <t>Electricity / Hydro</t>
        </is>
      </c>
      <c r="L115" t="n">
        <v>0</v>
      </c>
      <c r="M115" t="inlineStr">
        <is>
          <t>Built in</t>
        </is>
      </c>
    </row>
    <row r="116">
      <c r="B116" t="n">
        <v>60</v>
      </c>
      <c r="C116" t="inlineStr">
        <is>
          <t>Yes</t>
        </is>
      </c>
      <c r="D116" t="inlineStr">
        <is>
          <t>Merchant</t>
        </is>
      </c>
      <c r="E116" t="inlineStr">
        <is>
          <t>Contains</t>
        </is>
      </c>
      <c r="F116" t="inlineStr">
        <is>
          <t>EPCOR</t>
        </is>
      </c>
      <c r="G116" s="19" t="n"/>
      <c r="H116" s="19" t="n"/>
      <c r="I116" t="inlineStr">
        <is>
          <t>Money out</t>
        </is>
      </c>
      <c r="J116" t="inlineStr">
        <is>
          <t>Electricity / Hydro</t>
        </is>
      </c>
      <c r="L116" t="n">
        <v>0</v>
      </c>
      <c r="M116" t="inlineStr">
        <is>
          <t>Built in</t>
        </is>
      </c>
    </row>
    <row r="117">
      <c r="B117" t="n">
        <v>60</v>
      </c>
      <c r="C117" t="inlineStr">
        <is>
          <t>Yes</t>
        </is>
      </c>
      <c r="D117" t="inlineStr">
        <is>
          <t>Merchant</t>
        </is>
      </c>
      <c r="E117" t="inlineStr">
        <is>
          <t>Contains</t>
        </is>
      </c>
      <c r="F117" t="inlineStr">
        <is>
          <t>SASKPOWER</t>
        </is>
      </c>
      <c r="G117" s="19" t="n"/>
      <c r="H117" s="19" t="n"/>
      <c r="I117" t="inlineStr">
        <is>
          <t>Money out</t>
        </is>
      </c>
      <c r="J117" t="inlineStr">
        <is>
          <t>Electricity / Hydro</t>
        </is>
      </c>
      <c r="L117" t="n">
        <v>0</v>
      </c>
      <c r="M117" t="inlineStr">
        <is>
          <t>Built in</t>
        </is>
      </c>
    </row>
    <row r="118">
      <c r="B118" t="n">
        <v>60</v>
      </c>
      <c r="C118" t="inlineStr">
        <is>
          <t>Yes</t>
        </is>
      </c>
      <c r="D118" t="inlineStr">
        <is>
          <t>Merchant</t>
        </is>
      </c>
      <c r="E118" t="inlineStr">
        <is>
          <t>Contains</t>
        </is>
      </c>
      <c r="F118" t="inlineStr">
        <is>
          <t>NB POWER</t>
        </is>
      </c>
      <c r="G118" s="19" t="n"/>
      <c r="H118" s="19" t="n"/>
      <c r="I118" t="inlineStr">
        <is>
          <t>Money out</t>
        </is>
      </c>
      <c r="J118" t="inlineStr">
        <is>
          <t>Electricity / Hydro</t>
        </is>
      </c>
      <c r="L118" t="n">
        <v>0</v>
      </c>
      <c r="M118" t="inlineStr">
        <is>
          <t>Built in</t>
        </is>
      </c>
    </row>
    <row r="119">
      <c r="B119" t="n">
        <v>61</v>
      </c>
      <c r="C119" t="inlineStr">
        <is>
          <t>Yes</t>
        </is>
      </c>
      <c r="D119" t="inlineStr">
        <is>
          <t>Merchant</t>
        </is>
      </c>
      <c r="E119" t="inlineStr">
        <is>
          <t>Contains</t>
        </is>
      </c>
      <c r="F119" t="inlineStr">
        <is>
          <t>ENBRIDGE</t>
        </is>
      </c>
      <c r="G119" s="19" t="n"/>
      <c r="H119" s="19" t="n"/>
      <c r="I119" t="inlineStr">
        <is>
          <t>Money out</t>
        </is>
      </c>
      <c r="J119" t="inlineStr">
        <is>
          <t>Natural Gas / Heating</t>
        </is>
      </c>
      <c r="L119" t="n">
        <v>0</v>
      </c>
      <c r="M119" t="inlineStr">
        <is>
          <t>Built in</t>
        </is>
      </c>
    </row>
    <row r="120">
      <c r="B120" t="n">
        <v>61</v>
      </c>
      <c r="C120" t="inlineStr">
        <is>
          <t>Yes</t>
        </is>
      </c>
      <c r="D120" t="inlineStr">
        <is>
          <t>Merchant</t>
        </is>
      </c>
      <c r="E120" t="inlineStr">
        <is>
          <t>Contains</t>
        </is>
      </c>
      <c r="F120" t="inlineStr">
        <is>
          <t>FORTISBC</t>
        </is>
      </c>
      <c r="G120" s="19" t="n"/>
      <c r="H120" s="19" t="n"/>
      <c r="I120" t="inlineStr">
        <is>
          <t>Money out</t>
        </is>
      </c>
      <c r="J120" t="inlineStr">
        <is>
          <t>Natural Gas / Heating</t>
        </is>
      </c>
      <c r="L120" t="n">
        <v>0</v>
      </c>
      <c r="M120" t="inlineStr">
        <is>
          <t>Built in</t>
        </is>
      </c>
    </row>
    <row r="121">
      <c r="B121" t="n">
        <v>61</v>
      </c>
      <c r="C121" t="inlineStr">
        <is>
          <t>Yes</t>
        </is>
      </c>
      <c r="D121" t="inlineStr">
        <is>
          <t>Merchant</t>
        </is>
      </c>
      <c r="E121" t="inlineStr">
        <is>
          <t>Word</t>
        </is>
      </c>
      <c r="F121" t="inlineStr">
        <is>
          <t>ATCO</t>
        </is>
      </c>
      <c r="G121" s="19" t="n"/>
      <c r="H121" s="19" t="n"/>
      <c r="I121" t="inlineStr">
        <is>
          <t>Money out</t>
        </is>
      </c>
      <c r="J121" t="inlineStr">
        <is>
          <t>Natural Gas / Heating</t>
        </is>
      </c>
      <c r="L121" t="n">
        <v>0</v>
      </c>
      <c r="M121" t="inlineStr">
        <is>
          <t>Built in</t>
        </is>
      </c>
    </row>
    <row r="122">
      <c r="B122" t="n">
        <v>61</v>
      </c>
      <c r="C122" t="inlineStr">
        <is>
          <t>Yes</t>
        </is>
      </c>
      <c r="D122" t="inlineStr">
        <is>
          <t>Merchant</t>
        </is>
      </c>
      <c r="E122" t="inlineStr">
        <is>
          <t>Contains</t>
        </is>
      </c>
      <c r="F122" t="inlineStr">
        <is>
          <t>ENERGIR</t>
        </is>
      </c>
      <c r="G122" s="19" t="n"/>
      <c r="H122" s="19" t="n"/>
      <c r="I122" t="inlineStr">
        <is>
          <t>Money out</t>
        </is>
      </c>
      <c r="J122" t="inlineStr">
        <is>
          <t>Natural Gas / Heating</t>
        </is>
      </c>
      <c r="L122" t="n">
        <v>0</v>
      </c>
      <c r="M122" t="inlineStr">
        <is>
          <t>Built in</t>
        </is>
      </c>
    </row>
    <row r="123">
      <c r="B123" t="n">
        <v>62</v>
      </c>
      <c r="C123" t="inlineStr">
        <is>
          <t>Yes</t>
        </is>
      </c>
      <c r="D123" t="inlineStr">
        <is>
          <t>Merchant</t>
        </is>
      </c>
      <c r="E123" t="inlineStr">
        <is>
          <t>Contains</t>
        </is>
      </c>
      <c r="F123" t="inlineStr">
        <is>
          <t>ROGERS</t>
        </is>
      </c>
      <c r="G123" s="19" t="n"/>
      <c r="H123" s="19" t="n"/>
      <c r="I123" t="inlineStr">
        <is>
          <t>Money out</t>
        </is>
      </c>
      <c r="J123" t="inlineStr">
        <is>
          <t>Internet</t>
        </is>
      </c>
      <c r="L123" t="n">
        <v>0</v>
      </c>
      <c r="M123" t="inlineStr">
        <is>
          <t>Built in</t>
        </is>
      </c>
    </row>
    <row r="124">
      <c r="B124" t="n">
        <v>62</v>
      </c>
      <c r="C124" t="inlineStr">
        <is>
          <t>Yes</t>
        </is>
      </c>
      <c r="D124" t="inlineStr">
        <is>
          <t>Merchant</t>
        </is>
      </c>
      <c r="E124" t="inlineStr">
        <is>
          <t>Contains</t>
        </is>
      </c>
      <c r="F124" t="inlineStr">
        <is>
          <t>BELL CANADA</t>
        </is>
      </c>
      <c r="G124" s="19" t="n"/>
      <c r="H124" s="19" t="n"/>
      <c r="I124" t="inlineStr">
        <is>
          <t>Money out</t>
        </is>
      </c>
      <c r="J124" t="inlineStr">
        <is>
          <t>Internet</t>
        </is>
      </c>
      <c r="L124" t="n">
        <v>0</v>
      </c>
      <c r="M124" t="inlineStr">
        <is>
          <t>Built in</t>
        </is>
      </c>
    </row>
    <row r="125">
      <c r="B125" t="n">
        <v>62</v>
      </c>
      <c r="C125" t="inlineStr">
        <is>
          <t>Yes</t>
        </is>
      </c>
      <c r="D125" t="inlineStr">
        <is>
          <t>Merchant</t>
        </is>
      </c>
      <c r="E125" t="inlineStr">
        <is>
          <t>Contains</t>
        </is>
      </c>
      <c r="F125" t="inlineStr">
        <is>
          <t>TELUS</t>
        </is>
      </c>
      <c r="G125" s="19" t="n"/>
      <c r="H125" s="19" t="n"/>
      <c r="I125" t="inlineStr">
        <is>
          <t>Money out</t>
        </is>
      </c>
      <c r="J125" t="inlineStr">
        <is>
          <t>Mobile Phone</t>
        </is>
      </c>
      <c r="L125" t="n">
        <v>0</v>
      </c>
      <c r="M125" t="inlineStr">
        <is>
          <t>Built in</t>
        </is>
      </c>
    </row>
    <row r="126">
      <c r="B126" t="n">
        <v>62</v>
      </c>
      <c r="C126" t="inlineStr">
        <is>
          <t>Yes</t>
        </is>
      </c>
      <c r="D126" t="inlineStr">
        <is>
          <t>Merchant</t>
        </is>
      </c>
      <c r="E126" t="inlineStr">
        <is>
          <t>Contains</t>
        </is>
      </c>
      <c r="F126" t="inlineStr">
        <is>
          <t>FREEDOM MOBILE</t>
        </is>
      </c>
      <c r="G126" s="19" t="n"/>
      <c r="H126" s="19" t="n"/>
      <c r="I126" t="inlineStr">
        <is>
          <t>Money out</t>
        </is>
      </c>
      <c r="J126" t="inlineStr">
        <is>
          <t>Mobile Phone</t>
        </is>
      </c>
      <c r="L126" t="n">
        <v>0</v>
      </c>
      <c r="M126" t="inlineStr">
        <is>
          <t>Built in</t>
        </is>
      </c>
    </row>
    <row r="127">
      <c r="B127" t="n">
        <v>62</v>
      </c>
      <c r="C127" t="inlineStr">
        <is>
          <t>Yes</t>
        </is>
      </c>
      <c r="D127" t="inlineStr">
        <is>
          <t>Merchant</t>
        </is>
      </c>
      <c r="E127" t="inlineStr">
        <is>
          <t>Word</t>
        </is>
      </c>
      <c r="F127" t="inlineStr">
        <is>
          <t>FIDO</t>
        </is>
      </c>
      <c r="G127" s="19" t="n"/>
      <c r="H127" s="19" t="n"/>
      <c r="I127" t="inlineStr">
        <is>
          <t>Money out</t>
        </is>
      </c>
      <c r="J127" t="inlineStr">
        <is>
          <t>Mobile Phone</t>
        </is>
      </c>
      <c r="L127" t="n">
        <v>0</v>
      </c>
      <c r="M127" t="inlineStr">
        <is>
          <t>Built in</t>
        </is>
      </c>
    </row>
    <row r="128">
      <c r="B128" t="n">
        <v>62</v>
      </c>
      <c r="C128" t="inlineStr">
        <is>
          <t>Yes</t>
        </is>
      </c>
      <c r="D128" t="inlineStr">
        <is>
          <t>Merchant</t>
        </is>
      </c>
      <c r="E128" t="inlineStr">
        <is>
          <t>Contains</t>
        </is>
      </c>
      <c r="F128" t="inlineStr">
        <is>
          <t>KOODO</t>
        </is>
      </c>
      <c r="G128" s="19" t="n"/>
      <c r="H128" s="19" t="n"/>
      <c r="I128" t="inlineStr">
        <is>
          <t>Money out</t>
        </is>
      </c>
      <c r="J128" t="inlineStr">
        <is>
          <t>Mobile Phone</t>
        </is>
      </c>
      <c r="L128" t="n">
        <v>0</v>
      </c>
      <c r="M128" t="inlineStr">
        <is>
          <t>Built in</t>
        </is>
      </c>
    </row>
    <row r="129">
      <c r="B129" t="n">
        <v>62</v>
      </c>
      <c r="C129" t="inlineStr">
        <is>
          <t>Yes</t>
        </is>
      </c>
      <c r="D129" t="inlineStr">
        <is>
          <t>Merchant</t>
        </is>
      </c>
      <c r="E129" t="inlineStr">
        <is>
          <t>Contains</t>
        </is>
      </c>
      <c r="F129" t="inlineStr">
        <is>
          <t>VIRGIN PLUS</t>
        </is>
      </c>
      <c r="G129" s="19" t="n"/>
      <c r="H129" s="19" t="n"/>
      <c r="I129" t="inlineStr">
        <is>
          <t>Money out</t>
        </is>
      </c>
      <c r="J129" t="inlineStr">
        <is>
          <t>Mobile Phone</t>
        </is>
      </c>
      <c r="L129" t="n">
        <v>0</v>
      </c>
      <c r="M129" t="inlineStr">
        <is>
          <t>Built in</t>
        </is>
      </c>
    </row>
    <row r="130">
      <c r="B130" t="n">
        <v>62</v>
      </c>
      <c r="C130" t="inlineStr">
        <is>
          <t>Yes</t>
        </is>
      </c>
      <c r="D130" t="inlineStr">
        <is>
          <t>Merchant</t>
        </is>
      </c>
      <c r="E130" t="inlineStr">
        <is>
          <t>Contains</t>
        </is>
      </c>
      <c r="F130" t="inlineStr">
        <is>
          <t>PUBLIC MOBILE</t>
        </is>
      </c>
      <c r="G130" s="19" t="n"/>
      <c r="H130" s="19" t="n"/>
      <c r="I130" t="inlineStr">
        <is>
          <t>Money out</t>
        </is>
      </c>
      <c r="J130" t="inlineStr">
        <is>
          <t>Mobile Phone</t>
        </is>
      </c>
      <c r="L130" t="n">
        <v>0</v>
      </c>
      <c r="M130" t="inlineStr">
        <is>
          <t>Built in</t>
        </is>
      </c>
    </row>
    <row r="131">
      <c r="B131" t="n">
        <v>62</v>
      </c>
      <c r="C131" t="inlineStr">
        <is>
          <t>Yes</t>
        </is>
      </c>
      <c r="D131" t="inlineStr">
        <is>
          <t>Merchant</t>
        </is>
      </c>
      <c r="E131" t="inlineStr">
        <is>
          <t>Contains</t>
        </is>
      </c>
      <c r="F131" t="inlineStr">
        <is>
          <t>VIDEOTRON</t>
        </is>
      </c>
      <c r="G131" s="19" t="n"/>
      <c r="H131" s="19" t="n"/>
      <c r="I131" t="inlineStr">
        <is>
          <t>Money out</t>
        </is>
      </c>
      <c r="J131" t="inlineStr">
        <is>
          <t>Internet</t>
        </is>
      </c>
      <c r="L131" t="n">
        <v>0</v>
      </c>
      <c r="M131" t="inlineStr">
        <is>
          <t>Built in</t>
        </is>
      </c>
    </row>
    <row r="132">
      <c r="B132" t="n">
        <v>62</v>
      </c>
      <c r="C132" t="inlineStr">
        <is>
          <t>Yes</t>
        </is>
      </c>
      <c r="D132" t="inlineStr">
        <is>
          <t>Merchant</t>
        </is>
      </c>
      <c r="E132" t="inlineStr">
        <is>
          <t>Word</t>
        </is>
      </c>
      <c r="F132" t="inlineStr">
        <is>
          <t>SHAW</t>
        </is>
      </c>
      <c r="G132" s="19" t="n"/>
      <c r="H132" s="19" t="n"/>
      <c r="I132" t="inlineStr">
        <is>
          <t>Money out</t>
        </is>
      </c>
      <c r="J132" t="inlineStr">
        <is>
          <t>Internet</t>
        </is>
      </c>
      <c r="L132" t="n">
        <v>0</v>
      </c>
      <c r="M132" t="inlineStr">
        <is>
          <t>Built in</t>
        </is>
      </c>
    </row>
    <row r="133">
      <c r="B133" t="n">
        <v>62</v>
      </c>
      <c r="C133" t="inlineStr">
        <is>
          <t>Yes</t>
        </is>
      </c>
      <c r="D133" t="inlineStr">
        <is>
          <t>Merchant</t>
        </is>
      </c>
      <c r="E133" t="inlineStr">
        <is>
          <t>Contains</t>
        </is>
      </c>
      <c r="F133" t="inlineStr">
        <is>
          <t>TEKSAVVY</t>
        </is>
      </c>
      <c r="G133" s="19" t="n"/>
      <c r="H133" s="19" t="n"/>
      <c r="I133" t="inlineStr">
        <is>
          <t>Money out</t>
        </is>
      </c>
      <c r="J133" t="inlineStr">
        <is>
          <t>Internet</t>
        </is>
      </c>
      <c r="L133" t="n">
        <v>0</v>
      </c>
      <c r="M133" t="inlineStr">
        <is>
          <t>Built in</t>
        </is>
      </c>
    </row>
    <row r="134">
      <c r="B134" t="n">
        <v>65</v>
      </c>
      <c r="C134" t="inlineStr">
        <is>
          <t>Yes</t>
        </is>
      </c>
      <c r="D134" t="inlineStr">
        <is>
          <t>Merchant</t>
        </is>
      </c>
      <c r="E134" t="inlineStr">
        <is>
          <t>Contains</t>
        </is>
      </c>
      <c r="F134" t="inlineStr">
        <is>
          <t>SHOPPERS DRUG MART</t>
        </is>
      </c>
      <c r="G134" s="19" t="n"/>
      <c r="H134" s="19" t="n"/>
      <c r="I134" t="inlineStr">
        <is>
          <t>Money out</t>
        </is>
      </c>
      <c r="J134" t="inlineStr">
        <is>
          <t>Prescriptions &amp; Pharmacy</t>
        </is>
      </c>
      <c r="L134" t="n">
        <v>0</v>
      </c>
      <c r="M134" t="inlineStr">
        <is>
          <t>Built in</t>
        </is>
      </c>
    </row>
    <row r="135">
      <c r="B135" t="n">
        <v>65</v>
      </c>
      <c r="C135" t="inlineStr">
        <is>
          <t>Yes</t>
        </is>
      </c>
      <c r="D135" t="inlineStr">
        <is>
          <t>Merchant</t>
        </is>
      </c>
      <c r="E135" t="inlineStr">
        <is>
          <t>Contains</t>
        </is>
      </c>
      <c r="F135" t="inlineStr">
        <is>
          <t>REXALL</t>
        </is>
      </c>
      <c r="G135" s="19" t="n"/>
      <c r="H135" s="19" t="n"/>
      <c r="I135" t="inlineStr">
        <is>
          <t>Money out</t>
        </is>
      </c>
      <c r="J135" t="inlineStr">
        <is>
          <t>Prescriptions &amp; Pharmacy</t>
        </is>
      </c>
      <c r="L135" t="n">
        <v>0</v>
      </c>
      <c r="M135" t="inlineStr">
        <is>
          <t>Built in</t>
        </is>
      </c>
    </row>
    <row r="136">
      <c r="B136" t="n">
        <v>65</v>
      </c>
      <c r="C136" t="inlineStr">
        <is>
          <t>Yes</t>
        </is>
      </c>
      <c r="D136" t="inlineStr">
        <is>
          <t>Merchant</t>
        </is>
      </c>
      <c r="E136" t="inlineStr">
        <is>
          <t>Contains</t>
        </is>
      </c>
      <c r="F136" t="inlineStr">
        <is>
          <t>PHARMAPRIX</t>
        </is>
      </c>
      <c r="G136" s="19" t="n"/>
      <c r="H136" s="19" t="n"/>
      <c r="I136" t="inlineStr">
        <is>
          <t>Money out</t>
        </is>
      </c>
      <c r="J136" t="inlineStr">
        <is>
          <t>Prescriptions &amp; Pharmacy</t>
        </is>
      </c>
      <c r="L136" t="n">
        <v>0</v>
      </c>
      <c r="M136" t="inlineStr">
        <is>
          <t>Built in</t>
        </is>
      </c>
    </row>
    <row r="137">
      <c r="B137" t="n">
        <v>65</v>
      </c>
      <c r="C137" t="inlineStr">
        <is>
          <t>Yes</t>
        </is>
      </c>
      <c r="D137" t="inlineStr">
        <is>
          <t>Merchant</t>
        </is>
      </c>
      <c r="E137" t="inlineStr">
        <is>
          <t>Contains</t>
        </is>
      </c>
      <c r="F137" t="inlineStr">
        <is>
          <t>JEAN COUTU</t>
        </is>
      </c>
      <c r="G137" s="19" t="n"/>
      <c r="H137" s="19" t="n"/>
      <c r="I137" t="inlineStr">
        <is>
          <t>Money out</t>
        </is>
      </c>
      <c r="J137" t="inlineStr">
        <is>
          <t>Prescriptions &amp; Pharmacy</t>
        </is>
      </c>
      <c r="L137" t="n">
        <v>0</v>
      </c>
      <c r="M137" t="inlineStr">
        <is>
          <t>Built in</t>
        </is>
      </c>
    </row>
    <row r="138">
      <c r="B138" t="n">
        <v>65</v>
      </c>
      <c r="C138" t="inlineStr">
        <is>
          <t>Yes</t>
        </is>
      </c>
      <c r="D138" t="inlineStr">
        <is>
          <t>Merchant</t>
        </is>
      </c>
      <c r="E138" t="inlineStr">
        <is>
          <t>Contains</t>
        </is>
      </c>
      <c r="F138" t="inlineStr">
        <is>
          <t>PHARMACY</t>
        </is>
      </c>
      <c r="G138" s="19" t="n"/>
      <c r="H138" s="19" t="n"/>
      <c r="I138" t="inlineStr">
        <is>
          <t>Money out</t>
        </is>
      </c>
      <c r="J138" t="inlineStr">
        <is>
          <t>Prescriptions &amp; Pharmacy</t>
        </is>
      </c>
      <c r="L138" t="n">
        <v>0</v>
      </c>
      <c r="M138" t="inlineStr">
        <is>
          <t>Built in</t>
        </is>
      </c>
    </row>
    <row r="139">
      <c r="B139" t="n">
        <v>65</v>
      </c>
      <c r="C139" t="inlineStr">
        <is>
          <t>Yes</t>
        </is>
      </c>
      <c r="D139" t="inlineStr">
        <is>
          <t>Merchant</t>
        </is>
      </c>
      <c r="E139" t="inlineStr">
        <is>
          <t>Contains</t>
        </is>
      </c>
      <c r="F139" t="inlineStr">
        <is>
          <t>LONDON DRUGS</t>
        </is>
      </c>
      <c r="G139" s="19" t="n"/>
      <c r="H139" s="19" t="n"/>
      <c r="I139" t="inlineStr">
        <is>
          <t>Money out</t>
        </is>
      </c>
      <c r="J139" t="inlineStr">
        <is>
          <t>Prescriptions &amp; Pharmacy</t>
        </is>
      </c>
      <c r="L139" t="n">
        <v>0</v>
      </c>
      <c r="M139" t="inlineStr">
        <is>
          <t>Built in</t>
        </is>
      </c>
    </row>
    <row r="140">
      <c r="B140" t="n">
        <v>66</v>
      </c>
      <c r="C140" t="inlineStr">
        <is>
          <t>Yes</t>
        </is>
      </c>
      <c r="D140" t="inlineStr">
        <is>
          <t>Merchant</t>
        </is>
      </c>
      <c r="E140" t="inlineStr">
        <is>
          <t>Contains</t>
        </is>
      </c>
      <c r="F140" t="inlineStr">
        <is>
          <t>DENTAL</t>
        </is>
      </c>
      <c r="G140" s="19" t="n"/>
      <c r="H140" s="19" t="n"/>
      <c r="I140" t="inlineStr">
        <is>
          <t>Money out</t>
        </is>
      </c>
      <c r="J140" t="inlineStr">
        <is>
          <t>Dental</t>
        </is>
      </c>
      <c r="L140" t="n">
        <v>0</v>
      </c>
      <c r="M140" t="inlineStr">
        <is>
          <t>Built in</t>
        </is>
      </c>
    </row>
    <row r="141">
      <c r="B141" t="n">
        <v>66</v>
      </c>
      <c r="C141" t="inlineStr">
        <is>
          <t>Yes</t>
        </is>
      </c>
      <c r="D141" t="inlineStr">
        <is>
          <t>Merchant</t>
        </is>
      </c>
      <c r="E141" t="inlineStr">
        <is>
          <t>Contains</t>
        </is>
      </c>
      <c r="F141" t="inlineStr">
        <is>
          <t>DENTISTRY</t>
        </is>
      </c>
      <c r="G141" s="19" t="n"/>
      <c r="H141" s="19" t="n"/>
      <c r="I141" t="inlineStr">
        <is>
          <t>Money out</t>
        </is>
      </c>
      <c r="J141" t="inlineStr">
        <is>
          <t>Dental</t>
        </is>
      </c>
      <c r="L141" t="n">
        <v>0</v>
      </c>
      <c r="M141" t="inlineStr">
        <is>
          <t>Built in</t>
        </is>
      </c>
    </row>
    <row r="142">
      <c r="B142" t="n">
        <v>66</v>
      </c>
      <c r="C142" t="inlineStr">
        <is>
          <t>Yes</t>
        </is>
      </c>
      <c r="D142" t="inlineStr">
        <is>
          <t>Merchant</t>
        </is>
      </c>
      <c r="E142" t="inlineStr">
        <is>
          <t>Contains</t>
        </is>
      </c>
      <c r="F142" t="inlineStr">
        <is>
          <t>PHYSIO</t>
        </is>
      </c>
      <c r="G142" s="19" t="n"/>
      <c r="H142" s="19" t="n"/>
      <c r="I142" t="inlineStr">
        <is>
          <t>Money out</t>
        </is>
      </c>
      <c r="J142" t="inlineStr">
        <is>
          <t>Other Medical</t>
        </is>
      </c>
      <c r="L142" t="n">
        <v>0</v>
      </c>
      <c r="M142" t="inlineStr">
        <is>
          <t>Built in</t>
        </is>
      </c>
    </row>
    <row r="143">
      <c r="B143" t="n">
        <v>66</v>
      </c>
      <c r="C143" t="inlineStr">
        <is>
          <t>Yes</t>
        </is>
      </c>
      <c r="D143" t="inlineStr">
        <is>
          <t>Merchant</t>
        </is>
      </c>
      <c r="E143" t="inlineStr">
        <is>
          <t>Contains</t>
        </is>
      </c>
      <c r="F143" t="inlineStr">
        <is>
          <t>MASSAGE</t>
        </is>
      </c>
      <c r="G143" s="19" t="n"/>
      <c r="H143" s="19" t="n"/>
      <c r="I143" t="inlineStr">
        <is>
          <t>Money out</t>
        </is>
      </c>
      <c r="J143" t="inlineStr">
        <is>
          <t>Other Medical</t>
        </is>
      </c>
      <c r="L143" t="n">
        <v>0</v>
      </c>
      <c r="M143" t="inlineStr">
        <is>
          <t>Built in</t>
        </is>
      </c>
    </row>
    <row r="144">
      <c r="B144" t="n">
        <v>66</v>
      </c>
      <c r="C144" t="inlineStr">
        <is>
          <t>Yes</t>
        </is>
      </c>
      <c r="D144" t="inlineStr">
        <is>
          <t>Merchant</t>
        </is>
      </c>
      <c r="E144" t="inlineStr">
        <is>
          <t>Contains</t>
        </is>
      </c>
      <c r="F144" t="inlineStr">
        <is>
          <t>OPTOMETRY</t>
        </is>
      </c>
      <c r="G144" s="19" t="n"/>
      <c r="H144" s="19" t="n"/>
      <c r="I144" t="inlineStr">
        <is>
          <t>Money out</t>
        </is>
      </c>
      <c r="J144" t="inlineStr">
        <is>
          <t>Vision</t>
        </is>
      </c>
      <c r="L144" t="n">
        <v>0</v>
      </c>
      <c r="M144" t="inlineStr">
        <is>
          <t>Built in</t>
        </is>
      </c>
    </row>
    <row r="145">
      <c r="B145" t="n">
        <v>66</v>
      </c>
      <c r="C145" t="inlineStr">
        <is>
          <t>Yes</t>
        </is>
      </c>
      <c r="D145" t="inlineStr">
        <is>
          <t>Merchant</t>
        </is>
      </c>
      <c r="E145" t="inlineStr">
        <is>
          <t>Contains</t>
        </is>
      </c>
      <c r="F145" t="inlineStr">
        <is>
          <t>LENSCRAFTERS</t>
        </is>
      </c>
      <c r="G145" s="19" t="n"/>
      <c r="H145" s="19" t="n"/>
      <c r="I145" t="inlineStr">
        <is>
          <t>Money out</t>
        </is>
      </c>
      <c r="J145" t="inlineStr">
        <is>
          <t>Vision</t>
        </is>
      </c>
      <c r="L145" t="n">
        <v>0</v>
      </c>
      <c r="M145" t="inlineStr">
        <is>
          <t>Built in</t>
        </is>
      </c>
    </row>
    <row r="146">
      <c r="B146" t="n">
        <v>67</v>
      </c>
      <c r="C146" t="inlineStr">
        <is>
          <t>Yes</t>
        </is>
      </c>
      <c r="D146" t="inlineStr">
        <is>
          <t>Merchant</t>
        </is>
      </c>
      <c r="E146" t="inlineStr">
        <is>
          <t>Contains</t>
        </is>
      </c>
      <c r="F146" t="inlineStr">
        <is>
          <t>GOODLIFE</t>
        </is>
      </c>
      <c r="G146" s="19" t="n"/>
      <c r="H146" s="19" t="n"/>
      <c r="I146" t="inlineStr">
        <is>
          <t>Money out</t>
        </is>
      </c>
      <c r="J146" t="inlineStr">
        <is>
          <t>Fitness &amp; Sports</t>
        </is>
      </c>
      <c r="L146" t="n">
        <v>0</v>
      </c>
      <c r="M146" t="inlineStr">
        <is>
          <t>Built in</t>
        </is>
      </c>
    </row>
    <row r="147">
      <c r="B147" t="n">
        <v>67</v>
      </c>
      <c r="C147" t="inlineStr">
        <is>
          <t>Yes</t>
        </is>
      </c>
      <c r="D147" t="inlineStr">
        <is>
          <t>Merchant</t>
        </is>
      </c>
      <c r="E147" t="inlineStr">
        <is>
          <t>Contains</t>
        </is>
      </c>
      <c r="F147" t="inlineStr">
        <is>
          <t>FIT4LESS</t>
        </is>
      </c>
      <c r="G147" s="19" t="n"/>
      <c r="H147" s="19" t="n"/>
      <c r="I147" t="inlineStr">
        <is>
          <t>Money out</t>
        </is>
      </c>
      <c r="J147" t="inlineStr">
        <is>
          <t>Fitness &amp; Sports</t>
        </is>
      </c>
      <c r="L147" t="n">
        <v>0</v>
      </c>
      <c r="M147" t="inlineStr">
        <is>
          <t>Built in</t>
        </is>
      </c>
    </row>
    <row r="148">
      <c r="B148" t="n">
        <v>67</v>
      </c>
      <c r="C148" t="inlineStr">
        <is>
          <t>Yes</t>
        </is>
      </c>
      <c r="D148" t="inlineStr">
        <is>
          <t>Merchant</t>
        </is>
      </c>
      <c r="E148" t="inlineStr">
        <is>
          <t>Contains</t>
        </is>
      </c>
      <c r="F148" t="inlineStr">
        <is>
          <t>ORANGETHEORY</t>
        </is>
      </c>
      <c r="G148" s="19" t="n"/>
      <c r="H148" s="19" t="n"/>
      <c r="I148" t="inlineStr">
        <is>
          <t>Money out</t>
        </is>
      </c>
      <c r="J148" t="inlineStr">
        <is>
          <t>Fitness &amp; Sports</t>
        </is>
      </c>
      <c r="L148" t="n">
        <v>0</v>
      </c>
      <c r="M148" t="inlineStr">
        <is>
          <t>Built in</t>
        </is>
      </c>
    </row>
    <row r="149">
      <c r="B149" t="n">
        <v>67</v>
      </c>
      <c r="C149" t="inlineStr">
        <is>
          <t>Yes</t>
        </is>
      </c>
      <c r="D149" t="inlineStr">
        <is>
          <t>Merchant</t>
        </is>
      </c>
      <c r="E149" t="inlineStr">
        <is>
          <t>Contains</t>
        </is>
      </c>
      <c r="F149" t="inlineStr">
        <is>
          <t>YMCA</t>
        </is>
      </c>
      <c r="G149" s="19" t="n"/>
      <c r="H149" s="19" t="n"/>
      <c r="I149" t="inlineStr">
        <is>
          <t>Money out</t>
        </is>
      </c>
      <c r="J149" t="inlineStr">
        <is>
          <t>Fitness &amp; Sports</t>
        </is>
      </c>
      <c r="L149" t="n">
        <v>0</v>
      </c>
      <c r="M149" t="inlineStr">
        <is>
          <t>Built in</t>
        </is>
      </c>
    </row>
    <row r="150">
      <c r="B150" t="n">
        <v>70</v>
      </c>
      <c r="C150" t="inlineStr">
        <is>
          <t>Yes</t>
        </is>
      </c>
      <c r="D150" t="inlineStr">
        <is>
          <t>Merchant</t>
        </is>
      </c>
      <c r="E150" t="inlineStr">
        <is>
          <t>Contains</t>
        </is>
      </c>
      <c r="F150" t="inlineStr">
        <is>
          <t>NETFLIX</t>
        </is>
      </c>
      <c r="G150" s="19" t="n"/>
      <c r="H150" s="19" t="n"/>
      <c r="I150" t="inlineStr">
        <is>
          <t>Money out</t>
        </is>
      </c>
      <c r="J150" t="inlineStr">
        <is>
          <t>Subscriptions</t>
        </is>
      </c>
      <c r="L150" t="n">
        <v>0</v>
      </c>
      <c r="M150" t="inlineStr">
        <is>
          <t>Built in</t>
        </is>
      </c>
    </row>
    <row r="151">
      <c r="B151" t="n">
        <v>70</v>
      </c>
      <c r="C151" t="inlineStr">
        <is>
          <t>Yes</t>
        </is>
      </c>
      <c r="D151" t="inlineStr">
        <is>
          <t>Merchant</t>
        </is>
      </c>
      <c r="E151" t="inlineStr">
        <is>
          <t>Contains</t>
        </is>
      </c>
      <c r="F151" t="inlineStr">
        <is>
          <t>SPOTIFY</t>
        </is>
      </c>
      <c r="G151" s="19" t="n"/>
      <c r="H151" s="19" t="n"/>
      <c r="I151" t="inlineStr">
        <is>
          <t>Money out</t>
        </is>
      </c>
      <c r="J151" t="inlineStr">
        <is>
          <t>Subscriptions</t>
        </is>
      </c>
      <c r="L151" t="n">
        <v>0</v>
      </c>
      <c r="M151" t="inlineStr">
        <is>
          <t>Built in</t>
        </is>
      </c>
    </row>
    <row r="152">
      <c r="B152" t="n">
        <v>70</v>
      </c>
      <c r="C152" t="inlineStr">
        <is>
          <t>Yes</t>
        </is>
      </c>
      <c r="D152" t="inlineStr">
        <is>
          <t>Merchant</t>
        </is>
      </c>
      <c r="E152" t="inlineStr">
        <is>
          <t>Contains</t>
        </is>
      </c>
      <c r="F152" t="inlineStr">
        <is>
          <t>CRAVE</t>
        </is>
      </c>
      <c r="G152" s="19" t="n"/>
      <c r="H152" s="19" t="n"/>
      <c r="I152" t="inlineStr">
        <is>
          <t>Money out</t>
        </is>
      </c>
      <c r="J152" t="inlineStr">
        <is>
          <t>Subscriptions</t>
        </is>
      </c>
      <c r="L152" t="n">
        <v>0</v>
      </c>
      <c r="M152" t="inlineStr">
        <is>
          <t>Built in</t>
        </is>
      </c>
    </row>
    <row r="153">
      <c r="B153" t="n">
        <v>70</v>
      </c>
      <c r="C153" t="inlineStr">
        <is>
          <t>Yes</t>
        </is>
      </c>
      <c r="D153" t="inlineStr">
        <is>
          <t>Merchant</t>
        </is>
      </c>
      <c r="E153" t="inlineStr">
        <is>
          <t>Contains</t>
        </is>
      </c>
      <c r="F153" t="inlineStr">
        <is>
          <t>DISNEY PLUS</t>
        </is>
      </c>
      <c r="G153" s="19" t="n"/>
      <c r="H153" s="19" t="n"/>
      <c r="I153" t="inlineStr">
        <is>
          <t>Money out</t>
        </is>
      </c>
      <c r="J153" t="inlineStr">
        <is>
          <t>Subscriptions</t>
        </is>
      </c>
      <c r="L153" t="n">
        <v>0</v>
      </c>
      <c r="M153" t="inlineStr">
        <is>
          <t>Built in</t>
        </is>
      </c>
    </row>
    <row r="154">
      <c r="B154" t="n">
        <v>70</v>
      </c>
      <c r="C154" t="inlineStr">
        <is>
          <t>Yes</t>
        </is>
      </c>
      <c r="D154" t="inlineStr">
        <is>
          <t>Merchant</t>
        </is>
      </c>
      <c r="E154" t="inlineStr">
        <is>
          <t>Contains</t>
        </is>
      </c>
      <c r="F154" t="inlineStr">
        <is>
          <t>APPLE.COM/BILL</t>
        </is>
      </c>
      <c r="G154" s="19" t="n"/>
      <c r="H154" s="19" t="n"/>
      <c r="I154" t="inlineStr">
        <is>
          <t>Money out</t>
        </is>
      </c>
      <c r="J154" t="inlineStr">
        <is>
          <t>Subscriptions</t>
        </is>
      </c>
      <c r="L154" t="n">
        <v>0</v>
      </c>
      <c r="M154" t="inlineStr">
        <is>
          <t>Built in</t>
        </is>
      </c>
    </row>
    <row r="155">
      <c r="B155" t="n">
        <v>70</v>
      </c>
      <c r="C155" t="inlineStr">
        <is>
          <t>Yes</t>
        </is>
      </c>
      <c r="D155" t="inlineStr">
        <is>
          <t>Merchant</t>
        </is>
      </c>
      <c r="E155" t="inlineStr">
        <is>
          <t>Contains</t>
        </is>
      </c>
      <c r="F155" t="inlineStr">
        <is>
          <t>GOOGLE STORAGE</t>
        </is>
      </c>
      <c r="G155" s="19" t="n"/>
      <c r="H155" s="19" t="n"/>
      <c r="I155" t="inlineStr">
        <is>
          <t>Money out</t>
        </is>
      </c>
      <c r="J155" t="inlineStr">
        <is>
          <t>Subscriptions</t>
        </is>
      </c>
      <c r="L155" t="n">
        <v>0</v>
      </c>
      <c r="M155" t="inlineStr">
        <is>
          <t>Built in</t>
        </is>
      </c>
    </row>
    <row r="156">
      <c r="B156" t="n">
        <v>70</v>
      </c>
      <c r="C156" t="inlineStr">
        <is>
          <t>Yes</t>
        </is>
      </c>
      <c r="D156" t="inlineStr">
        <is>
          <t>Merchant</t>
        </is>
      </c>
      <c r="E156" t="inlineStr">
        <is>
          <t>Contains</t>
        </is>
      </c>
      <c r="F156" t="inlineStr">
        <is>
          <t>AMAZON PRIME</t>
        </is>
      </c>
      <c r="G156" s="19" t="n"/>
      <c r="H156" s="19" t="n"/>
      <c r="I156" t="inlineStr">
        <is>
          <t>Money out</t>
        </is>
      </c>
      <c r="J156" t="inlineStr">
        <is>
          <t>Subscriptions</t>
        </is>
      </c>
      <c r="L156" t="n">
        <v>0</v>
      </c>
      <c r="M156" t="inlineStr">
        <is>
          <t>Built in</t>
        </is>
      </c>
    </row>
    <row r="157">
      <c r="B157" t="n">
        <v>70</v>
      </c>
      <c r="C157" t="inlineStr">
        <is>
          <t>Yes</t>
        </is>
      </c>
      <c r="D157" t="inlineStr">
        <is>
          <t>Merchant</t>
        </is>
      </c>
      <c r="E157" t="inlineStr">
        <is>
          <t>Contains</t>
        </is>
      </c>
      <c r="F157" t="inlineStr">
        <is>
          <t>GLOBE AND MAIL</t>
        </is>
      </c>
      <c r="G157" s="19" t="n"/>
      <c r="H157" s="19" t="n"/>
      <c r="I157" t="inlineStr">
        <is>
          <t>Money out</t>
        </is>
      </c>
      <c r="J157" t="inlineStr">
        <is>
          <t>Subscriptions</t>
        </is>
      </c>
      <c r="L157" t="n">
        <v>0</v>
      </c>
      <c r="M157" t="inlineStr">
        <is>
          <t>Built in</t>
        </is>
      </c>
    </row>
    <row r="158">
      <c r="B158" t="n">
        <v>71</v>
      </c>
      <c r="C158" t="inlineStr">
        <is>
          <t>Yes</t>
        </is>
      </c>
      <c r="D158" t="inlineStr">
        <is>
          <t>Merchant</t>
        </is>
      </c>
      <c r="E158" t="inlineStr">
        <is>
          <t>Contains</t>
        </is>
      </c>
      <c r="F158" t="inlineStr">
        <is>
          <t>AMAZON</t>
        </is>
      </c>
      <c r="G158" s="19" t="n"/>
      <c r="H158" s="19" t="n"/>
      <c r="I158" t="inlineStr">
        <is>
          <t>Money out</t>
        </is>
      </c>
      <c r="J158" t="inlineStr">
        <is>
          <t>Miscellaneous</t>
        </is>
      </c>
      <c r="L158" t="n">
        <v>0</v>
      </c>
      <c r="M158" t="inlineStr">
        <is>
          <t>Built in</t>
        </is>
      </c>
    </row>
    <row r="159">
      <c r="B159" t="n">
        <v>71</v>
      </c>
      <c r="C159" t="inlineStr">
        <is>
          <t>Yes</t>
        </is>
      </c>
      <c r="D159" t="inlineStr">
        <is>
          <t>Merchant</t>
        </is>
      </c>
      <c r="E159" t="inlineStr">
        <is>
          <t>Contains</t>
        </is>
      </c>
      <c r="F159" t="inlineStr">
        <is>
          <t>INDIGO</t>
        </is>
      </c>
      <c r="G159" s="19" t="n"/>
      <c r="H159" s="19" t="n"/>
      <c r="I159" t="inlineStr">
        <is>
          <t>Money out</t>
        </is>
      </c>
      <c r="J159" t="inlineStr">
        <is>
          <t>Hobbies</t>
        </is>
      </c>
      <c r="L159" t="n">
        <v>0</v>
      </c>
      <c r="M159" t="inlineStr">
        <is>
          <t>Built in</t>
        </is>
      </c>
    </row>
    <row r="160">
      <c r="B160" t="n">
        <v>71</v>
      </c>
      <c r="C160" t="inlineStr">
        <is>
          <t>Yes</t>
        </is>
      </c>
      <c r="D160" t="inlineStr">
        <is>
          <t>Merchant</t>
        </is>
      </c>
      <c r="E160" t="inlineStr">
        <is>
          <t>Contains</t>
        </is>
      </c>
      <c r="F160" t="inlineStr">
        <is>
          <t>CHAPTERS</t>
        </is>
      </c>
      <c r="G160" s="19" t="n"/>
      <c r="H160" s="19" t="n"/>
      <c r="I160" t="inlineStr">
        <is>
          <t>Money out</t>
        </is>
      </c>
      <c r="J160" t="inlineStr">
        <is>
          <t>Hobbies</t>
        </is>
      </c>
      <c r="L160" t="n">
        <v>0</v>
      </c>
      <c r="M160" t="inlineStr">
        <is>
          <t>Built in</t>
        </is>
      </c>
    </row>
    <row r="161">
      <c r="B161" t="n">
        <v>71</v>
      </c>
      <c r="C161" t="inlineStr">
        <is>
          <t>Yes</t>
        </is>
      </c>
      <c r="D161" t="inlineStr">
        <is>
          <t>Merchant</t>
        </is>
      </c>
      <c r="E161" t="inlineStr">
        <is>
          <t>Contains</t>
        </is>
      </c>
      <c r="F161" t="inlineStr">
        <is>
          <t>TOYS R US</t>
        </is>
      </c>
      <c r="G161" s="19" t="n"/>
      <c r="H161" s="19" t="n"/>
      <c r="I161" t="inlineStr">
        <is>
          <t>Money out</t>
        </is>
      </c>
      <c r="J161" t="inlineStr">
        <is>
          <t>Children's Activities</t>
        </is>
      </c>
      <c r="L161" t="n">
        <v>0</v>
      </c>
      <c r="M161" t="inlineStr">
        <is>
          <t>Built in</t>
        </is>
      </c>
    </row>
    <row r="162">
      <c r="B162" t="n">
        <v>71</v>
      </c>
      <c r="C162" t="inlineStr">
        <is>
          <t>Yes</t>
        </is>
      </c>
      <c r="D162" t="inlineStr">
        <is>
          <t>Merchant</t>
        </is>
      </c>
      <c r="E162" t="inlineStr">
        <is>
          <t>Contains</t>
        </is>
      </c>
      <c r="F162" t="inlineStr">
        <is>
          <t>WINNERS</t>
        </is>
      </c>
      <c r="G162" s="19" t="n"/>
      <c r="H162" s="19" t="n"/>
      <c r="I162" t="inlineStr">
        <is>
          <t>Money out</t>
        </is>
      </c>
      <c r="J162" t="inlineStr">
        <is>
          <t>Clothing &amp; Shoes</t>
        </is>
      </c>
      <c r="L162" t="n">
        <v>0</v>
      </c>
      <c r="M162" t="inlineStr">
        <is>
          <t>Built in</t>
        </is>
      </c>
    </row>
    <row r="163">
      <c r="B163" t="n">
        <v>71</v>
      </c>
      <c r="C163" t="inlineStr">
        <is>
          <t>Yes</t>
        </is>
      </c>
      <c r="D163" t="inlineStr">
        <is>
          <t>Merchant</t>
        </is>
      </c>
      <c r="E163" t="inlineStr">
        <is>
          <t>Contains</t>
        </is>
      </c>
      <c r="F163" t="inlineStr">
        <is>
          <t>MARSHALLS</t>
        </is>
      </c>
      <c r="G163" s="19" t="n"/>
      <c r="H163" s="19" t="n"/>
      <c r="I163" t="inlineStr">
        <is>
          <t>Money out</t>
        </is>
      </c>
      <c r="J163" t="inlineStr">
        <is>
          <t>Clothing &amp; Shoes</t>
        </is>
      </c>
      <c r="L163" t="n">
        <v>0</v>
      </c>
      <c r="M163" t="inlineStr">
        <is>
          <t>Built in</t>
        </is>
      </c>
    </row>
    <row r="164">
      <c r="B164" t="n">
        <v>71</v>
      </c>
      <c r="C164" t="inlineStr">
        <is>
          <t>Yes</t>
        </is>
      </c>
      <c r="D164" t="inlineStr">
        <is>
          <t>Merchant</t>
        </is>
      </c>
      <c r="E164" t="inlineStr">
        <is>
          <t>Contains</t>
        </is>
      </c>
      <c r="F164" t="inlineStr">
        <is>
          <t>SIMONS</t>
        </is>
      </c>
      <c r="G164" s="19" t="n"/>
      <c r="H164" s="19" t="n"/>
      <c r="I164" t="inlineStr">
        <is>
          <t>Money out</t>
        </is>
      </c>
      <c r="J164" t="inlineStr">
        <is>
          <t>Clothing &amp; Shoes</t>
        </is>
      </c>
      <c r="L164" t="n">
        <v>0</v>
      </c>
      <c r="M164" t="inlineStr">
        <is>
          <t>Built in</t>
        </is>
      </c>
    </row>
    <row r="165">
      <c r="B165" t="n">
        <v>71</v>
      </c>
      <c r="C165" t="inlineStr">
        <is>
          <t>Yes</t>
        </is>
      </c>
      <c r="D165" t="inlineStr">
        <is>
          <t>Merchant</t>
        </is>
      </c>
      <c r="E165" t="inlineStr">
        <is>
          <t>Contains</t>
        </is>
      </c>
      <c r="F165" t="inlineStr">
        <is>
          <t>UNIQLO</t>
        </is>
      </c>
      <c r="G165" s="19" t="n"/>
      <c r="H165" s="19" t="n"/>
      <c r="I165" t="inlineStr">
        <is>
          <t>Money out</t>
        </is>
      </c>
      <c r="J165" t="inlineStr">
        <is>
          <t>Clothing &amp; Shoes</t>
        </is>
      </c>
      <c r="L165" t="n">
        <v>0</v>
      </c>
      <c r="M165" t="inlineStr">
        <is>
          <t>Built in</t>
        </is>
      </c>
    </row>
    <row r="166">
      <c r="B166" t="n">
        <v>71</v>
      </c>
      <c r="C166" t="inlineStr">
        <is>
          <t>Yes</t>
        </is>
      </c>
      <c r="D166" t="inlineStr">
        <is>
          <t>Merchant</t>
        </is>
      </c>
      <c r="E166" t="inlineStr">
        <is>
          <t>Contains</t>
        </is>
      </c>
      <c r="F166" t="inlineStr">
        <is>
          <t>SPORT CHEK</t>
        </is>
      </c>
      <c r="G166" s="19" t="n"/>
      <c r="H166" s="19" t="n"/>
      <c r="I166" t="inlineStr">
        <is>
          <t>Money out</t>
        </is>
      </c>
      <c r="J166" t="inlineStr">
        <is>
          <t>Fitness &amp; Sports</t>
        </is>
      </c>
      <c r="L166" t="n">
        <v>0</v>
      </c>
      <c r="M166" t="inlineStr">
        <is>
          <t>Built in</t>
        </is>
      </c>
    </row>
    <row r="167">
      <c r="B167" t="n">
        <v>71</v>
      </c>
      <c r="C167" t="inlineStr">
        <is>
          <t>Yes</t>
        </is>
      </c>
      <c r="D167" t="inlineStr">
        <is>
          <t>Merchant</t>
        </is>
      </c>
      <c r="E167" t="inlineStr">
        <is>
          <t>Word</t>
        </is>
      </c>
      <c r="F167" t="inlineStr">
        <is>
          <t>MEC</t>
        </is>
      </c>
      <c r="G167" s="19" t="n"/>
      <c r="H167" s="19" t="n"/>
      <c r="I167" t="inlineStr">
        <is>
          <t>Money out</t>
        </is>
      </c>
      <c r="J167" t="inlineStr">
        <is>
          <t>Fitness &amp; Sports</t>
        </is>
      </c>
      <c r="L167" t="n">
        <v>0</v>
      </c>
      <c r="M167" t="inlineStr">
        <is>
          <t>Built in</t>
        </is>
      </c>
    </row>
    <row r="168">
      <c r="B168" t="n">
        <v>71</v>
      </c>
      <c r="C168" t="inlineStr">
        <is>
          <t>Yes</t>
        </is>
      </c>
      <c r="D168" t="inlineStr">
        <is>
          <t>Merchant</t>
        </is>
      </c>
      <c r="E168" t="inlineStr">
        <is>
          <t>Contains</t>
        </is>
      </c>
      <c r="F168" t="inlineStr">
        <is>
          <t>HOME DEPOT</t>
        </is>
      </c>
      <c r="G168" s="19" t="n"/>
      <c r="H168" s="19" t="n"/>
      <c r="I168" t="inlineStr">
        <is>
          <t>Money out</t>
        </is>
      </c>
      <c r="J168" t="inlineStr">
        <is>
          <t>Home Improvement</t>
        </is>
      </c>
      <c r="L168" t="n">
        <v>0</v>
      </c>
      <c r="M168" t="inlineStr">
        <is>
          <t>Built in</t>
        </is>
      </c>
    </row>
    <row r="169">
      <c r="B169" t="n">
        <v>71</v>
      </c>
      <c r="C169" t="inlineStr">
        <is>
          <t>Yes</t>
        </is>
      </c>
      <c r="D169" t="inlineStr">
        <is>
          <t>Merchant</t>
        </is>
      </c>
      <c r="E169" t="inlineStr">
        <is>
          <t>Contains</t>
        </is>
      </c>
      <c r="F169" t="inlineStr">
        <is>
          <t>RONA</t>
        </is>
      </c>
      <c r="G169" s="19" t="n"/>
      <c r="H169" s="19" t="n"/>
      <c r="I169" t="inlineStr">
        <is>
          <t>Money out</t>
        </is>
      </c>
      <c r="J169" t="inlineStr">
        <is>
          <t>Home Improvement</t>
        </is>
      </c>
      <c r="L169" t="n">
        <v>0</v>
      </c>
      <c r="M169" t="inlineStr">
        <is>
          <t>Built in</t>
        </is>
      </c>
    </row>
    <row r="170">
      <c r="B170" t="n">
        <v>71</v>
      </c>
      <c r="C170" t="inlineStr">
        <is>
          <t>Yes</t>
        </is>
      </c>
      <c r="D170" t="inlineStr">
        <is>
          <t>Merchant</t>
        </is>
      </c>
      <c r="E170" t="inlineStr">
        <is>
          <t>Contains</t>
        </is>
      </c>
      <c r="F170" t="inlineStr">
        <is>
          <t>LOWE</t>
        </is>
      </c>
      <c r="G170" s="19" t="n"/>
      <c r="H170" s="19" t="n"/>
      <c r="I170" t="inlineStr">
        <is>
          <t>Money out</t>
        </is>
      </c>
      <c r="J170" t="inlineStr">
        <is>
          <t>Home Improvement</t>
        </is>
      </c>
      <c r="L170" t="n">
        <v>0</v>
      </c>
      <c r="M170" t="inlineStr">
        <is>
          <t>Built in</t>
        </is>
      </c>
    </row>
    <row r="171">
      <c r="B171" t="n">
        <v>71</v>
      </c>
      <c r="C171" t="inlineStr">
        <is>
          <t>Yes</t>
        </is>
      </c>
      <c r="D171" t="inlineStr">
        <is>
          <t>Merchant</t>
        </is>
      </c>
      <c r="E171" t="inlineStr">
        <is>
          <t>Contains</t>
        </is>
      </c>
      <c r="F171" t="inlineStr">
        <is>
          <t>IKEA</t>
        </is>
      </c>
      <c r="G171" s="19" t="n"/>
      <c r="H171" s="19" t="n"/>
      <c r="I171" t="inlineStr">
        <is>
          <t>Money out</t>
        </is>
      </c>
      <c r="J171" t="inlineStr">
        <is>
          <t>Furniture &amp; Housewares</t>
        </is>
      </c>
      <c r="L171" t="n">
        <v>0</v>
      </c>
      <c r="M171" t="inlineStr">
        <is>
          <t>Built in</t>
        </is>
      </c>
    </row>
    <row r="172">
      <c r="B172" t="n">
        <v>71</v>
      </c>
      <c r="C172" t="inlineStr">
        <is>
          <t>Yes</t>
        </is>
      </c>
      <c r="D172" t="inlineStr">
        <is>
          <t>Merchant</t>
        </is>
      </c>
      <c r="E172" t="inlineStr">
        <is>
          <t>Contains</t>
        </is>
      </c>
      <c r="F172" t="inlineStr">
        <is>
          <t>DOLLARAMA</t>
        </is>
      </c>
      <c r="G172" s="19" t="n"/>
      <c r="H172" s="19" t="n"/>
      <c r="I172" t="inlineStr">
        <is>
          <t>Money out</t>
        </is>
      </c>
      <c r="J172" t="inlineStr">
        <is>
          <t>Miscellaneous</t>
        </is>
      </c>
      <c r="L172" t="n">
        <v>0</v>
      </c>
      <c r="M172" t="inlineStr">
        <is>
          <t>Built in</t>
        </is>
      </c>
    </row>
    <row r="173">
      <c r="B173" t="n">
        <v>71</v>
      </c>
      <c r="C173" t="inlineStr">
        <is>
          <t>Yes</t>
        </is>
      </c>
      <c r="D173" t="inlineStr">
        <is>
          <t>Merchant</t>
        </is>
      </c>
      <c r="E173" t="inlineStr">
        <is>
          <t>Contains</t>
        </is>
      </c>
      <c r="F173" t="inlineStr">
        <is>
          <t>PETSMART</t>
        </is>
      </c>
      <c r="G173" s="19" t="n"/>
      <c r="H173" s="19" t="n"/>
      <c r="I173" t="inlineStr">
        <is>
          <t>Money out</t>
        </is>
      </c>
      <c r="J173" t="inlineStr">
        <is>
          <t>Pet Care</t>
        </is>
      </c>
      <c r="L173" t="n">
        <v>0</v>
      </c>
      <c r="M173" t="inlineStr">
        <is>
          <t>Built in</t>
        </is>
      </c>
    </row>
    <row r="174">
      <c r="B174" t="n">
        <v>71</v>
      </c>
      <c r="C174" t="inlineStr">
        <is>
          <t>Yes</t>
        </is>
      </c>
      <c r="D174" t="inlineStr">
        <is>
          <t>Merchant</t>
        </is>
      </c>
      <c r="E174" t="inlineStr">
        <is>
          <t>Contains</t>
        </is>
      </c>
      <c r="F174" t="inlineStr">
        <is>
          <t>PET VALU</t>
        </is>
      </c>
      <c r="G174" s="19" t="n"/>
      <c r="H174" s="19" t="n"/>
      <c r="I174" t="inlineStr">
        <is>
          <t>Money out</t>
        </is>
      </c>
      <c r="J174" t="inlineStr">
        <is>
          <t>Pet Care</t>
        </is>
      </c>
      <c r="L174" t="n">
        <v>0</v>
      </c>
      <c r="M174" t="inlineStr">
        <is>
          <t>Built in</t>
        </is>
      </c>
    </row>
    <row r="175">
      <c r="B175" t="n">
        <v>71</v>
      </c>
      <c r="C175" t="inlineStr">
        <is>
          <t>Yes</t>
        </is>
      </c>
      <c r="D175" t="inlineStr">
        <is>
          <t>Merchant</t>
        </is>
      </c>
      <c r="E175" t="inlineStr">
        <is>
          <t>Contains</t>
        </is>
      </c>
      <c r="F175" t="inlineStr">
        <is>
          <t>VETERINARY</t>
        </is>
      </c>
      <c r="G175" s="19" t="n"/>
      <c r="H175" s="19" t="n"/>
      <c r="I175" t="inlineStr">
        <is>
          <t>Money out</t>
        </is>
      </c>
      <c r="J175" t="inlineStr">
        <is>
          <t>Pet Care</t>
        </is>
      </c>
      <c r="L175" t="n">
        <v>0</v>
      </c>
      <c r="M175" t="inlineStr">
        <is>
          <t>Built in</t>
        </is>
      </c>
    </row>
    <row r="176">
      <c r="B176" t="n">
        <v>80</v>
      </c>
      <c r="C176" t="inlineStr">
        <is>
          <t>Yes</t>
        </is>
      </c>
      <c r="D176" t="inlineStr">
        <is>
          <t>Description</t>
        </is>
      </c>
      <c r="E176" t="inlineStr">
        <is>
          <t>Contains</t>
        </is>
      </c>
      <c r="F176" t="inlineStr">
        <is>
          <t>MONTHLY FEE</t>
        </is>
      </c>
      <c r="G176" s="19" t="n"/>
      <c r="H176" s="19" t="n"/>
      <c r="I176" t="inlineStr">
        <is>
          <t>Money out</t>
        </is>
      </c>
      <c r="J176" t="inlineStr">
        <is>
          <t>Bank Fees</t>
        </is>
      </c>
      <c r="L176" t="n">
        <v>0</v>
      </c>
      <c r="M176" t="inlineStr">
        <is>
          <t>Built in</t>
        </is>
      </c>
    </row>
    <row r="177">
      <c r="B177" t="n">
        <v>80</v>
      </c>
      <c r="C177" t="inlineStr">
        <is>
          <t>Yes</t>
        </is>
      </c>
      <c r="D177" t="inlineStr">
        <is>
          <t>Description</t>
        </is>
      </c>
      <c r="E177" t="inlineStr">
        <is>
          <t>Contains</t>
        </is>
      </c>
      <c r="F177" t="inlineStr">
        <is>
          <t>MONTHLY ACCOUNT FEE</t>
        </is>
      </c>
      <c r="G177" s="19" t="n"/>
      <c r="H177" s="19" t="n"/>
      <c r="I177" t="inlineStr">
        <is>
          <t>Money out</t>
        </is>
      </c>
      <c r="J177" t="inlineStr">
        <is>
          <t>Bank Fees</t>
        </is>
      </c>
      <c r="L177" t="n">
        <v>0</v>
      </c>
      <c r="M177" t="inlineStr">
        <is>
          <t>Built in</t>
        </is>
      </c>
    </row>
    <row r="178">
      <c r="B178" t="n">
        <v>80</v>
      </c>
      <c r="C178" t="inlineStr">
        <is>
          <t>Yes</t>
        </is>
      </c>
      <c r="D178" t="inlineStr">
        <is>
          <t>Description</t>
        </is>
      </c>
      <c r="E178" t="inlineStr">
        <is>
          <t>Contains</t>
        </is>
      </c>
      <c r="F178" t="inlineStr">
        <is>
          <t>OVERDRAFT</t>
        </is>
      </c>
      <c r="G178" s="19" t="n"/>
      <c r="H178" s="19" t="n"/>
      <c r="I178" t="inlineStr">
        <is>
          <t>Money out</t>
        </is>
      </c>
      <c r="J178" t="inlineStr">
        <is>
          <t>Bank Fees</t>
        </is>
      </c>
      <c r="L178" t="n">
        <v>0</v>
      </c>
      <c r="M178" t="inlineStr">
        <is>
          <t>Built in</t>
        </is>
      </c>
    </row>
    <row r="179">
      <c r="B179" t="n">
        <v>80</v>
      </c>
      <c r="C179" t="inlineStr">
        <is>
          <t>Yes</t>
        </is>
      </c>
      <c r="D179" t="inlineStr">
        <is>
          <t>Description</t>
        </is>
      </c>
      <c r="E179" t="inlineStr">
        <is>
          <t>Contains</t>
        </is>
      </c>
      <c r="F179" t="inlineStr">
        <is>
          <t>SERVICE CHARGE</t>
        </is>
      </c>
      <c r="G179" s="19" t="n"/>
      <c r="H179" s="19" t="n"/>
      <c r="I179" t="inlineStr">
        <is>
          <t>Money out</t>
        </is>
      </c>
      <c r="J179" t="inlineStr">
        <is>
          <t>Bank Fees</t>
        </is>
      </c>
      <c r="L179" t="n">
        <v>0</v>
      </c>
      <c r="M179" t="inlineStr">
        <is>
          <t>Built in</t>
        </is>
      </c>
    </row>
    <row r="180">
      <c r="B180" t="n">
        <v>80</v>
      </c>
      <c r="C180" t="inlineStr">
        <is>
          <t>Yes</t>
        </is>
      </c>
      <c r="D180" t="inlineStr">
        <is>
          <t>Description</t>
        </is>
      </c>
      <c r="E180" t="inlineStr">
        <is>
          <t>Contains</t>
        </is>
      </c>
      <c r="F180" t="inlineStr">
        <is>
          <t>INTEREST CHARGE</t>
        </is>
      </c>
      <c r="G180" s="19" t="n"/>
      <c r="H180" s="19" t="n"/>
      <c r="I180" t="inlineStr">
        <is>
          <t>Money out</t>
        </is>
      </c>
      <c r="J180" t="inlineStr">
        <is>
          <t>Interest &amp; Card Charges</t>
        </is>
      </c>
      <c r="L180" t="n">
        <v>0</v>
      </c>
      <c r="M180" t="inlineStr">
        <is>
          <t>Built in</t>
        </is>
      </c>
    </row>
    <row r="181">
      <c r="B181" t="n">
        <v>80</v>
      </c>
      <c r="C181" t="inlineStr">
        <is>
          <t>Yes</t>
        </is>
      </c>
      <c r="D181" t="inlineStr">
        <is>
          <t>Description</t>
        </is>
      </c>
      <c r="E181" t="inlineStr">
        <is>
          <t>Contains</t>
        </is>
      </c>
      <c r="F181" t="inlineStr">
        <is>
          <t>FOREIGN CURRENCY</t>
        </is>
      </c>
      <c r="G181" s="19" t="n"/>
      <c r="H181" s="19" t="n"/>
      <c r="I181" t="inlineStr">
        <is>
          <t>Money out</t>
        </is>
      </c>
      <c r="J181" t="inlineStr">
        <is>
          <t>Foreign Exchange Fees</t>
        </is>
      </c>
      <c r="L181" t="n">
        <v>0</v>
      </c>
      <c r="M181" t="inlineStr">
        <is>
          <t>Built in</t>
        </is>
      </c>
    </row>
    <row r="182">
      <c r="B182" t="n">
        <v>80</v>
      </c>
      <c r="C182" t="inlineStr">
        <is>
          <t>Yes</t>
        </is>
      </c>
      <c r="D182" t="inlineStr">
        <is>
          <t>Merchant</t>
        </is>
      </c>
      <c r="E182" t="inlineStr">
        <is>
          <t>Contains</t>
        </is>
      </c>
      <c r="F182" t="inlineStr">
        <is>
          <t>SUN LIFE</t>
        </is>
      </c>
      <c r="G182" s="19" t="n"/>
      <c r="H182" s="19" t="n"/>
      <c r="I182" t="inlineStr">
        <is>
          <t>Money out</t>
        </is>
      </c>
      <c r="J182" t="inlineStr">
        <is>
          <t>Life &amp; Disability Insurance</t>
        </is>
      </c>
      <c r="L182" t="n">
        <v>0</v>
      </c>
      <c r="M182" t="inlineStr">
        <is>
          <t>Built in</t>
        </is>
      </c>
    </row>
    <row r="183">
      <c r="B183" t="n">
        <v>80</v>
      </c>
      <c r="C183" t="inlineStr">
        <is>
          <t>Yes</t>
        </is>
      </c>
      <c r="D183" t="inlineStr">
        <is>
          <t>Merchant</t>
        </is>
      </c>
      <c r="E183" t="inlineStr">
        <is>
          <t>Contains</t>
        </is>
      </c>
      <c r="F183" t="inlineStr">
        <is>
          <t>MANULIFE</t>
        </is>
      </c>
      <c r="G183" s="19" t="n"/>
      <c r="H183" s="19" t="n"/>
      <c r="I183" t="inlineStr">
        <is>
          <t>Money out</t>
        </is>
      </c>
      <c r="J183" t="inlineStr">
        <is>
          <t>Life &amp; Disability Insurance</t>
        </is>
      </c>
      <c r="L183" t="n">
        <v>0</v>
      </c>
      <c r="M183" t="inlineStr">
        <is>
          <t>Built in</t>
        </is>
      </c>
    </row>
    <row r="184">
      <c r="B184" t="n">
        <v>80</v>
      </c>
      <c r="C184" t="inlineStr">
        <is>
          <t>Yes</t>
        </is>
      </c>
      <c r="D184" t="inlineStr">
        <is>
          <t>Merchant</t>
        </is>
      </c>
      <c r="E184" t="inlineStr">
        <is>
          <t>Contains</t>
        </is>
      </c>
      <c r="F184" t="inlineStr">
        <is>
          <t>CANADA LIFE</t>
        </is>
      </c>
      <c r="G184" s="19" t="n"/>
      <c r="H184" s="19" t="n"/>
      <c r="I184" t="inlineStr">
        <is>
          <t>Money out</t>
        </is>
      </c>
      <c r="J184" t="inlineStr">
        <is>
          <t>Life &amp; Disability Insurance</t>
        </is>
      </c>
      <c r="L184" t="n">
        <v>0</v>
      </c>
      <c r="M184" t="inlineStr">
        <is>
          <t>Built in</t>
        </is>
      </c>
    </row>
    <row r="185">
      <c r="B185" t="n">
        <v>81</v>
      </c>
      <c r="C185" t="inlineStr">
        <is>
          <t>Yes</t>
        </is>
      </c>
      <c r="D185" t="inlineStr">
        <is>
          <t>Merchant</t>
        </is>
      </c>
      <c r="E185" t="inlineStr">
        <is>
          <t>Contains</t>
        </is>
      </c>
      <c r="F185" t="inlineStr">
        <is>
          <t>WEALTHSIMPLE</t>
        </is>
      </c>
      <c r="G185" s="19" t="n"/>
      <c r="H185" s="19" t="n"/>
      <c r="I185" t="inlineStr">
        <is>
          <t>Money out</t>
        </is>
      </c>
      <c r="J185" t="inlineStr">
        <is>
          <t>Non-Registered Investing</t>
        </is>
      </c>
      <c r="L185" t="n">
        <v>0</v>
      </c>
      <c r="M185" t="inlineStr">
        <is>
          <t>Built in</t>
        </is>
      </c>
    </row>
    <row r="186">
      <c r="B186" t="n">
        <v>81</v>
      </c>
      <c r="C186" t="inlineStr">
        <is>
          <t>Yes</t>
        </is>
      </c>
      <c r="D186" t="inlineStr">
        <is>
          <t>Merchant</t>
        </is>
      </c>
      <c r="E186" t="inlineStr">
        <is>
          <t>Contains</t>
        </is>
      </c>
      <c r="F186" t="inlineStr">
        <is>
          <t>QUESTRADE</t>
        </is>
      </c>
      <c r="G186" s="19" t="n"/>
      <c r="H186" s="19" t="n"/>
      <c r="I186" t="inlineStr">
        <is>
          <t>Money out</t>
        </is>
      </c>
      <c r="J186" t="inlineStr">
        <is>
          <t>Non-Registered Investing</t>
        </is>
      </c>
      <c r="L186" t="n">
        <v>0</v>
      </c>
      <c r="M186" t="inlineStr">
        <is>
          <t>Built in</t>
        </is>
      </c>
    </row>
    <row r="187">
      <c r="B187" t="n">
        <v>82</v>
      </c>
      <c r="C187" t="inlineStr">
        <is>
          <t>Yes</t>
        </is>
      </c>
      <c r="D187" t="inlineStr">
        <is>
          <t>Merchant</t>
        </is>
      </c>
      <c r="E187" t="inlineStr">
        <is>
          <t>Contains</t>
        </is>
      </c>
      <c r="F187" t="inlineStr">
        <is>
          <t>RED CROSS</t>
        </is>
      </c>
      <c r="G187" s="19" t="n"/>
      <c r="H187" s="19" t="n"/>
      <c r="I187" t="inlineStr">
        <is>
          <t>Money out</t>
        </is>
      </c>
      <c r="J187" t="inlineStr">
        <is>
          <t>Donations</t>
        </is>
      </c>
      <c r="L187" t="n">
        <v>0</v>
      </c>
      <c r="M187" t="inlineStr">
        <is>
          <t>Built in</t>
        </is>
      </c>
    </row>
    <row r="188">
      <c r="B188" t="n">
        <v>82</v>
      </c>
      <c r="C188" t="inlineStr">
        <is>
          <t>Yes</t>
        </is>
      </c>
      <c r="D188" t="inlineStr">
        <is>
          <t>Merchant</t>
        </is>
      </c>
      <c r="E188" t="inlineStr">
        <is>
          <t>Contains</t>
        </is>
      </c>
      <c r="F188" t="inlineStr">
        <is>
          <t>UNITED WAY</t>
        </is>
      </c>
      <c r="G188" s="19" t="n"/>
      <c r="H188" s="19" t="n"/>
      <c r="I188" t="inlineStr">
        <is>
          <t>Money out</t>
        </is>
      </c>
      <c r="J188" t="inlineStr">
        <is>
          <t>Donations</t>
        </is>
      </c>
      <c r="L188" t="n">
        <v>0</v>
      </c>
      <c r="M188" t="inlineStr">
        <is>
          <t>Built in</t>
        </is>
      </c>
    </row>
    <row r="189">
      <c r="B189" t="n">
        <v>82</v>
      </c>
      <c r="C189" t="inlineStr">
        <is>
          <t>Yes</t>
        </is>
      </c>
      <c r="D189" t="inlineStr">
        <is>
          <t>Merchant</t>
        </is>
      </c>
      <c r="E189" t="inlineStr">
        <is>
          <t>Contains</t>
        </is>
      </c>
      <c r="F189" t="inlineStr">
        <is>
          <t>FOOD BANK</t>
        </is>
      </c>
      <c r="G189" s="19" t="n"/>
      <c r="H189" s="19" t="n"/>
      <c r="I189" t="inlineStr">
        <is>
          <t>Money out</t>
        </is>
      </c>
      <c r="J189" t="inlineStr">
        <is>
          <t>Donations</t>
        </is>
      </c>
      <c r="L189" t="n">
        <v>0</v>
      </c>
      <c r="M189" t="inlineStr">
        <is>
          <t>Built in</t>
        </is>
      </c>
    </row>
    <row r="190">
      <c r="B190" t="n">
        <v>82</v>
      </c>
      <c r="C190" t="inlineStr">
        <is>
          <t>Yes</t>
        </is>
      </c>
      <c r="D190" t="inlineStr">
        <is>
          <t>Description</t>
        </is>
      </c>
      <c r="E190" t="inlineStr">
        <is>
          <t>Contains</t>
        </is>
      </c>
      <c r="F190" t="inlineStr">
        <is>
          <t>DONATION</t>
        </is>
      </c>
      <c r="G190" s="19" t="n"/>
      <c r="H190" s="19" t="n"/>
      <c r="I190" t="inlineStr">
        <is>
          <t>Money out</t>
        </is>
      </c>
      <c r="J190" t="inlineStr">
        <is>
          <t>Donations</t>
        </is>
      </c>
      <c r="L190" t="n">
        <v>0</v>
      </c>
      <c r="M190" t="inlineStr">
        <is>
          <t>Built in</t>
        </is>
      </c>
    </row>
    <row r="191">
      <c r="B191" t="n">
        <v>83</v>
      </c>
      <c r="C191" t="inlineStr">
        <is>
          <t>Yes</t>
        </is>
      </c>
      <c r="D191" t="inlineStr">
        <is>
          <t>Description</t>
        </is>
      </c>
      <c r="E191" t="inlineStr">
        <is>
          <t>Contains</t>
        </is>
      </c>
      <c r="F191" t="inlineStr">
        <is>
          <t>DAYCARE</t>
        </is>
      </c>
      <c r="G191" s="19" t="n"/>
      <c r="H191" s="19" t="n"/>
      <c r="I191" t="inlineStr">
        <is>
          <t>Money out</t>
        </is>
      </c>
      <c r="J191" t="inlineStr">
        <is>
          <t>Childcare &amp; Daycare</t>
        </is>
      </c>
      <c r="L191" t="n">
        <v>0</v>
      </c>
      <c r="M191" t="inlineStr">
        <is>
          <t>Built in</t>
        </is>
      </c>
    </row>
    <row r="192">
      <c r="B192" t="n">
        <v>83</v>
      </c>
      <c r="C192" t="inlineStr">
        <is>
          <t>Yes</t>
        </is>
      </c>
      <c r="D192" t="inlineStr">
        <is>
          <t>Description</t>
        </is>
      </c>
      <c r="E192" t="inlineStr">
        <is>
          <t>Contains</t>
        </is>
      </c>
      <c r="F192" t="inlineStr">
        <is>
          <t>CHILDCARE</t>
        </is>
      </c>
      <c r="G192" s="19" t="n"/>
      <c r="H192" s="19" t="n"/>
      <c r="I192" t="inlineStr">
        <is>
          <t>Money out</t>
        </is>
      </c>
      <c r="J192" t="inlineStr">
        <is>
          <t>Childcare &amp; Daycare</t>
        </is>
      </c>
      <c r="L192" t="n">
        <v>0</v>
      </c>
      <c r="M192" t="inlineStr">
        <is>
          <t>Built in</t>
        </is>
      </c>
    </row>
    <row r="193">
      <c r="B193" t="n">
        <v>83</v>
      </c>
      <c r="C193" t="inlineStr">
        <is>
          <t>Yes</t>
        </is>
      </c>
      <c r="D193" t="inlineStr">
        <is>
          <t>Merchant</t>
        </is>
      </c>
      <c r="E193" t="inlineStr">
        <is>
          <t>Contains</t>
        </is>
      </c>
      <c r="F193" t="inlineStr">
        <is>
          <t>YOUR UNIVERSITY</t>
        </is>
      </c>
      <c r="G193" s="19" t="n"/>
      <c r="H193" s="19" t="n"/>
      <c r="I193" t="inlineStr">
        <is>
          <t>Money out</t>
        </is>
      </c>
      <c r="J193" t="inlineStr">
        <is>
          <t>Tuition</t>
        </is>
      </c>
      <c r="L193" t="n">
        <v>0</v>
      </c>
      <c r="M193" t="inlineStr">
        <is>
          <t>Built in</t>
        </is>
      </c>
    </row>
    <row r="194">
      <c r="B194" t="n">
        <v>84</v>
      </c>
      <c r="C194" t="inlineStr">
        <is>
          <t>Yes</t>
        </is>
      </c>
      <c r="D194" t="inlineStr">
        <is>
          <t>Description</t>
        </is>
      </c>
      <c r="E194" t="inlineStr">
        <is>
          <t>Contains</t>
        </is>
      </c>
      <c r="F194" t="inlineStr">
        <is>
          <t>MORTGAGE</t>
        </is>
      </c>
      <c r="G194" s="19" t="n"/>
      <c r="H194" s="19" t="n"/>
      <c r="I194" t="inlineStr">
        <is>
          <t>Money out</t>
        </is>
      </c>
      <c r="J194" t="inlineStr">
        <is>
          <t>Mortgage Payment</t>
        </is>
      </c>
      <c r="L194" t="n">
        <v>0</v>
      </c>
      <c r="M194" t="inlineStr">
        <is>
          <t>Built in</t>
        </is>
      </c>
    </row>
    <row r="195">
      <c r="B195" t="n">
        <v>84</v>
      </c>
      <c r="C195" t="inlineStr">
        <is>
          <t>Yes</t>
        </is>
      </c>
      <c r="D195" t="inlineStr">
        <is>
          <t>Description</t>
        </is>
      </c>
      <c r="E195" t="inlineStr">
        <is>
          <t>Contains</t>
        </is>
      </c>
      <c r="F195" t="inlineStr">
        <is>
          <t>RENT</t>
        </is>
      </c>
      <c r="G195" s="19" t="n"/>
      <c r="H195" s="19" t="n"/>
      <c r="I195" t="inlineStr">
        <is>
          <t>Money out</t>
        </is>
      </c>
      <c r="J195" t="inlineStr">
        <is>
          <t>Rent</t>
        </is>
      </c>
      <c r="L195" t="n">
        <v>0</v>
      </c>
      <c r="M195" t="inlineStr">
        <is>
          <t>Built in</t>
        </is>
      </c>
    </row>
    <row r="196">
      <c r="B196" t="n">
        <v>84</v>
      </c>
      <c r="C196" t="inlineStr">
        <is>
          <t>Yes</t>
        </is>
      </c>
      <c r="D196" t="inlineStr">
        <is>
          <t>Description</t>
        </is>
      </c>
      <c r="E196" t="inlineStr">
        <is>
          <t>Contains</t>
        </is>
      </c>
      <c r="F196" t="inlineStr">
        <is>
          <t>PROPERTY TAX</t>
        </is>
      </c>
      <c r="G196" s="19" t="n"/>
      <c r="H196" s="19" t="n"/>
      <c r="I196" t="inlineStr">
        <is>
          <t>Money out</t>
        </is>
      </c>
      <c r="J196" t="inlineStr">
        <is>
          <t>Property Tax</t>
        </is>
      </c>
      <c r="L196" t="n">
        <v>0</v>
      </c>
      <c r="M196" t="inlineStr">
        <is>
          <t>Built in</t>
        </is>
      </c>
    </row>
    <row r="197">
      <c r="B197" t="n">
        <v>84</v>
      </c>
      <c r="C197" t="inlineStr">
        <is>
          <t>Yes</t>
        </is>
      </c>
      <c r="D197" t="inlineStr">
        <is>
          <t>Description</t>
        </is>
      </c>
      <c r="E197" t="inlineStr">
        <is>
          <t>Contains</t>
        </is>
      </c>
      <c r="F197" t="inlineStr">
        <is>
          <t>OSAP</t>
        </is>
      </c>
      <c r="G197" s="19" t="n"/>
      <c r="H197" s="19" t="n"/>
      <c r="I197" t="inlineStr">
        <is>
          <t>Money out</t>
        </is>
      </c>
      <c r="J197" t="inlineStr">
        <is>
          <t>Student Loan Payment</t>
        </is>
      </c>
      <c r="L197" t="n">
        <v>0</v>
      </c>
      <c r="M197" t="inlineStr">
        <is>
          <t>Built in</t>
        </is>
      </c>
    </row>
    <row r="198">
      <c r="B198" t="n">
        <v>84</v>
      </c>
      <c r="C198" t="inlineStr">
        <is>
          <t>Yes</t>
        </is>
      </c>
      <c r="D198" t="inlineStr">
        <is>
          <t>Description</t>
        </is>
      </c>
      <c r="E198" t="inlineStr">
        <is>
          <t>Contains</t>
        </is>
      </c>
      <c r="F198" t="inlineStr">
        <is>
          <t>STUDENT LOAN</t>
        </is>
      </c>
      <c r="G198" s="19" t="n"/>
      <c r="H198" s="19" t="n"/>
      <c r="I198" t="inlineStr">
        <is>
          <t>Money out</t>
        </is>
      </c>
      <c r="J198" t="inlineStr">
        <is>
          <t>Student Loan Payment</t>
        </is>
      </c>
      <c r="L198" t="n">
        <v>0</v>
      </c>
      <c r="M198" t="inlineStr">
        <is>
          <t>Built in</t>
        </is>
      </c>
    </row>
  </sheetData>
  <dataValidations count="6">
    <dataValidation sqref="C5:C398" showDropDown="0" showInputMessage="0" showErrorMessage="0" allowBlank="1" type="list">
      <formula1>=YesNoList</formula1>
    </dataValidation>
    <dataValidation sqref="D5:D398" showDropDown="0" showInputMessage="0" showErrorMessage="0" allowBlank="1" type="list">
      <formula1>=RuleFieldList</formula1>
    </dataValidation>
    <dataValidation sqref="E5:E398" showDropDown="0" showInputMessage="0" showErrorMessage="0" allowBlank="1" type="list">
      <formula1>=RuleTestList</formula1>
    </dataValidation>
    <dataValidation sqref="I5:I398" showDropDown="0" showInputMessage="0" showErrorMessage="0" allowBlank="1" type="list">
      <formula1>=RuleFlowList</formula1>
    </dataValidation>
    <dataValidation sqref="J5:J398" showDropDown="0" showInputMessage="0" showErrorMessage="0" allowBlank="1" type="list">
      <formula1>=CategoryList</formula1>
    </dataValidation>
    <dataValidation sqref="K5:K398" showDropDown="0" showInputMessage="0" showErrorMessage="0" allowBlank="1" type="list">
      <formula1>=OwnerList</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codeName="shBudget">
    <tabColor rgb="000F6E5C"/>
    <outlinePr summaryBelow="1" summaryRight="1"/>
    <pageSetUpPr fitToPage="1"/>
  </sheetPr>
  <dimension ref="B1:K12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28" customWidth="1" min="2" max="2"/>
    <col width="15" customWidth="1" min="3" max="3"/>
    <col width="10" customWidth="1" min="4" max="4"/>
    <col width="14" customWidth="1" min="5" max="5"/>
    <col width="14" customWidth="1" min="6" max="6"/>
    <col width="14" customWidth="1" min="7" max="7"/>
    <col width="11" customWidth="1" min="8" max="8"/>
    <col width="16" customWidth="1" min="9" max="9"/>
    <col width="26" customWidth="1" min="10" max="10"/>
    <col hidden="1" width="13" customWidth="1" min="11" max="11"/>
  </cols>
  <sheetData>
    <row r="1">
      <c r="B1" s="1" t="inlineStr">
        <is>
          <t>Budget</t>
        </is>
      </c>
    </row>
    <row r="2">
      <c r="B2" s="2" t="inlineStr">
        <is>
          <t>Set a monthly budget per category on the Categories sheet; this page compares it with what actually happened in the report month chosen on the Dashboard. Income and spending are both shown as positive numbers, and a negative Difference always means the month went the wrong way.</t>
        </is>
      </c>
    </row>
    <row r="3">
      <c r="B3" s="3" t="inlineStr">
        <is>
          <t>Month shown</t>
        </is>
      </c>
      <c r="C3" s="21">
        <f>ReportMonth</f>
        <v/>
      </c>
    </row>
    <row r="5">
      <c r="B5" s="17" t="inlineStr">
        <is>
          <t>Category</t>
        </is>
      </c>
      <c r="C5" s="17" t="inlineStr">
        <is>
          <t>Group</t>
        </is>
      </c>
      <c r="D5" s="17" t="inlineStr">
        <is>
          <t>Type</t>
        </is>
      </c>
      <c r="E5" s="17" t="inlineStr">
        <is>
          <t>Budget</t>
        </is>
      </c>
      <c r="F5" s="17" t="inlineStr">
        <is>
          <t>Actual</t>
        </is>
      </c>
      <c r="G5" s="17" t="inlineStr">
        <is>
          <t>Difference</t>
        </is>
      </c>
      <c r="H5" s="17" t="inlineStr">
        <is>
          <t>% used</t>
        </is>
      </c>
      <c r="I5" s="17" t="inlineStr">
        <is>
          <t>12-month average</t>
        </is>
      </c>
      <c r="J5" s="17" t="inlineStr">
        <is>
          <t>Notes</t>
        </is>
      </c>
    </row>
    <row r="6">
      <c r="B6">
        <f>IFERROR(INDEX(tblCategories[Category],1),"")</f>
        <v/>
      </c>
      <c r="C6">
        <f>IF($B6="","",IFERROR(INDEX(tblCategories[Group],MATCH($B6,tblCategories[Category],0)),""))</f>
        <v/>
      </c>
      <c r="D6">
        <f>IF($B6="","",IFERROR(INDEX(tblCategories[Type],MATCH($B6,tblCategories[Category],0)),""))</f>
        <v/>
      </c>
      <c r="E6" s="19">
        <f>IF($B6="","",IFERROR(INDEX(tblCategories[Monthly Budget],MATCH($B6,tblCategories[Category],0)),0))</f>
        <v/>
      </c>
      <c r="F6" s="19">
        <f>IF($B6="","",SUMIFS(tblTxn[View Amount],tblTxn[Month],ReportMonth,tblTxn[Category],$B6)*$K6)</f>
        <v/>
      </c>
      <c r="G6" s="19">
        <f>IF(N(E6)=0,"",IF($D6="Income",F6-E6,E6-F6))</f>
        <v/>
      </c>
      <c r="H6" s="22">
        <f>IF(N(E6)=0,"",F6/E6)</f>
        <v/>
      </c>
      <c r="I6" s="19">
        <f>IF($B6="","",SUMIFS(tblTxn[View Amount],tblTxn[Category],$B6,tblTxn[Month],"&gt;="&amp;TEXT(EDATE(DATE(VALUE(LEFT(ReportMonth,4)),VALUE(RIGHT(ReportMonth,2)),1),-11),"yyyy-mm"),tblTxn[Month],"&lt;="&amp;ReportMonth)*$K6/12)</f>
        <v/>
      </c>
      <c r="K6">
        <f>IF($D6="Income",1,-1)</f>
        <v/>
      </c>
    </row>
    <row r="7">
      <c r="B7">
        <f>IFERROR(INDEX(tblCategories[Category],2),"")</f>
        <v/>
      </c>
      <c r="C7">
        <f>IF($B7="","",IFERROR(INDEX(tblCategories[Group],MATCH($B7,tblCategories[Category],0)),""))</f>
        <v/>
      </c>
      <c r="D7">
        <f>IF($B7="","",IFERROR(INDEX(tblCategories[Type],MATCH($B7,tblCategories[Category],0)),""))</f>
        <v/>
      </c>
      <c r="E7" s="19">
        <f>IF($B7="","",IFERROR(INDEX(tblCategories[Monthly Budget],MATCH($B7,tblCategories[Category],0)),0))</f>
        <v/>
      </c>
      <c r="F7" s="19">
        <f>IF($B7="","",SUMIFS(tblTxn[View Amount],tblTxn[Month],ReportMonth,tblTxn[Category],$B7)*$K7)</f>
        <v/>
      </c>
      <c r="G7" s="19">
        <f>IF(N(E7)=0,"",IF($D7="Income",F7-E7,E7-F7))</f>
        <v/>
      </c>
      <c r="H7" s="22">
        <f>IF(N(E7)=0,"",F7/E7)</f>
        <v/>
      </c>
      <c r="I7" s="19">
        <f>IF($B7="","",SUMIFS(tblTxn[View Amount],tblTxn[Category],$B7,tblTxn[Month],"&gt;="&amp;TEXT(EDATE(DATE(VALUE(LEFT(ReportMonth,4)),VALUE(RIGHT(ReportMonth,2)),1),-11),"yyyy-mm"),tblTxn[Month],"&lt;="&amp;ReportMonth)*$K7/12)</f>
        <v/>
      </c>
      <c r="K7">
        <f>IF($D7="Income",1,-1)</f>
        <v/>
      </c>
    </row>
    <row r="8">
      <c r="B8">
        <f>IFERROR(INDEX(tblCategories[Category],3),"")</f>
        <v/>
      </c>
      <c r="C8">
        <f>IF($B8="","",IFERROR(INDEX(tblCategories[Group],MATCH($B8,tblCategories[Category],0)),""))</f>
        <v/>
      </c>
      <c r="D8">
        <f>IF($B8="","",IFERROR(INDEX(tblCategories[Type],MATCH($B8,tblCategories[Category],0)),""))</f>
        <v/>
      </c>
      <c r="E8" s="19">
        <f>IF($B8="","",IFERROR(INDEX(tblCategories[Monthly Budget],MATCH($B8,tblCategories[Category],0)),0))</f>
        <v/>
      </c>
      <c r="F8" s="19">
        <f>IF($B8="","",SUMIFS(tblTxn[View Amount],tblTxn[Month],ReportMonth,tblTxn[Category],$B8)*$K8)</f>
        <v/>
      </c>
      <c r="G8" s="19">
        <f>IF(N(E8)=0,"",IF($D8="Income",F8-E8,E8-F8))</f>
        <v/>
      </c>
      <c r="H8" s="22">
        <f>IF(N(E8)=0,"",F8/E8)</f>
        <v/>
      </c>
      <c r="I8" s="19">
        <f>IF($B8="","",SUMIFS(tblTxn[View Amount],tblTxn[Category],$B8,tblTxn[Month],"&gt;="&amp;TEXT(EDATE(DATE(VALUE(LEFT(ReportMonth,4)),VALUE(RIGHT(ReportMonth,2)),1),-11),"yyyy-mm"),tblTxn[Month],"&lt;="&amp;ReportMonth)*$K8/12)</f>
        <v/>
      </c>
      <c r="K8">
        <f>IF($D8="Income",1,-1)</f>
        <v/>
      </c>
    </row>
    <row r="9">
      <c r="B9">
        <f>IFERROR(INDEX(tblCategories[Category],4),"")</f>
        <v/>
      </c>
      <c r="C9">
        <f>IF($B9="","",IFERROR(INDEX(tblCategories[Group],MATCH($B9,tblCategories[Category],0)),""))</f>
        <v/>
      </c>
      <c r="D9">
        <f>IF($B9="","",IFERROR(INDEX(tblCategories[Type],MATCH($B9,tblCategories[Category],0)),""))</f>
        <v/>
      </c>
      <c r="E9" s="19">
        <f>IF($B9="","",IFERROR(INDEX(tblCategories[Monthly Budget],MATCH($B9,tblCategories[Category],0)),0))</f>
        <v/>
      </c>
      <c r="F9" s="19">
        <f>IF($B9="","",SUMIFS(tblTxn[View Amount],tblTxn[Month],ReportMonth,tblTxn[Category],$B9)*$K9)</f>
        <v/>
      </c>
      <c r="G9" s="19">
        <f>IF(N(E9)=0,"",IF($D9="Income",F9-E9,E9-F9))</f>
        <v/>
      </c>
      <c r="H9" s="22">
        <f>IF(N(E9)=0,"",F9/E9)</f>
        <v/>
      </c>
      <c r="I9" s="19">
        <f>IF($B9="","",SUMIFS(tblTxn[View Amount],tblTxn[Category],$B9,tblTxn[Month],"&gt;="&amp;TEXT(EDATE(DATE(VALUE(LEFT(ReportMonth,4)),VALUE(RIGHT(ReportMonth,2)),1),-11),"yyyy-mm"),tblTxn[Month],"&lt;="&amp;ReportMonth)*$K9/12)</f>
        <v/>
      </c>
      <c r="K9">
        <f>IF($D9="Income",1,-1)</f>
        <v/>
      </c>
    </row>
    <row r="10">
      <c r="B10">
        <f>IFERROR(INDEX(tblCategories[Category],5),"")</f>
        <v/>
      </c>
      <c r="C10">
        <f>IF($B10="","",IFERROR(INDEX(tblCategories[Group],MATCH($B10,tblCategories[Category],0)),""))</f>
        <v/>
      </c>
      <c r="D10">
        <f>IF($B10="","",IFERROR(INDEX(tblCategories[Type],MATCH($B10,tblCategories[Category],0)),""))</f>
        <v/>
      </c>
      <c r="E10" s="19">
        <f>IF($B10="","",IFERROR(INDEX(tblCategories[Monthly Budget],MATCH($B10,tblCategories[Category],0)),0))</f>
        <v/>
      </c>
      <c r="F10" s="19">
        <f>IF($B10="","",SUMIFS(tblTxn[View Amount],tblTxn[Month],ReportMonth,tblTxn[Category],$B10)*$K10)</f>
        <v/>
      </c>
      <c r="G10" s="19">
        <f>IF(N(E10)=0,"",IF($D10="Income",F10-E10,E10-F10))</f>
        <v/>
      </c>
      <c r="H10" s="22">
        <f>IF(N(E10)=0,"",F10/E10)</f>
        <v/>
      </c>
      <c r="I10" s="19">
        <f>IF($B10="","",SUMIFS(tblTxn[View Amount],tblTxn[Category],$B10,tblTxn[Month],"&gt;="&amp;TEXT(EDATE(DATE(VALUE(LEFT(ReportMonth,4)),VALUE(RIGHT(ReportMonth,2)),1),-11),"yyyy-mm"),tblTxn[Month],"&lt;="&amp;ReportMonth)*$K10/12)</f>
        <v/>
      </c>
      <c r="K10">
        <f>IF($D10="Income",1,-1)</f>
        <v/>
      </c>
    </row>
    <row r="11">
      <c r="B11">
        <f>IFERROR(INDEX(tblCategories[Category],6),"")</f>
        <v/>
      </c>
      <c r="C11">
        <f>IF($B11="","",IFERROR(INDEX(tblCategories[Group],MATCH($B11,tblCategories[Category],0)),""))</f>
        <v/>
      </c>
      <c r="D11">
        <f>IF($B11="","",IFERROR(INDEX(tblCategories[Type],MATCH($B11,tblCategories[Category],0)),""))</f>
        <v/>
      </c>
      <c r="E11" s="19">
        <f>IF($B11="","",IFERROR(INDEX(tblCategories[Monthly Budget],MATCH($B11,tblCategories[Category],0)),0))</f>
        <v/>
      </c>
      <c r="F11" s="19">
        <f>IF($B11="","",SUMIFS(tblTxn[View Amount],tblTxn[Month],ReportMonth,tblTxn[Category],$B11)*$K11)</f>
        <v/>
      </c>
      <c r="G11" s="19">
        <f>IF(N(E11)=0,"",IF($D11="Income",F11-E11,E11-F11))</f>
        <v/>
      </c>
      <c r="H11" s="22">
        <f>IF(N(E11)=0,"",F11/E11)</f>
        <v/>
      </c>
      <c r="I11" s="19">
        <f>IF($B11="","",SUMIFS(tblTxn[View Amount],tblTxn[Category],$B11,tblTxn[Month],"&gt;="&amp;TEXT(EDATE(DATE(VALUE(LEFT(ReportMonth,4)),VALUE(RIGHT(ReportMonth,2)),1),-11),"yyyy-mm"),tblTxn[Month],"&lt;="&amp;ReportMonth)*$K11/12)</f>
        <v/>
      </c>
      <c r="K11">
        <f>IF($D11="Income",1,-1)</f>
        <v/>
      </c>
    </row>
    <row r="12">
      <c r="B12">
        <f>IFERROR(INDEX(tblCategories[Category],7),"")</f>
        <v/>
      </c>
      <c r="C12">
        <f>IF($B12="","",IFERROR(INDEX(tblCategories[Group],MATCH($B12,tblCategories[Category],0)),""))</f>
        <v/>
      </c>
      <c r="D12">
        <f>IF($B12="","",IFERROR(INDEX(tblCategories[Type],MATCH($B12,tblCategories[Category],0)),""))</f>
        <v/>
      </c>
      <c r="E12" s="19">
        <f>IF($B12="","",IFERROR(INDEX(tblCategories[Monthly Budget],MATCH($B12,tblCategories[Category],0)),0))</f>
        <v/>
      </c>
      <c r="F12" s="19">
        <f>IF($B12="","",SUMIFS(tblTxn[View Amount],tblTxn[Month],ReportMonth,tblTxn[Category],$B12)*$K12)</f>
        <v/>
      </c>
      <c r="G12" s="19">
        <f>IF(N(E12)=0,"",IF($D12="Income",F12-E12,E12-F12))</f>
        <v/>
      </c>
      <c r="H12" s="22">
        <f>IF(N(E12)=0,"",F12/E12)</f>
        <v/>
      </c>
      <c r="I12" s="19">
        <f>IF($B12="","",SUMIFS(tblTxn[View Amount],tblTxn[Category],$B12,tblTxn[Month],"&gt;="&amp;TEXT(EDATE(DATE(VALUE(LEFT(ReportMonth,4)),VALUE(RIGHT(ReportMonth,2)),1),-11),"yyyy-mm"),tblTxn[Month],"&lt;="&amp;ReportMonth)*$K12/12)</f>
        <v/>
      </c>
      <c r="K12">
        <f>IF($D12="Income",1,-1)</f>
        <v/>
      </c>
    </row>
    <row r="13">
      <c r="B13">
        <f>IFERROR(INDEX(tblCategories[Category],8),"")</f>
        <v/>
      </c>
      <c r="C13">
        <f>IF($B13="","",IFERROR(INDEX(tblCategories[Group],MATCH($B13,tblCategories[Category],0)),""))</f>
        <v/>
      </c>
      <c r="D13">
        <f>IF($B13="","",IFERROR(INDEX(tblCategories[Type],MATCH($B13,tblCategories[Category],0)),""))</f>
        <v/>
      </c>
      <c r="E13" s="19">
        <f>IF($B13="","",IFERROR(INDEX(tblCategories[Monthly Budget],MATCH($B13,tblCategories[Category],0)),0))</f>
        <v/>
      </c>
      <c r="F13" s="19">
        <f>IF($B13="","",SUMIFS(tblTxn[View Amount],tblTxn[Month],ReportMonth,tblTxn[Category],$B13)*$K13)</f>
        <v/>
      </c>
      <c r="G13" s="19">
        <f>IF(N(E13)=0,"",IF($D13="Income",F13-E13,E13-F13))</f>
        <v/>
      </c>
      <c r="H13" s="22">
        <f>IF(N(E13)=0,"",F13/E13)</f>
        <v/>
      </c>
      <c r="I13" s="19">
        <f>IF($B13="","",SUMIFS(tblTxn[View Amount],tblTxn[Category],$B13,tblTxn[Month],"&gt;="&amp;TEXT(EDATE(DATE(VALUE(LEFT(ReportMonth,4)),VALUE(RIGHT(ReportMonth,2)),1),-11),"yyyy-mm"),tblTxn[Month],"&lt;="&amp;ReportMonth)*$K13/12)</f>
        <v/>
      </c>
      <c r="K13">
        <f>IF($D13="Income",1,-1)</f>
        <v/>
      </c>
    </row>
    <row r="14">
      <c r="B14">
        <f>IFERROR(INDEX(tblCategories[Category],9),"")</f>
        <v/>
      </c>
      <c r="C14">
        <f>IF($B14="","",IFERROR(INDEX(tblCategories[Group],MATCH($B14,tblCategories[Category],0)),""))</f>
        <v/>
      </c>
      <c r="D14">
        <f>IF($B14="","",IFERROR(INDEX(tblCategories[Type],MATCH($B14,tblCategories[Category],0)),""))</f>
        <v/>
      </c>
      <c r="E14" s="19">
        <f>IF($B14="","",IFERROR(INDEX(tblCategories[Monthly Budget],MATCH($B14,tblCategories[Category],0)),0))</f>
        <v/>
      </c>
      <c r="F14" s="19">
        <f>IF($B14="","",SUMIFS(tblTxn[View Amount],tblTxn[Month],ReportMonth,tblTxn[Category],$B14)*$K14)</f>
        <v/>
      </c>
      <c r="G14" s="19">
        <f>IF(N(E14)=0,"",IF($D14="Income",F14-E14,E14-F14))</f>
        <v/>
      </c>
      <c r="H14" s="22">
        <f>IF(N(E14)=0,"",F14/E14)</f>
        <v/>
      </c>
      <c r="I14" s="19">
        <f>IF($B14="","",SUMIFS(tblTxn[View Amount],tblTxn[Category],$B14,tblTxn[Month],"&gt;="&amp;TEXT(EDATE(DATE(VALUE(LEFT(ReportMonth,4)),VALUE(RIGHT(ReportMonth,2)),1),-11),"yyyy-mm"),tblTxn[Month],"&lt;="&amp;ReportMonth)*$K14/12)</f>
        <v/>
      </c>
      <c r="K14">
        <f>IF($D14="Income",1,-1)</f>
        <v/>
      </c>
    </row>
    <row r="15">
      <c r="B15">
        <f>IFERROR(INDEX(tblCategories[Category],10),"")</f>
        <v/>
      </c>
      <c r="C15">
        <f>IF($B15="","",IFERROR(INDEX(tblCategories[Group],MATCH($B15,tblCategories[Category],0)),""))</f>
        <v/>
      </c>
      <c r="D15">
        <f>IF($B15="","",IFERROR(INDEX(tblCategories[Type],MATCH($B15,tblCategories[Category],0)),""))</f>
        <v/>
      </c>
      <c r="E15" s="19">
        <f>IF($B15="","",IFERROR(INDEX(tblCategories[Monthly Budget],MATCH($B15,tblCategories[Category],0)),0))</f>
        <v/>
      </c>
      <c r="F15" s="19">
        <f>IF($B15="","",SUMIFS(tblTxn[View Amount],tblTxn[Month],ReportMonth,tblTxn[Category],$B15)*$K15)</f>
        <v/>
      </c>
      <c r="G15" s="19">
        <f>IF(N(E15)=0,"",IF($D15="Income",F15-E15,E15-F15))</f>
        <v/>
      </c>
      <c r="H15" s="22">
        <f>IF(N(E15)=0,"",F15/E15)</f>
        <v/>
      </c>
      <c r="I15" s="19">
        <f>IF($B15="","",SUMIFS(tblTxn[View Amount],tblTxn[Category],$B15,tblTxn[Month],"&gt;="&amp;TEXT(EDATE(DATE(VALUE(LEFT(ReportMonth,4)),VALUE(RIGHT(ReportMonth,2)),1),-11),"yyyy-mm"),tblTxn[Month],"&lt;="&amp;ReportMonth)*$K15/12)</f>
        <v/>
      </c>
      <c r="K15">
        <f>IF($D15="Income",1,-1)</f>
        <v/>
      </c>
    </row>
    <row r="16">
      <c r="B16">
        <f>IFERROR(INDEX(tblCategories[Category],11),"")</f>
        <v/>
      </c>
      <c r="C16">
        <f>IF($B16="","",IFERROR(INDEX(tblCategories[Group],MATCH($B16,tblCategories[Category],0)),""))</f>
        <v/>
      </c>
      <c r="D16">
        <f>IF($B16="","",IFERROR(INDEX(tblCategories[Type],MATCH($B16,tblCategories[Category],0)),""))</f>
        <v/>
      </c>
      <c r="E16" s="19">
        <f>IF($B16="","",IFERROR(INDEX(tblCategories[Monthly Budget],MATCH($B16,tblCategories[Category],0)),0))</f>
        <v/>
      </c>
      <c r="F16" s="19">
        <f>IF($B16="","",SUMIFS(tblTxn[View Amount],tblTxn[Month],ReportMonth,tblTxn[Category],$B16)*$K16)</f>
        <v/>
      </c>
      <c r="G16" s="19">
        <f>IF(N(E16)=0,"",IF($D16="Income",F16-E16,E16-F16))</f>
        <v/>
      </c>
      <c r="H16" s="22">
        <f>IF(N(E16)=0,"",F16/E16)</f>
        <v/>
      </c>
      <c r="I16" s="19">
        <f>IF($B16="","",SUMIFS(tblTxn[View Amount],tblTxn[Category],$B16,tblTxn[Month],"&gt;="&amp;TEXT(EDATE(DATE(VALUE(LEFT(ReportMonth,4)),VALUE(RIGHT(ReportMonth,2)),1),-11),"yyyy-mm"),tblTxn[Month],"&lt;="&amp;ReportMonth)*$K16/12)</f>
        <v/>
      </c>
      <c r="K16">
        <f>IF($D16="Income",1,-1)</f>
        <v/>
      </c>
    </row>
    <row r="17">
      <c r="B17">
        <f>IFERROR(INDEX(tblCategories[Category],12),"")</f>
        <v/>
      </c>
      <c r="C17">
        <f>IF($B17="","",IFERROR(INDEX(tblCategories[Group],MATCH($B17,tblCategories[Category],0)),""))</f>
        <v/>
      </c>
      <c r="D17">
        <f>IF($B17="","",IFERROR(INDEX(tblCategories[Type],MATCH($B17,tblCategories[Category],0)),""))</f>
        <v/>
      </c>
      <c r="E17" s="19">
        <f>IF($B17="","",IFERROR(INDEX(tblCategories[Monthly Budget],MATCH($B17,tblCategories[Category],0)),0))</f>
        <v/>
      </c>
      <c r="F17" s="19">
        <f>IF($B17="","",SUMIFS(tblTxn[View Amount],tblTxn[Month],ReportMonth,tblTxn[Category],$B17)*$K17)</f>
        <v/>
      </c>
      <c r="G17" s="19">
        <f>IF(N(E17)=0,"",IF($D17="Income",F17-E17,E17-F17))</f>
        <v/>
      </c>
      <c r="H17" s="22">
        <f>IF(N(E17)=0,"",F17/E17)</f>
        <v/>
      </c>
      <c r="I17" s="19">
        <f>IF($B17="","",SUMIFS(tblTxn[View Amount],tblTxn[Category],$B17,tblTxn[Month],"&gt;="&amp;TEXT(EDATE(DATE(VALUE(LEFT(ReportMonth,4)),VALUE(RIGHT(ReportMonth,2)),1),-11),"yyyy-mm"),tblTxn[Month],"&lt;="&amp;ReportMonth)*$K17/12)</f>
        <v/>
      </c>
      <c r="K17">
        <f>IF($D17="Income",1,-1)</f>
        <v/>
      </c>
    </row>
    <row r="18">
      <c r="B18">
        <f>IFERROR(INDEX(tblCategories[Category],13),"")</f>
        <v/>
      </c>
      <c r="C18">
        <f>IF($B18="","",IFERROR(INDEX(tblCategories[Group],MATCH($B18,tblCategories[Category],0)),""))</f>
        <v/>
      </c>
      <c r="D18">
        <f>IF($B18="","",IFERROR(INDEX(tblCategories[Type],MATCH($B18,tblCategories[Category],0)),""))</f>
        <v/>
      </c>
      <c r="E18" s="19">
        <f>IF($B18="","",IFERROR(INDEX(tblCategories[Monthly Budget],MATCH($B18,tblCategories[Category],0)),0))</f>
        <v/>
      </c>
      <c r="F18" s="19">
        <f>IF($B18="","",SUMIFS(tblTxn[View Amount],tblTxn[Month],ReportMonth,tblTxn[Category],$B18)*$K18)</f>
        <v/>
      </c>
      <c r="G18" s="19">
        <f>IF(N(E18)=0,"",IF($D18="Income",F18-E18,E18-F18))</f>
        <v/>
      </c>
      <c r="H18" s="22">
        <f>IF(N(E18)=0,"",F18/E18)</f>
        <v/>
      </c>
      <c r="I18" s="19">
        <f>IF($B18="","",SUMIFS(tblTxn[View Amount],tblTxn[Category],$B18,tblTxn[Month],"&gt;="&amp;TEXT(EDATE(DATE(VALUE(LEFT(ReportMonth,4)),VALUE(RIGHT(ReportMonth,2)),1),-11),"yyyy-mm"),tblTxn[Month],"&lt;="&amp;ReportMonth)*$K18/12)</f>
        <v/>
      </c>
      <c r="K18">
        <f>IF($D18="Income",1,-1)</f>
        <v/>
      </c>
    </row>
    <row r="19">
      <c r="B19">
        <f>IFERROR(INDEX(tblCategories[Category],14),"")</f>
        <v/>
      </c>
      <c r="C19">
        <f>IF($B19="","",IFERROR(INDEX(tblCategories[Group],MATCH($B19,tblCategories[Category],0)),""))</f>
        <v/>
      </c>
      <c r="D19">
        <f>IF($B19="","",IFERROR(INDEX(tblCategories[Type],MATCH($B19,tblCategories[Category],0)),""))</f>
        <v/>
      </c>
      <c r="E19" s="19">
        <f>IF($B19="","",IFERROR(INDEX(tblCategories[Monthly Budget],MATCH($B19,tblCategories[Category],0)),0))</f>
        <v/>
      </c>
      <c r="F19" s="19">
        <f>IF($B19="","",SUMIFS(tblTxn[View Amount],tblTxn[Month],ReportMonth,tblTxn[Category],$B19)*$K19)</f>
        <v/>
      </c>
      <c r="G19" s="19">
        <f>IF(N(E19)=0,"",IF($D19="Income",F19-E19,E19-F19))</f>
        <v/>
      </c>
      <c r="H19" s="22">
        <f>IF(N(E19)=0,"",F19/E19)</f>
        <v/>
      </c>
      <c r="I19" s="19">
        <f>IF($B19="","",SUMIFS(tblTxn[View Amount],tblTxn[Category],$B19,tblTxn[Month],"&gt;="&amp;TEXT(EDATE(DATE(VALUE(LEFT(ReportMonth,4)),VALUE(RIGHT(ReportMonth,2)),1),-11),"yyyy-mm"),tblTxn[Month],"&lt;="&amp;ReportMonth)*$K19/12)</f>
        <v/>
      </c>
      <c r="K19">
        <f>IF($D19="Income",1,-1)</f>
        <v/>
      </c>
    </row>
    <row r="20">
      <c r="B20">
        <f>IFERROR(INDEX(tblCategories[Category],15),"")</f>
        <v/>
      </c>
      <c r="C20">
        <f>IF($B20="","",IFERROR(INDEX(tblCategories[Group],MATCH($B20,tblCategories[Category],0)),""))</f>
        <v/>
      </c>
      <c r="D20">
        <f>IF($B20="","",IFERROR(INDEX(tblCategories[Type],MATCH($B20,tblCategories[Category],0)),""))</f>
        <v/>
      </c>
      <c r="E20" s="19">
        <f>IF($B20="","",IFERROR(INDEX(tblCategories[Monthly Budget],MATCH($B20,tblCategories[Category],0)),0))</f>
        <v/>
      </c>
      <c r="F20" s="19">
        <f>IF($B20="","",SUMIFS(tblTxn[View Amount],tblTxn[Month],ReportMonth,tblTxn[Category],$B20)*$K20)</f>
        <v/>
      </c>
      <c r="G20" s="19">
        <f>IF(N(E20)=0,"",IF($D20="Income",F20-E20,E20-F20))</f>
        <v/>
      </c>
      <c r="H20" s="22">
        <f>IF(N(E20)=0,"",F20/E20)</f>
        <v/>
      </c>
      <c r="I20" s="19">
        <f>IF($B20="","",SUMIFS(tblTxn[View Amount],tblTxn[Category],$B20,tblTxn[Month],"&gt;="&amp;TEXT(EDATE(DATE(VALUE(LEFT(ReportMonth,4)),VALUE(RIGHT(ReportMonth,2)),1),-11),"yyyy-mm"),tblTxn[Month],"&lt;="&amp;ReportMonth)*$K20/12)</f>
        <v/>
      </c>
      <c r="K20">
        <f>IF($D20="Income",1,-1)</f>
        <v/>
      </c>
    </row>
    <row r="21">
      <c r="B21">
        <f>IFERROR(INDEX(tblCategories[Category],16),"")</f>
        <v/>
      </c>
      <c r="C21">
        <f>IF($B21="","",IFERROR(INDEX(tblCategories[Group],MATCH($B21,tblCategories[Category],0)),""))</f>
        <v/>
      </c>
      <c r="D21">
        <f>IF($B21="","",IFERROR(INDEX(tblCategories[Type],MATCH($B21,tblCategories[Category],0)),""))</f>
        <v/>
      </c>
      <c r="E21" s="19">
        <f>IF($B21="","",IFERROR(INDEX(tblCategories[Monthly Budget],MATCH($B21,tblCategories[Category],0)),0))</f>
        <v/>
      </c>
      <c r="F21" s="19">
        <f>IF($B21="","",SUMIFS(tblTxn[View Amount],tblTxn[Month],ReportMonth,tblTxn[Category],$B21)*$K21)</f>
        <v/>
      </c>
      <c r="G21" s="19">
        <f>IF(N(E21)=0,"",IF($D21="Income",F21-E21,E21-F21))</f>
        <v/>
      </c>
      <c r="H21" s="22">
        <f>IF(N(E21)=0,"",F21/E21)</f>
        <v/>
      </c>
      <c r="I21" s="19">
        <f>IF($B21="","",SUMIFS(tblTxn[View Amount],tblTxn[Category],$B21,tblTxn[Month],"&gt;="&amp;TEXT(EDATE(DATE(VALUE(LEFT(ReportMonth,4)),VALUE(RIGHT(ReportMonth,2)),1),-11),"yyyy-mm"),tblTxn[Month],"&lt;="&amp;ReportMonth)*$K21/12)</f>
        <v/>
      </c>
      <c r="K21">
        <f>IF($D21="Income",1,-1)</f>
        <v/>
      </c>
    </row>
    <row r="22">
      <c r="B22">
        <f>IFERROR(INDEX(tblCategories[Category],17),"")</f>
        <v/>
      </c>
      <c r="C22">
        <f>IF($B22="","",IFERROR(INDEX(tblCategories[Group],MATCH($B22,tblCategories[Category],0)),""))</f>
        <v/>
      </c>
      <c r="D22">
        <f>IF($B22="","",IFERROR(INDEX(tblCategories[Type],MATCH($B22,tblCategories[Category],0)),""))</f>
        <v/>
      </c>
      <c r="E22" s="19">
        <f>IF($B22="","",IFERROR(INDEX(tblCategories[Monthly Budget],MATCH($B22,tblCategories[Category],0)),0))</f>
        <v/>
      </c>
      <c r="F22" s="19">
        <f>IF($B22="","",SUMIFS(tblTxn[View Amount],tblTxn[Month],ReportMonth,tblTxn[Category],$B22)*$K22)</f>
        <v/>
      </c>
      <c r="G22" s="19">
        <f>IF(N(E22)=0,"",IF($D22="Income",F22-E22,E22-F22))</f>
        <v/>
      </c>
      <c r="H22" s="22">
        <f>IF(N(E22)=0,"",F22/E22)</f>
        <v/>
      </c>
      <c r="I22" s="19">
        <f>IF($B22="","",SUMIFS(tblTxn[View Amount],tblTxn[Category],$B22,tblTxn[Month],"&gt;="&amp;TEXT(EDATE(DATE(VALUE(LEFT(ReportMonth,4)),VALUE(RIGHT(ReportMonth,2)),1),-11),"yyyy-mm"),tblTxn[Month],"&lt;="&amp;ReportMonth)*$K22/12)</f>
        <v/>
      </c>
      <c r="K22">
        <f>IF($D22="Income",1,-1)</f>
        <v/>
      </c>
    </row>
    <row r="23">
      <c r="B23">
        <f>IFERROR(INDEX(tblCategories[Category],18),"")</f>
        <v/>
      </c>
      <c r="C23">
        <f>IF($B23="","",IFERROR(INDEX(tblCategories[Group],MATCH($B23,tblCategories[Category],0)),""))</f>
        <v/>
      </c>
      <c r="D23">
        <f>IF($B23="","",IFERROR(INDEX(tblCategories[Type],MATCH($B23,tblCategories[Category],0)),""))</f>
        <v/>
      </c>
      <c r="E23" s="19">
        <f>IF($B23="","",IFERROR(INDEX(tblCategories[Monthly Budget],MATCH($B23,tblCategories[Category],0)),0))</f>
        <v/>
      </c>
      <c r="F23" s="19">
        <f>IF($B23="","",SUMIFS(tblTxn[View Amount],tblTxn[Month],ReportMonth,tblTxn[Category],$B23)*$K23)</f>
        <v/>
      </c>
      <c r="G23" s="19">
        <f>IF(N(E23)=0,"",IF($D23="Income",F23-E23,E23-F23))</f>
        <v/>
      </c>
      <c r="H23" s="22">
        <f>IF(N(E23)=0,"",F23/E23)</f>
        <v/>
      </c>
      <c r="I23" s="19">
        <f>IF($B23="","",SUMIFS(tblTxn[View Amount],tblTxn[Category],$B23,tblTxn[Month],"&gt;="&amp;TEXT(EDATE(DATE(VALUE(LEFT(ReportMonth,4)),VALUE(RIGHT(ReportMonth,2)),1),-11),"yyyy-mm"),tblTxn[Month],"&lt;="&amp;ReportMonth)*$K23/12)</f>
        <v/>
      </c>
      <c r="K23">
        <f>IF($D23="Income",1,-1)</f>
        <v/>
      </c>
    </row>
    <row r="24">
      <c r="B24">
        <f>IFERROR(INDEX(tblCategories[Category],19),"")</f>
        <v/>
      </c>
      <c r="C24">
        <f>IF($B24="","",IFERROR(INDEX(tblCategories[Group],MATCH($B24,tblCategories[Category],0)),""))</f>
        <v/>
      </c>
      <c r="D24">
        <f>IF($B24="","",IFERROR(INDEX(tblCategories[Type],MATCH($B24,tblCategories[Category],0)),""))</f>
        <v/>
      </c>
      <c r="E24" s="19">
        <f>IF($B24="","",IFERROR(INDEX(tblCategories[Monthly Budget],MATCH($B24,tblCategories[Category],0)),0))</f>
        <v/>
      </c>
      <c r="F24" s="19">
        <f>IF($B24="","",SUMIFS(tblTxn[View Amount],tblTxn[Month],ReportMonth,tblTxn[Category],$B24)*$K24)</f>
        <v/>
      </c>
      <c r="G24" s="19">
        <f>IF(N(E24)=0,"",IF($D24="Income",F24-E24,E24-F24))</f>
        <v/>
      </c>
      <c r="H24" s="22">
        <f>IF(N(E24)=0,"",F24/E24)</f>
        <v/>
      </c>
      <c r="I24" s="19">
        <f>IF($B24="","",SUMIFS(tblTxn[View Amount],tblTxn[Category],$B24,tblTxn[Month],"&gt;="&amp;TEXT(EDATE(DATE(VALUE(LEFT(ReportMonth,4)),VALUE(RIGHT(ReportMonth,2)),1),-11),"yyyy-mm"),tblTxn[Month],"&lt;="&amp;ReportMonth)*$K24/12)</f>
        <v/>
      </c>
      <c r="K24">
        <f>IF($D24="Income",1,-1)</f>
        <v/>
      </c>
    </row>
    <row r="25">
      <c r="B25">
        <f>IFERROR(INDEX(tblCategories[Category],20),"")</f>
        <v/>
      </c>
      <c r="C25">
        <f>IF($B25="","",IFERROR(INDEX(tblCategories[Group],MATCH($B25,tblCategories[Category],0)),""))</f>
        <v/>
      </c>
      <c r="D25">
        <f>IF($B25="","",IFERROR(INDEX(tblCategories[Type],MATCH($B25,tblCategories[Category],0)),""))</f>
        <v/>
      </c>
      <c r="E25" s="19">
        <f>IF($B25="","",IFERROR(INDEX(tblCategories[Monthly Budget],MATCH($B25,tblCategories[Category],0)),0))</f>
        <v/>
      </c>
      <c r="F25" s="19">
        <f>IF($B25="","",SUMIFS(tblTxn[View Amount],tblTxn[Month],ReportMonth,tblTxn[Category],$B25)*$K25)</f>
        <v/>
      </c>
      <c r="G25" s="19">
        <f>IF(N(E25)=0,"",IF($D25="Income",F25-E25,E25-F25))</f>
        <v/>
      </c>
      <c r="H25" s="22">
        <f>IF(N(E25)=0,"",F25/E25)</f>
        <v/>
      </c>
      <c r="I25" s="19">
        <f>IF($B25="","",SUMIFS(tblTxn[View Amount],tblTxn[Category],$B25,tblTxn[Month],"&gt;="&amp;TEXT(EDATE(DATE(VALUE(LEFT(ReportMonth,4)),VALUE(RIGHT(ReportMonth,2)),1),-11),"yyyy-mm"),tblTxn[Month],"&lt;="&amp;ReportMonth)*$K25/12)</f>
        <v/>
      </c>
      <c r="K25">
        <f>IF($D25="Income",1,-1)</f>
        <v/>
      </c>
    </row>
    <row r="26">
      <c r="B26">
        <f>IFERROR(INDEX(tblCategories[Category],21),"")</f>
        <v/>
      </c>
      <c r="C26">
        <f>IF($B26="","",IFERROR(INDEX(tblCategories[Group],MATCH($B26,tblCategories[Category],0)),""))</f>
        <v/>
      </c>
      <c r="D26">
        <f>IF($B26="","",IFERROR(INDEX(tblCategories[Type],MATCH($B26,tblCategories[Category],0)),""))</f>
        <v/>
      </c>
      <c r="E26" s="19">
        <f>IF($B26="","",IFERROR(INDEX(tblCategories[Monthly Budget],MATCH($B26,tblCategories[Category],0)),0))</f>
        <v/>
      </c>
      <c r="F26" s="19">
        <f>IF($B26="","",SUMIFS(tblTxn[View Amount],tblTxn[Month],ReportMonth,tblTxn[Category],$B26)*$K26)</f>
        <v/>
      </c>
      <c r="G26" s="19">
        <f>IF(N(E26)=0,"",IF($D26="Income",F26-E26,E26-F26))</f>
        <v/>
      </c>
      <c r="H26" s="22">
        <f>IF(N(E26)=0,"",F26/E26)</f>
        <v/>
      </c>
      <c r="I26" s="19">
        <f>IF($B26="","",SUMIFS(tblTxn[View Amount],tblTxn[Category],$B26,tblTxn[Month],"&gt;="&amp;TEXT(EDATE(DATE(VALUE(LEFT(ReportMonth,4)),VALUE(RIGHT(ReportMonth,2)),1),-11),"yyyy-mm"),tblTxn[Month],"&lt;="&amp;ReportMonth)*$K26/12)</f>
        <v/>
      </c>
      <c r="K26">
        <f>IF($D26="Income",1,-1)</f>
        <v/>
      </c>
    </row>
    <row r="27">
      <c r="B27">
        <f>IFERROR(INDEX(tblCategories[Category],22),"")</f>
        <v/>
      </c>
      <c r="C27">
        <f>IF($B27="","",IFERROR(INDEX(tblCategories[Group],MATCH($B27,tblCategories[Category],0)),""))</f>
        <v/>
      </c>
      <c r="D27">
        <f>IF($B27="","",IFERROR(INDEX(tblCategories[Type],MATCH($B27,tblCategories[Category],0)),""))</f>
        <v/>
      </c>
      <c r="E27" s="19">
        <f>IF($B27="","",IFERROR(INDEX(tblCategories[Monthly Budget],MATCH($B27,tblCategories[Category],0)),0))</f>
        <v/>
      </c>
      <c r="F27" s="19">
        <f>IF($B27="","",SUMIFS(tblTxn[View Amount],tblTxn[Month],ReportMonth,tblTxn[Category],$B27)*$K27)</f>
        <v/>
      </c>
      <c r="G27" s="19">
        <f>IF(N(E27)=0,"",IF($D27="Income",F27-E27,E27-F27))</f>
        <v/>
      </c>
      <c r="H27" s="22">
        <f>IF(N(E27)=0,"",F27/E27)</f>
        <v/>
      </c>
      <c r="I27" s="19">
        <f>IF($B27="","",SUMIFS(tblTxn[View Amount],tblTxn[Category],$B27,tblTxn[Month],"&gt;="&amp;TEXT(EDATE(DATE(VALUE(LEFT(ReportMonth,4)),VALUE(RIGHT(ReportMonth,2)),1),-11),"yyyy-mm"),tblTxn[Month],"&lt;="&amp;ReportMonth)*$K27/12)</f>
        <v/>
      </c>
      <c r="K27">
        <f>IF($D27="Income",1,-1)</f>
        <v/>
      </c>
    </row>
    <row r="28">
      <c r="B28">
        <f>IFERROR(INDEX(tblCategories[Category],23),"")</f>
        <v/>
      </c>
      <c r="C28">
        <f>IF($B28="","",IFERROR(INDEX(tblCategories[Group],MATCH($B28,tblCategories[Category],0)),""))</f>
        <v/>
      </c>
      <c r="D28">
        <f>IF($B28="","",IFERROR(INDEX(tblCategories[Type],MATCH($B28,tblCategories[Category],0)),""))</f>
        <v/>
      </c>
      <c r="E28" s="19">
        <f>IF($B28="","",IFERROR(INDEX(tblCategories[Monthly Budget],MATCH($B28,tblCategories[Category],0)),0))</f>
        <v/>
      </c>
      <c r="F28" s="19">
        <f>IF($B28="","",SUMIFS(tblTxn[View Amount],tblTxn[Month],ReportMonth,tblTxn[Category],$B28)*$K28)</f>
        <v/>
      </c>
      <c r="G28" s="19">
        <f>IF(N(E28)=0,"",IF($D28="Income",F28-E28,E28-F28))</f>
        <v/>
      </c>
      <c r="H28" s="22">
        <f>IF(N(E28)=0,"",F28/E28)</f>
        <v/>
      </c>
      <c r="I28" s="19">
        <f>IF($B28="","",SUMIFS(tblTxn[View Amount],tblTxn[Category],$B28,tblTxn[Month],"&gt;="&amp;TEXT(EDATE(DATE(VALUE(LEFT(ReportMonth,4)),VALUE(RIGHT(ReportMonth,2)),1),-11),"yyyy-mm"),tblTxn[Month],"&lt;="&amp;ReportMonth)*$K28/12)</f>
        <v/>
      </c>
      <c r="K28">
        <f>IF($D28="Income",1,-1)</f>
        <v/>
      </c>
    </row>
    <row r="29">
      <c r="B29">
        <f>IFERROR(INDEX(tblCategories[Category],24),"")</f>
        <v/>
      </c>
      <c r="C29">
        <f>IF($B29="","",IFERROR(INDEX(tblCategories[Group],MATCH($B29,tblCategories[Category],0)),""))</f>
        <v/>
      </c>
      <c r="D29">
        <f>IF($B29="","",IFERROR(INDEX(tblCategories[Type],MATCH($B29,tblCategories[Category],0)),""))</f>
        <v/>
      </c>
      <c r="E29" s="19">
        <f>IF($B29="","",IFERROR(INDEX(tblCategories[Monthly Budget],MATCH($B29,tblCategories[Category],0)),0))</f>
        <v/>
      </c>
      <c r="F29" s="19">
        <f>IF($B29="","",SUMIFS(tblTxn[View Amount],tblTxn[Month],ReportMonth,tblTxn[Category],$B29)*$K29)</f>
        <v/>
      </c>
      <c r="G29" s="19">
        <f>IF(N(E29)=0,"",IF($D29="Income",F29-E29,E29-F29))</f>
        <v/>
      </c>
      <c r="H29" s="22">
        <f>IF(N(E29)=0,"",F29/E29)</f>
        <v/>
      </c>
      <c r="I29" s="19">
        <f>IF($B29="","",SUMIFS(tblTxn[View Amount],tblTxn[Category],$B29,tblTxn[Month],"&gt;="&amp;TEXT(EDATE(DATE(VALUE(LEFT(ReportMonth,4)),VALUE(RIGHT(ReportMonth,2)),1),-11),"yyyy-mm"),tblTxn[Month],"&lt;="&amp;ReportMonth)*$K29/12)</f>
        <v/>
      </c>
      <c r="K29">
        <f>IF($D29="Income",1,-1)</f>
        <v/>
      </c>
    </row>
    <row r="30">
      <c r="B30">
        <f>IFERROR(INDEX(tblCategories[Category],25),"")</f>
        <v/>
      </c>
      <c r="C30">
        <f>IF($B30="","",IFERROR(INDEX(tblCategories[Group],MATCH($B30,tblCategories[Category],0)),""))</f>
        <v/>
      </c>
      <c r="D30">
        <f>IF($B30="","",IFERROR(INDEX(tblCategories[Type],MATCH($B30,tblCategories[Category],0)),""))</f>
        <v/>
      </c>
      <c r="E30" s="19">
        <f>IF($B30="","",IFERROR(INDEX(tblCategories[Monthly Budget],MATCH($B30,tblCategories[Category],0)),0))</f>
        <v/>
      </c>
      <c r="F30" s="19">
        <f>IF($B30="","",SUMIFS(tblTxn[View Amount],tblTxn[Month],ReportMonth,tblTxn[Category],$B30)*$K30)</f>
        <v/>
      </c>
      <c r="G30" s="19">
        <f>IF(N(E30)=0,"",IF($D30="Income",F30-E30,E30-F30))</f>
        <v/>
      </c>
      <c r="H30" s="22">
        <f>IF(N(E30)=0,"",F30/E30)</f>
        <v/>
      </c>
      <c r="I30" s="19">
        <f>IF($B30="","",SUMIFS(tblTxn[View Amount],tblTxn[Category],$B30,tblTxn[Month],"&gt;="&amp;TEXT(EDATE(DATE(VALUE(LEFT(ReportMonth,4)),VALUE(RIGHT(ReportMonth,2)),1),-11),"yyyy-mm"),tblTxn[Month],"&lt;="&amp;ReportMonth)*$K30/12)</f>
        <v/>
      </c>
      <c r="K30">
        <f>IF($D30="Income",1,-1)</f>
        <v/>
      </c>
    </row>
    <row r="31">
      <c r="B31">
        <f>IFERROR(INDEX(tblCategories[Category],26),"")</f>
        <v/>
      </c>
      <c r="C31">
        <f>IF($B31="","",IFERROR(INDEX(tblCategories[Group],MATCH($B31,tblCategories[Category],0)),""))</f>
        <v/>
      </c>
      <c r="D31">
        <f>IF($B31="","",IFERROR(INDEX(tblCategories[Type],MATCH($B31,tblCategories[Category],0)),""))</f>
        <v/>
      </c>
      <c r="E31" s="19">
        <f>IF($B31="","",IFERROR(INDEX(tblCategories[Monthly Budget],MATCH($B31,tblCategories[Category],0)),0))</f>
        <v/>
      </c>
      <c r="F31" s="19">
        <f>IF($B31="","",SUMIFS(tblTxn[View Amount],tblTxn[Month],ReportMonth,tblTxn[Category],$B31)*$K31)</f>
        <v/>
      </c>
      <c r="G31" s="19">
        <f>IF(N(E31)=0,"",IF($D31="Income",F31-E31,E31-F31))</f>
        <v/>
      </c>
      <c r="H31" s="22">
        <f>IF(N(E31)=0,"",F31/E31)</f>
        <v/>
      </c>
      <c r="I31" s="19">
        <f>IF($B31="","",SUMIFS(tblTxn[View Amount],tblTxn[Category],$B31,tblTxn[Month],"&gt;="&amp;TEXT(EDATE(DATE(VALUE(LEFT(ReportMonth,4)),VALUE(RIGHT(ReportMonth,2)),1),-11),"yyyy-mm"),tblTxn[Month],"&lt;="&amp;ReportMonth)*$K31/12)</f>
        <v/>
      </c>
      <c r="K31">
        <f>IF($D31="Income",1,-1)</f>
        <v/>
      </c>
    </row>
    <row r="32">
      <c r="B32">
        <f>IFERROR(INDEX(tblCategories[Category],27),"")</f>
        <v/>
      </c>
      <c r="C32">
        <f>IF($B32="","",IFERROR(INDEX(tblCategories[Group],MATCH($B32,tblCategories[Category],0)),""))</f>
        <v/>
      </c>
      <c r="D32">
        <f>IF($B32="","",IFERROR(INDEX(tblCategories[Type],MATCH($B32,tblCategories[Category],0)),""))</f>
        <v/>
      </c>
      <c r="E32" s="19">
        <f>IF($B32="","",IFERROR(INDEX(tblCategories[Monthly Budget],MATCH($B32,tblCategories[Category],0)),0))</f>
        <v/>
      </c>
      <c r="F32" s="19">
        <f>IF($B32="","",SUMIFS(tblTxn[View Amount],tblTxn[Month],ReportMonth,tblTxn[Category],$B32)*$K32)</f>
        <v/>
      </c>
      <c r="G32" s="19">
        <f>IF(N(E32)=0,"",IF($D32="Income",F32-E32,E32-F32))</f>
        <v/>
      </c>
      <c r="H32" s="22">
        <f>IF(N(E32)=0,"",F32/E32)</f>
        <v/>
      </c>
      <c r="I32" s="19">
        <f>IF($B32="","",SUMIFS(tblTxn[View Amount],tblTxn[Category],$B32,tblTxn[Month],"&gt;="&amp;TEXT(EDATE(DATE(VALUE(LEFT(ReportMonth,4)),VALUE(RIGHT(ReportMonth,2)),1),-11),"yyyy-mm"),tblTxn[Month],"&lt;="&amp;ReportMonth)*$K32/12)</f>
        <v/>
      </c>
      <c r="K32">
        <f>IF($D32="Income",1,-1)</f>
        <v/>
      </c>
    </row>
    <row r="33">
      <c r="B33">
        <f>IFERROR(INDEX(tblCategories[Category],28),"")</f>
        <v/>
      </c>
      <c r="C33">
        <f>IF($B33="","",IFERROR(INDEX(tblCategories[Group],MATCH($B33,tblCategories[Category],0)),""))</f>
        <v/>
      </c>
      <c r="D33">
        <f>IF($B33="","",IFERROR(INDEX(tblCategories[Type],MATCH($B33,tblCategories[Category],0)),""))</f>
        <v/>
      </c>
      <c r="E33" s="19">
        <f>IF($B33="","",IFERROR(INDEX(tblCategories[Monthly Budget],MATCH($B33,tblCategories[Category],0)),0))</f>
        <v/>
      </c>
      <c r="F33" s="19">
        <f>IF($B33="","",SUMIFS(tblTxn[View Amount],tblTxn[Month],ReportMonth,tblTxn[Category],$B33)*$K33)</f>
        <v/>
      </c>
      <c r="G33" s="19">
        <f>IF(N(E33)=0,"",IF($D33="Income",F33-E33,E33-F33))</f>
        <v/>
      </c>
      <c r="H33" s="22">
        <f>IF(N(E33)=0,"",F33/E33)</f>
        <v/>
      </c>
      <c r="I33" s="19">
        <f>IF($B33="","",SUMIFS(tblTxn[View Amount],tblTxn[Category],$B33,tblTxn[Month],"&gt;="&amp;TEXT(EDATE(DATE(VALUE(LEFT(ReportMonth,4)),VALUE(RIGHT(ReportMonth,2)),1),-11),"yyyy-mm"),tblTxn[Month],"&lt;="&amp;ReportMonth)*$K33/12)</f>
        <v/>
      </c>
      <c r="K33">
        <f>IF($D33="Income",1,-1)</f>
        <v/>
      </c>
    </row>
    <row r="34">
      <c r="B34">
        <f>IFERROR(INDEX(tblCategories[Category],29),"")</f>
        <v/>
      </c>
      <c r="C34">
        <f>IF($B34="","",IFERROR(INDEX(tblCategories[Group],MATCH($B34,tblCategories[Category],0)),""))</f>
        <v/>
      </c>
      <c r="D34">
        <f>IF($B34="","",IFERROR(INDEX(tblCategories[Type],MATCH($B34,tblCategories[Category],0)),""))</f>
        <v/>
      </c>
      <c r="E34" s="19">
        <f>IF($B34="","",IFERROR(INDEX(tblCategories[Monthly Budget],MATCH($B34,tblCategories[Category],0)),0))</f>
        <v/>
      </c>
      <c r="F34" s="19">
        <f>IF($B34="","",SUMIFS(tblTxn[View Amount],tblTxn[Month],ReportMonth,tblTxn[Category],$B34)*$K34)</f>
        <v/>
      </c>
      <c r="G34" s="19">
        <f>IF(N(E34)=0,"",IF($D34="Income",F34-E34,E34-F34))</f>
        <v/>
      </c>
      <c r="H34" s="22">
        <f>IF(N(E34)=0,"",F34/E34)</f>
        <v/>
      </c>
      <c r="I34" s="19">
        <f>IF($B34="","",SUMIFS(tblTxn[View Amount],tblTxn[Category],$B34,tblTxn[Month],"&gt;="&amp;TEXT(EDATE(DATE(VALUE(LEFT(ReportMonth,4)),VALUE(RIGHT(ReportMonth,2)),1),-11),"yyyy-mm"),tblTxn[Month],"&lt;="&amp;ReportMonth)*$K34/12)</f>
        <v/>
      </c>
      <c r="K34">
        <f>IF($D34="Income",1,-1)</f>
        <v/>
      </c>
    </row>
    <row r="35">
      <c r="B35">
        <f>IFERROR(INDEX(tblCategories[Category],30),"")</f>
        <v/>
      </c>
      <c r="C35">
        <f>IF($B35="","",IFERROR(INDEX(tblCategories[Group],MATCH($B35,tblCategories[Category],0)),""))</f>
        <v/>
      </c>
      <c r="D35">
        <f>IF($B35="","",IFERROR(INDEX(tblCategories[Type],MATCH($B35,tblCategories[Category],0)),""))</f>
        <v/>
      </c>
      <c r="E35" s="19">
        <f>IF($B35="","",IFERROR(INDEX(tblCategories[Monthly Budget],MATCH($B35,tblCategories[Category],0)),0))</f>
        <v/>
      </c>
      <c r="F35" s="19">
        <f>IF($B35="","",SUMIFS(tblTxn[View Amount],tblTxn[Month],ReportMonth,tblTxn[Category],$B35)*$K35)</f>
        <v/>
      </c>
      <c r="G35" s="19">
        <f>IF(N(E35)=0,"",IF($D35="Income",F35-E35,E35-F35))</f>
        <v/>
      </c>
      <c r="H35" s="22">
        <f>IF(N(E35)=0,"",F35/E35)</f>
        <v/>
      </c>
      <c r="I35" s="19">
        <f>IF($B35="","",SUMIFS(tblTxn[View Amount],tblTxn[Category],$B35,tblTxn[Month],"&gt;="&amp;TEXT(EDATE(DATE(VALUE(LEFT(ReportMonth,4)),VALUE(RIGHT(ReportMonth,2)),1),-11),"yyyy-mm"),tblTxn[Month],"&lt;="&amp;ReportMonth)*$K35/12)</f>
        <v/>
      </c>
      <c r="K35">
        <f>IF($D35="Income",1,-1)</f>
        <v/>
      </c>
    </row>
    <row r="36">
      <c r="B36">
        <f>IFERROR(INDEX(tblCategories[Category],31),"")</f>
        <v/>
      </c>
      <c r="C36">
        <f>IF($B36="","",IFERROR(INDEX(tblCategories[Group],MATCH($B36,tblCategories[Category],0)),""))</f>
        <v/>
      </c>
      <c r="D36">
        <f>IF($B36="","",IFERROR(INDEX(tblCategories[Type],MATCH($B36,tblCategories[Category],0)),""))</f>
        <v/>
      </c>
      <c r="E36" s="19">
        <f>IF($B36="","",IFERROR(INDEX(tblCategories[Monthly Budget],MATCH($B36,tblCategories[Category],0)),0))</f>
        <v/>
      </c>
      <c r="F36" s="19">
        <f>IF($B36="","",SUMIFS(tblTxn[View Amount],tblTxn[Month],ReportMonth,tblTxn[Category],$B36)*$K36)</f>
        <v/>
      </c>
      <c r="G36" s="19">
        <f>IF(N(E36)=0,"",IF($D36="Income",F36-E36,E36-F36))</f>
        <v/>
      </c>
      <c r="H36" s="22">
        <f>IF(N(E36)=0,"",F36/E36)</f>
        <v/>
      </c>
      <c r="I36" s="19">
        <f>IF($B36="","",SUMIFS(tblTxn[View Amount],tblTxn[Category],$B36,tblTxn[Month],"&gt;="&amp;TEXT(EDATE(DATE(VALUE(LEFT(ReportMonth,4)),VALUE(RIGHT(ReportMonth,2)),1),-11),"yyyy-mm"),tblTxn[Month],"&lt;="&amp;ReportMonth)*$K36/12)</f>
        <v/>
      </c>
      <c r="K36">
        <f>IF($D36="Income",1,-1)</f>
        <v/>
      </c>
    </row>
    <row r="37">
      <c r="B37">
        <f>IFERROR(INDEX(tblCategories[Category],32),"")</f>
        <v/>
      </c>
      <c r="C37">
        <f>IF($B37="","",IFERROR(INDEX(tblCategories[Group],MATCH($B37,tblCategories[Category],0)),""))</f>
        <v/>
      </c>
      <c r="D37">
        <f>IF($B37="","",IFERROR(INDEX(tblCategories[Type],MATCH($B37,tblCategories[Category],0)),""))</f>
        <v/>
      </c>
      <c r="E37" s="19">
        <f>IF($B37="","",IFERROR(INDEX(tblCategories[Monthly Budget],MATCH($B37,tblCategories[Category],0)),0))</f>
        <v/>
      </c>
      <c r="F37" s="19">
        <f>IF($B37="","",SUMIFS(tblTxn[View Amount],tblTxn[Month],ReportMonth,tblTxn[Category],$B37)*$K37)</f>
        <v/>
      </c>
      <c r="G37" s="19">
        <f>IF(N(E37)=0,"",IF($D37="Income",F37-E37,E37-F37))</f>
        <v/>
      </c>
      <c r="H37" s="22">
        <f>IF(N(E37)=0,"",F37/E37)</f>
        <v/>
      </c>
      <c r="I37" s="19">
        <f>IF($B37="","",SUMIFS(tblTxn[View Amount],tblTxn[Category],$B37,tblTxn[Month],"&gt;="&amp;TEXT(EDATE(DATE(VALUE(LEFT(ReportMonth,4)),VALUE(RIGHT(ReportMonth,2)),1),-11),"yyyy-mm"),tblTxn[Month],"&lt;="&amp;ReportMonth)*$K37/12)</f>
        <v/>
      </c>
      <c r="K37">
        <f>IF($D37="Income",1,-1)</f>
        <v/>
      </c>
    </row>
    <row r="38">
      <c r="B38">
        <f>IFERROR(INDEX(tblCategories[Category],33),"")</f>
        <v/>
      </c>
      <c r="C38">
        <f>IF($B38="","",IFERROR(INDEX(tblCategories[Group],MATCH($B38,tblCategories[Category],0)),""))</f>
        <v/>
      </c>
      <c r="D38">
        <f>IF($B38="","",IFERROR(INDEX(tblCategories[Type],MATCH($B38,tblCategories[Category],0)),""))</f>
        <v/>
      </c>
      <c r="E38" s="19">
        <f>IF($B38="","",IFERROR(INDEX(tblCategories[Monthly Budget],MATCH($B38,tblCategories[Category],0)),0))</f>
        <v/>
      </c>
      <c r="F38" s="19">
        <f>IF($B38="","",SUMIFS(tblTxn[View Amount],tblTxn[Month],ReportMonth,tblTxn[Category],$B38)*$K38)</f>
        <v/>
      </c>
      <c r="G38" s="19">
        <f>IF(N(E38)=0,"",IF($D38="Income",F38-E38,E38-F38))</f>
        <v/>
      </c>
      <c r="H38" s="22">
        <f>IF(N(E38)=0,"",F38/E38)</f>
        <v/>
      </c>
      <c r="I38" s="19">
        <f>IF($B38="","",SUMIFS(tblTxn[View Amount],tblTxn[Category],$B38,tblTxn[Month],"&gt;="&amp;TEXT(EDATE(DATE(VALUE(LEFT(ReportMonth,4)),VALUE(RIGHT(ReportMonth,2)),1),-11),"yyyy-mm"),tblTxn[Month],"&lt;="&amp;ReportMonth)*$K38/12)</f>
        <v/>
      </c>
      <c r="K38">
        <f>IF($D38="Income",1,-1)</f>
        <v/>
      </c>
    </row>
    <row r="39">
      <c r="B39">
        <f>IFERROR(INDEX(tblCategories[Category],34),"")</f>
        <v/>
      </c>
      <c r="C39">
        <f>IF($B39="","",IFERROR(INDEX(tblCategories[Group],MATCH($B39,tblCategories[Category],0)),""))</f>
        <v/>
      </c>
      <c r="D39">
        <f>IF($B39="","",IFERROR(INDEX(tblCategories[Type],MATCH($B39,tblCategories[Category],0)),""))</f>
        <v/>
      </c>
      <c r="E39" s="19">
        <f>IF($B39="","",IFERROR(INDEX(tblCategories[Monthly Budget],MATCH($B39,tblCategories[Category],0)),0))</f>
        <v/>
      </c>
      <c r="F39" s="19">
        <f>IF($B39="","",SUMIFS(tblTxn[View Amount],tblTxn[Month],ReportMonth,tblTxn[Category],$B39)*$K39)</f>
        <v/>
      </c>
      <c r="G39" s="19">
        <f>IF(N(E39)=0,"",IF($D39="Income",F39-E39,E39-F39))</f>
        <v/>
      </c>
      <c r="H39" s="22">
        <f>IF(N(E39)=0,"",F39/E39)</f>
        <v/>
      </c>
      <c r="I39" s="19">
        <f>IF($B39="","",SUMIFS(tblTxn[View Amount],tblTxn[Category],$B39,tblTxn[Month],"&gt;="&amp;TEXT(EDATE(DATE(VALUE(LEFT(ReportMonth,4)),VALUE(RIGHT(ReportMonth,2)),1),-11),"yyyy-mm"),tblTxn[Month],"&lt;="&amp;ReportMonth)*$K39/12)</f>
        <v/>
      </c>
      <c r="K39">
        <f>IF($D39="Income",1,-1)</f>
        <v/>
      </c>
    </row>
    <row r="40">
      <c r="B40">
        <f>IFERROR(INDEX(tblCategories[Category],35),"")</f>
        <v/>
      </c>
      <c r="C40">
        <f>IF($B40="","",IFERROR(INDEX(tblCategories[Group],MATCH($B40,tblCategories[Category],0)),""))</f>
        <v/>
      </c>
      <c r="D40">
        <f>IF($B40="","",IFERROR(INDEX(tblCategories[Type],MATCH($B40,tblCategories[Category],0)),""))</f>
        <v/>
      </c>
      <c r="E40" s="19">
        <f>IF($B40="","",IFERROR(INDEX(tblCategories[Monthly Budget],MATCH($B40,tblCategories[Category],0)),0))</f>
        <v/>
      </c>
      <c r="F40" s="19">
        <f>IF($B40="","",SUMIFS(tblTxn[View Amount],tblTxn[Month],ReportMonth,tblTxn[Category],$B40)*$K40)</f>
        <v/>
      </c>
      <c r="G40" s="19">
        <f>IF(N(E40)=0,"",IF($D40="Income",F40-E40,E40-F40))</f>
        <v/>
      </c>
      <c r="H40" s="22">
        <f>IF(N(E40)=0,"",F40/E40)</f>
        <v/>
      </c>
      <c r="I40" s="19">
        <f>IF($B40="","",SUMIFS(tblTxn[View Amount],tblTxn[Category],$B40,tblTxn[Month],"&gt;="&amp;TEXT(EDATE(DATE(VALUE(LEFT(ReportMonth,4)),VALUE(RIGHT(ReportMonth,2)),1),-11),"yyyy-mm"),tblTxn[Month],"&lt;="&amp;ReportMonth)*$K40/12)</f>
        <v/>
      </c>
      <c r="K40">
        <f>IF($D40="Income",1,-1)</f>
        <v/>
      </c>
    </row>
    <row r="41">
      <c r="B41">
        <f>IFERROR(INDEX(tblCategories[Category],36),"")</f>
        <v/>
      </c>
      <c r="C41">
        <f>IF($B41="","",IFERROR(INDEX(tblCategories[Group],MATCH($B41,tblCategories[Category],0)),""))</f>
        <v/>
      </c>
      <c r="D41">
        <f>IF($B41="","",IFERROR(INDEX(tblCategories[Type],MATCH($B41,tblCategories[Category],0)),""))</f>
        <v/>
      </c>
      <c r="E41" s="19">
        <f>IF($B41="","",IFERROR(INDEX(tblCategories[Monthly Budget],MATCH($B41,tblCategories[Category],0)),0))</f>
        <v/>
      </c>
      <c r="F41" s="19">
        <f>IF($B41="","",SUMIFS(tblTxn[View Amount],tblTxn[Month],ReportMonth,tblTxn[Category],$B41)*$K41)</f>
        <v/>
      </c>
      <c r="G41" s="19">
        <f>IF(N(E41)=0,"",IF($D41="Income",F41-E41,E41-F41))</f>
        <v/>
      </c>
      <c r="H41" s="22">
        <f>IF(N(E41)=0,"",F41/E41)</f>
        <v/>
      </c>
      <c r="I41" s="19">
        <f>IF($B41="","",SUMIFS(tblTxn[View Amount],tblTxn[Category],$B41,tblTxn[Month],"&gt;="&amp;TEXT(EDATE(DATE(VALUE(LEFT(ReportMonth,4)),VALUE(RIGHT(ReportMonth,2)),1),-11),"yyyy-mm"),tblTxn[Month],"&lt;="&amp;ReportMonth)*$K41/12)</f>
        <v/>
      </c>
      <c r="K41">
        <f>IF($D41="Income",1,-1)</f>
        <v/>
      </c>
    </row>
    <row r="42">
      <c r="B42">
        <f>IFERROR(INDEX(tblCategories[Category],37),"")</f>
        <v/>
      </c>
      <c r="C42">
        <f>IF($B42="","",IFERROR(INDEX(tblCategories[Group],MATCH($B42,tblCategories[Category],0)),""))</f>
        <v/>
      </c>
      <c r="D42">
        <f>IF($B42="","",IFERROR(INDEX(tblCategories[Type],MATCH($B42,tblCategories[Category],0)),""))</f>
        <v/>
      </c>
      <c r="E42" s="19">
        <f>IF($B42="","",IFERROR(INDEX(tblCategories[Monthly Budget],MATCH($B42,tblCategories[Category],0)),0))</f>
        <v/>
      </c>
      <c r="F42" s="19">
        <f>IF($B42="","",SUMIFS(tblTxn[View Amount],tblTxn[Month],ReportMonth,tblTxn[Category],$B42)*$K42)</f>
        <v/>
      </c>
      <c r="G42" s="19">
        <f>IF(N(E42)=0,"",IF($D42="Income",F42-E42,E42-F42))</f>
        <v/>
      </c>
      <c r="H42" s="22">
        <f>IF(N(E42)=0,"",F42/E42)</f>
        <v/>
      </c>
      <c r="I42" s="19">
        <f>IF($B42="","",SUMIFS(tblTxn[View Amount],tblTxn[Category],$B42,tblTxn[Month],"&gt;="&amp;TEXT(EDATE(DATE(VALUE(LEFT(ReportMonth,4)),VALUE(RIGHT(ReportMonth,2)),1),-11),"yyyy-mm"),tblTxn[Month],"&lt;="&amp;ReportMonth)*$K42/12)</f>
        <v/>
      </c>
      <c r="K42">
        <f>IF($D42="Income",1,-1)</f>
        <v/>
      </c>
    </row>
    <row r="43">
      <c r="B43">
        <f>IFERROR(INDEX(tblCategories[Category],38),"")</f>
        <v/>
      </c>
      <c r="C43">
        <f>IF($B43="","",IFERROR(INDEX(tblCategories[Group],MATCH($B43,tblCategories[Category],0)),""))</f>
        <v/>
      </c>
      <c r="D43">
        <f>IF($B43="","",IFERROR(INDEX(tblCategories[Type],MATCH($B43,tblCategories[Category],0)),""))</f>
        <v/>
      </c>
      <c r="E43" s="19">
        <f>IF($B43="","",IFERROR(INDEX(tblCategories[Monthly Budget],MATCH($B43,tblCategories[Category],0)),0))</f>
        <v/>
      </c>
      <c r="F43" s="19">
        <f>IF($B43="","",SUMIFS(tblTxn[View Amount],tblTxn[Month],ReportMonth,tblTxn[Category],$B43)*$K43)</f>
        <v/>
      </c>
      <c r="G43" s="19">
        <f>IF(N(E43)=0,"",IF($D43="Income",F43-E43,E43-F43))</f>
        <v/>
      </c>
      <c r="H43" s="22">
        <f>IF(N(E43)=0,"",F43/E43)</f>
        <v/>
      </c>
      <c r="I43" s="19">
        <f>IF($B43="","",SUMIFS(tblTxn[View Amount],tblTxn[Category],$B43,tblTxn[Month],"&gt;="&amp;TEXT(EDATE(DATE(VALUE(LEFT(ReportMonth,4)),VALUE(RIGHT(ReportMonth,2)),1),-11),"yyyy-mm"),tblTxn[Month],"&lt;="&amp;ReportMonth)*$K43/12)</f>
        <v/>
      </c>
      <c r="K43">
        <f>IF($D43="Income",1,-1)</f>
        <v/>
      </c>
    </row>
    <row r="44">
      <c r="B44">
        <f>IFERROR(INDEX(tblCategories[Category],39),"")</f>
        <v/>
      </c>
      <c r="C44">
        <f>IF($B44="","",IFERROR(INDEX(tblCategories[Group],MATCH($B44,tblCategories[Category],0)),""))</f>
        <v/>
      </c>
      <c r="D44">
        <f>IF($B44="","",IFERROR(INDEX(tblCategories[Type],MATCH($B44,tblCategories[Category],0)),""))</f>
        <v/>
      </c>
      <c r="E44" s="19">
        <f>IF($B44="","",IFERROR(INDEX(tblCategories[Monthly Budget],MATCH($B44,tblCategories[Category],0)),0))</f>
        <v/>
      </c>
      <c r="F44" s="19">
        <f>IF($B44="","",SUMIFS(tblTxn[View Amount],tblTxn[Month],ReportMonth,tblTxn[Category],$B44)*$K44)</f>
        <v/>
      </c>
      <c r="G44" s="19">
        <f>IF(N(E44)=0,"",IF($D44="Income",F44-E44,E44-F44))</f>
        <v/>
      </c>
      <c r="H44" s="22">
        <f>IF(N(E44)=0,"",F44/E44)</f>
        <v/>
      </c>
      <c r="I44" s="19">
        <f>IF($B44="","",SUMIFS(tblTxn[View Amount],tblTxn[Category],$B44,tblTxn[Month],"&gt;="&amp;TEXT(EDATE(DATE(VALUE(LEFT(ReportMonth,4)),VALUE(RIGHT(ReportMonth,2)),1),-11),"yyyy-mm"),tblTxn[Month],"&lt;="&amp;ReportMonth)*$K44/12)</f>
        <v/>
      </c>
      <c r="K44">
        <f>IF($D44="Income",1,-1)</f>
        <v/>
      </c>
    </row>
    <row r="45">
      <c r="B45">
        <f>IFERROR(INDEX(tblCategories[Category],40),"")</f>
        <v/>
      </c>
      <c r="C45">
        <f>IF($B45="","",IFERROR(INDEX(tblCategories[Group],MATCH($B45,tblCategories[Category],0)),""))</f>
        <v/>
      </c>
      <c r="D45">
        <f>IF($B45="","",IFERROR(INDEX(tblCategories[Type],MATCH($B45,tblCategories[Category],0)),""))</f>
        <v/>
      </c>
      <c r="E45" s="19">
        <f>IF($B45="","",IFERROR(INDEX(tblCategories[Monthly Budget],MATCH($B45,tblCategories[Category],0)),0))</f>
        <v/>
      </c>
      <c r="F45" s="19">
        <f>IF($B45="","",SUMIFS(tblTxn[View Amount],tblTxn[Month],ReportMonth,tblTxn[Category],$B45)*$K45)</f>
        <v/>
      </c>
      <c r="G45" s="19">
        <f>IF(N(E45)=0,"",IF($D45="Income",F45-E45,E45-F45))</f>
        <v/>
      </c>
      <c r="H45" s="22">
        <f>IF(N(E45)=0,"",F45/E45)</f>
        <v/>
      </c>
      <c r="I45" s="19">
        <f>IF($B45="","",SUMIFS(tblTxn[View Amount],tblTxn[Category],$B45,tblTxn[Month],"&gt;="&amp;TEXT(EDATE(DATE(VALUE(LEFT(ReportMonth,4)),VALUE(RIGHT(ReportMonth,2)),1),-11),"yyyy-mm"),tblTxn[Month],"&lt;="&amp;ReportMonth)*$K45/12)</f>
        <v/>
      </c>
      <c r="K45">
        <f>IF($D45="Income",1,-1)</f>
        <v/>
      </c>
    </row>
    <row r="46">
      <c r="B46">
        <f>IFERROR(INDEX(tblCategories[Category],41),"")</f>
        <v/>
      </c>
      <c r="C46">
        <f>IF($B46="","",IFERROR(INDEX(tblCategories[Group],MATCH($B46,tblCategories[Category],0)),""))</f>
        <v/>
      </c>
      <c r="D46">
        <f>IF($B46="","",IFERROR(INDEX(tblCategories[Type],MATCH($B46,tblCategories[Category],0)),""))</f>
        <v/>
      </c>
      <c r="E46" s="19">
        <f>IF($B46="","",IFERROR(INDEX(tblCategories[Monthly Budget],MATCH($B46,tblCategories[Category],0)),0))</f>
        <v/>
      </c>
      <c r="F46" s="19">
        <f>IF($B46="","",SUMIFS(tblTxn[View Amount],tblTxn[Month],ReportMonth,tblTxn[Category],$B46)*$K46)</f>
        <v/>
      </c>
      <c r="G46" s="19">
        <f>IF(N(E46)=0,"",IF($D46="Income",F46-E46,E46-F46))</f>
        <v/>
      </c>
      <c r="H46" s="22">
        <f>IF(N(E46)=0,"",F46/E46)</f>
        <v/>
      </c>
      <c r="I46" s="19">
        <f>IF($B46="","",SUMIFS(tblTxn[View Amount],tblTxn[Category],$B46,tblTxn[Month],"&gt;="&amp;TEXT(EDATE(DATE(VALUE(LEFT(ReportMonth,4)),VALUE(RIGHT(ReportMonth,2)),1),-11),"yyyy-mm"),tblTxn[Month],"&lt;="&amp;ReportMonth)*$K46/12)</f>
        <v/>
      </c>
      <c r="K46">
        <f>IF($D46="Income",1,-1)</f>
        <v/>
      </c>
    </row>
    <row r="47">
      <c r="B47">
        <f>IFERROR(INDEX(tblCategories[Category],42),"")</f>
        <v/>
      </c>
      <c r="C47">
        <f>IF($B47="","",IFERROR(INDEX(tblCategories[Group],MATCH($B47,tblCategories[Category],0)),""))</f>
        <v/>
      </c>
      <c r="D47">
        <f>IF($B47="","",IFERROR(INDEX(tblCategories[Type],MATCH($B47,tblCategories[Category],0)),""))</f>
        <v/>
      </c>
      <c r="E47" s="19">
        <f>IF($B47="","",IFERROR(INDEX(tblCategories[Monthly Budget],MATCH($B47,tblCategories[Category],0)),0))</f>
        <v/>
      </c>
      <c r="F47" s="19">
        <f>IF($B47="","",SUMIFS(tblTxn[View Amount],tblTxn[Month],ReportMonth,tblTxn[Category],$B47)*$K47)</f>
        <v/>
      </c>
      <c r="G47" s="19">
        <f>IF(N(E47)=0,"",IF($D47="Income",F47-E47,E47-F47))</f>
        <v/>
      </c>
      <c r="H47" s="22">
        <f>IF(N(E47)=0,"",F47/E47)</f>
        <v/>
      </c>
      <c r="I47" s="19">
        <f>IF($B47="","",SUMIFS(tblTxn[View Amount],tblTxn[Category],$B47,tblTxn[Month],"&gt;="&amp;TEXT(EDATE(DATE(VALUE(LEFT(ReportMonth,4)),VALUE(RIGHT(ReportMonth,2)),1),-11),"yyyy-mm"),tblTxn[Month],"&lt;="&amp;ReportMonth)*$K47/12)</f>
        <v/>
      </c>
      <c r="K47">
        <f>IF($D47="Income",1,-1)</f>
        <v/>
      </c>
    </row>
    <row r="48">
      <c r="B48">
        <f>IFERROR(INDEX(tblCategories[Category],43),"")</f>
        <v/>
      </c>
      <c r="C48">
        <f>IF($B48="","",IFERROR(INDEX(tblCategories[Group],MATCH($B48,tblCategories[Category],0)),""))</f>
        <v/>
      </c>
      <c r="D48">
        <f>IF($B48="","",IFERROR(INDEX(tblCategories[Type],MATCH($B48,tblCategories[Category],0)),""))</f>
        <v/>
      </c>
      <c r="E48" s="19">
        <f>IF($B48="","",IFERROR(INDEX(tblCategories[Monthly Budget],MATCH($B48,tblCategories[Category],0)),0))</f>
        <v/>
      </c>
      <c r="F48" s="19">
        <f>IF($B48="","",SUMIFS(tblTxn[View Amount],tblTxn[Month],ReportMonth,tblTxn[Category],$B48)*$K48)</f>
        <v/>
      </c>
      <c r="G48" s="19">
        <f>IF(N(E48)=0,"",IF($D48="Income",F48-E48,E48-F48))</f>
        <v/>
      </c>
      <c r="H48" s="22">
        <f>IF(N(E48)=0,"",F48/E48)</f>
        <v/>
      </c>
      <c r="I48" s="19">
        <f>IF($B48="","",SUMIFS(tblTxn[View Amount],tblTxn[Category],$B48,tblTxn[Month],"&gt;="&amp;TEXT(EDATE(DATE(VALUE(LEFT(ReportMonth,4)),VALUE(RIGHT(ReportMonth,2)),1),-11),"yyyy-mm"),tblTxn[Month],"&lt;="&amp;ReportMonth)*$K48/12)</f>
        <v/>
      </c>
      <c r="K48">
        <f>IF($D48="Income",1,-1)</f>
        <v/>
      </c>
    </row>
    <row r="49">
      <c r="B49">
        <f>IFERROR(INDEX(tblCategories[Category],44),"")</f>
        <v/>
      </c>
      <c r="C49">
        <f>IF($B49="","",IFERROR(INDEX(tblCategories[Group],MATCH($B49,tblCategories[Category],0)),""))</f>
        <v/>
      </c>
      <c r="D49">
        <f>IF($B49="","",IFERROR(INDEX(tblCategories[Type],MATCH($B49,tblCategories[Category],0)),""))</f>
        <v/>
      </c>
      <c r="E49" s="19">
        <f>IF($B49="","",IFERROR(INDEX(tblCategories[Monthly Budget],MATCH($B49,tblCategories[Category],0)),0))</f>
        <v/>
      </c>
      <c r="F49" s="19">
        <f>IF($B49="","",SUMIFS(tblTxn[View Amount],tblTxn[Month],ReportMonth,tblTxn[Category],$B49)*$K49)</f>
        <v/>
      </c>
      <c r="G49" s="19">
        <f>IF(N(E49)=0,"",IF($D49="Income",F49-E49,E49-F49))</f>
        <v/>
      </c>
      <c r="H49" s="22">
        <f>IF(N(E49)=0,"",F49/E49)</f>
        <v/>
      </c>
      <c r="I49" s="19">
        <f>IF($B49="","",SUMIFS(tblTxn[View Amount],tblTxn[Category],$B49,tblTxn[Month],"&gt;="&amp;TEXT(EDATE(DATE(VALUE(LEFT(ReportMonth,4)),VALUE(RIGHT(ReportMonth,2)),1),-11),"yyyy-mm"),tblTxn[Month],"&lt;="&amp;ReportMonth)*$K49/12)</f>
        <v/>
      </c>
      <c r="K49">
        <f>IF($D49="Income",1,-1)</f>
        <v/>
      </c>
    </row>
    <row r="50">
      <c r="B50">
        <f>IFERROR(INDEX(tblCategories[Category],45),"")</f>
        <v/>
      </c>
      <c r="C50">
        <f>IF($B50="","",IFERROR(INDEX(tblCategories[Group],MATCH($B50,tblCategories[Category],0)),""))</f>
        <v/>
      </c>
      <c r="D50">
        <f>IF($B50="","",IFERROR(INDEX(tblCategories[Type],MATCH($B50,tblCategories[Category],0)),""))</f>
        <v/>
      </c>
      <c r="E50" s="19">
        <f>IF($B50="","",IFERROR(INDEX(tblCategories[Monthly Budget],MATCH($B50,tblCategories[Category],0)),0))</f>
        <v/>
      </c>
      <c r="F50" s="19">
        <f>IF($B50="","",SUMIFS(tblTxn[View Amount],tblTxn[Month],ReportMonth,tblTxn[Category],$B50)*$K50)</f>
        <v/>
      </c>
      <c r="G50" s="19">
        <f>IF(N(E50)=0,"",IF($D50="Income",F50-E50,E50-F50))</f>
        <v/>
      </c>
      <c r="H50" s="22">
        <f>IF(N(E50)=0,"",F50/E50)</f>
        <v/>
      </c>
      <c r="I50" s="19">
        <f>IF($B50="","",SUMIFS(tblTxn[View Amount],tblTxn[Category],$B50,tblTxn[Month],"&gt;="&amp;TEXT(EDATE(DATE(VALUE(LEFT(ReportMonth,4)),VALUE(RIGHT(ReportMonth,2)),1),-11),"yyyy-mm"),tblTxn[Month],"&lt;="&amp;ReportMonth)*$K50/12)</f>
        <v/>
      </c>
      <c r="K50">
        <f>IF($D50="Income",1,-1)</f>
        <v/>
      </c>
    </row>
    <row r="51">
      <c r="B51">
        <f>IFERROR(INDEX(tblCategories[Category],46),"")</f>
        <v/>
      </c>
      <c r="C51">
        <f>IF($B51="","",IFERROR(INDEX(tblCategories[Group],MATCH($B51,tblCategories[Category],0)),""))</f>
        <v/>
      </c>
      <c r="D51">
        <f>IF($B51="","",IFERROR(INDEX(tblCategories[Type],MATCH($B51,tblCategories[Category],0)),""))</f>
        <v/>
      </c>
      <c r="E51" s="19">
        <f>IF($B51="","",IFERROR(INDEX(tblCategories[Monthly Budget],MATCH($B51,tblCategories[Category],0)),0))</f>
        <v/>
      </c>
      <c r="F51" s="19">
        <f>IF($B51="","",SUMIFS(tblTxn[View Amount],tblTxn[Month],ReportMonth,tblTxn[Category],$B51)*$K51)</f>
        <v/>
      </c>
      <c r="G51" s="19">
        <f>IF(N(E51)=0,"",IF($D51="Income",F51-E51,E51-F51))</f>
        <v/>
      </c>
      <c r="H51" s="22">
        <f>IF(N(E51)=0,"",F51/E51)</f>
        <v/>
      </c>
      <c r="I51" s="19">
        <f>IF($B51="","",SUMIFS(tblTxn[View Amount],tblTxn[Category],$B51,tblTxn[Month],"&gt;="&amp;TEXT(EDATE(DATE(VALUE(LEFT(ReportMonth,4)),VALUE(RIGHT(ReportMonth,2)),1),-11),"yyyy-mm"),tblTxn[Month],"&lt;="&amp;ReportMonth)*$K51/12)</f>
        <v/>
      </c>
      <c r="K51">
        <f>IF($D51="Income",1,-1)</f>
        <v/>
      </c>
    </row>
    <row r="52">
      <c r="B52">
        <f>IFERROR(INDEX(tblCategories[Category],47),"")</f>
        <v/>
      </c>
      <c r="C52">
        <f>IF($B52="","",IFERROR(INDEX(tblCategories[Group],MATCH($B52,tblCategories[Category],0)),""))</f>
        <v/>
      </c>
      <c r="D52">
        <f>IF($B52="","",IFERROR(INDEX(tblCategories[Type],MATCH($B52,tblCategories[Category],0)),""))</f>
        <v/>
      </c>
      <c r="E52" s="19">
        <f>IF($B52="","",IFERROR(INDEX(tblCategories[Monthly Budget],MATCH($B52,tblCategories[Category],0)),0))</f>
        <v/>
      </c>
      <c r="F52" s="19">
        <f>IF($B52="","",SUMIFS(tblTxn[View Amount],tblTxn[Month],ReportMonth,tblTxn[Category],$B52)*$K52)</f>
        <v/>
      </c>
      <c r="G52" s="19">
        <f>IF(N(E52)=0,"",IF($D52="Income",F52-E52,E52-F52))</f>
        <v/>
      </c>
      <c r="H52" s="22">
        <f>IF(N(E52)=0,"",F52/E52)</f>
        <v/>
      </c>
      <c r="I52" s="19">
        <f>IF($B52="","",SUMIFS(tblTxn[View Amount],tblTxn[Category],$B52,tblTxn[Month],"&gt;="&amp;TEXT(EDATE(DATE(VALUE(LEFT(ReportMonth,4)),VALUE(RIGHT(ReportMonth,2)),1),-11),"yyyy-mm"),tblTxn[Month],"&lt;="&amp;ReportMonth)*$K52/12)</f>
        <v/>
      </c>
      <c r="K52">
        <f>IF($D52="Income",1,-1)</f>
        <v/>
      </c>
    </row>
    <row r="53">
      <c r="B53">
        <f>IFERROR(INDEX(tblCategories[Category],48),"")</f>
        <v/>
      </c>
      <c r="C53">
        <f>IF($B53="","",IFERROR(INDEX(tblCategories[Group],MATCH($B53,tblCategories[Category],0)),""))</f>
        <v/>
      </c>
      <c r="D53">
        <f>IF($B53="","",IFERROR(INDEX(tblCategories[Type],MATCH($B53,tblCategories[Category],0)),""))</f>
        <v/>
      </c>
      <c r="E53" s="19">
        <f>IF($B53="","",IFERROR(INDEX(tblCategories[Monthly Budget],MATCH($B53,tblCategories[Category],0)),0))</f>
        <v/>
      </c>
      <c r="F53" s="19">
        <f>IF($B53="","",SUMIFS(tblTxn[View Amount],tblTxn[Month],ReportMonth,tblTxn[Category],$B53)*$K53)</f>
        <v/>
      </c>
      <c r="G53" s="19">
        <f>IF(N(E53)=0,"",IF($D53="Income",F53-E53,E53-F53))</f>
        <v/>
      </c>
      <c r="H53" s="22">
        <f>IF(N(E53)=0,"",F53/E53)</f>
        <v/>
      </c>
      <c r="I53" s="19">
        <f>IF($B53="","",SUMIFS(tblTxn[View Amount],tblTxn[Category],$B53,tblTxn[Month],"&gt;="&amp;TEXT(EDATE(DATE(VALUE(LEFT(ReportMonth,4)),VALUE(RIGHT(ReportMonth,2)),1),-11),"yyyy-mm"),tblTxn[Month],"&lt;="&amp;ReportMonth)*$K53/12)</f>
        <v/>
      </c>
      <c r="K53">
        <f>IF($D53="Income",1,-1)</f>
        <v/>
      </c>
    </row>
    <row r="54">
      <c r="B54">
        <f>IFERROR(INDEX(tblCategories[Category],49),"")</f>
        <v/>
      </c>
      <c r="C54">
        <f>IF($B54="","",IFERROR(INDEX(tblCategories[Group],MATCH($B54,tblCategories[Category],0)),""))</f>
        <v/>
      </c>
      <c r="D54">
        <f>IF($B54="","",IFERROR(INDEX(tblCategories[Type],MATCH($B54,tblCategories[Category],0)),""))</f>
        <v/>
      </c>
      <c r="E54" s="19">
        <f>IF($B54="","",IFERROR(INDEX(tblCategories[Monthly Budget],MATCH($B54,tblCategories[Category],0)),0))</f>
        <v/>
      </c>
      <c r="F54" s="19">
        <f>IF($B54="","",SUMIFS(tblTxn[View Amount],tblTxn[Month],ReportMonth,tblTxn[Category],$B54)*$K54)</f>
        <v/>
      </c>
      <c r="G54" s="19">
        <f>IF(N(E54)=0,"",IF($D54="Income",F54-E54,E54-F54))</f>
        <v/>
      </c>
      <c r="H54" s="22">
        <f>IF(N(E54)=0,"",F54/E54)</f>
        <v/>
      </c>
      <c r="I54" s="19">
        <f>IF($B54="","",SUMIFS(tblTxn[View Amount],tblTxn[Category],$B54,tblTxn[Month],"&gt;="&amp;TEXT(EDATE(DATE(VALUE(LEFT(ReportMonth,4)),VALUE(RIGHT(ReportMonth,2)),1),-11),"yyyy-mm"),tblTxn[Month],"&lt;="&amp;ReportMonth)*$K54/12)</f>
        <v/>
      </c>
      <c r="K54">
        <f>IF($D54="Income",1,-1)</f>
        <v/>
      </c>
    </row>
    <row r="55">
      <c r="B55">
        <f>IFERROR(INDEX(tblCategories[Category],50),"")</f>
        <v/>
      </c>
      <c r="C55">
        <f>IF($B55="","",IFERROR(INDEX(tblCategories[Group],MATCH($B55,tblCategories[Category],0)),""))</f>
        <v/>
      </c>
      <c r="D55">
        <f>IF($B55="","",IFERROR(INDEX(tblCategories[Type],MATCH($B55,tblCategories[Category],0)),""))</f>
        <v/>
      </c>
      <c r="E55" s="19">
        <f>IF($B55="","",IFERROR(INDEX(tblCategories[Monthly Budget],MATCH($B55,tblCategories[Category],0)),0))</f>
        <v/>
      </c>
      <c r="F55" s="19">
        <f>IF($B55="","",SUMIFS(tblTxn[View Amount],tblTxn[Month],ReportMonth,tblTxn[Category],$B55)*$K55)</f>
        <v/>
      </c>
      <c r="G55" s="19">
        <f>IF(N(E55)=0,"",IF($D55="Income",F55-E55,E55-F55))</f>
        <v/>
      </c>
      <c r="H55" s="22">
        <f>IF(N(E55)=0,"",F55/E55)</f>
        <v/>
      </c>
      <c r="I55" s="19">
        <f>IF($B55="","",SUMIFS(tblTxn[View Amount],tblTxn[Category],$B55,tblTxn[Month],"&gt;="&amp;TEXT(EDATE(DATE(VALUE(LEFT(ReportMonth,4)),VALUE(RIGHT(ReportMonth,2)),1),-11),"yyyy-mm"),tblTxn[Month],"&lt;="&amp;ReportMonth)*$K55/12)</f>
        <v/>
      </c>
      <c r="K55">
        <f>IF($D55="Income",1,-1)</f>
        <v/>
      </c>
    </row>
    <row r="56">
      <c r="B56">
        <f>IFERROR(INDEX(tblCategories[Category],51),"")</f>
        <v/>
      </c>
      <c r="C56">
        <f>IF($B56="","",IFERROR(INDEX(tblCategories[Group],MATCH($B56,tblCategories[Category],0)),""))</f>
        <v/>
      </c>
      <c r="D56">
        <f>IF($B56="","",IFERROR(INDEX(tblCategories[Type],MATCH($B56,tblCategories[Category],0)),""))</f>
        <v/>
      </c>
      <c r="E56" s="19">
        <f>IF($B56="","",IFERROR(INDEX(tblCategories[Monthly Budget],MATCH($B56,tblCategories[Category],0)),0))</f>
        <v/>
      </c>
      <c r="F56" s="19">
        <f>IF($B56="","",SUMIFS(tblTxn[View Amount],tblTxn[Month],ReportMonth,tblTxn[Category],$B56)*$K56)</f>
        <v/>
      </c>
      <c r="G56" s="19">
        <f>IF(N(E56)=0,"",IF($D56="Income",F56-E56,E56-F56))</f>
        <v/>
      </c>
      <c r="H56" s="22">
        <f>IF(N(E56)=0,"",F56/E56)</f>
        <v/>
      </c>
      <c r="I56" s="19">
        <f>IF($B56="","",SUMIFS(tblTxn[View Amount],tblTxn[Category],$B56,tblTxn[Month],"&gt;="&amp;TEXT(EDATE(DATE(VALUE(LEFT(ReportMonth,4)),VALUE(RIGHT(ReportMonth,2)),1),-11),"yyyy-mm"),tblTxn[Month],"&lt;="&amp;ReportMonth)*$K56/12)</f>
        <v/>
      </c>
      <c r="K56">
        <f>IF($D56="Income",1,-1)</f>
        <v/>
      </c>
    </row>
    <row r="57">
      <c r="B57">
        <f>IFERROR(INDEX(tblCategories[Category],52),"")</f>
        <v/>
      </c>
      <c r="C57">
        <f>IF($B57="","",IFERROR(INDEX(tblCategories[Group],MATCH($B57,tblCategories[Category],0)),""))</f>
        <v/>
      </c>
      <c r="D57">
        <f>IF($B57="","",IFERROR(INDEX(tblCategories[Type],MATCH($B57,tblCategories[Category],0)),""))</f>
        <v/>
      </c>
      <c r="E57" s="19">
        <f>IF($B57="","",IFERROR(INDEX(tblCategories[Monthly Budget],MATCH($B57,tblCategories[Category],0)),0))</f>
        <v/>
      </c>
      <c r="F57" s="19">
        <f>IF($B57="","",SUMIFS(tblTxn[View Amount],tblTxn[Month],ReportMonth,tblTxn[Category],$B57)*$K57)</f>
        <v/>
      </c>
      <c r="G57" s="19">
        <f>IF(N(E57)=0,"",IF($D57="Income",F57-E57,E57-F57))</f>
        <v/>
      </c>
      <c r="H57" s="22">
        <f>IF(N(E57)=0,"",F57/E57)</f>
        <v/>
      </c>
      <c r="I57" s="19">
        <f>IF($B57="","",SUMIFS(tblTxn[View Amount],tblTxn[Category],$B57,tblTxn[Month],"&gt;="&amp;TEXT(EDATE(DATE(VALUE(LEFT(ReportMonth,4)),VALUE(RIGHT(ReportMonth,2)),1),-11),"yyyy-mm"),tblTxn[Month],"&lt;="&amp;ReportMonth)*$K57/12)</f>
        <v/>
      </c>
      <c r="K57">
        <f>IF($D57="Income",1,-1)</f>
        <v/>
      </c>
    </row>
    <row r="58">
      <c r="B58">
        <f>IFERROR(INDEX(tblCategories[Category],53),"")</f>
        <v/>
      </c>
      <c r="C58">
        <f>IF($B58="","",IFERROR(INDEX(tblCategories[Group],MATCH($B58,tblCategories[Category],0)),""))</f>
        <v/>
      </c>
      <c r="D58">
        <f>IF($B58="","",IFERROR(INDEX(tblCategories[Type],MATCH($B58,tblCategories[Category],0)),""))</f>
        <v/>
      </c>
      <c r="E58" s="19">
        <f>IF($B58="","",IFERROR(INDEX(tblCategories[Monthly Budget],MATCH($B58,tblCategories[Category],0)),0))</f>
        <v/>
      </c>
      <c r="F58" s="19">
        <f>IF($B58="","",SUMIFS(tblTxn[View Amount],tblTxn[Month],ReportMonth,tblTxn[Category],$B58)*$K58)</f>
        <v/>
      </c>
      <c r="G58" s="19">
        <f>IF(N(E58)=0,"",IF($D58="Income",F58-E58,E58-F58))</f>
        <v/>
      </c>
      <c r="H58" s="22">
        <f>IF(N(E58)=0,"",F58/E58)</f>
        <v/>
      </c>
      <c r="I58" s="19">
        <f>IF($B58="","",SUMIFS(tblTxn[View Amount],tblTxn[Category],$B58,tblTxn[Month],"&gt;="&amp;TEXT(EDATE(DATE(VALUE(LEFT(ReportMonth,4)),VALUE(RIGHT(ReportMonth,2)),1),-11),"yyyy-mm"),tblTxn[Month],"&lt;="&amp;ReportMonth)*$K58/12)</f>
        <v/>
      </c>
      <c r="K58">
        <f>IF($D58="Income",1,-1)</f>
        <v/>
      </c>
    </row>
    <row r="59">
      <c r="B59">
        <f>IFERROR(INDEX(tblCategories[Category],54),"")</f>
        <v/>
      </c>
      <c r="C59">
        <f>IF($B59="","",IFERROR(INDEX(tblCategories[Group],MATCH($B59,tblCategories[Category],0)),""))</f>
        <v/>
      </c>
      <c r="D59">
        <f>IF($B59="","",IFERROR(INDEX(tblCategories[Type],MATCH($B59,tblCategories[Category],0)),""))</f>
        <v/>
      </c>
      <c r="E59" s="19">
        <f>IF($B59="","",IFERROR(INDEX(tblCategories[Monthly Budget],MATCH($B59,tblCategories[Category],0)),0))</f>
        <v/>
      </c>
      <c r="F59" s="19">
        <f>IF($B59="","",SUMIFS(tblTxn[View Amount],tblTxn[Month],ReportMonth,tblTxn[Category],$B59)*$K59)</f>
        <v/>
      </c>
      <c r="G59" s="19">
        <f>IF(N(E59)=0,"",IF($D59="Income",F59-E59,E59-F59))</f>
        <v/>
      </c>
      <c r="H59" s="22">
        <f>IF(N(E59)=0,"",F59/E59)</f>
        <v/>
      </c>
      <c r="I59" s="19">
        <f>IF($B59="","",SUMIFS(tblTxn[View Amount],tblTxn[Category],$B59,tblTxn[Month],"&gt;="&amp;TEXT(EDATE(DATE(VALUE(LEFT(ReportMonth,4)),VALUE(RIGHT(ReportMonth,2)),1),-11),"yyyy-mm"),tblTxn[Month],"&lt;="&amp;ReportMonth)*$K59/12)</f>
        <v/>
      </c>
      <c r="K59">
        <f>IF($D59="Income",1,-1)</f>
        <v/>
      </c>
    </row>
    <row r="60">
      <c r="B60">
        <f>IFERROR(INDEX(tblCategories[Category],55),"")</f>
        <v/>
      </c>
      <c r="C60">
        <f>IF($B60="","",IFERROR(INDEX(tblCategories[Group],MATCH($B60,tblCategories[Category],0)),""))</f>
        <v/>
      </c>
      <c r="D60">
        <f>IF($B60="","",IFERROR(INDEX(tblCategories[Type],MATCH($B60,tblCategories[Category],0)),""))</f>
        <v/>
      </c>
      <c r="E60" s="19">
        <f>IF($B60="","",IFERROR(INDEX(tblCategories[Monthly Budget],MATCH($B60,tblCategories[Category],0)),0))</f>
        <v/>
      </c>
      <c r="F60" s="19">
        <f>IF($B60="","",SUMIFS(tblTxn[View Amount],tblTxn[Month],ReportMonth,tblTxn[Category],$B60)*$K60)</f>
        <v/>
      </c>
      <c r="G60" s="19">
        <f>IF(N(E60)=0,"",IF($D60="Income",F60-E60,E60-F60))</f>
        <v/>
      </c>
      <c r="H60" s="22">
        <f>IF(N(E60)=0,"",F60/E60)</f>
        <v/>
      </c>
      <c r="I60" s="19">
        <f>IF($B60="","",SUMIFS(tblTxn[View Amount],tblTxn[Category],$B60,tblTxn[Month],"&gt;="&amp;TEXT(EDATE(DATE(VALUE(LEFT(ReportMonth,4)),VALUE(RIGHT(ReportMonth,2)),1),-11),"yyyy-mm"),tblTxn[Month],"&lt;="&amp;ReportMonth)*$K60/12)</f>
        <v/>
      </c>
      <c r="K60">
        <f>IF($D60="Income",1,-1)</f>
        <v/>
      </c>
    </row>
    <row r="61">
      <c r="B61">
        <f>IFERROR(INDEX(tblCategories[Category],56),"")</f>
        <v/>
      </c>
      <c r="C61">
        <f>IF($B61="","",IFERROR(INDEX(tblCategories[Group],MATCH($B61,tblCategories[Category],0)),""))</f>
        <v/>
      </c>
      <c r="D61">
        <f>IF($B61="","",IFERROR(INDEX(tblCategories[Type],MATCH($B61,tblCategories[Category],0)),""))</f>
        <v/>
      </c>
      <c r="E61" s="19">
        <f>IF($B61="","",IFERROR(INDEX(tblCategories[Monthly Budget],MATCH($B61,tblCategories[Category],0)),0))</f>
        <v/>
      </c>
      <c r="F61" s="19">
        <f>IF($B61="","",SUMIFS(tblTxn[View Amount],tblTxn[Month],ReportMonth,tblTxn[Category],$B61)*$K61)</f>
        <v/>
      </c>
      <c r="G61" s="19">
        <f>IF(N(E61)=0,"",IF($D61="Income",F61-E61,E61-F61))</f>
        <v/>
      </c>
      <c r="H61" s="22">
        <f>IF(N(E61)=0,"",F61/E61)</f>
        <v/>
      </c>
      <c r="I61" s="19">
        <f>IF($B61="","",SUMIFS(tblTxn[View Amount],tblTxn[Category],$B61,tblTxn[Month],"&gt;="&amp;TEXT(EDATE(DATE(VALUE(LEFT(ReportMonth,4)),VALUE(RIGHT(ReportMonth,2)),1),-11),"yyyy-mm"),tblTxn[Month],"&lt;="&amp;ReportMonth)*$K61/12)</f>
        <v/>
      </c>
      <c r="K61">
        <f>IF($D61="Income",1,-1)</f>
        <v/>
      </c>
    </row>
    <row r="62">
      <c r="B62">
        <f>IFERROR(INDEX(tblCategories[Category],57),"")</f>
        <v/>
      </c>
      <c r="C62">
        <f>IF($B62="","",IFERROR(INDEX(tblCategories[Group],MATCH($B62,tblCategories[Category],0)),""))</f>
        <v/>
      </c>
      <c r="D62">
        <f>IF($B62="","",IFERROR(INDEX(tblCategories[Type],MATCH($B62,tblCategories[Category],0)),""))</f>
        <v/>
      </c>
      <c r="E62" s="19">
        <f>IF($B62="","",IFERROR(INDEX(tblCategories[Monthly Budget],MATCH($B62,tblCategories[Category],0)),0))</f>
        <v/>
      </c>
      <c r="F62" s="19">
        <f>IF($B62="","",SUMIFS(tblTxn[View Amount],tblTxn[Month],ReportMonth,tblTxn[Category],$B62)*$K62)</f>
        <v/>
      </c>
      <c r="G62" s="19">
        <f>IF(N(E62)=0,"",IF($D62="Income",F62-E62,E62-F62))</f>
        <v/>
      </c>
      <c r="H62" s="22">
        <f>IF(N(E62)=0,"",F62/E62)</f>
        <v/>
      </c>
      <c r="I62" s="19">
        <f>IF($B62="","",SUMIFS(tblTxn[View Amount],tblTxn[Category],$B62,tblTxn[Month],"&gt;="&amp;TEXT(EDATE(DATE(VALUE(LEFT(ReportMonth,4)),VALUE(RIGHT(ReportMonth,2)),1),-11),"yyyy-mm"),tblTxn[Month],"&lt;="&amp;ReportMonth)*$K62/12)</f>
        <v/>
      </c>
      <c r="K62">
        <f>IF($D62="Income",1,-1)</f>
        <v/>
      </c>
    </row>
    <row r="63">
      <c r="B63">
        <f>IFERROR(INDEX(tblCategories[Category],58),"")</f>
        <v/>
      </c>
      <c r="C63">
        <f>IF($B63="","",IFERROR(INDEX(tblCategories[Group],MATCH($B63,tblCategories[Category],0)),""))</f>
        <v/>
      </c>
      <c r="D63">
        <f>IF($B63="","",IFERROR(INDEX(tblCategories[Type],MATCH($B63,tblCategories[Category],0)),""))</f>
        <v/>
      </c>
      <c r="E63" s="19">
        <f>IF($B63="","",IFERROR(INDEX(tblCategories[Monthly Budget],MATCH($B63,tblCategories[Category],0)),0))</f>
        <v/>
      </c>
      <c r="F63" s="19">
        <f>IF($B63="","",SUMIFS(tblTxn[View Amount],tblTxn[Month],ReportMonth,tblTxn[Category],$B63)*$K63)</f>
        <v/>
      </c>
      <c r="G63" s="19">
        <f>IF(N(E63)=0,"",IF($D63="Income",F63-E63,E63-F63))</f>
        <v/>
      </c>
      <c r="H63" s="22">
        <f>IF(N(E63)=0,"",F63/E63)</f>
        <v/>
      </c>
      <c r="I63" s="19">
        <f>IF($B63="","",SUMIFS(tblTxn[View Amount],tblTxn[Category],$B63,tblTxn[Month],"&gt;="&amp;TEXT(EDATE(DATE(VALUE(LEFT(ReportMonth,4)),VALUE(RIGHT(ReportMonth,2)),1),-11),"yyyy-mm"),tblTxn[Month],"&lt;="&amp;ReportMonth)*$K63/12)</f>
        <v/>
      </c>
      <c r="K63">
        <f>IF($D63="Income",1,-1)</f>
        <v/>
      </c>
    </row>
    <row r="64">
      <c r="B64">
        <f>IFERROR(INDEX(tblCategories[Category],59),"")</f>
        <v/>
      </c>
      <c r="C64">
        <f>IF($B64="","",IFERROR(INDEX(tblCategories[Group],MATCH($B64,tblCategories[Category],0)),""))</f>
        <v/>
      </c>
      <c r="D64">
        <f>IF($B64="","",IFERROR(INDEX(tblCategories[Type],MATCH($B64,tblCategories[Category],0)),""))</f>
        <v/>
      </c>
      <c r="E64" s="19">
        <f>IF($B64="","",IFERROR(INDEX(tblCategories[Monthly Budget],MATCH($B64,tblCategories[Category],0)),0))</f>
        <v/>
      </c>
      <c r="F64" s="19">
        <f>IF($B64="","",SUMIFS(tblTxn[View Amount],tblTxn[Month],ReportMonth,tblTxn[Category],$B64)*$K64)</f>
        <v/>
      </c>
      <c r="G64" s="19">
        <f>IF(N(E64)=0,"",IF($D64="Income",F64-E64,E64-F64))</f>
        <v/>
      </c>
      <c r="H64" s="22">
        <f>IF(N(E64)=0,"",F64/E64)</f>
        <v/>
      </c>
      <c r="I64" s="19">
        <f>IF($B64="","",SUMIFS(tblTxn[View Amount],tblTxn[Category],$B64,tblTxn[Month],"&gt;="&amp;TEXT(EDATE(DATE(VALUE(LEFT(ReportMonth,4)),VALUE(RIGHT(ReportMonth,2)),1),-11),"yyyy-mm"),tblTxn[Month],"&lt;="&amp;ReportMonth)*$K64/12)</f>
        <v/>
      </c>
      <c r="K64">
        <f>IF($D64="Income",1,-1)</f>
        <v/>
      </c>
    </row>
    <row r="65">
      <c r="B65">
        <f>IFERROR(INDEX(tblCategories[Category],60),"")</f>
        <v/>
      </c>
      <c r="C65">
        <f>IF($B65="","",IFERROR(INDEX(tblCategories[Group],MATCH($B65,tblCategories[Category],0)),""))</f>
        <v/>
      </c>
      <c r="D65">
        <f>IF($B65="","",IFERROR(INDEX(tblCategories[Type],MATCH($B65,tblCategories[Category],0)),""))</f>
        <v/>
      </c>
      <c r="E65" s="19">
        <f>IF($B65="","",IFERROR(INDEX(tblCategories[Monthly Budget],MATCH($B65,tblCategories[Category],0)),0))</f>
        <v/>
      </c>
      <c r="F65" s="19">
        <f>IF($B65="","",SUMIFS(tblTxn[View Amount],tblTxn[Month],ReportMonth,tblTxn[Category],$B65)*$K65)</f>
        <v/>
      </c>
      <c r="G65" s="19">
        <f>IF(N(E65)=0,"",IF($D65="Income",F65-E65,E65-F65))</f>
        <v/>
      </c>
      <c r="H65" s="22">
        <f>IF(N(E65)=0,"",F65/E65)</f>
        <v/>
      </c>
      <c r="I65" s="19">
        <f>IF($B65="","",SUMIFS(tblTxn[View Amount],tblTxn[Category],$B65,tblTxn[Month],"&gt;="&amp;TEXT(EDATE(DATE(VALUE(LEFT(ReportMonth,4)),VALUE(RIGHT(ReportMonth,2)),1),-11),"yyyy-mm"),tblTxn[Month],"&lt;="&amp;ReportMonth)*$K65/12)</f>
        <v/>
      </c>
      <c r="K65">
        <f>IF($D65="Income",1,-1)</f>
        <v/>
      </c>
    </row>
    <row r="66">
      <c r="B66">
        <f>IFERROR(INDEX(tblCategories[Category],61),"")</f>
        <v/>
      </c>
      <c r="C66">
        <f>IF($B66="","",IFERROR(INDEX(tblCategories[Group],MATCH($B66,tblCategories[Category],0)),""))</f>
        <v/>
      </c>
      <c r="D66">
        <f>IF($B66="","",IFERROR(INDEX(tblCategories[Type],MATCH($B66,tblCategories[Category],0)),""))</f>
        <v/>
      </c>
      <c r="E66" s="19">
        <f>IF($B66="","",IFERROR(INDEX(tblCategories[Monthly Budget],MATCH($B66,tblCategories[Category],0)),0))</f>
        <v/>
      </c>
      <c r="F66" s="19">
        <f>IF($B66="","",SUMIFS(tblTxn[View Amount],tblTxn[Month],ReportMonth,tblTxn[Category],$B66)*$K66)</f>
        <v/>
      </c>
      <c r="G66" s="19">
        <f>IF(N(E66)=0,"",IF($D66="Income",F66-E66,E66-F66))</f>
        <v/>
      </c>
      <c r="H66" s="22">
        <f>IF(N(E66)=0,"",F66/E66)</f>
        <v/>
      </c>
      <c r="I66" s="19">
        <f>IF($B66="","",SUMIFS(tblTxn[View Amount],tblTxn[Category],$B66,tblTxn[Month],"&gt;="&amp;TEXT(EDATE(DATE(VALUE(LEFT(ReportMonth,4)),VALUE(RIGHT(ReportMonth,2)),1),-11),"yyyy-mm"),tblTxn[Month],"&lt;="&amp;ReportMonth)*$K66/12)</f>
        <v/>
      </c>
      <c r="K66">
        <f>IF($D66="Income",1,-1)</f>
        <v/>
      </c>
    </row>
    <row r="67">
      <c r="B67">
        <f>IFERROR(INDEX(tblCategories[Category],62),"")</f>
        <v/>
      </c>
      <c r="C67">
        <f>IF($B67="","",IFERROR(INDEX(tblCategories[Group],MATCH($B67,tblCategories[Category],0)),""))</f>
        <v/>
      </c>
      <c r="D67">
        <f>IF($B67="","",IFERROR(INDEX(tblCategories[Type],MATCH($B67,tblCategories[Category],0)),""))</f>
        <v/>
      </c>
      <c r="E67" s="19">
        <f>IF($B67="","",IFERROR(INDEX(tblCategories[Monthly Budget],MATCH($B67,tblCategories[Category],0)),0))</f>
        <v/>
      </c>
      <c r="F67" s="19">
        <f>IF($B67="","",SUMIFS(tblTxn[View Amount],tblTxn[Month],ReportMonth,tblTxn[Category],$B67)*$K67)</f>
        <v/>
      </c>
      <c r="G67" s="19">
        <f>IF(N(E67)=0,"",IF($D67="Income",F67-E67,E67-F67))</f>
        <v/>
      </c>
      <c r="H67" s="22">
        <f>IF(N(E67)=0,"",F67/E67)</f>
        <v/>
      </c>
      <c r="I67" s="19">
        <f>IF($B67="","",SUMIFS(tblTxn[View Amount],tblTxn[Category],$B67,tblTxn[Month],"&gt;="&amp;TEXT(EDATE(DATE(VALUE(LEFT(ReportMonth,4)),VALUE(RIGHT(ReportMonth,2)),1),-11),"yyyy-mm"),tblTxn[Month],"&lt;="&amp;ReportMonth)*$K67/12)</f>
        <v/>
      </c>
      <c r="K67">
        <f>IF($D67="Income",1,-1)</f>
        <v/>
      </c>
    </row>
    <row r="68">
      <c r="B68">
        <f>IFERROR(INDEX(tblCategories[Category],63),"")</f>
        <v/>
      </c>
      <c r="C68">
        <f>IF($B68="","",IFERROR(INDEX(tblCategories[Group],MATCH($B68,tblCategories[Category],0)),""))</f>
        <v/>
      </c>
      <c r="D68">
        <f>IF($B68="","",IFERROR(INDEX(tblCategories[Type],MATCH($B68,tblCategories[Category],0)),""))</f>
        <v/>
      </c>
      <c r="E68" s="19">
        <f>IF($B68="","",IFERROR(INDEX(tblCategories[Monthly Budget],MATCH($B68,tblCategories[Category],0)),0))</f>
        <v/>
      </c>
      <c r="F68" s="19">
        <f>IF($B68="","",SUMIFS(tblTxn[View Amount],tblTxn[Month],ReportMonth,tblTxn[Category],$B68)*$K68)</f>
        <v/>
      </c>
      <c r="G68" s="19">
        <f>IF(N(E68)=0,"",IF($D68="Income",F68-E68,E68-F68))</f>
        <v/>
      </c>
      <c r="H68" s="22">
        <f>IF(N(E68)=0,"",F68/E68)</f>
        <v/>
      </c>
      <c r="I68" s="19">
        <f>IF($B68="","",SUMIFS(tblTxn[View Amount],tblTxn[Category],$B68,tblTxn[Month],"&gt;="&amp;TEXT(EDATE(DATE(VALUE(LEFT(ReportMonth,4)),VALUE(RIGHT(ReportMonth,2)),1),-11),"yyyy-mm"),tblTxn[Month],"&lt;="&amp;ReportMonth)*$K68/12)</f>
        <v/>
      </c>
      <c r="K68">
        <f>IF($D68="Income",1,-1)</f>
        <v/>
      </c>
    </row>
    <row r="69">
      <c r="B69">
        <f>IFERROR(INDEX(tblCategories[Category],64),"")</f>
        <v/>
      </c>
      <c r="C69">
        <f>IF($B69="","",IFERROR(INDEX(tblCategories[Group],MATCH($B69,tblCategories[Category],0)),""))</f>
        <v/>
      </c>
      <c r="D69">
        <f>IF($B69="","",IFERROR(INDEX(tblCategories[Type],MATCH($B69,tblCategories[Category],0)),""))</f>
        <v/>
      </c>
      <c r="E69" s="19">
        <f>IF($B69="","",IFERROR(INDEX(tblCategories[Monthly Budget],MATCH($B69,tblCategories[Category],0)),0))</f>
        <v/>
      </c>
      <c r="F69" s="19">
        <f>IF($B69="","",SUMIFS(tblTxn[View Amount],tblTxn[Month],ReportMonth,tblTxn[Category],$B69)*$K69)</f>
        <v/>
      </c>
      <c r="G69" s="19">
        <f>IF(N(E69)=0,"",IF($D69="Income",F69-E69,E69-F69))</f>
        <v/>
      </c>
      <c r="H69" s="22">
        <f>IF(N(E69)=0,"",F69/E69)</f>
        <v/>
      </c>
      <c r="I69" s="19">
        <f>IF($B69="","",SUMIFS(tblTxn[View Amount],tblTxn[Category],$B69,tblTxn[Month],"&gt;="&amp;TEXT(EDATE(DATE(VALUE(LEFT(ReportMonth,4)),VALUE(RIGHT(ReportMonth,2)),1),-11),"yyyy-mm"),tblTxn[Month],"&lt;="&amp;ReportMonth)*$K69/12)</f>
        <v/>
      </c>
      <c r="K69">
        <f>IF($D69="Income",1,-1)</f>
        <v/>
      </c>
    </row>
    <row r="70">
      <c r="B70">
        <f>IFERROR(INDEX(tblCategories[Category],65),"")</f>
        <v/>
      </c>
      <c r="C70">
        <f>IF($B70="","",IFERROR(INDEX(tblCategories[Group],MATCH($B70,tblCategories[Category],0)),""))</f>
        <v/>
      </c>
      <c r="D70">
        <f>IF($B70="","",IFERROR(INDEX(tblCategories[Type],MATCH($B70,tblCategories[Category],0)),""))</f>
        <v/>
      </c>
      <c r="E70" s="19">
        <f>IF($B70="","",IFERROR(INDEX(tblCategories[Monthly Budget],MATCH($B70,tblCategories[Category],0)),0))</f>
        <v/>
      </c>
      <c r="F70" s="19">
        <f>IF($B70="","",SUMIFS(tblTxn[View Amount],tblTxn[Month],ReportMonth,tblTxn[Category],$B70)*$K70)</f>
        <v/>
      </c>
      <c r="G70" s="19">
        <f>IF(N(E70)=0,"",IF($D70="Income",F70-E70,E70-F70))</f>
        <v/>
      </c>
      <c r="H70" s="22">
        <f>IF(N(E70)=0,"",F70/E70)</f>
        <v/>
      </c>
      <c r="I70" s="19">
        <f>IF($B70="","",SUMIFS(tblTxn[View Amount],tblTxn[Category],$B70,tblTxn[Month],"&gt;="&amp;TEXT(EDATE(DATE(VALUE(LEFT(ReportMonth,4)),VALUE(RIGHT(ReportMonth,2)),1),-11),"yyyy-mm"),tblTxn[Month],"&lt;="&amp;ReportMonth)*$K70/12)</f>
        <v/>
      </c>
      <c r="K70">
        <f>IF($D70="Income",1,-1)</f>
        <v/>
      </c>
    </row>
    <row r="71">
      <c r="B71">
        <f>IFERROR(INDEX(tblCategories[Category],66),"")</f>
        <v/>
      </c>
      <c r="C71">
        <f>IF($B71="","",IFERROR(INDEX(tblCategories[Group],MATCH($B71,tblCategories[Category],0)),""))</f>
        <v/>
      </c>
      <c r="D71">
        <f>IF($B71="","",IFERROR(INDEX(tblCategories[Type],MATCH($B71,tblCategories[Category],0)),""))</f>
        <v/>
      </c>
      <c r="E71" s="19">
        <f>IF($B71="","",IFERROR(INDEX(tblCategories[Monthly Budget],MATCH($B71,tblCategories[Category],0)),0))</f>
        <v/>
      </c>
      <c r="F71" s="19">
        <f>IF($B71="","",SUMIFS(tblTxn[View Amount],tblTxn[Month],ReportMonth,tblTxn[Category],$B71)*$K71)</f>
        <v/>
      </c>
      <c r="G71" s="19">
        <f>IF(N(E71)=0,"",IF($D71="Income",F71-E71,E71-F71))</f>
        <v/>
      </c>
      <c r="H71" s="22">
        <f>IF(N(E71)=0,"",F71/E71)</f>
        <v/>
      </c>
      <c r="I71" s="19">
        <f>IF($B71="","",SUMIFS(tblTxn[View Amount],tblTxn[Category],$B71,tblTxn[Month],"&gt;="&amp;TEXT(EDATE(DATE(VALUE(LEFT(ReportMonth,4)),VALUE(RIGHT(ReportMonth,2)),1),-11),"yyyy-mm"),tblTxn[Month],"&lt;="&amp;ReportMonth)*$K71/12)</f>
        <v/>
      </c>
      <c r="K71">
        <f>IF($D71="Income",1,-1)</f>
        <v/>
      </c>
    </row>
    <row r="72">
      <c r="B72">
        <f>IFERROR(INDEX(tblCategories[Category],67),"")</f>
        <v/>
      </c>
      <c r="C72">
        <f>IF($B72="","",IFERROR(INDEX(tblCategories[Group],MATCH($B72,tblCategories[Category],0)),""))</f>
        <v/>
      </c>
      <c r="D72">
        <f>IF($B72="","",IFERROR(INDEX(tblCategories[Type],MATCH($B72,tblCategories[Category],0)),""))</f>
        <v/>
      </c>
      <c r="E72" s="19">
        <f>IF($B72="","",IFERROR(INDEX(tblCategories[Monthly Budget],MATCH($B72,tblCategories[Category],0)),0))</f>
        <v/>
      </c>
      <c r="F72" s="19">
        <f>IF($B72="","",SUMIFS(tblTxn[View Amount],tblTxn[Month],ReportMonth,tblTxn[Category],$B72)*$K72)</f>
        <v/>
      </c>
      <c r="G72" s="19">
        <f>IF(N(E72)=0,"",IF($D72="Income",F72-E72,E72-F72))</f>
        <v/>
      </c>
      <c r="H72" s="22">
        <f>IF(N(E72)=0,"",F72/E72)</f>
        <v/>
      </c>
      <c r="I72" s="19">
        <f>IF($B72="","",SUMIFS(tblTxn[View Amount],tblTxn[Category],$B72,tblTxn[Month],"&gt;="&amp;TEXT(EDATE(DATE(VALUE(LEFT(ReportMonth,4)),VALUE(RIGHT(ReportMonth,2)),1),-11),"yyyy-mm"),tblTxn[Month],"&lt;="&amp;ReportMonth)*$K72/12)</f>
        <v/>
      </c>
      <c r="K72">
        <f>IF($D72="Income",1,-1)</f>
        <v/>
      </c>
    </row>
    <row r="73">
      <c r="B73">
        <f>IFERROR(INDEX(tblCategories[Category],68),"")</f>
        <v/>
      </c>
      <c r="C73">
        <f>IF($B73="","",IFERROR(INDEX(tblCategories[Group],MATCH($B73,tblCategories[Category],0)),""))</f>
        <v/>
      </c>
      <c r="D73">
        <f>IF($B73="","",IFERROR(INDEX(tblCategories[Type],MATCH($B73,tblCategories[Category],0)),""))</f>
        <v/>
      </c>
      <c r="E73" s="19">
        <f>IF($B73="","",IFERROR(INDEX(tblCategories[Monthly Budget],MATCH($B73,tblCategories[Category],0)),0))</f>
        <v/>
      </c>
      <c r="F73" s="19">
        <f>IF($B73="","",SUMIFS(tblTxn[View Amount],tblTxn[Month],ReportMonth,tblTxn[Category],$B73)*$K73)</f>
        <v/>
      </c>
      <c r="G73" s="19">
        <f>IF(N(E73)=0,"",IF($D73="Income",F73-E73,E73-F73))</f>
        <v/>
      </c>
      <c r="H73" s="22">
        <f>IF(N(E73)=0,"",F73/E73)</f>
        <v/>
      </c>
      <c r="I73" s="19">
        <f>IF($B73="","",SUMIFS(tblTxn[View Amount],tblTxn[Category],$B73,tblTxn[Month],"&gt;="&amp;TEXT(EDATE(DATE(VALUE(LEFT(ReportMonth,4)),VALUE(RIGHT(ReportMonth,2)),1),-11),"yyyy-mm"),tblTxn[Month],"&lt;="&amp;ReportMonth)*$K73/12)</f>
        <v/>
      </c>
      <c r="K73">
        <f>IF($D73="Income",1,-1)</f>
        <v/>
      </c>
    </row>
    <row r="74">
      <c r="B74">
        <f>IFERROR(INDEX(tblCategories[Category],69),"")</f>
        <v/>
      </c>
      <c r="C74">
        <f>IF($B74="","",IFERROR(INDEX(tblCategories[Group],MATCH($B74,tblCategories[Category],0)),""))</f>
        <v/>
      </c>
      <c r="D74">
        <f>IF($B74="","",IFERROR(INDEX(tblCategories[Type],MATCH($B74,tblCategories[Category],0)),""))</f>
        <v/>
      </c>
      <c r="E74" s="19">
        <f>IF($B74="","",IFERROR(INDEX(tblCategories[Monthly Budget],MATCH($B74,tblCategories[Category],0)),0))</f>
        <v/>
      </c>
      <c r="F74" s="19">
        <f>IF($B74="","",SUMIFS(tblTxn[View Amount],tblTxn[Month],ReportMonth,tblTxn[Category],$B74)*$K74)</f>
        <v/>
      </c>
      <c r="G74" s="19">
        <f>IF(N(E74)=0,"",IF($D74="Income",F74-E74,E74-F74))</f>
        <v/>
      </c>
      <c r="H74" s="22">
        <f>IF(N(E74)=0,"",F74/E74)</f>
        <v/>
      </c>
      <c r="I74" s="19">
        <f>IF($B74="","",SUMIFS(tblTxn[View Amount],tblTxn[Category],$B74,tblTxn[Month],"&gt;="&amp;TEXT(EDATE(DATE(VALUE(LEFT(ReportMonth,4)),VALUE(RIGHT(ReportMonth,2)),1),-11),"yyyy-mm"),tblTxn[Month],"&lt;="&amp;ReportMonth)*$K74/12)</f>
        <v/>
      </c>
      <c r="K74">
        <f>IF($D74="Income",1,-1)</f>
        <v/>
      </c>
    </row>
    <row r="75">
      <c r="B75">
        <f>IFERROR(INDEX(tblCategories[Category],70),"")</f>
        <v/>
      </c>
      <c r="C75">
        <f>IF($B75="","",IFERROR(INDEX(tblCategories[Group],MATCH($B75,tblCategories[Category],0)),""))</f>
        <v/>
      </c>
      <c r="D75">
        <f>IF($B75="","",IFERROR(INDEX(tblCategories[Type],MATCH($B75,tblCategories[Category],0)),""))</f>
        <v/>
      </c>
      <c r="E75" s="19">
        <f>IF($B75="","",IFERROR(INDEX(tblCategories[Monthly Budget],MATCH($B75,tblCategories[Category],0)),0))</f>
        <v/>
      </c>
      <c r="F75" s="19">
        <f>IF($B75="","",SUMIFS(tblTxn[View Amount],tblTxn[Month],ReportMonth,tblTxn[Category],$B75)*$K75)</f>
        <v/>
      </c>
      <c r="G75" s="19">
        <f>IF(N(E75)=0,"",IF($D75="Income",F75-E75,E75-F75))</f>
        <v/>
      </c>
      <c r="H75" s="22">
        <f>IF(N(E75)=0,"",F75/E75)</f>
        <v/>
      </c>
      <c r="I75" s="19">
        <f>IF($B75="","",SUMIFS(tblTxn[View Amount],tblTxn[Category],$B75,tblTxn[Month],"&gt;="&amp;TEXT(EDATE(DATE(VALUE(LEFT(ReportMonth,4)),VALUE(RIGHT(ReportMonth,2)),1),-11),"yyyy-mm"),tblTxn[Month],"&lt;="&amp;ReportMonth)*$K75/12)</f>
        <v/>
      </c>
      <c r="K75">
        <f>IF($D75="Income",1,-1)</f>
        <v/>
      </c>
    </row>
    <row r="76">
      <c r="B76">
        <f>IFERROR(INDEX(tblCategories[Category],71),"")</f>
        <v/>
      </c>
      <c r="C76">
        <f>IF($B76="","",IFERROR(INDEX(tblCategories[Group],MATCH($B76,tblCategories[Category],0)),""))</f>
        <v/>
      </c>
      <c r="D76">
        <f>IF($B76="","",IFERROR(INDEX(tblCategories[Type],MATCH($B76,tblCategories[Category],0)),""))</f>
        <v/>
      </c>
      <c r="E76" s="19">
        <f>IF($B76="","",IFERROR(INDEX(tblCategories[Monthly Budget],MATCH($B76,tblCategories[Category],0)),0))</f>
        <v/>
      </c>
      <c r="F76" s="19">
        <f>IF($B76="","",SUMIFS(tblTxn[View Amount],tblTxn[Month],ReportMonth,tblTxn[Category],$B76)*$K76)</f>
        <v/>
      </c>
      <c r="G76" s="19">
        <f>IF(N(E76)=0,"",IF($D76="Income",F76-E76,E76-F76))</f>
        <v/>
      </c>
      <c r="H76" s="22">
        <f>IF(N(E76)=0,"",F76/E76)</f>
        <v/>
      </c>
      <c r="I76" s="19">
        <f>IF($B76="","",SUMIFS(tblTxn[View Amount],tblTxn[Category],$B76,tblTxn[Month],"&gt;="&amp;TEXT(EDATE(DATE(VALUE(LEFT(ReportMonth,4)),VALUE(RIGHT(ReportMonth,2)),1),-11),"yyyy-mm"),tblTxn[Month],"&lt;="&amp;ReportMonth)*$K76/12)</f>
        <v/>
      </c>
      <c r="K76">
        <f>IF($D76="Income",1,-1)</f>
        <v/>
      </c>
    </row>
    <row r="77">
      <c r="B77">
        <f>IFERROR(INDEX(tblCategories[Category],72),"")</f>
        <v/>
      </c>
      <c r="C77">
        <f>IF($B77="","",IFERROR(INDEX(tblCategories[Group],MATCH($B77,tblCategories[Category],0)),""))</f>
        <v/>
      </c>
      <c r="D77">
        <f>IF($B77="","",IFERROR(INDEX(tblCategories[Type],MATCH($B77,tblCategories[Category],0)),""))</f>
        <v/>
      </c>
      <c r="E77" s="19">
        <f>IF($B77="","",IFERROR(INDEX(tblCategories[Monthly Budget],MATCH($B77,tblCategories[Category],0)),0))</f>
        <v/>
      </c>
      <c r="F77" s="19">
        <f>IF($B77="","",SUMIFS(tblTxn[View Amount],tblTxn[Month],ReportMonth,tblTxn[Category],$B77)*$K77)</f>
        <v/>
      </c>
      <c r="G77" s="19">
        <f>IF(N(E77)=0,"",IF($D77="Income",F77-E77,E77-F77))</f>
        <v/>
      </c>
      <c r="H77" s="22">
        <f>IF(N(E77)=0,"",F77/E77)</f>
        <v/>
      </c>
      <c r="I77" s="19">
        <f>IF($B77="","",SUMIFS(tblTxn[View Amount],tblTxn[Category],$B77,tblTxn[Month],"&gt;="&amp;TEXT(EDATE(DATE(VALUE(LEFT(ReportMonth,4)),VALUE(RIGHT(ReportMonth,2)),1),-11),"yyyy-mm"),tblTxn[Month],"&lt;="&amp;ReportMonth)*$K77/12)</f>
        <v/>
      </c>
      <c r="K77">
        <f>IF($D77="Income",1,-1)</f>
        <v/>
      </c>
    </row>
    <row r="78">
      <c r="B78">
        <f>IFERROR(INDEX(tblCategories[Category],73),"")</f>
        <v/>
      </c>
      <c r="C78">
        <f>IF($B78="","",IFERROR(INDEX(tblCategories[Group],MATCH($B78,tblCategories[Category],0)),""))</f>
        <v/>
      </c>
      <c r="D78">
        <f>IF($B78="","",IFERROR(INDEX(tblCategories[Type],MATCH($B78,tblCategories[Category],0)),""))</f>
        <v/>
      </c>
      <c r="E78" s="19">
        <f>IF($B78="","",IFERROR(INDEX(tblCategories[Monthly Budget],MATCH($B78,tblCategories[Category],0)),0))</f>
        <v/>
      </c>
      <c r="F78" s="19">
        <f>IF($B78="","",SUMIFS(tblTxn[View Amount],tblTxn[Month],ReportMonth,tblTxn[Category],$B78)*$K78)</f>
        <v/>
      </c>
      <c r="G78" s="19">
        <f>IF(N(E78)=0,"",IF($D78="Income",F78-E78,E78-F78))</f>
        <v/>
      </c>
      <c r="H78" s="22">
        <f>IF(N(E78)=0,"",F78/E78)</f>
        <v/>
      </c>
      <c r="I78" s="19">
        <f>IF($B78="","",SUMIFS(tblTxn[View Amount],tblTxn[Category],$B78,tblTxn[Month],"&gt;="&amp;TEXT(EDATE(DATE(VALUE(LEFT(ReportMonth,4)),VALUE(RIGHT(ReportMonth,2)),1),-11),"yyyy-mm"),tblTxn[Month],"&lt;="&amp;ReportMonth)*$K78/12)</f>
        <v/>
      </c>
      <c r="K78">
        <f>IF($D78="Income",1,-1)</f>
        <v/>
      </c>
    </row>
    <row r="79">
      <c r="B79">
        <f>IFERROR(INDEX(tblCategories[Category],74),"")</f>
        <v/>
      </c>
      <c r="C79">
        <f>IF($B79="","",IFERROR(INDEX(tblCategories[Group],MATCH($B79,tblCategories[Category],0)),""))</f>
        <v/>
      </c>
      <c r="D79">
        <f>IF($B79="","",IFERROR(INDEX(tblCategories[Type],MATCH($B79,tblCategories[Category],0)),""))</f>
        <v/>
      </c>
      <c r="E79" s="19">
        <f>IF($B79="","",IFERROR(INDEX(tblCategories[Monthly Budget],MATCH($B79,tblCategories[Category],0)),0))</f>
        <v/>
      </c>
      <c r="F79" s="19">
        <f>IF($B79="","",SUMIFS(tblTxn[View Amount],tblTxn[Month],ReportMonth,tblTxn[Category],$B79)*$K79)</f>
        <v/>
      </c>
      <c r="G79" s="19">
        <f>IF(N(E79)=0,"",IF($D79="Income",F79-E79,E79-F79))</f>
        <v/>
      </c>
      <c r="H79" s="22">
        <f>IF(N(E79)=0,"",F79/E79)</f>
        <v/>
      </c>
      <c r="I79" s="19">
        <f>IF($B79="","",SUMIFS(tblTxn[View Amount],tblTxn[Category],$B79,tblTxn[Month],"&gt;="&amp;TEXT(EDATE(DATE(VALUE(LEFT(ReportMonth,4)),VALUE(RIGHT(ReportMonth,2)),1),-11),"yyyy-mm"),tblTxn[Month],"&lt;="&amp;ReportMonth)*$K79/12)</f>
        <v/>
      </c>
      <c r="K79">
        <f>IF($D79="Income",1,-1)</f>
        <v/>
      </c>
    </row>
    <row r="80">
      <c r="B80">
        <f>IFERROR(INDEX(tblCategories[Category],75),"")</f>
        <v/>
      </c>
      <c r="C80">
        <f>IF($B80="","",IFERROR(INDEX(tblCategories[Group],MATCH($B80,tblCategories[Category],0)),""))</f>
        <v/>
      </c>
      <c r="D80">
        <f>IF($B80="","",IFERROR(INDEX(tblCategories[Type],MATCH($B80,tblCategories[Category],0)),""))</f>
        <v/>
      </c>
      <c r="E80" s="19">
        <f>IF($B80="","",IFERROR(INDEX(tblCategories[Monthly Budget],MATCH($B80,tblCategories[Category],0)),0))</f>
        <v/>
      </c>
      <c r="F80" s="19">
        <f>IF($B80="","",SUMIFS(tblTxn[View Amount],tblTxn[Month],ReportMonth,tblTxn[Category],$B80)*$K80)</f>
        <v/>
      </c>
      <c r="G80" s="19">
        <f>IF(N(E80)=0,"",IF($D80="Income",F80-E80,E80-F80))</f>
        <v/>
      </c>
      <c r="H80" s="22">
        <f>IF(N(E80)=0,"",F80/E80)</f>
        <v/>
      </c>
      <c r="I80" s="19">
        <f>IF($B80="","",SUMIFS(tblTxn[View Amount],tblTxn[Category],$B80,tblTxn[Month],"&gt;="&amp;TEXT(EDATE(DATE(VALUE(LEFT(ReportMonth,4)),VALUE(RIGHT(ReportMonth,2)),1),-11),"yyyy-mm"),tblTxn[Month],"&lt;="&amp;ReportMonth)*$K80/12)</f>
        <v/>
      </c>
      <c r="K80">
        <f>IF($D80="Income",1,-1)</f>
        <v/>
      </c>
    </row>
    <row r="81">
      <c r="B81">
        <f>IFERROR(INDEX(tblCategories[Category],76),"")</f>
        <v/>
      </c>
      <c r="C81">
        <f>IF($B81="","",IFERROR(INDEX(tblCategories[Group],MATCH($B81,tblCategories[Category],0)),""))</f>
        <v/>
      </c>
      <c r="D81">
        <f>IF($B81="","",IFERROR(INDEX(tblCategories[Type],MATCH($B81,tblCategories[Category],0)),""))</f>
        <v/>
      </c>
      <c r="E81" s="19">
        <f>IF($B81="","",IFERROR(INDEX(tblCategories[Monthly Budget],MATCH($B81,tblCategories[Category],0)),0))</f>
        <v/>
      </c>
      <c r="F81" s="19">
        <f>IF($B81="","",SUMIFS(tblTxn[View Amount],tblTxn[Month],ReportMonth,tblTxn[Category],$B81)*$K81)</f>
        <v/>
      </c>
      <c r="G81" s="19">
        <f>IF(N(E81)=0,"",IF($D81="Income",F81-E81,E81-F81))</f>
        <v/>
      </c>
      <c r="H81" s="22">
        <f>IF(N(E81)=0,"",F81/E81)</f>
        <v/>
      </c>
      <c r="I81" s="19">
        <f>IF($B81="","",SUMIFS(tblTxn[View Amount],tblTxn[Category],$B81,tblTxn[Month],"&gt;="&amp;TEXT(EDATE(DATE(VALUE(LEFT(ReportMonth,4)),VALUE(RIGHT(ReportMonth,2)),1),-11),"yyyy-mm"),tblTxn[Month],"&lt;="&amp;ReportMonth)*$K81/12)</f>
        <v/>
      </c>
      <c r="K81">
        <f>IF($D81="Income",1,-1)</f>
        <v/>
      </c>
    </row>
    <row r="82">
      <c r="B82">
        <f>IFERROR(INDEX(tblCategories[Category],77),"")</f>
        <v/>
      </c>
      <c r="C82">
        <f>IF($B82="","",IFERROR(INDEX(tblCategories[Group],MATCH($B82,tblCategories[Category],0)),""))</f>
        <v/>
      </c>
      <c r="D82">
        <f>IF($B82="","",IFERROR(INDEX(tblCategories[Type],MATCH($B82,tblCategories[Category],0)),""))</f>
        <v/>
      </c>
      <c r="E82" s="19">
        <f>IF($B82="","",IFERROR(INDEX(tblCategories[Monthly Budget],MATCH($B82,tblCategories[Category],0)),0))</f>
        <v/>
      </c>
      <c r="F82" s="19">
        <f>IF($B82="","",SUMIFS(tblTxn[View Amount],tblTxn[Month],ReportMonth,tblTxn[Category],$B82)*$K82)</f>
        <v/>
      </c>
      <c r="G82" s="19">
        <f>IF(N(E82)=0,"",IF($D82="Income",F82-E82,E82-F82))</f>
        <v/>
      </c>
      <c r="H82" s="22">
        <f>IF(N(E82)=0,"",F82/E82)</f>
        <v/>
      </c>
      <c r="I82" s="19">
        <f>IF($B82="","",SUMIFS(tblTxn[View Amount],tblTxn[Category],$B82,tblTxn[Month],"&gt;="&amp;TEXT(EDATE(DATE(VALUE(LEFT(ReportMonth,4)),VALUE(RIGHT(ReportMonth,2)),1),-11),"yyyy-mm"),tblTxn[Month],"&lt;="&amp;ReportMonth)*$K82/12)</f>
        <v/>
      </c>
      <c r="K82">
        <f>IF($D82="Income",1,-1)</f>
        <v/>
      </c>
    </row>
    <row r="83">
      <c r="B83">
        <f>IFERROR(INDEX(tblCategories[Category],78),"")</f>
        <v/>
      </c>
      <c r="C83">
        <f>IF($B83="","",IFERROR(INDEX(tblCategories[Group],MATCH($B83,tblCategories[Category],0)),""))</f>
        <v/>
      </c>
      <c r="D83">
        <f>IF($B83="","",IFERROR(INDEX(tblCategories[Type],MATCH($B83,tblCategories[Category],0)),""))</f>
        <v/>
      </c>
      <c r="E83" s="19">
        <f>IF($B83="","",IFERROR(INDEX(tblCategories[Monthly Budget],MATCH($B83,tblCategories[Category],0)),0))</f>
        <v/>
      </c>
      <c r="F83" s="19">
        <f>IF($B83="","",SUMIFS(tblTxn[View Amount],tblTxn[Month],ReportMonth,tblTxn[Category],$B83)*$K83)</f>
        <v/>
      </c>
      <c r="G83" s="19">
        <f>IF(N(E83)=0,"",IF($D83="Income",F83-E83,E83-F83))</f>
        <v/>
      </c>
      <c r="H83" s="22">
        <f>IF(N(E83)=0,"",F83/E83)</f>
        <v/>
      </c>
      <c r="I83" s="19">
        <f>IF($B83="","",SUMIFS(tblTxn[View Amount],tblTxn[Category],$B83,tblTxn[Month],"&gt;="&amp;TEXT(EDATE(DATE(VALUE(LEFT(ReportMonth,4)),VALUE(RIGHT(ReportMonth,2)),1),-11),"yyyy-mm"),tblTxn[Month],"&lt;="&amp;ReportMonth)*$K83/12)</f>
        <v/>
      </c>
      <c r="K83">
        <f>IF($D83="Income",1,-1)</f>
        <v/>
      </c>
    </row>
    <row r="84">
      <c r="B84">
        <f>IFERROR(INDEX(tblCategories[Category],79),"")</f>
        <v/>
      </c>
      <c r="C84">
        <f>IF($B84="","",IFERROR(INDEX(tblCategories[Group],MATCH($B84,tblCategories[Category],0)),""))</f>
        <v/>
      </c>
      <c r="D84">
        <f>IF($B84="","",IFERROR(INDEX(tblCategories[Type],MATCH($B84,tblCategories[Category],0)),""))</f>
        <v/>
      </c>
      <c r="E84" s="19">
        <f>IF($B84="","",IFERROR(INDEX(tblCategories[Monthly Budget],MATCH($B84,tblCategories[Category],0)),0))</f>
        <v/>
      </c>
      <c r="F84" s="19">
        <f>IF($B84="","",SUMIFS(tblTxn[View Amount],tblTxn[Month],ReportMonth,tblTxn[Category],$B84)*$K84)</f>
        <v/>
      </c>
      <c r="G84" s="19">
        <f>IF(N(E84)=0,"",IF($D84="Income",F84-E84,E84-F84))</f>
        <v/>
      </c>
      <c r="H84" s="22">
        <f>IF(N(E84)=0,"",F84/E84)</f>
        <v/>
      </c>
      <c r="I84" s="19">
        <f>IF($B84="","",SUMIFS(tblTxn[View Amount],tblTxn[Category],$B84,tblTxn[Month],"&gt;="&amp;TEXT(EDATE(DATE(VALUE(LEFT(ReportMonth,4)),VALUE(RIGHT(ReportMonth,2)),1),-11),"yyyy-mm"),tblTxn[Month],"&lt;="&amp;ReportMonth)*$K84/12)</f>
        <v/>
      </c>
      <c r="K84">
        <f>IF($D84="Income",1,-1)</f>
        <v/>
      </c>
    </row>
    <row r="85">
      <c r="B85">
        <f>IFERROR(INDEX(tblCategories[Category],80),"")</f>
        <v/>
      </c>
      <c r="C85">
        <f>IF($B85="","",IFERROR(INDEX(tblCategories[Group],MATCH($B85,tblCategories[Category],0)),""))</f>
        <v/>
      </c>
      <c r="D85">
        <f>IF($B85="","",IFERROR(INDEX(tblCategories[Type],MATCH($B85,tblCategories[Category],0)),""))</f>
        <v/>
      </c>
      <c r="E85" s="19">
        <f>IF($B85="","",IFERROR(INDEX(tblCategories[Monthly Budget],MATCH($B85,tblCategories[Category],0)),0))</f>
        <v/>
      </c>
      <c r="F85" s="19">
        <f>IF($B85="","",SUMIFS(tblTxn[View Amount],tblTxn[Month],ReportMonth,tblTxn[Category],$B85)*$K85)</f>
        <v/>
      </c>
      <c r="G85" s="19">
        <f>IF(N(E85)=0,"",IF($D85="Income",F85-E85,E85-F85))</f>
        <v/>
      </c>
      <c r="H85" s="22">
        <f>IF(N(E85)=0,"",F85/E85)</f>
        <v/>
      </c>
      <c r="I85" s="19">
        <f>IF($B85="","",SUMIFS(tblTxn[View Amount],tblTxn[Category],$B85,tblTxn[Month],"&gt;="&amp;TEXT(EDATE(DATE(VALUE(LEFT(ReportMonth,4)),VALUE(RIGHT(ReportMonth,2)),1),-11),"yyyy-mm"),tblTxn[Month],"&lt;="&amp;ReportMonth)*$K85/12)</f>
        <v/>
      </c>
      <c r="K85">
        <f>IF($D85="Income",1,-1)</f>
        <v/>
      </c>
    </row>
    <row r="86">
      <c r="B86">
        <f>IFERROR(INDEX(tblCategories[Category],81),"")</f>
        <v/>
      </c>
      <c r="C86">
        <f>IF($B86="","",IFERROR(INDEX(tblCategories[Group],MATCH($B86,tblCategories[Category],0)),""))</f>
        <v/>
      </c>
      <c r="D86">
        <f>IF($B86="","",IFERROR(INDEX(tblCategories[Type],MATCH($B86,tblCategories[Category],0)),""))</f>
        <v/>
      </c>
      <c r="E86" s="19">
        <f>IF($B86="","",IFERROR(INDEX(tblCategories[Monthly Budget],MATCH($B86,tblCategories[Category],0)),0))</f>
        <v/>
      </c>
      <c r="F86" s="19">
        <f>IF($B86="","",SUMIFS(tblTxn[View Amount],tblTxn[Month],ReportMonth,tblTxn[Category],$B86)*$K86)</f>
        <v/>
      </c>
      <c r="G86" s="19">
        <f>IF(N(E86)=0,"",IF($D86="Income",F86-E86,E86-F86))</f>
        <v/>
      </c>
      <c r="H86" s="22">
        <f>IF(N(E86)=0,"",F86/E86)</f>
        <v/>
      </c>
      <c r="I86" s="19">
        <f>IF($B86="","",SUMIFS(tblTxn[View Amount],tblTxn[Category],$B86,tblTxn[Month],"&gt;="&amp;TEXT(EDATE(DATE(VALUE(LEFT(ReportMonth,4)),VALUE(RIGHT(ReportMonth,2)),1),-11),"yyyy-mm"),tblTxn[Month],"&lt;="&amp;ReportMonth)*$K86/12)</f>
        <v/>
      </c>
      <c r="K86">
        <f>IF($D86="Income",1,-1)</f>
        <v/>
      </c>
    </row>
    <row r="87">
      <c r="B87">
        <f>IFERROR(INDEX(tblCategories[Category],82),"")</f>
        <v/>
      </c>
      <c r="C87">
        <f>IF($B87="","",IFERROR(INDEX(tblCategories[Group],MATCH($B87,tblCategories[Category],0)),""))</f>
        <v/>
      </c>
      <c r="D87">
        <f>IF($B87="","",IFERROR(INDEX(tblCategories[Type],MATCH($B87,tblCategories[Category],0)),""))</f>
        <v/>
      </c>
      <c r="E87" s="19">
        <f>IF($B87="","",IFERROR(INDEX(tblCategories[Monthly Budget],MATCH($B87,tblCategories[Category],0)),0))</f>
        <v/>
      </c>
      <c r="F87" s="19">
        <f>IF($B87="","",SUMIFS(tblTxn[View Amount],tblTxn[Month],ReportMonth,tblTxn[Category],$B87)*$K87)</f>
        <v/>
      </c>
      <c r="G87" s="19">
        <f>IF(N(E87)=0,"",IF($D87="Income",F87-E87,E87-F87))</f>
        <v/>
      </c>
      <c r="H87" s="22">
        <f>IF(N(E87)=0,"",F87/E87)</f>
        <v/>
      </c>
      <c r="I87" s="19">
        <f>IF($B87="","",SUMIFS(tblTxn[View Amount],tblTxn[Category],$B87,tblTxn[Month],"&gt;="&amp;TEXT(EDATE(DATE(VALUE(LEFT(ReportMonth,4)),VALUE(RIGHT(ReportMonth,2)),1),-11),"yyyy-mm"),tblTxn[Month],"&lt;="&amp;ReportMonth)*$K87/12)</f>
        <v/>
      </c>
      <c r="K87">
        <f>IF($D87="Income",1,-1)</f>
        <v/>
      </c>
    </row>
    <row r="88">
      <c r="B88">
        <f>IFERROR(INDEX(tblCategories[Category],83),"")</f>
        <v/>
      </c>
      <c r="C88">
        <f>IF($B88="","",IFERROR(INDEX(tblCategories[Group],MATCH($B88,tblCategories[Category],0)),""))</f>
        <v/>
      </c>
      <c r="D88">
        <f>IF($B88="","",IFERROR(INDEX(tblCategories[Type],MATCH($B88,tblCategories[Category],0)),""))</f>
        <v/>
      </c>
      <c r="E88" s="19">
        <f>IF($B88="","",IFERROR(INDEX(tblCategories[Monthly Budget],MATCH($B88,tblCategories[Category],0)),0))</f>
        <v/>
      </c>
      <c r="F88" s="19">
        <f>IF($B88="","",SUMIFS(tblTxn[View Amount],tblTxn[Month],ReportMonth,tblTxn[Category],$B88)*$K88)</f>
        <v/>
      </c>
      <c r="G88" s="19">
        <f>IF(N(E88)=0,"",IF($D88="Income",F88-E88,E88-F88))</f>
        <v/>
      </c>
      <c r="H88" s="22">
        <f>IF(N(E88)=0,"",F88/E88)</f>
        <v/>
      </c>
      <c r="I88" s="19">
        <f>IF($B88="","",SUMIFS(tblTxn[View Amount],tblTxn[Category],$B88,tblTxn[Month],"&gt;="&amp;TEXT(EDATE(DATE(VALUE(LEFT(ReportMonth,4)),VALUE(RIGHT(ReportMonth,2)),1),-11),"yyyy-mm"),tblTxn[Month],"&lt;="&amp;ReportMonth)*$K88/12)</f>
        <v/>
      </c>
      <c r="K88">
        <f>IF($D88="Income",1,-1)</f>
        <v/>
      </c>
    </row>
    <row r="89">
      <c r="B89">
        <f>IFERROR(INDEX(tblCategories[Category],84),"")</f>
        <v/>
      </c>
      <c r="C89">
        <f>IF($B89="","",IFERROR(INDEX(tblCategories[Group],MATCH($B89,tblCategories[Category],0)),""))</f>
        <v/>
      </c>
      <c r="D89">
        <f>IF($B89="","",IFERROR(INDEX(tblCategories[Type],MATCH($B89,tblCategories[Category],0)),""))</f>
        <v/>
      </c>
      <c r="E89" s="19">
        <f>IF($B89="","",IFERROR(INDEX(tblCategories[Monthly Budget],MATCH($B89,tblCategories[Category],0)),0))</f>
        <v/>
      </c>
      <c r="F89" s="19">
        <f>IF($B89="","",SUMIFS(tblTxn[View Amount],tblTxn[Month],ReportMonth,tblTxn[Category],$B89)*$K89)</f>
        <v/>
      </c>
      <c r="G89" s="19">
        <f>IF(N(E89)=0,"",IF($D89="Income",F89-E89,E89-F89))</f>
        <v/>
      </c>
      <c r="H89" s="22">
        <f>IF(N(E89)=0,"",F89/E89)</f>
        <v/>
      </c>
      <c r="I89" s="19">
        <f>IF($B89="","",SUMIFS(tblTxn[View Amount],tblTxn[Category],$B89,tblTxn[Month],"&gt;="&amp;TEXT(EDATE(DATE(VALUE(LEFT(ReportMonth,4)),VALUE(RIGHT(ReportMonth,2)),1),-11),"yyyy-mm"),tblTxn[Month],"&lt;="&amp;ReportMonth)*$K89/12)</f>
        <v/>
      </c>
      <c r="K89">
        <f>IF($D89="Income",1,-1)</f>
        <v/>
      </c>
    </row>
    <row r="90">
      <c r="B90">
        <f>IFERROR(INDEX(tblCategories[Category],85),"")</f>
        <v/>
      </c>
      <c r="C90">
        <f>IF($B90="","",IFERROR(INDEX(tblCategories[Group],MATCH($B90,tblCategories[Category],0)),""))</f>
        <v/>
      </c>
      <c r="D90">
        <f>IF($B90="","",IFERROR(INDEX(tblCategories[Type],MATCH($B90,tblCategories[Category],0)),""))</f>
        <v/>
      </c>
      <c r="E90" s="19">
        <f>IF($B90="","",IFERROR(INDEX(tblCategories[Monthly Budget],MATCH($B90,tblCategories[Category],0)),0))</f>
        <v/>
      </c>
      <c r="F90" s="19">
        <f>IF($B90="","",SUMIFS(tblTxn[View Amount],tblTxn[Month],ReportMonth,tblTxn[Category],$B90)*$K90)</f>
        <v/>
      </c>
      <c r="G90" s="19">
        <f>IF(N(E90)=0,"",IF($D90="Income",F90-E90,E90-F90))</f>
        <v/>
      </c>
      <c r="H90" s="22">
        <f>IF(N(E90)=0,"",F90/E90)</f>
        <v/>
      </c>
      <c r="I90" s="19">
        <f>IF($B90="","",SUMIFS(tblTxn[View Amount],tblTxn[Category],$B90,tblTxn[Month],"&gt;="&amp;TEXT(EDATE(DATE(VALUE(LEFT(ReportMonth,4)),VALUE(RIGHT(ReportMonth,2)),1),-11),"yyyy-mm"),tblTxn[Month],"&lt;="&amp;ReportMonth)*$K90/12)</f>
        <v/>
      </c>
      <c r="K90">
        <f>IF($D90="Income",1,-1)</f>
        <v/>
      </c>
    </row>
    <row r="91">
      <c r="B91">
        <f>IFERROR(INDEX(tblCategories[Category],86),"")</f>
        <v/>
      </c>
      <c r="C91">
        <f>IF($B91="","",IFERROR(INDEX(tblCategories[Group],MATCH($B91,tblCategories[Category],0)),""))</f>
        <v/>
      </c>
      <c r="D91">
        <f>IF($B91="","",IFERROR(INDEX(tblCategories[Type],MATCH($B91,tblCategories[Category],0)),""))</f>
        <v/>
      </c>
      <c r="E91" s="19">
        <f>IF($B91="","",IFERROR(INDEX(tblCategories[Monthly Budget],MATCH($B91,tblCategories[Category],0)),0))</f>
        <v/>
      </c>
      <c r="F91" s="19">
        <f>IF($B91="","",SUMIFS(tblTxn[View Amount],tblTxn[Month],ReportMonth,tblTxn[Category],$B91)*$K91)</f>
        <v/>
      </c>
      <c r="G91" s="19">
        <f>IF(N(E91)=0,"",IF($D91="Income",F91-E91,E91-F91))</f>
        <v/>
      </c>
      <c r="H91" s="22">
        <f>IF(N(E91)=0,"",F91/E91)</f>
        <v/>
      </c>
      <c r="I91" s="19">
        <f>IF($B91="","",SUMIFS(tblTxn[View Amount],tblTxn[Category],$B91,tblTxn[Month],"&gt;="&amp;TEXT(EDATE(DATE(VALUE(LEFT(ReportMonth,4)),VALUE(RIGHT(ReportMonth,2)),1),-11),"yyyy-mm"),tblTxn[Month],"&lt;="&amp;ReportMonth)*$K91/12)</f>
        <v/>
      </c>
      <c r="K91">
        <f>IF($D91="Income",1,-1)</f>
        <v/>
      </c>
    </row>
    <row r="92">
      <c r="B92">
        <f>IFERROR(INDEX(tblCategories[Category],87),"")</f>
        <v/>
      </c>
      <c r="C92">
        <f>IF($B92="","",IFERROR(INDEX(tblCategories[Group],MATCH($B92,tblCategories[Category],0)),""))</f>
        <v/>
      </c>
      <c r="D92">
        <f>IF($B92="","",IFERROR(INDEX(tblCategories[Type],MATCH($B92,tblCategories[Category],0)),""))</f>
        <v/>
      </c>
      <c r="E92" s="19">
        <f>IF($B92="","",IFERROR(INDEX(tblCategories[Monthly Budget],MATCH($B92,tblCategories[Category],0)),0))</f>
        <v/>
      </c>
      <c r="F92" s="19">
        <f>IF($B92="","",SUMIFS(tblTxn[View Amount],tblTxn[Month],ReportMonth,tblTxn[Category],$B92)*$K92)</f>
        <v/>
      </c>
      <c r="G92" s="19">
        <f>IF(N(E92)=0,"",IF($D92="Income",F92-E92,E92-F92))</f>
        <v/>
      </c>
      <c r="H92" s="22">
        <f>IF(N(E92)=0,"",F92/E92)</f>
        <v/>
      </c>
      <c r="I92" s="19">
        <f>IF($B92="","",SUMIFS(tblTxn[View Amount],tblTxn[Category],$B92,tblTxn[Month],"&gt;="&amp;TEXT(EDATE(DATE(VALUE(LEFT(ReportMonth,4)),VALUE(RIGHT(ReportMonth,2)),1),-11),"yyyy-mm"),tblTxn[Month],"&lt;="&amp;ReportMonth)*$K92/12)</f>
        <v/>
      </c>
      <c r="K92">
        <f>IF($D92="Income",1,-1)</f>
        <v/>
      </c>
    </row>
    <row r="93">
      <c r="B93">
        <f>IFERROR(INDEX(tblCategories[Category],88),"")</f>
        <v/>
      </c>
      <c r="C93">
        <f>IF($B93="","",IFERROR(INDEX(tblCategories[Group],MATCH($B93,tblCategories[Category],0)),""))</f>
        <v/>
      </c>
      <c r="D93">
        <f>IF($B93="","",IFERROR(INDEX(tblCategories[Type],MATCH($B93,tblCategories[Category],0)),""))</f>
        <v/>
      </c>
      <c r="E93" s="19">
        <f>IF($B93="","",IFERROR(INDEX(tblCategories[Monthly Budget],MATCH($B93,tblCategories[Category],0)),0))</f>
        <v/>
      </c>
      <c r="F93" s="19">
        <f>IF($B93="","",SUMIFS(tblTxn[View Amount],tblTxn[Month],ReportMonth,tblTxn[Category],$B93)*$K93)</f>
        <v/>
      </c>
      <c r="G93" s="19">
        <f>IF(N(E93)=0,"",IF($D93="Income",F93-E93,E93-F93))</f>
        <v/>
      </c>
      <c r="H93" s="22">
        <f>IF(N(E93)=0,"",F93/E93)</f>
        <v/>
      </c>
      <c r="I93" s="19">
        <f>IF($B93="","",SUMIFS(tblTxn[View Amount],tblTxn[Category],$B93,tblTxn[Month],"&gt;="&amp;TEXT(EDATE(DATE(VALUE(LEFT(ReportMonth,4)),VALUE(RIGHT(ReportMonth,2)),1),-11),"yyyy-mm"),tblTxn[Month],"&lt;="&amp;ReportMonth)*$K93/12)</f>
        <v/>
      </c>
      <c r="K93">
        <f>IF($D93="Income",1,-1)</f>
        <v/>
      </c>
    </row>
    <row r="94">
      <c r="B94">
        <f>IFERROR(INDEX(tblCategories[Category],89),"")</f>
        <v/>
      </c>
      <c r="C94">
        <f>IF($B94="","",IFERROR(INDEX(tblCategories[Group],MATCH($B94,tblCategories[Category],0)),""))</f>
        <v/>
      </c>
      <c r="D94">
        <f>IF($B94="","",IFERROR(INDEX(tblCategories[Type],MATCH($B94,tblCategories[Category],0)),""))</f>
        <v/>
      </c>
      <c r="E94" s="19">
        <f>IF($B94="","",IFERROR(INDEX(tblCategories[Monthly Budget],MATCH($B94,tblCategories[Category],0)),0))</f>
        <v/>
      </c>
      <c r="F94" s="19">
        <f>IF($B94="","",SUMIFS(tblTxn[View Amount],tblTxn[Month],ReportMonth,tblTxn[Category],$B94)*$K94)</f>
        <v/>
      </c>
      <c r="G94" s="19">
        <f>IF(N(E94)=0,"",IF($D94="Income",F94-E94,E94-F94))</f>
        <v/>
      </c>
      <c r="H94" s="22">
        <f>IF(N(E94)=0,"",F94/E94)</f>
        <v/>
      </c>
      <c r="I94" s="19">
        <f>IF($B94="","",SUMIFS(tblTxn[View Amount],tblTxn[Category],$B94,tblTxn[Month],"&gt;="&amp;TEXT(EDATE(DATE(VALUE(LEFT(ReportMonth,4)),VALUE(RIGHT(ReportMonth,2)),1),-11),"yyyy-mm"),tblTxn[Month],"&lt;="&amp;ReportMonth)*$K94/12)</f>
        <v/>
      </c>
      <c r="K94">
        <f>IF($D94="Income",1,-1)</f>
        <v/>
      </c>
    </row>
    <row r="95">
      <c r="B95">
        <f>IFERROR(INDEX(tblCategories[Category],90),"")</f>
        <v/>
      </c>
      <c r="C95">
        <f>IF($B95="","",IFERROR(INDEX(tblCategories[Group],MATCH($B95,tblCategories[Category],0)),""))</f>
        <v/>
      </c>
      <c r="D95">
        <f>IF($B95="","",IFERROR(INDEX(tblCategories[Type],MATCH($B95,tblCategories[Category],0)),""))</f>
        <v/>
      </c>
      <c r="E95" s="19">
        <f>IF($B95="","",IFERROR(INDEX(tblCategories[Monthly Budget],MATCH($B95,tblCategories[Category],0)),0))</f>
        <v/>
      </c>
      <c r="F95" s="19">
        <f>IF($B95="","",SUMIFS(tblTxn[View Amount],tblTxn[Month],ReportMonth,tblTxn[Category],$B95)*$K95)</f>
        <v/>
      </c>
      <c r="G95" s="19">
        <f>IF(N(E95)=0,"",IF($D95="Income",F95-E95,E95-F95))</f>
        <v/>
      </c>
      <c r="H95" s="22">
        <f>IF(N(E95)=0,"",F95/E95)</f>
        <v/>
      </c>
      <c r="I95" s="19">
        <f>IF($B95="","",SUMIFS(tblTxn[View Amount],tblTxn[Category],$B95,tblTxn[Month],"&gt;="&amp;TEXT(EDATE(DATE(VALUE(LEFT(ReportMonth,4)),VALUE(RIGHT(ReportMonth,2)),1),-11),"yyyy-mm"),tblTxn[Month],"&lt;="&amp;ReportMonth)*$K95/12)</f>
        <v/>
      </c>
      <c r="K95">
        <f>IF($D95="Income",1,-1)</f>
        <v/>
      </c>
    </row>
    <row r="96">
      <c r="B96">
        <f>IFERROR(INDEX(tblCategories[Category],91),"")</f>
        <v/>
      </c>
      <c r="C96">
        <f>IF($B96="","",IFERROR(INDEX(tblCategories[Group],MATCH($B96,tblCategories[Category],0)),""))</f>
        <v/>
      </c>
      <c r="D96">
        <f>IF($B96="","",IFERROR(INDEX(tblCategories[Type],MATCH($B96,tblCategories[Category],0)),""))</f>
        <v/>
      </c>
      <c r="E96" s="19">
        <f>IF($B96="","",IFERROR(INDEX(tblCategories[Monthly Budget],MATCH($B96,tblCategories[Category],0)),0))</f>
        <v/>
      </c>
      <c r="F96" s="19">
        <f>IF($B96="","",SUMIFS(tblTxn[View Amount],tblTxn[Month],ReportMonth,tblTxn[Category],$B96)*$K96)</f>
        <v/>
      </c>
      <c r="G96" s="19">
        <f>IF(N(E96)=0,"",IF($D96="Income",F96-E96,E96-F96))</f>
        <v/>
      </c>
      <c r="H96" s="22">
        <f>IF(N(E96)=0,"",F96/E96)</f>
        <v/>
      </c>
      <c r="I96" s="19">
        <f>IF($B96="","",SUMIFS(tblTxn[View Amount],tblTxn[Category],$B96,tblTxn[Month],"&gt;="&amp;TEXT(EDATE(DATE(VALUE(LEFT(ReportMonth,4)),VALUE(RIGHT(ReportMonth,2)),1),-11),"yyyy-mm"),tblTxn[Month],"&lt;="&amp;ReportMonth)*$K96/12)</f>
        <v/>
      </c>
      <c r="K96">
        <f>IF($D96="Income",1,-1)</f>
        <v/>
      </c>
    </row>
    <row r="97">
      <c r="B97">
        <f>IFERROR(INDEX(tblCategories[Category],92),"")</f>
        <v/>
      </c>
      <c r="C97">
        <f>IF($B97="","",IFERROR(INDEX(tblCategories[Group],MATCH($B97,tblCategories[Category],0)),""))</f>
        <v/>
      </c>
      <c r="D97">
        <f>IF($B97="","",IFERROR(INDEX(tblCategories[Type],MATCH($B97,tblCategories[Category],0)),""))</f>
        <v/>
      </c>
      <c r="E97" s="19">
        <f>IF($B97="","",IFERROR(INDEX(tblCategories[Monthly Budget],MATCH($B97,tblCategories[Category],0)),0))</f>
        <v/>
      </c>
      <c r="F97" s="19">
        <f>IF($B97="","",SUMIFS(tblTxn[View Amount],tblTxn[Month],ReportMonth,tblTxn[Category],$B97)*$K97)</f>
        <v/>
      </c>
      <c r="G97" s="19">
        <f>IF(N(E97)=0,"",IF($D97="Income",F97-E97,E97-F97))</f>
        <v/>
      </c>
      <c r="H97" s="22">
        <f>IF(N(E97)=0,"",F97/E97)</f>
        <v/>
      </c>
      <c r="I97" s="19">
        <f>IF($B97="","",SUMIFS(tblTxn[View Amount],tblTxn[Category],$B97,tblTxn[Month],"&gt;="&amp;TEXT(EDATE(DATE(VALUE(LEFT(ReportMonth,4)),VALUE(RIGHT(ReportMonth,2)),1),-11),"yyyy-mm"),tblTxn[Month],"&lt;="&amp;ReportMonth)*$K97/12)</f>
        <v/>
      </c>
      <c r="K97">
        <f>IF($D97="Income",1,-1)</f>
        <v/>
      </c>
    </row>
    <row r="98">
      <c r="B98">
        <f>IFERROR(INDEX(tblCategories[Category],93),"")</f>
        <v/>
      </c>
      <c r="C98">
        <f>IF($B98="","",IFERROR(INDEX(tblCategories[Group],MATCH($B98,tblCategories[Category],0)),""))</f>
        <v/>
      </c>
      <c r="D98">
        <f>IF($B98="","",IFERROR(INDEX(tblCategories[Type],MATCH($B98,tblCategories[Category],0)),""))</f>
        <v/>
      </c>
      <c r="E98" s="19">
        <f>IF($B98="","",IFERROR(INDEX(tblCategories[Monthly Budget],MATCH($B98,tblCategories[Category],0)),0))</f>
        <v/>
      </c>
      <c r="F98" s="19">
        <f>IF($B98="","",SUMIFS(tblTxn[View Amount],tblTxn[Month],ReportMonth,tblTxn[Category],$B98)*$K98)</f>
        <v/>
      </c>
      <c r="G98" s="19">
        <f>IF(N(E98)=0,"",IF($D98="Income",F98-E98,E98-F98))</f>
        <v/>
      </c>
      <c r="H98" s="22">
        <f>IF(N(E98)=0,"",F98/E98)</f>
        <v/>
      </c>
      <c r="I98" s="19">
        <f>IF($B98="","",SUMIFS(tblTxn[View Amount],tblTxn[Category],$B98,tblTxn[Month],"&gt;="&amp;TEXT(EDATE(DATE(VALUE(LEFT(ReportMonth,4)),VALUE(RIGHT(ReportMonth,2)),1),-11),"yyyy-mm"),tblTxn[Month],"&lt;="&amp;ReportMonth)*$K98/12)</f>
        <v/>
      </c>
      <c r="K98">
        <f>IF($D98="Income",1,-1)</f>
        <v/>
      </c>
    </row>
    <row r="99">
      <c r="B99">
        <f>IFERROR(INDEX(tblCategories[Category],94),"")</f>
        <v/>
      </c>
      <c r="C99">
        <f>IF($B99="","",IFERROR(INDEX(tblCategories[Group],MATCH($B99,tblCategories[Category],0)),""))</f>
        <v/>
      </c>
      <c r="D99">
        <f>IF($B99="","",IFERROR(INDEX(tblCategories[Type],MATCH($B99,tblCategories[Category],0)),""))</f>
        <v/>
      </c>
      <c r="E99" s="19">
        <f>IF($B99="","",IFERROR(INDEX(tblCategories[Monthly Budget],MATCH($B99,tblCategories[Category],0)),0))</f>
        <v/>
      </c>
      <c r="F99" s="19">
        <f>IF($B99="","",SUMIFS(tblTxn[View Amount],tblTxn[Month],ReportMonth,tblTxn[Category],$B99)*$K99)</f>
        <v/>
      </c>
      <c r="G99" s="19">
        <f>IF(N(E99)=0,"",IF($D99="Income",F99-E99,E99-F99))</f>
        <v/>
      </c>
      <c r="H99" s="22">
        <f>IF(N(E99)=0,"",F99/E99)</f>
        <v/>
      </c>
      <c r="I99" s="19">
        <f>IF($B99="","",SUMIFS(tblTxn[View Amount],tblTxn[Category],$B99,tblTxn[Month],"&gt;="&amp;TEXT(EDATE(DATE(VALUE(LEFT(ReportMonth,4)),VALUE(RIGHT(ReportMonth,2)),1),-11),"yyyy-mm"),tblTxn[Month],"&lt;="&amp;ReportMonth)*$K99/12)</f>
        <v/>
      </c>
      <c r="K99">
        <f>IF($D99="Income",1,-1)</f>
        <v/>
      </c>
    </row>
    <row r="100">
      <c r="B100">
        <f>IFERROR(INDEX(tblCategories[Category],95),"")</f>
        <v/>
      </c>
      <c r="C100">
        <f>IF($B100="","",IFERROR(INDEX(tblCategories[Group],MATCH($B100,tblCategories[Category],0)),""))</f>
        <v/>
      </c>
      <c r="D100">
        <f>IF($B100="","",IFERROR(INDEX(tblCategories[Type],MATCH($B100,tblCategories[Category],0)),""))</f>
        <v/>
      </c>
      <c r="E100" s="19">
        <f>IF($B100="","",IFERROR(INDEX(tblCategories[Monthly Budget],MATCH($B100,tblCategories[Category],0)),0))</f>
        <v/>
      </c>
      <c r="F100" s="19">
        <f>IF($B100="","",SUMIFS(tblTxn[View Amount],tblTxn[Month],ReportMonth,tblTxn[Category],$B100)*$K100)</f>
        <v/>
      </c>
      <c r="G100" s="19">
        <f>IF(N(E100)=0,"",IF($D100="Income",F100-E100,E100-F100))</f>
        <v/>
      </c>
      <c r="H100" s="22">
        <f>IF(N(E100)=0,"",F100/E100)</f>
        <v/>
      </c>
      <c r="I100" s="19">
        <f>IF($B100="","",SUMIFS(tblTxn[View Amount],tblTxn[Category],$B100,tblTxn[Month],"&gt;="&amp;TEXT(EDATE(DATE(VALUE(LEFT(ReportMonth,4)),VALUE(RIGHT(ReportMonth,2)),1),-11),"yyyy-mm"),tblTxn[Month],"&lt;="&amp;ReportMonth)*$K100/12)</f>
        <v/>
      </c>
      <c r="K100">
        <f>IF($D100="Income",1,-1)</f>
        <v/>
      </c>
    </row>
    <row r="101">
      <c r="B101">
        <f>IFERROR(INDEX(tblCategories[Category],96),"")</f>
        <v/>
      </c>
      <c r="C101">
        <f>IF($B101="","",IFERROR(INDEX(tblCategories[Group],MATCH($B101,tblCategories[Category],0)),""))</f>
        <v/>
      </c>
      <c r="D101">
        <f>IF($B101="","",IFERROR(INDEX(tblCategories[Type],MATCH($B101,tblCategories[Category],0)),""))</f>
        <v/>
      </c>
      <c r="E101" s="19">
        <f>IF($B101="","",IFERROR(INDEX(tblCategories[Monthly Budget],MATCH($B101,tblCategories[Category],0)),0))</f>
        <v/>
      </c>
      <c r="F101" s="19">
        <f>IF($B101="","",SUMIFS(tblTxn[View Amount],tblTxn[Month],ReportMonth,tblTxn[Category],$B101)*$K101)</f>
        <v/>
      </c>
      <c r="G101" s="19">
        <f>IF(N(E101)=0,"",IF($D101="Income",F101-E101,E101-F101))</f>
        <v/>
      </c>
      <c r="H101" s="22">
        <f>IF(N(E101)=0,"",F101/E101)</f>
        <v/>
      </c>
      <c r="I101" s="19">
        <f>IF($B101="","",SUMIFS(tblTxn[View Amount],tblTxn[Category],$B101,tblTxn[Month],"&gt;="&amp;TEXT(EDATE(DATE(VALUE(LEFT(ReportMonth,4)),VALUE(RIGHT(ReportMonth,2)),1),-11),"yyyy-mm"),tblTxn[Month],"&lt;="&amp;ReportMonth)*$K101/12)</f>
        <v/>
      </c>
      <c r="K101">
        <f>IF($D101="Income",1,-1)</f>
        <v/>
      </c>
    </row>
    <row r="102">
      <c r="B102">
        <f>IFERROR(INDEX(tblCategories[Category],97),"")</f>
        <v/>
      </c>
      <c r="C102">
        <f>IF($B102="","",IFERROR(INDEX(tblCategories[Group],MATCH($B102,tblCategories[Category],0)),""))</f>
        <v/>
      </c>
      <c r="D102">
        <f>IF($B102="","",IFERROR(INDEX(tblCategories[Type],MATCH($B102,tblCategories[Category],0)),""))</f>
        <v/>
      </c>
      <c r="E102" s="19">
        <f>IF($B102="","",IFERROR(INDEX(tblCategories[Monthly Budget],MATCH($B102,tblCategories[Category],0)),0))</f>
        <v/>
      </c>
      <c r="F102" s="19">
        <f>IF($B102="","",SUMIFS(tblTxn[View Amount],tblTxn[Month],ReportMonth,tblTxn[Category],$B102)*$K102)</f>
        <v/>
      </c>
      <c r="G102" s="19">
        <f>IF(N(E102)=0,"",IF($D102="Income",F102-E102,E102-F102))</f>
        <v/>
      </c>
      <c r="H102" s="22">
        <f>IF(N(E102)=0,"",F102/E102)</f>
        <v/>
      </c>
      <c r="I102" s="19">
        <f>IF($B102="","",SUMIFS(tblTxn[View Amount],tblTxn[Category],$B102,tblTxn[Month],"&gt;="&amp;TEXT(EDATE(DATE(VALUE(LEFT(ReportMonth,4)),VALUE(RIGHT(ReportMonth,2)),1),-11),"yyyy-mm"),tblTxn[Month],"&lt;="&amp;ReportMonth)*$K102/12)</f>
        <v/>
      </c>
      <c r="K102">
        <f>IF($D102="Income",1,-1)</f>
        <v/>
      </c>
    </row>
    <row r="103">
      <c r="B103">
        <f>IFERROR(INDEX(tblCategories[Category],98),"")</f>
        <v/>
      </c>
      <c r="C103">
        <f>IF($B103="","",IFERROR(INDEX(tblCategories[Group],MATCH($B103,tblCategories[Category],0)),""))</f>
        <v/>
      </c>
      <c r="D103">
        <f>IF($B103="","",IFERROR(INDEX(tblCategories[Type],MATCH($B103,tblCategories[Category],0)),""))</f>
        <v/>
      </c>
      <c r="E103" s="19">
        <f>IF($B103="","",IFERROR(INDEX(tblCategories[Monthly Budget],MATCH($B103,tblCategories[Category],0)),0))</f>
        <v/>
      </c>
      <c r="F103" s="19">
        <f>IF($B103="","",SUMIFS(tblTxn[View Amount],tblTxn[Month],ReportMonth,tblTxn[Category],$B103)*$K103)</f>
        <v/>
      </c>
      <c r="G103" s="19">
        <f>IF(N(E103)=0,"",IF($D103="Income",F103-E103,E103-F103))</f>
        <v/>
      </c>
      <c r="H103" s="22">
        <f>IF(N(E103)=0,"",F103/E103)</f>
        <v/>
      </c>
      <c r="I103" s="19">
        <f>IF($B103="","",SUMIFS(tblTxn[View Amount],tblTxn[Category],$B103,tblTxn[Month],"&gt;="&amp;TEXT(EDATE(DATE(VALUE(LEFT(ReportMonth,4)),VALUE(RIGHT(ReportMonth,2)),1),-11),"yyyy-mm"),tblTxn[Month],"&lt;="&amp;ReportMonth)*$K103/12)</f>
        <v/>
      </c>
      <c r="K103">
        <f>IF($D103="Income",1,-1)</f>
        <v/>
      </c>
    </row>
    <row r="104">
      <c r="B104">
        <f>IFERROR(INDEX(tblCategories[Category],99),"")</f>
        <v/>
      </c>
      <c r="C104">
        <f>IF($B104="","",IFERROR(INDEX(tblCategories[Group],MATCH($B104,tblCategories[Category],0)),""))</f>
        <v/>
      </c>
      <c r="D104">
        <f>IF($B104="","",IFERROR(INDEX(tblCategories[Type],MATCH($B104,tblCategories[Category],0)),""))</f>
        <v/>
      </c>
      <c r="E104" s="19">
        <f>IF($B104="","",IFERROR(INDEX(tblCategories[Monthly Budget],MATCH($B104,tblCategories[Category],0)),0))</f>
        <v/>
      </c>
      <c r="F104" s="19">
        <f>IF($B104="","",SUMIFS(tblTxn[View Amount],tblTxn[Month],ReportMonth,tblTxn[Category],$B104)*$K104)</f>
        <v/>
      </c>
      <c r="G104" s="19">
        <f>IF(N(E104)=0,"",IF($D104="Income",F104-E104,E104-F104))</f>
        <v/>
      </c>
      <c r="H104" s="22">
        <f>IF(N(E104)=0,"",F104/E104)</f>
        <v/>
      </c>
      <c r="I104" s="19">
        <f>IF($B104="","",SUMIFS(tblTxn[View Amount],tblTxn[Category],$B104,tblTxn[Month],"&gt;="&amp;TEXT(EDATE(DATE(VALUE(LEFT(ReportMonth,4)),VALUE(RIGHT(ReportMonth,2)),1),-11),"yyyy-mm"),tblTxn[Month],"&lt;="&amp;ReportMonth)*$K104/12)</f>
        <v/>
      </c>
      <c r="K104">
        <f>IF($D104="Income",1,-1)</f>
        <v/>
      </c>
    </row>
    <row r="105">
      <c r="B105">
        <f>IFERROR(INDEX(tblCategories[Category],100),"")</f>
        <v/>
      </c>
      <c r="C105">
        <f>IF($B105="","",IFERROR(INDEX(tblCategories[Group],MATCH($B105,tblCategories[Category],0)),""))</f>
        <v/>
      </c>
      <c r="D105">
        <f>IF($B105="","",IFERROR(INDEX(tblCategories[Type],MATCH($B105,tblCategories[Category],0)),""))</f>
        <v/>
      </c>
      <c r="E105" s="19">
        <f>IF($B105="","",IFERROR(INDEX(tblCategories[Monthly Budget],MATCH($B105,tblCategories[Category],0)),0))</f>
        <v/>
      </c>
      <c r="F105" s="19">
        <f>IF($B105="","",SUMIFS(tblTxn[View Amount],tblTxn[Month],ReportMonth,tblTxn[Category],$B105)*$K105)</f>
        <v/>
      </c>
      <c r="G105" s="19">
        <f>IF(N(E105)=0,"",IF($D105="Income",F105-E105,E105-F105))</f>
        <v/>
      </c>
      <c r="H105" s="22">
        <f>IF(N(E105)=0,"",F105/E105)</f>
        <v/>
      </c>
      <c r="I105" s="19">
        <f>IF($B105="","",SUMIFS(tblTxn[View Amount],tblTxn[Category],$B105,tblTxn[Month],"&gt;="&amp;TEXT(EDATE(DATE(VALUE(LEFT(ReportMonth,4)),VALUE(RIGHT(ReportMonth,2)),1),-11),"yyyy-mm"),tblTxn[Month],"&lt;="&amp;ReportMonth)*$K105/12)</f>
        <v/>
      </c>
      <c r="K105">
        <f>IF($D105="Income",1,-1)</f>
        <v/>
      </c>
    </row>
    <row r="106">
      <c r="B106">
        <f>IFERROR(INDEX(tblCategories[Category],101),"")</f>
        <v/>
      </c>
      <c r="C106">
        <f>IF($B106="","",IFERROR(INDEX(tblCategories[Group],MATCH($B106,tblCategories[Category],0)),""))</f>
        <v/>
      </c>
      <c r="D106">
        <f>IF($B106="","",IFERROR(INDEX(tblCategories[Type],MATCH($B106,tblCategories[Category],0)),""))</f>
        <v/>
      </c>
      <c r="E106" s="19">
        <f>IF($B106="","",IFERROR(INDEX(tblCategories[Monthly Budget],MATCH($B106,tblCategories[Category],0)),0))</f>
        <v/>
      </c>
      <c r="F106" s="19">
        <f>IF($B106="","",SUMIFS(tblTxn[View Amount],tblTxn[Month],ReportMonth,tblTxn[Category],$B106)*$K106)</f>
        <v/>
      </c>
      <c r="G106" s="19">
        <f>IF(N(E106)=0,"",IF($D106="Income",F106-E106,E106-F106))</f>
        <v/>
      </c>
      <c r="H106" s="22">
        <f>IF(N(E106)=0,"",F106/E106)</f>
        <v/>
      </c>
      <c r="I106" s="19">
        <f>IF($B106="","",SUMIFS(tblTxn[View Amount],tblTxn[Category],$B106,tblTxn[Month],"&gt;="&amp;TEXT(EDATE(DATE(VALUE(LEFT(ReportMonth,4)),VALUE(RIGHT(ReportMonth,2)),1),-11),"yyyy-mm"),tblTxn[Month],"&lt;="&amp;ReportMonth)*$K106/12)</f>
        <v/>
      </c>
      <c r="K106">
        <f>IF($D106="Income",1,-1)</f>
        <v/>
      </c>
    </row>
    <row r="107">
      <c r="B107">
        <f>IFERROR(INDEX(tblCategories[Category],102),"")</f>
        <v/>
      </c>
      <c r="C107">
        <f>IF($B107="","",IFERROR(INDEX(tblCategories[Group],MATCH($B107,tblCategories[Category],0)),""))</f>
        <v/>
      </c>
      <c r="D107">
        <f>IF($B107="","",IFERROR(INDEX(tblCategories[Type],MATCH($B107,tblCategories[Category],0)),""))</f>
        <v/>
      </c>
      <c r="E107" s="19">
        <f>IF($B107="","",IFERROR(INDEX(tblCategories[Monthly Budget],MATCH($B107,tblCategories[Category],0)),0))</f>
        <v/>
      </c>
      <c r="F107" s="19">
        <f>IF($B107="","",SUMIFS(tblTxn[View Amount],tblTxn[Month],ReportMonth,tblTxn[Category],$B107)*$K107)</f>
        <v/>
      </c>
      <c r="G107" s="19">
        <f>IF(N(E107)=0,"",IF($D107="Income",F107-E107,E107-F107))</f>
        <v/>
      </c>
      <c r="H107" s="22">
        <f>IF(N(E107)=0,"",F107/E107)</f>
        <v/>
      </c>
      <c r="I107" s="19">
        <f>IF($B107="","",SUMIFS(tblTxn[View Amount],tblTxn[Category],$B107,tblTxn[Month],"&gt;="&amp;TEXT(EDATE(DATE(VALUE(LEFT(ReportMonth,4)),VALUE(RIGHT(ReportMonth,2)),1),-11),"yyyy-mm"),tblTxn[Month],"&lt;="&amp;ReportMonth)*$K107/12)</f>
        <v/>
      </c>
      <c r="K107">
        <f>IF($D107="Income",1,-1)</f>
        <v/>
      </c>
    </row>
    <row r="108">
      <c r="B108">
        <f>IFERROR(INDEX(tblCategories[Category],103),"")</f>
        <v/>
      </c>
      <c r="C108">
        <f>IF($B108="","",IFERROR(INDEX(tblCategories[Group],MATCH($B108,tblCategories[Category],0)),""))</f>
        <v/>
      </c>
      <c r="D108">
        <f>IF($B108="","",IFERROR(INDEX(tblCategories[Type],MATCH($B108,tblCategories[Category],0)),""))</f>
        <v/>
      </c>
      <c r="E108" s="19">
        <f>IF($B108="","",IFERROR(INDEX(tblCategories[Monthly Budget],MATCH($B108,tblCategories[Category],0)),0))</f>
        <v/>
      </c>
      <c r="F108" s="19">
        <f>IF($B108="","",SUMIFS(tblTxn[View Amount],tblTxn[Month],ReportMonth,tblTxn[Category],$B108)*$K108)</f>
        <v/>
      </c>
      <c r="G108" s="19">
        <f>IF(N(E108)=0,"",IF($D108="Income",F108-E108,E108-F108))</f>
        <v/>
      </c>
      <c r="H108" s="22">
        <f>IF(N(E108)=0,"",F108/E108)</f>
        <v/>
      </c>
      <c r="I108" s="19">
        <f>IF($B108="","",SUMIFS(tblTxn[View Amount],tblTxn[Category],$B108,tblTxn[Month],"&gt;="&amp;TEXT(EDATE(DATE(VALUE(LEFT(ReportMonth,4)),VALUE(RIGHT(ReportMonth,2)),1),-11),"yyyy-mm"),tblTxn[Month],"&lt;="&amp;ReportMonth)*$K108/12)</f>
        <v/>
      </c>
      <c r="K108">
        <f>IF($D108="Income",1,-1)</f>
        <v/>
      </c>
    </row>
    <row r="109">
      <c r="B109">
        <f>IFERROR(INDEX(tblCategories[Category],104),"")</f>
        <v/>
      </c>
      <c r="C109">
        <f>IF($B109="","",IFERROR(INDEX(tblCategories[Group],MATCH($B109,tblCategories[Category],0)),""))</f>
        <v/>
      </c>
      <c r="D109">
        <f>IF($B109="","",IFERROR(INDEX(tblCategories[Type],MATCH($B109,tblCategories[Category],0)),""))</f>
        <v/>
      </c>
      <c r="E109" s="19">
        <f>IF($B109="","",IFERROR(INDEX(tblCategories[Monthly Budget],MATCH($B109,tblCategories[Category],0)),0))</f>
        <v/>
      </c>
      <c r="F109" s="19">
        <f>IF($B109="","",SUMIFS(tblTxn[View Amount],tblTxn[Month],ReportMonth,tblTxn[Category],$B109)*$K109)</f>
        <v/>
      </c>
      <c r="G109" s="19">
        <f>IF(N(E109)=0,"",IF($D109="Income",F109-E109,E109-F109))</f>
        <v/>
      </c>
      <c r="H109" s="22">
        <f>IF(N(E109)=0,"",F109/E109)</f>
        <v/>
      </c>
      <c r="I109" s="19">
        <f>IF($B109="","",SUMIFS(tblTxn[View Amount],tblTxn[Category],$B109,tblTxn[Month],"&gt;="&amp;TEXT(EDATE(DATE(VALUE(LEFT(ReportMonth,4)),VALUE(RIGHT(ReportMonth,2)),1),-11),"yyyy-mm"),tblTxn[Month],"&lt;="&amp;ReportMonth)*$K109/12)</f>
        <v/>
      </c>
      <c r="K109">
        <f>IF($D109="Income",1,-1)</f>
        <v/>
      </c>
    </row>
    <row r="110">
      <c r="B110">
        <f>IFERROR(INDEX(tblCategories[Category],105),"")</f>
        <v/>
      </c>
      <c r="C110">
        <f>IF($B110="","",IFERROR(INDEX(tblCategories[Group],MATCH($B110,tblCategories[Category],0)),""))</f>
        <v/>
      </c>
      <c r="D110">
        <f>IF($B110="","",IFERROR(INDEX(tblCategories[Type],MATCH($B110,tblCategories[Category],0)),""))</f>
        <v/>
      </c>
      <c r="E110" s="19">
        <f>IF($B110="","",IFERROR(INDEX(tblCategories[Monthly Budget],MATCH($B110,tblCategories[Category],0)),0))</f>
        <v/>
      </c>
      <c r="F110" s="19">
        <f>IF($B110="","",SUMIFS(tblTxn[View Amount],tblTxn[Month],ReportMonth,tblTxn[Category],$B110)*$K110)</f>
        <v/>
      </c>
      <c r="G110" s="19">
        <f>IF(N(E110)=0,"",IF($D110="Income",F110-E110,E110-F110))</f>
        <v/>
      </c>
      <c r="H110" s="22">
        <f>IF(N(E110)=0,"",F110/E110)</f>
        <v/>
      </c>
      <c r="I110" s="19">
        <f>IF($B110="","",SUMIFS(tblTxn[View Amount],tblTxn[Category],$B110,tblTxn[Month],"&gt;="&amp;TEXT(EDATE(DATE(VALUE(LEFT(ReportMonth,4)),VALUE(RIGHT(ReportMonth,2)),1),-11),"yyyy-mm"),tblTxn[Month],"&lt;="&amp;ReportMonth)*$K110/12)</f>
        <v/>
      </c>
      <c r="K110">
        <f>IF($D110="Income",1,-1)</f>
        <v/>
      </c>
    </row>
    <row r="111">
      <c r="B111">
        <f>IFERROR(INDEX(tblCategories[Category],106),"")</f>
        <v/>
      </c>
      <c r="C111">
        <f>IF($B111="","",IFERROR(INDEX(tblCategories[Group],MATCH($B111,tblCategories[Category],0)),""))</f>
        <v/>
      </c>
      <c r="D111">
        <f>IF($B111="","",IFERROR(INDEX(tblCategories[Type],MATCH($B111,tblCategories[Category],0)),""))</f>
        <v/>
      </c>
      <c r="E111" s="19">
        <f>IF($B111="","",IFERROR(INDEX(tblCategories[Monthly Budget],MATCH($B111,tblCategories[Category],0)),0))</f>
        <v/>
      </c>
      <c r="F111" s="19">
        <f>IF($B111="","",SUMIFS(tblTxn[View Amount],tblTxn[Month],ReportMonth,tblTxn[Category],$B111)*$K111)</f>
        <v/>
      </c>
      <c r="G111" s="19">
        <f>IF(N(E111)=0,"",IF($D111="Income",F111-E111,E111-F111))</f>
        <v/>
      </c>
      <c r="H111" s="22">
        <f>IF(N(E111)=0,"",F111/E111)</f>
        <v/>
      </c>
      <c r="I111" s="19">
        <f>IF($B111="","",SUMIFS(tblTxn[View Amount],tblTxn[Category],$B111,tblTxn[Month],"&gt;="&amp;TEXT(EDATE(DATE(VALUE(LEFT(ReportMonth,4)),VALUE(RIGHT(ReportMonth,2)),1),-11),"yyyy-mm"),tblTxn[Month],"&lt;="&amp;ReportMonth)*$K111/12)</f>
        <v/>
      </c>
      <c r="K111">
        <f>IF($D111="Income",1,-1)</f>
        <v/>
      </c>
    </row>
    <row r="112">
      <c r="B112">
        <f>IFERROR(INDEX(tblCategories[Category],107),"")</f>
        <v/>
      </c>
      <c r="C112">
        <f>IF($B112="","",IFERROR(INDEX(tblCategories[Group],MATCH($B112,tblCategories[Category],0)),""))</f>
        <v/>
      </c>
      <c r="D112">
        <f>IF($B112="","",IFERROR(INDEX(tblCategories[Type],MATCH($B112,tblCategories[Category],0)),""))</f>
        <v/>
      </c>
      <c r="E112" s="19">
        <f>IF($B112="","",IFERROR(INDEX(tblCategories[Monthly Budget],MATCH($B112,tblCategories[Category],0)),0))</f>
        <v/>
      </c>
      <c r="F112" s="19">
        <f>IF($B112="","",SUMIFS(tblTxn[View Amount],tblTxn[Month],ReportMonth,tblTxn[Category],$B112)*$K112)</f>
        <v/>
      </c>
      <c r="G112" s="19">
        <f>IF(N(E112)=0,"",IF($D112="Income",F112-E112,E112-F112))</f>
        <v/>
      </c>
      <c r="H112" s="22">
        <f>IF(N(E112)=0,"",F112/E112)</f>
        <v/>
      </c>
      <c r="I112" s="19">
        <f>IF($B112="","",SUMIFS(tblTxn[View Amount],tblTxn[Category],$B112,tblTxn[Month],"&gt;="&amp;TEXT(EDATE(DATE(VALUE(LEFT(ReportMonth,4)),VALUE(RIGHT(ReportMonth,2)),1),-11),"yyyy-mm"),tblTxn[Month],"&lt;="&amp;ReportMonth)*$K112/12)</f>
        <v/>
      </c>
      <c r="K112">
        <f>IF($D112="Income",1,-1)</f>
        <v/>
      </c>
    </row>
    <row r="113">
      <c r="B113">
        <f>IFERROR(INDEX(tblCategories[Category],108),"")</f>
        <v/>
      </c>
      <c r="C113">
        <f>IF($B113="","",IFERROR(INDEX(tblCategories[Group],MATCH($B113,tblCategories[Category],0)),""))</f>
        <v/>
      </c>
      <c r="D113">
        <f>IF($B113="","",IFERROR(INDEX(tblCategories[Type],MATCH($B113,tblCategories[Category],0)),""))</f>
        <v/>
      </c>
      <c r="E113" s="19">
        <f>IF($B113="","",IFERROR(INDEX(tblCategories[Monthly Budget],MATCH($B113,tblCategories[Category],0)),0))</f>
        <v/>
      </c>
      <c r="F113" s="19">
        <f>IF($B113="","",SUMIFS(tblTxn[View Amount],tblTxn[Month],ReportMonth,tblTxn[Category],$B113)*$K113)</f>
        <v/>
      </c>
      <c r="G113" s="19">
        <f>IF(N(E113)=0,"",IF($D113="Income",F113-E113,E113-F113))</f>
        <v/>
      </c>
      <c r="H113" s="22">
        <f>IF(N(E113)=0,"",F113/E113)</f>
        <v/>
      </c>
      <c r="I113" s="19">
        <f>IF($B113="","",SUMIFS(tblTxn[View Amount],tblTxn[Category],$B113,tblTxn[Month],"&gt;="&amp;TEXT(EDATE(DATE(VALUE(LEFT(ReportMonth,4)),VALUE(RIGHT(ReportMonth,2)),1),-11),"yyyy-mm"),tblTxn[Month],"&lt;="&amp;ReportMonth)*$K113/12)</f>
        <v/>
      </c>
      <c r="K113">
        <f>IF($D113="Income",1,-1)</f>
        <v/>
      </c>
    </row>
    <row r="114">
      <c r="B114">
        <f>IFERROR(INDEX(tblCategories[Category],109),"")</f>
        <v/>
      </c>
      <c r="C114">
        <f>IF($B114="","",IFERROR(INDEX(tblCategories[Group],MATCH($B114,tblCategories[Category],0)),""))</f>
        <v/>
      </c>
      <c r="D114">
        <f>IF($B114="","",IFERROR(INDEX(tblCategories[Type],MATCH($B114,tblCategories[Category],0)),""))</f>
        <v/>
      </c>
      <c r="E114" s="19">
        <f>IF($B114="","",IFERROR(INDEX(tblCategories[Monthly Budget],MATCH($B114,tblCategories[Category],0)),0))</f>
        <v/>
      </c>
      <c r="F114" s="19">
        <f>IF($B114="","",SUMIFS(tblTxn[View Amount],tblTxn[Month],ReportMonth,tblTxn[Category],$B114)*$K114)</f>
        <v/>
      </c>
      <c r="G114" s="19">
        <f>IF(N(E114)=0,"",IF($D114="Income",F114-E114,E114-F114))</f>
        <v/>
      </c>
      <c r="H114" s="22">
        <f>IF(N(E114)=0,"",F114/E114)</f>
        <v/>
      </c>
      <c r="I114" s="19">
        <f>IF($B114="","",SUMIFS(tblTxn[View Amount],tblTxn[Category],$B114,tblTxn[Month],"&gt;="&amp;TEXT(EDATE(DATE(VALUE(LEFT(ReportMonth,4)),VALUE(RIGHT(ReportMonth,2)),1),-11),"yyyy-mm"),tblTxn[Month],"&lt;="&amp;ReportMonth)*$K114/12)</f>
        <v/>
      </c>
      <c r="K114">
        <f>IF($D114="Income",1,-1)</f>
        <v/>
      </c>
    </row>
    <row r="115">
      <c r="B115">
        <f>IFERROR(INDEX(tblCategories[Category],110),"")</f>
        <v/>
      </c>
      <c r="C115">
        <f>IF($B115="","",IFERROR(INDEX(tblCategories[Group],MATCH($B115,tblCategories[Category],0)),""))</f>
        <v/>
      </c>
      <c r="D115">
        <f>IF($B115="","",IFERROR(INDEX(tblCategories[Type],MATCH($B115,tblCategories[Category],0)),""))</f>
        <v/>
      </c>
      <c r="E115" s="19">
        <f>IF($B115="","",IFERROR(INDEX(tblCategories[Monthly Budget],MATCH($B115,tblCategories[Category],0)),0))</f>
        <v/>
      </c>
      <c r="F115" s="19">
        <f>IF($B115="","",SUMIFS(tblTxn[View Amount],tblTxn[Month],ReportMonth,tblTxn[Category],$B115)*$K115)</f>
        <v/>
      </c>
      <c r="G115" s="19">
        <f>IF(N(E115)=0,"",IF($D115="Income",F115-E115,E115-F115))</f>
        <v/>
      </c>
      <c r="H115" s="22">
        <f>IF(N(E115)=0,"",F115/E115)</f>
        <v/>
      </c>
      <c r="I115" s="19">
        <f>IF($B115="","",SUMIFS(tblTxn[View Amount],tblTxn[Category],$B115,tblTxn[Month],"&gt;="&amp;TEXT(EDATE(DATE(VALUE(LEFT(ReportMonth,4)),VALUE(RIGHT(ReportMonth,2)),1),-11),"yyyy-mm"),tblTxn[Month],"&lt;="&amp;ReportMonth)*$K115/12)</f>
        <v/>
      </c>
      <c r="K115">
        <f>IF($D115="Income",1,-1)</f>
        <v/>
      </c>
    </row>
    <row r="116">
      <c r="B116">
        <f>IFERROR(INDEX(tblCategories[Category],111),"")</f>
        <v/>
      </c>
      <c r="C116">
        <f>IF($B116="","",IFERROR(INDEX(tblCategories[Group],MATCH($B116,tblCategories[Category],0)),""))</f>
        <v/>
      </c>
      <c r="D116">
        <f>IF($B116="","",IFERROR(INDEX(tblCategories[Type],MATCH($B116,tblCategories[Category],0)),""))</f>
        <v/>
      </c>
      <c r="E116" s="19">
        <f>IF($B116="","",IFERROR(INDEX(tblCategories[Monthly Budget],MATCH($B116,tblCategories[Category],0)),0))</f>
        <v/>
      </c>
      <c r="F116" s="19">
        <f>IF($B116="","",SUMIFS(tblTxn[View Amount],tblTxn[Month],ReportMonth,tblTxn[Category],$B116)*$K116)</f>
        <v/>
      </c>
      <c r="G116" s="19">
        <f>IF(N(E116)=0,"",IF($D116="Income",F116-E116,E116-F116))</f>
        <v/>
      </c>
      <c r="H116" s="22">
        <f>IF(N(E116)=0,"",F116/E116)</f>
        <v/>
      </c>
      <c r="I116" s="19">
        <f>IF($B116="","",SUMIFS(tblTxn[View Amount],tblTxn[Category],$B116,tblTxn[Month],"&gt;="&amp;TEXT(EDATE(DATE(VALUE(LEFT(ReportMonth,4)),VALUE(RIGHT(ReportMonth,2)),1),-11),"yyyy-mm"),tblTxn[Month],"&lt;="&amp;ReportMonth)*$K116/12)</f>
        <v/>
      </c>
      <c r="K116">
        <f>IF($D116="Income",1,-1)</f>
        <v/>
      </c>
    </row>
    <row r="117">
      <c r="B117">
        <f>IFERROR(INDEX(tblCategories[Category],112),"")</f>
        <v/>
      </c>
      <c r="C117">
        <f>IF($B117="","",IFERROR(INDEX(tblCategories[Group],MATCH($B117,tblCategories[Category],0)),""))</f>
        <v/>
      </c>
      <c r="D117">
        <f>IF($B117="","",IFERROR(INDEX(tblCategories[Type],MATCH($B117,tblCategories[Category],0)),""))</f>
        <v/>
      </c>
      <c r="E117" s="19">
        <f>IF($B117="","",IFERROR(INDEX(tblCategories[Monthly Budget],MATCH($B117,tblCategories[Category],0)),0))</f>
        <v/>
      </c>
      <c r="F117" s="19">
        <f>IF($B117="","",SUMIFS(tblTxn[View Amount],tblTxn[Month],ReportMonth,tblTxn[Category],$B117)*$K117)</f>
        <v/>
      </c>
      <c r="G117" s="19">
        <f>IF(N(E117)=0,"",IF($D117="Income",F117-E117,E117-F117))</f>
        <v/>
      </c>
      <c r="H117" s="22">
        <f>IF(N(E117)=0,"",F117/E117)</f>
        <v/>
      </c>
      <c r="I117" s="19">
        <f>IF($B117="","",SUMIFS(tblTxn[View Amount],tblTxn[Category],$B117,tblTxn[Month],"&gt;="&amp;TEXT(EDATE(DATE(VALUE(LEFT(ReportMonth,4)),VALUE(RIGHT(ReportMonth,2)),1),-11),"yyyy-mm"),tblTxn[Month],"&lt;="&amp;ReportMonth)*$K117/12)</f>
        <v/>
      </c>
      <c r="K117">
        <f>IF($D117="Income",1,-1)</f>
        <v/>
      </c>
    </row>
    <row r="118">
      <c r="B118">
        <f>IFERROR(INDEX(tblCategories[Category],113),"")</f>
        <v/>
      </c>
      <c r="C118">
        <f>IF($B118="","",IFERROR(INDEX(tblCategories[Group],MATCH($B118,tblCategories[Category],0)),""))</f>
        <v/>
      </c>
      <c r="D118">
        <f>IF($B118="","",IFERROR(INDEX(tblCategories[Type],MATCH($B118,tblCategories[Category],0)),""))</f>
        <v/>
      </c>
      <c r="E118" s="19">
        <f>IF($B118="","",IFERROR(INDEX(tblCategories[Monthly Budget],MATCH($B118,tblCategories[Category],0)),0))</f>
        <v/>
      </c>
      <c r="F118" s="19">
        <f>IF($B118="","",SUMIFS(tblTxn[View Amount],tblTxn[Month],ReportMonth,tblTxn[Category],$B118)*$K118)</f>
        <v/>
      </c>
      <c r="G118" s="19">
        <f>IF(N(E118)=0,"",IF($D118="Income",F118-E118,E118-F118))</f>
        <v/>
      </c>
      <c r="H118" s="22">
        <f>IF(N(E118)=0,"",F118/E118)</f>
        <v/>
      </c>
      <c r="I118" s="19">
        <f>IF($B118="","",SUMIFS(tblTxn[View Amount],tblTxn[Category],$B118,tblTxn[Month],"&gt;="&amp;TEXT(EDATE(DATE(VALUE(LEFT(ReportMonth,4)),VALUE(RIGHT(ReportMonth,2)),1),-11),"yyyy-mm"),tblTxn[Month],"&lt;="&amp;ReportMonth)*$K118/12)</f>
        <v/>
      </c>
      <c r="K118">
        <f>IF($D118="Income",1,-1)</f>
        <v/>
      </c>
    </row>
    <row r="119">
      <c r="B119">
        <f>IFERROR(INDEX(tblCategories[Category],114),"")</f>
        <v/>
      </c>
      <c r="C119">
        <f>IF($B119="","",IFERROR(INDEX(tblCategories[Group],MATCH($B119,tblCategories[Category],0)),""))</f>
        <v/>
      </c>
      <c r="D119">
        <f>IF($B119="","",IFERROR(INDEX(tblCategories[Type],MATCH($B119,tblCategories[Category],0)),""))</f>
        <v/>
      </c>
      <c r="E119" s="19">
        <f>IF($B119="","",IFERROR(INDEX(tblCategories[Monthly Budget],MATCH($B119,tblCategories[Category],0)),0))</f>
        <v/>
      </c>
      <c r="F119" s="19">
        <f>IF($B119="","",SUMIFS(tblTxn[View Amount],tblTxn[Month],ReportMonth,tblTxn[Category],$B119)*$K119)</f>
        <v/>
      </c>
      <c r="G119" s="19">
        <f>IF(N(E119)=0,"",IF($D119="Income",F119-E119,E119-F119))</f>
        <v/>
      </c>
      <c r="H119" s="22">
        <f>IF(N(E119)=0,"",F119/E119)</f>
        <v/>
      </c>
      <c r="I119" s="19">
        <f>IF($B119="","",SUMIFS(tblTxn[View Amount],tblTxn[Category],$B119,tblTxn[Month],"&gt;="&amp;TEXT(EDATE(DATE(VALUE(LEFT(ReportMonth,4)),VALUE(RIGHT(ReportMonth,2)),1),-11),"yyyy-mm"),tblTxn[Month],"&lt;="&amp;ReportMonth)*$K119/12)</f>
        <v/>
      </c>
      <c r="K119">
        <f>IF($D119="Income",1,-1)</f>
        <v/>
      </c>
    </row>
    <row r="120">
      <c r="B120">
        <f>IFERROR(INDEX(tblCategories[Category],115),"")</f>
        <v/>
      </c>
      <c r="C120">
        <f>IF($B120="","",IFERROR(INDEX(tblCategories[Group],MATCH($B120,tblCategories[Category],0)),""))</f>
        <v/>
      </c>
      <c r="D120">
        <f>IF($B120="","",IFERROR(INDEX(tblCategories[Type],MATCH($B120,tblCategories[Category],0)),""))</f>
        <v/>
      </c>
      <c r="E120" s="19">
        <f>IF($B120="","",IFERROR(INDEX(tblCategories[Monthly Budget],MATCH($B120,tblCategories[Category],0)),0))</f>
        <v/>
      </c>
      <c r="F120" s="19">
        <f>IF($B120="","",SUMIFS(tblTxn[View Amount],tblTxn[Month],ReportMonth,tblTxn[Category],$B120)*$K120)</f>
        <v/>
      </c>
      <c r="G120" s="19">
        <f>IF(N(E120)=0,"",IF($D120="Income",F120-E120,E120-F120))</f>
        <v/>
      </c>
      <c r="H120" s="22">
        <f>IF(N(E120)=0,"",F120/E120)</f>
        <v/>
      </c>
      <c r="I120" s="19">
        <f>IF($B120="","",SUMIFS(tblTxn[View Amount],tblTxn[Category],$B120,tblTxn[Month],"&gt;="&amp;TEXT(EDATE(DATE(VALUE(LEFT(ReportMonth,4)),VALUE(RIGHT(ReportMonth,2)),1),-11),"yyyy-mm"),tblTxn[Month],"&lt;="&amp;ReportMonth)*$K120/12)</f>
        <v/>
      </c>
      <c r="K120">
        <f>IF($D120="Income",1,-1)</f>
        <v/>
      </c>
    </row>
    <row r="121">
      <c r="B121">
        <f>IFERROR(INDEX(tblCategories[Category],116),"")</f>
        <v/>
      </c>
      <c r="C121">
        <f>IF($B121="","",IFERROR(INDEX(tblCategories[Group],MATCH($B121,tblCategories[Category],0)),""))</f>
        <v/>
      </c>
      <c r="D121">
        <f>IF($B121="","",IFERROR(INDEX(tblCategories[Type],MATCH($B121,tblCategories[Category],0)),""))</f>
        <v/>
      </c>
      <c r="E121" s="19">
        <f>IF($B121="","",IFERROR(INDEX(tblCategories[Monthly Budget],MATCH($B121,tblCategories[Category],0)),0))</f>
        <v/>
      </c>
      <c r="F121" s="19">
        <f>IF($B121="","",SUMIFS(tblTxn[View Amount],tblTxn[Month],ReportMonth,tblTxn[Category],$B121)*$K121)</f>
        <v/>
      </c>
      <c r="G121" s="19">
        <f>IF(N(E121)=0,"",IF($D121="Income",F121-E121,E121-F121))</f>
        <v/>
      </c>
      <c r="H121" s="22">
        <f>IF(N(E121)=0,"",F121/E121)</f>
        <v/>
      </c>
      <c r="I121" s="19">
        <f>IF($B121="","",SUMIFS(tblTxn[View Amount],tblTxn[Category],$B121,tblTxn[Month],"&gt;="&amp;TEXT(EDATE(DATE(VALUE(LEFT(ReportMonth,4)),VALUE(RIGHT(ReportMonth,2)),1),-11),"yyyy-mm"),tblTxn[Month],"&lt;="&amp;ReportMonth)*$K121/12)</f>
        <v/>
      </c>
      <c r="K121">
        <f>IF($D121="Income",1,-1)</f>
        <v/>
      </c>
    </row>
    <row r="122">
      <c r="B122">
        <f>IFERROR(INDEX(tblCategories[Category],117),"")</f>
        <v/>
      </c>
      <c r="C122">
        <f>IF($B122="","",IFERROR(INDEX(tblCategories[Group],MATCH($B122,tblCategories[Category],0)),""))</f>
        <v/>
      </c>
      <c r="D122">
        <f>IF($B122="","",IFERROR(INDEX(tblCategories[Type],MATCH($B122,tblCategories[Category],0)),""))</f>
        <v/>
      </c>
      <c r="E122" s="19">
        <f>IF($B122="","",IFERROR(INDEX(tblCategories[Monthly Budget],MATCH($B122,tblCategories[Category],0)),0))</f>
        <v/>
      </c>
      <c r="F122" s="19">
        <f>IF($B122="","",SUMIFS(tblTxn[View Amount],tblTxn[Month],ReportMonth,tblTxn[Category],$B122)*$K122)</f>
        <v/>
      </c>
      <c r="G122" s="19">
        <f>IF(N(E122)=0,"",IF($D122="Income",F122-E122,E122-F122))</f>
        <v/>
      </c>
      <c r="H122" s="22">
        <f>IF(N(E122)=0,"",F122/E122)</f>
        <v/>
      </c>
      <c r="I122" s="19">
        <f>IF($B122="","",SUMIFS(tblTxn[View Amount],tblTxn[Category],$B122,tblTxn[Month],"&gt;="&amp;TEXT(EDATE(DATE(VALUE(LEFT(ReportMonth,4)),VALUE(RIGHT(ReportMonth,2)),1),-11),"yyyy-mm"),tblTxn[Month],"&lt;="&amp;ReportMonth)*$K122/12)</f>
        <v/>
      </c>
      <c r="K122">
        <f>IF($D122="Income",1,-1)</f>
        <v/>
      </c>
    </row>
    <row r="123">
      <c r="B123">
        <f>IFERROR(INDEX(tblCategories[Category],118),"")</f>
        <v/>
      </c>
      <c r="C123">
        <f>IF($B123="","",IFERROR(INDEX(tblCategories[Group],MATCH($B123,tblCategories[Category],0)),""))</f>
        <v/>
      </c>
      <c r="D123">
        <f>IF($B123="","",IFERROR(INDEX(tblCategories[Type],MATCH($B123,tblCategories[Category],0)),""))</f>
        <v/>
      </c>
      <c r="E123" s="19">
        <f>IF($B123="","",IFERROR(INDEX(tblCategories[Monthly Budget],MATCH($B123,tblCategories[Category],0)),0))</f>
        <v/>
      </c>
      <c r="F123" s="19">
        <f>IF($B123="","",SUMIFS(tblTxn[View Amount],tblTxn[Month],ReportMonth,tblTxn[Category],$B123)*$K123)</f>
        <v/>
      </c>
      <c r="G123" s="19">
        <f>IF(N(E123)=0,"",IF($D123="Income",F123-E123,E123-F123))</f>
        <v/>
      </c>
      <c r="H123" s="22">
        <f>IF(N(E123)=0,"",F123/E123)</f>
        <v/>
      </c>
      <c r="I123" s="19">
        <f>IF($B123="","",SUMIFS(tblTxn[View Amount],tblTxn[Category],$B123,tblTxn[Month],"&gt;="&amp;TEXT(EDATE(DATE(VALUE(LEFT(ReportMonth,4)),VALUE(RIGHT(ReportMonth,2)),1),-11),"yyyy-mm"),tblTxn[Month],"&lt;="&amp;ReportMonth)*$K123/12)</f>
        <v/>
      </c>
      <c r="K123">
        <f>IF($D123="Income",1,-1)</f>
        <v/>
      </c>
    </row>
    <row r="124">
      <c r="B124">
        <f>IFERROR(INDEX(tblCategories[Category],119),"")</f>
        <v/>
      </c>
      <c r="C124">
        <f>IF($B124="","",IFERROR(INDEX(tblCategories[Group],MATCH($B124,tblCategories[Category],0)),""))</f>
        <v/>
      </c>
      <c r="D124">
        <f>IF($B124="","",IFERROR(INDEX(tblCategories[Type],MATCH($B124,tblCategories[Category],0)),""))</f>
        <v/>
      </c>
      <c r="E124" s="19">
        <f>IF($B124="","",IFERROR(INDEX(tblCategories[Monthly Budget],MATCH($B124,tblCategories[Category],0)),0))</f>
        <v/>
      </c>
      <c r="F124" s="19">
        <f>IF($B124="","",SUMIFS(tblTxn[View Amount],tblTxn[Month],ReportMonth,tblTxn[Category],$B124)*$K124)</f>
        <v/>
      </c>
      <c r="G124" s="19">
        <f>IF(N(E124)=0,"",IF($D124="Income",F124-E124,E124-F124))</f>
        <v/>
      </c>
      <c r="H124" s="22">
        <f>IF(N(E124)=0,"",F124/E124)</f>
        <v/>
      </c>
      <c r="I124" s="19">
        <f>IF($B124="","",SUMIFS(tblTxn[View Amount],tblTxn[Category],$B124,tblTxn[Month],"&gt;="&amp;TEXT(EDATE(DATE(VALUE(LEFT(ReportMonth,4)),VALUE(RIGHT(ReportMonth,2)),1),-11),"yyyy-mm"),tblTxn[Month],"&lt;="&amp;ReportMonth)*$K124/12)</f>
        <v/>
      </c>
      <c r="K124">
        <f>IF($D124="Income",1,-1)</f>
        <v/>
      </c>
    </row>
    <row r="125">
      <c r="B125">
        <f>IFERROR(INDEX(tblCategories[Category],120),"")</f>
        <v/>
      </c>
      <c r="C125">
        <f>IF($B125="","",IFERROR(INDEX(tblCategories[Group],MATCH($B125,tblCategories[Category],0)),""))</f>
        <v/>
      </c>
      <c r="D125">
        <f>IF($B125="","",IFERROR(INDEX(tblCategories[Type],MATCH($B125,tblCategories[Category],0)),""))</f>
        <v/>
      </c>
      <c r="E125" s="19">
        <f>IF($B125="","",IFERROR(INDEX(tblCategories[Monthly Budget],MATCH($B125,tblCategories[Category],0)),0))</f>
        <v/>
      </c>
      <c r="F125" s="19">
        <f>IF($B125="","",SUMIFS(tblTxn[View Amount],tblTxn[Month],ReportMonth,tblTxn[Category],$B125)*$K125)</f>
        <v/>
      </c>
      <c r="G125" s="19">
        <f>IF(N(E125)=0,"",IF($D125="Income",F125-E125,E125-F125))</f>
        <v/>
      </c>
      <c r="H125" s="22">
        <f>IF(N(E125)=0,"",F125/E125)</f>
        <v/>
      </c>
      <c r="I125" s="19">
        <f>IF($B125="","",SUMIFS(tblTxn[View Amount],tblTxn[Category],$B125,tblTxn[Month],"&gt;="&amp;TEXT(EDATE(DATE(VALUE(LEFT(ReportMonth,4)),VALUE(RIGHT(ReportMonth,2)),1),-11),"yyyy-mm"),tblTxn[Month],"&lt;="&amp;ReportMonth)*$K125/12)</f>
        <v/>
      </c>
      <c r="K125">
        <f>IF($D125="Income",1,-1)</f>
        <v/>
      </c>
    </row>
  </sheetData>
  <conditionalFormatting sqref="G6:G125">
    <cfRule type="cellIs" priority="1" operator="lessThan" dxfId="2">
      <formula>0</formula>
    </cfRule>
  </conditionalFormatting>
  <conditionalFormatting sqref="H6:H125">
    <cfRule type="colorScale" priority="2">
      <colorScale>
        <cfvo type="num" val="0"/>
        <cfvo type="num" val="1"/>
        <cfvo type="num" val="1.5"/>
        <color rgb="00C6EFCE"/>
        <color rgb="00FFEB9C"/>
        <color rgb="00FFC7CE"/>
      </colorScale>
    </cfRule>
  </conditionalFormatting>
  <printOptions horizontalCentered="1"/>
  <pageMargins left="0.75" right="0.75" top="1" bottom="1" header="0.5" footer="0.5"/>
  <pageSetup orientation="landscape" fitToHeight="0" fitToWidth="1"/>
</worksheet>
</file>

<file path=xl/worksheets/sheet7.xml><?xml version="1.0" encoding="utf-8"?>
<worksheet xmlns="http://schemas.openxmlformats.org/spreadsheetml/2006/main">
  <sheetPr codeName="shReports">
    <tabColor rgb="000F6E5C"/>
    <outlinePr summaryBelow="1" summaryRight="1"/>
    <pageSetUpPr fitToPage="1"/>
  </sheetPr>
  <dimension ref="B1:Q14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 hidden="1" width="13" customWidth="1" min="16" max="16"/>
    <col hidden="1" width="13" customWidth="1" min="17" max="17"/>
  </cols>
  <sheetData>
    <row r="1">
      <c r="B1" s="1" t="inlineStr">
        <is>
          <t>Reports</t>
        </is>
      </c>
    </row>
    <row r="2">
      <c r="B2" s="2" t="inlineStr">
        <is>
          <t>Twelve months ending with the report month chosen on the Dashboard, in the same view (household or one person).</t>
        </is>
      </c>
    </row>
    <row r="4">
      <c r="B4" s="17" t="inlineStr">
        <is>
          <t>Month</t>
        </is>
      </c>
      <c r="C4" s="23">
        <f>TEXT(EDATE(DATE(VALUE(LEFT(ReportMonth,4)),VALUE(RIGHT(ReportMonth,2)),1),-11),"yyyy-mm")</f>
        <v/>
      </c>
      <c r="D4" s="23">
        <f>TEXT(EDATE(DATE(VALUE(LEFT(ReportMonth,4)),VALUE(RIGHT(ReportMonth,2)),1),-10),"yyyy-mm")</f>
        <v/>
      </c>
      <c r="E4" s="23">
        <f>TEXT(EDATE(DATE(VALUE(LEFT(ReportMonth,4)),VALUE(RIGHT(ReportMonth,2)),1),-9),"yyyy-mm")</f>
        <v/>
      </c>
      <c r="F4" s="23">
        <f>TEXT(EDATE(DATE(VALUE(LEFT(ReportMonth,4)),VALUE(RIGHT(ReportMonth,2)),1),-8),"yyyy-mm")</f>
        <v/>
      </c>
      <c r="G4" s="23">
        <f>TEXT(EDATE(DATE(VALUE(LEFT(ReportMonth,4)),VALUE(RIGHT(ReportMonth,2)),1),-7),"yyyy-mm")</f>
        <v/>
      </c>
      <c r="H4" s="23">
        <f>TEXT(EDATE(DATE(VALUE(LEFT(ReportMonth,4)),VALUE(RIGHT(ReportMonth,2)),1),-6),"yyyy-mm")</f>
        <v/>
      </c>
      <c r="I4" s="23">
        <f>TEXT(EDATE(DATE(VALUE(LEFT(ReportMonth,4)),VALUE(RIGHT(ReportMonth,2)),1),-5),"yyyy-mm")</f>
        <v/>
      </c>
      <c r="J4" s="23">
        <f>TEXT(EDATE(DATE(VALUE(LEFT(ReportMonth,4)),VALUE(RIGHT(ReportMonth,2)),1),-4),"yyyy-mm")</f>
        <v/>
      </c>
      <c r="K4" s="23">
        <f>TEXT(EDATE(DATE(VALUE(LEFT(ReportMonth,4)),VALUE(RIGHT(ReportMonth,2)),1),-3),"yyyy-mm")</f>
        <v/>
      </c>
      <c r="L4" s="23">
        <f>TEXT(EDATE(DATE(VALUE(LEFT(ReportMonth,4)),VALUE(RIGHT(ReportMonth,2)),1),-2),"yyyy-mm")</f>
        <v/>
      </c>
      <c r="M4" s="23">
        <f>TEXT(EDATE(DATE(VALUE(LEFT(ReportMonth,4)),VALUE(RIGHT(ReportMonth,2)),1),-1),"yyyy-mm")</f>
        <v/>
      </c>
      <c r="N4" s="23">
        <f>TEXT(EDATE(DATE(VALUE(LEFT(ReportMonth,4)),VALUE(RIGHT(ReportMonth,2)),1),0),"yyyy-mm")</f>
        <v/>
      </c>
      <c r="O4" s="23" t="inlineStr">
        <is>
          <t>Total</t>
        </is>
      </c>
    </row>
    <row r="5">
      <c r="B5" s="7" t="inlineStr">
        <is>
          <t>Money in</t>
        </is>
      </c>
      <c r="C5" s="13">
        <f>SUMIFS(tblTxn[View Amount],tblTxn[Month],C$4,tblTxn[Type],"Income")</f>
        <v/>
      </c>
      <c r="D5" s="13">
        <f>SUMIFS(tblTxn[View Amount],tblTxn[Month],D$4,tblTxn[Type],"Income")</f>
        <v/>
      </c>
      <c r="E5" s="13">
        <f>SUMIFS(tblTxn[View Amount],tblTxn[Month],E$4,tblTxn[Type],"Income")</f>
        <v/>
      </c>
      <c r="F5" s="13">
        <f>SUMIFS(tblTxn[View Amount],tblTxn[Month],F$4,tblTxn[Type],"Income")</f>
        <v/>
      </c>
      <c r="G5" s="13">
        <f>SUMIFS(tblTxn[View Amount],tblTxn[Month],G$4,tblTxn[Type],"Income")</f>
        <v/>
      </c>
      <c r="H5" s="13">
        <f>SUMIFS(tblTxn[View Amount],tblTxn[Month],H$4,tblTxn[Type],"Income")</f>
        <v/>
      </c>
      <c r="I5" s="13">
        <f>SUMIFS(tblTxn[View Amount],tblTxn[Month],I$4,tblTxn[Type],"Income")</f>
        <v/>
      </c>
      <c r="J5" s="13">
        <f>SUMIFS(tblTxn[View Amount],tblTxn[Month],J$4,tblTxn[Type],"Income")</f>
        <v/>
      </c>
      <c r="K5" s="13">
        <f>SUMIFS(tblTxn[View Amount],tblTxn[Month],K$4,tblTxn[Type],"Income")</f>
        <v/>
      </c>
      <c r="L5" s="13">
        <f>SUMIFS(tblTxn[View Amount],tblTxn[Month],L$4,tblTxn[Type],"Income")</f>
        <v/>
      </c>
      <c r="M5" s="13">
        <f>SUMIFS(tblTxn[View Amount],tblTxn[Month],M$4,tblTxn[Type],"Income")</f>
        <v/>
      </c>
      <c r="N5" s="13">
        <f>SUMIFS(tblTxn[View Amount],tblTxn[Month],N$4,tblTxn[Type],"Income")</f>
        <v/>
      </c>
      <c r="O5" s="15">
        <f>SUM(C5:N5)</f>
        <v/>
      </c>
    </row>
    <row r="6">
      <c r="B6" s="7" t="inlineStr">
        <is>
          <t>Money out</t>
        </is>
      </c>
      <c r="C6" s="13">
        <f>-SUMIFS(tblTxn[View Amount],tblTxn[Month],C$4,tblTxn[Type],"Expense")</f>
        <v/>
      </c>
      <c r="D6" s="13">
        <f>-SUMIFS(tblTxn[View Amount],tblTxn[Month],D$4,tblTxn[Type],"Expense")</f>
        <v/>
      </c>
      <c r="E6" s="13">
        <f>-SUMIFS(tblTxn[View Amount],tblTxn[Month],E$4,tblTxn[Type],"Expense")</f>
        <v/>
      </c>
      <c r="F6" s="13">
        <f>-SUMIFS(tblTxn[View Amount],tblTxn[Month],F$4,tblTxn[Type],"Expense")</f>
        <v/>
      </c>
      <c r="G6" s="13">
        <f>-SUMIFS(tblTxn[View Amount],tblTxn[Month],G$4,tblTxn[Type],"Expense")</f>
        <v/>
      </c>
      <c r="H6" s="13">
        <f>-SUMIFS(tblTxn[View Amount],tblTxn[Month],H$4,tblTxn[Type],"Expense")</f>
        <v/>
      </c>
      <c r="I6" s="13">
        <f>-SUMIFS(tblTxn[View Amount],tblTxn[Month],I$4,tblTxn[Type],"Expense")</f>
        <v/>
      </c>
      <c r="J6" s="13">
        <f>-SUMIFS(tblTxn[View Amount],tblTxn[Month],J$4,tblTxn[Type],"Expense")</f>
        <v/>
      </c>
      <c r="K6" s="13">
        <f>-SUMIFS(tblTxn[View Amount],tblTxn[Month],K$4,tblTxn[Type],"Expense")</f>
        <v/>
      </c>
      <c r="L6" s="13">
        <f>-SUMIFS(tblTxn[View Amount],tblTxn[Month],L$4,tblTxn[Type],"Expense")</f>
        <v/>
      </c>
      <c r="M6" s="13">
        <f>-SUMIFS(tblTxn[View Amount],tblTxn[Month],M$4,tblTxn[Type],"Expense")</f>
        <v/>
      </c>
      <c r="N6" s="13">
        <f>-SUMIFS(tblTxn[View Amount],tblTxn[Month],N$4,tblTxn[Type],"Expense")</f>
        <v/>
      </c>
      <c r="O6" s="15">
        <f>SUM(C6:N6)</f>
        <v/>
      </c>
    </row>
    <row r="7">
      <c r="B7" s="7" t="inlineStr">
        <is>
          <t>Saved &amp; invested</t>
        </is>
      </c>
      <c r="C7" s="13">
        <f>-SUMIFS(tblTxn[View Amount],tblTxn[Month],C$4,tblTxn[Type],"Saving")</f>
        <v/>
      </c>
      <c r="D7" s="13">
        <f>-SUMIFS(tblTxn[View Amount],tblTxn[Month],D$4,tblTxn[Type],"Saving")</f>
        <v/>
      </c>
      <c r="E7" s="13">
        <f>-SUMIFS(tblTxn[View Amount],tblTxn[Month],E$4,tblTxn[Type],"Saving")</f>
        <v/>
      </c>
      <c r="F7" s="13">
        <f>-SUMIFS(tblTxn[View Amount],tblTxn[Month],F$4,tblTxn[Type],"Saving")</f>
        <v/>
      </c>
      <c r="G7" s="13">
        <f>-SUMIFS(tblTxn[View Amount],tblTxn[Month],G$4,tblTxn[Type],"Saving")</f>
        <v/>
      </c>
      <c r="H7" s="13">
        <f>-SUMIFS(tblTxn[View Amount],tblTxn[Month],H$4,tblTxn[Type],"Saving")</f>
        <v/>
      </c>
      <c r="I7" s="13">
        <f>-SUMIFS(tblTxn[View Amount],tblTxn[Month],I$4,tblTxn[Type],"Saving")</f>
        <v/>
      </c>
      <c r="J7" s="13">
        <f>-SUMIFS(tblTxn[View Amount],tblTxn[Month],J$4,tblTxn[Type],"Saving")</f>
        <v/>
      </c>
      <c r="K7" s="13">
        <f>-SUMIFS(tblTxn[View Amount],tblTxn[Month],K$4,tblTxn[Type],"Saving")</f>
        <v/>
      </c>
      <c r="L7" s="13">
        <f>-SUMIFS(tblTxn[View Amount],tblTxn[Month],L$4,tblTxn[Type],"Saving")</f>
        <v/>
      </c>
      <c r="M7" s="13">
        <f>-SUMIFS(tblTxn[View Amount],tblTxn[Month],M$4,tblTxn[Type],"Saving")</f>
        <v/>
      </c>
      <c r="N7" s="13">
        <f>-SUMIFS(tblTxn[View Amount],tblTxn[Month],N$4,tblTxn[Type],"Saving")</f>
        <v/>
      </c>
      <c r="O7" s="15">
        <f>SUM(C7:N7)</f>
        <v/>
      </c>
    </row>
    <row r="8">
      <c r="B8" s="3" t="inlineStr">
        <is>
          <t>Net cash flow</t>
        </is>
      </c>
      <c r="C8" s="13">
        <f>C5-C6-C7</f>
        <v/>
      </c>
      <c r="D8" s="13">
        <f>D5-D6-D7</f>
        <v/>
      </c>
      <c r="E8" s="13">
        <f>E5-E6-E7</f>
        <v/>
      </c>
      <c r="F8" s="13">
        <f>F5-F6-F7</f>
        <v/>
      </c>
      <c r="G8" s="13">
        <f>G5-G6-G7</f>
        <v/>
      </c>
      <c r="H8" s="13">
        <f>H5-H6-H7</f>
        <v/>
      </c>
      <c r="I8" s="13">
        <f>I5-I6-I7</f>
        <v/>
      </c>
      <c r="J8" s="13">
        <f>J5-J6-J7</f>
        <v/>
      </c>
      <c r="K8" s="13">
        <f>K5-K6-K7</f>
        <v/>
      </c>
      <c r="L8" s="13">
        <f>L5-L6-L7</f>
        <v/>
      </c>
      <c r="M8" s="13">
        <f>M5-M6-M7</f>
        <v/>
      </c>
      <c r="N8" s="13">
        <f>N5-N6-N7</f>
        <v/>
      </c>
      <c r="O8" s="15">
        <f>SUM(C8:N8)</f>
        <v/>
      </c>
    </row>
    <row r="9">
      <c r="B9" s="7" t="inlineStr">
        <is>
          <t>Savings rate</t>
        </is>
      </c>
      <c r="C9" s="14">
        <f>IFERROR((C5-C6)/C5,"")</f>
        <v/>
      </c>
      <c r="D9" s="14">
        <f>IFERROR((D5-D6)/D5,"")</f>
        <v/>
      </c>
      <c r="E9" s="14">
        <f>IFERROR((E5-E6)/E5,"")</f>
        <v/>
      </c>
      <c r="F9" s="14">
        <f>IFERROR((F5-F6)/F5,"")</f>
        <v/>
      </c>
      <c r="G9" s="14">
        <f>IFERROR((G5-G6)/G5,"")</f>
        <v/>
      </c>
      <c r="H9" s="14">
        <f>IFERROR((H5-H6)/H5,"")</f>
        <v/>
      </c>
      <c r="I9" s="14">
        <f>IFERROR((I5-I6)/I5,"")</f>
        <v/>
      </c>
      <c r="J9" s="14">
        <f>IFERROR((J5-J6)/J5,"")</f>
        <v/>
      </c>
      <c r="K9" s="14">
        <f>IFERROR((K5-K6)/K5,"")</f>
        <v/>
      </c>
      <c r="L9" s="14">
        <f>IFERROR((L5-L6)/L5,"")</f>
        <v/>
      </c>
      <c r="M9" s="14">
        <f>IFERROR((M5-M6)/M5,"")</f>
        <v/>
      </c>
      <c r="N9" s="14">
        <f>IFERROR((N5-N6)/N5,"")</f>
        <v/>
      </c>
      <c r="O9" s="14">
        <f>IFERROR((O5-O6)/O5,"")</f>
        <v/>
      </c>
    </row>
    <row r="10">
      <c r="B10" s="7" t="inlineStr">
        <is>
          <t>Essential spending</t>
        </is>
      </c>
      <c r="C10" s="13">
        <f>-SUMIFS(tblTxn[View Amount],tblTxn[Month],C$4,tblTxn[Type],"Expense",tblTxn[Essential],"Yes")</f>
        <v/>
      </c>
      <c r="D10" s="13">
        <f>-SUMIFS(tblTxn[View Amount],tblTxn[Month],D$4,tblTxn[Type],"Expense",tblTxn[Essential],"Yes")</f>
        <v/>
      </c>
      <c r="E10" s="13">
        <f>-SUMIFS(tblTxn[View Amount],tblTxn[Month],E$4,tblTxn[Type],"Expense",tblTxn[Essential],"Yes")</f>
        <v/>
      </c>
      <c r="F10" s="13">
        <f>-SUMIFS(tblTxn[View Amount],tblTxn[Month],F$4,tblTxn[Type],"Expense",tblTxn[Essential],"Yes")</f>
        <v/>
      </c>
      <c r="G10" s="13">
        <f>-SUMIFS(tblTxn[View Amount],tblTxn[Month],G$4,tblTxn[Type],"Expense",tblTxn[Essential],"Yes")</f>
        <v/>
      </c>
      <c r="H10" s="13">
        <f>-SUMIFS(tblTxn[View Amount],tblTxn[Month],H$4,tblTxn[Type],"Expense",tblTxn[Essential],"Yes")</f>
        <v/>
      </c>
      <c r="I10" s="13">
        <f>-SUMIFS(tblTxn[View Amount],tblTxn[Month],I$4,tblTxn[Type],"Expense",tblTxn[Essential],"Yes")</f>
        <v/>
      </c>
      <c r="J10" s="13">
        <f>-SUMIFS(tblTxn[View Amount],tblTxn[Month],J$4,tblTxn[Type],"Expense",tblTxn[Essential],"Yes")</f>
        <v/>
      </c>
      <c r="K10" s="13">
        <f>-SUMIFS(tblTxn[View Amount],tblTxn[Month],K$4,tblTxn[Type],"Expense",tblTxn[Essential],"Yes")</f>
        <v/>
      </c>
      <c r="L10" s="13">
        <f>-SUMIFS(tblTxn[View Amount],tblTxn[Month],L$4,tblTxn[Type],"Expense",tblTxn[Essential],"Yes")</f>
        <v/>
      </c>
      <c r="M10" s="13">
        <f>-SUMIFS(tblTxn[View Amount],tblTxn[Month],M$4,tblTxn[Type],"Expense",tblTxn[Essential],"Yes")</f>
        <v/>
      </c>
      <c r="N10" s="13">
        <f>-SUMIFS(tblTxn[View Amount],tblTxn[Month],N$4,tblTxn[Type],"Expense",tblTxn[Essential],"Yes")</f>
        <v/>
      </c>
      <c r="O10" s="15">
        <f>SUM(C10:N10)</f>
        <v/>
      </c>
    </row>
    <row r="11">
      <c r="B11" s="7" t="inlineStr">
        <is>
          <t>Discretionary spending</t>
        </is>
      </c>
      <c r="C11" s="13">
        <f>C6-C10</f>
        <v/>
      </c>
      <c r="D11" s="13">
        <f>D6-D10</f>
        <v/>
      </c>
      <c r="E11" s="13">
        <f>E6-E10</f>
        <v/>
      </c>
      <c r="F11" s="13">
        <f>F6-F10</f>
        <v/>
      </c>
      <c r="G11" s="13">
        <f>G6-G10</f>
        <v/>
      </c>
      <c r="H11" s="13">
        <f>H6-H10</f>
        <v/>
      </c>
      <c r="I11" s="13">
        <f>I6-I10</f>
        <v/>
      </c>
      <c r="J11" s="13">
        <f>J6-J10</f>
        <v/>
      </c>
      <c r="K11" s="13">
        <f>K6-K10</f>
        <v/>
      </c>
      <c r="L11" s="13">
        <f>L6-L10</f>
        <v/>
      </c>
      <c r="M11" s="13">
        <f>M6-M10</f>
        <v/>
      </c>
      <c r="N11" s="13">
        <f>N6-N10</f>
        <v/>
      </c>
      <c r="O11" s="15">
        <f>SUM(C11:N11)</f>
        <v/>
      </c>
    </row>
    <row r="12">
      <c r="B12" s="7" t="inlineStr">
        <is>
          <t>Transactions</t>
        </is>
      </c>
      <c r="C12" s="24">
        <f>COUNTIFS(tblTxn[Month],C$4)</f>
        <v/>
      </c>
      <c r="D12" s="24">
        <f>COUNTIFS(tblTxn[Month],D$4)</f>
        <v/>
      </c>
      <c r="E12" s="24">
        <f>COUNTIFS(tblTxn[Month],E$4)</f>
        <v/>
      </c>
      <c r="F12" s="24">
        <f>COUNTIFS(tblTxn[Month],F$4)</f>
        <v/>
      </c>
      <c r="G12" s="24">
        <f>COUNTIFS(tblTxn[Month],G$4)</f>
        <v/>
      </c>
      <c r="H12" s="24">
        <f>COUNTIFS(tblTxn[Month],H$4)</f>
        <v/>
      </c>
      <c r="I12" s="24">
        <f>COUNTIFS(tblTxn[Month],I$4)</f>
        <v/>
      </c>
      <c r="J12" s="24">
        <f>COUNTIFS(tblTxn[Month],J$4)</f>
        <v/>
      </c>
      <c r="K12" s="24">
        <f>COUNTIFS(tblTxn[Month],K$4)</f>
        <v/>
      </c>
      <c r="L12" s="24">
        <f>COUNTIFS(tblTxn[Month],L$4)</f>
        <v/>
      </c>
      <c r="M12" s="24">
        <f>COUNTIFS(tblTxn[Month],M$4)</f>
        <v/>
      </c>
      <c r="N12" s="24">
        <f>COUNTIFS(tblTxn[Month],N$4)</f>
        <v/>
      </c>
      <c r="O12" s="25">
        <f>SUM(C12:N12)</f>
        <v/>
      </c>
    </row>
    <row r="14" ht="20" customHeight="1">
      <c r="B14" s="6" t="inlineStr">
        <is>
          <t xml:space="preserve">  Spending by group</t>
        </is>
      </c>
    </row>
    <row r="15">
      <c r="B15" s="7" t="inlineStr">
        <is>
          <t>Housing</t>
        </is>
      </c>
      <c r="C15" s="13">
        <f>-SUMIFS(tblTxn[View Amount],tblTxn[Month],C$4,tblTxn[Group],$B15)</f>
        <v/>
      </c>
      <c r="D15" s="13">
        <f>-SUMIFS(tblTxn[View Amount],tblTxn[Month],D$4,tblTxn[Group],$B15)</f>
        <v/>
      </c>
      <c r="E15" s="13">
        <f>-SUMIFS(tblTxn[View Amount],tblTxn[Month],E$4,tblTxn[Group],$B15)</f>
        <v/>
      </c>
      <c r="F15" s="13">
        <f>-SUMIFS(tblTxn[View Amount],tblTxn[Month],F$4,tblTxn[Group],$B15)</f>
        <v/>
      </c>
      <c r="G15" s="13">
        <f>-SUMIFS(tblTxn[View Amount],tblTxn[Month],G$4,tblTxn[Group],$B15)</f>
        <v/>
      </c>
      <c r="H15" s="13">
        <f>-SUMIFS(tblTxn[View Amount],tblTxn[Month],H$4,tblTxn[Group],$B15)</f>
        <v/>
      </c>
      <c r="I15" s="13">
        <f>-SUMIFS(tblTxn[View Amount],tblTxn[Month],I$4,tblTxn[Group],$B15)</f>
        <v/>
      </c>
      <c r="J15" s="13">
        <f>-SUMIFS(tblTxn[View Amount],tblTxn[Month],J$4,tblTxn[Group],$B15)</f>
        <v/>
      </c>
      <c r="K15" s="13">
        <f>-SUMIFS(tblTxn[View Amount],tblTxn[Month],K$4,tblTxn[Group],$B15)</f>
        <v/>
      </c>
      <c r="L15" s="13">
        <f>-SUMIFS(tblTxn[View Amount],tblTxn[Month],L$4,tblTxn[Group],$B15)</f>
        <v/>
      </c>
      <c r="M15" s="13">
        <f>-SUMIFS(tblTxn[View Amount],tblTxn[Month],M$4,tblTxn[Group],$B15)</f>
        <v/>
      </c>
      <c r="N15" s="13">
        <f>-SUMIFS(tblTxn[View Amount],tblTxn[Month],N$4,tblTxn[Group],$B15)</f>
        <v/>
      </c>
      <c r="O15" s="15">
        <f>SUM(C15:N15)</f>
        <v/>
      </c>
    </row>
    <row r="16">
      <c r="B16" s="7" t="inlineStr">
        <is>
          <t>Utilities</t>
        </is>
      </c>
      <c r="C16" s="13">
        <f>-SUMIFS(tblTxn[View Amount],tblTxn[Month],C$4,tblTxn[Group],$B16)</f>
        <v/>
      </c>
      <c r="D16" s="13">
        <f>-SUMIFS(tblTxn[View Amount],tblTxn[Month],D$4,tblTxn[Group],$B16)</f>
        <v/>
      </c>
      <c r="E16" s="13">
        <f>-SUMIFS(tblTxn[View Amount],tblTxn[Month],E$4,tblTxn[Group],$B16)</f>
        <v/>
      </c>
      <c r="F16" s="13">
        <f>-SUMIFS(tblTxn[View Amount],tblTxn[Month],F$4,tblTxn[Group],$B16)</f>
        <v/>
      </c>
      <c r="G16" s="13">
        <f>-SUMIFS(tblTxn[View Amount],tblTxn[Month],G$4,tblTxn[Group],$B16)</f>
        <v/>
      </c>
      <c r="H16" s="13">
        <f>-SUMIFS(tblTxn[View Amount],tblTxn[Month],H$4,tblTxn[Group],$B16)</f>
        <v/>
      </c>
      <c r="I16" s="13">
        <f>-SUMIFS(tblTxn[View Amount],tblTxn[Month],I$4,tblTxn[Group],$B16)</f>
        <v/>
      </c>
      <c r="J16" s="13">
        <f>-SUMIFS(tblTxn[View Amount],tblTxn[Month],J$4,tblTxn[Group],$B16)</f>
        <v/>
      </c>
      <c r="K16" s="13">
        <f>-SUMIFS(tblTxn[View Amount],tblTxn[Month],K$4,tblTxn[Group],$B16)</f>
        <v/>
      </c>
      <c r="L16" s="13">
        <f>-SUMIFS(tblTxn[View Amount],tblTxn[Month],L$4,tblTxn[Group],$B16)</f>
        <v/>
      </c>
      <c r="M16" s="13">
        <f>-SUMIFS(tblTxn[View Amount],tblTxn[Month],M$4,tblTxn[Group],$B16)</f>
        <v/>
      </c>
      <c r="N16" s="13">
        <f>-SUMIFS(tblTxn[View Amount],tblTxn[Month],N$4,tblTxn[Group],$B16)</f>
        <v/>
      </c>
      <c r="O16" s="15">
        <f>SUM(C16:N16)</f>
        <v/>
      </c>
    </row>
    <row r="17">
      <c r="B17" s="7" t="inlineStr">
        <is>
          <t>Food</t>
        </is>
      </c>
      <c r="C17" s="13">
        <f>-SUMIFS(tblTxn[View Amount],tblTxn[Month],C$4,tblTxn[Group],$B17)</f>
        <v/>
      </c>
      <c r="D17" s="13">
        <f>-SUMIFS(tblTxn[View Amount],tblTxn[Month],D$4,tblTxn[Group],$B17)</f>
        <v/>
      </c>
      <c r="E17" s="13">
        <f>-SUMIFS(tblTxn[View Amount],tblTxn[Month],E$4,tblTxn[Group],$B17)</f>
        <v/>
      </c>
      <c r="F17" s="13">
        <f>-SUMIFS(tblTxn[View Amount],tblTxn[Month],F$4,tblTxn[Group],$B17)</f>
        <v/>
      </c>
      <c r="G17" s="13">
        <f>-SUMIFS(tblTxn[View Amount],tblTxn[Month],G$4,tblTxn[Group],$B17)</f>
        <v/>
      </c>
      <c r="H17" s="13">
        <f>-SUMIFS(tblTxn[View Amount],tblTxn[Month],H$4,tblTxn[Group],$B17)</f>
        <v/>
      </c>
      <c r="I17" s="13">
        <f>-SUMIFS(tblTxn[View Amount],tblTxn[Month],I$4,tblTxn[Group],$B17)</f>
        <v/>
      </c>
      <c r="J17" s="13">
        <f>-SUMIFS(tblTxn[View Amount],tblTxn[Month],J$4,tblTxn[Group],$B17)</f>
        <v/>
      </c>
      <c r="K17" s="13">
        <f>-SUMIFS(tblTxn[View Amount],tblTxn[Month],K$4,tblTxn[Group],$B17)</f>
        <v/>
      </c>
      <c r="L17" s="13">
        <f>-SUMIFS(tblTxn[View Amount],tblTxn[Month],L$4,tblTxn[Group],$B17)</f>
        <v/>
      </c>
      <c r="M17" s="13">
        <f>-SUMIFS(tblTxn[View Amount],tblTxn[Month],M$4,tblTxn[Group],$B17)</f>
        <v/>
      </c>
      <c r="N17" s="13">
        <f>-SUMIFS(tblTxn[View Amount],tblTxn[Month],N$4,tblTxn[Group],$B17)</f>
        <v/>
      </c>
      <c r="O17" s="15">
        <f>SUM(C17:N17)</f>
        <v/>
      </c>
    </row>
    <row r="18">
      <c r="B18" s="7" t="inlineStr">
        <is>
          <t>Transportation</t>
        </is>
      </c>
      <c r="C18" s="13">
        <f>-SUMIFS(tblTxn[View Amount],tblTxn[Month],C$4,tblTxn[Group],$B18)</f>
        <v/>
      </c>
      <c r="D18" s="13">
        <f>-SUMIFS(tblTxn[View Amount],tblTxn[Month],D$4,tblTxn[Group],$B18)</f>
        <v/>
      </c>
      <c r="E18" s="13">
        <f>-SUMIFS(tblTxn[View Amount],tblTxn[Month],E$4,tblTxn[Group],$B18)</f>
        <v/>
      </c>
      <c r="F18" s="13">
        <f>-SUMIFS(tblTxn[View Amount],tblTxn[Month],F$4,tblTxn[Group],$B18)</f>
        <v/>
      </c>
      <c r="G18" s="13">
        <f>-SUMIFS(tblTxn[View Amount],tblTxn[Month],G$4,tblTxn[Group],$B18)</f>
        <v/>
      </c>
      <c r="H18" s="13">
        <f>-SUMIFS(tblTxn[View Amount],tblTxn[Month],H$4,tblTxn[Group],$B18)</f>
        <v/>
      </c>
      <c r="I18" s="13">
        <f>-SUMIFS(tblTxn[View Amount],tblTxn[Month],I$4,tblTxn[Group],$B18)</f>
        <v/>
      </c>
      <c r="J18" s="13">
        <f>-SUMIFS(tblTxn[View Amount],tblTxn[Month],J$4,tblTxn[Group],$B18)</f>
        <v/>
      </c>
      <c r="K18" s="13">
        <f>-SUMIFS(tblTxn[View Amount],tblTxn[Month],K$4,tblTxn[Group],$B18)</f>
        <v/>
      </c>
      <c r="L18" s="13">
        <f>-SUMIFS(tblTxn[View Amount],tblTxn[Month],L$4,tblTxn[Group],$B18)</f>
        <v/>
      </c>
      <c r="M18" s="13">
        <f>-SUMIFS(tblTxn[View Amount],tblTxn[Month],M$4,tblTxn[Group],$B18)</f>
        <v/>
      </c>
      <c r="N18" s="13">
        <f>-SUMIFS(tblTxn[View Amount],tblTxn[Month],N$4,tblTxn[Group],$B18)</f>
        <v/>
      </c>
      <c r="O18" s="15">
        <f>SUM(C18:N18)</f>
        <v/>
      </c>
    </row>
    <row r="19">
      <c r="B19" s="7" t="inlineStr">
        <is>
          <t>Health</t>
        </is>
      </c>
      <c r="C19" s="13">
        <f>-SUMIFS(tblTxn[View Amount],tblTxn[Month],C$4,tblTxn[Group],$B19)</f>
        <v/>
      </c>
      <c r="D19" s="13">
        <f>-SUMIFS(tblTxn[View Amount],tblTxn[Month],D$4,tblTxn[Group],$B19)</f>
        <v/>
      </c>
      <c r="E19" s="13">
        <f>-SUMIFS(tblTxn[View Amount],tblTxn[Month],E$4,tblTxn[Group],$B19)</f>
        <v/>
      </c>
      <c r="F19" s="13">
        <f>-SUMIFS(tblTxn[View Amount],tblTxn[Month],F$4,tblTxn[Group],$B19)</f>
        <v/>
      </c>
      <c r="G19" s="13">
        <f>-SUMIFS(tblTxn[View Amount],tblTxn[Month],G$4,tblTxn[Group],$B19)</f>
        <v/>
      </c>
      <c r="H19" s="13">
        <f>-SUMIFS(tblTxn[View Amount],tblTxn[Month],H$4,tblTxn[Group],$B19)</f>
        <v/>
      </c>
      <c r="I19" s="13">
        <f>-SUMIFS(tblTxn[View Amount],tblTxn[Month],I$4,tblTxn[Group],$B19)</f>
        <v/>
      </c>
      <c r="J19" s="13">
        <f>-SUMIFS(tblTxn[View Amount],tblTxn[Month],J$4,tblTxn[Group],$B19)</f>
        <v/>
      </c>
      <c r="K19" s="13">
        <f>-SUMIFS(tblTxn[View Amount],tblTxn[Month],K$4,tblTxn[Group],$B19)</f>
        <v/>
      </c>
      <c r="L19" s="13">
        <f>-SUMIFS(tblTxn[View Amount],tblTxn[Month],L$4,tblTxn[Group],$B19)</f>
        <v/>
      </c>
      <c r="M19" s="13">
        <f>-SUMIFS(tblTxn[View Amount],tblTxn[Month],M$4,tblTxn[Group],$B19)</f>
        <v/>
      </c>
      <c r="N19" s="13">
        <f>-SUMIFS(tblTxn[View Amount],tblTxn[Month],N$4,tblTxn[Group],$B19)</f>
        <v/>
      </c>
      <c r="O19" s="15">
        <f>SUM(C19:N19)</f>
        <v/>
      </c>
    </row>
    <row r="20">
      <c r="B20" s="7" t="inlineStr">
        <is>
          <t>Family</t>
        </is>
      </c>
      <c r="C20" s="13">
        <f>-SUMIFS(tblTxn[View Amount],tblTxn[Month],C$4,tblTxn[Group],$B20)</f>
        <v/>
      </c>
      <c r="D20" s="13">
        <f>-SUMIFS(tblTxn[View Amount],tblTxn[Month],D$4,tblTxn[Group],$B20)</f>
        <v/>
      </c>
      <c r="E20" s="13">
        <f>-SUMIFS(tblTxn[View Amount],tblTxn[Month],E$4,tblTxn[Group],$B20)</f>
        <v/>
      </c>
      <c r="F20" s="13">
        <f>-SUMIFS(tblTxn[View Amount],tblTxn[Month],F$4,tblTxn[Group],$B20)</f>
        <v/>
      </c>
      <c r="G20" s="13">
        <f>-SUMIFS(tblTxn[View Amount],tblTxn[Month],G$4,tblTxn[Group],$B20)</f>
        <v/>
      </c>
      <c r="H20" s="13">
        <f>-SUMIFS(tblTxn[View Amount],tblTxn[Month],H$4,tblTxn[Group],$B20)</f>
        <v/>
      </c>
      <c r="I20" s="13">
        <f>-SUMIFS(tblTxn[View Amount],tblTxn[Month],I$4,tblTxn[Group],$B20)</f>
        <v/>
      </c>
      <c r="J20" s="13">
        <f>-SUMIFS(tblTxn[View Amount],tblTxn[Month],J$4,tblTxn[Group],$B20)</f>
        <v/>
      </c>
      <c r="K20" s="13">
        <f>-SUMIFS(tblTxn[View Amount],tblTxn[Month],K$4,tblTxn[Group],$B20)</f>
        <v/>
      </c>
      <c r="L20" s="13">
        <f>-SUMIFS(tblTxn[View Amount],tblTxn[Month],L$4,tblTxn[Group],$B20)</f>
        <v/>
      </c>
      <c r="M20" s="13">
        <f>-SUMIFS(tblTxn[View Amount],tblTxn[Month],M$4,tblTxn[Group],$B20)</f>
        <v/>
      </c>
      <c r="N20" s="13">
        <f>-SUMIFS(tblTxn[View Amount],tblTxn[Month],N$4,tblTxn[Group],$B20)</f>
        <v/>
      </c>
      <c r="O20" s="15">
        <f>SUM(C20:N20)</f>
        <v/>
      </c>
    </row>
    <row r="21">
      <c r="B21" s="7" t="inlineStr">
        <is>
          <t>Education</t>
        </is>
      </c>
      <c r="C21" s="13">
        <f>-SUMIFS(tblTxn[View Amount],tblTxn[Month],C$4,tblTxn[Group],$B21)</f>
        <v/>
      </c>
      <c r="D21" s="13">
        <f>-SUMIFS(tblTxn[View Amount],tblTxn[Month],D$4,tblTxn[Group],$B21)</f>
        <v/>
      </c>
      <c r="E21" s="13">
        <f>-SUMIFS(tblTxn[View Amount],tblTxn[Month],E$4,tblTxn[Group],$B21)</f>
        <v/>
      </c>
      <c r="F21" s="13">
        <f>-SUMIFS(tblTxn[View Amount],tblTxn[Month],F$4,tblTxn[Group],$B21)</f>
        <v/>
      </c>
      <c r="G21" s="13">
        <f>-SUMIFS(tblTxn[View Amount],tblTxn[Month],G$4,tblTxn[Group],$B21)</f>
        <v/>
      </c>
      <c r="H21" s="13">
        <f>-SUMIFS(tblTxn[View Amount],tblTxn[Month],H$4,tblTxn[Group],$B21)</f>
        <v/>
      </c>
      <c r="I21" s="13">
        <f>-SUMIFS(tblTxn[View Amount],tblTxn[Month],I$4,tblTxn[Group],$B21)</f>
        <v/>
      </c>
      <c r="J21" s="13">
        <f>-SUMIFS(tblTxn[View Amount],tblTxn[Month],J$4,tblTxn[Group],$B21)</f>
        <v/>
      </c>
      <c r="K21" s="13">
        <f>-SUMIFS(tblTxn[View Amount],tblTxn[Month],K$4,tblTxn[Group],$B21)</f>
        <v/>
      </c>
      <c r="L21" s="13">
        <f>-SUMIFS(tblTxn[View Amount],tblTxn[Month],L$4,tblTxn[Group],$B21)</f>
        <v/>
      </c>
      <c r="M21" s="13">
        <f>-SUMIFS(tblTxn[View Amount],tblTxn[Month],M$4,tblTxn[Group],$B21)</f>
        <v/>
      </c>
      <c r="N21" s="13">
        <f>-SUMIFS(tblTxn[View Amount],tblTxn[Month],N$4,tblTxn[Group],$B21)</f>
        <v/>
      </c>
      <c r="O21" s="15">
        <f>SUM(C21:N21)</f>
        <v/>
      </c>
    </row>
    <row r="22">
      <c r="B22" s="7" t="inlineStr">
        <is>
          <t>Personal</t>
        </is>
      </c>
      <c r="C22" s="13">
        <f>-SUMIFS(tblTxn[View Amount],tblTxn[Month],C$4,tblTxn[Group],$B22)</f>
        <v/>
      </c>
      <c r="D22" s="13">
        <f>-SUMIFS(tblTxn[View Amount],tblTxn[Month],D$4,tblTxn[Group],$B22)</f>
        <v/>
      </c>
      <c r="E22" s="13">
        <f>-SUMIFS(tblTxn[View Amount],tblTxn[Month],E$4,tblTxn[Group],$B22)</f>
        <v/>
      </c>
      <c r="F22" s="13">
        <f>-SUMIFS(tblTxn[View Amount],tblTxn[Month],F$4,tblTxn[Group],$B22)</f>
        <v/>
      </c>
      <c r="G22" s="13">
        <f>-SUMIFS(tblTxn[View Amount],tblTxn[Month],G$4,tblTxn[Group],$B22)</f>
        <v/>
      </c>
      <c r="H22" s="13">
        <f>-SUMIFS(tblTxn[View Amount],tblTxn[Month],H$4,tblTxn[Group],$B22)</f>
        <v/>
      </c>
      <c r="I22" s="13">
        <f>-SUMIFS(tblTxn[View Amount],tblTxn[Month],I$4,tblTxn[Group],$B22)</f>
        <v/>
      </c>
      <c r="J22" s="13">
        <f>-SUMIFS(tblTxn[View Amount],tblTxn[Month],J$4,tblTxn[Group],$B22)</f>
        <v/>
      </c>
      <c r="K22" s="13">
        <f>-SUMIFS(tblTxn[View Amount],tblTxn[Month],K$4,tblTxn[Group],$B22)</f>
        <v/>
      </c>
      <c r="L22" s="13">
        <f>-SUMIFS(tblTxn[View Amount],tblTxn[Month],L$4,tblTxn[Group],$B22)</f>
        <v/>
      </c>
      <c r="M22" s="13">
        <f>-SUMIFS(tblTxn[View Amount],tblTxn[Month],M$4,tblTxn[Group],$B22)</f>
        <v/>
      </c>
      <c r="N22" s="13">
        <f>-SUMIFS(tblTxn[View Amount],tblTxn[Month],N$4,tblTxn[Group],$B22)</f>
        <v/>
      </c>
      <c r="O22" s="15">
        <f>SUM(C22:N22)</f>
        <v/>
      </c>
    </row>
    <row r="23">
      <c r="B23" s="7" t="inlineStr">
        <is>
          <t>Travel</t>
        </is>
      </c>
      <c r="C23" s="13">
        <f>-SUMIFS(tblTxn[View Amount],tblTxn[Month],C$4,tblTxn[Group],$B23)</f>
        <v/>
      </c>
      <c r="D23" s="13">
        <f>-SUMIFS(tblTxn[View Amount],tblTxn[Month],D$4,tblTxn[Group],$B23)</f>
        <v/>
      </c>
      <c r="E23" s="13">
        <f>-SUMIFS(tblTxn[View Amount],tblTxn[Month],E$4,tblTxn[Group],$B23)</f>
        <v/>
      </c>
      <c r="F23" s="13">
        <f>-SUMIFS(tblTxn[View Amount],tblTxn[Month],F$4,tblTxn[Group],$B23)</f>
        <v/>
      </c>
      <c r="G23" s="13">
        <f>-SUMIFS(tblTxn[View Amount],tblTxn[Month],G$4,tblTxn[Group],$B23)</f>
        <v/>
      </c>
      <c r="H23" s="13">
        <f>-SUMIFS(tblTxn[View Amount],tblTxn[Month],H$4,tblTxn[Group],$B23)</f>
        <v/>
      </c>
      <c r="I23" s="13">
        <f>-SUMIFS(tblTxn[View Amount],tblTxn[Month],I$4,tblTxn[Group],$B23)</f>
        <v/>
      </c>
      <c r="J23" s="13">
        <f>-SUMIFS(tblTxn[View Amount],tblTxn[Month],J$4,tblTxn[Group],$B23)</f>
        <v/>
      </c>
      <c r="K23" s="13">
        <f>-SUMIFS(tblTxn[View Amount],tblTxn[Month],K$4,tblTxn[Group],$B23)</f>
        <v/>
      </c>
      <c r="L23" s="13">
        <f>-SUMIFS(tblTxn[View Amount],tblTxn[Month],L$4,tblTxn[Group],$B23)</f>
        <v/>
      </c>
      <c r="M23" s="13">
        <f>-SUMIFS(tblTxn[View Amount],tblTxn[Month],M$4,tblTxn[Group],$B23)</f>
        <v/>
      </c>
      <c r="N23" s="13">
        <f>-SUMIFS(tblTxn[View Amount],tblTxn[Month],N$4,tblTxn[Group],$B23)</f>
        <v/>
      </c>
      <c r="O23" s="15">
        <f>SUM(C23:N23)</f>
        <v/>
      </c>
    </row>
    <row r="24">
      <c r="B24" s="7" t="inlineStr">
        <is>
          <t>Financial</t>
        </is>
      </c>
      <c r="C24" s="13">
        <f>-SUMIFS(tblTxn[View Amount],tblTxn[Month],C$4,tblTxn[Group],$B24)</f>
        <v/>
      </c>
      <c r="D24" s="13">
        <f>-SUMIFS(tblTxn[View Amount],tblTxn[Month],D$4,tblTxn[Group],$B24)</f>
        <v/>
      </c>
      <c r="E24" s="13">
        <f>-SUMIFS(tblTxn[View Amount],tblTxn[Month],E$4,tblTxn[Group],$B24)</f>
        <v/>
      </c>
      <c r="F24" s="13">
        <f>-SUMIFS(tblTxn[View Amount],tblTxn[Month],F$4,tblTxn[Group],$B24)</f>
        <v/>
      </c>
      <c r="G24" s="13">
        <f>-SUMIFS(tblTxn[View Amount],tblTxn[Month],G$4,tblTxn[Group],$B24)</f>
        <v/>
      </c>
      <c r="H24" s="13">
        <f>-SUMIFS(tblTxn[View Amount],tblTxn[Month],H$4,tblTxn[Group],$B24)</f>
        <v/>
      </c>
      <c r="I24" s="13">
        <f>-SUMIFS(tblTxn[View Amount],tblTxn[Month],I$4,tblTxn[Group],$B24)</f>
        <v/>
      </c>
      <c r="J24" s="13">
        <f>-SUMIFS(tblTxn[View Amount],tblTxn[Month],J$4,tblTxn[Group],$B24)</f>
        <v/>
      </c>
      <c r="K24" s="13">
        <f>-SUMIFS(tblTxn[View Amount],tblTxn[Month],K$4,tblTxn[Group],$B24)</f>
        <v/>
      </c>
      <c r="L24" s="13">
        <f>-SUMIFS(tblTxn[View Amount],tblTxn[Month],L$4,tblTxn[Group],$B24)</f>
        <v/>
      </c>
      <c r="M24" s="13">
        <f>-SUMIFS(tblTxn[View Amount],tblTxn[Month],M$4,tblTxn[Group],$B24)</f>
        <v/>
      </c>
      <c r="N24" s="13">
        <f>-SUMIFS(tblTxn[View Amount],tblTxn[Month],N$4,tblTxn[Group],$B24)</f>
        <v/>
      </c>
      <c r="O24" s="15">
        <f>SUM(C24:N24)</f>
        <v/>
      </c>
    </row>
    <row r="25">
      <c r="B25" s="7" t="inlineStr">
        <is>
          <t>Saving</t>
        </is>
      </c>
      <c r="C25" s="13">
        <f>-SUMIFS(tblTxn[View Amount],tblTxn[Month],C$4,tblTxn[Group],$B25)</f>
        <v/>
      </c>
      <c r="D25" s="13">
        <f>-SUMIFS(tblTxn[View Amount],tblTxn[Month],D$4,tblTxn[Group],$B25)</f>
        <v/>
      </c>
      <c r="E25" s="13">
        <f>-SUMIFS(tblTxn[View Amount],tblTxn[Month],E$4,tblTxn[Group],$B25)</f>
        <v/>
      </c>
      <c r="F25" s="13">
        <f>-SUMIFS(tblTxn[View Amount],tblTxn[Month],F$4,tblTxn[Group],$B25)</f>
        <v/>
      </c>
      <c r="G25" s="13">
        <f>-SUMIFS(tblTxn[View Amount],tblTxn[Month],G$4,tblTxn[Group],$B25)</f>
        <v/>
      </c>
      <c r="H25" s="13">
        <f>-SUMIFS(tblTxn[View Amount],tblTxn[Month],H$4,tblTxn[Group],$B25)</f>
        <v/>
      </c>
      <c r="I25" s="13">
        <f>-SUMIFS(tblTxn[View Amount],tblTxn[Month],I$4,tblTxn[Group],$B25)</f>
        <v/>
      </c>
      <c r="J25" s="13">
        <f>-SUMIFS(tblTxn[View Amount],tblTxn[Month],J$4,tblTxn[Group],$B25)</f>
        <v/>
      </c>
      <c r="K25" s="13">
        <f>-SUMIFS(tblTxn[View Amount],tblTxn[Month],K$4,tblTxn[Group],$B25)</f>
        <v/>
      </c>
      <c r="L25" s="13">
        <f>-SUMIFS(tblTxn[View Amount],tblTxn[Month],L$4,tblTxn[Group],$B25)</f>
        <v/>
      </c>
      <c r="M25" s="13">
        <f>-SUMIFS(tblTxn[View Amount],tblTxn[Month],M$4,tblTxn[Group],$B25)</f>
        <v/>
      </c>
      <c r="N25" s="13">
        <f>-SUMIFS(tblTxn[View Amount],tblTxn[Month],N$4,tblTxn[Group],$B25)</f>
        <v/>
      </c>
      <c r="O25" s="15">
        <f>SUM(C25:N25)</f>
        <v/>
      </c>
    </row>
    <row r="26">
      <c r="B26" s="7" t="inlineStr">
        <is>
          <t>Other</t>
        </is>
      </c>
      <c r="C26" s="13">
        <f>-SUMIFS(tblTxn[View Amount],tblTxn[Month],C$4,tblTxn[Group],$B26)</f>
        <v/>
      </c>
      <c r="D26" s="13">
        <f>-SUMIFS(tblTxn[View Amount],tblTxn[Month],D$4,tblTxn[Group],$B26)</f>
        <v/>
      </c>
      <c r="E26" s="13">
        <f>-SUMIFS(tblTxn[View Amount],tblTxn[Month],E$4,tblTxn[Group],$B26)</f>
        <v/>
      </c>
      <c r="F26" s="13">
        <f>-SUMIFS(tblTxn[View Amount],tblTxn[Month],F$4,tblTxn[Group],$B26)</f>
        <v/>
      </c>
      <c r="G26" s="13">
        <f>-SUMIFS(tblTxn[View Amount],tblTxn[Month],G$4,tblTxn[Group],$B26)</f>
        <v/>
      </c>
      <c r="H26" s="13">
        <f>-SUMIFS(tblTxn[View Amount],tblTxn[Month],H$4,tblTxn[Group],$B26)</f>
        <v/>
      </c>
      <c r="I26" s="13">
        <f>-SUMIFS(tblTxn[View Amount],tblTxn[Month],I$4,tblTxn[Group],$B26)</f>
        <v/>
      </c>
      <c r="J26" s="13">
        <f>-SUMIFS(tblTxn[View Amount],tblTxn[Month],J$4,tblTxn[Group],$B26)</f>
        <v/>
      </c>
      <c r="K26" s="13">
        <f>-SUMIFS(tblTxn[View Amount],tblTxn[Month],K$4,tblTxn[Group],$B26)</f>
        <v/>
      </c>
      <c r="L26" s="13">
        <f>-SUMIFS(tblTxn[View Amount],tblTxn[Month],L$4,tblTxn[Group],$B26)</f>
        <v/>
      </c>
      <c r="M26" s="13">
        <f>-SUMIFS(tblTxn[View Amount],tblTxn[Month],M$4,tblTxn[Group],$B26)</f>
        <v/>
      </c>
      <c r="N26" s="13">
        <f>-SUMIFS(tblTxn[View Amount],tblTxn[Month],N$4,tblTxn[Group],$B26)</f>
        <v/>
      </c>
      <c r="O26" s="15">
        <f>SUM(C26:N26)</f>
        <v/>
      </c>
    </row>
    <row r="28" ht="20" customHeight="1">
      <c r="B28" s="6" t="inlineStr">
        <is>
          <t xml:space="preserve">  By category (income positive, spending positive)</t>
        </is>
      </c>
    </row>
    <row r="29">
      <c r="B29" s="7">
        <f>IFERROR(INDEX(tblCategories[Category],1),"")</f>
        <v/>
      </c>
      <c r="C29" s="13">
        <f>IF($B29="","",SUMIFS(tblTxn[View Amount],tblTxn[Month],C$4,tblTxn[Category],$B29)*$P29)</f>
        <v/>
      </c>
      <c r="D29" s="13">
        <f>IF($B29="","",SUMIFS(tblTxn[View Amount],tblTxn[Month],D$4,tblTxn[Category],$B29)*$P29)</f>
        <v/>
      </c>
      <c r="E29" s="13">
        <f>IF($B29="","",SUMIFS(tblTxn[View Amount],tblTxn[Month],E$4,tblTxn[Category],$B29)*$P29)</f>
        <v/>
      </c>
      <c r="F29" s="13">
        <f>IF($B29="","",SUMIFS(tblTxn[View Amount],tblTxn[Month],F$4,tblTxn[Category],$B29)*$P29)</f>
        <v/>
      </c>
      <c r="G29" s="13">
        <f>IF($B29="","",SUMIFS(tblTxn[View Amount],tblTxn[Month],G$4,tblTxn[Category],$B29)*$P29)</f>
        <v/>
      </c>
      <c r="H29" s="13">
        <f>IF($B29="","",SUMIFS(tblTxn[View Amount],tblTxn[Month],H$4,tblTxn[Category],$B29)*$P29)</f>
        <v/>
      </c>
      <c r="I29" s="13">
        <f>IF($B29="","",SUMIFS(tblTxn[View Amount],tblTxn[Month],I$4,tblTxn[Category],$B29)*$P29)</f>
        <v/>
      </c>
      <c r="J29" s="13">
        <f>IF($B29="","",SUMIFS(tblTxn[View Amount],tblTxn[Month],J$4,tblTxn[Category],$B29)*$P29)</f>
        <v/>
      </c>
      <c r="K29" s="13">
        <f>IF($B29="","",SUMIFS(tblTxn[View Amount],tblTxn[Month],K$4,tblTxn[Category],$B29)*$P29)</f>
        <v/>
      </c>
      <c r="L29" s="13">
        <f>IF($B29="","",SUMIFS(tblTxn[View Amount],tblTxn[Month],L$4,tblTxn[Category],$B29)*$P29)</f>
        <v/>
      </c>
      <c r="M29" s="13">
        <f>IF($B29="","",SUMIFS(tblTxn[View Amount],tblTxn[Month],M$4,tblTxn[Category],$B29)*$P29)</f>
        <v/>
      </c>
      <c r="N29" s="13">
        <f>IF($B29="","",SUMIFS(tblTxn[View Amount],tblTxn[Month],N$4,tblTxn[Category],$B29)*$P29)</f>
        <v/>
      </c>
      <c r="O29" s="15">
        <f>IF($B29="","",SUM(C29:N29))</f>
        <v/>
      </c>
      <c r="P29">
        <f>IF($B29="",0,IFERROR(IF(INDEX(tblCategories[Type],MATCH($B29,tblCategories[Category],0))="Income",1,-1),-1))</f>
        <v/>
      </c>
      <c r="Q29">
        <f>IF(AND($B29&lt;&gt;"",$P29&lt;&gt;1,N($N29)&gt;0),$N29+ROW()/1E+7,-1)</f>
        <v/>
      </c>
    </row>
    <row r="30">
      <c r="B30" s="7">
        <f>IFERROR(INDEX(tblCategories[Category],2),"")</f>
        <v/>
      </c>
      <c r="C30" s="13">
        <f>IF($B30="","",SUMIFS(tblTxn[View Amount],tblTxn[Month],C$4,tblTxn[Category],$B30)*$P30)</f>
        <v/>
      </c>
      <c r="D30" s="13">
        <f>IF($B30="","",SUMIFS(tblTxn[View Amount],tblTxn[Month],D$4,tblTxn[Category],$B30)*$P30)</f>
        <v/>
      </c>
      <c r="E30" s="13">
        <f>IF($B30="","",SUMIFS(tblTxn[View Amount],tblTxn[Month],E$4,tblTxn[Category],$B30)*$P30)</f>
        <v/>
      </c>
      <c r="F30" s="13">
        <f>IF($B30="","",SUMIFS(tblTxn[View Amount],tblTxn[Month],F$4,tblTxn[Category],$B30)*$P30)</f>
        <v/>
      </c>
      <c r="G30" s="13">
        <f>IF($B30="","",SUMIFS(tblTxn[View Amount],tblTxn[Month],G$4,tblTxn[Category],$B30)*$P30)</f>
        <v/>
      </c>
      <c r="H30" s="13">
        <f>IF($B30="","",SUMIFS(tblTxn[View Amount],tblTxn[Month],H$4,tblTxn[Category],$B30)*$P30)</f>
        <v/>
      </c>
      <c r="I30" s="13">
        <f>IF($B30="","",SUMIFS(tblTxn[View Amount],tblTxn[Month],I$4,tblTxn[Category],$B30)*$P30)</f>
        <v/>
      </c>
      <c r="J30" s="13">
        <f>IF($B30="","",SUMIFS(tblTxn[View Amount],tblTxn[Month],J$4,tblTxn[Category],$B30)*$P30)</f>
        <v/>
      </c>
      <c r="K30" s="13">
        <f>IF($B30="","",SUMIFS(tblTxn[View Amount],tblTxn[Month],K$4,tblTxn[Category],$B30)*$P30)</f>
        <v/>
      </c>
      <c r="L30" s="13">
        <f>IF($B30="","",SUMIFS(tblTxn[View Amount],tblTxn[Month],L$4,tblTxn[Category],$B30)*$P30)</f>
        <v/>
      </c>
      <c r="M30" s="13">
        <f>IF($B30="","",SUMIFS(tblTxn[View Amount],tblTxn[Month],M$4,tblTxn[Category],$B30)*$P30)</f>
        <v/>
      </c>
      <c r="N30" s="13">
        <f>IF($B30="","",SUMIFS(tblTxn[View Amount],tblTxn[Month],N$4,tblTxn[Category],$B30)*$P30)</f>
        <v/>
      </c>
      <c r="O30" s="15">
        <f>IF($B30="","",SUM(C30:N30))</f>
        <v/>
      </c>
      <c r="P30">
        <f>IF($B30="",0,IFERROR(IF(INDEX(tblCategories[Type],MATCH($B30,tblCategories[Category],0))="Income",1,-1),-1))</f>
        <v/>
      </c>
      <c r="Q30">
        <f>IF(AND($B30&lt;&gt;"",$P30&lt;&gt;1,N($N30)&gt;0),$N30+ROW()/1E+7,-1)</f>
        <v/>
      </c>
    </row>
    <row r="31">
      <c r="B31" s="7">
        <f>IFERROR(INDEX(tblCategories[Category],3),"")</f>
        <v/>
      </c>
      <c r="C31" s="13">
        <f>IF($B31="","",SUMIFS(tblTxn[View Amount],tblTxn[Month],C$4,tblTxn[Category],$B31)*$P31)</f>
        <v/>
      </c>
      <c r="D31" s="13">
        <f>IF($B31="","",SUMIFS(tblTxn[View Amount],tblTxn[Month],D$4,tblTxn[Category],$B31)*$P31)</f>
        <v/>
      </c>
      <c r="E31" s="13">
        <f>IF($B31="","",SUMIFS(tblTxn[View Amount],tblTxn[Month],E$4,tblTxn[Category],$B31)*$P31)</f>
        <v/>
      </c>
      <c r="F31" s="13">
        <f>IF($B31="","",SUMIFS(tblTxn[View Amount],tblTxn[Month],F$4,tblTxn[Category],$B31)*$P31)</f>
        <v/>
      </c>
      <c r="G31" s="13">
        <f>IF($B31="","",SUMIFS(tblTxn[View Amount],tblTxn[Month],G$4,tblTxn[Category],$B31)*$P31)</f>
        <v/>
      </c>
      <c r="H31" s="13">
        <f>IF($B31="","",SUMIFS(tblTxn[View Amount],tblTxn[Month],H$4,tblTxn[Category],$B31)*$P31)</f>
        <v/>
      </c>
      <c r="I31" s="13">
        <f>IF($B31="","",SUMIFS(tblTxn[View Amount],tblTxn[Month],I$4,tblTxn[Category],$B31)*$P31)</f>
        <v/>
      </c>
      <c r="J31" s="13">
        <f>IF($B31="","",SUMIFS(tblTxn[View Amount],tblTxn[Month],J$4,tblTxn[Category],$B31)*$P31)</f>
        <v/>
      </c>
      <c r="K31" s="13">
        <f>IF($B31="","",SUMIFS(tblTxn[View Amount],tblTxn[Month],K$4,tblTxn[Category],$B31)*$P31)</f>
        <v/>
      </c>
      <c r="L31" s="13">
        <f>IF($B31="","",SUMIFS(tblTxn[View Amount],tblTxn[Month],L$4,tblTxn[Category],$B31)*$P31)</f>
        <v/>
      </c>
      <c r="M31" s="13">
        <f>IF($B31="","",SUMIFS(tblTxn[View Amount],tblTxn[Month],M$4,tblTxn[Category],$B31)*$P31)</f>
        <v/>
      </c>
      <c r="N31" s="13">
        <f>IF($B31="","",SUMIFS(tblTxn[View Amount],tblTxn[Month],N$4,tblTxn[Category],$B31)*$P31)</f>
        <v/>
      </c>
      <c r="O31" s="15">
        <f>IF($B31="","",SUM(C31:N31))</f>
        <v/>
      </c>
      <c r="P31">
        <f>IF($B31="",0,IFERROR(IF(INDEX(tblCategories[Type],MATCH($B31,tblCategories[Category],0))="Income",1,-1),-1))</f>
        <v/>
      </c>
      <c r="Q31">
        <f>IF(AND($B31&lt;&gt;"",$P31&lt;&gt;1,N($N31)&gt;0),$N31+ROW()/1E+7,-1)</f>
        <v/>
      </c>
    </row>
    <row r="32">
      <c r="B32" s="7">
        <f>IFERROR(INDEX(tblCategories[Category],4),"")</f>
        <v/>
      </c>
      <c r="C32" s="13">
        <f>IF($B32="","",SUMIFS(tblTxn[View Amount],tblTxn[Month],C$4,tblTxn[Category],$B32)*$P32)</f>
        <v/>
      </c>
      <c r="D32" s="13">
        <f>IF($B32="","",SUMIFS(tblTxn[View Amount],tblTxn[Month],D$4,tblTxn[Category],$B32)*$P32)</f>
        <v/>
      </c>
      <c r="E32" s="13">
        <f>IF($B32="","",SUMIFS(tblTxn[View Amount],tblTxn[Month],E$4,tblTxn[Category],$B32)*$P32)</f>
        <v/>
      </c>
      <c r="F32" s="13">
        <f>IF($B32="","",SUMIFS(tblTxn[View Amount],tblTxn[Month],F$4,tblTxn[Category],$B32)*$P32)</f>
        <v/>
      </c>
      <c r="G32" s="13">
        <f>IF($B32="","",SUMIFS(tblTxn[View Amount],tblTxn[Month],G$4,tblTxn[Category],$B32)*$P32)</f>
        <v/>
      </c>
      <c r="H32" s="13">
        <f>IF($B32="","",SUMIFS(tblTxn[View Amount],tblTxn[Month],H$4,tblTxn[Category],$B32)*$P32)</f>
        <v/>
      </c>
      <c r="I32" s="13">
        <f>IF($B32="","",SUMIFS(tblTxn[View Amount],tblTxn[Month],I$4,tblTxn[Category],$B32)*$P32)</f>
        <v/>
      </c>
      <c r="J32" s="13">
        <f>IF($B32="","",SUMIFS(tblTxn[View Amount],tblTxn[Month],J$4,tblTxn[Category],$B32)*$P32)</f>
        <v/>
      </c>
      <c r="K32" s="13">
        <f>IF($B32="","",SUMIFS(tblTxn[View Amount],tblTxn[Month],K$4,tblTxn[Category],$B32)*$P32)</f>
        <v/>
      </c>
      <c r="L32" s="13">
        <f>IF($B32="","",SUMIFS(tblTxn[View Amount],tblTxn[Month],L$4,tblTxn[Category],$B32)*$P32)</f>
        <v/>
      </c>
      <c r="M32" s="13">
        <f>IF($B32="","",SUMIFS(tblTxn[View Amount],tblTxn[Month],M$4,tblTxn[Category],$B32)*$P32)</f>
        <v/>
      </c>
      <c r="N32" s="13">
        <f>IF($B32="","",SUMIFS(tblTxn[View Amount],tblTxn[Month],N$4,tblTxn[Category],$B32)*$P32)</f>
        <v/>
      </c>
      <c r="O32" s="15">
        <f>IF($B32="","",SUM(C32:N32))</f>
        <v/>
      </c>
      <c r="P32">
        <f>IF($B32="",0,IFERROR(IF(INDEX(tblCategories[Type],MATCH($B32,tblCategories[Category],0))="Income",1,-1),-1))</f>
        <v/>
      </c>
      <c r="Q32">
        <f>IF(AND($B32&lt;&gt;"",$P32&lt;&gt;1,N($N32)&gt;0),$N32+ROW()/1E+7,-1)</f>
        <v/>
      </c>
    </row>
    <row r="33">
      <c r="B33" s="7">
        <f>IFERROR(INDEX(tblCategories[Category],5),"")</f>
        <v/>
      </c>
      <c r="C33" s="13">
        <f>IF($B33="","",SUMIFS(tblTxn[View Amount],tblTxn[Month],C$4,tblTxn[Category],$B33)*$P33)</f>
        <v/>
      </c>
      <c r="D33" s="13">
        <f>IF($B33="","",SUMIFS(tblTxn[View Amount],tblTxn[Month],D$4,tblTxn[Category],$B33)*$P33)</f>
        <v/>
      </c>
      <c r="E33" s="13">
        <f>IF($B33="","",SUMIFS(tblTxn[View Amount],tblTxn[Month],E$4,tblTxn[Category],$B33)*$P33)</f>
        <v/>
      </c>
      <c r="F33" s="13">
        <f>IF($B33="","",SUMIFS(tblTxn[View Amount],tblTxn[Month],F$4,tblTxn[Category],$B33)*$P33)</f>
        <v/>
      </c>
      <c r="G33" s="13">
        <f>IF($B33="","",SUMIFS(tblTxn[View Amount],tblTxn[Month],G$4,tblTxn[Category],$B33)*$P33)</f>
        <v/>
      </c>
      <c r="H33" s="13">
        <f>IF($B33="","",SUMIFS(tblTxn[View Amount],tblTxn[Month],H$4,tblTxn[Category],$B33)*$P33)</f>
        <v/>
      </c>
      <c r="I33" s="13">
        <f>IF($B33="","",SUMIFS(tblTxn[View Amount],tblTxn[Month],I$4,tblTxn[Category],$B33)*$P33)</f>
        <v/>
      </c>
      <c r="J33" s="13">
        <f>IF($B33="","",SUMIFS(tblTxn[View Amount],tblTxn[Month],J$4,tblTxn[Category],$B33)*$P33)</f>
        <v/>
      </c>
      <c r="K33" s="13">
        <f>IF($B33="","",SUMIFS(tblTxn[View Amount],tblTxn[Month],K$4,tblTxn[Category],$B33)*$P33)</f>
        <v/>
      </c>
      <c r="L33" s="13">
        <f>IF($B33="","",SUMIFS(tblTxn[View Amount],tblTxn[Month],L$4,tblTxn[Category],$B33)*$P33)</f>
        <v/>
      </c>
      <c r="M33" s="13">
        <f>IF($B33="","",SUMIFS(tblTxn[View Amount],tblTxn[Month],M$4,tblTxn[Category],$B33)*$P33)</f>
        <v/>
      </c>
      <c r="N33" s="13">
        <f>IF($B33="","",SUMIFS(tblTxn[View Amount],tblTxn[Month],N$4,tblTxn[Category],$B33)*$P33)</f>
        <v/>
      </c>
      <c r="O33" s="15">
        <f>IF($B33="","",SUM(C33:N33))</f>
        <v/>
      </c>
      <c r="P33">
        <f>IF($B33="",0,IFERROR(IF(INDEX(tblCategories[Type],MATCH($B33,tblCategories[Category],0))="Income",1,-1),-1))</f>
        <v/>
      </c>
      <c r="Q33">
        <f>IF(AND($B33&lt;&gt;"",$P33&lt;&gt;1,N($N33)&gt;0),$N33+ROW()/1E+7,-1)</f>
        <v/>
      </c>
    </row>
    <row r="34">
      <c r="B34" s="7">
        <f>IFERROR(INDEX(tblCategories[Category],6),"")</f>
        <v/>
      </c>
      <c r="C34" s="13">
        <f>IF($B34="","",SUMIFS(tblTxn[View Amount],tblTxn[Month],C$4,tblTxn[Category],$B34)*$P34)</f>
        <v/>
      </c>
      <c r="D34" s="13">
        <f>IF($B34="","",SUMIFS(tblTxn[View Amount],tblTxn[Month],D$4,tblTxn[Category],$B34)*$P34)</f>
        <v/>
      </c>
      <c r="E34" s="13">
        <f>IF($B34="","",SUMIFS(tblTxn[View Amount],tblTxn[Month],E$4,tblTxn[Category],$B34)*$P34)</f>
        <v/>
      </c>
      <c r="F34" s="13">
        <f>IF($B34="","",SUMIFS(tblTxn[View Amount],tblTxn[Month],F$4,tblTxn[Category],$B34)*$P34)</f>
        <v/>
      </c>
      <c r="G34" s="13">
        <f>IF($B34="","",SUMIFS(tblTxn[View Amount],tblTxn[Month],G$4,tblTxn[Category],$B34)*$P34)</f>
        <v/>
      </c>
      <c r="H34" s="13">
        <f>IF($B34="","",SUMIFS(tblTxn[View Amount],tblTxn[Month],H$4,tblTxn[Category],$B34)*$P34)</f>
        <v/>
      </c>
      <c r="I34" s="13">
        <f>IF($B34="","",SUMIFS(tblTxn[View Amount],tblTxn[Month],I$4,tblTxn[Category],$B34)*$P34)</f>
        <v/>
      </c>
      <c r="J34" s="13">
        <f>IF($B34="","",SUMIFS(tblTxn[View Amount],tblTxn[Month],J$4,tblTxn[Category],$B34)*$P34)</f>
        <v/>
      </c>
      <c r="K34" s="13">
        <f>IF($B34="","",SUMIFS(tblTxn[View Amount],tblTxn[Month],K$4,tblTxn[Category],$B34)*$P34)</f>
        <v/>
      </c>
      <c r="L34" s="13">
        <f>IF($B34="","",SUMIFS(tblTxn[View Amount],tblTxn[Month],L$4,tblTxn[Category],$B34)*$P34)</f>
        <v/>
      </c>
      <c r="M34" s="13">
        <f>IF($B34="","",SUMIFS(tblTxn[View Amount],tblTxn[Month],M$4,tblTxn[Category],$B34)*$P34)</f>
        <v/>
      </c>
      <c r="N34" s="13">
        <f>IF($B34="","",SUMIFS(tblTxn[View Amount],tblTxn[Month],N$4,tblTxn[Category],$B34)*$P34)</f>
        <v/>
      </c>
      <c r="O34" s="15">
        <f>IF($B34="","",SUM(C34:N34))</f>
        <v/>
      </c>
      <c r="P34">
        <f>IF($B34="",0,IFERROR(IF(INDEX(tblCategories[Type],MATCH($B34,tblCategories[Category],0))="Income",1,-1),-1))</f>
        <v/>
      </c>
      <c r="Q34">
        <f>IF(AND($B34&lt;&gt;"",$P34&lt;&gt;1,N($N34)&gt;0),$N34+ROW()/1E+7,-1)</f>
        <v/>
      </c>
    </row>
    <row r="35">
      <c r="B35" s="7">
        <f>IFERROR(INDEX(tblCategories[Category],7),"")</f>
        <v/>
      </c>
      <c r="C35" s="13">
        <f>IF($B35="","",SUMIFS(tblTxn[View Amount],tblTxn[Month],C$4,tblTxn[Category],$B35)*$P35)</f>
        <v/>
      </c>
      <c r="D35" s="13">
        <f>IF($B35="","",SUMIFS(tblTxn[View Amount],tblTxn[Month],D$4,tblTxn[Category],$B35)*$P35)</f>
        <v/>
      </c>
      <c r="E35" s="13">
        <f>IF($B35="","",SUMIFS(tblTxn[View Amount],tblTxn[Month],E$4,tblTxn[Category],$B35)*$P35)</f>
        <v/>
      </c>
      <c r="F35" s="13">
        <f>IF($B35="","",SUMIFS(tblTxn[View Amount],tblTxn[Month],F$4,tblTxn[Category],$B35)*$P35)</f>
        <v/>
      </c>
      <c r="G35" s="13">
        <f>IF($B35="","",SUMIFS(tblTxn[View Amount],tblTxn[Month],G$4,tblTxn[Category],$B35)*$P35)</f>
        <v/>
      </c>
      <c r="H35" s="13">
        <f>IF($B35="","",SUMIFS(tblTxn[View Amount],tblTxn[Month],H$4,tblTxn[Category],$B35)*$P35)</f>
        <v/>
      </c>
      <c r="I35" s="13">
        <f>IF($B35="","",SUMIFS(tblTxn[View Amount],tblTxn[Month],I$4,tblTxn[Category],$B35)*$P35)</f>
        <v/>
      </c>
      <c r="J35" s="13">
        <f>IF($B35="","",SUMIFS(tblTxn[View Amount],tblTxn[Month],J$4,tblTxn[Category],$B35)*$P35)</f>
        <v/>
      </c>
      <c r="K35" s="13">
        <f>IF($B35="","",SUMIFS(tblTxn[View Amount],tblTxn[Month],K$4,tblTxn[Category],$B35)*$P35)</f>
        <v/>
      </c>
      <c r="L35" s="13">
        <f>IF($B35="","",SUMIFS(tblTxn[View Amount],tblTxn[Month],L$4,tblTxn[Category],$B35)*$P35)</f>
        <v/>
      </c>
      <c r="M35" s="13">
        <f>IF($B35="","",SUMIFS(tblTxn[View Amount],tblTxn[Month],M$4,tblTxn[Category],$B35)*$P35)</f>
        <v/>
      </c>
      <c r="N35" s="13">
        <f>IF($B35="","",SUMIFS(tblTxn[View Amount],tblTxn[Month],N$4,tblTxn[Category],$B35)*$P35)</f>
        <v/>
      </c>
      <c r="O35" s="15">
        <f>IF($B35="","",SUM(C35:N35))</f>
        <v/>
      </c>
      <c r="P35">
        <f>IF($B35="",0,IFERROR(IF(INDEX(tblCategories[Type],MATCH($B35,tblCategories[Category],0))="Income",1,-1),-1))</f>
        <v/>
      </c>
      <c r="Q35">
        <f>IF(AND($B35&lt;&gt;"",$P35&lt;&gt;1,N($N35)&gt;0),$N35+ROW()/1E+7,-1)</f>
        <v/>
      </c>
    </row>
    <row r="36">
      <c r="B36" s="7">
        <f>IFERROR(INDEX(tblCategories[Category],8),"")</f>
        <v/>
      </c>
      <c r="C36" s="13">
        <f>IF($B36="","",SUMIFS(tblTxn[View Amount],tblTxn[Month],C$4,tblTxn[Category],$B36)*$P36)</f>
        <v/>
      </c>
      <c r="D36" s="13">
        <f>IF($B36="","",SUMIFS(tblTxn[View Amount],tblTxn[Month],D$4,tblTxn[Category],$B36)*$P36)</f>
        <v/>
      </c>
      <c r="E36" s="13">
        <f>IF($B36="","",SUMIFS(tblTxn[View Amount],tblTxn[Month],E$4,tblTxn[Category],$B36)*$P36)</f>
        <v/>
      </c>
      <c r="F36" s="13">
        <f>IF($B36="","",SUMIFS(tblTxn[View Amount],tblTxn[Month],F$4,tblTxn[Category],$B36)*$P36)</f>
        <v/>
      </c>
      <c r="G36" s="13">
        <f>IF($B36="","",SUMIFS(tblTxn[View Amount],tblTxn[Month],G$4,tblTxn[Category],$B36)*$P36)</f>
        <v/>
      </c>
      <c r="H36" s="13">
        <f>IF($B36="","",SUMIFS(tblTxn[View Amount],tblTxn[Month],H$4,tblTxn[Category],$B36)*$P36)</f>
        <v/>
      </c>
      <c r="I36" s="13">
        <f>IF($B36="","",SUMIFS(tblTxn[View Amount],tblTxn[Month],I$4,tblTxn[Category],$B36)*$P36)</f>
        <v/>
      </c>
      <c r="J36" s="13">
        <f>IF($B36="","",SUMIFS(tblTxn[View Amount],tblTxn[Month],J$4,tblTxn[Category],$B36)*$P36)</f>
        <v/>
      </c>
      <c r="K36" s="13">
        <f>IF($B36="","",SUMIFS(tblTxn[View Amount],tblTxn[Month],K$4,tblTxn[Category],$B36)*$P36)</f>
        <v/>
      </c>
      <c r="L36" s="13">
        <f>IF($B36="","",SUMIFS(tblTxn[View Amount],tblTxn[Month],L$4,tblTxn[Category],$B36)*$P36)</f>
        <v/>
      </c>
      <c r="M36" s="13">
        <f>IF($B36="","",SUMIFS(tblTxn[View Amount],tblTxn[Month],M$4,tblTxn[Category],$B36)*$P36)</f>
        <v/>
      </c>
      <c r="N36" s="13">
        <f>IF($B36="","",SUMIFS(tblTxn[View Amount],tblTxn[Month],N$4,tblTxn[Category],$B36)*$P36)</f>
        <v/>
      </c>
      <c r="O36" s="15">
        <f>IF($B36="","",SUM(C36:N36))</f>
        <v/>
      </c>
      <c r="P36">
        <f>IF($B36="",0,IFERROR(IF(INDEX(tblCategories[Type],MATCH($B36,tblCategories[Category],0))="Income",1,-1),-1))</f>
        <v/>
      </c>
      <c r="Q36">
        <f>IF(AND($B36&lt;&gt;"",$P36&lt;&gt;1,N($N36)&gt;0),$N36+ROW()/1E+7,-1)</f>
        <v/>
      </c>
    </row>
    <row r="37">
      <c r="B37" s="7">
        <f>IFERROR(INDEX(tblCategories[Category],9),"")</f>
        <v/>
      </c>
      <c r="C37" s="13">
        <f>IF($B37="","",SUMIFS(tblTxn[View Amount],tblTxn[Month],C$4,tblTxn[Category],$B37)*$P37)</f>
        <v/>
      </c>
      <c r="D37" s="13">
        <f>IF($B37="","",SUMIFS(tblTxn[View Amount],tblTxn[Month],D$4,tblTxn[Category],$B37)*$P37)</f>
        <v/>
      </c>
      <c r="E37" s="13">
        <f>IF($B37="","",SUMIFS(tblTxn[View Amount],tblTxn[Month],E$4,tblTxn[Category],$B37)*$P37)</f>
        <v/>
      </c>
      <c r="F37" s="13">
        <f>IF($B37="","",SUMIFS(tblTxn[View Amount],tblTxn[Month],F$4,tblTxn[Category],$B37)*$P37)</f>
        <v/>
      </c>
      <c r="G37" s="13">
        <f>IF($B37="","",SUMIFS(tblTxn[View Amount],tblTxn[Month],G$4,tblTxn[Category],$B37)*$P37)</f>
        <v/>
      </c>
      <c r="H37" s="13">
        <f>IF($B37="","",SUMIFS(tblTxn[View Amount],tblTxn[Month],H$4,tblTxn[Category],$B37)*$P37)</f>
        <v/>
      </c>
      <c r="I37" s="13">
        <f>IF($B37="","",SUMIFS(tblTxn[View Amount],tblTxn[Month],I$4,tblTxn[Category],$B37)*$P37)</f>
        <v/>
      </c>
      <c r="J37" s="13">
        <f>IF($B37="","",SUMIFS(tblTxn[View Amount],tblTxn[Month],J$4,tblTxn[Category],$B37)*$P37)</f>
        <v/>
      </c>
      <c r="K37" s="13">
        <f>IF($B37="","",SUMIFS(tblTxn[View Amount],tblTxn[Month],K$4,tblTxn[Category],$B37)*$P37)</f>
        <v/>
      </c>
      <c r="L37" s="13">
        <f>IF($B37="","",SUMIFS(tblTxn[View Amount],tblTxn[Month],L$4,tblTxn[Category],$B37)*$P37)</f>
        <v/>
      </c>
      <c r="M37" s="13">
        <f>IF($B37="","",SUMIFS(tblTxn[View Amount],tblTxn[Month],M$4,tblTxn[Category],$B37)*$P37)</f>
        <v/>
      </c>
      <c r="N37" s="13">
        <f>IF($B37="","",SUMIFS(tblTxn[View Amount],tblTxn[Month],N$4,tblTxn[Category],$B37)*$P37)</f>
        <v/>
      </c>
      <c r="O37" s="15">
        <f>IF($B37="","",SUM(C37:N37))</f>
        <v/>
      </c>
      <c r="P37">
        <f>IF($B37="",0,IFERROR(IF(INDEX(tblCategories[Type],MATCH($B37,tblCategories[Category],0))="Income",1,-1),-1))</f>
        <v/>
      </c>
      <c r="Q37">
        <f>IF(AND($B37&lt;&gt;"",$P37&lt;&gt;1,N($N37)&gt;0),$N37+ROW()/1E+7,-1)</f>
        <v/>
      </c>
    </row>
    <row r="38">
      <c r="B38" s="7">
        <f>IFERROR(INDEX(tblCategories[Category],10),"")</f>
        <v/>
      </c>
      <c r="C38" s="13">
        <f>IF($B38="","",SUMIFS(tblTxn[View Amount],tblTxn[Month],C$4,tblTxn[Category],$B38)*$P38)</f>
        <v/>
      </c>
      <c r="D38" s="13">
        <f>IF($B38="","",SUMIFS(tblTxn[View Amount],tblTxn[Month],D$4,tblTxn[Category],$B38)*$P38)</f>
        <v/>
      </c>
      <c r="E38" s="13">
        <f>IF($B38="","",SUMIFS(tblTxn[View Amount],tblTxn[Month],E$4,tblTxn[Category],$B38)*$P38)</f>
        <v/>
      </c>
      <c r="F38" s="13">
        <f>IF($B38="","",SUMIFS(tblTxn[View Amount],tblTxn[Month],F$4,tblTxn[Category],$B38)*$P38)</f>
        <v/>
      </c>
      <c r="G38" s="13">
        <f>IF($B38="","",SUMIFS(tblTxn[View Amount],tblTxn[Month],G$4,tblTxn[Category],$B38)*$P38)</f>
        <v/>
      </c>
      <c r="H38" s="13">
        <f>IF($B38="","",SUMIFS(tblTxn[View Amount],tblTxn[Month],H$4,tblTxn[Category],$B38)*$P38)</f>
        <v/>
      </c>
      <c r="I38" s="13">
        <f>IF($B38="","",SUMIFS(tblTxn[View Amount],tblTxn[Month],I$4,tblTxn[Category],$B38)*$P38)</f>
        <v/>
      </c>
      <c r="J38" s="13">
        <f>IF($B38="","",SUMIFS(tblTxn[View Amount],tblTxn[Month],J$4,tblTxn[Category],$B38)*$P38)</f>
        <v/>
      </c>
      <c r="K38" s="13">
        <f>IF($B38="","",SUMIFS(tblTxn[View Amount],tblTxn[Month],K$4,tblTxn[Category],$B38)*$P38)</f>
        <v/>
      </c>
      <c r="L38" s="13">
        <f>IF($B38="","",SUMIFS(tblTxn[View Amount],tblTxn[Month],L$4,tblTxn[Category],$B38)*$P38)</f>
        <v/>
      </c>
      <c r="M38" s="13">
        <f>IF($B38="","",SUMIFS(tblTxn[View Amount],tblTxn[Month],M$4,tblTxn[Category],$B38)*$P38)</f>
        <v/>
      </c>
      <c r="N38" s="13">
        <f>IF($B38="","",SUMIFS(tblTxn[View Amount],tblTxn[Month],N$4,tblTxn[Category],$B38)*$P38)</f>
        <v/>
      </c>
      <c r="O38" s="15">
        <f>IF($B38="","",SUM(C38:N38))</f>
        <v/>
      </c>
      <c r="P38">
        <f>IF($B38="",0,IFERROR(IF(INDEX(tblCategories[Type],MATCH($B38,tblCategories[Category],0))="Income",1,-1),-1))</f>
        <v/>
      </c>
      <c r="Q38">
        <f>IF(AND($B38&lt;&gt;"",$P38&lt;&gt;1,N($N38)&gt;0),$N38+ROW()/1E+7,-1)</f>
        <v/>
      </c>
    </row>
    <row r="39">
      <c r="B39" s="7">
        <f>IFERROR(INDEX(tblCategories[Category],11),"")</f>
        <v/>
      </c>
      <c r="C39" s="13">
        <f>IF($B39="","",SUMIFS(tblTxn[View Amount],tblTxn[Month],C$4,tblTxn[Category],$B39)*$P39)</f>
        <v/>
      </c>
      <c r="D39" s="13">
        <f>IF($B39="","",SUMIFS(tblTxn[View Amount],tblTxn[Month],D$4,tblTxn[Category],$B39)*$P39)</f>
        <v/>
      </c>
      <c r="E39" s="13">
        <f>IF($B39="","",SUMIFS(tblTxn[View Amount],tblTxn[Month],E$4,tblTxn[Category],$B39)*$P39)</f>
        <v/>
      </c>
      <c r="F39" s="13">
        <f>IF($B39="","",SUMIFS(tblTxn[View Amount],tblTxn[Month],F$4,tblTxn[Category],$B39)*$P39)</f>
        <v/>
      </c>
      <c r="G39" s="13">
        <f>IF($B39="","",SUMIFS(tblTxn[View Amount],tblTxn[Month],G$4,tblTxn[Category],$B39)*$P39)</f>
        <v/>
      </c>
      <c r="H39" s="13">
        <f>IF($B39="","",SUMIFS(tblTxn[View Amount],tblTxn[Month],H$4,tblTxn[Category],$B39)*$P39)</f>
        <v/>
      </c>
      <c r="I39" s="13">
        <f>IF($B39="","",SUMIFS(tblTxn[View Amount],tblTxn[Month],I$4,tblTxn[Category],$B39)*$P39)</f>
        <v/>
      </c>
      <c r="J39" s="13">
        <f>IF($B39="","",SUMIFS(tblTxn[View Amount],tblTxn[Month],J$4,tblTxn[Category],$B39)*$P39)</f>
        <v/>
      </c>
      <c r="K39" s="13">
        <f>IF($B39="","",SUMIFS(tblTxn[View Amount],tblTxn[Month],K$4,tblTxn[Category],$B39)*$P39)</f>
        <v/>
      </c>
      <c r="L39" s="13">
        <f>IF($B39="","",SUMIFS(tblTxn[View Amount],tblTxn[Month],L$4,tblTxn[Category],$B39)*$P39)</f>
        <v/>
      </c>
      <c r="M39" s="13">
        <f>IF($B39="","",SUMIFS(tblTxn[View Amount],tblTxn[Month],M$4,tblTxn[Category],$B39)*$P39)</f>
        <v/>
      </c>
      <c r="N39" s="13">
        <f>IF($B39="","",SUMIFS(tblTxn[View Amount],tblTxn[Month],N$4,tblTxn[Category],$B39)*$P39)</f>
        <v/>
      </c>
      <c r="O39" s="15">
        <f>IF($B39="","",SUM(C39:N39))</f>
        <v/>
      </c>
      <c r="P39">
        <f>IF($B39="",0,IFERROR(IF(INDEX(tblCategories[Type],MATCH($B39,tblCategories[Category],0))="Income",1,-1),-1))</f>
        <v/>
      </c>
      <c r="Q39">
        <f>IF(AND($B39&lt;&gt;"",$P39&lt;&gt;1,N($N39)&gt;0),$N39+ROW()/1E+7,-1)</f>
        <v/>
      </c>
    </row>
    <row r="40">
      <c r="B40" s="7">
        <f>IFERROR(INDEX(tblCategories[Category],12),"")</f>
        <v/>
      </c>
      <c r="C40" s="13">
        <f>IF($B40="","",SUMIFS(tblTxn[View Amount],tblTxn[Month],C$4,tblTxn[Category],$B40)*$P40)</f>
        <v/>
      </c>
      <c r="D40" s="13">
        <f>IF($B40="","",SUMIFS(tblTxn[View Amount],tblTxn[Month],D$4,tblTxn[Category],$B40)*$P40)</f>
        <v/>
      </c>
      <c r="E40" s="13">
        <f>IF($B40="","",SUMIFS(tblTxn[View Amount],tblTxn[Month],E$4,tblTxn[Category],$B40)*$P40)</f>
        <v/>
      </c>
      <c r="F40" s="13">
        <f>IF($B40="","",SUMIFS(tblTxn[View Amount],tblTxn[Month],F$4,tblTxn[Category],$B40)*$P40)</f>
        <v/>
      </c>
      <c r="G40" s="13">
        <f>IF($B40="","",SUMIFS(tblTxn[View Amount],tblTxn[Month],G$4,tblTxn[Category],$B40)*$P40)</f>
        <v/>
      </c>
      <c r="H40" s="13">
        <f>IF($B40="","",SUMIFS(tblTxn[View Amount],tblTxn[Month],H$4,tblTxn[Category],$B40)*$P40)</f>
        <v/>
      </c>
      <c r="I40" s="13">
        <f>IF($B40="","",SUMIFS(tblTxn[View Amount],tblTxn[Month],I$4,tblTxn[Category],$B40)*$P40)</f>
        <v/>
      </c>
      <c r="J40" s="13">
        <f>IF($B40="","",SUMIFS(tblTxn[View Amount],tblTxn[Month],J$4,tblTxn[Category],$B40)*$P40)</f>
        <v/>
      </c>
      <c r="K40" s="13">
        <f>IF($B40="","",SUMIFS(tblTxn[View Amount],tblTxn[Month],K$4,tblTxn[Category],$B40)*$P40)</f>
        <v/>
      </c>
      <c r="L40" s="13">
        <f>IF($B40="","",SUMIFS(tblTxn[View Amount],tblTxn[Month],L$4,tblTxn[Category],$B40)*$P40)</f>
        <v/>
      </c>
      <c r="M40" s="13">
        <f>IF($B40="","",SUMIFS(tblTxn[View Amount],tblTxn[Month],M$4,tblTxn[Category],$B40)*$P40)</f>
        <v/>
      </c>
      <c r="N40" s="13">
        <f>IF($B40="","",SUMIFS(tblTxn[View Amount],tblTxn[Month],N$4,tblTxn[Category],$B40)*$P40)</f>
        <v/>
      </c>
      <c r="O40" s="15">
        <f>IF($B40="","",SUM(C40:N40))</f>
        <v/>
      </c>
      <c r="P40">
        <f>IF($B40="",0,IFERROR(IF(INDEX(tblCategories[Type],MATCH($B40,tblCategories[Category],0))="Income",1,-1),-1))</f>
        <v/>
      </c>
      <c r="Q40">
        <f>IF(AND($B40&lt;&gt;"",$P40&lt;&gt;1,N($N40)&gt;0),$N40+ROW()/1E+7,-1)</f>
        <v/>
      </c>
    </row>
    <row r="41">
      <c r="B41" s="7">
        <f>IFERROR(INDEX(tblCategories[Category],13),"")</f>
        <v/>
      </c>
      <c r="C41" s="13">
        <f>IF($B41="","",SUMIFS(tblTxn[View Amount],tblTxn[Month],C$4,tblTxn[Category],$B41)*$P41)</f>
        <v/>
      </c>
      <c r="D41" s="13">
        <f>IF($B41="","",SUMIFS(tblTxn[View Amount],tblTxn[Month],D$4,tblTxn[Category],$B41)*$P41)</f>
        <v/>
      </c>
      <c r="E41" s="13">
        <f>IF($B41="","",SUMIFS(tblTxn[View Amount],tblTxn[Month],E$4,tblTxn[Category],$B41)*$P41)</f>
        <v/>
      </c>
      <c r="F41" s="13">
        <f>IF($B41="","",SUMIFS(tblTxn[View Amount],tblTxn[Month],F$4,tblTxn[Category],$B41)*$P41)</f>
        <v/>
      </c>
      <c r="G41" s="13">
        <f>IF($B41="","",SUMIFS(tblTxn[View Amount],tblTxn[Month],G$4,tblTxn[Category],$B41)*$P41)</f>
        <v/>
      </c>
      <c r="H41" s="13">
        <f>IF($B41="","",SUMIFS(tblTxn[View Amount],tblTxn[Month],H$4,tblTxn[Category],$B41)*$P41)</f>
        <v/>
      </c>
      <c r="I41" s="13">
        <f>IF($B41="","",SUMIFS(tblTxn[View Amount],tblTxn[Month],I$4,tblTxn[Category],$B41)*$P41)</f>
        <v/>
      </c>
      <c r="J41" s="13">
        <f>IF($B41="","",SUMIFS(tblTxn[View Amount],tblTxn[Month],J$4,tblTxn[Category],$B41)*$P41)</f>
        <v/>
      </c>
      <c r="K41" s="13">
        <f>IF($B41="","",SUMIFS(tblTxn[View Amount],tblTxn[Month],K$4,tblTxn[Category],$B41)*$P41)</f>
        <v/>
      </c>
      <c r="L41" s="13">
        <f>IF($B41="","",SUMIFS(tblTxn[View Amount],tblTxn[Month],L$4,tblTxn[Category],$B41)*$P41)</f>
        <v/>
      </c>
      <c r="M41" s="13">
        <f>IF($B41="","",SUMIFS(tblTxn[View Amount],tblTxn[Month],M$4,tblTxn[Category],$B41)*$P41)</f>
        <v/>
      </c>
      <c r="N41" s="13">
        <f>IF($B41="","",SUMIFS(tblTxn[View Amount],tblTxn[Month],N$4,tblTxn[Category],$B41)*$P41)</f>
        <v/>
      </c>
      <c r="O41" s="15">
        <f>IF($B41="","",SUM(C41:N41))</f>
        <v/>
      </c>
      <c r="P41">
        <f>IF($B41="",0,IFERROR(IF(INDEX(tblCategories[Type],MATCH($B41,tblCategories[Category],0))="Income",1,-1),-1))</f>
        <v/>
      </c>
      <c r="Q41">
        <f>IF(AND($B41&lt;&gt;"",$P41&lt;&gt;1,N($N41)&gt;0),$N41+ROW()/1E+7,-1)</f>
        <v/>
      </c>
    </row>
    <row r="42">
      <c r="B42" s="7">
        <f>IFERROR(INDEX(tblCategories[Category],14),"")</f>
        <v/>
      </c>
      <c r="C42" s="13">
        <f>IF($B42="","",SUMIFS(tblTxn[View Amount],tblTxn[Month],C$4,tblTxn[Category],$B42)*$P42)</f>
        <v/>
      </c>
      <c r="D42" s="13">
        <f>IF($B42="","",SUMIFS(tblTxn[View Amount],tblTxn[Month],D$4,tblTxn[Category],$B42)*$P42)</f>
        <v/>
      </c>
      <c r="E42" s="13">
        <f>IF($B42="","",SUMIFS(tblTxn[View Amount],tblTxn[Month],E$4,tblTxn[Category],$B42)*$P42)</f>
        <v/>
      </c>
      <c r="F42" s="13">
        <f>IF($B42="","",SUMIFS(tblTxn[View Amount],tblTxn[Month],F$4,tblTxn[Category],$B42)*$P42)</f>
        <v/>
      </c>
      <c r="G42" s="13">
        <f>IF($B42="","",SUMIFS(tblTxn[View Amount],tblTxn[Month],G$4,tblTxn[Category],$B42)*$P42)</f>
        <v/>
      </c>
      <c r="H42" s="13">
        <f>IF($B42="","",SUMIFS(tblTxn[View Amount],tblTxn[Month],H$4,tblTxn[Category],$B42)*$P42)</f>
        <v/>
      </c>
      <c r="I42" s="13">
        <f>IF($B42="","",SUMIFS(tblTxn[View Amount],tblTxn[Month],I$4,tblTxn[Category],$B42)*$P42)</f>
        <v/>
      </c>
      <c r="J42" s="13">
        <f>IF($B42="","",SUMIFS(tblTxn[View Amount],tblTxn[Month],J$4,tblTxn[Category],$B42)*$P42)</f>
        <v/>
      </c>
      <c r="K42" s="13">
        <f>IF($B42="","",SUMIFS(tblTxn[View Amount],tblTxn[Month],K$4,tblTxn[Category],$B42)*$P42)</f>
        <v/>
      </c>
      <c r="L42" s="13">
        <f>IF($B42="","",SUMIFS(tblTxn[View Amount],tblTxn[Month],L$4,tblTxn[Category],$B42)*$P42)</f>
        <v/>
      </c>
      <c r="M42" s="13">
        <f>IF($B42="","",SUMIFS(tblTxn[View Amount],tblTxn[Month],M$4,tblTxn[Category],$B42)*$P42)</f>
        <v/>
      </c>
      <c r="N42" s="13">
        <f>IF($B42="","",SUMIFS(tblTxn[View Amount],tblTxn[Month],N$4,tblTxn[Category],$B42)*$P42)</f>
        <v/>
      </c>
      <c r="O42" s="15">
        <f>IF($B42="","",SUM(C42:N42))</f>
        <v/>
      </c>
      <c r="P42">
        <f>IF($B42="",0,IFERROR(IF(INDEX(tblCategories[Type],MATCH($B42,tblCategories[Category],0))="Income",1,-1),-1))</f>
        <v/>
      </c>
      <c r="Q42">
        <f>IF(AND($B42&lt;&gt;"",$P42&lt;&gt;1,N($N42)&gt;0),$N42+ROW()/1E+7,-1)</f>
        <v/>
      </c>
    </row>
    <row r="43">
      <c r="B43" s="7">
        <f>IFERROR(INDEX(tblCategories[Category],15),"")</f>
        <v/>
      </c>
      <c r="C43" s="13">
        <f>IF($B43="","",SUMIFS(tblTxn[View Amount],tblTxn[Month],C$4,tblTxn[Category],$B43)*$P43)</f>
        <v/>
      </c>
      <c r="D43" s="13">
        <f>IF($B43="","",SUMIFS(tblTxn[View Amount],tblTxn[Month],D$4,tblTxn[Category],$B43)*$P43)</f>
        <v/>
      </c>
      <c r="E43" s="13">
        <f>IF($B43="","",SUMIFS(tblTxn[View Amount],tblTxn[Month],E$4,tblTxn[Category],$B43)*$P43)</f>
        <v/>
      </c>
      <c r="F43" s="13">
        <f>IF($B43="","",SUMIFS(tblTxn[View Amount],tblTxn[Month],F$4,tblTxn[Category],$B43)*$P43)</f>
        <v/>
      </c>
      <c r="G43" s="13">
        <f>IF($B43="","",SUMIFS(tblTxn[View Amount],tblTxn[Month],G$4,tblTxn[Category],$B43)*$P43)</f>
        <v/>
      </c>
      <c r="H43" s="13">
        <f>IF($B43="","",SUMIFS(tblTxn[View Amount],tblTxn[Month],H$4,tblTxn[Category],$B43)*$P43)</f>
        <v/>
      </c>
      <c r="I43" s="13">
        <f>IF($B43="","",SUMIFS(tblTxn[View Amount],tblTxn[Month],I$4,tblTxn[Category],$B43)*$P43)</f>
        <v/>
      </c>
      <c r="J43" s="13">
        <f>IF($B43="","",SUMIFS(tblTxn[View Amount],tblTxn[Month],J$4,tblTxn[Category],$B43)*$P43)</f>
        <v/>
      </c>
      <c r="K43" s="13">
        <f>IF($B43="","",SUMIFS(tblTxn[View Amount],tblTxn[Month],K$4,tblTxn[Category],$B43)*$P43)</f>
        <v/>
      </c>
      <c r="L43" s="13">
        <f>IF($B43="","",SUMIFS(tblTxn[View Amount],tblTxn[Month],L$4,tblTxn[Category],$B43)*$P43)</f>
        <v/>
      </c>
      <c r="M43" s="13">
        <f>IF($B43="","",SUMIFS(tblTxn[View Amount],tblTxn[Month],M$4,tblTxn[Category],$B43)*$P43)</f>
        <v/>
      </c>
      <c r="N43" s="13">
        <f>IF($B43="","",SUMIFS(tblTxn[View Amount],tblTxn[Month],N$4,tblTxn[Category],$B43)*$P43)</f>
        <v/>
      </c>
      <c r="O43" s="15">
        <f>IF($B43="","",SUM(C43:N43))</f>
        <v/>
      </c>
      <c r="P43">
        <f>IF($B43="",0,IFERROR(IF(INDEX(tblCategories[Type],MATCH($B43,tblCategories[Category],0))="Income",1,-1),-1))</f>
        <v/>
      </c>
      <c r="Q43">
        <f>IF(AND($B43&lt;&gt;"",$P43&lt;&gt;1,N($N43)&gt;0),$N43+ROW()/1E+7,-1)</f>
        <v/>
      </c>
    </row>
    <row r="44">
      <c r="B44" s="7">
        <f>IFERROR(INDEX(tblCategories[Category],16),"")</f>
        <v/>
      </c>
      <c r="C44" s="13">
        <f>IF($B44="","",SUMIFS(tblTxn[View Amount],tblTxn[Month],C$4,tblTxn[Category],$B44)*$P44)</f>
        <v/>
      </c>
      <c r="D44" s="13">
        <f>IF($B44="","",SUMIFS(tblTxn[View Amount],tblTxn[Month],D$4,tblTxn[Category],$B44)*$P44)</f>
        <v/>
      </c>
      <c r="E44" s="13">
        <f>IF($B44="","",SUMIFS(tblTxn[View Amount],tblTxn[Month],E$4,tblTxn[Category],$B44)*$P44)</f>
        <v/>
      </c>
      <c r="F44" s="13">
        <f>IF($B44="","",SUMIFS(tblTxn[View Amount],tblTxn[Month],F$4,tblTxn[Category],$B44)*$P44)</f>
        <v/>
      </c>
      <c r="G44" s="13">
        <f>IF($B44="","",SUMIFS(tblTxn[View Amount],tblTxn[Month],G$4,tblTxn[Category],$B44)*$P44)</f>
        <v/>
      </c>
      <c r="H44" s="13">
        <f>IF($B44="","",SUMIFS(tblTxn[View Amount],tblTxn[Month],H$4,tblTxn[Category],$B44)*$P44)</f>
        <v/>
      </c>
      <c r="I44" s="13">
        <f>IF($B44="","",SUMIFS(tblTxn[View Amount],tblTxn[Month],I$4,tblTxn[Category],$B44)*$P44)</f>
        <v/>
      </c>
      <c r="J44" s="13">
        <f>IF($B44="","",SUMIFS(tblTxn[View Amount],tblTxn[Month],J$4,tblTxn[Category],$B44)*$P44)</f>
        <v/>
      </c>
      <c r="K44" s="13">
        <f>IF($B44="","",SUMIFS(tblTxn[View Amount],tblTxn[Month],K$4,tblTxn[Category],$B44)*$P44)</f>
        <v/>
      </c>
      <c r="L44" s="13">
        <f>IF($B44="","",SUMIFS(tblTxn[View Amount],tblTxn[Month],L$4,tblTxn[Category],$B44)*$P44)</f>
        <v/>
      </c>
      <c r="M44" s="13">
        <f>IF($B44="","",SUMIFS(tblTxn[View Amount],tblTxn[Month],M$4,tblTxn[Category],$B44)*$P44)</f>
        <v/>
      </c>
      <c r="N44" s="13">
        <f>IF($B44="","",SUMIFS(tblTxn[View Amount],tblTxn[Month],N$4,tblTxn[Category],$B44)*$P44)</f>
        <v/>
      </c>
      <c r="O44" s="15">
        <f>IF($B44="","",SUM(C44:N44))</f>
        <v/>
      </c>
      <c r="P44">
        <f>IF($B44="",0,IFERROR(IF(INDEX(tblCategories[Type],MATCH($B44,tblCategories[Category],0))="Income",1,-1),-1))</f>
        <v/>
      </c>
      <c r="Q44">
        <f>IF(AND($B44&lt;&gt;"",$P44&lt;&gt;1,N($N44)&gt;0),$N44+ROW()/1E+7,-1)</f>
        <v/>
      </c>
    </row>
    <row r="45">
      <c r="B45" s="7">
        <f>IFERROR(INDEX(tblCategories[Category],17),"")</f>
        <v/>
      </c>
      <c r="C45" s="13">
        <f>IF($B45="","",SUMIFS(tblTxn[View Amount],tblTxn[Month],C$4,tblTxn[Category],$B45)*$P45)</f>
        <v/>
      </c>
      <c r="D45" s="13">
        <f>IF($B45="","",SUMIFS(tblTxn[View Amount],tblTxn[Month],D$4,tblTxn[Category],$B45)*$P45)</f>
        <v/>
      </c>
      <c r="E45" s="13">
        <f>IF($B45="","",SUMIFS(tblTxn[View Amount],tblTxn[Month],E$4,tblTxn[Category],$B45)*$P45)</f>
        <v/>
      </c>
      <c r="F45" s="13">
        <f>IF($B45="","",SUMIFS(tblTxn[View Amount],tblTxn[Month],F$4,tblTxn[Category],$B45)*$P45)</f>
        <v/>
      </c>
      <c r="G45" s="13">
        <f>IF($B45="","",SUMIFS(tblTxn[View Amount],tblTxn[Month],G$4,tblTxn[Category],$B45)*$P45)</f>
        <v/>
      </c>
      <c r="H45" s="13">
        <f>IF($B45="","",SUMIFS(tblTxn[View Amount],tblTxn[Month],H$4,tblTxn[Category],$B45)*$P45)</f>
        <v/>
      </c>
      <c r="I45" s="13">
        <f>IF($B45="","",SUMIFS(tblTxn[View Amount],tblTxn[Month],I$4,tblTxn[Category],$B45)*$P45)</f>
        <v/>
      </c>
      <c r="J45" s="13">
        <f>IF($B45="","",SUMIFS(tblTxn[View Amount],tblTxn[Month],J$4,tblTxn[Category],$B45)*$P45)</f>
        <v/>
      </c>
      <c r="K45" s="13">
        <f>IF($B45="","",SUMIFS(tblTxn[View Amount],tblTxn[Month],K$4,tblTxn[Category],$B45)*$P45)</f>
        <v/>
      </c>
      <c r="L45" s="13">
        <f>IF($B45="","",SUMIFS(tblTxn[View Amount],tblTxn[Month],L$4,tblTxn[Category],$B45)*$P45)</f>
        <v/>
      </c>
      <c r="M45" s="13">
        <f>IF($B45="","",SUMIFS(tblTxn[View Amount],tblTxn[Month],M$4,tblTxn[Category],$B45)*$P45)</f>
        <v/>
      </c>
      <c r="N45" s="13">
        <f>IF($B45="","",SUMIFS(tblTxn[View Amount],tblTxn[Month],N$4,tblTxn[Category],$B45)*$P45)</f>
        <v/>
      </c>
      <c r="O45" s="15">
        <f>IF($B45="","",SUM(C45:N45))</f>
        <v/>
      </c>
      <c r="P45">
        <f>IF($B45="",0,IFERROR(IF(INDEX(tblCategories[Type],MATCH($B45,tblCategories[Category],0))="Income",1,-1),-1))</f>
        <v/>
      </c>
      <c r="Q45">
        <f>IF(AND($B45&lt;&gt;"",$P45&lt;&gt;1,N($N45)&gt;0),$N45+ROW()/1E+7,-1)</f>
        <v/>
      </c>
    </row>
    <row r="46">
      <c r="B46" s="7">
        <f>IFERROR(INDEX(tblCategories[Category],18),"")</f>
        <v/>
      </c>
      <c r="C46" s="13">
        <f>IF($B46="","",SUMIFS(tblTxn[View Amount],tblTxn[Month],C$4,tblTxn[Category],$B46)*$P46)</f>
        <v/>
      </c>
      <c r="D46" s="13">
        <f>IF($B46="","",SUMIFS(tblTxn[View Amount],tblTxn[Month],D$4,tblTxn[Category],$B46)*$P46)</f>
        <v/>
      </c>
      <c r="E46" s="13">
        <f>IF($B46="","",SUMIFS(tblTxn[View Amount],tblTxn[Month],E$4,tblTxn[Category],$B46)*$P46)</f>
        <v/>
      </c>
      <c r="F46" s="13">
        <f>IF($B46="","",SUMIFS(tblTxn[View Amount],tblTxn[Month],F$4,tblTxn[Category],$B46)*$P46)</f>
        <v/>
      </c>
      <c r="G46" s="13">
        <f>IF($B46="","",SUMIFS(tblTxn[View Amount],tblTxn[Month],G$4,tblTxn[Category],$B46)*$P46)</f>
        <v/>
      </c>
      <c r="H46" s="13">
        <f>IF($B46="","",SUMIFS(tblTxn[View Amount],tblTxn[Month],H$4,tblTxn[Category],$B46)*$P46)</f>
        <v/>
      </c>
      <c r="I46" s="13">
        <f>IF($B46="","",SUMIFS(tblTxn[View Amount],tblTxn[Month],I$4,tblTxn[Category],$B46)*$P46)</f>
        <v/>
      </c>
      <c r="J46" s="13">
        <f>IF($B46="","",SUMIFS(tblTxn[View Amount],tblTxn[Month],J$4,tblTxn[Category],$B46)*$P46)</f>
        <v/>
      </c>
      <c r="K46" s="13">
        <f>IF($B46="","",SUMIFS(tblTxn[View Amount],tblTxn[Month],K$4,tblTxn[Category],$B46)*$P46)</f>
        <v/>
      </c>
      <c r="L46" s="13">
        <f>IF($B46="","",SUMIFS(tblTxn[View Amount],tblTxn[Month],L$4,tblTxn[Category],$B46)*$P46)</f>
        <v/>
      </c>
      <c r="M46" s="13">
        <f>IF($B46="","",SUMIFS(tblTxn[View Amount],tblTxn[Month],M$4,tblTxn[Category],$B46)*$P46)</f>
        <v/>
      </c>
      <c r="N46" s="13">
        <f>IF($B46="","",SUMIFS(tblTxn[View Amount],tblTxn[Month],N$4,tblTxn[Category],$B46)*$P46)</f>
        <v/>
      </c>
      <c r="O46" s="15">
        <f>IF($B46="","",SUM(C46:N46))</f>
        <v/>
      </c>
      <c r="P46">
        <f>IF($B46="",0,IFERROR(IF(INDEX(tblCategories[Type],MATCH($B46,tblCategories[Category],0))="Income",1,-1),-1))</f>
        <v/>
      </c>
      <c r="Q46">
        <f>IF(AND($B46&lt;&gt;"",$P46&lt;&gt;1,N($N46)&gt;0),$N46+ROW()/1E+7,-1)</f>
        <v/>
      </c>
    </row>
    <row r="47">
      <c r="B47" s="7">
        <f>IFERROR(INDEX(tblCategories[Category],19),"")</f>
        <v/>
      </c>
      <c r="C47" s="13">
        <f>IF($B47="","",SUMIFS(tblTxn[View Amount],tblTxn[Month],C$4,tblTxn[Category],$B47)*$P47)</f>
        <v/>
      </c>
      <c r="D47" s="13">
        <f>IF($B47="","",SUMIFS(tblTxn[View Amount],tblTxn[Month],D$4,tblTxn[Category],$B47)*$P47)</f>
        <v/>
      </c>
      <c r="E47" s="13">
        <f>IF($B47="","",SUMIFS(tblTxn[View Amount],tblTxn[Month],E$4,tblTxn[Category],$B47)*$P47)</f>
        <v/>
      </c>
      <c r="F47" s="13">
        <f>IF($B47="","",SUMIFS(tblTxn[View Amount],tblTxn[Month],F$4,tblTxn[Category],$B47)*$P47)</f>
        <v/>
      </c>
      <c r="G47" s="13">
        <f>IF($B47="","",SUMIFS(tblTxn[View Amount],tblTxn[Month],G$4,tblTxn[Category],$B47)*$P47)</f>
        <v/>
      </c>
      <c r="H47" s="13">
        <f>IF($B47="","",SUMIFS(tblTxn[View Amount],tblTxn[Month],H$4,tblTxn[Category],$B47)*$P47)</f>
        <v/>
      </c>
      <c r="I47" s="13">
        <f>IF($B47="","",SUMIFS(tblTxn[View Amount],tblTxn[Month],I$4,tblTxn[Category],$B47)*$P47)</f>
        <v/>
      </c>
      <c r="J47" s="13">
        <f>IF($B47="","",SUMIFS(tblTxn[View Amount],tblTxn[Month],J$4,tblTxn[Category],$B47)*$P47)</f>
        <v/>
      </c>
      <c r="K47" s="13">
        <f>IF($B47="","",SUMIFS(tblTxn[View Amount],tblTxn[Month],K$4,tblTxn[Category],$B47)*$P47)</f>
        <v/>
      </c>
      <c r="L47" s="13">
        <f>IF($B47="","",SUMIFS(tblTxn[View Amount],tblTxn[Month],L$4,tblTxn[Category],$B47)*$P47)</f>
        <v/>
      </c>
      <c r="M47" s="13">
        <f>IF($B47="","",SUMIFS(tblTxn[View Amount],tblTxn[Month],M$4,tblTxn[Category],$B47)*$P47)</f>
        <v/>
      </c>
      <c r="N47" s="13">
        <f>IF($B47="","",SUMIFS(tblTxn[View Amount],tblTxn[Month],N$4,tblTxn[Category],$B47)*$P47)</f>
        <v/>
      </c>
      <c r="O47" s="15">
        <f>IF($B47="","",SUM(C47:N47))</f>
        <v/>
      </c>
      <c r="P47">
        <f>IF($B47="",0,IFERROR(IF(INDEX(tblCategories[Type],MATCH($B47,tblCategories[Category],0))="Income",1,-1),-1))</f>
        <v/>
      </c>
      <c r="Q47">
        <f>IF(AND($B47&lt;&gt;"",$P47&lt;&gt;1,N($N47)&gt;0),$N47+ROW()/1E+7,-1)</f>
        <v/>
      </c>
    </row>
    <row r="48">
      <c r="B48" s="7">
        <f>IFERROR(INDEX(tblCategories[Category],20),"")</f>
        <v/>
      </c>
      <c r="C48" s="13">
        <f>IF($B48="","",SUMIFS(tblTxn[View Amount],tblTxn[Month],C$4,tblTxn[Category],$B48)*$P48)</f>
        <v/>
      </c>
      <c r="D48" s="13">
        <f>IF($B48="","",SUMIFS(tblTxn[View Amount],tblTxn[Month],D$4,tblTxn[Category],$B48)*$P48)</f>
        <v/>
      </c>
      <c r="E48" s="13">
        <f>IF($B48="","",SUMIFS(tblTxn[View Amount],tblTxn[Month],E$4,tblTxn[Category],$B48)*$P48)</f>
        <v/>
      </c>
      <c r="F48" s="13">
        <f>IF($B48="","",SUMIFS(tblTxn[View Amount],tblTxn[Month],F$4,tblTxn[Category],$B48)*$P48)</f>
        <v/>
      </c>
      <c r="G48" s="13">
        <f>IF($B48="","",SUMIFS(tblTxn[View Amount],tblTxn[Month],G$4,tblTxn[Category],$B48)*$P48)</f>
        <v/>
      </c>
      <c r="H48" s="13">
        <f>IF($B48="","",SUMIFS(tblTxn[View Amount],tblTxn[Month],H$4,tblTxn[Category],$B48)*$P48)</f>
        <v/>
      </c>
      <c r="I48" s="13">
        <f>IF($B48="","",SUMIFS(tblTxn[View Amount],tblTxn[Month],I$4,tblTxn[Category],$B48)*$P48)</f>
        <v/>
      </c>
      <c r="J48" s="13">
        <f>IF($B48="","",SUMIFS(tblTxn[View Amount],tblTxn[Month],J$4,tblTxn[Category],$B48)*$P48)</f>
        <v/>
      </c>
      <c r="K48" s="13">
        <f>IF($B48="","",SUMIFS(tblTxn[View Amount],tblTxn[Month],K$4,tblTxn[Category],$B48)*$P48)</f>
        <v/>
      </c>
      <c r="L48" s="13">
        <f>IF($B48="","",SUMIFS(tblTxn[View Amount],tblTxn[Month],L$4,tblTxn[Category],$B48)*$P48)</f>
        <v/>
      </c>
      <c r="M48" s="13">
        <f>IF($B48="","",SUMIFS(tblTxn[View Amount],tblTxn[Month],M$4,tblTxn[Category],$B48)*$P48)</f>
        <v/>
      </c>
      <c r="N48" s="13">
        <f>IF($B48="","",SUMIFS(tblTxn[View Amount],tblTxn[Month],N$4,tblTxn[Category],$B48)*$P48)</f>
        <v/>
      </c>
      <c r="O48" s="15">
        <f>IF($B48="","",SUM(C48:N48))</f>
        <v/>
      </c>
      <c r="P48">
        <f>IF($B48="",0,IFERROR(IF(INDEX(tblCategories[Type],MATCH($B48,tblCategories[Category],0))="Income",1,-1),-1))</f>
        <v/>
      </c>
      <c r="Q48">
        <f>IF(AND($B48&lt;&gt;"",$P48&lt;&gt;1,N($N48)&gt;0),$N48+ROW()/1E+7,-1)</f>
        <v/>
      </c>
    </row>
    <row r="49">
      <c r="B49" s="7">
        <f>IFERROR(INDEX(tblCategories[Category],21),"")</f>
        <v/>
      </c>
      <c r="C49" s="13">
        <f>IF($B49="","",SUMIFS(tblTxn[View Amount],tblTxn[Month],C$4,tblTxn[Category],$B49)*$P49)</f>
        <v/>
      </c>
      <c r="D49" s="13">
        <f>IF($B49="","",SUMIFS(tblTxn[View Amount],tblTxn[Month],D$4,tblTxn[Category],$B49)*$P49)</f>
        <v/>
      </c>
      <c r="E49" s="13">
        <f>IF($B49="","",SUMIFS(tblTxn[View Amount],tblTxn[Month],E$4,tblTxn[Category],$B49)*$P49)</f>
        <v/>
      </c>
      <c r="F49" s="13">
        <f>IF($B49="","",SUMIFS(tblTxn[View Amount],tblTxn[Month],F$4,tblTxn[Category],$B49)*$P49)</f>
        <v/>
      </c>
      <c r="G49" s="13">
        <f>IF($B49="","",SUMIFS(tblTxn[View Amount],tblTxn[Month],G$4,tblTxn[Category],$B49)*$P49)</f>
        <v/>
      </c>
      <c r="H49" s="13">
        <f>IF($B49="","",SUMIFS(tblTxn[View Amount],tblTxn[Month],H$4,tblTxn[Category],$B49)*$P49)</f>
        <v/>
      </c>
      <c r="I49" s="13">
        <f>IF($B49="","",SUMIFS(tblTxn[View Amount],tblTxn[Month],I$4,tblTxn[Category],$B49)*$P49)</f>
        <v/>
      </c>
      <c r="J49" s="13">
        <f>IF($B49="","",SUMIFS(tblTxn[View Amount],tblTxn[Month],J$4,tblTxn[Category],$B49)*$P49)</f>
        <v/>
      </c>
      <c r="K49" s="13">
        <f>IF($B49="","",SUMIFS(tblTxn[View Amount],tblTxn[Month],K$4,tblTxn[Category],$B49)*$P49)</f>
        <v/>
      </c>
      <c r="L49" s="13">
        <f>IF($B49="","",SUMIFS(tblTxn[View Amount],tblTxn[Month],L$4,tblTxn[Category],$B49)*$P49)</f>
        <v/>
      </c>
      <c r="M49" s="13">
        <f>IF($B49="","",SUMIFS(tblTxn[View Amount],tblTxn[Month],M$4,tblTxn[Category],$B49)*$P49)</f>
        <v/>
      </c>
      <c r="N49" s="13">
        <f>IF($B49="","",SUMIFS(tblTxn[View Amount],tblTxn[Month],N$4,tblTxn[Category],$B49)*$P49)</f>
        <v/>
      </c>
      <c r="O49" s="15">
        <f>IF($B49="","",SUM(C49:N49))</f>
        <v/>
      </c>
      <c r="P49">
        <f>IF($B49="",0,IFERROR(IF(INDEX(tblCategories[Type],MATCH($B49,tblCategories[Category],0))="Income",1,-1),-1))</f>
        <v/>
      </c>
      <c r="Q49">
        <f>IF(AND($B49&lt;&gt;"",$P49&lt;&gt;1,N($N49)&gt;0),$N49+ROW()/1E+7,-1)</f>
        <v/>
      </c>
    </row>
    <row r="50">
      <c r="B50" s="7">
        <f>IFERROR(INDEX(tblCategories[Category],22),"")</f>
        <v/>
      </c>
      <c r="C50" s="13">
        <f>IF($B50="","",SUMIFS(tblTxn[View Amount],tblTxn[Month],C$4,tblTxn[Category],$B50)*$P50)</f>
        <v/>
      </c>
      <c r="D50" s="13">
        <f>IF($B50="","",SUMIFS(tblTxn[View Amount],tblTxn[Month],D$4,tblTxn[Category],$B50)*$P50)</f>
        <v/>
      </c>
      <c r="E50" s="13">
        <f>IF($B50="","",SUMIFS(tblTxn[View Amount],tblTxn[Month],E$4,tblTxn[Category],$B50)*$P50)</f>
        <v/>
      </c>
      <c r="F50" s="13">
        <f>IF($B50="","",SUMIFS(tblTxn[View Amount],tblTxn[Month],F$4,tblTxn[Category],$B50)*$P50)</f>
        <v/>
      </c>
      <c r="G50" s="13">
        <f>IF($B50="","",SUMIFS(tblTxn[View Amount],tblTxn[Month],G$4,tblTxn[Category],$B50)*$P50)</f>
        <v/>
      </c>
      <c r="H50" s="13">
        <f>IF($B50="","",SUMIFS(tblTxn[View Amount],tblTxn[Month],H$4,tblTxn[Category],$B50)*$P50)</f>
        <v/>
      </c>
      <c r="I50" s="13">
        <f>IF($B50="","",SUMIFS(tblTxn[View Amount],tblTxn[Month],I$4,tblTxn[Category],$B50)*$P50)</f>
        <v/>
      </c>
      <c r="J50" s="13">
        <f>IF($B50="","",SUMIFS(tblTxn[View Amount],tblTxn[Month],J$4,tblTxn[Category],$B50)*$P50)</f>
        <v/>
      </c>
      <c r="K50" s="13">
        <f>IF($B50="","",SUMIFS(tblTxn[View Amount],tblTxn[Month],K$4,tblTxn[Category],$B50)*$P50)</f>
        <v/>
      </c>
      <c r="L50" s="13">
        <f>IF($B50="","",SUMIFS(tblTxn[View Amount],tblTxn[Month],L$4,tblTxn[Category],$B50)*$P50)</f>
        <v/>
      </c>
      <c r="M50" s="13">
        <f>IF($B50="","",SUMIFS(tblTxn[View Amount],tblTxn[Month],M$4,tblTxn[Category],$B50)*$P50)</f>
        <v/>
      </c>
      <c r="N50" s="13">
        <f>IF($B50="","",SUMIFS(tblTxn[View Amount],tblTxn[Month],N$4,tblTxn[Category],$B50)*$P50)</f>
        <v/>
      </c>
      <c r="O50" s="15">
        <f>IF($B50="","",SUM(C50:N50))</f>
        <v/>
      </c>
      <c r="P50">
        <f>IF($B50="",0,IFERROR(IF(INDEX(tblCategories[Type],MATCH($B50,tblCategories[Category],0))="Income",1,-1),-1))</f>
        <v/>
      </c>
      <c r="Q50">
        <f>IF(AND($B50&lt;&gt;"",$P50&lt;&gt;1,N($N50)&gt;0),$N50+ROW()/1E+7,-1)</f>
        <v/>
      </c>
    </row>
    <row r="51">
      <c r="B51" s="7">
        <f>IFERROR(INDEX(tblCategories[Category],23),"")</f>
        <v/>
      </c>
      <c r="C51" s="13">
        <f>IF($B51="","",SUMIFS(tblTxn[View Amount],tblTxn[Month],C$4,tblTxn[Category],$B51)*$P51)</f>
        <v/>
      </c>
      <c r="D51" s="13">
        <f>IF($B51="","",SUMIFS(tblTxn[View Amount],tblTxn[Month],D$4,tblTxn[Category],$B51)*$P51)</f>
        <v/>
      </c>
      <c r="E51" s="13">
        <f>IF($B51="","",SUMIFS(tblTxn[View Amount],tblTxn[Month],E$4,tblTxn[Category],$B51)*$P51)</f>
        <v/>
      </c>
      <c r="F51" s="13">
        <f>IF($B51="","",SUMIFS(tblTxn[View Amount],tblTxn[Month],F$4,tblTxn[Category],$B51)*$P51)</f>
        <v/>
      </c>
      <c r="G51" s="13">
        <f>IF($B51="","",SUMIFS(tblTxn[View Amount],tblTxn[Month],G$4,tblTxn[Category],$B51)*$P51)</f>
        <v/>
      </c>
      <c r="H51" s="13">
        <f>IF($B51="","",SUMIFS(tblTxn[View Amount],tblTxn[Month],H$4,tblTxn[Category],$B51)*$P51)</f>
        <v/>
      </c>
      <c r="I51" s="13">
        <f>IF($B51="","",SUMIFS(tblTxn[View Amount],tblTxn[Month],I$4,tblTxn[Category],$B51)*$P51)</f>
        <v/>
      </c>
      <c r="J51" s="13">
        <f>IF($B51="","",SUMIFS(tblTxn[View Amount],tblTxn[Month],J$4,tblTxn[Category],$B51)*$P51)</f>
        <v/>
      </c>
      <c r="K51" s="13">
        <f>IF($B51="","",SUMIFS(tblTxn[View Amount],tblTxn[Month],K$4,tblTxn[Category],$B51)*$P51)</f>
        <v/>
      </c>
      <c r="L51" s="13">
        <f>IF($B51="","",SUMIFS(tblTxn[View Amount],tblTxn[Month],L$4,tblTxn[Category],$B51)*$P51)</f>
        <v/>
      </c>
      <c r="M51" s="13">
        <f>IF($B51="","",SUMIFS(tblTxn[View Amount],tblTxn[Month],M$4,tblTxn[Category],$B51)*$P51)</f>
        <v/>
      </c>
      <c r="N51" s="13">
        <f>IF($B51="","",SUMIFS(tblTxn[View Amount],tblTxn[Month],N$4,tblTxn[Category],$B51)*$P51)</f>
        <v/>
      </c>
      <c r="O51" s="15">
        <f>IF($B51="","",SUM(C51:N51))</f>
        <v/>
      </c>
      <c r="P51">
        <f>IF($B51="",0,IFERROR(IF(INDEX(tblCategories[Type],MATCH($B51,tblCategories[Category],0))="Income",1,-1),-1))</f>
        <v/>
      </c>
      <c r="Q51">
        <f>IF(AND($B51&lt;&gt;"",$P51&lt;&gt;1,N($N51)&gt;0),$N51+ROW()/1E+7,-1)</f>
        <v/>
      </c>
    </row>
    <row r="52">
      <c r="B52" s="7">
        <f>IFERROR(INDEX(tblCategories[Category],24),"")</f>
        <v/>
      </c>
      <c r="C52" s="13">
        <f>IF($B52="","",SUMIFS(tblTxn[View Amount],tblTxn[Month],C$4,tblTxn[Category],$B52)*$P52)</f>
        <v/>
      </c>
      <c r="D52" s="13">
        <f>IF($B52="","",SUMIFS(tblTxn[View Amount],tblTxn[Month],D$4,tblTxn[Category],$B52)*$P52)</f>
        <v/>
      </c>
      <c r="E52" s="13">
        <f>IF($B52="","",SUMIFS(tblTxn[View Amount],tblTxn[Month],E$4,tblTxn[Category],$B52)*$P52)</f>
        <v/>
      </c>
      <c r="F52" s="13">
        <f>IF($B52="","",SUMIFS(tblTxn[View Amount],tblTxn[Month],F$4,tblTxn[Category],$B52)*$P52)</f>
        <v/>
      </c>
      <c r="G52" s="13">
        <f>IF($B52="","",SUMIFS(tblTxn[View Amount],tblTxn[Month],G$4,tblTxn[Category],$B52)*$P52)</f>
        <v/>
      </c>
      <c r="H52" s="13">
        <f>IF($B52="","",SUMIFS(tblTxn[View Amount],tblTxn[Month],H$4,tblTxn[Category],$B52)*$P52)</f>
        <v/>
      </c>
      <c r="I52" s="13">
        <f>IF($B52="","",SUMIFS(tblTxn[View Amount],tblTxn[Month],I$4,tblTxn[Category],$B52)*$P52)</f>
        <v/>
      </c>
      <c r="J52" s="13">
        <f>IF($B52="","",SUMIFS(tblTxn[View Amount],tblTxn[Month],J$4,tblTxn[Category],$B52)*$P52)</f>
        <v/>
      </c>
      <c r="K52" s="13">
        <f>IF($B52="","",SUMIFS(tblTxn[View Amount],tblTxn[Month],K$4,tblTxn[Category],$B52)*$P52)</f>
        <v/>
      </c>
      <c r="L52" s="13">
        <f>IF($B52="","",SUMIFS(tblTxn[View Amount],tblTxn[Month],L$4,tblTxn[Category],$B52)*$P52)</f>
        <v/>
      </c>
      <c r="M52" s="13">
        <f>IF($B52="","",SUMIFS(tblTxn[View Amount],tblTxn[Month],M$4,tblTxn[Category],$B52)*$P52)</f>
        <v/>
      </c>
      <c r="N52" s="13">
        <f>IF($B52="","",SUMIFS(tblTxn[View Amount],tblTxn[Month],N$4,tblTxn[Category],$B52)*$P52)</f>
        <v/>
      </c>
      <c r="O52" s="15">
        <f>IF($B52="","",SUM(C52:N52))</f>
        <v/>
      </c>
      <c r="P52">
        <f>IF($B52="",0,IFERROR(IF(INDEX(tblCategories[Type],MATCH($B52,tblCategories[Category],0))="Income",1,-1),-1))</f>
        <v/>
      </c>
      <c r="Q52">
        <f>IF(AND($B52&lt;&gt;"",$P52&lt;&gt;1,N($N52)&gt;0),$N52+ROW()/1E+7,-1)</f>
        <v/>
      </c>
    </row>
    <row r="53">
      <c r="B53" s="7">
        <f>IFERROR(INDEX(tblCategories[Category],25),"")</f>
        <v/>
      </c>
      <c r="C53" s="13">
        <f>IF($B53="","",SUMIFS(tblTxn[View Amount],tblTxn[Month],C$4,tblTxn[Category],$B53)*$P53)</f>
        <v/>
      </c>
      <c r="D53" s="13">
        <f>IF($B53="","",SUMIFS(tblTxn[View Amount],tblTxn[Month],D$4,tblTxn[Category],$B53)*$P53)</f>
        <v/>
      </c>
      <c r="E53" s="13">
        <f>IF($B53="","",SUMIFS(tblTxn[View Amount],tblTxn[Month],E$4,tblTxn[Category],$B53)*$P53)</f>
        <v/>
      </c>
      <c r="F53" s="13">
        <f>IF($B53="","",SUMIFS(tblTxn[View Amount],tblTxn[Month],F$4,tblTxn[Category],$B53)*$P53)</f>
        <v/>
      </c>
      <c r="G53" s="13">
        <f>IF($B53="","",SUMIFS(tblTxn[View Amount],tblTxn[Month],G$4,tblTxn[Category],$B53)*$P53)</f>
        <v/>
      </c>
      <c r="H53" s="13">
        <f>IF($B53="","",SUMIFS(tblTxn[View Amount],tblTxn[Month],H$4,tblTxn[Category],$B53)*$P53)</f>
        <v/>
      </c>
      <c r="I53" s="13">
        <f>IF($B53="","",SUMIFS(tblTxn[View Amount],tblTxn[Month],I$4,tblTxn[Category],$B53)*$P53)</f>
        <v/>
      </c>
      <c r="J53" s="13">
        <f>IF($B53="","",SUMIFS(tblTxn[View Amount],tblTxn[Month],J$4,tblTxn[Category],$B53)*$P53)</f>
        <v/>
      </c>
      <c r="K53" s="13">
        <f>IF($B53="","",SUMIFS(tblTxn[View Amount],tblTxn[Month],K$4,tblTxn[Category],$B53)*$P53)</f>
        <v/>
      </c>
      <c r="L53" s="13">
        <f>IF($B53="","",SUMIFS(tblTxn[View Amount],tblTxn[Month],L$4,tblTxn[Category],$B53)*$P53)</f>
        <v/>
      </c>
      <c r="M53" s="13">
        <f>IF($B53="","",SUMIFS(tblTxn[View Amount],tblTxn[Month],M$4,tblTxn[Category],$B53)*$P53)</f>
        <v/>
      </c>
      <c r="N53" s="13">
        <f>IF($B53="","",SUMIFS(tblTxn[View Amount],tblTxn[Month],N$4,tblTxn[Category],$B53)*$P53)</f>
        <v/>
      </c>
      <c r="O53" s="15">
        <f>IF($B53="","",SUM(C53:N53))</f>
        <v/>
      </c>
      <c r="P53">
        <f>IF($B53="",0,IFERROR(IF(INDEX(tblCategories[Type],MATCH($B53,tblCategories[Category],0))="Income",1,-1),-1))</f>
        <v/>
      </c>
      <c r="Q53">
        <f>IF(AND($B53&lt;&gt;"",$P53&lt;&gt;1,N($N53)&gt;0),$N53+ROW()/1E+7,-1)</f>
        <v/>
      </c>
    </row>
    <row r="54">
      <c r="B54" s="7">
        <f>IFERROR(INDEX(tblCategories[Category],26),"")</f>
        <v/>
      </c>
      <c r="C54" s="13">
        <f>IF($B54="","",SUMIFS(tblTxn[View Amount],tblTxn[Month],C$4,tblTxn[Category],$B54)*$P54)</f>
        <v/>
      </c>
      <c r="D54" s="13">
        <f>IF($B54="","",SUMIFS(tblTxn[View Amount],tblTxn[Month],D$4,tblTxn[Category],$B54)*$P54)</f>
        <v/>
      </c>
      <c r="E54" s="13">
        <f>IF($B54="","",SUMIFS(tblTxn[View Amount],tblTxn[Month],E$4,tblTxn[Category],$B54)*$P54)</f>
        <v/>
      </c>
      <c r="F54" s="13">
        <f>IF($B54="","",SUMIFS(tblTxn[View Amount],tblTxn[Month],F$4,tblTxn[Category],$B54)*$P54)</f>
        <v/>
      </c>
      <c r="G54" s="13">
        <f>IF($B54="","",SUMIFS(tblTxn[View Amount],tblTxn[Month],G$4,tblTxn[Category],$B54)*$P54)</f>
        <v/>
      </c>
      <c r="H54" s="13">
        <f>IF($B54="","",SUMIFS(tblTxn[View Amount],tblTxn[Month],H$4,tblTxn[Category],$B54)*$P54)</f>
        <v/>
      </c>
      <c r="I54" s="13">
        <f>IF($B54="","",SUMIFS(tblTxn[View Amount],tblTxn[Month],I$4,tblTxn[Category],$B54)*$P54)</f>
        <v/>
      </c>
      <c r="J54" s="13">
        <f>IF($B54="","",SUMIFS(tblTxn[View Amount],tblTxn[Month],J$4,tblTxn[Category],$B54)*$P54)</f>
        <v/>
      </c>
      <c r="K54" s="13">
        <f>IF($B54="","",SUMIFS(tblTxn[View Amount],tblTxn[Month],K$4,tblTxn[Category],$B54)*$P54)</f>
        <v/>
      </c>
      <c r="L54" s="13">
        <f>IF($B54="","",SUMIFS(tblTxn[View Amount],tblTxn[Month],L$4,tblTxn[Category],$B54)*$P54)</f>
        <v/>
      </c>
      <c r="M54" s="13">
        <f>IF($B54="","",SUMIFS(tblTxn[View Amount],tblTxn[Month],M$4,tblTxn[Category],$B54)*$P54)</f>
        <v/>
      </c>
      <c r="N54" s="13">
        <f>IF($B54="","",SUMIFS(tblTxn[View Amount],tblTxn[Month],N$4,tblTxn[Category],$B54)*$P54)</f>
        <v/>
      </c>
      <c r="O54" s="15">
        <f>IF($B54="","",SUM(C54:N54))</f>
        <v/>
      </c>
      <c r="P54">
        <f>IF($B54="",0,IFERROR(IF(INDEX(tblCategories[Type],MATCH($B54,tblCategories[Category],0))="Income",1,-1),-1))</f>
        <v/>
      </c>
      <c r="Q54">
        <f>IF(AND($B54&lt;&gt;"",$P54&lt;&gt;1,N($N54)&gt;0),$N54+ROW()/1E+7,-1)</f>
        <v/>
      </c>
    </row>
    <row r="55">
      <c r="B55" s="7">
        <f>IFERROR(INDEX(tblCategories[Category],27),"")</f>
        <v/>
      </c>
      <c r="C55" s="13">
        <f>IF($B55="","",SUMIFS(tblTxn[View Amount],tblTxn[Month],C$4,tblTxn[Category],$B55)*$P55)</f>
        <v/>
      </c>
      <c r="D55" s="13">
        <f>IF($B55="","",SUMIFS(tblTxn[View Amount],tblTxn[Month],D$4,tblTxn[Category],$B55)*$P55)</f>
        <v/>
      </c>
      <c r="E55" s="13">
        <f>IF($B55="","",SUMIFS(tblTxn[View Amount],tblTxn[Month],E$4,tblTxn[Category],$B55)*$P55)</f>
        <v/>
      </c>
      <c r="F55" s="13">
        <f>IF($B55="","",SUMIFS(tblTxn[View Amount],tblTxn[Month],F$4,tblTxn[Category],$B55)*$P55)</f>
        <v/>
      </c>
      <c r="G55" s="13">
        <f>IF($B55="","",SUMIFS(tblTxn[View Amount],tblTxn[Month],G$4,tblTxn[Category],$B55)*$P55)</f>
        <v/>
      </c>
      <c r="H55" s="13">
        <f>IF($B55="","",SUMIFS(tblTxn[View Amount],tblTxn[Month],H$4,tblTxn[Category],$B55)*$P55)</f>
        <v/>
      </c>
      <c r="I55" s="13">
        <f>IF($B55="","",SUMIFS(tblTxn[View Amount],tblTxn[Month],I$4,tblTxn[Category],$B55)*$P55)</f>
        <v/>
      </c>
      <c r="J55" s="13">
        <f>IF($B55="","",SUMIFS(tblTxn[View Amount],tblTxn[Month],J$4,tblTxn[Category],$B55)*$P55)</f>
        <v/>
      </c>
      <c r="K55" s="13">
        <f>IF($B55="","",SUMIFS(tblTxn[View Amount],tblTxn[Month],K$4,tblTxn[Category],$B55)*$P55)</f>
        <v/>
      </c>
      <c r="L55" s="13">
        <f>IF($B55="","",SUMIFS(tblTxn[View Amount],tblTxn[Month],L$4,tblTxn[Category],$B55)*$P55)</f>
        <v/>
      </c>
      <c r="M55" s="13">
        <f>IF($B55="","",SUMIFS(tblTxn[View Amount],tblTxn[Month],M$4,tblTxn[Category],$B55)*$P55)</f>
        <v/>
      </c>
      <c r="N55" s="13">
        <f>IF($B55="","",SUMIFS(tblTxn[View Amount],tblTxn[Month],N$4,tblTxn[Category],$B55)*$P55)</f>
        <v/>
      </c>
      <c r="O55" s="15">
        <f>IF($B55="","",SUM(C55:N55))</f>
        <v/>
      </c>
      <c r="P55">
        <f>IF($B55="",0,IFERROR(IF(INDEX(tblCategories[Type],MATCH($B55,tblCategories[Category],0))="Income",1,-1),-1))</f>
        <v/>
      </c>
      <c r="Q55">
        <f>IF(AND($B55&lt;&gt;"",$P55&lt;&gt;1,N($N55)&gt;0),$N55+ROW()/1E+7,-1)</f>
        <v/>
      </c>
    </row>
    <row r="56">
      <c r="B56" s="7">
        <f>IFERROR(INDEX(tblCategories[Category],28),"")</f>
        <v/>
      </c>
      <c r="C56" s="13">
        <f>IF($B56="","",SUMIFS(tblTxn[View Amount],tblTxn[Month],C$4,tblTxn[Category],$B56)*$P56)</f>
        <v/>
      </c>
      <c r="D56" s="13">
        <f>IF($B56="","",SUMIFS(tblTxn[View Amount],tblTxn[Month],D$4,tblTxn[Category],$B56)*$P56)</f>
        <v/>
      </c>
      <c r="E56" s="13">
        <f>IF($B56="","",SUMIFS(tblTxn[View Amount],tblTxn[Month],E$4,tblTxn[Category],$B56)*$P56)</f>
        <v/>
      </c>
      <c r="F56" s="13">
        <f>IF($B56="","",SUMIFS(tblTxn[View Amount],tblTxn[Month],F$4,tblTxn[Category],$B56)*$P56)</f>
        <v/>
      </c>
      <c r="G56" s="13">
        <f>IF($B56="","",SUMIFS(tblTxn[View Amount],tblTxn[Month],G$4,tblTxn[Category],$B56)*$P56)</f>
        <v/>
      </c>
      <c r="H56" s="13">
        <f>IF($B56="","",SUMIFS(tblTxn[View Amount],tblTxn[Month],H$4,tblTxn[Category],$B56)*$P56)</f>
        <v/>
      </c>
      <c r="I56" s="13">
        <f>IF($B56="","",SUMIFS(tblTxn[View Amount],tblTxn[Month],I$4,tblTxn[Category],$B56)*$P56)</f>
        <v/>
      </c>
      <c r="J56" s="13">
        <f>IF($B56="","",SUMIFS(tblTxn[View Amount],tblTxn[Month],J$4,tblTxn[Category],$B56)*$P56)</f>
        <v/>
      </c>
      <c r="K56" s="13">
        <f>IF($B56="","",SUMIFS(tblTxn[View Amount],tblTxn[Month],K$4,tblTxn[Category],$B56)*$P56)</f>
        <v/>
      </c>
      <c r="L56" s="13">
        <f>IF($B56="","",SUMIFS(tblTxn[View Amount],tblTxn[Month],L$4,tblTxn[Category],$B56)*$P56)</f>
        <v/>
      </c>
      <c r="M56" s="13">
        <f>IF($B56="","",SUMIFS(tblTxn[View Amount],tblTxn[Month],M$4,tblTxn[Category],$B56)*$P56)</f>
        <v/>
      </c>
      <c r="N56" s="13">
        <f>IF($B56="","",SUMIFS(tblTxn[View Amount],tblTxn[Month],N$4,tblTxn[Category],$B56)*$P56)</f>
        <v/>
      </c>
      <c r="O56" s="15">
        <f>IF($B56="","",SUM(C56:N56))</f>
        <v/>
      </c>
      <c r="P56">
        <f>IF($B56="",0,IFERROR(IF(INDEX(tblCategories[Type],MATCH($B56,tblCategories[Category],0))="Income",1,-1),-1))</f>
        <v/>
      </c>
      <c r="Q56">
        <f>IF(AND($B56&lt;&gt;"",$P56&lt;&gt;1,N($N56)&gt;0),$N56+ROW()/1E+7,-1)</f>
        <v/>
      </c>
    </row>
    <row r="57">
      <c r="B57" s="7">
        <f>IFERROR(INDEX(tblCategories[Category],29),"")</f>
        <v/>
      </c>
      <c r="C57" s="13">
        <f>IF($B57="","",SUMIFS(tblTxn[View Amount],tblTxn[Month],C$4,tblTxn[Category],$B57)*$P57)</f>
        <v/>
      </c>
      <c r="D57" s="13">
        <f>IF($B57="","",SUMIFS(tblTxn[View Amount],tblTxn[Month],D$4,tblTxn[Category],$B57)*$P57)</f>
        <v/>
      </c>
      <c r="E57" s="13">
        <f>IF($B57="","",SUMIFS(tblTxn[View Amount],tblTxn[Month],E$4,tblTxn[Category],$B57)*$P57)</f>
        <v/>
      </c>
      <c r="F57" s="13">
        <f>IF($B57="","",SUMIFS(tblTxn[View Amount],tblTxn[Month],F$4,tblTxn[Category],$B57)*$P57)</f>
        <v/>
      </c>
      <c r="G57" s="13">
        <f>IF($B57="","",SUMIFS(tblTxn[View Amount],tblTxn[Month],G$4,tblTxn[Category],$B57)*$P57)</f>
        <v/>
      </c>
      <c r="H57" s="13">
        <f>IF($B57="","",SUMIFS(tblTxn[View Amount],tblTxn[Month],H$4,tblTxn[Category],$B57)*$P57)</f>
        <v/>
      </c>
      <c r="I57" s="13">
        <f>IF($B57="","",SUMIFS(tblTxn[View Amount],tblTxn[Month],I$4,tblTxn[Category],$B57)*$P57)</f>
        <v/>
      </c>
      <c r="J57" s="13">
        <f>IF($B57="","",SUMIFS(tblTxn[View Amount],tblTxn[Month],J$4,tblTxn[Category],$B57)*$P57)</f>
        <v/>
      </c>
      <c r="K57" s="13">
        <f>IF($B57="","",SUMIFS(tblTxn[View Amount],tblTxn[Month],K$4,tblTxn[Category],$B57)*$P57)</f>
        <v/>
      </c>
      <c r="L57" s="13">
        <f>IF($B57="","",SUMIFS(tblTxn[View Amount],tblTxn[Month],L$4,tblTxn[Category],$B57)*$P57)</f>
        <v/>
      </c>
      <c r="M57" s="13">
        <f>IF($B57="","",SUMIFS(tblTxn[View Amount],tblTxn[Month],M$4,tblTxn[Category],$B57)*$P57)</f>
        <v/>
      </c>
      <c r="N57" s="13">
        <f>IF($B57="","",SUMIFS(tblTxn[View Amount],tblTxn[Month],N$4,tblTxn[Category],$B57)*$P57)</f>
        <v/>
      </c>
      <c r="O57" s="15">
        <f>IF($B57="","",SUM(C57:N57))</f>
        <v/>
      </c>
      <c r="P57">
        <f>IF($B57="",0,IFERROR(IF(INDEX(tblCategories[Type],MATCH($B57,tblCategories[Category],0))="Income",1,-1),-1))</f>
        <v/>
      </c>
      <c r="Q57">
        <f>IF(AND($B57&lt;&gt;"",$P57&lt;&gt;1,N($N57)&gt;0),$N57+ROW()/1E+7,-1)</f>
        <v/>
      </c>
    </row>
    <row r="58">
      <c r="B58" s="7">
        <f>IFERROR(INDEX(tblCategories[Category],30),"")</f>
        <v/>
      </c>
      <c r="C58" s="13">
        <f>IF($B58="","",SUMIFS(tblTxn[View Amount],tblTxn[Month],C$4,tblTxn[Category],$B58)*$P58)</f>
        <v/>
      </c>
      <c r="D58" s="13">
        <f>IF($B58="","",SUMIFS(tblTxn[View Amount],tblTxn[Month],D$4,tblTxn[Category],$B58)*$P58)</f>
        <v/>
      </c>
      <c r="E58" s="13">
        <f>IF($B58="","",SUMIFS(tblTxn[View Amount],tblTxn[Month],E$4,tblTxn[Category],$B58)*$P58)</f>
        <v/>
      </c>
      <c r="F58" s="13">
        <f>IF($B58="","",SUMIFS(tblTxn[View Amount],tblTxn[Month],F$4,tblTxn[Category],$B58)*$P58)</f>
        <v/>
      </c>
      <c r="G58" s="13">
        <f>IF($B58="","",SUMIFS(tblTxn[View Amount],tblTxn[Month],G$4,tblTxn[Category],$B58)*$P58)</f>
        <v/>
      </c>
      <c r="H58" s="13">
        <f>IF($B58="","",SUMIFS(tblTxn[View Amount],tblTxn[Month],H$4,tblTxn[Category],$B58)*$P58)</f>
        <v/>
      </c>
      <c r="I58" s="13">
        <f>IF($B58="","",SUMIFS(tblTxn[View Amount],tblTxn[Month],I$4,tblTxn[Category],$B58)*$P58)</f>
        <v/>
      </c>
      <c r="J58" s="13">
        <f>IF($B58="","",SUMIFS(tblTxn[View Amount],tblTxn[Month],J$4,tblTxn[Category],$B58)*$P58)</f>
        <v/>
      </c>
      <c r="K58" s="13">
        <f>IF($B58="","",SUMIFS(tblTxn[View Amount],tblTxn[Month],K$4,tblTxn[Category],$B58)*$P58)</f>
        <v/>
      </c>
      <c r="L58" s="13">
        <f>IF($B58="","",SUMIFS(tblTxn[View Amount],tblTxn[Month],L$4,tblTxn[Category],$B58)*$P58)</f>
        <v/>
      </c>
      <c r="M58" s="13">
        <f>IF($B58="","",SUMIFS(tblTxn[View Amount],tblTxn[Month],M$4,tblTxn[Category],$B58)*$P58)</f>
        <v/>
      </c>
      <c r="N58" s="13">
        <f>IF($B58="","",SUMIFS(tblTxn[View Amount],tblTxn[Month],N$4,tblTxn[Category],$B58)*$P58)</f>
        <v/>
      </c>
      <c r="O58" s="15">
        <f>IF($B58="","",SUM(C58:N58))</f>
        <v/>
      </c>
      <c r="P58">
        <f>IF($B58="",0,IFERROR(IF(INDEX(tblCategories[Type],MATCH($B58,tblCategories[Category],0))="Income",1,-1),-1))</f>
        <v/>
      </c>
      <c r="Q58">
        <f>IF(AND($B58&lt;&gt;"",$P58&lt;&gt;1,N($N58)&gt;0),$N58+ROW()/1E+7,-1)</f>
        <v/>
      </c>
    </row>
    <row r="59">
      <c r="B59" s="7">
        <f>IFERROR(INDEX(tblCategories[Category],31),"")</f>
        <v/>
      </c>
      <c r="C59" s="13">
        <f>IF($B59="","",SUMIFS(tblTxn[View Amount],tblTxn[Month],C$4,tblTxn[Category],$B59)*$P59)</f>
        <v/>
      </c>
      <c r="D59" s="13">
        <f>IF($B59="","",SUMIFS(tblTxn[View Amount],tblTxn[Month],D$4,tblTxn[Category],$B59)*$P59)</f>
        <v/>
      </c>
      <c r="E59" s="13">
        <f>IF($B59="","",SUMIFS(tblTxn[View Amount],tblTxn[Month],E$4,tblTxn[Category],$B59)*$P59)</f>
        <v/>
      </c>
      <c r="F59" s="13">
        <f>IF($B59="","",SUMIFS(tblTxn[View Amount],tblTxn[Month],F$4,tblTxn[Category],$B59)*$P59)</f>
        <v/>
      </c>
      <c r="G59" s="13">
        <f>IF($B59="","",SUMIFS(tblTxn[View Amount],tblTxn[Month],G$4,tblTxn[Category],$B59)*$P59)</f>
        <v/>
      </c>
      <c r="H59" s="13">
        <f>IF($B59="","",SUMIFS(tblTxn[View Amount],tblTxn[Month],H$4,tblTxn[Category],$B59)*$P59)</f>
        <v/>
      </c>
      <c r="I59" s="13">
        <f>IF($B59="","",SUMIFS(tblTxn[View Amount],tblTxn[Month],I$4,tblTxn[Category],$B59)*$P59)</f>
        <v/>
      </c>
      <c r="J59" s="13">
        <f>IF($B59="","",SUMIFS(tblTxn[View Amount],tblTxn[Month],J$4,tblTxn[Category],$B59)*$P59)</f>
        <v/>
      </c>
      <c r="K59" s="13">
        <f>IF($B59="","",SUMIFS(tblTxn[View Amount],tblTxn[Month],K$4,tblTxn[Category],$B59)*$P59)</f>
        <v/>
      </c>
      <c r="L59" s="13">
        <f>IF($B59="","",SUMIFS(tblTxn[View Amount],tblTxn[Month],L$4,tblTxn[Category],$B59)*$P59)</f>
        <v/>
      </c>
      <c r="M59" s="13">
        <f>IF($B59="","",SUMIFS(tblTxn[View Amount],tblTxn[Month],M$4,tblTxn[Category],$B59)*$P59)</f>
        <v/>
      </c>
      <c r="N59" s="13">
        <f>IF($B59="","",SUMIFS(tblTxn[View Amount],tblTxn[Month],N$4,tblTxn[Category],$B59)*$P59)</f>
        <v/>
      </c>
      <c r="O59" s="15">
        <f>IF($B59="","",SUM(C59:N59))</f>
        <v/>
      </c>
      <c r="P59">
        <f>IF($B59="",0,IFERROR(IF(INDEX(tblCategories[Type],MATCH($B59,tblCategories[Category],0))="Income",1,-1),-1))</f>
        <v/>
      </c>
      <c r="Q59">
        <f>IF(AND($B59&lt;&gt;"",$P59&lt;&gt;1,N($N59)&gt;0),$N59+ROW()/1E+7,-1)</f>
        <v/>
      </c>
    </row>
    <row r="60">
      <c r="B60" s="7">
        <f>IFERROR(INDEX(tblCategories[Category],32),"")</f>
        <v/>
      </c>
      <c r="C60" s="13">
        <f>IF($B60="","",SUMIFS(tblTxn[View Amount],tblTxn[Month],C$4,tblTxn[Category],$B60)*$P60)</f>
        <v/>
      </c>
      <c r="D60" s="13">
        <f>IF($B60="","",SUMIFS(tblTxn[View Amount],tblTxn[Month],D$4,tblTxn[Category],$B60)*$P60)</f>
        <v/>
      </c>
      <c r="E60" s="13">
        <f>IF($B60="","",SUMIFS(tblTxn[View Amount],tblTxn[Month],E$4,tblTxn[Category],$B60)*$P60)</f>
        <v/>
      </c>
      <c r="F60" s="13">
        <f>IF($B60="","",SUMIFS(tblTxn[View Amount],tblTxn[Month],F$4,tblTxn[Category],$B60)*$P60)</f>
        <v/>
      </c>
      <c r="G60" s="13">
        <f>IF($B60="","",SUMIFS(tblTxn[View Amount],tblTxn[Month],G$4,tblTxn[Category],$B60)*$P60)</f>
        <v/>
      </c>
      <c r="H60" s="13">
        <f>IF($B60="","",SUMIFS(tblTxn[View Amount],tblTxn[Month],H$4,tblTxn[Category],$B60)*$P60)</f>
        <v/>
      </c>
      <c r="I60" s="13">
        <f>IF($B60="","",SUMIFS(tblTxn[View Amount],tblTxn[Month],I$4,tblTxn[Category],$B60)*$P60)</f>
        <v/>
      </c>
      <c r="J60" s="13">
        <f>IF($B60="","",SUMIFS(tblTxn[View Amount],tblTxn[Month],J$4,tblTxn[Category],$B60)*$P60)</f>
        <v/>
      </c>
      <c r="K60" s="13">
        <f>IF($B60="","",SUMIFS(tblTxn[View Amount],tblTxn[Month],K$4,tblTxn[Category],$B60)*$P60)</f>
        <v/>
      </c>
      <c r="L60" s="13">
        <f>IF($B60="","",SUMIFS(tblTxn[View Amount],tblTxn[Month],L$4,tblTxn[Category],$B60)*$P60)</f>
        <v/>
      </c>
      <c r="M60" s="13">
        <f>IF($B60="","",SUMIFS(tblTxn[View Amount],tblTxn[Month],M$4,tblTxn[Category],$B60)*$P60)</f>
        <v/>
      </c>
      <c r="N60" s="13">
        <f>IF($B60="","",SUMIFS(tblTxn[View Amount],tblTxn[Month],N$4,tblTxn[Category],$B60)*$P60)</f>
        <v/>
      </c>
      <c r="O60" s="15">
        <f>IF($B60="","",SUM(C60:N60))</f>
        <v/>
      </c>
      <c r="P60">
        <f>IF($B60="",0,IFERROR(IF(INDEX(tblCategories[Type],MATCH($B60,tblCategories[Category],0))="Income",1,-1),-1))</f>
        <v/>
      </c>
      <c r="Q60">
        <f>IF(AND($B60&lt;&gt;"",$P60&lt;&gt;1,N($N60)&gt;0),$N60+ROW()/1E+7,-1)</f>
        <v/>
      </c>
    </row>
    <row r="61">
      <c r="B61" s="7">
        <f>IFERROR(INDEX(tblCategories[Category],33),"")</f>
        <v/>
      </c>
      <c r="C61" s="13">
        <f>IF($B61="","",SUMIFS(tblTxn[View Amount],tblTxn[Month],C$4,tblTxn[Category],$B61)*$P61)</f>
        <v/>
      </c>
      <c r="D61" s="13">
        <f>IF($B61="","",SUMIFS(tblTxn[View Amount],tblTxn[Month],D$4,tblTxn[Category],$B61)*$P61)</f>
        <v/>
      </c>
      <c r="E61" s="13">
        <f>IF($B61="","",SUMIFS(tblTxn[View Amount],tblTxn[Month],E$4,tblTxn[Category],$B61)*$P61)</f>
        <v/>
      </c>
      <c r="F61" s="13">
        <f>IF($B61="","",SUMIFS(tblTxn[View Amount],tblTxn[Month],F$4,tblTxn[Category],$B61)*$P61)</f>
        <v/>
      </c>
      <c r="G61" s="13">
        <f>IF($B61="","",SUMIFS(tblTxn[View Amount],tblTxn[Month],G$4,tblTxn[Category],$B61)*$P61)</f>
        <v/>
      </c>
      <c r="H61" s="13">
        <f>IF($B61="","",SUMIFS(tblTxn[View Amount],tblTxn[Month],H$4,tblTxn[Category],$B61)*$P61)</f>
        <v/>
      </c>
      <c r="I61" s="13">
        <f>IF($B61="","",SUMIFS(tblTxn[View Amount],tblTxn[Month],I$4,tblTxn[Category],$B61)*$P61)</f>
        <v/>
      </c>
      <c r="J61" s="13">
        <f>IF($B61="","",SUMIFS(tblTxn[View Amount],tblTxn[Month],J$4,tblTxn[Category],$B61)*$P61)</f>
        <v/>
      </c>
      <c r="K61" s="13">
        <f>IF($B61="","",SUMIFS(tblTxn[View Amount],tblTxn[Month],K$4,tblTxn[Category],$B61)*$P61)</f>
        <v/>
      </c>
      <c r="L61" s="13">
        <f>IF($B61="","",SUMIFS(tblTxn[View Amount],tblTxn[Month],L$4,tblTxn[Category],$B61)*$P61)</f>
        <v/>
      </c>
      <c r="M61" s="13">
        <f>IF($B61="","",SUMIFS(tblTxn[View Amount],tblTxn[Month],M$4,tblTxn[Category],$B61)*$P61)</f>
        <v/>
      </c>
      <c r="N61" s="13">
        <f>IF($B61="","",SUMIFS(tblTxn[View Amount],tblTxn[Month],N$4,tblTxn[Category],$B61)*$P61)</f>
        <v/>
      </c>
      <c r="O61" s="15">
        <f>IF($B61="","",SUM(C61:N61))</f>
        <v/>
      </c>
      <c r="P61">
        <f>IF($B61="",0,IFERROR(IF(INDEX(tblCategories[Type],MATCH($B61,tblCategories[Category],0))="Income",1,-1),-1))</f>
        <v/>
      </c>
      <c r="Q61">
        <f>IF(AND($B61&lt;&gt;"",$P61&lt;&gt;1,N($N61)&gt;0),$N61+ROW()/1E+7,-1)</f>
        <v/>
      </c>
    </row>
    <row r="62">
      <c r="B62" s="7">
        <f>IFERROR(INDEX(tblCategories[Category],34),"")</f>
        <v/>
      </c>
      <c r="C62" s="13">
        <f>IF($B62="","",SUMIFS(tblTxn[View Amount],tblTxn[Month],C$4,tblTxn[Category],$B62)*$P62)</f>
        <v/>
      </c>
      <c r="D62" s="13">
        <f>IF($B62="","",SUMIFS(tblTxn[View Amount],tblTxn[Month],D$4,tblTxn[Category],$B62)*$P62)</f>
        <v/>
      </c>
      <c r="E62" s="13">
        <f>IF($B62="","",SUMIFS(tblTxn[View Amount],tblTxn[Month],E$4,tblTxn[Category],$B62)*$P62)</f>
        <v/>
      </c>
      <c r="F62" s="13">
        <f>IF($B62="","",SUMIFS(tblTxn[View Amount],tblTxn[Month],F$4,tblTxn[Category],$B62)*$P62)</f>
        <v/>
      </c>
      <c r="G62" s="13">
        <f>IF($B62="","",SUMIFS(tblTxn[View Amount],tblTxn[Month],G$4,tblTxn[Category],$B62)*$P62)</f>
        <v/>
      </c>
      <c r="H62" s="13">
        <f>IF($B62="","",SUMIFS(tblTxn[View Amount],tblTxn[Month],H$4,tblTxn[Category],$B62)*$P62)</f>
        <v/>
      </c>
      <c r="I62" s="13">
        <f>IF($B62="","",SUMIFS(tblTxn[View Amount],tblTxn[Month],I$4,tblTxn[Category],$B62)*$P62)</f>
        <v/>
      </c>
      <c r="J62" s="13">
        <f>IF($B62="","",SUMIFS(tblTxn[View Amount],tblTxn[Month],J$4,tblTxn[Category],$B62)*$P62)</f>
        <v/>
      </c>
      <c r="K62" s="13">
        <f>IF($B62="","",SUMIFS(tblTxn[View Amount],tblTxn[Month],K$4,tblTxn[Category],$B62)*$P62)</f>
        <v/>
      </c>
      <c r="L62" s="13">
        <f>IF($B62="","",SUMIFS(tblTxn[View Amount],tblTxn[Month],L$4,tblTxn[Category],$B62)*$P62)</f>
        <v/>
      </c>
      <c r="M62" s="13">
        <f>IF($B62="","",SUMIFS(tblTxn[View Amount],tblTxn[Month],M$4,tblTxn[Category],$B62)*$P62)</f>
        <v/>
      </c>
      <c r="N62" s="13">
        <f>IF($B62="","",SUMIFS(tblTxn[View Amount],tblTxn[Month],N$4,tblTxn[Category],$B62)*$P62)</f>
        <v/>
      </c>
      <c r="O62" s="15">
        <f>IF($B62="","",SUM(C62:N62))</f>
        <v/>
      </c>
      <c r="P62">
        <f>IF($B62="",0,IFERROR(IF(INDEX(tblCategories[Type],MATCH($B62,tblCategories[Category],0))="Income",1,-1),-1))</f>
        <v/>
      </c>
      <c r="Q62">
        <f>IF(AND($B62&lt;&gt;"",$P62&lt;&gt;1,N($N62)&gt;0),$N62+ROW()/1E+7,-1)</f>
        <v/>
      </c>
    </row>
    <row r="63">
      <c r="B63" s="7">
        <f>IFERROR(INDEX(tblCategories[Category],35),"")</f>
        <v/>
      </c>
      <c r="C63" s="13">
        <f>IF($B63="","",SUMIFS(tblTxn[View Amount],tblTxn[Month],C$4,tblTxn[Category],$B63)*$P63)</f>
        <v/>
      </c>
      <c r="D63" s="13">
        <f>IF($B63="","",SUMIFS(tblTxn[View Amount],tblTxn[Month],D$4,tblTxn[Category],$B63)*$P63)</f>
        <v/>
      </c>
      <c r="E63" s="13">
        <f>IF($B63="","",SUMIFS(tblTxn[View Amount],tblTxn[Month],E$4,tblTxn[Category],$B63)*$P63)</f>
        <v/>
      </c>
      <c r="F63" s="13">
        <f>IF($B63="","",SUMIFS(tblTxn[View Amount],tblTxn[Month],F$4,tblTxn[Category],$B63)*$P63)</f>
        <v/>
      </c>
      <c r="G63" s="13">
        <f>IF($B63="","",SUMIFS(tblTxn[View Amount],tblTxn[Month],G$4,tblTxn[Category],$B63)*$P63)</f>
        <v/>
      </c>
      <c r="H63" s="13">
        <f>IF($B63="","",SUMIFS(tblTxn[View Amount],tblTxn[Month],H$4,tblTxn[Category],$B63)*$P63)</f>
        <v/>
      </c>
      <c r="I63" s="13">
        <f>IF($B63="","",SUMIFS(tblTxn[View Amount],tblTxn[Month],I$4,tblTxn[Category],$B63)*$P63)</f>
        <v/>
      </c>
      <c r="J63" s="13">
        <f>IF($B63="","",SUMIFS(tblTxn[View Amount],tblTxn[Month],J$4,tblTxn[Category],$B63)*$P63)</f>
        <v/>
      </c>
      <c r="K63" s="13">
        <f>IF($B63="","",SUMIFS(tblTxn[View Amount],tblTxn[Month],K$4,tblTxn[Category],$B63)*$P63)</f>
        <v/>
      </c>
      <c r="L63" s="13">
        <f>IF($B63="","",SUMIFS(tblTxn[View Amount],tblTxn[Month],L$4,tblTxn[Category],$B63)*$P63)</f>
        <v/>
      </c>
      <c r="M63" s="13">
        <f>IF($B63="","",SUMIFS(tblTxn[View Amount],tblTxn[Month],M$4,tblTxn[Category],$B63)*$P63)</f>
        <v/>
      </c>
      <c r="N63" s="13">
        <f>IF($B63="","",SUMIFS(tblTxn[View Amount],tblTxn[Month],N$4,tblTxn[Category],$B63)*$P63)</f>
        <v/>
      </c>
      <c r="O63" s="15">
        <f>IF($B63="","",SUM(C63:N63))</f>
        <v/>
      </c>
      <c r="P63">
        <f>IF($B63="",0,IFERROR(IF(INDEX(tblCategories[Type],MATCH($B63,tblCategories[Category],0))="Income",1,-1),-1))</f>
        <v/>
      </c>
      <c r="Q63">
        <f>IF(AND($B63&lt;&gt;"",$P63&lt;&gt;1,N($N63)&gt;0),$N63+ROW()/1E+7,-1)</f>
        <v/>
      </c>
    </row>
    <row r="64">
      <c r="B64" s="7">
        <f>IFERROR(INDEX(tblCategories[Category],36),"")</f>
        <v/>
      </c>
      <c r="C64" s="13">
        <f>IF($B64="","",SUMIFS(tblTxn[View Amount],tblTxn[Month],C$4,tblTxn[Category],$B64)*$P64)</f>
        <v/>
      </c>
      <c r="D64" s="13">
        <f>IF($B64="","",SUMIFS(tblTxn[View Amount],tblTxn[Month],D$4,tblTxn[Category],$B64)*$P64)</f>
        <v/>
      </c>
      <c r="E64" s="13">
        <f>IF($B64="","",SUMIFS(tblTxn[View Amount],tblTxn[Month],E$4,tblTxn[Category],$B64)*$P64)</f>
        <v/>
      </c>
      <c r="F64" s="13">
        <f>IF($B64="","",SUMIFS(tblTxn[View Amount],tblTxn[Month],F$4,tblTxn[Category],$B64)*$P64)</f>
        <v/>
      </c>
      <c r="G64" s="13">
        <f>IF($B64="","",SUMIFS(tblTxn[View Amount],tblTxn[Month],G$4,tblTxn[Category],$B64)*$P64)</f>
        <v/>
      </c>
      <c r="H64" s="13">
        <f>IF($B64="","",SUMIFS(tblTxn[View Amount],tblTxn[Month],H$4,tblTxn[Category],$B64)*$P64)</f>
        <v/>
      </c>
      <c r="I64" s="13">
        <f>IF($B64="","",SUMIFS(tblTxn[View Amount],tblTxn[Month],I$4,tblTxn[Category],$B64)*$P64)</f>
        <v/>
      </c>
      <c r="J64" s="13">
        <f>IF($B64="","",SUMIFS(tblTxn[View Amount],tblTxn[Month],J$4,tblTxn[Category],$B64)*$P64)</f>
        <v/>
      </c>
      <c r="K64" s="13">
        <f>IF($B64="","",SUMIFS(tblTxn[View Amount],tblTxn[Month],K$4,tblTxn[Category],$B64)*$P64)</f>
        <v/>
      </c>
      <c r="L64" s="13">
        <f>IF($B64="","",SUMIFS(tblTxn[View Amount],tblTxn[Month],L$4,tblTxn[Category],$B64)*$P64)</f>
        <v/>
      </c>
      <c r="M64" s="13">
        <f>IF($B64="","",SUMIFS(tblTxn[View Amount],tblTxn[Month],M$4,tblTxn[Category],$B64)*$P64)</f>
        <v/>
      </c>
      <c r="N64" s="13">
        <f>IF($B64="","",SUMIFS(tblTxn[View Amount],tblTxn[Month],N$4,tblTxn[Category],$B64)*$P64)</f>
        <v/>
      </c>
      <c r="O64" s="15">
        <f>IF($B64="","",SUM(C64:N64))</f>
        <v/>
      </c>
      <c r="P64">
        <f>IF($B64="",0,IFERROR(IF(INDEX(tblCategories[Type],MATCH($B64,tblCategories[Category],0))="Income",1,-1),-1))</f>
        <v/>
      </c>
      <c r="Q64">
        <f>IF(AND($B64&lt;&gt;"",$P64&lt;&gt;1,N($N64)&gt;0),$N64+ROW()/1E+7,-1)</f>
        <v/>
      </c>
    </row>
    <row r="65">
      <c r="B65" s="7">
        <f>IFERROR(INDEX(tblCategories[Category],37),"")</f>
        <v/>
      </c>
      <c r="C65" s="13">
        <f>IF($B65="","",SUMIFS(tblTxn[View Amount],tblTxn[Month],C$4,tblTxn[Category],$B65)*$P65)</f>
        <v/>
      </c>
      <c r="D65" s="13">
        <f>IF($B65="","",SUMIFS(tblTxn[View Amount],tblTxn[Month],D$4,tblTxn[Category],$B65)*$P65)</f>
        <v/>
      </c>
      <c r="E65" s="13">
        <f>IF($B65="","",SUMIFS(tblTxn[View Amount],tblTxn[Month],E$4,tblTxn[Category],$B65)*$P65)</f>
        <v/>
      </c>
      <c r="F65" s="13">
        <f>IF($B65="","",SUMIFS(tblTxn[View Amount],tblTxn[Month],F$4,tblTxn[Category],$B65)*$P65)</f>
        <v/>
      </c>
      <c r="G65" s="13">
        <f>IF($B65="","",SUMIFS(tblTxn[View Amount],tblTxn[Month],G$4,tblTxn[Category],$B65)*$P65)</f>
        <v/>
      </c>
      <c r="H65" s="13">
        <f>IF($B65="","",SUMIFS(tblTxn[View Amount],tblTxn[Month],H$4,tblTxn[Category],$B65)*$P65)</f>
        <v/>
      </c>
      <c r="I65" s="13">
        <f>IF($B65="","",SUMIFS(tblTxn[View Amount],tblTxn[Month],I$4,tblTxn[Category],$B65)*$P65)</f>
        <v/>
      </c>
      <c r="J65" s="13">
        <f>IF($B65="","",SUMIFS(tblTxn[View Amount],tblTxn[Month],J$4,tblTxn[Category],$B65)*$P65)</f>
        <v/>
      </c>
      <c r="K65" s="13">
        <f>IF($B65="","",SUMIFS(tblTxn[View Amount],tblTxn[Month],K$4,tblTxn[Category],$B65)*$P65)</f>
        <v/>
      </c>
      <c r="L65" s="13">
        <f>IF($B65="","",SUMIFS(tblTxn[View Amount],tblTxn[Month],L$4,tblTxn[Category],$B65)*$P65)</f>
        <v/>
      </c>
      <c r="M65" s="13">
        <f>IF($B65="","",SUMIFS(tblTxn[View Amount],tblTxn[Month],M$4,tblTxn[Category],$B65)*$P65)</f>
        <v/>
      </c>
      <c r="N65" s="13">
        <f>IF($B65="","",SUMIFS(tblTxn[View Amount],tblTxn[Month],N$4,tblTxn[Category],$B65)*$P65)</f>
        <v/>
      </c>
      <c r="O65" s="15">
        <f>IF($B65="","",SUM(C65:N65))</f>
        <v/>
      </c>
      <c r="P65">
        <f>IF($B65="",0,IFERROR(IF(INDEX(tblCategories[Type],MATCH($B65,tblCategories[Category],0))="Income",1,-1),-1))</f>
        <v/>
      </c>
      <c r="Q65">
        <f>IF(AND($B65&lt;&gt;"",$P65&lt;&gt;1,N($N65)&gt;0),$N65+ROW()/1E+7,-1)</f>
        <v/>
      </c>
    </row>
    <row r="66">
      <c r="B66" s="7">
        <f>IFERROR(INDEX(tblCategories[Category],38),"")</f>
        <v/>
      </c>
      <c r="C66" s="13">
        <f>IF($B66="","",SUMIFS(tblTxn[View Amount],tblTxn[Month],C$4,tblTxn[Category],$B66)*$P66)</f>
        <v/>
      </c>
      <c r="D66" s="13">
        <f>IF($B66="","",SUMIFS(tblTxn[View Amount],tblTxn[Month],D$4,tblTxn[Category],$B66)*$P66)</f>
        <v/>
      </c>
      <c r="E66" s="13">
        <f>IF($B66="","",SUMIFS(tblTxn[View Amount],tblTxn[Month],E$4,tblTxn[Category],$B66)*$P66)</f>
        <v/>
      </c>
      <c r="F66" s="13">
        <f>IF($B66="","",SUMIFS(tblTxn[View Amount],tblTxn[Month],F$4,tblTxn[Category],$B66)*$P66)</f>
        <v/>
      </c>
      <c r="G66" s="13">
        <f>IF($B66="","",SUMIFS(tblTxn[View Amount],tblTxn[Month],G$4,tblTxn[Category],$B66)*$P66)</f>
        <v/>
      </c>
      <c r="H66" s="13">
        <f>IF($B66="","",SUMIFS(tblTxn[View Amount],tblTxn[Month],H$4,tblTxn[Category],$B66)*$P66)</f>
        <v/>
      </c>
      <c r="I66" s="13">
        <f>IF($B66="","",SUMIFS(tblTxn[View Amount],tblTxn[Month],I$4,tblTxn[Category],$B66)*$P66)</f>
        <v/>
      </c>
      <c r="J66" s="13">
        <f>IF($B66="","",SUMIFS(tblTxn[View Amount],tblTxn[Month],J$4,tblTxn[Category],$B66)*$P66)</f>
        <v/>
      </c>
      <c r="K66" s="13">
        <f>IF($B66="","",SUMIFS(tblTxn[View Amount],tblTxn[Month],K$4,tblTxn[Category],$B66)*$P66)</f>
        <v/>
      </c>
      <c r="L66" s="13">
        <f>IF($B66="","",SUMIFS(tblTxn[View Amount],tblTxn[Month],L$4,tblTxn[Category],$B66)*$P66)</f>
        <v/>
      </c>
      <c r="M66" s="13">
        <f>IF($B66="","",SUMIFS(tblTxn[View Amount],tblTxn[Month],M$4,tblTxn[Category],$B66)*$P66)</f>
        <v/>
      </c>
      <c r="N66" s="13">
        <f>IF($B66="","",SUMIFS(tblTxn[View Amount],tblTxn[Month],N$4,tblTxn[Category],$B66)*$P66)</f>
        <v/>
      </c>
      <c r="O66" s="15">
        <f>IF($B66="","",SUM(C66:N66))</f>
        <v/>
      </c>
      <c r="P66">
        <f>IF($B66="",0,IFERROR(IF(INDEX(tblCategories[Type],MATCH($B66,tblCategories[Category],0))="Income",1,-1),-1))</f>
        <v/>
      </c>
      <c r="Q66">
        <f>IF(AND($B66&lt;&gt;"",$P66&lt;&gt;1,N($N66)&gt;0),$N66+ROW()/1E+7,-1)</f>
        <v/>
      </c>
    </row>
    <row r="67">
      <c r="B67" s="7">
        <f>IFERROR(INDEX(tblCategories[Category],39),"")</f>
        <v/>
      </c>
      <c r="C67" s="13">
        <f>IF($B67="","",SUMIFS(tblTxn[View Amount],tblTxn[Month],C$4,tblTxn[Category],$B67)*$P67)</f>
        <v/>
      </c>
      <c r="D67" s="13">
        <f>IF($B67="","",SUMIFS(tblTxn[View Amount],tblTxn[Month],D$4,tblTxn[Category],$B67)*$P67)</f>
        <v/>
      </c>
      <c r="E67" s="13">
        <f>IF($B67="","",SUMIFS(tblTxn[View Amount],tblTxn[Month],E$4,tblTxn[Category],$B67)*$P67)</f>
        <v/>
      </c>
      <c r="F67" s="13">
        <f>IF($B67="","",SUMIFS(tblTxn[View Amount],tblTxn[Month],F$4,tblTxn[Category],$B67)*$P67)</f>
        <v/>
      </c>
      <c r="G67" s="13">
        <f>IF($B67="","",SUMIFS(tblTxn[View Amount],tblTxn[Month],G$4,tblTxn[Category],$B67)*$P67)</f>
        <v/>
      </c>
      <c r="H67" s="13">
        <f>IF($B67="","",SUMIFS(tblTxn[View Amount],tblTxn[Month],H$4,tblTxn[Category],$B67)*$P67)</f>
        <v/>
      </c>
      <c r="I67" s="13">
        <f>IF($B67="","",SUMIFS(tblTxn[View Amount],tblTxn[Month],I$4,tblTxn[Category],$B67)*$P67)</f>
        <v/>
      </c>
      <c r="J67" s="13">
        <f>IF($B67="","",SUMIFS(tblTxn[View Amount],tblTxn[Month],J$4,tblTxn[Category],$B67)*$P67)</f>
        <v/>
      </c>
      <c r="K67" s="13">
        <f>IF($B67="","",SUMIFS(tblTxn[View Amount],tblTxn[Month],K$4,tblTxn[Category],$B67)*$P67)</f>
        <v/>
      </c>
      <c r="L67" s="13">
        <f>IF($B67="","",SUMIFS(tblTxn[View Amount],tblTxn[Month],L$4,tblTxn[Category],$B67)*$P67)</f>
        <v/>
      </c>
      <c r="M67" s="13">
        <f>IF($B67="","",SUMIFS(tblTxn[View Amount],tblTxn[Month],M$4,tblTxn[Category],$B67)*$P67)</f>
        <v/>
      </c>
      <c r="N67" s="13">
        <f>IF($B67="","",SUMIFS(tblTxn[View Amount],tblTxn[Month],N$4,tblTxn[Category],$B67)*$P67)</f>
        <v/>
      </c>
      <c r="O67" s="15">
        <f>IF($B67="","",SUM(C67:N67))</f>
        <v/>
      </c>
      <c r="P67">
        <f>IF($B67="",0,IFERROR(IF(INDEX(tblCategories[Type],MATCH($B67,tblCategories[Category],0))="Income",1,-1),-1))</f>
        <v/>
      </c>
      <c r="Q67">
        <f>IF(AND($B67&lt;&gt;"",$P67&lt;&gt;1,N($N67)&gt;0),$N67+ROW()/1E+7,-1)</f>
        <v/>
      </c>
    </row>
    <row r="68">
      <c r="B68" s="7">
        <f>IFERROR(INDEX(tblCategories[Category],40),"")</f>
        <v/>
      </c>
      <c r="C68" s="13">
        <f>IF($B68="","",SUMIFS(tblTxn[View Amount],tblTxn[Month],C$4,tblTxn[Category],$B68)*$P68)</f>
        <v/>
      </c>
      <c r="D68" s="13">
        <f>IF($B68="","",SUMIFS(tblTxn[View Amount],tblTxn[Month],D$4,tblTxn[Category],$B68)*$P68)</f>
        <v/>
      </c>
      <c r="E68" s="13">
        <f>IF($B68="","",SUMIFS(tblTxn[View Amount],tblTxn[Month],E$4,tblTxn[Category],$B68)*$P68)</f>
        <v/>
      </c>
      <c r="F68" s="13">
        <f>IF($B68="","",SUMIFS(tblTxn[View Amount],tblTxn[Month],F$4,tblTxn[Category],$B68)*$P68)</f>
        <v/>
      </c>
      <c r="G68" s="13">
        <f>IF($B68="","",SUMIFS(tblTxn[View Amount],tblTxn[Month],G$4,tblTxn[Category],$B68)*$P68)</f>
        <v/>
      </c>
      <c r="H68" s="13">
        <f>IF($B68="","",SUMIFS(tblTxn[View Amount],tblTxn[Month],H$4,tblTxn[Category],$B68)*$P68)</f>
        <v/>
      </c>
      <c r="I68" s="13">
        <f>IF($B68="","",SUMIFS(tblTxn[View Amount],tblTxn[Month],I$4,tblTxn[Category],$B68)*$P68)</f>
        <v/>
      </c>
      <c r="J68" s="13">
        <f>IF($B68="","",SUMIFS(tblTxn[View Amount],tblTxn[Month],J$4,tblTxn[Category],$B68)*$P68)</f>
        <v/>
      </c>
      <c r="K68" s="13">
        <f>IF($B68="","",SUMIFS(tblTxn[View Amount],tblTxn[Month],K$4,tblTxn[Category],$B68)*$P68)</f>
        <v/>
      </c>
      <c r="L68" s="13">
        <f>IF($B68="","",SUMIFS(tblTxn[View Amount],tblTxn[Month],L$4,tblTxn[Category],$B68)*$P68)</f>
        <v/>
      </c>
      <c r="M68" s="13">
        <f>IF($B68="","",SUMIFS(tblTxn[View Amount],tblTxn[Month],M$4,tblTxn[Category],$B68)*$P68)</f>
        <v/>
      </c>
      <c r="N68" s="13">
        <f>IF($B68="","",SUMIFS(tblTxn[View Amount],tblTxn[Month],N$4,tblTxn[Category],$B68)*$P68)</f>
        <v/>
      </c>
      <c r="O68" s="15">
        <f>IF($B68="","",SUM(C68:N68))</f>
        <v/>
      </c>
      <c r="P68">
        <f>IF($B68="",0,IFERROR(IF(INDEX(tblCategories[Type],MATCH($B68,tblCategories[Category],0))="Income",1,-1),-1))</f>
        <v/>
      </c>
      <c r="Q68">
        <f>IF(AND($B68&lt;&gt;"",$P68&lt;&gt;1,N($N68)&gt;0),$N68+ROW()/1E+7,-1)</f>
        <v/>
      </c>
    </row>
    <row r="69">
      <c r="B69" s="7">
        <f>IFERROR(INDEX(tblCategories[Category],41),"")</f>
        <v/>
      </c>
      <c r="C69" s="13">
        <f>IF($B69="","",SUMIFS(tblTxn[View Amount],tblTxn[Month],C$4,tblTxn[Category],$B69)*$P69)</f>
        <v/>
      </c>
      <c r="D69" s="13">
        <f>IF($B69="","",SUMIFS(tblTxn[View Amount],tblTxn[Month],D$4,tblTxn[Category],$B69)*$P69)</f>
        <v/>
      </c>
      <c r="E69" s="13">
        <f>IF($B69="","",SUMIFS(tblTxn[View Amount],tblTxn[Month],E$4,tblTxn[Category],$B69)*$P69)</f>
        <v/>
      </c>
      <c r="F69" s="13">
        <f>IF($B69="","",SUMIFS(tblTxn[View Amount],tblTxn[Month],F$4,tblTxn[Category],$B69)*$P69)</f>
        <v/>
      </c>
      <c r="G69" s="13">
        <f>IF($B69="","",SUMIFS(tblTxn[View Amount],tblTxn[Month],G$4,tblTxn[Category],$B69)*$P69)</f>
        <v/>
      </c>
      <c r="H69" s="13">
        <f>IF($B69="","",SUMIFS(tblTxn[View Amount],tblTxn[Month],H$4,tblTxn[Category],$B69)*$P69)</f>
        <v/>
      </c>
      <c r="I69" s="13">
        <f>IF($B69="","",SUMIFS(tblTxn[View Amount],tblTxn[Month],I$4,tblTxn[Category],$B69)*$P69)</f>
        <v/>
      </c>
      <c r="J69" s="13">
        <f>IF($B69="","",SUMIFS(tblTxn[View Amount],tblTxn[Month],J$4,tblTxn[Category],$B69)*$P69)</f>
        <v/>
      </c>
      <c r="K69" s="13">
        <f>IF($B69="","",SUMIFS(tblTxn[View Amount],tblTxn[Month],K$4,tblTxn[Category],$B69)*$P69)</f>
        <v/>
      </c>
      <c r="L69" s="13">
        <f>IF($B69="","",SUMIFS(tblTxn[View Amount],tblTxn[Month],L$4,tblTxn[Category],$B69)*$P69)</f>
        <v/>
      </c>
      <c r="M69" s="13">
        <f>IF($B69="","",SUMIFS(tblTxn[View Amount],tblTxn[Month],M$4,tblTxn[Category],$B69)*$P69)</f>
        <v/>
      </c>
      <c r="N69" s="13">
        <f>IF($B69="","",SUMIFS(tblTxn[View Amount],tblTxn[Month],N$4,tblTxn[Category],$B69)*$P69)</f>
        <v/>
      </c>
      <c r="O69" s="15">
        <f>IF($B69="","",SUM(C69:N69))</f>
        <v/>
      </c>
      <c r="P69">
        <f>IF($B69="",0,IFERROR(IF(INDEX(tblCategories[Type],MATCH($B69,tblCategories[Category],0))="Income",1,-1),-1))</f>
        <v/>
      </c>
      <c r="Q69">
        <f>IF(AND($B69&lt;&gt;"",$P69&lt;&gt;1,N($N69)&gt;0),$N69+ROW()/1E+7,-1)</f>
        <v/>
      </c>
    </row>
    <row r="70">
      <c r="B70" s="7">
        <f>IFERROR(INDEX(tblCategories[Category],42),"")</f>
        <v/>
      </c>
      <c r="C70" s="13">
        <f>IF($B70="","",SUMIFS(tblTxn[View Amount],tblTxn[Month],C$4,tblTxn[Category],$B70)*$P70)</f>
        <v/>
      </c>
      <c r="D70" s="13">
        <f>IF($B70="","",SUMIFS(tblTxn[View Amount],tblTxn[Month],D$4,tblTxn[Category],$B70)*$P70)</f>
        <v/>
      </c>
      <c r="E70" s="13">
        <f>IF($B70="","",SUMIFS(tblTxn[View Amount],tblTxn[Month],E$4,tblTxn[Category],$B70)*$P70)</f>
        <v/>
      </c>
      <c r="F70" s="13">
        <f>IF($B70="","",SUMIFS(tblTxn[View Amount],tblTxn[Month],F$4,tblTxn[Category],$B70)*$P70)</f>
        <v/>
      </c>
      <c r="G70" s="13">
        <f>IF($B70="","",SUMIFS(tblTxn[View Amount],tblTxn[Month],G$4,tblTxn[Category],$B70)*$P70)</f>
        <v/>
      </c>
      <c r="H70" s="13">
        <f>IF($B70="","",SUMIFS(tblTxn[View Amount],tblTxn[Month],H$4,tblTxn[Category],$B70)*$P70)</f>
        <v/>
      </c>
      <c r="I70" s="13">
        <f>IF($B70="","",SUMIFS(tblTxn[View Amount],tblTxn[Month],I$4,tblTxn[Category],$B70)*$P70)</f>
        <v/>
      </c>
      <c r="J70" s="13">
        <f>IF($B70="","",SUMIFS(tblTxn[View Amount],tblTxn[Month],J$4,tblTxn[Category],$B70)*$P70)</f>
        <v/>
      </c>
      <c r="K70" s="13">
        <f>IF($B70="","",SUMIFS(tblTxn[View Amount],tblTxn[Month],K$4,tblTxn[Category],$B70)*$P70)</f>
        <v/>
      </c>
      <c r="L70" s="13">
        <f>IF($B70="","",SUMIFS(tblTxn[View Amount],tblTxn[Month],L$4,tblTxn[Category],$B70)*$P70)</f>
        <v/>
      </c>
      <c r="M70" s="13">
        <f>IF($B70="","",SUMIFS(tblTxn[View Amount],tblTxn[Month],M$4,tblTxn[Category],$B70)*$P70)</f>
        <v/>
      </c>
      <c r="N70" s="13">
        <f>IF($B70="","",SUMIFS(tblTxn[View Amount],tblTxn[Month],N$4,tblTxn[Category],$B70)*$P70)</f>
        <v/>
      </c>
      <c r="O70" s="15">
        <f>IF($B70="","",SUM(C70:N70))</f>
        <v/>
      </c>
      <c r="P70">
        <f>IF($B70="",0,IFERROR(IF(INDEX(tblCategories[Type],MATCH($B70,tblCategories[Category],0))="Income",1,-1),-1))</f>
        <v/>
      </c>
      <c r="Q70">
        <f>IF(AND($B70&lt;&gt;"",$P70&lt;&gt;1,N($N70)&gt;0),$N70+ROW()/1E+7,-1)</f>
        <v/>
      </c>
    </row>
    <row r="71">
      <c r="B71" s="7">
        <f>IFERROR(INDEX(tblCategories[Category],43),"")</f>
        <v/>
      </c>
      <c r="C71" s="13">
        <f>IF($B71="","",SUMIFS(tblTxn[View Amount],tblTxn[Month],C$4,tblTxn[Category],$B71)*$P71)</f>
        <v/>
      </c>
      <c r="D71" s="13">
        <f>IF($B71="","",SUMIFS(tblTxn[View Amount],tblTxn[Month],D$4,tblTxn[Category],$B71)*$P71)</f>
        <v/>
      </c>
      <c r="E71" s="13">
        <f>IF($B71="","",SUMIFS(tblTxn[View Amount],tblTxn[Month],E$4,tblTxn[Category],$B71)*$P71)</f>
        <v/>
      </c>
      <c r="F71" s="13">
        <f>IF($B71="","",SUMIFS(tblTxn[View Amount],tblTxn[Month],F$4,tblTxn[Category],$B71)*$P71)</f>
        <v/>
      </c>
      <c r="G71" s="13">
        <f>IF($B71="","",SUMIFS(tblTxn[View Amount],tblTxn[Month],G$4,tblTxn[Category],$B71)*$P71)</f>
        <v/>
      </c>
      <c r="H71" s="13">
        <f>IF($B71="","",SUMIFS(tblTxn[View Amount],tblTxn[Month],H$4,tblTxn[Category],$B71)*$P71)</f>
        <v/>
      </c>
      <c r="I71" s="13">
        <f>IF($B71="","",SUMIFS(tblTxn[View Amount],tblTxn[Month],I$4,tblTxn[Category],$B71)*$P71)</f>
        <v/>
      </c>
      <c r="J71" s="13">
        <f>IF($B71="","",SUMIFS(tblTxn[View Amount],tblTxn[Month],J$4,tblTxn[Category],$B71)*$P71)</f>
        <v/>
      </c>
      <c r="K71" s="13">
        <f>IF($B71="","",SUMIFS(tblTxn[View Amount],tblTxn[Month],K$4,tblTxn[Category],$B71)*$P71)</f>
        <v/>
      </c>
      <c r="L71" s="13">
        <f>IF($B71="","",SUMIFS(tblTxn[View Amount],tblTxn[Month],L$4,tblTxn[Category],$B71)*$P71)</f>
        <v/>
      </c>
      <c r="M71" s="13">
        <f>IF($B71="","",SUMIFS(tblTxn[View Amount],tblTxn[Month],M$4,tblTxn[Category],$B71)*$P71)</f>
        <v/>
      </c>
      <c r="N71" s="13">
        <f>IF($B71="","",SUMIFS(tblTxn[View Amount],tblTxn[Month],N$4,tblTxn[Category],$B71)*$P71)</f>
        <v/>
      </c>
      <c r="O71" s="15">
        <f>IF($B71="","",SUM(C71:N71))</f>
        <v/>
      </c>
      <c r="P71">
        <f>IF($B71="",0,IFERROR(IF(INDEX(tblCategories[Type],MATCH($B71,tblCategories[Category],0))="Income",1,-1),-1))</f>
        <v/>
      </c>
      <c r="Q71">
        <f>IF(AND($B71&lt;&gt;"",$P71&lt;&gt;1,N($N71)&gt;0),$N71+ROW()/1E+7,-1)</f>
        <v/>
      </c>
    </row>
    <row r="72">
      <c r="B72" s="7">
        <f>IFERROR(INDEX(tblCategories[Category],44),"")</f>
        <v/>
      </c>
      <c r="C72" s="13">
        <f>IF($B72="","",SUMIFS(tblTxn[View Amount],tblTxn[Month],C$4,tblTxn[Category],$B72)*$P72)</f>
        <v/>
      </c>
      <c r="D72" s="13">
        <f>IF($B72="","",SUMIFS(tblTxn[View Amount],tblTxn[Month],D$4,tblTxn[Category],$B72)*$P72)</f>
        <v/>
      </c>
      <c r="E72" s="13">
        <f>IF($B72="","",SUMIFS(tblTxn[View Amount],tblTxn[Month],E$4,tblTxn[Category],$B72)*$P72)</f>
        <v/>
      </c>
      <c r="F72" s="13">
        <f>IF($B72="","",SUMIFS(tblTxn[View Amount],tblTxn[Month],F$4,tblTxn[Category],$B72)*$P72)</f>
        <v/>
      </c>
      <c r="G72" s="13">
        <f>IF($B72="","",SUMIFS(tblTxn[View Amount],tblTxn[Month],G$4,tblTxn[Category],$B72)*$P72)</f>
        <v/>
      </c>
      <c r="H72" s="13">
        <f>IF($B72="","",SUMIFS(tblTxn[View Amount],tblTxn[Month],H$4,tblTxn[Category],$B72)*$P72)</f>
        <v/>
      </c>
      <c r="I72" s="13">
        <f>IF($B72="","",SUMIFS(tblTxn[View Amount],tblTxn[Month],I$4,tblTxn[Category],$B72)*$P72)</f>
        <v/>
      </c>
      <c r="J72" s="13">
        <f>IF($B72="","",SUMIFS(tblTxn[View Amount],tblTxn[Month],J$4,tblTxn[Category],$B72)*$P72)</f>
        <v/>
      </c>
      <c r="K72" s="13">
        <f>IF($B72="","",SUMIFS(tblTxn[View Amount],tblTxn[Month],K$4,tblTxn[Category],$B72)*$P72)</f>
        <v/>
      </c>
      <c r="L72" s="13">
        <f>IF($B72="","",SUMIFS(tblTxn[View Amount],tblTxn[Month],L$4,tblTxn[Category],$B72)*$P72)</f>
        <v/>
      </c>
      <c r="M72" s="13">
        <f>IF($B72="","",SUMIFS(tblTxn[View Amount],tblTxn[Month],M$4,tblTxn[Category],$B72)*$P72)</f>
        <v/>
      </c>
      <c r="N72" s="13">
        <f>IF($B72="","",SUMIFS(tblTxn[View Amount],tblTxn[Month],N$4,tblTxn[Category],$B72)*$P72)</f>
        <v/>
      </c>
      <c r="O72" s="15">
        <f>IF($B72="","",SUM(C72:N72))</f>
        <v/>
      </c>
      <c r="P72">
        <f>IF($B72="",0,IFERROR(IF(INDEX(tblCategories[Type],MATCH($B72,tblCategories[Category],0))="Income",1,-1),-1))</f>
        <v/>
      </c>
      <c r="Q72">
        <f>IF(AND($B72&lt;&gt;"",$P72&lt;&gt;1,N($N72)&gt;0),$N72+ROW()/1E+7,-1)</f>
        <v/>
      </c>
    </row>
    <row r="73">
      <c r="B73" s="7">
        <f>IFERROR(INDEX(tblCategories[Category],45),"")</f>
        <v/>
      </c>
      <c r="C73" s="13">
        <f>IF($B73="","",SUMIFS(tblTxn[View Amount],tblTxn[Month],C$4,tblTxn[Category],$B73)*$P73)</f>
        <v/>
      </c>
      <c r="D73" s="13">
        <f>IF($B73="","",SUMIFS(tblTxn[View Amount],tblTxn[Month],D$4,tblTxn[Category],$B73)*$P73)</f>
        <v/>
      </c>
      <c r="E73" s="13">
        <f>IF($B73="","",SUMIFS(tblTxn[View Amount],tblTxn[Month],E$4,tblTxn[Category],$B73)*$P73)</f>
        <v/>
      </c>
      <c r="F73" s="13">
        <f>IF($B73="","",SUMIFS(tblTxn[View Amount],tblTxn[Month],F$4,tblTxn[Category],$B73)*$P73)</f>
        <v/>
      </c>
      <c r="G73" s="13">
        <f>IF($B73="","",SUMIFS(tblTxn[View Amount],tblTxn[Month],G$4,tblTxn[Category],$B73)*$P73)</f>
        <v/>
      </c>
      <c r="H73" s="13">
        <f>IF($B73="","",SUMIFS(tblTxn[View Amount],tblTxn[Month],H$4,tblTxn[Category],$B73)*$P73)</f>
        <v/>
      </c>
      <c r="I73" s="13">
        <f>IF($B73="","",SUMIFS(tblTxn[View Amount],tblTxn[Month],I$4,tblTxn[Category],$B73)*$P73)</f>
        <v/>
      </c>
      <c r="J73" s="13">
        <f>IF($B73="","",SUMIFS(tblTxn[View Amount],tblTxn[Month],J$4,tblTxn[Category],$B73)*$P73)</f>
        <v/>
      </c>
      <c r="K73" s="13">
        <f>IF($B73="","",SUMIFS(tblTxn[View Amount],tblTxn[Month],K$4,tblTxn[Category],$B73)*$P73)</f>
        <v/>
      </c>
      <c r="L73" s="13">
        <f>IF($B73="","",SUMIFS(tblTxn[View Amount],tblTxn[Month],L$4,tblTxn[Category],$B73)*$P73)</f>
        <v/>
      </c>
      <c r="M73" s="13">
        <f>IF($B73="","",SUMIFS(tblTxn[View Amount],tblTxn[Month],M$4,tblTxn[Category],$B73)*$P73)</f>
        <v/>
      </c>
      <c r="N73" s="13">
        <f>IF($B73="","",SUMIFS(tblTxn[View Amount],tblTxn[Month],N$4,tblTxn[Category],$B73)*$P73)</f>
        <v/>
      </c>
      <c r="O73" s="15">
        <f>IF($B73="","",SUM(C73:N73))</f>
        <v/>
      </c>
      <c r="P73">
        <f>IF($B73="",0,IFERROR(IF(INDEX(tblCategories[Type],MATCH($B73,tblCategories[Category],0))="Income",1,-1),-1))</f>
        <v/>
      </c>
      <c r="Q73">
        <f>IF(AND($B73&lt;&gt;"",$P73&lt;&gt;1,N($N73)&gt;0),$N73+ROW()/1E+7,-1)</f>
        <v/>
      </c>
    </row>
    <row r="74">
      <c r="B74" s="7">
        <f>IFERROR(INDEX(tblCategories[Category],46),"")</f>
        <v/>
      </c>
      <c r="C74" s="13">
        <f>IF($B74="","",SUMIFS(tblTxn[View Amount],tblTxn[Month],C$4,tblTxn[Category],$B74)*$P74)</f>
        <v/>
      </c>
      <c r="D74" s="13">
        <f>IF($B74="","",SUMIFS(tblTxn[View Amount],tblTxn[Month],D$4,tblTxn[Category],$B74)*$P74)</f>
        <v/>
      </c>
      <c r="E74" s="13">
        <f>IF($B74="","",SUMIFS(tblTxn[View Amount],tblTxn[Month],E$4,tblTxn[Category],$B74)*$P74)</f>
        <v/>
      </c>
      <c r="F74" s="13">
        <f>IF($B74="","",SUMIFS(tblTxn[View Amount],tblTxn[Month],F$4,tblTxn[Category],$B74)*$P74)</f>
        <v/>
      </c>
      <c r="G74" s="13">
        <f>IF($B74="","",SUMIFS(tblTxn[View Amount],tblTxn[Month],G$4,tblTxn[Category],$B74)*$P74)</f>
        <v/>
      </c>
      <c r="H74" s="13">
        <f>IF($B74="","",SUMIFS(tblTxn[View Amount],tblTxn[Month],H$4,tblTxn[Category],$B74)*$P74)</f>
        <v/>
      </c>
      <c r="I74" s="13">
        <f>IF($B74="","",SUMIFS(tblTxn[View Amount],tblTxn[Month],I$4,tblTxn[Category],$B74)*$P74)</f>
        <v/>
      </c>
      <c r="J74" s="13">
        <f>IF($B74="","",SUMIFS(tblTxn[View Amount],tblTxn[Month],J$4,tblTxn[Category],$B74)*$P74)</f>
        <v/>
      </c>
      <c r="K74" s="13">
        <f>IF($B74="","",SUMIFS(tblTxn[View Amount],tblTxn[Month],K$4,tblTxn[Category],$B74)*$P74)</f>
        <v/>
      </c>
      <c r="L74" s="13">
        <f>IF($B74="","",SUMIFS(tblTxn[View Amount],tblTxn[Month],L$4,tblTxn[Category],$B74)*$P74)</f>
        <v/>
      </c>
      <c r="M74" s="13">
        <f>IF($B74="","",SUMIFS(tblTxn[View Amount],tblTxn[Month],M$4,tblTxn[Category],$B74)*$P74)</f>
        <v/>
      </c>
      <c r="N74" s="13">
        <f>IF($B74="","",SUMIFS(tblTxn[View Amount],tblTxn[Month],N$4,tblTxn[Category],$B74)*$P74)</f>
        <v/>
      </c>
      <c r="O74" s="15">
        <f>IF($B74="","",SUM(C74:N74))</f>
        <v/>
      </c>
      <c r="P74">
        <f>IF($B74="",0,IFERROR(IF(INDEX(tblCategories[Type],MATCH($B74,tblCategories[Category],0))="Income",1,-1),-1))</f>
        <v/>
      </c>
      <c r="Q74">
        <f>IF(AND($B74&lt;&gt;"",$P74&lt;&gt;1,N($N74)&gt;0),$N74+ROW()/1E+7,-1)</f>
        <v/>
      </c>
    </row>
    <row r="75">
      <c r="B75" s="7">
        <f>IFERROR(INDEX(tblCategories[Category],47),"")</f>
        <v/>
      </c>
      <c r="C75" s="13">
        <f>IF($B75="","",SUMIFS(tblTxn[View Amount],tblTxn[Month],C$4,tblTxn[Category],$B75)*$P75)</f>
        <v/>
      </c>
      <c r="D75" s="13">
        <f>IF($B75="","",SUMIFS(tblTxn[View Amount],tblTxn[Month],D$4,tblTxn[Category],$B75)*$P75)</f>
        <v/>
      </c>
      <c r="E75" s="13">
        <f>IF($B75="","",SUMIFS(tblTxn[View Amount],tblTxn[Month],E$4,tblTxn[Category],$B75)*$P75)</f>
        <v/>
      </c>
      <c r="F75" s="13">
        <f>IF($B75="","",SUMIFS(tblTxn[View Amount],tblTxn[Month],F$4,tblTxn[Category],$B75)*$P75)</f>
        <v/>
      </c>
      <c r="G75" s="13">
        <f>IF($B75="","",SUMIFS(tblTxn[View Amount],tblTxn[Month],G$4,tblTxn[Category],$B75)*$P75)</f>
        <v/>
      </c>
      <c r="H75" s="13">
        <f>IF($B75="","",SUMIFS(tblTxn[View Amount],tblTxn[Month],H$4,tblTxn[Category],$B75)*$P75)</f>
        <v/>
      </c>
      <c r="I75" s="13">
        <f>IF($B75="","",SUMIFS(tblTxn[View Amount],tblTxn[Month],I$4,tblTxn[Category],$B75)*$P75)</f>
        <v/>
      </c>
      <c r="J75" s="13">
        <f>IF($B75="","",SUMIFS(tblTxn[View Amount],tblTxn[Month],J$4,tblTxn[Category],$B75)*$P75)</f>
        <v/>
      </c>
      <c r="K75" s="13">
        <f>IF($B75="","",SUMIFS(tblTxn[View Amount],tblTxn[Month],K$4,tblTxn[Category],$B75)*$P75)</f>
        <v/>
      </c>
      <c r="L75" s="13">
        <f>IF($B75="","",SUMIFS(tblTxn[View Amount],tblTxn[Month],L$4,tblTxn[Category],$B75)*$P75)</f>
        <v/>
      </c>
      <c r="M75" s="13">
        <f>IF($B75="","",SUMIFS(tblTxn[View Amount],tblTxn[Month],M$4,tblTxn[Category],$B75)*$P75)</f>
        <v/>
      </c>
      <c r="N75" s="13">
        <f>IF($B75="","",SUMIFS(tblTxn[View Amount],tblTxn[Month],N$4,tblTxn[Category],$B75)*$P75)</f>
        <v/>
      </c>
      <c r="O75" s="15">
        <f>IF($B75="","",SUM(C75:N75))</f>
        <v/>
      </c>
      <c r="P75">
        <f>IF($B75="",0,IFERROR(IF(INDEX(tblCategories[Type],MATCH($B75,tblCategories[Category],0))="Income",1,-1),-1))</f>
        <v/>
      </c>
      <c r="Q75">
        <f>IF(AND($B75&lt;&gt;"",$P75&lt;&gt;1,N($N75)&gt;0),$N75+ROW()/1E+7,-1)</f>
        <v/>
      </c>
    </row>
    <row r="76">
      <c r="B76" s="7">
        <f>IFERROR(INDEX(tblCategories[Category],48),"")</f>
        <v/>
      </c>
      <c r="C76" s="13">
        <f>IF($B76="","",SUMIFS(tblTxn[View Amount],tblTxn[Month],C$4,tblTxn[Category],$B76)*$P76)</f>
        <v/>
      </c>
      <c r="D76" s="13">
        <f>IF($B76="","",SUMIFS(tblTxn[View Amount],tblTxn[Month],D$4,tblTxn[Category],$B76)*$P76)</f>
        <v/>
      </c>
      <c r="E76" s="13">
        <f>IF($B76="","",SUMIFS(tblTxn[View Amount],tblTxn[Month],E$4,tblTxn[Category],$B76)*$P76)</f>
        <v/>
      </c>
      <c r="F76" s="13">
        <f>IF($B76="","",SUMIFS(tblTxn[View Amount],tblTxn[Month],F$4,tblTxn[Category],$B76)*$P76)</f>
        <v/>
      </c>
      <c r="G76" s="13">
        <f>IF($B76="","",SUMIFS(tblTxn[View Amount],tblTxn[Month],G$4,tblTxn[Category],$B76)*$P76)</f>
        <v/>
      </c>
      <c r="H76" s="13">
        <f>IF($B76="","",SUMIFS(tblTxn[View Amount],tblTxn[Month],H$4,tblTxn[Category],$B76)*$P76)</f>
        <v/>
      </c>
      <c r="I76" s="13">
        <f>IF($B76="","",SUMIFS(tblTxn[View Amount],tblTxn[Month],I$4,tblTxn[Category],$B76)*$P76)</f>
        <v/>
      </c>
      <c r="J76" s="13">
        <f>IF($B76="","",SUMIFS(tblTxn[View Amount],tblTxn[Month],J$4,tblTxn[Category],$B76)*$P76)</f>
        <v/>
      </c>
      <c r="K76" s="13">
        <f>IF($B76="","",SUMIFS(tblTxn[View Amount],tblTxn[Month],K$4,tblTxn[Category],$B76)*$P76)</f>
        <v/>
      </c>
      <c r="L76" s="13">
        <f>IF($B76="","",SUMIFS(tblTxn[View Amount],tblTxn[Month],L$4,tblTxn[Category],$B76)*$P76)</f>
        <v/>
      </c>
      <c r="M76" s="13">
        <f>IF($B76="","",SUMIFS(tblTxn[View Amount],tblTxn[Month],M$4,tblTxn[Category],$B76)*$P76)</f>
        <v/>
      </c>
      <c r="N76" s="13">
        <f>IF($B76="","",SUMIFS(tblTxn[View Amount],tblTxn[Month],N$4,tblTxn[Category],$B76)*$P76)</f>
        <v/>
      </c>
      <c r="O76" s="15">
        <f>IF($B76="","",SUM(C76:N76))</f>
        <v/>
      </c>
      <c r="P76">
        <f>IF($B76="",0,IFERROR(IF(INDEX(tblCategories[Type],MATCH($B76,tblCategories[Category],0))="Income",1,-1),-1))</f>
        <v/>
      </c>
      <c r="Q76">
        <f>IF(AND($B76&lt;&gt;"",$P76&lt;&gt;1,N($N76)&gt;0),$N76+ROW()/1E+7,-1)</f>
        <v/>
      </c>
    </row>
    <row r="77">
      <c r="B77" s="7">
        <f>IFERROR(INDEX(tblCategories[Category],49),"")</f>
        <v/>
      </c>
      <c r="C77" s="13">
        <f>IF($B77="","",SUMIFS(tblTxn[View Amount],tblTxn[Month],C$4,tblTxn[Category],$B77)*$P77)</f>
        <v/>
      </c>
      <c r="D77" s="13">
        <f>IF($B77="","",SUMIFS(tblTxn[View Amount],tblTxn[Month],D$4,tblTxn[Category],$B77)*$P77)</f>
        <v/>
      </c>
      <c r="E77" s="13">
        <f>IF($B77="","",SUMIFS(tblTxn[View Amount],tblTxn[Month],E$4,tblTxn[Category],$B77)*$P77)</f>
        <v/>
      </c>
      <c r="F77" s="13">
        <f>IF($B77="","",SUMIFS(tblTxn[View Amount],tblTxn[Month],F$4,tblTxn[Category],$B77)*$P77)</f>
        <v/>
      </c>
      <c r="G77" s="13">
        <f>IF($B77="","",SUMIFS(tblTxn[View Amount],tblTxn[Month],G$4,tblTxn[Category],$B77)*$P77)</f>
        <v/>
      </c>
      <c r="H77" s="13">
        <f>IF($B77="","",SUMIFS(tblTxn[View Amount],tblTxn[Month],H$4,tblTxn[Category],$B77)*$P77)</f>
        <v/>
      </c>
      <c r="I77" s="13">
        <f>IF($B77="","",SUMIFS(tblTxn[View Amount],tblTxn[Month],I$4,tblTxn[Category],$B77)*$P77)</f>
        <v/>
      </c>
      <c r="J77" s="13">
        <f>IF($B77="","",SUMIFS(tblTxn[View Amount],tblTxn[Month],J$4,tblTxn[Category],$B77)*$P77)</f>
        <v/>
      </c>
      <c r="K77" s="13">
        <f>IF($B77="","",SUMIFS(tblTxn[View Amount],tblTxn[Month],K$4,tblTxn[Category],$B77)*$P77)</f>
        <v/>
      </c>
      <c r="L77" s="13">
        <f>IF($B77="","",SUMIFS(tblTxn[View Amount],tblTxn[Month],L$4,tblTxn[Category],$B77)*$P77)</f>
        <v/>
      </c>
      <c r="M77" s="13">
        <f>IF($B77="","",SUMIFS(tblTxn[View Amount],tblTxn[Month],M$4,tblTxn[Category],$B77)*$P77)</f>
        <v/>
      </c>
      <c r="N77" s="13">
        <f>IF($B77="","",SUMIFS(tblTxn[View Amount],tblTxn[Month],N$4,tblTxn[Category],$B77)*$P77)</f>
        <v/>
      </c>
      <c r="O77" s="15">
        <f>IF($B77="","",SUM(C77:N77))</f>
        <v/>
      </c>
      <c r="P77">
        <f>IF($B77="",0,IFERROR(IF(INDEX(tblCategories[Type],MATCH($B77,tblCategories[Category],0))="Income",1,-1),-1))</f>
        <v/>
      </c>
      <c r="Q77">
        <f>IF(AND($B77&lt;&gt;"",$P77&lt;&gt;1,N($N77)&gt;0),$N77+ROW()/1E+7,-1)</f>
        <v/>
      </c>
    </row>
    <row r="78">
      <c r="B78" s="7">
        <f>IFERROR(INDEX(tblCategories[Category],50),"")</f>
        <v/>
      </c>
      <c r="C78" s="13">
        <f>IF($B78="","",SUMIFS(tblTxn[View Amount],tblTxn[Month],C$4,tblTxn[Category],$B78)*$P78)</f>
        <v/>
      </c>
      <c r="D78" s="13">
        <f>IF($B78="","",SUMIFS(tblTxn[View Amount],tblTxn[Month],D$4,tblTxn[Category],$B78)*$P78)</f>
        <v/>
      </c>
      <c r="E78" s="13">
        <f>IF($B78="","",SUMIFS(tblTxn[View Amount],tblTxn[Month],E$4,tblTxn[Category],$B78)*$P78)</f>
        <v/>
      </c>
      <c r="F78" s="13">
        <f>IF($B78="","",SUMIFS(tblTxn[View Amount],tblTxn[Month],F$4,tblTxn[Category],$B78)*$P78)</f>
        <v/>
      </c>
      <c r="G78" s="13">
        <f>IF($B78="","",SUMIFS(tblTxn[View Amount],tblTxn[Month],G$4,tblTxn[Category],$B78)*$P78)</f>
        <v/>
      </c>
      <c r="H78" s="13">
        <f>IF($B78="","",SUMIFS(tblTxn[View Amount],tblTxn[Month],H$4,tblTxn[Category],$B78)*$P78)</f>
        <v/>
      </c>
      <c r="I78" s="13">
        <f>IF($B78="","",SUMIFS(tblTxn[View Amount],tblTxn[Month],I$4,tblTxn[Category],$B78)*$P78)</f>
        <v/>
      </c>
      <c r="J78" s="13">
        <f>IF($B78="","",SUMIFS(tblTxn[View Amount],tblTxn[Month],J$4,tblTxn[Category],$B78)*$P78)</f>
        <v/>
      </c>
      <c r="K78" s="13">
        <f>IF($B78="","",SUMIFS(tblTxn[View Amount],tblTxn[Month],K$4,tblTxn[Category],$B78)*$P78)</f>
        <v/>
      </c>
      <c r="L78" s="13">
        <f>IF($B78="","",SUMIFS(tblTxn[View Amount],tblTxn[Month],L$4,tblTxn[Category],$B78)*$P78)</f>
        <v/>
      </c>
      <c r="M78" s="13">
        <f>IF($B78="","",SUMIFS(tblTxn[View Amount],tblTxn[Month],M$4,tblTxn[Category],$B78)*$P78)</f>
        <v/>
      </c>
      <c r="N78" s="13">
        <f>IF($B78="","",SUMIFS(tblTxn[View Amount],tblTxn[Month],N$4,tblTxn[Category],$B78)*$P78)</f>
        <v/>
      </c>
      <c r="O78" s="15">
        <f>IF($B78="","",SUM(C78:N78))</f>
        <v/>
      </c>
      <c r="P78">
        <f>IF($B78="",0,IFERROR(IF(INDEX(tblCategories[Type],MATCH($B78,tblCategories[Category],0))="Income",1,-1),-1))</f>
        <v/>
      </c>
      <c r="Q78">
        <f>IF(AND($B78&lt;&gt;"",$P78&lt;&gt;1,N($N78)&gt;0),$N78+ROW()/1E+7,-1)</f>
        <v/>
      </c>
    </row>
    <row r="79">
      <c r="B79" s="7">
        <f>IFERROR(INDEX(tblCategories[Category],51),"")</f>
        <v/>
      </c>
      <c r="C79" s="13">
        <f>IF($B79="","",SUMIFS(tblTxn[View Amount],tblTxn[Month],C$4,tblTxn[Category],$B79)*$P79)</f>
        <v/>
      </c>
      <c r="D79" s="13">
        <f>IF($B79="","",SUMIFS(tblTxn[View Amount],tblTxn[Month],D$4,tblTxn[Category],$B79)*$P79)</f>
        <v/>
      </c>
      <c r="E79" s="13">
        <f>IF($B79="","",SUMIFS(tblTxn[View Amount],tblTxn[Month],E$4,tblTxn[Category],$B79)*$P79)</f>
        <v/>
      </c>
      <c r="F79" s="13">
        <f>IF($B79="","",SUMIFS(tblTxn[View Amount],tblTxn[Month],F$4,tblTxn[Category],$B79)*$P79)</f>
        <v/>
      </c>
      <c r="G79" s="13">
        <f>IF($B79="","",SUMIFS(tblTxn[View Amount],tblTxn[Month],G$4,tblTxn[Category],$B79)*$P79)</f>
        <v/>
      </c>
      <c r="H79" s="13">
        <f>IF($B79="","",SUMIFS(tblTxn[View Amount],tblTxn[Month],H$4,tblTxn[Category],$B79)*$P79)</f>
        <v/>
      </c>
      <c r="I79" s="13">
        <f>IF($B79="","",SUMIFS(tblTxn[View Amount],tblTxn[Month],I$4,tblTxn[Category],$B79)*$P79)</f>
        <v/>
      </c>
      <c r="J79" s="13">
        <f>IF($B79="","",SUMIFS(tblTxn[View Amount],tblTxn[Month],J$4,tblTxn[Category],$B79)*$P79)</f>
        <v/>
      </c>
      <c r="K79" s="13">
        <f>IF($B79="","",SUMIFS(tblTxn[View Amount],tblTxn[Month],K$4,tblTxn[Category],$B79)*$P79)</f>
        <v/>
      </c>
      <c r="L79" s="13">
        <f>IF($B79="","",SUMIFS(tblTxn[View Amount],tblTxn[Month],L$4,tblTxn[Category],$B79)*$P79)</f>
        <v/>
      </c>
      <c r="M79" s="13">
        <f>IF($B79="","",SUMIFS(tblTxn[View Amount],tblTxn[Month],M$4,tblTxn[Category],$B79)*$P79)</f>
        <v/>
      </c>
      <c r="N79" s="13">
        <f>IF($B79="","",SUMIFS(tblTxn[View Amount],tblTxn[Month],N$4,tblTxn[Category],$B79)*$P79)</f>
        <v/>
      </c>
      <c r="O79" s="15">
        <f>IF($B79="","",SUM(C79:N79))</f>
        <v/>
      </c>
      <c r="P79">
        <f>IF($B79="",0,IFERROR(IF(INDEX(tblCategories[Type],MATCH($B79,tblCategories[Category],0))="Income",1,-1),-1))</f>
        <v/>
      </c>
      <c r="Q79">
        <f>IF(AND($B79&lt;&gt;"",$P79&lt;&gt;1,N($N79)&gt;0),$N79+ROW()/1E+7,-1)</f>
        <v/>
      </c>
    </row>
    <row r="80">
      <c r="B80" s="7">
        <f>IFERROR(INDEX(tblCategories[Category],52),"")</f>
        <v/>
      </c>
      <c r="C80" s="13">
        <f>IF($B80="","",SUMIFS(tblTxn[View Amount],tblTxn[Month],C$4,tblTxn[Category],$B80)*$P80)</f>
        <v/>
      </c>
      <c r="D80" s="13">
        <f>IF($B80="","",SUMIFS(tblTxn[View Amount],tblTxn[Month],D$4,tblTxn[Category],$B80)*$P80)</f>
        <v/>
      </c>
      <c r="E80" s="13">
        <f>IF($B80="","",SUMIFS(tblTxn[View Amount],tblTxn[Month],E$4,tblTxn[Category],$B80)*$P80)</f>
        <v/>
      </c>
      <c r="F80" s="13">
        <f>IF($B80="","",SUMIFS(tblTxn[View Amount],tblTxn[Month],F$4,tblTxn[Category],$B80)*$P80)</f>
        <v/>
      </c>
      <c r="G80" s="13">
        <f>IF($B80="","",SUMIFS(tblTxn[View Amount],tblTxn[Month],G$4,tblTxn[Category],$B80)*$P80)</f>
        <v/>
      </c>
      <c r="H80" s="13">
        <f>IF($B80="","",SUMIFS(tblTxn[View Amount],tblTxn[Month],H$4,tblTxn[Category],$B80)*$P80)</f>
        <v/>
      </c>
      <c r="I80" s="13">
        <f>IF($B80="","",SUMIFS(tblTxn[View Amount],tblTxn[Month],I$4,tblTxn[Category],$B80)*$P80)</f>
        <v/>
      </c>
      <c r="J80" s="13">
        <f>IF($B80="","",SUMIFS(tblTxn[View Amount],tblTxn[Month],J$4,tblTxn[Category],$B80)*$P80)</f>
        <v/>
      </c>
      <c r="K80" s="13">
        <f>IF($B80="","",SUMIFS(tblTxn[View Amount],tblTxn[Month],K$4,tblTxn[Category],$B80)*$P80)</f>
        <v/>
      </c>
      <c r="L80" s="13">
        <f>IF($B80="","",SUMIFS(tblTxn[View Amount],tblTxn[Month],L$4,tblTxn[Category],$B80)*$P80)</f>
        <v/>
      </c>
      <c r="M80" s="13">
        <f>IF($B80="","",SUMIFS(tblTxn[View Amount],tblTxn[Month],M$4,tblTxn[Category],$B80)*$P80)</f>
        <v/>
      </c>
      <c r="N80" s="13">
        <f>IF($B80="","",SUMIFS(tblTxn[View Amount],tblTxn[Month],N$4,tblTxn[Category],$B80)*$P80)</f>
        <v/>
      </c>
      <c r="O80" s="15">
        <f>IF($B80="","",SUM(C80:N80))</f>
        <v/>
      </c>
      <c r="P80">
        <f>IF($B80="",0,IFERROR(IF(INDEX(tblCategories[Type],MATCH($B80,tblCategories[Category],0))="Income",1,-1),-1))</f>
        <v/>
      </c>
      <c r="Q80">
        <f>IF(AND($B80&lt;&gt;"",$P80&lt;&gt;1,N($N80)&gt;0),$N80+ROW()/1E+7,-1)</f>
        <v/>
      </c>
    </row>
    <row r="81">
      <c r="B81" s="7">
        <f>IFERROR(INDEX(tblCategories[Category],53),"")</f>
        <v/>
      </c>
      <c r="C81" s="13">
        <f>IF($B81="","",SUMIFS(tblTxn[View Amount],tblTxn[Month],C$4,tblTxn[Category],$B81)*$P81)</f>
        <v/>
      </c>
      <c r="D81" s="13">
        <f>IF($B81="","",SUMIFS(tblTxn[View Amount],tblTxn[Month],D$4,tblTxn[Category],$B81)*$P81)</f>
        <v/>
      </c>
      <c r="E81" s="13">
        <f>IF($B81="","",SUMIFS(tblTxn[View Amount],tblTxn[Month],E$4,tblTxn[Category],$B81)*$P81)</f>
        <v/>
      </c>
      <c r="F81" s="13">
        <f>IF($B81="","",SUMIFS(tblTxn[View Amount],tblTxn[Month],F$4,tblTxn[Category],$B81)*$P81)</f>
        <v/>
      </c>
      <c r="G81" s="13">
        <f>IF($B81="","",SUMIFS(tblTxn[View Amount],tblTxn[Month],G$4,tblTxn[Category],$B81)*$P81)</f>
        <v/>
      </c>
      <c r="H81" s="13">
        <f>IF($B81="","",SUMIFS(tblTxn[View Amount],tblTxn[Month],H$4,tblTxn[Category],$B81)*$P81)</f>
        <v/>
      </c>
      <c r="I81" s="13">
        <f>IF($B81="","",SUMIFS(tblTxn[View Amount],tblTxn[Month],I$4,tblTxn[Category],$B81)*$P81)</f>
        <v/>
      </c>
      <c r="J81" s="13">
        <f>IF($B81="","",SUMIFS(tblTxn[View Amount],tblTxn[Month],J$4,tblTxn[Category],$B81)*$P81)</f>
        <v/>
      </c>
      <c r="K81" s="13">
        <f>IF($B81="","",SUMIFS(tblTxn[View Amount],tblTxn[Month],K$4,tblTxn[Category],$B81)*$P81)</f>
        <v/>
      </c>
      <c r="L81" s="13">
        <f>IF($B81="","",SUMIFS(tblTxn[View Amount],tblTxn[Month],L$4,tblTxn[Category],$B81)*$P81)</f>
        <v/>
      </c>
      <c r="M81" s="13">
        <f>IF($B81="","",SUMIFS(tblTxn[View Amount],tblTxn[Month],M$4,tblTxn[Category],$B81)*$P81)</f>
        <v/>
      </c>
      <c r="N81" s="13">
        <f>IF($B81="","",SUMIFS(tblTxn[View Amount],tblTxn[Month],N$4,tblTxn[Category],$B81)*$P81)</f>
        <v/>
      </c>
      <c r="O81" s="15">
        <f>IF($B81="","",SUM(C81:N81))</f>
        <v/>
      </c>
      <c r="P81">
        <f>IF($B81="",0,IFERROR(IF(INDEX(tblCategories[Type],MATCH($B81,tblCategories[Category],0))="Income",1,-1),-1))</f>
        <v/>
      </c>
      <c r="Q81">
        <f>IF(AND($B81&lt;&gt;"",$P81&lt;&gt;1,N($N81)&gt;0),$N81+ROW()/1E+7,-1)</f>
        <v/>
      </c>
    </row>
    <row r="82">
      <c r="B82" s="7">
        <f>IFERROR(INDEX(tblCategories[Category],54),"")</f>
        <v/>
      </c>
      <c r="C82" s="13">
        <f>IF($B82="","",SUMIFS(tblTxn[View Amount],tblTxn[Month],C$4,tblTxn[Category],$B82)*$P82)</f>
        <v/>
      </c>
      <c r="D82" s="13">
        <f>IF($B82="","",SUMIFS(tblTxn[View Amount],tblTxn[Month],D$4,tblTxn[Category],$B82)*$P82)</f>
        <v/>
      </c>
      <c r="E82" s="13">
        <f>IF($B82="","",SUMIFS(tblTxn[View Amount],tblTxn[Month],E$4,tblTxn[Category],$B82)*$P82)</f>
        <v/>
      </c>
      <c r="F82" s="13">
        <f>IF($B82="","",SUMIFS(tblTxn[View Amount],tblTxn[Month],F$4,tblTxn[Category],$B82)*$P82)</f>
        <v/>
      </c>
      <c r="G82" s="13">
        <f>IF($B82="","",SUMIFS(tblTxn[View Amount],tblTxn[Month],G$4,tblTxn[Category],$B82)*$P82)</f>
        <v/>
      </c>
      <c r="H82" s="13">
        <f>IF($B82="","",SUMIFS(tblTxn[View Amount],tblTxn[Month],H$4,tblTxn[Category],$B82)*$P82)</f>
        <v/>
      </c>
      <c r="I82" s="13">
        <f>IF($B82="","",SUMIFS(tblTxn[View Amount],tblTxn[Month],I$4,tblTxn[Category],$B82)*$P82)</f>
        <v/>
      </c>
      <c r="J82" s="13">
        <f>IF($B82="","",SUMIFS(tblTxn[View Amount],tblTxn[Month],J$4,tblTxn[Category],$B82)*$P82)</f>
        <v/>
      </c>
      <c r="K82" s="13">
        <f>IF($B82="","",SUMIFS(tblTxn[View Amount],tblTxn[Month],K$4,tblTxn[Category],$B82)*$P82)</f>
        <v/>
      </c>
      <c r="L82" s="13">
        <f>IF($B82="","",SUMIFS(tblTxn[View Amount],tblTxn[Month],L$4,tblTxn[Category],$B82)*$P82)</f>
        <v/>
      </c>
      <c r="M82" s="13">
        <f>IF($B82="","",SUMIFS(tblTxn[View Amount],tblTxn[Month],M$4,tblTxn[Category],$B82)*$P82)</f>
        <v/>
      </c>
      <c r="N82" s="13">
        <f>IF($B82="","",SUMIFS(tblTxn[View Amount],tblTxn[Month],N$4,tblTxn[Category],$B82)*$P82)</f>
        <v/>
      </c>
      <c r="O82" s="15">
        <f>IF($B82="","",SUM(C82:N82))</f>
        <v/>
      </c>
      <c r="P82">
        <f>IF($B82="",0,IFERROR(IF(INDEX(tblCategories[Type],MATCH($B82,tblCategories[Category],0))="Income",1,-1),-1))</f>
        <v/>
      </c>
      <c r="Q82">
        <f>IF(AND($B82&lt;&gt;"",$P82&lt;&gt;1,N($N82)&gt;0),$N82+ROW()/1E+7,-1)</f>
        <v/>
      </c>
    </row>
    <row r="83">
      <c r="B83" s="7">
        <f>IFERROR(INDEX(tblCategories[Category],55),"")</f>
        <v/>
      </c>
      <c r="C83" s="13">
        <f>IF($B83="","",SUMIFS(tblTxn[View Amount],tblTxn[Month],C$4,tblTxn[Category],$B83)*$P83)</f>
        <v/>
      </c>
      <c r="D83" s="13">
        <f>IF($B83="","",SUMIFS(tblTxn[View Amount],tblTxn[Month],D$4,tblTxn[Category],$B83)*$P83)</f>
        <v/>
      </c>
      <c r="E83" s="13">
        <f>IF($B83="","",SUMIFS(tblTxn[View Amount],tblTxn[Month],E$4,tblTxn[Category],$B83)*$P83)</f>
        <v/>
      </c>
      <c r="F83" s="13">
        <f>IF($B83="","",SUMIFS(tblTxn[View Amount],tblTxn[Month],F$4,tblTxn[Category],$B83)*$P83)</f>
        <v/>
      </c>
      <c r="G83" s="13">
        <f>IF($B83="","",SUMIFS(tblTxn[View Amount],tblTxn[Month],G$4,tblTxn[Category],$B83)*$P83)</f>
        <v/>
      </c>
      <c r="H83" s="13">
        <f>IF($B83="","",SUMIFS(tblTxn[View Amount],tblTxn[Month],H$4,tblTxn[Category],$B83)*$P83)</f>
        <v/>
      </c>
      <c r="I83" s="13">
        <f>IF($B83="","",SUMIFS(tblTxn[View Amount],tblTxn[Month],I$4,tblTxn[Category],$B83)*$P83)</f>
        <v/>
      </c>
      <c r="J83" s="13">
        <f>IF($B83="","",SUMIFS(tblTxn[View Amount],tblTxn[Month],J$4,tblTxn[Category],$B83)*$P83)</f>
        <v/>
      </c>
      <c r="K83" s="13">
        <f>IF($B83="","",SUMIFS(tblTxn[View Amount],tblTxn[Month],K$4,tblTxn[Category],$B83)*$P83)</f>
        <v/>
      </c>
      <c r="L83" s="13">
        <f>IF($B83="","",SUMIFS(tblTxn[View Amount],tblTxn[Month],L$4,tblTxn[Category],$B83)*$P83)</f>
        <v/>
      </c>
      <c r="M83" s="13">
        <f>IF($B83="","",SUMIFS(tblTxn[View Amount],tblTxn[Month],M$4,tblTxn[Category],$B83)*$P83)</f>
        <v/>
      </c>
      <c r="N83" s="13">
        <f>IF($B83="","",SUMIFS(tblTxn[View Amount],tblTxn[Month],N$4,tblTxn[Category],$B83)*$P83)</f>
        <v/>
      </c>
      <c r="O83" s="15">
        <f>IF($B83="","",SUM(C83:N83))</f>
        <v/>
      </c>
      <c r="P83">
        <f>IF($B83="",0,IFERROR(IF(INDEX(tblCategories[Type],MATCH($B83,tblCategories[Category],0))="Income",1,-1),-1))</f>
        <v/>
      </c>
      <c r="Q83">
        <f>IF(AND($B83&lt;&gt;"",$P83&lt;&gt;1,N($N83)&gt;0),$N83+ROW()/1E+7,-1)</f>
        <v/>
      </c>
    </row>
    <row r="84">
      <c r="B84" s="7">
        <f>IFERROR(INDEX(tblCategories[Category],56),"")</f>
        <v/>
      </c>
      <c r="C84" s="13">
        <f>IF($B84="","",SUMIFS(tblTxn[View Amount],tblTxn[Month],C$4,tblTxn[Category],$B84)*$P84)</f>
        <v/>
      </c>
      <c r="D84" s="13">
        <f>IF($B84="","",SUMIFS(tblTxn[View Amount],tblTxn[Month],D$4,tblTxn[Category],$B84)*$P84)</f>
        <v/>
      </c>
      <c r="E84" s="13">
        <f>IF($B84="","",SUMIFS(tblTxn[View Amount],tblTxn[Month],E$4,tblTxn[Category],$B84)*$P84)</f>
        <v/>
      </c>
      <c r="F84" s="13">
        <f>IF($B84="","",SUMIFS(tblTxn[View Amount],tblTxn[Month],F$4,tblTxn[Category],$B84)*$P84)</f>
        <v/>
      </c>
      <c r="G84" s="13">
        <f>IF($B84="","",SUMIFS(tblTxn[View Amount],tblTxn[Month],G$4,tblTxn[Category],$B84)*$P84)</f>
        <v/>
      </c>
      <c r="H84" s="13">
        <f>IF($B84="","",SUMIFS(tblTxn[View Amount],tblTxn[Month],H$4,tblTxn[Category],$B84)*$P84)</f>
        <v/>
      </c>
      <c r="I84" s="13">
        <f>IF($B84="","",SUMIFS(tblTxn[View Amount],tblTxn[Month],I$4,tblTxn[Category],$B84)*$P84)</f>
        <v/>
      </c>
      <c r="J84" s="13">
        <f>IF($B84="","",SUMIFS(tblTxn[View Amount],tblTxn[Month],J$4,tblTxn[Category],$B84)*$P84)</f>
        <v/>
      </c>
      <c r="K84" s="13">
        <f>IF($B84="","",SUMIFS(tblTxn[View Amount],tblTxn[Month],K$4,tblTxn[Category],$B84)*$P84)</f>
        <v/>
      </c>
      <c r="L84" s="13">
        <f>IF($B84="","",SUMIFS(tblTxn[View Amount],tblTxn[Month],L$4,tblTxn[Category],$B84)*$P84)</f>
        <v/>
      </c>
      <c r="M84" s="13">
        <f>IF($B84="","",SUMIFS(tblTxn[View Amount],tblTxn[Month],M$4,tblTxn[Category],$B84)*$P84)</f>
        <v/>
      </c>
      <c r="N84" s="13">
        <f>IF($B84="","",SUMIFS(tblTxn[View Amount],tblTxn[Month],N$4,tblTxn[Category],$B84)*$P84)</f>
        <v/>
      </c>
      <c r="O84" s="15">
        <f>IF($B84="","",SUM(C84:N84))</f>
        <v/>
      </c>
      <c r="P84">
        <f>IF($B84="",0,IFERROR(IF(INDEX(tblCategories[Type],MATCH($B84,tblCategories[Category],0))="Income",1,-1),-1))</f>
        <v/>
      </c>
      <c r="Q84">
        <f>IF(AND($B84&lt;&gt;"",$P84&lt;&gt;1,N($N84)&gt;0),$N84+ROW()/1E+7,-1)</f>
        <v/>
      </c>
    </row>
    <row r="85">
      <c r="B85" s="7">
        <f>IFERROR(INDEX(tblCategories[Category],57),"")</f>
        <v/>
      </c>
      <c r="C85" s="13">
        <f>IF($B85="","",SUMIFS(tblTxn[View Amount],tblTxn[Month],C$4,tblTxn[Category],$B85)*$P85)</f>
        <v/>
      </c>
      <c r="D85" s="13">
        <f>IF($B85="","",SUMIFS(tblTxn[View Amount],tblTxn[Month],D$4,tblTxn[Category],$B85)*$P85)</f>
        <v/>
      </c>
      <c r="E85" s="13">
        <f>IF($B85="","",SUMIFS(tblTxn[View Amount],tblTxn[Month],E$4,tblTxn[Category],$B85)*$P85)</f>
        <v/>
      </c>
      <c r="F85" s="13">
        <f>IF($B85="","",SUMIFS(tblTxn[View Amount],tblTxn[Month],F$4,tblTxn[Category],$B85)*$P85)</f>
        <v/>
      </c>
      <c r="G85" s="13">
        <f>IF($B85="","",SUMIFS(tblTxn[View Amount],tblTxn[Month],G$4,tblTxn[Category],$B85)*$P85)</f>
        <v/>
      </c>
      <c r="H85" s="13">
        <f>IF($B85="","",SUMIFS(tblTxn[View Amount],tblTxn[Month],H$4,tblTxn[Category],$B85)*$P85)</f>
        <v/>
      </c>
      <c r="I85" s="13">
        <f>IF($B85="","",SUMIFS(tblTxn[View Amount],tblTxn[Month],I$4,tblTxn[Category],$B85)*$P85)</f>
        <v/>
      </c>
      <c r="J85" s="13">
        <f>IF($B85="","",SUMIFS(tblTxn[View Amount],tblTxn[Month],J$4,tblTxn[Category],$B85)*$P85)</f>
        <v/>
      </c>
      <c r="K85" s="13">
        <f>IF($B85="","",SUMIFS(tblTxn[View Amount],tblTxn[Month],K$4,tblTxn[Category],$B85)*$P85)</f>
        <v/>
      </c>
      <c r="L85" s="13">
        <f>IF($B85="","",SUMIFS(tblTxn[View Amount],tblTxn[Month],L$4,tblTxn[Category],$B85)*$P85)</f>
        <v/>
      </c>
      <c r="M85" s="13">
        <f>IF($B85="","",SUMIFS(tblTxn[View Amount],tblTxn[Month],M$4,tblTxn[Category],$B85)*$P85)</f>
        <v/>
      </c>
      <c r="N85" s="13">
        <f>IF($B85="","",SUMIFS(tblTxn[View Amount],tblTxn[Month],N$4,tblTxn[Category],$B85)*$P85)</f>
        <v/>
      </c>
      <c r="O85" s="15">
        <f>IF($B85="","",SUM(C85:N85))</f>
        <v/>
      </c>
      <c r="P85">
        <f>IF($B85="",0,IFERROR(IF(INDEX(tblCategories[Type],MATCH($B85,tblCategories[Category],0))="Income",1,-1),-1))</f>
        <v/>
      </c>
      <c r="Q85">
        <f>IF(AND($B85&lt;&gt;"",$P85&lt;&gt;1,N($N85)&gt;0),$N85+ROW()/1E+7,-1)</f>
        <v/>
      </c>
    </row>
    <row r="86">
      <c r="B86" s="7">
        <f>IFERROR(INDEX(tblCategories[Category],58),"")</f>
        <v/>
      </c>
      <c r="C86" s="13">
        <f>IF($B86="","",SUMIFS(tblTxn[View Amount],tblTxn[Month],C$4,tblTxn[Category],$B86)*$P86)</f>
        <v/>
      </c>
      <c r="D86" s="13">
        <f>IF($B86="","",SUMIFS(tblTxn[View Amount],tblTxn[Month],D$4,tblTxn[Category],$B86)*$P86)</f>
        <v/>
      </c>
      <c r="E86" s="13">
        <f>IF($B86="","",SUMIFS(tblTxn[View Amount],tblTxn[Month],E$4,tblTxn[Category],$B86)*$P86)</f>
        <v/>
      </c>
      <c r="F86" s="13">
        <f>IF($B86="","",SUMIFS(tblTxn[View Amount],tblTxn[Month],F$4,tblTxn[Category],$B86)*$P86)</f>
        <v/>
      </c>
      <c r="G86" s="13">
        <f>IF($B86="","",SUMIFS(tblTxn[View Amount],tblTxn[Month],G$4,tblTxn[Category],$B86)*$P86)</f>
        <v/>
      </c>
      <c r="H86" s="13">
        <f>IF($B86="","",SUMIFS(tblTxn[View Amount],tblTxn[Month],H$4,tblTxn[Category],$B86)*$P86)</f>
        <v/>
      </c>
      <c r="I86" s="13">
        <f>IF($B86="","",SUMIFS(tblTxn[View Amount],tblTxn[Month],I$4,tblTxn[Category],$B86)*$P86)</f>
        <v/>
      </c>
      <c r="J86" s="13">
        <f>IF($B86="","",SUMIFS(tblTxn[View Amount],tblTxn[Month],J$4,tblTxn[Category],$B86)*$P86)</f>
        <v/>
      </c>
      <c r="K86" s="13">
        <f>IF($B86="","",SUMIFS(tblTxn[View Amount],tblTxn[Month],K$4,tblTxn[Category],$B86)*$P86)</f>
        <v/>
      </c>
      <c r="L86" s="13">
        <f>IF($B86="","",SUMIFS(tblTxn[View Amount],tblTxn[Month],L$4,tblTxn[Category],$B86)*$P86)</f>
        <v/>
      </c>
      <c r="M86" s="13">
        <f>IF($B86="","",SUMIFS(tblTxn[View Amount],tblTxn[Month],M$4,tblTxn[Category],$B86)*$P86)</f>
        <v/>
      </c>
      <c r="N86" s="13">
        <f>IF($B86="","",SUMIFS(tblTxn[View Amount],tblTxn[Month],N$4,tblTxn[Category],$B86)*$P86)</f>
        <v/>
      </c>
      <c r="O86" s="15">
        <f>IF($B86="","",SUM(C86:N86))</f>
        <v/>
      </c>
      <c r="P86">
        <f>IF($B86="",0,IFERROR(IF(INDEX(tblCategories[Type],MATCH($B86,tblCategories[Category],0))="Income",1,-1),-1))</f>
        <v/>
      </c>
      <c r="Q86">
        <f>IF(AND($B86&lt;&gt;"",$P86&lt;&gt;1,N($N86)&gt;0),$N86+ROW()/1E+7,-1)</f>
        <v/>
      </c>
    </row>
    <row r="87">
      <c r="B87" s="7">
        <f>IFERROR(INDEX(tblCategories[Category],59),"")</f>
        <v/>
      </c>
      <c r="C87" s="13">
        <f>IF($B87="","",SUMIFS(tblTxn[View Amount],tblTxn[Month],C$4,tblTxn[Category],$B87)*$P87)</f>
        <v/>
      </c>
      <c r="D87" s="13">
        <f>IF($B87="","",SUMIFS(tblTxn[View Amount],tblTxn[Month],D$4,tblTxn[Category],$B87)*$P87)</f>
        <v/>
      </c>
      <c r="E87" s="13">
        <f>IF($B87="","",SUMIFS(tblTxn[View Amount],tblTxn[Month],E$4,tblTxn[Category],$B87)*$P87)</f>
        <v/>
      </c>
      <c r="F87" s="13">
        <f>IF($B87="","",SUMIFS(tblTxn[View Amount],tblTxn[Month],F$4,tblTxn[Category],$B87)*$P87)</f>
        <v/>
      </c>
      <c r="G87" s="13">
        <f>IF($B87="","",SUMIFS(tblTxn[View Amount],tblTxn[Month],G$4,tblTxn[Category],$B87)*$P87)</f>
        <v/>
      </c>
      <c r="H87" s="13">
        <f>IF($B87="","",SUMIFS(tblTxn[View Amount],tblTxn[Month],H$4,tblTxn[Category],$B87)*$P87)</f>
        <v/>
      </c>
      <c r="I87" s="13">
        <f>IF($B87="","",SUMIFS(tblTxn[View Amount],tblTxn[Month],I$4,tblTxn[Category],$B87)*$P87)</f>
        <v/>
      </c>
      <c r="J87" s="13">
        <f>IF($B87="","",SUMIFS(tblTxn[View Amount],tblTxn[Month],J$4,tblTxn[Category],$B87)*$P87)</f>
        <v/>
      </c>
      <c r="K87" s="13">
        <f>IF($B87="","",SUMIFS(tblTxn[View Amount],tblTxn[Month],K$4,tblTxn[Category],$B87)*$P87)</f>
        <v/>
      </c>
      <c r="L87" s="13">
        <f>IF($B87="","",SUMIFS(tblTxn[View Amount],tblTxn[Month],L$4,tblTxn[Category],$B87)*$P87)</f>
        <v/>
      </c>
      <c r="M87" s="13">
        <f>IF($B87="","",SUMIFS(tblTxn[View Amount],tblTxn[Month],M$4,tblTxn[Category],$B87)*$P87)</f>
        <v/>
      </c>
      <c r="N87" s="13">
        <f>IF($B87="","",SUMIFS(tblTxn[View Amount],tblTxn[Month],N$4,tblTxn[Category],$B87)*$P87)</f>
        <v/>
      </c>
      <c r="O87" s="15">
        <f>IF($B87="","",SUM(C87:N87))</f>
        <v/>
      </c>
      <c r="P87">
        <f>IF($B87="",0,IFERROR(IF(INDEX(tblCategories[Type],MATCH($B87,tblCategories[Category],0))="Income",1,-1),-1))</f>
        <v/>
      </c>
      <c r="Q87">
        <f>IF(AND($B87&lt;&gt;"",$P87&lt;&gt;1,N($N87)&gt;0),$N87+ROW()/1E+7,-1)</f>
        <v/>
      </c>
    </row>
    <row r="88">
      <c r="B88" s="7">
        <f>IFERROR(INDEX(tblCategories[Category],60),"")</f>
        <v/>
      </c>
      <c r="C88" s="13">
        <f>IF($B88="","",SUMIFS(tblTxn[View Amount],tblTxn[Month],C$4,tblTxn[Category],$B88)*$P88)</f>
        <v/>
      </c>
      <c r="D88" s="13">
        <f>IF($B88="","",SUMIFS(tblTxn[View Amount],tblTxn[Month],D$4,tblTxn[Category],$B88)*$P88)</f>
        <v/>
      </c>
      <c r="E88" s="13">
        <f>IF($B88="","",SUMIFS(tblTxn[View Amount],tblTxn[Month],E$4,tblTxn[Category],$B88)*$P88)</f>
        <v/>
      </c>
      <c r="F88" s="13">
        <f>IF($B88="","",SUMIFS(tblTxn[View Amount],tblTxn[Month],F$4,tblTxn[Category],$B88)*$P88)</f>
        <v/>
      </c>
      <c r="G88" s="13">
        <f>IF($B88="","",SUMIFS(tblTxn[View Amount],tblTxn[Month],G$4,tblTxn[Category],$B88)*$P88)</f>
        <v/>
      </c>
      <c r="H88" s="13">
        <f>IF($B88="","",SUMIFS(tblTxn[View Amount],tblTxn[Month],H$4,tblTxn[Category],$B88)*$P88)</f>
        <v/>
      </c>
      <c r="I88" s="13">
        <f>IF($B88="","",SUMIFS(tblTxn[View Amount],tblTxn[Month],I$4,tblTxn[Category],$B88)*$P88)</f>
        <v/>
      </c>
      <c r="J88" s="13">
        <f>IF($B88="","",SUMIFS(tblTxn[View Amount],tblTxn[Month],J$4,tblTxn[Category],$B88)*$P88)</f>
        <v/>
      </c>
      <c r="K88" s="13">
        <f>IF($B88="","",SUMIFS(tblTxn[View Amount],tblTxn[Month],K$4,tblTxn[Category],$B88)*$P88)</f>
        <v/>
      </c>
      <c r="L88" s="13">
        <f>IF($B88="","",SUMIFS(tblTxn[View Amount],tblTxn[Month],L$4,tblTxn[Category],$B88)*$P88)</f>
        <v/>
      </c>
      <c r="M88" s="13">
        <f>IF($B88="","",SUMIFS(tblTxn[View Amount],tblTxn[Month],M$4,tblTxn[Category],$B88)*$P88)</f>
        <v/>
      </c>
      <c r="N88" s="13">
        <f>IF($B88="","",SUMIFS(tblTxn[View Amount],tblTxn[Month],N$4,tblTxn[Category],$B88)*$P88)</f>
        <v/>
      </c>
      <c r="O88" s="15">
        <f>IF($B88="","",SUM(C88:N88))</f>
        <v/>
      </c>
      <c r="P88">
        <f>IF($B88="",0,IFERROR(IF(INDEX(tblCategories[Type],MATCH($B88,tblCategories[Category],0))="Income",1,-1),-1))</f>
        <v/>
      </c>
      <c r="Q88">
        <f>IF(AND($B88&lt;&gt;"",$P88&lt;&gt;1,N($N88)&gt;0),$N88+ROW()/1E+7,-1)</f>
        <v/>
      </c>
    </row>
    <row r="89">
      <c r="B89" s="7">
        <f>IFERROR(INDEX(tblCategories[Category],61),"")</f>
        <v/>
      </c>
      <c r="C89" s="13">
        <f>IF($B89="","",SUMIFS(tblTxn[View Amount],tblTxn[Month],C$4,tblTxn[Category],$B89)*$P89)</f>
        <v/>
      </c>
      <c r="D89" s="13">
        <f>IF($B89="","",SUMIFS(tblTxn[View Amount],tblTxn[Month],D$4,tblTxn[Category],$B89)*$P89)</f>
        <v/>
      </c>
      <c r="E89" s="13">
        <f>IF($B89="","",SUMIFS(tblTxn[View Amount],tblTxn[Month],E$4,tblTxn[Category],$B89)*$P89)</f>
        <v/>
      </c>
      <c r="F89" s="13">
        <f>IF($B89="","",SUMIFS(tblTxn[View Amount],tblTxn[Month],F$4,tblTxn[Category],$B89)*$P89)</f>
        <v/>
      </c>
      <c r="G89" s="13">
        <f>IF($B89="","",SUMIFS(tblTxn[View Amount],tblTxn[Month],G$4,tblTxn[Category],$B89)*$P89)</f>
        <v/>
      </c>
      <c r="H89" s="13">
        <f>IF($B89="","",SUMIFS(tblTxn[View Amount],tblTxn[Month],H$4,tblTxn[Category],$B89)*$P89)</f>
        <v/>
      </c>
      <c r="I89" s="13">
        <f>IF($B89="","",SUMIFS(tblTxn[View Amount],tblTxn[Month],I$4,tblTxn[Category],$B89)*$P89)</f>
        <v/>
      </c>
      <c r="J89" s="13">
        <f>IF($B89="","",SUMIFS(tblTxn[View Amount],tblTxn[Month],J$4,tblTxn[Category],$B89)*$P89)</f>
        <v/>
      </c>
      <c r="K89" s="13">
        <f>IF($B89="","",SUMIFS(tblTxn[View Amount],tblTxn[Month],K$4,tblTxn[Category],$B89)*$P89)</f>
        <v/>
      </c>
      <c r="L89" s="13">
        <f>IF($B89="","",SUMIFS(tblTxn[View Amount],tblTxn[Month],L$4,tblTxn[Category],$B89)*$P89)</f>
        <v/>
      </c>
      <c r="M89" s="13">
        <f>IF($B89="","",SUMIFS(tblTxn[View Amount],tblTxn[Month],M$4,tblTxn[Category],$B89)*$P89)</f>
        <v/>
      </c>
      <c r="N89" s="13">
        <f>IF($B89="","",SUMIFS(tblTxn[View Amount],tblTxn[Month],N$4,tblTxn[Category],$B89)*$P89)</f>
        <v/>
      </c>
      <c r="O89" s="15">
        <f>IF($B89="","",SUM(C89:N89))</f>
        <v/>
      </c>
      <c r="P89">
        <f>IF($B89="",0,IFERROR(IF(INDEX(tblCategories[Type],MATCH($B89,tblCategories[Category],0))="Income",1,-1),-1))</f>
        <v/>
      </c>
      <c r="Q89">
        <f>IF(AND($B89&lt;&gt;"",$P89&lt;&gt;1,N($N89)&gt;0),$N89+ROW()/1E+7,-1)</f>
        <v/>
      </c>
    </row>
    <row r="90">
      <c r="B90" s="7">
        <f>IFERROR(INDEX(tblCategories[Category],62),"")</f>
        <v/>
      </c>
      <c r="C90" s="13">
        <f>IF($B90="","",SUMIFS(tblTxn[View Amount],tblTxn[Month],C$4,tblTxn[Category],$B90)*$P90)</f>
        <v/>
      </c>
      <c r="D90" s="13">
        <f>IF($B90="","",SUMIFS(tblTxn[View Amount],tblTxn[Month],D$4,tblTxn[Category],$B90)*$P90)</f>
        <v/>
      </c>
      <c r="E90" s="13">
        <f>IF($B90="","",SUMIFS(tblTxn[View Amount],tblTxn[Month],E$4,tblTxn[Category],$B90)*$P90)</f>
        <v/>
      </c>
      <c r="F90" s="13">
        <f>IF($B90="","",SUMIFS(tblTxn[View Amount],tblTxn[Month],F$4,tblTxn[Category],$B90)*$P90)</f>
        <v/>
      </c>
      <c r="G90" s="13">
        <f>IF($B90="","",SUMIFS(tblTxn[View Amount],tblTxn[Month],G$4,tblTxn[Category],$B90)*$P90)</f>
        <v/>
      </c>
      <c r="H90" s="13">
        <f>IF($B90="","",SUMIFS(tblTxn[View Amount],tblTxn[Month],H$4,tblTxn[Category],$B90)*$P90)</f>
        <v/>
      </c>
      <c r="I90" s="13">
        <f>IF($B90="","",SUMIFS(tblTxn[View Amount],tblTxn[Month],I$4,tblTxn[Category],$B90)*$P90)</f>
        <v/>
      </c>
      <c r="J90" s="13">
        <f>IF($B90="","",SUMIFS(tblTxn[View Amount],tblTxn[Month],J$4,tblTxn[Category],$B90)*$P90)</f>
        <v/>
      </c>
      <c r="K90" s="13">
        <f>IF($B90="","",SUMIFS(tblTxn[View Amount],tblTxn[Month],K$4,tblTxn[Category],$B90)*$P90)</f>
        <v/>
      </c>
      <c r="L90" s="13">
        <f>IF($B90="","",SUMIFS(tblTxn[View Amount],tblTxn[Month],L$4,tblTxn[Category],$B90)*$P90)</f>
        <v/>
      </c>
      <c r="M90" s="13">
        <f>IF($B90="","",SUMIFS(tblTxn[View Amount],tblTxn[Month],M$4,tblTxn[Category],$B90)*$P90)</f>
        <v/>
      </c>
      <c r="N90" s="13">
        <f>IF($B90="","",SUMIFS(tblTxn[View Amount],tblTxn[Month],N$4,tblTxn[Category],$B90)*$P90)</f>
        <v/>
      </c>
      <c r="O90" s="15">
        <f>IF($B90="","",SUM(C90:N90))</f>
        <v/>
      </c>
      <c r="P90">
        <f>IF($B90="",0,IFERROR(IF(INDEX(tblCategories[Type],MATCH($B90,tblCategories[Category],0))="Income",1,-1),-1))</f>
        <v/>
      </c>
      <c r="Q90">
        <f>IF(AND($B90&lt;&gt;"",$P90&lt;&gt;1,N($N90)&gt;0),$N90+ROW()/1E+7,-1)</f>
        <v/>
      </c>
    </row>
    <row r="91">
      <c r="B91" s="7">
        <f>IFERROR(INDEX(tblCategories[Category],63),"")</f>
        <v/>
      </c>
      <c r="C91" s="13">
        <f>IF($B91="","",SUMIFS(tblTxn[View Amount],tblTxn[Month],C$4,tblTxn[Category],$B91)*$P91)</f>
        <v/>
      </c>
      <c r="D91" s="13">
        <f>IF($B91="","",SUMIFS(tblTxn[View Amount],tblTxn[Month],D$4,tblTxn[Category],$B91)*$P91)</f>
        <v/>
      </c>
      <c r="E91" s="13">
        <f>IF($B91="","",SUMIFS(tblTxn[View Amount],tblTxn[Month],E$4,tblTxn[Category],$B91)*$P91)</f>
        <v/>
      </c>
      <c r="F91" s="13">
        <f>IF($B91="","",SUMIFS(tblTxn[View Amount],tblTxn[Month],F$4,tblTxn[Category],$B91)*$P91)</f>
        <v/>
      </c>
      <c r="G91" s="13">
        <f>IF($B91="","",SUMIFS(tblTxn[View Amount],tblTxn[Month],G$4,tblTxn[Category],$B91)*$P91)</f>
        <v/>
      </c>
      <c r="H91" s="13">
        <f>IF($B91="","",SUMIFS(tblTxn[View Amount],tblTxn[Month],H$4,tblTxn[Category],$B91)*$P91)</f>
        <v/>
      </c>
      <c r="I91" s="13">
        <f>IF($B91="","",SUMIFS(tblTxn[View Amount],tblTxn[Month],I$4,tblTxn[Category],$B91)*$P91)</f>
        <v/>
      </c>
      <c r="J91" s="13">
        <f>IF($B91="","",SUMIFS(tblTxn[View Amount],tblTxn[Month],J$4,tblTxn[Category],$B91)*$P91)</f>
        <v/>
      </c>
      <c r="K91" s="13">
        <f>IF($B91="","",SUMIFS(tblTxn[View Amount],tblTxn[Month],K$4,tblTxn[Category],$B91)*$P91)</f>
        <v/>
      </c>
      <c r="L91" s="13">
        <f>IF($B91="","",SUMIFS(tblTxn[View Amount],tblTxn[Month],L$4,tblTxn[Category],$B91)*$P91)</f>
        <v/>
      </c>
      <c r="M91" s="13">
        <f>IF($B91="","",SUMIFS(tblTxn[View Amount],tblTxn[Month],M$4,tblTxn[Category],$B91)*$P91)</f>
        <v/>
      </c>
      <c r="N91" s="13">
        <f>IF($B91="","",SUMIFS(tblTxn[View Amount],tblTxn[Month],N$4,tblTxn[Category],$B91)*$P91)</f>
        <v/>
      </c>
      <c r="O91" s="15">
        <f>IF($B91="","",SUM(C91:N91))</f>
        <v/>
      </c>
      <c r="P91">
        <f>IF($B91="",0,IFERROR(IF(INDEX(tblCategories[Type],MATCH($B91,tblCategories[Category],0))="Income",1,-1),-1))</f>
        <v/>
      </c>
      <c r="Q91">
        <f>IF(AND($B91&lt;&gt;"",$P91&lt;&gt;1,N($N91)&gt;0),$N91+ROW()/1E+7,-1)</f>
        <v/>
      </c>
    </row>
    <row r="92">
      <c r="B92" s="7">
        <f>IFERROR(INDEX(tblCategories[Category],64),"")</f>
        <v/>
      </c>
      <c r="C92" s="13">
        <f>IF($B92="","",SUMIFS(tblTxn[View Amount],tblTxn[Month],C$4,tblTxn[Category],$B92)*$P92)</f>
        <v/>
      </c>
      <c r="D92" s="13">
        <f>IF($B92="","",SUMIFS(tblTxn[View Amount],tblTxn[Month],D$4,tblTxn[Category],$B92)*$P92)</f>
        <v/>
      </c>
      <c r="E92" s="13">
        <f>IF($B92="","",SUMIFS(tblTxn[View Amount],tblTxn[Month],E$4,tblTxn[Category],$B92)*$P92)</f>
        <v/>
      </c>
      <c r="F92" s="13">
        <f>IF($B92="","",SUMIFS(tblTxn[View Amount],tblTxn[Month],F$4,tblTxn[Category],$B92)*$P92)</f>
        <v/>
      </c>
      <c r="G92" s="13">
        <f>IF($B92="","",SUMIFS(tblTxn[View Amount],tblTxn[Month],G$4,tblTxn[Category],$B92)*$P92)</f>
        <v/>
      </c>
      <c r="H92" s="13">
        <f>IF($B92="","",SUMIFS(tblTxn[View Amount],tblTxn[Month],H$4,tblTxn[Category],$B92)*$P92)</f>
        <v/>
      </c>
      <c r="I92" s="13">
        <f>IF($B92="","",SUMIFS(tblTxn[View Amount],tblTxn[Month],I$4,tblTxn[Category],$B92)*$P92)</f>
        <v/>
      </c>
      <c r="J92" s="13">
        <f>IF($B92="","",SUMIFS(tblTxn[View Amount],tblTxn[Month],J$4,tblTxn[Category],$B92)*$P92)</f>
        <v/>
      </c>
      <c r="K92" s="13">
        <f>IF($B92="","",SUMIFS(tblTxn[View Amount],tblTxn[Month],K$4,tblTxn[Category],$B92)*$P92)</f>
        <v/>
      </c>
      <c r="L92" s="13">
        <f>IF($B92="","",SUMIFS(tblTxn[View Amount],tblTxn[Month],L$4,tblTxn[Category],$B92)*$P92)</f>
        <v/>
      </c>
      <c r="M92" s="13">
        <f>IF($B92="","",SUMIFS(tblTxn[View Amount],tblTxn[Month],M$4,tblTxn[Category],$B92)*$P92)</f>
        <v/>
      </c>
      <c r="N92" s="13">
        <f>IF($B92="","",SUMIFS(tblTxn[View Amount],tblTxn[Month],N$4,tblTxn[Category],$B92)*$P92)</f>
        <v/>
      </c>
      <c r="O92" s="15">
        <f>IF($B92="","",SUM(C92:N92))</f>
        <v/>
      </c>
      <c r="P92">
        <f>IF($B92="",0,IFERROR(IF(INDEX(tblCategories[Type],MATCH($B92,tblCategories[Category],0))="Income",1,-1),-1))</f>
        <v/>
      </c>
      <c r="Q92">
        <f>IF(AND($B92&lt;&gt;"",$P92&lt;&gt;1,N($N92)&gt;0),$N92+ROW()/1E+7,-1)</f>
        <v/>
      </c>
    </row>
    <row r="93">
      <c r="B93" s="7">
        <f>IFERROR(INDEX(tblCategories[Category],65),"")</f>
        <v/>
      </c>
      <c r="C93" s="13">
        <f>IF($B93="","",SUMIFS(tblTxn[View Amount],tblTxn[Month],C$4,tblTxn[Category],$B93)*$P93)</f>
        <v/>
      </c>
      <c r="D93" s="13">
        <f>IF($B93="","",SUMIFS(tblTxn[View Amount],tblTxn[Month],D$4,tblTxn[Category],$B93)*$P93)</f>
        <v/>
      </c>
      <c r="E93" s="13">
        <f>IF($B93="","",SUMIFS(tblTxn[View Amount],tblTxn[Month],E$4,tblTxn[Category],$B93)*$P93)</f>
        <v/>
      </c>
      <c r="F93" s="13">
        <f>IF($B93="","",SUMIFS(tblTxn[View Amount],tblTxn[Month],F$4,tblTxn[Category],$B93)*$P93)</f>
        <v/>
      </c>
      <c r="G93" s="13">
        <f>IF($B93="","",SUMIFS(tblTxn[View Amount],tblTxn[Month],G$4,tblTxn[Category],$B93)*$P93)</f>
        <v/>
      </c>
      <c r="H93" s="13">
        <f>IF($B93="","",SUMIFS(tblTxn[View Amount],tblTxn[Month],H$4,tblTxn[Category],$B93)*$P93)</f>
        <v/>
      </c>
      <c r="I93" s="13">
        <f>IF($B93="","",SUMIFS(tblTxn[View Amount],tblTxn[Month],I$4,tblTxn[Category],$B93)*$P93)</f>
        <v/>
      </c>
      <c r="J93" s="13">
        <f>IF($B93="","",SUMIFS(tblTxn[View Amount],tblTxn[Month],J$4,tblTxn[Category],$B93)*$P93)</f>
        <v/>
      </c>
      <c r="K93" s="13">
        <f>IF($B93="","",SUMIFS(tblTxn[View Amount],tblTxn[Month],K$4,tblTxn[Category],$B93)*$P93)</f>
        <v/>
      </c>
      <c r="L93" s="13">
        <f>IF($B93="","",SUMIFS(tblTxn[View Amount],tblTxn[Month],L$4,tblTxn[Category],$B93)*$P93)</f>
        <v/>
      </c>
      <c r="M93" s="13">
        <f>IF($B93="","",SUMIFS(tblTxn[View Amount],tblTxn[Month],M$4,tblTxn[Category],$B93)*$P93)</f>
        <v/>
      </c>
      <c r="N93" s="13">
        <f>IF($B93="","",SUMIFS(tblTxn[View Amount],tblTxn[Month],N$4,tblTxn[Category],$B93)*$P93)</f>
        <v/>
      </c>
      <c r="O93" s="15">
        <f>IF($B93="","",SUM(C93:N93))</f>
        <v/>
      </c>
      <c r="P93">
        <f>IF($B93="",0,IFERROR(IF(INDEX(tblCategories[Type],MATCH($B93,tblCategories[Category],0))="Income",1,-1),-1))</f>
        <v/>
      </c>
      <c r="Q93">
        <f>IF(AND($B93&lt;&gt;"",$P93&lt;&gt;1,N($N93)&gt;0),$N93+ROW()/1E+7,-1)</f>
        <v/>
      </c>
    </row>
    <row r="94">
      <c r="B94" s="7">
        <f>IFERROR(INDEX(tblCategories[Category],66),"")</f>
        <v/>
      </c>
      <c r="C94" s="13">
        <f>IF($B94="","",SUMIFS(tblTxn[View Amount],tblTxn[Month],C$4,tblTxn[Category],$B94)*$P94)</f>
        <v/>
      </c>
      <c r="D94" s="13">
        <f>IF($B94="","",SUMIFS(tblTxn[View Amount],tblTxn[Month],D$4,tblTxn[Category],$B94)*$P94)</f>
        <v/>
      </c>
      <c r="E94" s="13">
        <f>IF($B94="","",SUMIFS(tblTxn[View Amount],tblTxn[Month],E$4,tblTxn[Category],$B94)*$P94)</f>
        <v/>
      </c>
      <c r="F94" s="13">
        <f>IF($B94="","",SUMIFS(tblTxn[View Amount],tblTxn[Month],F$4,tblTxn[Category],$B94)*$P94)</f>
        <v/>
      </c>
      <c r="G94" s="13">
        <f>IF($B94="","",SUMIFS(tblTxn[View Amount],tblTxn[Month],G$4,tblTxn[Category],$B94)*$P94)</f>
        <v/>
      </c>
      <c r="H94" s="13">
        <f>IF($B94="","",SUMIFS(tblTxn[View Amount],tblTxn[Month],H$4,tblTxn[Category],$B94)*$P94)</f>
        <v/>
      </c>
      <c r="I94" s="13">
        <f>IF($B94="","",SUMIFS(tblTxn[View Amount],tblTxn[Month],I$4,tblTxn[Category],$B94)*$P94)</f>
        <v/>
      </c>
      <c r="J94" s="13">
        <f>IF($B94="","",SUMIFS(tblTxn[View Amount],tblTxn[Month],J$4,tblTxn[Category],$B94)*$P94)</f>
        <v/>
      </c>
      <c r="K94" s="13">
        <f>IF($B94="","",SUMIFS(tblTxn[View Amount],tblTxn[Month],K$4,tblTxn[Category],$B94)*$P94)</f>
        <v/>
      </c>
      <c r="L94" s="13">
        <f>IF($B94="","",SUMIFS(tblTxn[View Amount],tblTxn[Month],L$4,tblTxn[Category],$B94)*$P94)</f>
        <v/>
      </c>
      <c r="M94" s="13">
        <f>IF($B94="","",SUMIFS(tblTxn[View Amount],tblTxn[Month],M$4,tblTxn[Category],$B94)*$P94)</f>
        <v/>
      </c>
      <c r="N94" s="13">
        <f>IF($B94="","",SUMIFS(tblTxn[View Amount],tblTxn[Month],N$4,tblTxn[Category],$B94)*$P94)</f>
        <v/>
      </c>
      <c r="O94" s="15">
        <f>IF($B94="","",SUM(C94:N94))</f>
        <v/>
      </c>
      <c r="P94">
        <f>IF($B94="",0,IFERROR(IF(INDEX(tblCategories[Type],MATCH($B94,tblCategories[Category],0))="Income",1,-1),-1))</f>
        <v/>
      </c>
      <c r="Q94">
        <f>IF(AND($B94&lt;&gt;"",$P94&lt;&gt;1,N($N94)&gt;0),$N94+ROW()/1E+7,-1)</f>
        <v/>
      </c>
    </row>
    <row r="95">
      <c r="B95" s="7">
        <f>IFERROR(INDEX(tblCategories[Category],67),"")</f>
        <v/>
      </c>
      <c r="C95" s="13">
        <f>IF($B95="","",SUMIFS(tblTxn[View Amount],tblTxn[Month],C$4,tblTxn[Category],$B95)*$P95)</f>
        <v/>
      </c>
      <c r="D95" s="13">
        <f>IF($B95="","",SUMIFS(tblTxn[View Amount],tblTxn[Month],D$4,tblTxn[Category],$B95)*$P95)</f>
        <v/>
      </c>
      <c r="E95" s="13">
        <f>IF($B95="","",SUMIFS(tblTxn[View Amount],tblTxn[Month],E$4,tblTxn[Category],$B95)*$P95)</f>
        <v/>
      </c>
      <c r="F95" s="13">
        <f>IF($B95="","",SUMIFS(tblTxn[View Amount],tblTxn[Month],F$4,tblTxn[Category],$B95)*$P95)</f>
        <v/>
      </c>
      <c r="G95" s="13">
        <f>IF($B95="","",SUMIFS(tblTxn[View Amount],tblTxn[Month],G$4,tblTxn[Category],$B95)*$P95)</f>
        <v/>
      </c>
      <c r="H95" s="13">
        <f>IF($B95="","",SUMIFS(tblTxn[View Amount],tblTxn[Month],H$4,tblTxn[Category],$B95)*$P95)</f>
        <v/>
      </c>
      <c r="I95" s="13">
        <f>IF($B95="","",SUMIFS(tblTxn[View Amount],tblTxn[Month],I$4,tblTxn[Category],$B95)*$P95)</f>
        <v/>
      </c>
      <c r="J95" s="13">
        <f>IF($B95="","",SUMIFS(tblTxn[View Amount],tblTxn[Month],J$4,tblTxn[Category],$B95)*$P95)</f>
        <v/>
      </c>
      <c r="K95" s="13">
        <f>IF($B95="","",SUMIFS(tblTxn[View Amount],tblTxn[Month],K$4,tblTxn[Category],$B95)*$P95)</f>
        <v/>
      </c>
      <c r="L95" s="13">
        <f>IF($B95="","",SUMIFS(tblTxn[View Amount],tblTxn[Month],L$4,tblTxn[Category],$B95)*$P95)</f>
        <v/>
      </c>
      <c r="M95" s="13">
        <f>IF($B95="","",SUMIFS(tblTxn[View Amount],tblTxn[Month],M$4,tblTxn[Category],$B95)*$P95)</f>
        <v/>
      </c>
      <c r="N95" s="13">
        <f>IF($B95="","",SUMIFS(tblTxn[View Amount],tblTxn[Month],N$4,tblTxn[Category],$B95)*$P95)</f>
        <v/>
      </c>
      <c r="O95" s="15">
        <f>IF($B95="","",SUM(C95:N95))</f>
        <v/>
      </c>
      <c r="P95">
        <f>IF($B95="",0,IFERROR(IF(INDEX(tblCategories[Type],MATCH($B95,tblCategories[Category],0))="Income",1,-1),-1))</f>
        <v/>
      </c>
      <c r="Q95">
        <f>IF(AND($B95&lt;&gt;"",$P95&lt;&gt;1,N($N95)&gt;0),$N95+ROW()/1E+7,-1)</f>
        <v/>
      </c>
    </row>
    <row r="96">
      <c r="B96" s="7">
        <f>IFERROR(INDEX(tblCategories[Category],68),"")</f>
        <v/>
      </c>
      <c r="C96" s="13">
        <f>IF($B96="","",SUMIFS(tblTxn[View Amount],tblTxn[Month],C$4,tblTxn[Category],$B96)*$P96)</f>
        <v/>
      </c>
      <c r="D96" s="13">
        <f>IF($B96="","",SUMIFS(tblTxn[View Amount],tblTxn[Month],D$4,tblTxn[Category],$B96)*$P96)</f>
        <v/>
      </c>
      <c r="E96" s="13">
        <f>IF($B96="","",SUMIFS(tblTxn[View Amount],tblTxn[Month],E$4,tblTxn[Category],$B96)*$P96)</f>
        <v/>
      </c>
      <c r="F96" s="13">
        <f>IF($B96="","",SUMIFS(tblTxn[View Amount],tblTxn[Month],F$4,tblTxn[Category],$B96)*$P96)</f>
        <v/>
      </c>
      <c r="G96" s="13">
        <f>IF($B96="","",SUMIFS(tblTxn[View Amount],tblTxn[Month],G$4,tblTxn[Category],$B96)*$P96)</f>
        <v/>
      </c>
      <c r="H96" s="13">
        <f>IF($B96="","",SUMIFS(tblTxn[View Amount],tblTxn[Month],H$4,tblTxn[Category],$B96)*$P96)</f>
        <v/>
      </c>
      <c r="I96" s="13">
        <f>IF($B96="","",SUMIFS(tblTxn[View Amount],tblTxn[Month],I$4,tblTxn[Category],$B96)*$P96)</f>
        <v/>
      </c>
      <c r="J96" s="13">
        <f>IF($B96="","",SUMIFS(tblTxn[View Amount],tblTxn[Month],J$4,tblTxn[Category],$B96)*$P96)</f>
        <v/>
      </c>
      <c r="K96" s="13">
        <f>IF($B96="","",SUMIFS(tblTxn[View Amount],tblTxn[Month],K$4,tblTxn[Category],$B96)*$P96)</f>
        <v/>
      </c>
      <c r="L96" s="13">
        <f>IF($B96="","",SUMIFS(tblTxn[View Amount],tblTxn[Month],L$4,tblTxn[Category],$B96)*$P96)</f>
        <v/>
      </c>
      <c r="M96" s="13">
        <f>IF($B96="","",SUMIFS(tblTxn[View Amount],tblTxn[Month],M$4,tblTxn[Category],$B96)*$P96)</f>
        <v/>
      </c>
      <c r="N96" s="13">
        <f>IF($B96="","",SUMIFS(tblTxn[View Amount],tblTxn[Month],N$4,tblTxn[Category],$B96)*$P96)</f>
        <v/>
      </c>
      <c r="O96" s="15">
        <f>IF($B96="","",SUM(C96:N96))</f>
        <v/>
      </c>
      <c r="P96">
        <f>IF($B96="",0,IFERROR(IF(INDEX(tblCategories[Type],MATCH($B96,tblCategories[Category],0))="Income",1,-1),-1))</f>
        <v/>
      </c>
      <c r="Q96">
        <f>IF(AND($B96&lt;&gt;"",$P96&lt;&gt;1,N($N96)&gt;0),$N96+ROW()/1E+7,-1)</f>
        <v/>
      </c>
    </row>
    <row r="97">
      <c r="B97" s="7">
        <f>IFERROR(INDEX(tblCategories[Category],69),"")</f>
        <v/>
      </c>
      <c r="C97" s="13">
        <f>IF($B97="","",SUMIFS(tblTxn[View Amount],tblTxn[Month],C$4,tblTxn[Category],$B97)*$P97)</f>
        <v/>
      </c>
      <c r="D97" s="13">
        <f>IF($B97="","",SUMIFS(tblTxn[View Amount],tblTxn[Month],D$4,tblTxn[Category],$B97)*$P97)</f>
        <v/>
      </c>
      <c r="E97" s="13">
        <f>IF($B97="","",SUMIFS(tblTxn[View Amount],tblTxn[Month],E$4,tblTxn[Category],$B97)*$P97)</f>
        <v/>
      </c>
      <c r="F97" s="13">
        <f>IF($B97="","",SUMIFS(tblTxn[View Amount],tblTxn[Month],F$4,tblTxn[Category],$B97)*$P97)</f>
        <v/>
      </c>
      <c r="G97" s="13">
        <f>IF($B97="","",SUMIFS(tblTxn[View Amount],tblTxn[Month],G$4,tblTxn[Category],$B97)*$P97)</f>
        <v/>
      </c>
      <c r="H97" s="13">
        <f>IF($B97="","",SUMIFS(tblTxn[View Amount],tblTxn[Month],H$4,tblTxn[Category],$B97)*$P97)</f>
        <v/>
      </c>
      <c r="I97" s="13">
        <f>IF($B97="","",SUMIFS(tblTxn[View Amount],tblTxn[Month],I$4,tblTxn[Category],$B97)*$P97)</f>
        <v/>
      </c>
      <c r="J97" s="13">
        <f>IF($B97="","",SUMIFS(tblTxn[View Amount],tblTxn[Month],J$4,tblTxn[Category],$B97)*$P97)</f>
        <v/>
      </c>
      <c r="K97" s="13">
        <f>IF($B97="","",SUMIFS(tblTxn[View Amount],tblTxn[Month],K$4,tblTxn[Category],$B97)*$P97)</f>
        <v/>
      </c>
      <c r="L97" s="13">
        <f>IF($B97="","",SUMIFS(tblTxn[View Amount],tblTxn[Month],L$4,tblTxn[Category],$B97)*$P97)</f>
        <v/>
      </c>
      <c r="M97" s="13">
        <f>IF($B97="","",SUMIFS(tblTxn[View Amount],tblTxn[Month],M$4,tblTxn[Category],$B97)*$P97)</f>
        <v/>
      </c>
      <c r="N97" s="13">
        <f>IF($B97="","",SUMIFS(tblTxn[View Amount],tblTxn[Month],N$4,tblTxn[Category],$B97)*$P97)</f>
        <v/>
      </c>
      <c r="O97" s="15">
        <f>IF($B97="","",SUM(C97:N97))</f>
        <v/>
      </c>
      <c r="P97">
        <f>IF($B97="",0,IFERROR(IF(INDEX(tblCategories[Type],MATCH($B97,tblCategories[Category],0))="Income",1,-1),-1))</f>
        <v/>
      </c>
      <c r="Q97">
        <f>IF(AND($B97&lt;&gt;"",$P97&lt;&gt;1,N($N97)&gt;0),$N97+ROW()/1E+7,-1)</f>
        <v/>
      </c>
    </row>
    <row r="98">
      <c r="B98" s="7">
        <f>IFERROR(INDEX(tblCategories[Category],70),"")</f>
        <v/>
      </c>
      <c r="C98" s="13">
        <f>IF($B98="","",SUMIFS(tblTxn[View Amount],tblTxn[Month],C$4,tblTxn[Category],$B98)*$P98)</f>
        <v/>
      </c>
      <c r="D98" s="13">
        <f>IF($B98="","",SUMIFS(tblTxn[View Amount],tblTxn[Month],D$4,tblTxn[Category],$B98)*$P98)</f>
        <v/>
      </c>
      <c r="E98" s="13">
        <f>IF($B98="","",SUMIFS(tblTxn[View Amount],tblTxn[Month],E$4,tblTxn[Category],$B98)*$P98)</f>
        <v/>
      </c>
      <c r="F98" s="13">
        <f>IF($B98="","",SUMIFS(tblTxn[View Amount],tblTxn[Month],F$4,tblTxn[Category],$B98)*$P98)</f>
        <v/>
      </c>
      <c r="G98" s="13">
        <f>IF($B98="","",SUMIFS(tblTxn[View Amount],tblTxn[Month],G$4,tblTxn[Category],$B98)*$P98)</f>
        <v/>
      </c>
      <c r="H98" s="13">
        <f>IF($B98="","",SUMIFS(tblTxn[View Amount],tblTxn[Month],H$4,tblTxn[Category],$B98)*$P98)</f>
        <v/>
      </c>
      <c r="I98" s="13">
        <f>IF($B98="","",SUMIFS(tblTxn[View Amount],tblTxn[Month],I$4,tblTxn[Category],$B98)*$P98)</f>
        <v/>
      </c>
      <c r="J98" s="13">
        <f>IF($B98="","",SUMIFS(tblTxn[View Amount],tblTxn[Month],J$4,tblTxn[Category],$B98)*$P98)</f>
        <v/>
      </c>
      <c r="K98" s="13">
        <f>IF($B98="","",SUMIFS(tblTxn[View Amount],tblTxn[Month],K$4,tblTxn[Category],$B98)*$P98)</f>
        <v/>
      </c>
      <c r="L98" s="13">
        <f>IF($B98="","",SUMIFS(tblTxn[View Amount],tblTxn[Month],L$4,tblTxn[Category],$B98)*$P98)</f>
        <v/>
      </c>
      <c r="M98" s="13">
        <f>IF($B98="","",SUMIFS(tblTxn[View Amount],tblTxn[Month],M$4,tblTxn[Category],$B98)*$P98)</f>
        <v/>
      </c>
      <c r="N98" s="13">
        <f>IF($B98="","",SUMIFS(tblTxn[View Amount],tblTxn[Month],N$4,tblTxn[Category],$B98)*$P98)</f>
        <v/>
      </c>
      <c r="O98" s="15">
        <f>IF($B98="","",SUM(C98:N98))</f>
        <v/>
      </c>
      <c r="P98">
        <f>IF($B98="",0,IFERROR(IF(INDEX(tblCategories[Type],MATCH($B98,tblCategories[Category],0))="Income",1,-1),-1))</f>
        <v/>
      </c>
      <c r="Q98">
        <f>IF(AND($B98&lt;&gt;"",$P98&lt;&gt;1,N($N98)&gt;0),$N98+ROW()/1E+7,-1)</f>
        <v/>
      </c>
    </row>
    <row r="99">
      <c r="B99" s="7">
        <f>IFERROR(INDEX(tblCategories[Category],71),"")</f>
        <v/>
      </c>
      <c r="C99" s="13">
        <f>IF($B99="","",SUMIFS(tblTxn[View Amount],tblTxn[Month],C$4,tblTxn[Category],$B99)*$P99)</f>
        <v/>
      </c>
      <c r="D99" s="13">
        <f>IF($B99="","",SUMIFS(tblTxn[View Amount],tblTxn[Month],D$4,tblTxn[Category],$B99)*$P99)</f>
        <v/>
      </c>
      <c r="E99" s="13">
        <f>IF($B99="","",SUMIFS(tblTxn[View Amount],tblTxn[Month],E$4,tblTxn[Category],$B99)*$P99)</f>
        <v/>
      </c>
      <c r="F99" s="13">
        <f>IF($B99="","",SUMIFS(tblTxn[View Amount],tblTxn[Month],F$4,tblTxn[Category],$B99)*$P99)</f>
        <v/>
      </c>
      <c r="G99" s="13">
        <f>IF($B99="","",SUMIFS(tblTxn[View Amount],tblTxn[Month],G$4,tblTxn[Category],$B99)*$P99)</f>
        <v/>
      </c>
      <c r="H99" s="13">
        <f>IF($B99="","",SUMIFS(tblTxn[View Amount],tblTxn[Month],H$4,tblTxn[Category],$B99)*$P99)</f>
        <v/>
      </c>
      <c r="I99" s="13">
        <f>IF($B99="","",SUMIFS(tblTxn[View Amount],tblTxn[Month],I$4,tblTxn[Category],$B99)*$P99)</f>
        <v/>
      </c>
      <c r="J99" s="13">
        <f>IF($B99="","",SUMIFS(tblTxn[View Amount],tblTxn[Month],J$4,tblTxn[Category],$B99)*$P99)</f>
        <v/>
      </c>
      <c r="K99" s="13">
        <f>IF($B99="","",SUMIFS(tblTxn[View Amount],tblTxn[Month],K$4,tblTxn[Category],$B99)*$P99)</f>
        <v/>
      </c>
      <c r="L99" s="13">
        <f>IF($B99="","",SUMIFS(tblTxn[View Amount],tblTxn[Month],L$4,tblTxn[Category],$B99)*$P99)</f>
        <v/>
      </c>
      <c r="M99" s="13">
        <f>IF($B99="","",SUMIFS(tblTxn[View Amount],tblTxn[Month],M$4,tblTxn[Category],$B99)*$P99)</f>
        <v/>
      </c>
      <c r="N99" s="13">
        <f>IF($B99="","",SUMIFS(tblTxn[View Amount],tblTxn[Month],N$4,tblTxn[Category],$B99)*$P99)</f>
        <v/>
      </c>
      <c r="O99" s="15">
        <f>IF($B99="","",SUM(C99:N99))</f>
        <v/>
      </c>
      <c r="P99">
        <f>IF($B99="",0,IFERROR(IF(INDEX(tblCategories[Type],MATCH($B99,tblCategories[Category],0))="Income",1,-1),-1))</f>
        <v/>
      </c>
      <c r="Q99">
        <f>IF(AND($B99&lt;&gt;"",$P99&lt;&gt;1,N($N99)&gt;0),$N99+ROW()/1E+7,-1)</f>
        <v/>
      </c>
    </row>
    <row r="100">
      <c r="B100" s="7">
        <f>IFERROR(INDEX(tblCategories[Category],72),"")</f>
        <v/>
      </c>
      <c r="C100" s="13">
        <f>IF($B100="","",SUMIFS(tblTxn[View Amount],tblTxn[Month],C$4,tblTxn[Category],$B100)*$P100)</f>
        <v/>
      </c>
      <c r="D100" s="13">
        <f>IF($B100="","",SUMIFS(tblTxn[View Amount],tblTxn[Month],D$4,tblTxn[Category],$B100)*$P100)</f>
        <v/>
      </c>
      <c r="E100" s="13">
        <f>IF($B100="","",SUMIFS(tblTxn[View Amount],tblTxn[Month],E$4,tblTxn[Category],$B100)*$P100)</f>
        <v/>
      </c>
      <c r="F100" s="13">
        <f>IF($B100="","",SUMIFS(tblTxn[View Amount],tblTxn[Month],F$4,tblTxn[Category],$B100)*$P100)</f>
        <v/>
      </c>
      <c r="G100" s="13">
        <f>IF($B100="","",SUMIFS(tblTxn[View Amount],tblTxn[Month],G$4,tblTxn[Category],$B100)*$P100)</f>
        <v/>
      </c>
      <c r="H100" s="13">
        <f>IF($B100="","",SUMIFS(tblTxn[View Amount],tblTxn[Month],H$4,tblTxn[Category],$B100)*$P100)</f>
        <v/>
      </c>
      <c r="I100" s="13">
        <f>IF($B100="","",SUMIFS(tblTxn[View Amount],tblTxn[Month],I$4,tblTxn[Category],$B100)*$P100)</f>
        <v/>
      </c>
      <c r="J100" s="13">
        <f>IF($B100="","",SUMIFS(tblTxn[View Amount],tblTxn[Month],J$4,tblTxn[Category],$B100)*$P100)</f>
        <v/>
      </c>
      <c r="K100" s="13">
        <f>IF($B100="","",SUMIFS(tblTxn[View Amount],tblTxn[Month],K$4,tblTxn[Category],$B100)*$P100)</f>
        <v/>
      </c>
      <c r="L100" s="13">
        <f>IF($B100="","",SUMIFS(tblTxn[View Amount],tblTxn[Month],L$4,tblTxn[Category],$B100)*$P100)</f>
        <v/>
      </c>
      <c r="M100" s="13">
        <f>IF($B100="","",SUMIFS(tblTxn[View Amount],tblTxn[Month],M$4,tblTxn[Category],$B100)*$P100)</f>
        <v/>
      </c>
      <c r="N100" s="13">
        <f>IF($B100="","",SUMIFS(tblTxn[View Amount],tblTxn[Month],N$4,tblTxn[Category],$B100)*$P100)</f>
        <v/>
      </c>
      <c r="O100" s="15">
        <f>IF($B100="","",SUM(C100:N100))</f>
        <v/>
      </c>
      <c r="P100">
        <f>IF($B100="",0,IFERROR(IF(INDEX(tblCategories[Type],MATCH($B100,tblCategories[Category],0))="Income",1,-1),-1))</f>
        <v/>
      </c>
      <c r="Q100">
        <f>IF(AND($B100&lt;&gt;"",$P100&lt;&gt;1,N($N100)&gt;0),$N100+ROW()/1E+7,-1)</f>
        <v/>
      </c>
    </row>
    <row r="101">
      <c r="B101" s="7">
        <f>IFERROR(INDEX(tblCategories[Category],73),"")</f>
        <v/>
      </c>
      <c r="C101" s="13">
        <f>IF($B101="","",SUMIFS(tblTxn[View Amount],tblTxn[Month],C$4,tblTxn[Category],$B101)*$P101)</f>
        <v/>
      </c>
      <c r="D101" s="13">
        <f>IF($B101="","",SUMIFS(tblTxn[View Amount],tblTxn[Month],D$4,tblTxn[Category],$B101)*$P101)</f>
        <v/>
      </c>
      <c r="E101" s="13">
        <f>IF($B101="","",SUMIFS(tblTxn[View Amount],tblTxn[Month],E$4,tblTxn[Category],$B101)*$P101)</f>
        <v/>
      </c>
      <c r="F101" s="13">
        <f>IF($B101="","",SUMIFS(tblTxn[View Amount],tblTxn[Month],F$4,tblTxn[Category],$B101)*$P101)</f>
        <v/>
      </c>
      <c r="G101" s="13">
        <f>IF($B101="","",SUMIFS(tblTxn[View Amount],tblTxn[Month],G$4,tblTxn[Category],$B101)*$P101)</f>
        <v/>
      </c>
      <c r="H101" s="13">
        <f>IF($B101="","",SUMIFS(tblTxn[View Amount],tblTxn[Month],H$4,tblTxn[Category],$B101)*$P101)</f>
        <v/>
      </c>
      <c r="I101" s="13">
        <f>IF($B101="","",SUMIFS(tblTxn[View Amount],tblTxn[Month],I$4,tblTxn[Category],$B101)*$P101)</f>
        <v/>
      </c>
      <c r="J101" s="13">
        <f>IF($B101="","",SUMIFS(tblTxn[View Amount],tblTxn[Month],J$4,tblTxn[Category],$B101)*$P101)</f>
        <v/>
      </c>
      <c r="K101" s="13">
        <f>IF($B101="","",SUMIFS(tblTxn[View Amount],tblTxn[Month],K$4,tblTxn[Category],$B101)*$P101)</f>
        <v/>
      </c>
      <c r="L101" s="13">
        <f>IF($B101="","",SUMIFS(tblTxn[View Amount],tblTxn[Month],L$4,tblTxn[Category],$B101)*$P101)</f>
        <v/>
      </c>
      <c r="M101" s="13">
        <f>IF($B101="","",SUMIFS(tblTxn[View Amount],tblTxn[Month],M$4,tblTxn[Category],$B101)*$P101)</f>
        <v/>
      </c>
      <c r="N101" s="13">
        <f>IF($B101="","",SUMIFS(tblTxn[View Amount],tblTxn[Month],N$4,tblTxn[Category],$B101)*$P101)</f>
        <v/>
      </c>
      <c r="O101" s="15">
        <f>IF($B101="","",SUM(C101:N101))</f>
        <v/>
      </c>
      <c r="P101">
        <f>IF($B101="",0,IFERROR(IF(INDEX(tblCategories[Type],MATCH($B101,tblCategories[Category],0))="Income",1,-1),-1))</f>
        <v/>
      </c>
      <c r="Q101">
        <f>IF(AND($B101&lt;&gt;"",$P101&lt;&gt;1,N($N101)&gt;0),$N101+ROW()/1E+7,-1)</f>
        <v/>
      </c>
    </row>
    <row r="102">
      <c r="B102" s="7">
        <f>IFERROR(INDEX(tblCategories[Category],74),"")</f>
        <v/>
      </c>
      <c r="C102" s="13">
        <f>IF($B102="","",SUMIFS(tblTxn[View Amount],tblTxn[Month],C$4,tblTxn[Category],$B102)*$P102)</f>
        <v/>
      </c>
      <c r="D102" s="13">
        <f>IF($B102="","",SUMIFS(tblTxn[View Amount],tblTxn[Month],D$4,tblTxn[Category],$B102)*$P102)</f>
        <v/>
      </c>
      <c r="E102" s="13">
        <f>IF($B102="","",SUMIFS(tblTxn[View Amount],tblTxn[Month],E$4,tblTxn[Category],$B102)*$P102)</f>
        <v/>
      </c>
      <c r="F102" s="13">
        <f>IF($B102="","",SUMIFS(tblTxn[View Amount],tblTxn[Month],F$4,tblTxn[Category],$B102)*$P102)</f>
        <v/>
      </c>
      <c r="G102" s="13">
        <f>IF($B102="","",SUMIFS(tblTxn[View Amount],tblTxn[Month],G$4,tblTxn[Category],$B102)*$P102)</f>
        <v/>
      </c>
      <c r="H102" s="13">
        <f>IF($B102="","",SUMIFS(tblTxn[View Amount],tblTxn[Month],H$4,tblTxn[Category],$B102)*$P102)</f>
        <v/>
      </c>
      <c r="I102" s="13">
        <f>IF($B102="","",SUMIFS(tblTxn[View Amount],tblTxn[Month],I$4,tblTxn[Category],$B102)*$P102)</f>
        <v/>
      </c>
      <c r="J102" s="13">
        <f>IF($B102="","",SUMIFS(tblTxn[View Amount],tblTxn[Month],J$4,tblTxn[Category],$B102)*$P102)</f>
        <v/>
      </c>
      <c r="K102" s="13">
        <f>IF($B102="","",SUMIFS(tblTxn[View Amount],tblTxn[Month],K$4,tblTxn[Category],$B102)*$P102)</f>
        <v/>
      </c>
      <c r="L102" s="13">
        <f>IF($B102="","",SUMIFS(tblTxn[View Amount],tblTxn[Month],L$4,tblTxn[Category],$B102)*$P102)</f>
        <v/>
      </c>
      <c r="M102" s="13">
        <f>IF($B102="","",SUMIFS(tblTxn[View Amount],tblTxn[Month],M$4,tblTxn[Category],$B102)*$P102)</f>
        <v/>
      </c>
      <c r="N102" s="13">
        <f>IF($B102="","",SUMIFS(tblTxn[View Amount],tblTxn[Month],N$4,tblTxn[Category],$B102)*$P102)</f>
        <v/>
      </c>
      <c r="O102" s="15">
        <f>IF($B102="","",SUM(C102:N102))</f>
        <v/>
      </c>
      <c r="P102">
        <f>IF($B102="",0,IFERROR(IF(INDEX(tblCategories[Type],MATCH($B102,tblCategories[Category],0))="Income",1,-1),-1))</f>
        <v/>
      </c>
      <c r="Q102">
        <f>IF(AND($B102&lt;&gt;"",$P102&lt;&gt;1,N($N102)&gt;0),$N102+ROW()/1E+7,-1)</f>
        <v/>
      </c>
    </row>
    <row r="103">
      <c r="B103" s="7">
        <f>IFERROR(INDEX(tblCategories[Category],75),"")</f>
        <v/>
      </c>
      <c r="C103" s="13">
        <f>IF($B103="","",SUMIFS(tblTxn[View Amount],tblTxn[Month],C$4,tblTxn[Category],$B103)*$P103)</f>
        <v/>
      </c>
      <c r="D103" s="13">
        <f>IF($B103="","",SUMIFS(tblTxn[View Amount],tblTxn[Month],D$4,tblTxn[Category],$B103)*$P103)</f>
        <v/>
      </c>
      <c r="E103" s="13">
        <f>IF($B103="","",SUMIFS(tblTxn[View Amount],tblTxn[Month],E$4,tblTxn[Category],$B103)*$P103)</f>
        <v/>
      </c>
      <c r="F103" s="13">
        <f>IF($B103="","",SUMIFS(tblTxn[View Amount],tblTxn[Month],F$4,tblTxn[Category],$B103)*$P103)</f>
        <v/>
      </c>
      <c r="G103" s="13">
        <f>IF($B103="","",SUMIFS(tblTxn[View Amount],tblTxn[Month],G$4,tblTxn[Category],$B103)*$P103)</f>
        <v/>
      </c>
      <c r="H103" s="13">
        <f>IF($B103="","",SUMIFS(tblTxn[View Amount],tblTxn[Month],H$4,tblTxn[Category],$B103)*$P103)</f>
        <v/>
      </c>
      <c r="I103" s="13">
        <f>IF($B103="","",SUMIFS(tblTxn[View Amount],tblTxn[Month],I$4,tblTxn[Category],$B103)*$P103)</f>
        <v/>
      </c>
      <c r="J103" s="13">
        <f>IF($B103="","",SUMIFS(tblTxn[View Amount],tblTxn[Month],J$4,tblTxn[Category],$B103)*$P103)</f>
        <v/>
      </c>
      <c r="K103" s="13">
        <f>IF($B103="","",SUMIFS(tblTxn[View Amount],tblTxn[Month],K$4,tblTxn[Category],$B103)*$P103)</f>
        <v/>
      </c>
      <c r="L103" s="13">
        <f>IF($B103="","",SUMIFS(tblTxn[View Amount],tblTxn[Month],L$4,tblTxn[Category],$B103)*$P103)</f>
        <v/>
      </c>
      <c r="M103" s="13">
        <f>IF($B103="","",SUMIFS(tblTxn[View Amount],tblTxn[Month],M$4,tblTxn[Category],$B103)*$P103)</f>
        <v/>
      </c>
      <c r="N103" s="13">
        <f>IF($B103="","",SUMIFS(tblTxn[View Amount],tblTxn[Month],N$4,tblTxn[Category],$B103)*$P103)</f>
        <v/>
      </c>
      <c r="O103" s="15">
        <f>IF($B103="","",SUM(C103:N103))</f>
        <v/>
      </c>
      <c r="P103">
        <f>IF($B103="",0,IFERROR(IF(INDEX(tblCategories[Type],MATCH($B103,tblCategories[Category],0))="Income",1,-1),-1))</f>
        <v/>
      </c>
      <c r="Q103">
        <f>IF(AND($B103&lt;&gt;"",$P103&lt;&gt;1,N($N103)&gt;0),$N103+ROW()/1E+7,-1)</f>
        <v/>
      </c>
    </row>
    <row r="104">
      <c r="B104" s="7">
        <f>IFERROR(INDEX(tblCategories[Category],76),"")</f>
        <v/>
      </c>
      <c r="C104" s="13">
        <f>IF($B104="","",SUMIFS(tblTxn[View Amount],tblTxn[Month],C$4,tblTxn[Category],$B104)*$P104)</f>
        <v/>
      </c>
      <c r="D104" s="13">
        <f>IF($B104="","",SUMIFS(tblTxn[View Amount],tblTxn[Month],D$4,tblTxn[Category],$B104)*$P104)</f>
        <v/>
      </c>
      <c r="E104" s="13">
        <f>IF($B104="","",SUMIFS(tblTxn[View Amount],tblTxn[Month],E$4,tblTxn[Category],$B104)*$P104)</f>
        <v/>
      </c>
      <c r="F104" s="13">
        <f>IF($B104="","",SUMIFS(tblTxn[View Amount],tblTxn[Month],F$4,tblTxn[Category],$B104)*$P104)</f>
        <v/>
      </c>
      <c r="G104" s="13">
        <f>IF($B104="","",SUMIFS(tblTxn[View Amount],tblTxn[Month],G$4,tblTxn[Category],$B104)*$P104)</f>
        <v/>
      </c>
      <c r="H104" s="13">
        <f>IF($B104="","",SUMIFS(tblTxn[View Amount],tblTxn[Month],H$4,tblTxn[Category],$B104)*$P104)</f>
        <v/>
      </c>
      <c r="I104" s="13">
        <f>IF($B104="","",SUMIFS(tblTxn[View Amount],tblTxn[Month],I$4,tblTxn[Category],$B104)*$P104)</f>
        <v/>
      </c>
      <c r="J104" s="13">
        <f>IF($B104="","",SUMIFS(tblTxn[View Amount],tblTxn[Month],J$4,tblTxn[Category],$B104)*$P104)</f>
        <v/>
      </c>
      <c r="K104" s="13">
        <f>IF($B104="","",SUMIFS(tblTxn[View Amount],tblTxn[Month],K$4,tblTxn[Category],$B104)*$P104)</f>
        <v/>
      </c>
      <c r="L104" s="13">
        <f>IF($B104="","",SUMIFS(tblTxn[View Amount],tblTxn[Month],L$4,tblTxn[Category],$B104)*$P104)</f>
        <v/>
      </c>
      <c r="M104" s="13">
        <f>IF($B104="","",SUMIFS(tblTxn[View Amount],tblTxn[Month],M$4,tblTxn[Category],$B104)*$P104)</f>
        <v/>
      </c>
      <c r="N104" s="13">
        <f>IF($B104="","",SUMIFS(tblTxn[View Amount],tblTxn[Month],N$4,tblTxn[Category],$B104)*$P104)</f>
        <v/>
      </c>
      <c r="O104" s="15">
        <f>IF($B104="","",SUM(C104:N104))</f>
        <v/>
      </c>
      <c r="P104">
        <f>IF($B104="",0,IFERROR(IF(INDEX(tblCategories[Type],MATCH($B104,tblCategories[Category],0))="Income",1,-1),-1))</f>
        <v/>
      </c>
      <c r="Q104">
        <f>IF(AND($B104&lt;&gt;"",$P104&lt;&gt;1,N($N104)&gt;0),$N104+ROW()/1E+7,-1)</f>
        <v/>
      </c>
    </row>
    <row r="105">
      <c r="B105" s="7">
        <f>IFERROR(INDEX(tblCategories[Category],77),"")</f>
        <v/>
      </c>
      <c r="C105" s="13">
        <f>IF($B105="","",SUMIFS(tblTxn[View Amount],tblTxn[Month],C$4,tblTxn[Category],$B105)*$P105)</f>
        <v/>
      </c>
      <c r="D105" s="13">
        <f>IF($B105="","",SUMIFS(tblTxn[View Amount],tblTxn[Month],D$4,tblTxn[Category],$B105)*$P105)</f>
        <v/>
      </c>
      <c r="E105" s="13">
        <f>IF($B105="","",SUMIFS(tblTxn[View Amount],tblTxn[Month],E$4,tblTxn[Category],$B105)*$P105)</f>
        <v/>
      </c>
      <c r="F105" s="13">
        <f>IF($B105="","",SUMIFS(tblTxn[View Amount],tblTxn[Month],F$4,tblTxn[Category],$B105)*$P105)</f>
        <v/>
      </c>
      <c r="G105" s="13">
        <f>IF($B105="","",SUMIFS(tblTxn[View Amount],tblTxn[Month],G$4,tblTxn[Category],$B105)*$P105)</f>
        <v/>
      </c>
      <c r="H105" s="13">
        <f>IF($B105="","",SUMIFS(tblTxn[View Amount],tblTxn[Month],H$4,tblTxn[Category],$B105)*$P105)</f>
        <v/>
      </c>
      <c r="I105" s="13">
        <f>IF($B105="","",SUMIFS(tblTxn[View Amount],tblTxn[Month],I$4,tblTxn[Category],$B105)*$P105)</f>
        <v/>
      </c>
      <c r="J105" s="13">
        <f>IF($B105="","",SUMIFS(tblTxn[View Amount],tblTxn[Month],J$4,tblTxn[Category],$B105)*$P105)</f>
        <v/>
      </c>
      <c r="K105" s="13">
        <f>IF($B105="","",SUMIFS(tblTxn[View Amount],tblTxn[Month],K$4,tblTxn[Category],$B105)*$P105)</f>
        <v/>
      </c>
      <c r="L105" s="13">
        <f>IF($B105="","",SUMIFS(tblTxn[View Amount],tblTxn[Month],L$4,tblTxn[Category],$B105)*$P105)</f>
        <v/>
      </c>
      <c r="M105" s="13">
        <f>IF($B105="","",SUMIFS(tblTxn[View Amount],tblTxn[Month],M$4,tblTxn[Category],$B105)*$P105)</f>
        <v/>
      </c>
      <c r="N105" s="13">
        <f>IF($B105="","",SUMIFS(tblTxn[View Amount],tblTxn[Month],N$4,tblTxn[Category],$B105)*$P105)</f>
        <v/>
      </c>
      <c r="O105" s="15">
        <f>IF($B105="","",SUM(C105:N105))</f>
        <v/>
      </c>
      <c r="P105">
        <f>IF($B105="",0,IFERROR(IF(INDEX(tblCategories[Type],MATCH($B105,tblCategories[Category],0))="Income",1,-1),-1))</f>
        <v/>
      </c>
      <c r="Q105">
        <f>IF(AND($B105&lt;&gt;"",$P105&lt;&gt;1,N($N105)&gt;0),$N105+ROW()/1E+7,-1)</f>
        <v/>
      </c>
    </row>
    <row r="106">
      <c r="B106" s="7">
        <f>IFERROR(INDEX(tblCategories[Category],78),"")</f>
        <v/>
      </c>
      <c r="C106" s="13">
        <f>IF($B106="","",SUMIFS(tblTxn[View Amount],tblTxn[Month],C$4,tblTxn[Category],$B106)*$P106)</f>
        <v/>
      </c>
      <c r="D106" s="13">
        <f>IF($B106="","",SUMIFS(tblTxn[View Amount],tblTxn[Month],D$4,tblTxn[Category],$B106)*$P106)</f>
        <v/>
      </c>
      <c r="E106" s="13">
        <f>IF($B106="","",SUMIFS(tblTxn[View Amount],tblTxn[Month],E$4,tblTxn[Category],$B106)*$P106)</f>
        <v/>
      </c>
      <c r="F106" s="13">
        <f>IF($B106="","",SUMIFS(tblTxn[View Amount],tblTxn[Month],F$4,tblTxn[Category],$B106)*$P106)</f>
        <v/>
      </c>
      <c r="G106" s="13">
        <f>IF($B106="","",SUMIFS(tblTxn[View Amount],tblTxn[Month],G$4,tblTxn[Category],$B106)*$P106)</f>
        <v/>
      </c>
      <c r="H106" s="13">
        <f>IF($B106="","",SUMIFS(tblTxn[View Amount],tblTxn[Month],H$4,tblTxn[Category],$B106)*$P106)</f>
        <v/>
      </c>
      <c r="I106" s="13">
        <f>IF($B106="","",SUMIFS(tblTxn[View Amount],tblTxn[Month],I$4,tblTxn[Category],$B106)*$P106)</f>
        <v/>
      </c>
      <c r="J106" s="13">
        <f>IF($B106="","",SUMIFS(tblTxn[View Amount],tblTxn[Month],J$4,tblTxn[Category],$B106)*$P106)</f>
        <v/>
      </c>
      <c r="K106" s="13">
        <f>IF($B106="","",SUMIFS(tblTxn[View Amount],tblTxn[Month],K$4,tblTxn[Category],$B106)*$P106)</f>
        <v/>
      </c>
      <c r="L106" s="13">
        <f>IF($B106="","",SUMIFS(tblTxn[View Amount],tblTxn[Month],L$4,tblTxn[Category],$B106)*$P106)</f>
        <v/>
      </c>
      <c r="M106" s="13">
        <f>IF($B106="","",SUMIFS(tblTxn[View Amount],tblTxn[Month],M$4,tblTxn[Category],$B106)*$P106)</f>
        <v/>
      </c>
      <c r="N106" s="13">
        <f>IF($B106="","",SUMIFS(tblTxn[View Amount],tblTxn[Month],N$4,tblTxn[Category],$B106)*$P106)</f>
        <v/>
      </c>
      <c r="O106" s="15">
        <f>IF($B106="","",SUM(C106:N106))</f>
        <v/>
      </c>
      <c r="P106">
        <f>IF($B106="",0,IFERROR(IF(INDEX(tblCategories[Type],MATCH($B106,tblCategories[Category],0))="Income",1,-1),-1))</f>
        <v/>
      </c>
      <c r="Q106">
        <f>IF(AND($B106&lt;&gt;"",$P106&lt;&gt;1,N($N106)&gt;0),$N106+ROW()/1E+7,-1)</f>
        <v/>
      </c>
    </row>
    <row r="107">
      <c r="B107" s="7">
        <f>IFERROR(INDEX(tblCategories[Category],79),"")</f>
        <v/>
      </c>
      <c r="C107" s="13">
        <f>IF($B107="","",SUMIFS(tblTxn[View Amount],tblTxn[Month],C$4,tblTxn[Category],$B107)*$P107)</f>
        <v/>
      </c>
      <c r="D107" s="13">
        <f>IF($B107="","",SUMIFS(tblTxn[View Amount],tblTxn[Month],D$4,tblTxn[Category],$B107)*$P107)</f>
        <v/>
      </c>
      <c r="E107" s="13">
        <f>IF($B107="","",SUMIFS(tblTxn[View Amount],tblTxn[Month],E$4,tblTxn[Category],$B107)*$P107)</f>
        <v/>
      </c>
      <c r="F107" s="13">
        <f>IF($B107="","",SUMIFS(tblTxn[View Amount],tblTxn[Month],F$4,tblTxn[Category],$B107)*$P107)</f>
        <v/>
      </c>
      <c r="G107" s="13">
        <f>IF($B107="","",SUMIFS(tblTxn[View Amount],tblTxn[Month],G$4,tblTxn[Category],$B107)*$P107)</f>
        <v/>
      </c>
      <c r="H107" s="13">
        <f>IF($B107="","",SUMIFS(tblTxn[View Amount],tblTxn[Month],H$4,tblTxn[Category],$B107)*$P107)</f>
        <v/>
      </c>
      <c r="I107" s="13">
        <f>IF($B107="","",SUMIFS(tblTxn[View Amount],tblTxn[Month],I$4,tblTxn[Category],$B107)*$P107)</f>
        <v/>
      </c>
      <c r="J107" s="13">
        <f>IF($B107="","",SUMIFS(tblTxn[View Amount],tblTxn[Month],J$4,tblTxn[Category],$B107)*$P107)</f>
        <v/>
      </c>
      <c r="K107" s="13">
        <f>IF($B107="","",SUMIFS(tblTxn[View Amount],tblTxn[Month],K$4,tblTxn[Category],$B107)*$P107)</f>
        <v/>
      </c>
      <c r="L107" s="13">
        <f>IF($B107="","",SUMIFS(tblTxn[View Amount],tblTxn[Month],L$4,tblTxn[Category],$B107)*$P107)</f>
        <v/>
      </c>
      <c r="M107" s="13">
        <f>IF($B107="","",SUMIFS(tblTxn[View Amount],tblTxn[Month],M$4,tblTxn[Category],$B107)*$P107)</f>
        <v/>
      </c>
      <c r="N107" s="13">
        <f>IF($B107="","",SUMIFS(tblTxn[View Amount],tblTxn[Month],N$4,tblTxn[Category],$B107)*$P107)</f>
        <v/>
      </c>
      <c r="O107" s="15">
        <f>IF($B107="","",SUM(C107:N107))</f>
        <v/>
      </c>
      <c r="P107">
        <f>IF($B107="",0,IFERROR(IF(INDEX(tblCategories[Type],MATCH($B107,tblCategories[Category],0))="Income",1,-1),-1))</f>
        <v/>
      </c>
      <c r="Q107">
        <f>IF(AND($B107&lt;&gt;"",$P107&lt;&gt;1,N($N107)&gt;0),$N107+ROW()/1E+7,-1)</f>
        <v/>
      </c>
    </row>
    <row r="108">
      <c r="B108" s="7">
        <f>IFERROR(INDEX(tblCategories[Category],80),"")</f>
        <v/>
      </c>
      <c r="C108" s="13">
        <f>IF($B108="","",SUMIFS(tblTxn[View Amount],tblTxn[Month],C$4,tblTxn[Category],$B108)*$P108)</f>
        <v/>
      </c>
      <c r="D108" s="13">
        <f>IF($B108="","",SUMIFS(tblTxn[View Amount],tblTxn[Month],D$4,tblTxn[Category],$B108)*$P108)</f>
        <v/>
      </c>
      <c r="E108" s="13">
        <f>IF($B108="","",SUMIFS(tblTxn[View Amount],tblTxn[Month],E$4,tblTxn[Category],$B108)*$P108)</f>
        <v/>
      </c>
      <c r="F108" s="13">
        <f>IF($B108="","",SUMIFS(tblTxn[View Amount],tblTxn[Month],F$4,tblTxn[Category],$B108)*$P108)</f>
        <v/>
      </c>
      <c r="G108" s="13">
        <f>IF($B108="","",SUMIFS(tblTxn[View Amount],tblTxn[Month],G$4,tblTxn[Category],$B108)*$P108)</f>
        <v/>
      </c>
      <c r="H108" s="13">
        <f>IF($B108="","",SUMIFS(tblTxn[View Amount],tblTxn[Month],H$4,tblTxn[Category],$B108)*$P108)</f>
        <v/>
      </c>
      <c r="I108" s="13">
        <f>IF($B108="","",SUMIFS(tblTxn[View Amount],tblTxn[Month],I$4,tblTxn[Category],$B108)*$P108)</f>
        <v/>
      </c>
      <c r="J108" s="13">
        <f>IF($B108="","",SUMIFS(tblTxn[View Amount],tblTxn[Month],J$4,tblTxn[Category],$B108)*$P108)</f>
        <v/>
      </c>
      <c r="K108" s="13">
        <f>IF($B108="","",SUMIFS(tblTxn[View Amount],tblTxn[Month],K$4,tblTxn[Category],$B108)*$P108)</f>
        <v/>
      </c>
      <c r="L108" s="13">
        <f>IF($B108="","",SUMIFS(tblTxn[View Amount],tblTxn[Month],L$4,tblTxn[Category],$B108)*$P108)</f>
        <v/>
      </c>
      <c r="M108" s="13">
        <f>IF($B108="","",SUMIFS(tblTxn[View Amount],tblTxn[Month],M$4,tblTxn[Category],$B108)*$P108)</f>
        <v/>
      </c>
      <c r="N108" s="13">
        <f>IF($B108="","",SUMIFS(tblTxn[View Amount],tblTxn[Month],N$4,tblTxn[Category],$B108)*$P108)</f>
        <v/>
      </c>
      <c r="O108" s="15">
        <f>IF($B108="","",SUM(C108:N108))</f>
        <v/>
      </c>
      <c r="P108">
        <f>IF($B108="",0,IFERROR(IF(INDEX(tblCategories[Type],MATCH($B108,tblCategories[Category],0))="Income",1,-1),-1))</f>
        <v/>
      </c>
      <c r="Q108">
        <f>IF(AND($B108&lt;&gt;"",$P108&lt;&gt;1,N($N108)&gt;0),$N108+ROW()/1E+7,-1)</f>
        <v/>
      </c>
    </row>
    <row r="109">
      <c r="B109" s="7">
        <f>IFERROR(INDEX(tblCategories[Category],81),"")</f>
        <v/>
      </c>
      <c r="C109" s="13">
        <f>IF($B109="","",SUMIFS(tblTxn[View Amount],tblTxn[Month],C$4,tblTxn[Category],$B109)*$P109)</f>
        <v/>
      </c>
      <c r="D109" s="13">
        <f>IF($B109="","",SUMIFS(tblTxn[View Amount],tblTxn[Month],D$4,tblTxn[Category],$B109)*$P109)</f>
        <v/>
      </c>
      <c r="E109" s="13">
        <f>IF($B109="","",SUMIFS(tblTxn[View Amount],tblTxn[Month],E$4,tblTxn[Category],$B109)*$P109)</f>
        <v/>
      </c>
      <c r="F109" s="13">
        <f>IF($B109="","",SUMIFS(tblTxn[View Amount],tblTxn[Month],F$4,tblTxn[Category],$B109)*$P109)</f>
        <v/>
      </c>
      <c r="G109" s="13">
        <f>IF($B109="","",SUMIFS(tblTxn[View Amount],tblTxn[Month],G$4,tblTxn[Category],$B109)*$P109)</f>
        <v/>
      </c>
      <c r="H109" s="13">
        <f>IF($B109="","",SUMIFS(tblTxn[View Amount],tblTxn[Month],H$4,tblTxn[Category],$B109)*$P109)</f>
        <v/>
      </c>
      <c r="I109" s="13">
        <f>IF($B109="","",SUMIFS(tblTxn[View Amount],tblTxn[Month],I$4,tblTxn[Category],$B109)*$P109)</f>
        <v/>
      </c>
      <c r="J109" s="13">
        <f>IF($B109="","",SUMIFS(tblTxn[View Amount],tblTxn[Month],J$4,tblTxn[Category],$B109)*$P109)</f>
        <v/>
      </c>
      <c r="K109" s="13">
        <f>IF($B109="","",SUMIFS(tblTxn[View Amount],tblTxn[Month],K$4,tblTxn[Category],$B109)*$P109)</f>
        <v/>
      </c>
      <c r="L109" s="13">
        <f>IF($B109="","",SUMIFS(tblTxn[View Amount],tblTxn[Month],L$4,tblTxn[Category],$B109)*$P109)</f>
        <v/>
      </c>
      <c r="M109" s="13">
        <f>IF($B109="","",SUMIFS(tblTxn[View Amount],tblTxn[Month],M$4,tblTxn[Category],$B109)*$P109)</f>
        <v/>
      </c>
      <c r="N109" s="13">
        <f>IF($B109="","",SUMIFS(tblTxn[View Amount],tblTxn[Month],N$4,tblTxn[Category],$B109)*$P109)</f>
        <v/>
      </c>
      <c r="O109" s="15">
        <f>IF($B109="","",SUM(C109:N109))</f>
        <v/>
      </c>
      <c r="P109">
        <f>IF($B109="",0,IFERROR(IF(INDEX(tblCategories[Type],MATCH($B109,tblCategories[Category],0))="Income",1,-1),-1))</f>
        <v/>
      </c>
      <c r="Q109">
        <f>IF(AND($B109&lt;&gt;"",$P109&lt;&gt;1,N($N109)&gt;0),$N109+ROW()/1E+7,-1)</f>
        <v/>
      </c>
    </row>
    <row r="110">
      <c r="B110" s="7">
        <f>IFERROR(INDEX(tblCategories[Category],82),"")</f>
        <v/>
      </c>
      <c r="C110" s="13">
        <f>IF($B110="","",SUMIFS(tblTxn[View Amount],tblTxn[Month],C$4,tblTxn[Category],$B110)*$P110)</f>
        <v/>
      </c>
      <c r="D110" s="13">
        <f>IF($B110="","",SUMIFS(tblTxn[View Amount],tblTxn[Month],D$4,tblTxn[Category],$B110)*$P110)</f>
        <v/>
      </c>
      <c r="E110" s="13">
        <f>IF($B110="","",SUMIFS(tblTxn[View Amount],tblTxn[Month],E$4,tblTxn[Category],$B110)*$P110)</f>
        <v/>
      </c>
      <c r="F110" s="13">
        <f>IF($B110="","",SUMIFS(tblTxn[View Amount],tblTxn[Month],F$4,tblTxn[Category],$B110)*$P110)</f>
        <v/>
      </c>
      <c r="G110" s="13">
        <f>IF($B110="","",SUMIFS(tblTxn[View Amount],tblTxn[Month],G$4,tblTxn[Category],$B110)*$P110)</f>
        <v/>
      </c>
      <c r="H110" s="13">
        <f>IF($B110="","",SUMIFS(tblTxn[View Amount],tblTxn[Month],H$4,tblTxn[Category],$B110)*$P110)</f>
        <v/>
      </c>
      <c r="I110" s="13">
        <f>IF($B110="","",SUMIFS(tblTxn[View Amount],tblTxn[Month],I$4,tblTxn[Category],$B110)*$P110)</f>
        <v/>
      </c>
      <c r="J110" s="13">
        <f>IF($B110="","",SUMIFS(tblTxn[View Amount],tblTxn[Month],J$4,tblTxn[Category],$B110)*$P110)</f>
        <v/>
      </c>
      <c r="K110" s="13">
        <f>IF($B110="","",SUMIFS(tblTxn[View Amount],tblTxn[Month],K$4,tblTxn[Category],$B110)*$P110)</f>
        <v/>
      </c>
      <c r="L110" s="13">
        <f>IF($B110="","",SUMIFS(tblTxn[View Amount],tblTxn[Month],L$4,tblTxn[Category],$B110)*$P110)</f>
        <v/>
      </c>
      <c r="M110" s="13">
        <f>IF($B110="","",SUMIFS(tblTxn[View Amount],tblTxn[Month],M$4,tblTxn[Category],$B110)*$P110)</f>
        <v/>
      </c>
      <c r="N110" s="13">
        <f>IF($B110="","",SUMIFS(tblTxn[View Amount],tblTxn[Month],N$4,tblTxn[Category],$B110)*$P110)</f>
        <v/>
      </c>
      <c r="O110" s="15">
        <f>IF($B110="","",SUM(C110:N110))</f>
        <v/>
      </c>
      <c r="P110">
        <f>IF($B110="",0,IFERROR(IF(INDEX(tblCategories[Type],MATCH($B110,tblCategories[Category],0))="Income",1,-1),-1))</f>
        <v/>
      </c>
      <c r="Q110">
        <f>IF(AND($B110&lt;&gt;"",$P110&lt;&gt;1,N($N110)&gt;0),$N110+ROW()/1E+7,-1)</f>
        <v/>
      </c>
    </row>
    <row r="111">
      <c r="B111" s="7">
        <f>IFERROR(INDEX(tblCategories[Category],83),"")</f>
        <v/>
      </c>
      <c r="C111" s="13">
        <f>IF($B111="","",SUMIFS(tblTxn[View Amount],tblTxn[Month],C$4,tblTxn[Category],$B111)*$P111)</f>
        <v/>
      </c>
      <c r="D111" s="13">
        <f>IF($B111="","",SUMIFS(tblTxn[View Amount],tblTxn[Month],D$4,tblTxn[Category],$B111)*$P111)</f>
        <v/>
      </c>
      <c r="E111" s="13">
        <f>IF($B111="","",SUMIFS(tblTxn[View Amount],tblTxn[Month],E$4,tblTxn[Category],$B111)*$P111)</f>
        <v/>
      </c>
      <c r="F111" s="13">
        <f>IF($B111="","",SUMIFS(tblTxn[View Amount],tblTxn[Month],F$4,tblTxn[Category],$B111)*$P111)</f>
        <v/>
      </c>
      <c r="G111" s="13">
        <f>IF($B111="","",SUMIFS(tblTxn[View Amount],tblTxn[Month],G$4,tblTxn[Category],$B111)*$P111)</f>
        <v/>
      </c>
      <c r="H111" s="13">
        <f>IF($B111="","",SUMIFS(tblTxn[View Amount],tblTxn[Month],H$4,tblTxn[Category],$B111)*$P111)</f>
        <v/>
      </c>
      <c r="I111" s="13">
        <f>IF($B111="","",SUMIFS(tblTxn[View Amount],tblTxn[Month],I$4,tblTxn[Category],$B111)*$P111)</f>
        <v/>
      </c>
      <c r="J111" s="13">
        <f>IF($B111="","",SUMIFS(tblTxn[View Amount],tblTxn[Month],J$4,tblTxn[Category],$B111)*$P111)</f>
        <v/>
      </c>
      <c r="K111" s="13">
        <f>IF($B111="","",SUMIFS(tblTxn[View Amount],tblTxn[Month],K$4,tblTxn[Category],$B111)*$P111)</f>
        <v/>
      </c>
      <c r="L111" s="13">
        <f>IF($B111="","",SUMIFS(tblTxn[View Amount],tblTxn[Month],L$4,tblTxn[Category],$B111)*$P111)</f>
        <v/>
      </c>
      <c r="M111" s="13">
        <f>IF($B111="","",SUMIFS(tblTxn[View Amount],tblTxn[Month],M$4,tblTxn[Category],$B111)*$P111)</f>
        <v/>
      </c>
      <c r="N111" s="13">
        <f>IF($B111="","",SUMIFS(tblTxn[View Amount],tblTxn[Month],N$4,tblTxn[Category],$B111)*$P111)</f>
        <v/>
      </c>
      <c r="O111" s="15">
        <f>IF($B111="","",SUM(C111:N111))</f>
        <v/>
      </c>
      <c r="P111">
        <f>IF($B111="",0,IFERROR(IF(INDEX(tblCategories[Type],MATCH($B111,tblCategories[Category],0))="Income",1,-1),-1))</f>
        <v/>
      </c>
      <c r="Q111">
        <f>IF(AND($B111&lt;&gt;"",$P111&lt;&gt;1,N($N111)&gt;0),$N111+ROW()/1E+7,-1)</f>
        <v/>
      </c>
    </row>
    <row r="112">
      <c r="B112" s="7">
        <f>IFERROR(INDEX(tblCategories[Category],84),"")</f>
        <v/>
      </c>
      <c r="C112" s="13">
        <f>IF($B112="","",SUMIFS(tblTxn[View Amount],tblTxn[Month],C$4,tblTxn[Category],$B112)*$P112)</f>
        <v/>
      </c>
      <c r="D112" s="13">
        <f>IF($B112="","",SUMIFS(tblTxn[View Amount],tblTxn[Month],D$4,tblTxn[Category],$B112)*$P112)</f>
        <v/>
      </c>
      <c r="E112" s="13">
        <f>IF($B112="","",SUMIFS(tblTxn[View Amount],tblTxn[Month],E$4,tblTxn[Category],$B112)*$P112)</f>
        <v/>
      </c>
      <c r="F112" s="13">
        <f>IF($B112="","",SUMIFS(tblTxn[View Amount],tblTxn[Month],F$4,tblTxn[Category],$B112)*$P112)</f>
        <v/>
      </c>
      <c r="G112" s="13">
        <f>IF($B112="","",SUMIFS(tblTxn[View Amount],tblTxn[Month],G$4,tblTxn[Category],$B112)*$P112)</f>
        <v/>
      </c>
      <c r="H112" s="13">
        <f>IF($B112="","",SUMIFS(tblTxn[View Amount],tblTxn[Month],H$4,tblTxn[Category],$B112)*$P112)</f>
        <v/>
      </c>
      <c r="I112" s="13">
        <f>IF($B112="","",SUMIFS(tblTxn[View Amount],tblTxn[Month],I$4,tblTxn[Category],$B112)*$P112)</f>
        <v/>
      </c>
      <c r="J112" s="13">
        <f>IF($B112="","",SUMIFS(tblTxn[View Amount],tblTxn[Month],J$4,tblTxn[Category],$B112)*$P112)</f>
        <v/>
      </c>
      <c r="K112" s="13">
        <f>IF($B112="","",SUMIFS(tblTxn[View Amount],tblTxn[Month],K$4,tblTxn[Category],$B112)*$P112)</f>
        <v/>
      </c>
      <c r="L112" s="13">
        <f>IF($B112="","",SUMIFS(tblTxn[View Amount],tblTxn[Month],L$4,tblTxn[Category],$B112)*$P112)</f>
        <v/>
      </c>
      <c r="M112" s="13">
        <f>IF($B112="","",SUMIFS(tblTxn[View Amount],tblTxn[Month],M$4,tblTxn[Category],$B112)*$P112)</f>
        <v/>
      </c>
      <c r="N112" s="13">
        <f>IF($B112="","",SUMIFS(tblTxn[View Amount],tblTxn[Month],N$4,tblTxn[Category],$B112)*$P112)</f>
        <v/>
      </c>
      <c r="O112" s="15">
        <f>IF($B112="","",SUM(C112:N112))</f>
        <v/>
      </c>
      <c r="P112">
        <f>IF($B112="",0,IFERROR(IF(INDEX(tblCategories[Type],MATCH($B112,tblCategories[Category],0))="Income",1,-1),-1))</f>
        <v/>
      </c>
      <c r="Q112">
        <f>IF(AND($B112&lt;&gt;"",$P112&lt;&gt;1,N($N112)&gt;0),$N112+ROW()/1E+7,-1)</f>
        <v/>
      </c>
    </row>
    <row r="113">
      <c r="B113" s="7">
        <f>IFERROR(INDEX(tblCategories[Category],85),"")</f>
        <v/>
      </c>
      <c r="C113" s="13">
        <f>IF($B113="","",SUMIFS(tblTxn[View Amount],tblTxn[Month],C$4,tblTxn[Category],$B113)*$P113)</f>
        <v/>
      </c>
      <c r="D113" s="13">
        <f>IF($B113="","",SUMIFS(tblTxn[View Amount],tblTxn[Month],D$4,tblTxn[Category],$B113)*$P113)</f>
        <v/>
      </c>
      <c r="E113" s="13">
        <f>IF($B113="","",SUMIFS(tblTxn[View Amount],tblTxn[Month],E$4,tblTxn[Category],$B113)*$P113)</f>
        <v/>
      </c>
      <c r="F113" s="13">
        <f>IF($B113="","",SUMIFS(tblTxn[View Amount],tblTxn[Month],F$4,tblTxn[Category],$B113)*$P113)</f>
        <v/>
      </c>
      <c r="G113" s="13">
        <f>IF($B113="","",SUMIFS(tblTxn[View Amount],tblTxn[Month],G$4,tblTxn[Category],$B113)*$P113)</f>
        <v/>
      </c>
      <c r="H113" s="13">
        <f>IF($B113="","",SUMIFS(tblTxn[View Amount],tblTxn[Month],H$4,tblTxn[Category],$B113)*$P113)</f>
        <v/>
      </c>
      <c r="I113" s="13">
        <f>IF($B113="","",SUMIFS(tblTxn[View Amount],tblTxn[Month],I$4,tblTxn[Category],$B113)*$P113)</f>
        <v/>
      </c>
      <c r="J113" s="13">
        <f>IF($B113="","",SUMIFS(tblTxn[View Amount],tblTxn[Month],J$4,tblTxn[Category],$B113)*$P113)</f>
        <v/>
      </c>
      <c r="K113" s="13">
        <f>IF($B113="","",SUMIFS(tblTxn[View Amount],tblTxn[Month],K$4,tblTxn[Category],$B113)*$P113)</f>
        <v/>
      </c>
      <c r="L113" s="13">
        <f>IF($B113="","",SUMIFS(tblTxn[View Amount],tblTxn[Month],L$4,tblTxn[Category],$B113)*$P113)</f>
        <v/>
      </c>
      <c r="M113" s="13">
        <f>IF($B113="","",SUMIFS(tblTxn[View Amount],tblTxn[Month],M$4,tblTxn[Category],$B113)*$P113)</f>
        <v/>
      </c>
      <c r="N113" s="13">
        <f>IF($B113="","",SUMIFS(tblTxn[View Amount],tblTxn[Month],N$4,tblTxn[Category],$B113)*$P113)</f>
        <v/>
      </c>
      <c r="O113" s="15">
        <f>IF($B113="","",SUM(C113:N113))</f>
        <v/>
      </c>
      <c r="P113">
        <f>IF($B113="",0,IFERROR(IF(INDEX(tblCategories[Type],MATCH($B113,tblCategories[Category],0))="Income",1,-1),-1))</f>
        <v/>
      </c>
      <c r="Q113">
        <f>IF(AND($B113&lt;&gt;"",$P113&lt;&gt;1,N($N113)&gt;0),$N113+ROW()/1E+7,-1)</f>
        <v/>
      </c>
    </row>
    <row r="114">
      <c r="B114" s="7">
        <f>IFERROR(INDEX(tblCategories[Category],86),"")</f>
        <v/>
      </c>
      <c r="C114" s="13">
        <f>IF($B114="","",SUMIFS(tblTxn[View Amount],tblTxn[Month],C$4,tblTxn[Category],$B114)*$P114)</f>
        <v/>
      </c>
      <c r="D114" s="13">
        <f>IF($B114="","",SUMIFS(tblTxn[View Amount],tblTxn[Month],D$4,tblTxn[Category],$B114)*$P114)</f>
        <v/>
      </c>
      <c r="E114" s="13">
        <f>IF($B114="","",SUMIFS(tblTxn[View Amount],tblTxn[Month],E$4,tblTxn[Category],$B114)*$P114)</f>
        <v/>
      </c>
      <c r="F114" s="13">
        <f>IF($B114="","",SUMIFS(tblTxn[View Amount],tblTxn[Month],F$4,tblTxn[Category],$B114)*$P114)</f>
        <v/>
      </c>
      <c r="G114" s="13">
        <f>IF($B114="","",SUMIFS(tblTxn[View Amount],tblTxn[Month],G$4,tblTxn[Category],$B114)*$P114)</f>
        <v/>
      </c>
      <c r="H114" s="13">
        <f>IF($B114="","",SUMIFS(tblTxn[View Amount],tblTxn[Month],H$4,tblTxn[Category],$B114)*$P114)</f>
        <v/>
      </c>
      <c r="I114" s="13">
        <f>IF($B114="","",SUMIFS(tblTxn[View Amount],tblTxn[Month],I$4,tblTxn[Category],$B114)*$P114)</f>
        <v/>
      </c>
      <c r="J114" s="13">
        <f>IF($B114="","",SUMIFS(tblTxn[View Amount],tblTxn[Month],J$4,tblTxn[Category],$B114)*$P114)</f>
        <v/>
      </c>
      <c r="K114" s="13">
        <f>IF($B114="","",SUMIFS(tblTxn[View Amount],tblTxn[Month],K$4,tblTxn[Category],$B114)*$P114)</f>
        <v/>
      </c>
      <c r="L114" s="13">
        <f>IF($B114="","",SUMIFS(tblTxn[View Amount],tblTxn[Month],L$4,tblTxn[Category],$B114)*$P114)</f>
        <v/>
      </c>
      <c r="M114" s="13">
        <f>IF($B114="","",SUMIFS(tblTxn[View Amount],tblTxn[Month],M$4,tblTxn[Category],$B114)*$P114)</f>
        <v/>
      </c>
      <c r="N114" s="13">
        <f>IF($B114="","",SUMIFS(tblTxn[View Amount],tblTxn[Month],N$4,tblTxn[Category],$B114)*$P114)</f>
        <v/>
      </c>
      <c r="O114" s="15">
        <f>IF($B114="","",SUM(C114:N114))</f>
        <v/>
      </c>
      <c r="P114">
        <f>IF($B114="",0,IFERROR(IF(INDEX(tblCategories[Type],MATCH($B114,tblCategories[Category],0))="Income",1,-1),-1))</f>
        <v/>
      </c>
      <c r="Q114">
        <f>IF(AND($B114&lt;&gt;"",$P114&lt;&gt;1,N($N114)&gt;0),$N114+ROW()/1E+7,-1)</f>
        <v/>
      </c>
    </row>
    <row r="115">
      <c r="B115" s="7">
        <f>IFERROR(INDEX(tblCategories[Category],87),"")</f>
        <v/>
      </c>
      <c r="C115" s="13">
        <f>IF($B115="","",SUMIFS(tblTxn[View Amount],tblTxn[Month],C$4,tblTxn[Category],$B115)*$P115)</f>
        <v/>
      </c>
      <c r="D115" s="13">
        <f>IF($B115="","",SUMIFS(tblTxn[View Amount],tblTxn[Month],D$4,tblTxn[Category],$B115)*$P115)</f>
        <v/>
      </c>
      <c r="E115" s="13">
        <f>IF($B115="","",SUMIFS(tblTxn[View Amount],tblTxn[Month],E$4,tblTxn[Category],$B115)*$P115)</f>
        <v/>
      </c>
      <c r="F115" s="13">
        <f>IF($B115="","",SUMIFS(tblTxn[View Amount],tblTxn[Month],F$4,tblTxn[Category],$B115)*$P115)</f>
        <v/>
      </c>
      <c r="G115" s="13">
        <f>IF($B115="","",SUMIFS(tblTxn[View Amount],tblTxn[Month],G$4,tblTxn[Category],$B115)*$P115)</f>
        <v/>
      </c>
      <c r="H115" s="13">
        <f>IF($B115="","",SUMIFS(tblTxn[View Amount],tblTxn[Month],H$4,tblTxn[Category],$B115)*$P115)</f>
        <v/>
      </c>
      <c r="I115" s="13">
        <f>IF($B115="","",SUMIFS(tblTxn[View Amount],tblTxn[Month],I$4,tblTxn[Category],$B115)*$P115)</f>
        <v/>
      </c>
      <c r="J115" s="13">
        <f>IF($B115="","",SUMIFS(tblTxn[View Amount],tblTxn[Month],J$4,tblTxn[Category],$B115)*$P115)</f>
        <v/>
      </c>
      <c r="K115" s="13">
        <f>IF($B115="","",SUMIFS(tblTxn[View Amount],tblTxn[Month],K$4,tblTxn[Category],$B115)*$P115)</f>
        <v/>
      </c>
      <c r="L115" s="13">
        <f>IF($B115="","",SUMIFS(tblTxn[View Amount],tblTxn[Month],L$4,tblTxn[Category],$B115)*$P115)</f>
        <v/>
      </c>
      <c r="M115" s="13">
        <f>IF($B115="","",SUMIFS(tblTxn[View Amount],tblTxn[Month],M$4,tblTxn[Category],$B115)*$P115)</f>
        <v/>
      </c>
      <c r="N115" s="13">
        <f>IF($B115="","",SUMIFS(tblTxn[View Amount],tblTxn[Month],N$4,tblTxn[Category],$B115)*$P115)</f>
        <v/>
      </c>
      <c r="O115" s="15">
        <f>IF($B115="","",SUM(C115:N115))</f>
        <v/>
      </c>
      <c r="P115">
        <f>IF($B115="",0,IFERROR(IF(INDEX(tblCategories[Type],MATCH($B115,tblCategories[Category],0))="Income",1,-1),-1))</f>
        <v/>
      </c>
      <c r="Q115">
        <f>IF(AND($B115&lt;&gt;"",$P115&lt;&gt;1,N($N115)&gt;0),$N115+ROW()/1E+7,-1)</f>
        <v/>
      </c>
    </row>
    <row r="116">
      <c r="B116" s="7">
        <f>IFERROR(INDEX(tblCategories[Category],88),"")</f>
        <v/>
      </c>
      <c r="C116" s="13">
        <f>IF($B116="","",SUMIFS(tblTxn[View Amount],tblTxn[Month],C$4,tblTxn[Category],$B116)*$P116)</f>
        <v/>
      </c>
      <c r="D116" s="13">
        <f>IF($B116="","",SUMIFS(tblTxn[View Amount],tblTxn[Month],D$4,tblTxn[Category],$B116)*$P116)</f>
        <v/>
      </c>
      <c r="E116" s="13">
        <f>IF($B116="","",SUMIFS(tblTxn[View Amount],tblTxn[Month],E$4,tblTxn[Category],$B116)*$P116)</f>
        <v/>
      </c>
      <c r="F116" s="13">
        <f>IF($B116="","",SUMIFS(tblTxn[View Amount],tblTxn[Month],F$4,tblTxn[Category],$B116)*$P116)</f>
        <v/>
      </c>
      <c r="G116" s="13">
        <f>IF($B116="","",SUMIFS(tblTxn[View Amount],tblTxn[Month],G$4,tblTxn[Category],$B116)*$P116)</f>
        <v/>
      </c>
      <c r="H116" s="13">
        <f>IF($B116="","",SUMIFS(tblTxn[View Amount],tblTxn[Month],H$4,tblTxn[Category],$B116)*$P116)</f>
        <v/>
      </c>
      <c r="I116" s="13">
        <f>IF($B116="","",SUMIFS(tblTxn[View Amount],tblTxn[Month],I$4,tblTxn[Category],$B116)*$P116)</f>
        <v/>
      </c>
      <c r="J116" s="13">
        <f>IF($B116="","",SUMIFS(tblTxn[View Amount],tblTxn[Month],J$4,tblTxn[Category],$B116)*$P116)</f>
        <v/>
      </c>
      <c r="K116" s="13">
        <f>IF($B116="","",SUMIFS(tblTxn[View Amount],tblTxn[Month],K$4,tblTxn[Category],$B116)*$P116)</f>
        <v/>
      </c>
      <c r="L116" s="13">
        <f>IF($B116="","",SUMIFS(tblTxn[View Amount],tblTxn[Month],L$4,tblTxn[Category],$B116)*$P116)</f>
        <v/>
      </c>
      <c r="M116" s="13">
        <f>IF($B116="","",SUMIFS(tblTxn[View Amount],tblTxn[Month],M$4,tblTxn[Category],$B116)*$P116)</f>
        <v/>
      </c>
      <c r="N116" s="13">
        <f>IF($B116="","",SUMIFS(tblTxn[View Amount],tblTxn[Month],N$4,tblTxn[Category],$B116)*$P116)</f>
        <v/>
      </c>
      <c r="O116" s="15">
        <f>IF($B116="","",SUM(C116:N116))</f>
        <v/>
      </c>
      <c r="P116">
        <f>IF($B116="",0,IFERROR(IF(INDEX(tblCategories[Type],MATCH($B116,tblCategories[Category],0))="Income",1,-1),-1))</f>
        <v/>
      </c>
      <c r="Q116">
        <f>IF(AND($B116&lt;&gt;"",$P116&lt;&gt;1,N($N116)&gt;0),$N116+ROW()/1E+7,-1)</f>
        <v/>
      </c>
    </row>
    <row r="117">
      <c r="B117" s="7">
        <f>IFERROR(INDEX(tblCategories[Category],89),"")</f>
        <v/>
      </c>
      <c r="C117" s="13">
        <f>IF($B117="","",SUMIFS(tblTxn[View Amount],tblTxn[Month],C$4,tblTxn[Category],$B117)*$P117)</f>
        <v/>
      </c>
      <c r="D117" s="13">
        <f>IF($B117="","",SUMIFS(tblTxn[View Amount],tblTxn[Month],D$4,tblTxn[Category],$B117)*$P117)</f>
        <v/>
      </c>
      <c r="E117" s="13">
        <f>IF($B117="","",SUMIFS(tblTxn[View Amount],tblTxn[Month],E$4,tblTxn[Category],$B117)*$P117)</f>
        <v/>
      </c>
      <c r="F117" s="13">
        <f>IF($B117="","",SUMIFS(tblTxn[View Amount],tblTxn[Month],F$4,tblTxn[Category],$B117)*$P117)</f>
        <v/>
      </c>
      <c r="G117" s="13">
        <f>IF($B117="","",SUMIFS(tblTxn[View Amount],tblTxn[Month],G$4,tblTxn[Category],$B117)*$P117)</f>
        <v/>
      </c>
      <c r="H117" s="13">
        <f>IF($B117="","",SUMIFS(tblTxn[View Amount],tblTxn[Month],H$4,tblTxn[Category],$B117)*$P117)</f>
        <v/>
      </c>
      <c r="I117" s="13">
        <f>IF($B117="","",SUMIFS(tblTxn[View Amount],tblTxn[Month],I$4,tblTxn[Category],$B117)*$P117)</f>
        <v/>
      </c>
      <c r="J117" s="13">
        <f>IF($B117="","",SUMIFS(tblTxn[View Amount],tblTxn[Month],J$4,tblTxn[Category],$B117)*$P117)</f>
        <v/>
      </c>
      <c r="K117" s="13">
        <f>IF($B117="","",SUMIFS(tblTxn[View Amount],tblTxn[Month],K$4,tblTxn[Category],$B117)*$P117)</f>
        <v/>
      </c>
      <c r="L117" s="13">
        <f>IF($B117="","",SUMIFS(tblTxn[View Amount],tblTxn[Month],L$4,tblTxn[Category],$B117)*$P117)</f>
        <v/>
      </c>
      <c r="M117" s="13">
        <f>IF($B117="","",SUMIFS(tblTxn[View Amount],tblTxn[Month],M$4,tblTxn[Category],$B117)*$P117)</f>
        <v/>
      </c>
      <c r="N117" s="13">
        <f>IF($B117="","",SUMIFS(tblTxn[View Amount],tblTxn[Month],N$4,tblTxn[Category],$B117)*$P117)</f>
        <v/>
      </c>
      <c r="O117" s="15">
        <f>IF($B117="","",SUM(C117:N117))</f>
        <v/>
      </c>
      <c r="P117">
        <f>IF($B117="",0,IFERROR(IF(INDEX(tblCategories[Type],MATCH($B117,tblCategories[Category],0))="Income",1,-1),-1))</f>
        <v/>
      </c>
      <c r="Q117">
        <f>IF(AND($B117&lt;&gt;"",$P117&lt;&gt;1,N($N117)&gt;0),$N117+ROW()/1E+7,-1)</f>
        <v/>
      </c>
    </row>
    <row r="118">
      <c r="B118" s="7">
        <f>IFERROR(INDEX(tblCategories[Category],90),"")</f>
        <v/>
      </c>
      <c r="C118" s="13">
        <f>IF($B118="","",SUMIFS(tblTxn[View Amount],tblTxn[Month],C$4,tblTxn[Category],$B118)*$P118)</f>
        <v/>
      </c>
      <c r="D118" s="13">
        <f>IF($B118="","",SUMIFS(tblTxn[View Amount],tblTxn[Month],D$4,tblTxn[Category],$B118)*$P118)</f>
        <v/>
      </c>
      <c r="E118" s="13">
        <f>IF($B118="","",SUMIFS(tblTxn[View Amount],tblTxn[Month],E$4,tblTxn[Category],$B118)*$P118)</f>
        <v/>
      </c>
      <c r="F118" s="13">
        <f>IF($B118="","",SUMIFS(tblTxn[View Amount],tblTxn[Month],F$4,tblTxn[Category],$B118)*$P118)</f>
        <v/>
      </c>
      <c r="G118" s="13">
        <f>IF($B118="","",SUMIFS(tblTxn[View Amount],tblTxn[Month],G$4,tblTxn[Category],$B118)*$P118)</f>
        <v/>
      </c>
      <c r="H118" s="13">
        <f>IF($B118="","",SUMIFS(tblTxn[View Amount],tblTxn[Month],H$4,tblTxn[Category],$B118)*$P118)</f>
        <v/>
      </c>
      <c r="I118" s="13">
        <f>IF($B118="","",SUMIFS(tblTxn[View Amount],tblTxn[Month],I$4,tblTxn[Category],$B118)*$P118)</f>
        <v/>
      </c>
      <c r="J118" s="13">
        <f>IF($B118="","",SUMIFS(tblTxn[View Amount],tblTxn[Month],J$4,tblTxn[Category],$B118)*$P118)</f>
        <v/>
      </c>
      <c r="K118" s="13">
        <f>IF($B118="","",SUMIFS(tblTxn[View Amount],tblTxn[Month],K$4,tblTxn[Category],$B118)*$P118)</f>
        <v/>
      </c>
      <c r="L118" s="13">
        <f>IF($B118="","",SUMIFS(tblTxn[View Amount],tblTxn[Month],L$4,tblTxn[Category],$B118)*$P118)</f>
        <v/>
      </c>
      <c r="M118" s="13">
        <f>IF($B118="","",SUMIFS(tblTxn[View Amount],tblTxn[Month],M$4,tblTxn[Category],$B118)*$P118)</f>
        <v/>
      </c>
      <c r="N118" s="13">
        <f>IF($B118="","",SUMIFS(tblTxn[View Amount],tblTxn[Month],N$4,tblTxn[Category],$B118)*$P118)</f>
        <v/>
      </c>
      <c r="O118" s="15">
        <f>IF($B118="","",SUM(C118:N118))</f>
        <v/>
      </c>
      <c r="P118">
        <f>IF($B118="",0,IFERROR(IF(INDEX(tblCategories[Type],MATCH($B118,tblCategories[Category],0))="Income",1,-1),-1))</f>
        <v/>
      </c>
      <c r="Q118">
        <f>IF(AND($B118&lt;&gt;"",$P118&lt;&gt;1,N($N118)&gt;0),$N118+ROW()/1E+7,-1)</f>
        <v/>
      </c>
    </row>
    <row r="119">
      <c r="B119" s="7">
        <f>IFERROR(INDEX(tblCategories[Category],91),"")</f>
        <v/>
      </c>
      <c r="C119" s="13">
        <f>IF($B119="","",SUMIFS(tblTxn[View Amount],tblTxn[Month],C$4,tblTxn[Category],$B119)*$P119)</f>
        <v/>
      </c>
      <c r="D119" s="13">
        <f>IF($B119="","",SUMIFS(tblTxn[View Amount],tblTxn[Month],D$4,tblTxn[Category],$B119)*$P119)</f>
        <v/>
      </c>
      <c r="E119" s="13">
        <f>IF($B119="","",SUMIFS(tblTxn[View Amount],tblTxn[Month],E$4,tblTxn[Category],$B119)*$P119)</f>
        <v/>
      </c>
      <c r="F119" s="13">
        <f>IF($B119="","",SUMIFS(tblTxn[View Amount],tblTxn[Month],F$4,tblTxn[Category],$B119)*$P119)</f>
        <v/>
      </c>
      <c r="G119" s="13">
        <f>IF($B119="","",SUMIFS(tblTxn[View Amount],tblTxn[Month],G$4,tblTxn[Category],$B119)*$P119)</f>
        <v/>
      </c>
      <c r="H119" s="13">
        <f>IF($B119="","",SUMIFS(tblTxn[View Amount],tblTxn[Month],H$4,tblTxn[Category],$B119)*$P119)</f>
        <v/>
      </c>
      <c r="I119" s="13">
        <f>IF($B119="","",SUMIFS(tblTxn[View Amount],tblTxn[Month],I$4,tblTxn[Category],$B119)*$P119)</f>
        <v/>
      </c>
      <c r="J119" s="13">
        <f>IF($B119="","",SUMIFS(tblTxn[View Amount],tblTxn[Month],J$4,tblTxn[Category],$B119)*$P119)</f>
        <v/>
      </c>
      <c r="K119" s="13">
        <f>IF($B119="","",SUMIFS(tblTxn[View Amount],tblTxn[Month],K$4,tblTxn[Category],$B119)*$P119)</f>
        <v/>
      </c>
      <c r="L119" s="13">
        <f>IF($B119="","",SUMIFS(tblTxn[View Amount],tblTxn[Month],L$4,tblTxn[Category],$B119)*$P119)</f>
        <v/>
      </c>
      <c r="M119" s="13">
        <f>IF($B119="","",SUMIFS(tblTxn[View Amount],tblTxn[Month],M$4,tblTxn[Category],$B119)*$P119)</f>
        <v/>
      </c>
      <c r="N119" s="13">
        <f>IF($B119="","",SUMIFS(tblTxn[View Amount],tblTxn[Month],N$4,tblTxn[Category],$B119)*$P119)</f>
        <v/>
      </c>
      <c r="O119" s="15">
        <f>IF($B119="","",SUM(C119:N119))</f>
        <v/>
      </c>
      <c r="P119">
        <f>IF($B119="",0,IFERROR(IF(INDEX(tblCategories[Type],MATCH($B119,tblCategories[Category],0))="Income",1,-1),-1))</f>
        <v/>
      </c>
      <c r="Q119">
        <f>IF(AND($B119&lt;&gt;"",$P119&lt;&gt;1,N($N119)&gt;0),$N119+ROW()/1E+7,-1)</f>
        <v/>
      </c>
    </row>
    <row r="120">
      <c r="B120" s="7">
        <f>IFERROR(INDEX(tblCategories[Category],92),"")</f>
        <v/>
      </c>
      <c r="C120" s="13">
        <f>IF($B120="","",SUMIFS(tblTxn[View Amount],tblTxn[Month],C$4,tblTxn[Category],$B120)*$P120)</f>
        <v/>
      </c>
      <c r="D120" s="13">
        <f>IF($B120="","",SUMIFS(tblTxn[View Amount],tblTxn[Month],D$4,tblTxn[Category],$B120)*$P120)</f>
        <v/>
      </c>
      <c r="E120" s="13">
        <f>IF($B120="","",SUMIFS(tblTxn[View Amount],tblTxn[Month],E$4,tblTxn[Category],$B120)*$P120)</f>
        <v/>
      </c>
      <c r="F120" s="13">
        <f>IF($B120="","",SUMIFS(tblTxn[View Amount],tblTxn[Month],F$4,tblTxn[Category],$B120)*$P120)</f>
        <v/>
      </c>
      <c r="G120" s="13">
        <f>IF($B120="","",SUMIFS(tblTxn[View Amount],tblTxn[Month],G$4,tblTxn[Category],$B120)*$P120)</f>
        <v/>
      </c>
      <c r="H120" s="13">
        <f>IF($B120="","",SUMIFS(tblTxn[View Amount],tblTxn[Month],H$4,tblTxn[Category],$B120)*$P120)</f>
        <v/>
      </c>
      <c r="I120" s="13">
        <f>IF($B120="","",SUMIFS(tblTxn[View Amount],tblTxn[Month],I$4,tblTxn[Category],$B120)*$P120)</f>
        <v/>
      </c>
      <c r="J120" s="13">
        <f>IF($B120="","",SUMIFS(tblTxn[View Amount],tblTxn[Month],J$4,tblTxn[Category],$B120)*$P120)</f>
        <v/>
      </c>
      <c r="K120" s="13">
        <f>IF($B120="","",SUMIFS(tblTxn[View Amount],tblTxn[Month],K$4,tblTxn[Category],$B120)*$P120)</f>
        <v/>
      </c>
      <c r="L120" s="13">
        <f>IF($B120="","",SUMIFS(tblTxn[View Amount],tblTxn[Month],L$4,tblTxn[Category],$B120)*$P120)</f>
        <v/>
      </c>
      <c r="M120" s="13">
        <f>IF($B120="","",SUMIFS(tblTxn[View Amount],tblTxn[Month],M$4,tblTxn[Category],$B120)*$P120)</f>
        <v/>
      </c>
      <c r="N120" s="13">
        <f>IF($B120="","",SUMIFS(tblTxn[View Amount],tblTxn[Month],N$4,tblTxn[Category],$B120)*$P120)</f>
        <v/>
      </c>
      <c r="O120" s="15">
        <f>IF($B120="","",SUM(C120:N120))</f>
        <v/>
      </c>
      <c r="P120">
        <f>IF($B120="",0,IFERROR(IF(INDEX(tblCategories[Type],MATCH($B120,tblCategories[Category],0))="Income",1,-1),-1))</f>
        <v/>
      </c>
      <c r="Q120">
        <f>IF(AND($B120&lt;&gt;"",$P120&lt;&gt;1,N($N120)&gt;0),$N120+ROW()/1E+7,-1)</f>
        <v/>
      </c>
    </row>
    <row r="121">
      <c r="B121" s="7">
        <f>IFERROR(INDEX(tblCategories[Category],93),"")</f>
        <v/>
      </c>
      <c r="C121" s="13">
        <f>IF($B121="","",SUMIFS(tblTxn[View Amount],tblTxn[Month],C$4,tblTxn[Category],$B121)*$P121)</f>
        <v/>
      </c>
      <c r="D121" s="13">
        <f>IF($B121="","",SUMIFS(tblTxn[View Amount],tblTxn[Month],D$4,tblTxn[Category],$B121)*$P121)</f>
        <v/>
      </c>
      <c r="E121" s="13">
        <f>IF($B121="","",SUMIFS(tblTxn[View Amount],tblTxn[Month],E$4,tblTxn[Category],$B121)*$P121)</f>
        <v/>
      </c>
      <c r="F121" s="13">
        <f>IF($B121="","",SUMIFS(tblTxn[View Amount],tblTxn[Month],F$4,tblTxn[Category],$B121)*$P121)</f>
        <v/>
      </c>
      <c r="G121" s="13">
        <f>IF($B121="","",SUMIFS(tblTxn[View Amount],tblTxn[Month],G$4,tblTxn[Category],$B121)*$P121)</f>
        <v/>
      </c>
      <c r="H121" s="13">
        <f>IF($B121="","",SUMIFS(tblTxn[View Amount],tblTxn[Month],H$4,tblTxn[Category],$B121)*$P121)</f>
        <v/>
      </c>
      <c r="I121" s="13">
        <f>IF($B121="","",SUMIFS(tblTxn[View Amount],tblTxn[Month],I$4,tblTxn[Category],$B121)*$P121)</f>
        <v/>
      </c>
      <c r="J121" s="13">
        <f>IF($B121="","",SUMIFS(tblTxn[View Amount],tblTxn[Month],J$4,tblTxn[Category],$B121)*$P121)</f>
        <v/>
      </c>
      <c r="K121" s="13">
        <f>IF($B121="","",SUMIFS(tblTxn[View Amount],tblTxn[Month],K$4,tblTxn[Category],$B121)*$P121)</f>
        <v/>
      </c>
      <c r="L121" s="13">
        <f>IF($B121="","",SUMIFS(tblTxn[View Amount],tblTxn[Month],L$4,tblTxn[Category],$B121)*$P121)</f>
        <v/>
      </c>
      <c r="M121" s="13">
        <f>IF($B121="","",SUMIFS(tblTxn[View Amount],tblTxn[Month],M$4,tblTxn[Category],$B121)*$P121)</f>
        <v/>
      </c>
      <c r="N121" s="13">
        <f>IF($B121="","",SUMIFS(tblTxn[View Amount],tblTxn[Month],N$4,tblTxn[Category],$B121)*$P121)</f>
        <v/>
      </c>
      <c r="O121" s="15">
        <f>IF($B121="","",SUM(C121:N121))</f>
        <v/>
      </c>
      <c r="P121">
        <f>IF($B121="",0,IFERROR(IF(INDEX(tblCategories[Type],MATCH($B121,tblCategories[Category],0))="Income",1,-1),-1))</f>
        <v/>
      </c>
      <c r="Q121">
        <f>IF(AND($B121&lt;&gt;"",$P121&lt;&gt;1,N($N121)&gt;0),$N121+ROW()/1E+7,-1)</f>
        <v/>
      </c>
    </row>
    <row r="122">
      <c r="B122" s="7">
        <f>IFERROR(INDEX(tblCategories[Category],94),"")</f>
        <v/>
      </c>
      <c r="C122" s="13">
        <f>IF($B122="","",SUMIFS(tblTxn[View Amount],tblTxn[Month],C$4,tblTxn[Category],$B122)*$P122)</f>
        <v/>
      </c>
      <c r="D122" s="13">
        <f>IF($B122="","",SUMIFS(tblTxn[View Amount],tblTxn[Month],D$4,tblTxn[Category],$B122)*$P122)</f>
        <v/>
      </c>
      <c r="E122" s="13">
        <f>IF($B122="","",SUMIFS(tblTxn[View Amount],tblTxn[Month],E$4,tblTxn[Category],$B122)*$P122)</f>
        <v/>
      </c>
      <c r="F122" s="13">
        <f>IF($B122="","",SUMIFS(tblTxn[View Amount],tblTxn[Month],F$4,tblTxn[Category],$B122)*$P122)</f>
        <v/>
      </c>
      <c r="G122" s="13">
        <f>IF($B122="","",SUMIFS(tblTxn[View Amount],tblTxn[Month],G$4,tblTxn[Category],$B122)*$P122)</f>
        <v/>
      </c>
      <c r="H122" s="13">
        <f>IF($B122="","",SUMIFS(tblTxn[View Amount],tblTxn[Month],H$4,tblTxn[Category],$B122)*$P122)</f>
        <v/>
      </c>
      <c r="I122" s="13">
        <f>IF($B122="","",SUMIFS(tblTxn[View Amount],tblTxn[Month],I$4,tblTxn[Category],$B122)*$P122)</f>
        <v/>
      </c>
      <c r="J122" s="13">
        <f>IF($B122="","",SUMIFS(tblTxn[View Amount],tblTxn[Month],J$4,tblTxn[Category],$B122)*$P122)</f>
        <v/>
      </c>
      <c r="K122" s="13">
        <f>IF($B122="","",SUMIFS(tblTxn[View Amount],tblTxn[Month],K$4,tblTxn[Category],$B122)*$P122)</f>
        <v/>
      </c>
      <c r="L122" s="13">
        <f>IF($B122="","",SUMIFS(tblTxn[View Amount],tblTxn[Month],L$4,tblTxn[Category],$B122)*$P122)</f>
        <v/>
      </c>
      <c r="M122" s="13">
        <f>IF($B122="","",SUMIFS(tblTxn[View Amount],tblTxn[Month],M$4,tblTxn[Category],$B122)*$P122)</f>
        <v/>
      </c>
      <c r="N122" s="13">
        <f>IF($B122="","",SUMIFS(tblTxn[View Amount],tblTxn[Month],N$4,tblTxn[Category],$B122)*$P122)</f>
        <v/>
      </c>
      <c r="O122" s="15">
        <f>IF($B122="","",SUM(C122:N122))</f>
        <v/>
      </c>
      <c r="P122">
        <f>IF($B122="",0,IFERROR(IF(INDEX(tblCategories[Type],MATCH($B122,tblCategories[Category],0))="Income",1,-1),-1))</f>
        <v/>
      </c>
      <c r="Q122">
        <f>IF(AND($B122&lt;&gt;"",$P122&lt;&gt;1,N($N122)&gt;0),$N122+ROW()/1E+7,-1)</f>
        <v/>
      </c>
    </row>
    <row r="123">
      <c r="B123" s="7">
        <f>IFERROR(INDEX(tblCategories[Category],95),"")</f>
        <v/>
      </c>
      <c r="C123" s="13">
        <f>IF($B123="","",SUMIFS(tblTxn[View Amount],tblTxn[Month],C$4,tblTxn[Category],$B123)*$P123)</f>
        <v/>
      </c>
      <c r="D123" s="13">
        <f>IF($B123="","",SUMIFS(tblTxn[View Amount],tblTxn[Month],D$4,tblTxn[Category],$B123)*$P123)</f>
        <v/>
      </c>
      <c r="E123" s="13">
        <f>IF($B123="","",SUMIFS(tblTxn[View Amount],tblTxn[Month],E$4,tblTxn[Category],$B123)*$P123)</f>
        <v/>
      </c>
      <c r="F123" s="13">
        <f>IF($B123="","",SUMIFS(tblTxn[View Amount],tblTxn[Month],F$4,tblTxn[Category],$B123)*$P123)</f>
        <v/>
      </c>
      <c r="G123" s="13">
        <f>IF($B123="","",SUMIFS(tblTxn[View Amount],tblTxn[Month],G$4,tblTxn[Category],$B123)*$P123)</f>
        <v/>
      </c>
      <c r="H123" s="13">
        <f>IF($B123="","",SUMIFS(tblTxn[View Amount],tblTxn[Month],H$4,tblTxn[Category],$B123)*$P123)</f>
        <v/>
      </c>
      <c r="I123" s="13">
        <f>IF($B123="","",SUMIFS(tblTxn[View Amount],tblTxn[Month],I$4,tblTxn[Category],$B123)*$P123)</f>
        <v/>
      </c>
      <c r="J123" s="13">
        <f>IF($B123="","",SUMIFS(tblTxn[View Amount],tblTxn[Month],J$4,tblTxn[Category],$B123)*$P123)</f>
        <v/>
      </c>
      <c r="K123" s="13">
        <f>IF($B123="","",SUMIFS(tblTxn[View Amount],tblTxn[Month],K$4,tblTxn[Category],$B123)*$P123)</f>
        <v/>
      </c>
      <c r="L123" s="13">
        <f>IF($B123="","",SUMIFS(tblTxn[View Amount],tblTxn[Month],L$4,tblTxn[Category],$B123)*$P123)</f>
        <v/>
      </c>
      <c r="M123" s="13">
        <f>IF($B123="","",SUMIFS(tblTxn[View Amount],tblTxn[Month],M$4,tblTxn[Category],$B123)*$P123)</f>
        <v/>
      </c>
      <c r="N123" s="13">
        <f>IF($B123="","",SUMIFS(tblTxn[View Amount],tblTxn[Month],N$4,tblTxn[Category],$B123)*$P123)</f>
        <v/>
      </c>
      <c r="O123" s="15">
        <f>IF($B123="","",SUM(C123:N123))</f>
        <v/>
      </c>
      <c r="P123">
        <f>IF($B123="",0,IFERROR(IF(INDEX(tblCategories[Type],MATCH($B123,tblCategories[Category],0))="Income",1,-1),-1))</f>
        <v/>
      </c>
      <c r="Q123">
        <f>IF(AND($B123&lt;&gt;"",$P123&lt;&gt;1,N($N123)&gt;0),$N123+ROW()/1E+7,-1)</f>
        <v/>
      </c>
    </row>
    <row r="124">
      <c r="B124" s="7">
        <f>IFERROR(INDEX(tblCategories[Category],96),"")</f>
        <v/>
      </c>
      <c r="C124" s="13">
        <f>IF($B124="","",SUMIFS(tblTxn[View Amount],tblTxn[Month],C$4,tblTxn[Category],$B124)*$P124)</f>
        <v/>
      </c>
      <c r="D124" s="13">
        <f>IF($B124="","",SUMIFS(tblTxn[View Amount],tblTxn[Month],D$4,tblTxn[Category],$B124)*$P124)</f>
        <v/>
      </c>
      <c r="E124" s="13">
        <f>IF($B124="","",SUMIFS(tblTxn[View Amount],tblTxn[Month],E$4,tblTxn[Category],$B124)*$P124)</f>
        <v/>
      </c>
      <c r="F124" s="13">
        <f>IF($B124="","",SUMIFS(tblTxn[View Amount],tblTxn[Month],F$4,tblTxn[Category],$B124)*$P124)</f>
        <v/>
      </c>
      <c r="G124" s="13">
        <f>IF($B124="","",SUMIFS(tblTxn[View Amount],tblTxn[Month],G$4,tblTxn[Category],$B124)*$P124)</f>
        <v/>
      </c>
      <c r="H124" s="13">
        <f>IF($B124="","",SUMIFS(tblTxn[View Amount],tblTxn[Month],H$4,tblTxn[Category],$B124)*$P124)</f>
        <v/>
      </c>
      <c r="I124" s="13">
        <f>IF($B124="","",SUMIFS(tblTxn[View Amount],tblTxn[Month],I$4,tblTxn[Category],$B124)*$P124)</f>
        <v/>
      </c>
      <c r="J124" s="13">
        <f>IF($B124="","",SUMIFS(tblTxn[View Amount],tblTxn[Month],J$4,tblTxn[Category],$B124)*$P124)</f>
        <v/>
      </c>
      <c r="K124" s="13">
        <f>IF($B124="","",SUMIFS(tblTxn[View Amount],tblTxn[Month],K$4,tblTxn[Category],$B124)*$P124)</f>
        <v/>
      </c>
      <c r="L124" s="13">
        <f>IF($B124="","",SUMIFS(tblTxn[View Amount],tblTxn[Month],L$4,tblTxn[Category],$B124)*$P124)</f>
        <v/>
      </c>
      <c r="M124" s="13">
        <f>IF($B124="","",SUMIFS(tblTxn[View Amount],tblTxn[Month],M$4,tblTxn[Category],$B124)*$P124)</f>
        <v/>
      </c>
      <c r="N124" s="13">
        <f>IF($B124="","",SUMIFS(tblTxn[View Amount],tblTxn[Month],N$4,tblTxn[Category],$B124)*$P124)</f>
        <v/>
      </c>
      <c r="O124" s="15">
        <f>IF($B124="","",SUM(C124:N124))</f>
        <v/>
      </c>
      <c r="P124">
        <f>IF($B124="",0,IFERROR(IF(INDEX(tblCategories[Type],MATCH($B124,tblCategories[Category],0))="Income",1,-1),-1))</f>
        <v/>
      </c>
      <c r="Q124">
        <f>IF(AND($B124&lt;&gt;"",$P124&lt;&gt;1,N($N124)&gt;0),$N124+ROW()/1E+7,-1)</f>
        <v/>
      </c>
    </row>
    <row r="125">
      <c r="B125" s="7">
        <f>IFERROR(INDEX(tblCategories[Category],97),"")</f>
        <v/>
      </c>
      <c r="C125" s="13">
        <f>IF($B125="","",SUMIFS(tblTxn[View Amount],tblTxn[Month],C$4,tblTxn[Category],$B125)*$P125)</f>
        <v/>
      </c>
      <c r="D125" s="13">
        <f>IF($B125="","",SUMIFS(tblTxn[View Amount],tblTxn[Month],D$4,tblTxn[Category],$B125)*$P125)</f>
        <v/>
      </c>
      <c r="E125" s="13">
        <f>IF($B125="","",SUMIFS(tblTxn[View Amount],tblTxn[Month],E$4,tblTxn[Category],$B125)*$P125)</f>
        <v/>
      </c>
      <c r="F125" s="13">
        <f>IF($B125="","",SUMIFS(tblTxn[View Amount],tblTxn[Month],F$4,tblTxn[Category],$B125)*$P125)</f>
        <v/>
      </c>
      <c r="G125" s="13">
        <f>IF($B125="","",SUMIFS(tblTxn[View Amount],tblTxn[Month],G$4,tblTxn[Category],$B125)*$P125)</f>
        <v/>
      </c>
      <c r="H125" s="13">
        <f>IF($B125="","",SUMIFS(tblTxn[View Amount],tblTxn[Month],H$4,tblTxn[Category],$B125)*$P125)</f>
        <v/>
      </c>
      <c r="I125" s="13">
        <f>IF($B125="","",SUMIFS(tblTxn[View Amount],tblTxn[Month],I$4,tblTxn[Category],$B125)*$P125)</f>
        <v/>
      </c>
      <c r="J125" s="13">
        <f>IF($B125="","",SUMIFS(tblTxn[View Amount],tblTxn[Month],J$4,tblTxn[Category],$B125)*$P125)</f>
        <v/>
      </c>
      <c r="K125" s="13">
        <f>IF($B125="","",SUMIFS(tblTxn[View Amount],tblTxn[Month],K$4,tblTxn[Category],$B125)*$P125)</f>
        <v/>
      </c>
      <c r="L125" s="13">
        <f>IF($B125="","",SUMIFS(tblTxn[View Amount],tblTxn[Month],L$4,tblTxn[Category],$B125)*$P125)</f>
        <v/>
      </c>
      <c r="M125" s="13">
        <f>IF($B125="","",SUMIFS(tblTxn[View Amount],tblTxn[Month],M$4,tblTxn[Category],$B125)*$P125)</f>
        <v/>
      </c>
      <c r="N125" s="13">
        <f>IF($B125="","",SUMIFS(tblTxn[View Amount],tblTxn[Month],N$4,tblTxn[Category],$B125)*$P125)</f>
        <v/>
      </c>
      <c r="O125" s="15">
        <f>IF($B125="","",SUM(C125:N125))</f>
        <v/>
      </c>
      <c r="P125">
        <f>IF($B125="",0,IFERROR(IF(INDEX(tblCategories[Type],MATCH($B125,tblCategories[Category],0))="Income",1,-1),-1))</f>
        <v/>
      </c>
      <c r="Q125">
        <f>IF(AND($B125&lt;&gt;"",$P125&lt;&gt;1,N($N125)&gt;0),$N125+ROW()/1E+7,-1)</f>
        <v/>
      </c>
    </row>
    <row r="126">
      <c r="B126" s="7">
        <f>IFERROR(INDEX(tblCategories[Category],98),"")</f>
        <v/>
      </c>
      <c r="C126" s="13">
        <f>IF($B126="","",SUMIFS(tblTxn[View Amount],tblTxn[Month],C$4,tblTxn[Category],$B126)*$P126)</f>
        <v/>
      </c>
      <c r="D126" s="13">
        <f>IF($B126="","",SUMIFS(tblTxn[View Amount],tblTxn[Month],D$4,tblTxn[Category],$B126)*$P126)</f>
        <v/>
      </c>
      <c r="E126" s="13">
        <f>IF($B126="","",SUMIFS(tblTxn[View Amount],tblTxn[Month],E$4,tblTxn[Category],$B126)*$P126)</f>
        <v/>
      </c>
      <c r="F126" s="13">
        <f>IF($B126="","",SUMIFS(tblTxn[View Amount],tblTxn[Month],F$4,tblTxn[Category],$B126)*$P126)</f>
        <v/>
      </c>
      <c r="G126" s="13">
        <f>IF($B126="","",SUMIFS(tblTxn[View Amount],tblTxn[Month],G$4,tblTxn[Category],$B126)*$P126)</f>
        <v/>
      </c>
      <c r="H126" s="13">
        <f>IF($B126="","",SUMIFS(tblTxn[View Amount],tblTxn[Month],H$4,tblTxn[Category],$B126)*$P126)</f>
        <v/>
      </c>
      <c r="I126" s="13">
        <f>IF($B126="","",SUMIFS(tblTxn[View Amount],tblTxn[Month],I$4,tblTxn[Category],$B126)*$P126)</f>
        <v/>
      </c>
      <c r="J126" s="13">
        <f>IF($B126="","",SUMIFS(tblTxn[View Amount],tblTxn[Month],J$4,tblTxn[Category],$B126)*$P126)</f>
        <v/>
      </c>
      <c r="K126" s="13">
        <f>IF($B126="","",SUMIFS(tblTxn[View Amount],tblTxn[Month],K$4,tblTxn[Category],$B126)*$P126)</f>
        <v/>
      </c>
      <c r="L126" s="13">
        <f>IF($B126="","",SUMIFS(tblTxn[View Amount],tblTxn[Month],L$4,tblTxn[Category],$B126)*$P126)</f>
        <v/>
      </c>
      <c r="M126" s="13">
        <f>IF($B126="","",SUMIFS(tblTxn[View Amount],tblTxn[Month],M$4,tblTxn[Category],$B126)*$P126)</f>
        <v/>
      </c>
      <c r="N126" s="13">
        <f>IF($B126="","",SUMIFS(tblTxn[View Amount],tblTxn[Month],N$4,tblTxn[Category],$B126)*$P126)</f>
        <v/>
      </c>
      <c r="O126" s="15">
        <f>IF($B126="","",SUM(C126:N126))</f>
        <v/>
      </c>
      <c r="P126">
        <f>IF($B126="",0,IFERROR(IF(INDEX(tblCategories[Type],MATCH($B126,tblCategories[Category],0))="Income",1,-1),-1))</f>
        <v/>
      </c>
      <c r="Q126">
        <f>IF(AND($B126&lt;&gt;"",$P126&lt;&gt;1,N($N126)&gt;0),$N126+ROW()/1E+7,-1)</f>
        <v/>
      </c>
    </row>
    <row r="127">
      <c r="B127" s="7">
        <f>IFERROR(INDEX(tblCategories[Category],99),"")</f>
        <v/>
      </c>
      <c r="C127" s="13">
        <f>IF($B127="","",SUMIFS(tblTxn[View Amount],tblTxn[Month],C$4,tblTxn[Category],$B127)*$P127)</f>
        <v/>
      </c>
      <c r="D127" s="13">
        <f>IF($B127="","",SUMIFS(tblTxn[View Amount],tblTxn[Month],D$4,tblTxn[Category],$B127)*$P127)</f>
        <v/>
      </c>
      <c r="E127" s="13">
        <f>IF($B127="","",SUMIFS(tblTxn[View Amount],tblTxn[Month],E$4,tblTxn[Category],$B127)*$P127)</f>
        <v/>
      </c>
      <c r="F127" s="13">
        <f>IF($B127="","",SUMIFS(tblTxn[View Amount],tblTxn[Month],F$4,tblTxn[Category],$B127)*$P127)</f>
        <v/>
      </c>
      <c r="G127" s="13">
        <f>IF($B127="","",SUMIFS(tblTxn[View Amount],tblTxn[Month],G$4,tblTxn[Category],$B127)*$P127)</f>
        <v/>
      </c>
      <c r="H127" s="13">
        <f>IF($B127="","",SUMIFS(tblTxn[View Amount],tblTxn[Month],H$4,tblTxn[Category],$B127)*$P127)</f>
        <v/>
      </c>
      <c r="I127" s="13">
        <f>IF($B127="","",SUMIFS(tblTxn[View Amount],tblTxn[Month],I$4,tblTxn[Category],$B127)*$P127)</f>
        <v/>
      </c>
      <c r="J127" s="13">
        <f>IF($B127="","",SUMIFS(tblTxn[View Amount],tblTxn[Month],J$4,tblTxn[Category],$B127)*$P127)</f>
        <v/>
      </c>
      <c r="K127" s="13">
        <f>IF($B127="","",SUMIFS(tblTxn[View Amount],tblTxn[Month],K$4,tblTxn[Category],$B127)*$P127)</f>
        <v/>
      </c>
      <c r="L127" s="13">
        <f>IF($B127="","",SUMIFS(tblTxn[View Amount],tblTxn[Month],L$4,tblTxn[Category],$B127)*$P127)</f>
        <v/>
      </c>
      <c r="M127" s="13">
        <f>IF($B127="","",SUMIFS(tblTxn[View Amount],tblTxn[Month],M$4,tblTxn[Category],$B127)*$P127)</f>
        <v/>
      </c>
      <c r="N127" s="13">
        <f>IF($B127="","",SUMIFS(tblTxn[View Amount],tblTxn[Month],N$4,tblTxn[Category],$B127)*$P127)</f>
        <v/>
      </c>
      <c r="O127" s="15">
        <f>IF($B127="","",SUM(C127:N127))</f>
        <v/>
      </c>
      <c r="P127">
        <f>IF($B127="",0,IFERROR(IF(INDEX(tblCategories[Type],MATCH($B127,tblCategories[Category],0))="Income",1,-1),-1))</f>
        <v/>
      </c>
      <c r="Q127">
        <f>IF(AND($B127&lt;&gt;"",$P127&lt;&gt;1,N($N127)&gt;0),$N127+ROW()/1E+7,-1)</f>
        <v/>
      </c>
    </row>
    <row r="128">
      <c r="B128" s="7">
        <f>IFERROR(INDEX(tblCategories[Category],100),"")</f>
        <v/>
      </c>
      <c r="C128" s="13">
        <f>IF($B128="","",SUMIFS(tblTxn[View Amount],tblTxn[Month],C$4,tblTxn[Category],$B128)*$P128)</f>
        <v/>
      </c>
      <c r="D128" s="13">
        <f>IF($B128="","",SUMIFS(tblTxn[View Amount],tblTxn[Month],D$4,tblTxn[Category],$B128)*$P128)</f>
        <v/>
      </c>
      <c r="E128" s="13">
        <f>IF($B128="","",SUMIFS(tblTxn[View Amount],tblTxn[Month],E$4,tblTxn[Category],$B128)*$P128)</f>
        <v/>
      </c>
      <c r="F128" s="13">
        <f>IF($B128="","",SUMIFS(tblTxn[View Amount],tblTxn[Month],F$4,tblTxn[Category],$B128)*$P128)</f>
        <v/>
      </c>
      <c r="G128" s="13">
        <f>IF($B128="","",SUMIFS(tblTxn[View Amount],tblTxn[Month],G$4,tblTxn[Category],$B128)*$P128)</f>
        <v/>
      </c>
      <c r="H128" s="13">
        <f>IF($B128="","",SUMIFS(tblTxn[View Amount],tblTxn[Month],H$4,tblTxn[Category],$B128)*$P128)</f>
        <v/>
      </c>
      <c r="I128" s="13">
        <f>IF($B128="","",SUMIFS(tblTxn[View Amount],tblTxn[Month],I$4,tblTxn[Category],$B128)*$P128)</f>
        <v/>
      </c>
      <c r="J128" s="13">
        <f>IF($B128="","",SUMIFS(tblTxn[View Amount],tblTxn[Month],J$4,tblTxn[Category],$B128)*$P128)</f>
        <v/>
      </c>
      <c r="K128" s="13">
        <f>IF($B128="","",SUMIFS(tblTxn[View Amount],tblTxn[Month],K$4,tblTxn[Category],$B128)*$P128)</f>
        <v/>
      </c>
      <c r="L128" s="13">
        <f>IF($B128="","",SUMIFS(tblTxn[View Amount],tblTxn[Month],L$4,tblTxn[Category],$B128)*$P128)</f>
        <v/>
      </c>
      <c r="M128" s="13">
        <f>IF($B128="","",SUMIFS(tblTxn[View Amount],tblTxn[Month],M$4,tblTxn[Category],$B128)*$P128)</f>
        <v/>
      </c>
      <c r="N128" s="13">
        <f>IF($B128="","",SUMIFS(tblTxn[View Amount],tblTxn[Month],N$4,tblTxn[Category],$B128)*$P128)</f>
        <v/>
      </c>
      <c r="O128" s="15">
        <f>IF($B128="","",SUM(C128:N128))</f>
        <v/>
      </c>
      <c r="P128">
        <f>IF($B128="",0,IFERROR(IF(INDEX(tblCategories[Type],MATCH($B128,tblCategories[Category],0))="Income",1,-1),-1))</f>
        <v/>
      </c>
      <c r="Q128">
        <f>IF(AND($B128&lt;&gt;"",$P128&lt;&gt;1,N($N128)&gt;0),$N128+ROW()/1E+7,-1)</f>
        <v/>
      </c>
    </row>
    <row r="129">
      <c r="B129" s="7">
        <f>IFERROR(INDEX(tblCategories[Category],101),"")</f>
        <v/>
      </c>
      <c r="C129" s="13">
        <f>IF($B129="","",SUMIFS(tblTxn[View Amount],tblTxn[Month],C$4,tblTxn[Category],$B129)*$P129)</f>
        <v/>
      </c>
      <c r="D129" s="13">
        <f>IF($B129="","",SUMIFS(tblTxn[View Amount],tblTxn[Month],D$4,tblTxn[Category],$B129)*$P129)</f>
        <v/>
      </c>
      <c r="E129" s="13">
        <f>IF($B129="","",SUMIFS(tblTxn[View Amount],tblTxn[Month],E$4,tblTxn[Category],$B129)*$P129)</f>
        <v/>
      </c>
      <c r="F129" s="13">
        <f>IF($B129="","",SUMIFS(tblTxn[View Amount],tblTxn[Month],F$4,tblTxn[Category],$B129)*$P129)</f>
        <v/>
      </c>
      <c r="G129" s="13">
        <f>IF($B129="","",SUMIFS(tblTxn[View Amount],tblTxn[Month],G$4,tblTxn[Category],$B129)*$P129)</f>
        <v/>
      </c>
      <c r="H129" s="13">
        <f>IF($B129="","",SUMIFS(tblTxn[View Amount],tblTxn[Month],H$4,tblTxn[Category],$B129)*$P129)</f>
        <v/>
      </c>
      <c r="I129" s="13">
        <f>IF($B129="","",SUMIFS(tblTxn[View Amount],tblTxn[Month],I$4,tblTxn[Category],$B129)*$P129)</f>
        <v/>
      </c>
      <c r="J129" s="13">
        <f>IF($B129="","",SUMIFS(tblTxn[View Amount],tblTxn[Month],J$4,tblTxn[Category],$B129)*$P129)</f>
        <v/>
      </c>
      <c r="K129" s="13">
        <f>IF($B129="","",SUMIFS(tblTxn[View Amount],tblTxn[Month],K$4,tblTxn[Category],$B129)*$P129)</f>
        <v/>
      </c>
      <c r="L129" s="13">
        <f>IF($B129="","",SUMIFS(tblTxn[View Amount],tblTxn[Month],L$4,tblTxn[Category],$B129)*$P129)</f>
        <v/>
      </c>
      <c r="M129" s="13">
        <f>IF($B129="","",SUMIFS(tblTxn[View Amount],tblTxn[Month],M$4,tblTxn[Category],$B129)*$P129)</f>
        <v/>
      </c>
      <c r="N129" s="13">
        <f>IF($B129="","",SUMIFS(tblTxn[View Amount],tblTxn[Month],N$4,tblTxn[Category],$B129)*$P129)</f>
        <v/>
      </c>
      <c r="O129" s="15">
        <f>IF($B129="","",SUM(C129:N129))</f>
        <v/>
      </c>
      <c r="P129">
        <f>IF($B129="",0,IFERROR(IF(INDEX(tblCategories[Type],MATCH($B129,tblCategories[Category],0))="Income",1,-1),-1))</f>
        <v/>
      </c>
      <c r="Q129">
        <f>IF(AND($B129&lt;&gt;"",$P129&lt;&gt;1,N($N129)&gt;0),$N129+ROW()/1E+7,-1)</f>
        <v/>
      </c>
    </row>
    <row r="130">
      <c r="B130" s="7">
        <f>IFERROR(INDEX(tblCategories[Category],102),"")</f>
        <v/>
      </c>
      <c r="C130" s="13">
        <f>IF($B130="","",SUMIFS(tblTxn[View Amount],tblTxn[Month],C$4,tblTxn[Category],$B130)*$P130)</f>
        <v/>
      </c>
      <c r="D130" s="13">
        <f>IF($B130="","",SUMIFS(tblTxn[View Amount],tblTxn[Month],D$4,tblTxn[Category],$B130)*$P130)</f>
        <v/>
      </c>
      <c r="E130" s="13">
        <f>IF($B130="","",SUMIFS(tblTxn[View Amount],tblTxn[Month],E$4,tblTxn[Category],$B130)*$P130)</f>
        <v/>
      </c>
      <c r="F130" s="13">
        <f>IF($B130="","",SUMIFS(tblTxn[View Amount],tblTxn[Month],F$4,tblTxn[Category],$B130)*$P130)</f>
        <v/>
      </c>
      <c r="G130" s="13">
        <f>IF($B130="","",SUMIFS(tblTxn[View Amount],tblTxn[Month],G$4,tblTxn[Category],$B130)*$P130)</f>
        <v/>
      </c>
      <c r="H130" s="13">
        <f>IF($B130="","",SUMIFS(tblTxn[View Amount],tblTxn[Month],H$4,tblTxn[Category],$B130)*$P130)</f>
        <v/>
      </c>
      <c r="I130" s="13">
        <f>IF($B130="","",SUMIFS(tblTxn[View Amount],tblTxn[Month],I$4,tblTxn[Category],$B130)*$P130)</f>
        <v/>
      </c>
      <c r="J130" s="13">
        <f>IF($B130="","",SUMIFS(tblTxn[View Amount],tblTxn[Month],J$4,tblTxn[Category],$B130)*$P130)</f>
        <v/>
      </c>
      <c r="K130" s="13">
        <f>IF($B130="","",SUMIFS(tblTxn[View Amount],tblTxn[Month],K$4,tblTxn[Category],$B130)*$P130)</f>
        <v/>
      </c>
      <c r="L130" s="13">
        <f>IF($B130="","",SUMIFS(tblTxn[View Amount],tblTxn[Month],L$4,tblTxn[Category],$B130)*$P130)</f>
        <v/>
      </c>
      <c r="M130" s="13">
        <f>IF($B130="","",SUMIFS(tblTxn[View Amount],tblTxn[Month],M$4,tblTxn[Category],$B130)*$P130)</f>
        <v/>
      </c>
      <c r="N130" s="13">
        <f>IF($B130="","",SUMIFS(tblTxn[View Amount],tblTxn[Month],N$4,tblTxn[Category],$B130)*$P130)</f>
        <v/>
      </c>
      <c r="O130" s="15">
        <f>IF($B130="","",SUM(C130:N130))</f>
        <v/>
      </c>
      <c r="P130">
        <f>IF($B130="",0,IFERROR(IF(INDEX(tblCategories[Type],MATCH($B130,tblCategories[Category],0))="Income",1,-1),-1))</f>
        <v/>
      </c>
      <c r="Q130">
        <f>IF(AND($B130&lt;&gt;"",$P130&lt;&gt;1,N($N130)&gt;0),$N130+ROW()/1E+7,-1)</f>
        <v/>
      </c>
    </row>
    <row r="131">
      <c r="B131" s="7">
        <f>IFERROR(INDEX(tblCategories[Category],103),"")</f>
        <v/>
      </c>
      <c r="C131" s="13">
        <f>IF($B131="","",SUMIFS(tblTxn[View Amount],tblTxn[Month],C$4,tblTxn[Category],$B131)*$P131)</f>
        <v/>
      </c>
      <c r="D131" s="13">
        <f>IF($B131="","",SUMIFS(tblTxn[View Amount],tblTxn[Month],D$4,tblTxn[Category],$B131)*$P131)</f>
        <v/>
      </c>
      <c r="E131" s="13">
        <f>IF($B131="","",SUMIFS(tblTxn[View Amount],tblTxn[Month],E$4,tblTxn[Category],$B131)*$P131)</f>
        <v/>
      </c>
      <c r="F131" s="13">
        <f>IF($B131="","",SUMIFS(tblTxn[View Amount],tblTxn[Month],F$4,tblTxn[Category],$B131)*$P131)</f>
        <v/>
      </c>
      <c r="G131" s="13">
        <f>IF($B131="","",SUMIFS(tblTxn[View Amount],tblTxn[Month],G$4,tblTxn[Category],$B131)*$P131)</f>
        <v/>
      </c>
      <c r="H131" s="13">
        <f>IF($B131="","",SUMIFS(tblTxn[View Amount],tblTxn[Month],H$4,tblTxn[Category],$B131)*$P131)</f>
        <v/>
      </c>
      <c r="I131" s="13">
        <f>IF($B131="","",SUMIFS(tblTxn[View Amount],tblTxn[Month],I$4,tblTxn[Category],$B131)*$P131)</f>
        <v/>
      </c>
      <c r="J131" s="13">
        <f>IF($B131="","",SUMIFS(tblTxn[View Amount],tblTxn[Month],J$4,tblTxn[Category],$B131)*$P131)</f>
        <v/>
      </c>
      <c r="K131" s="13">
        <f>IF($B131="","",SUMIFS(tblTxn[View Amount],tblTxn[Month],K$4,tblTxn[Category],$B131)*$P131)</f>
        <v/>
      </c>
      <c r="L131" s="13">
        <f>IF($B131="","",SUMIFS(tblTxn[View Amount],tblTxn[Month],L$4,tblTxn[Category],$B131)*$P131)</f>
        <v/>
      </c>
      <c r="M131" s="13">
        <f>IF($B131="","",SUMIFS(tblTxn[View Amount],tblTxn[Month],M$4,tblTxn[Category],$B131)*$P131)</f>
        <v/>
      </c>
      <c r="N131" s="13">
        <f>IF($B131="","",SUMIFS(tblTxn[View Amount],tblTxn[Month],N$4,tblTxn[Category],$B131)*$P131)</f>
        <v/>
      </c>
      <c r="O131" s="15">
        <f>IF($B131="","",SUM(C131:N131))</f>
        <v/>
      </c>
      <c r="P131">
        <f>IF($B131="",0,IFERROR(IF(INDEX(tblCategories[Type],MATCH($B131,tblCategories[Category],0))="Income",1,-1),-1))</f>
        <v/>
      </c>
      <c r="Q131">
        <f>IF(AND($B131&lt;&gt;"",$P131&lt;&gt;1,N($N131)&gt;0),$N131+ROW()/1E+7,-1)</f>
        <v/>
      </c>
    </row>
    <row r="132">
      <c r="B132" s="7">
        <f>IFERROR(INDEX(tblCategories[Category],104),"")</f>
        <v/>
      </c>
      <c r="C132" s="13">
        <f>IF($B132="","",SUMIFS(tblTxn[View Amount],tblTxn[Month],C$4,tblTxn[Category],$B132)*$P132)</f>
        <v/>
      </c>
      <c r="D132" s="13">
        <f>IF($B132="","",SUMIFS(tblTxn[View Amount],tblTxn[Month],D$4,tblTxn[Category],$B132)*$P132)</f>
        <v/>
      </c>
      <c r="E132" s="13">
        <f>IF($B132="","",SUMIFS(tblTxn[View Amount],tblTxn[Month],E$4,tblTxn[Category],$B132)*$P132)</f>
        <v/>
      </c>
      <c r="F132" s="13">
        <f>IF($B132="","",SUMIFS(tblTxn[View Amount],tblTxn[Month],F$4,tblTxn[Category],$B132)*$P132)</f>
        <v/>
      </c>
      <c r="G132" s="13">
        <f>IF($B132="","",SUMIFS(tblTxn[View Amount],tblTxn[Month],G$4,tblTxn[Category],$B132)*$P132)</f>
        <v/>
      </c>
      <c r="H132" s="13">
        <f>IF($B132="","",SUMIFS(tblTxn[View Amount],tblTxn[Month],H$4,tblTxn[Category],$B132)*$P132)</f>
        <v/>
      </c>
      <c r="I132" s="13">
        <f>IF($B132="","",SUMIFS(tblTxn[View Amount],tblTxn[Month],I$4,tblTxn[Category],$B132)*$P132)</f>
        <v/>
      </c>
      <c r="J132" s="13">
        <f>IF($B132="","",SUMIFS(tblTxn[View Amount],tblTxn[Month],J$4,tblTxn[Category],$B132)*$P132)</f>
        <v/>
      </c>
      <c r="K132" s="13">
        <f>IF($B132="","",SUMIFS(tblTxn[View Amount],tblTxn[Month],K$4,tblTxn[Category],$B132)*$P132)</f>
        <v/>
      </c>
      <c r="L132" s="13">
        <f>IF($B132="","",SUMIFS(tblTxn[View Amount],tblTxn[Month],L$4,tblTxn[Category],$B132)*$P132)</f>
        <v/>
      </c>
      <c r="M132" s="13">
        <f>IF($B132="","",SUMIFS(tblTxn[View Amount],tblTxn[Month],M$4,tblTxn[Category],$B132)*$P132)</f>
        <v/>
      </c>
      <c r="N132" s="13">
        <f>IF($B132="","",SUMIFS(tblTxn[View Amount],tblTxn[Month],N$4,tblTxn[Category],$B132)*$P132)</f>
        <v/>
      </c>
      <c r="O132" s="15">
        <f>IF($B132="","",SUM(C132:N132))</f>
        <v/>
      </c>
      <c r="P132">
        <f>IF($B132="",0,IFERROR(IF(INDEX(tblCategories[Type],MATCH($B132,tblCategories[Category],0))="Income",1,-1),-1))</f>
        <v/>
      </c>
      <c r="Q132">
        <f>IF(AND($B132&lt;&gt;"",$P132&lt;&gt;1,N($N132)&gt;0),$N132+ROW()/1E+7,-1)</f>
        <v/>
      </c>
    </row>
    <row r="133">
      <c r="B133" s="7">
        <f>IFERROR(INDEX(tblCategories[Category],105),"")</f>
        <v/>
      </c>
      <c r="C133" s="13">
        <f>IF($B133="","",SUMIFS(tblTxn[View Amount],tblTxn[Month],C$4,tblTxn[Category],$B133)*$P133)</f>
        <v/>
      </c>
      <c r="D133" s="13">
        <f>IF($B133="","",SUMIFS(tblTxn[View Amount],tblTxn[Month],D$4,tblTxn[Category],$B133)*$P133)</f>
        <v/>
      </c>
      <c r="E133" s="13">
        <f>IF($B133="","",SUMIFS(tblTxn[View Amount],tblTxn[Month],E$4,tblTxn[Category],$B133)*$P133)</f>
        <v/>
      </c>
      <c r="F133" s="13">
        <f>IF($B133="","",SUMIFS(tblTxn[View Amount],tblTxn[Month],F$4,tblTxn[Category],$B133)*$P133)</f>
        <v/>
      </c>
      <c r="G133" s="13">
        <f>IF($B133="","",SUMIFS(tblTxn[View Amount],tblTxn[Month],G$4,tblTxn[Category],$B133)*$P133)</f>
        <v/>
      </c>
      <c r="H133" s="13">
        <f>IF($B133="","",SUMIFS(tblTxn[View Amount],tblTxn[Month],H$4,tblTxn[Category],$B133)*$P133)</f>
        <v/>
      </c>
      <c r="I133" s="13">
        <f>IF($B133="","",SUMIFS(tblTxn[View Amount],tblTxn[Month],I$4,tblTxn[Category],$B133)*$P133)</f>
        <v/>
      </c>
      <c r="J133" s="13">
        <f>IF($B133="","",SUMIFS(tblTxn[View Amount],tblTxn[Month],J$4,tblTxn[Category],$B133)*$P133)</f>
        <v/>
      </c>
      <c r="K133" s="13">
        <f>IF($B133="","",SUMIFS(tblTxn[View Amount],tblTxn[Month],K$4,tblTxn[Category],$B133)*$P133)</f>
        <v/>
      </c>
      <c r="L133" s="13">
        <f>IF($B133="","",SUMIFS(tblTxn[View Amount],tblTxn[Month],L$4,tblTxn[Category],$B133)*$P133)</f>
        <v/>
      </c>
      <c r="M133" s="13">
        <f>IF($B133="","",SUMIFS(tblTxn[View Amount],tblTxn[Month],M$4,tblTxn[Category],$B133)*$P133)</f>
        <v/>
      </c>
      <c r="N133" s="13">
        <f>IF($B133="","",SUMIFS(tblTxn[View Amount],tblTxn[Month],N$4,tblTxn[Category],$B133)*$P133)</f>
        <v/>
      </c>
      <c r="O133" s="15">
        <f>IF($B133="","",SUM(C133:N133))</f>
        <v/>
      </c>
      <c r="P133">
        <f>IF($B133="",0,IFERROR(IF(INDEX(tblCategories[Type],MATCH($B133,tblCategories[Category],0))="Income",1,-1),-1))</f>
        <v/>
      </c>
      <c r="Q133">
        <f>IF(AND($B133&lt;&gt;"",$P133&lt;&gt;1,N($N133)&gt;0),$N133+ROW()/1E+7,-1)</f>
        <v/>
      </c>
    </row>
    <row r="134">
      <c r="B134" s="7">
        <f>IFERROR(INDEX(tblCategories[Category],106),"")</f>
        <v/>
      </c>
      <c r="C134" s="13">
        <f>IF($B134="","",SUMIFS(tblTxn[View Amount],tblTxn[Month],C$4,tblTxn[Category],$B134)*$P134)</f>
        <v/>
      </c>
      <c r="D134" s="13">
        <f>IF($B134="","",SUMIFS(tblTxn[View Amount],tblTxn[Month],D$4,tblTxn[Category],$B134)*$P134)</f>
        <v/>
      </c>
      <c r="E134" s="13">
        <f>IF($B134="","",SUMIFS(tblTxn[View Amount],tblTxn[Month],E$4,tblTxn[Category],$B134)*$P134)</f>
        <v/>
      </c>
      <c r="F134" s="13">
        <f>IF($B134="","",SUMIFS(tblTxn[View Amount],tblTxn[Month],F$4,tblTxn[Category],$B134)*$P134)</f>
        <v/>
      </c>
      <c r="G134" s="13">
        <f>IF($B134="","",SUMIFS(tblTxn[View Amount],tblTxn[Month],G$4,tblTxn[Category],$B134)*$P134)</f>
        <v/>
      </c>
      <c r="H134" s="13">
        <f>IF($B134="","",SUMIFS(tblTxn[View Amount],tblTxn[Month],H$4,tblTxn[Category],$B134)*$P134)</f>
        <v/>
      </c>
      <c r="I134" s="13">
        <f>IF($B134="","",SUMIFS(tblTxn[View Amount],tblTxn[Month],I$4,tblTxn[Category],$B134)*$P134)</f>
        <v/>
      </c>
      <c r="J134" s="13">
        <f>IF($B134="","",SUMIFS(tblTxn[View Amount],tblTxn[Month],J$4,tblTxn[Category],$B134)*$P134)</f>
        <v/>
      </c>
      <c r="K134" s="13">
        <f>IF($B134="","",SUMIFS(tblTxn[View Amount],tblTxn[Month],K$4,tblTxn[Category],$B134)*$P134)</f>
        <v/>
      </c>
      <c r="L134" s="13">
        <f>IF($B134="","",SUMIFS(tblTxn[View Amount],tblTxn[Month],L$4,tblTxn[Category],$B134)*$P134)</f>
        <v/>
      </c>
      <c r="M134" s="13">
        <f>IF($B134="","",SUMIFS(tblTxn[View Amount],tblTxn[Month],M$4,tblTxn[Category],$B134)*$P134)</f>
        <v/>
      </c>
      <c r="N134" s="13">
        <f>IF($B134="","",SUMIFS(tblTxn[View Amount],tblTxn[Month],N$4,tblTxn[Category],$B134)*$P134)</f>
        <v/>
      </c>
      <c r="O134" s="15">
        <f>IF($B134="","",SUM(C134:N134))</f>
        <v/>
      </c>
      <c r="P134">
        <f>IF($B134="",0,IFERROR(IF(INDEX(tblCategories[Type],MATCH($B134,tblCategories[Category],0))="Income",1,-1),-1))</f>
        <v/>
      </c>
      <c r="Q134">
        <f>IF(AND($B134&lt;&gt;"",$P134&lt;&gt;1,N($N134)&gt;0),$N134+ROW()/1E+7,-1)</f>
        <v/>
      </c>
    </row>
    <row r="135">
      <c r="B135" s="7">
        <f>IFERROR(INDEX(tblCategories[Category],107),"")</f>
        <v/>
      </c>
      <c r="C135" s="13">
        <f>IF($B135="","",SUMIFS(tblTxn[View Amount],tblTxn[Month],C$4,tblTxn[Category],$B135)*$P135)</f>
        <v/>
      </c>
      <c r="D135" s="13">
        <f>IF($B135="","",SUMIFS(tblTxn[View Amount],tblTxn[Month],D$4,tblTxn[Category],$B135)*$P135)</f>
        <v/>
      </c>
      <c r="E135" s="13">
        <f>IF($B135="","",SUMIFS(tblTxn[View Amount],tblTxn[Month],E$4,tblTxn[Category],$B135)*$P135)</f>
        <v/>
      </c>
      <c r="F135" s="13">
        <f>IF($B135="","",SUMIFS(tblTxn[View Amount],tblTxn[Month],F$4,tblTxn[Category],$B135)*$P135)</f>
        <v/>
      </c>
      <c r="G135" s="13">
        <f>IF($B135="","",SUMIFS(tblTxn[View Amount],tblTxn[Month],G$4,tblTxn[Category],$B135)*$P135)</f>
        <v/>
      </c>
      <c r="H135" s="13">
        <f>IF($B135="","",SUMIFS(tblTxn[View Amount],tblTxn[Month],H$4,tblTxn[Category],$B135)*$P135)</f>
        <v/>
      </c>
      <c r="I135" s="13">
        <f>IF($B135="","",SUMIFS(tblTxn[View Amount],tblTxn[Month],I$4,tblTxn[Category],$B135)*$P135)</f>
        <v/>
      </c>
      <c r="J135" s="13">
        <f>IF($B135="","",SUMIFS(tblTxn[View Amount],tblTxn[Month],J$4,tblTxn[Category],$B135)*$P135)</f>
        <v/>
      </c>
      <c r="K135" s="13">
        <f>IF($B135="","",SUMIFS(tblTxn[View Amount],tblTxn[Month],K$4,tblTxn[Category],$B135)*$P135)</f>
        <v/>
      </c>
      <c r="L135" s="13">
        <f>IF($B135="","",SUMIFS(tblTxn[View Amount],tblTxn[Month],L$4,tblTxn[Category],$B135)*$P135)</f>
        <v/>
      </c>
      <c r="M135" s="13">
        <f>IF($B135="","",SUMIFS(tblTxn[View Amount],tblTxn[Month],M$4,tblTxn[Category],$B135)*$P135)</f>
        <v/>
      </c>
      <c r="N135" s="13">
        <f>IF($B135="","",SUMIFS(tblTxn[View Amount],tblTxn[Month],N$4,tblTxn[Category],$B135)*$P135)</f>
        <v/>
      </c>
      <c r="O135" s="15">
        <f>IF($B135="","",SUM(C135:N135))</f>
        <v/>
      </c>
      <c r="P135">
        <f>IF($B135="",0,IFERROR(IF(INDEX(tblCategories[Type],MATCH($B135,tblCategories[Category],0))="Income",1,-1),-1))</f>
        <v/>
      </c>
      <c r="Q135">
        <f>IF(AND($B135&lt;&gt;"",$P135&lt;&gt;1,N($N135)&gt;0),$N135+ROW()/1E+7,-1)</f>
        <v/>
      </c>
    </row>
    <row r="136">
      <c r="B136" s="7">
        <f>IFERROR(INDEX(tblCategories[Category],108),"")</f>
        <v/>
      </c>
      <c r="C136" s="13">
        <f>IF($B136="","",SUMIFS(tblTxn[View Amount],tblTxn[Month],C$4,tblTxn[Category],$B136)*$P136)</f>
        <v/>
      </c>
      <c r="D136" s="13">
        <f>IF($B136="","",SUMIFS(tblTxn[View Amount],tblTxn[Month],D$4,tblTxn[Category],$B136)*$P136)</f>
        <v/>
      </c>
      <c r="E136" s="13">
        <f>IF($B136="","",SUMIFS(tblTxn[View Amount],tblTxn[Month],E$4,tblTxn[Category],$B136)*$P136)</f>
        <v/>
      </c>
      <c r="F136" s="13">
        <f>IF($B136="","",SUMIFS(tblTxn[View Amount],tblTxn[Month],F$4,tblTxn[Category],$B136)*$P136)</f>
        <v/>
      </c>
      <c r="G136" s="13">
        <f>IF($B136="","",SUMIFS(tblTxn[View Amount],tblTxn[Month],G$4,tblTxn[Category],$B136)*$P136)</f>
        <v/>
      </c>
      <c r="H136" s="13">
        <f>IF($B136="","",SUMIFS(tblTxn[View Amount],tblTxn[Month],H$4,tblTxn[Category],$B136)*$P136)</f>
        <v/>
      </c>
      <c r="I136" s="13">
        <f>IF($B136="","",SUMIFS(tblTxn[View Amount],tblTxn[Month],I$4,tblTxn[Category],$B136)*$P136)</f>
        <v/>
      </c>
      <c r="J136" s="13">
        <f>IF($B136="","",SUMIFS(tblTxn[View Amount],tblTxn[Month],J$4,tblTxn[Category],$B136)*$P136)</f>
        <v/>
      </c>
      <c r="K136" s="13">
        <f>IF($B136="","",SUMIFS(tblTxn[View Amount],tblTxn[Month],K$4,tblTxn[Category],$B136)*$P136)</f>
        <v/>
      </c>
      <c r="L136" s="13">
        <f>IF($B136="","",SUMIFS(tblTxn[View Amount],tblTxn[Month],L$4,tblTxn[Category],$B136)*$P136)</f>
        <v/>
      </c>
      <c r="M136" s="13">
        <f>IF($B136="","",SUMIFS(tblTxn[View Amount],tblTxn[Month],M$4,tblTxn[Category],$B136)*$P136)</f>
        <v/>
      </c>
      <c r="N136" s="13">
        <f>IF($B136="","",SUMIFS(tblTxn[View Amount],tblTxn[Month],N$4,tblTxn[Category],$B136)*$P136)</f>
        <v/>
      </c>
      <c r="O136" s="15">
        <f>IF($B136="","",SUM(C136:N136))</f>
        <v/>
      </c>
      <c r="P136">
        <f>IF($B136="",0,IFERROR(IF(INDEX(tblCategories[Type],MATCH($B136,tblCategories[Category],0))="Income",1,-1),-1))</f>
        <v/>
      </c>
      <c r="Q136">
        <f>IF(AND($B136&lt;&gt;"",$P136&lt;&gt;1,N($N136)&gt;0),$N136+ROW()/1E+7,-1)</f>
        <v/>
      </c>
    </row>
    <row r="137">
      <c r="B137" s="7">
        <f>IFERROR(INDEX(tblCategories[Category],109),"")</f>
        <v/>
      </c>
      <c r="C137" s="13">
        <f>IF($B137="","",SUMIFS(tblTxn[View Amount],tblTxn[Month],C$4,tblTxn[Category],$B137)*$P137)</f>
        <v/>
      </c>
      <c r="D137" s="13">
        <f>IF($B137="","",SUMIFS(tblTxn[View Amount],tblTxn[Month],D$4,tblTxn[Category],$B137)*$P137)</f>
        <v/>
      </c>
      <c r="E137" s="13">
        <f>IF($B137="","",SUMIFS(tblTxn[View Amount],tblTxn[Month],E$4,tblTxn[Category],$B137)*$P137)</f>
        <v/>
      </c>
      <c r="F137" s="13">
        <f>IF($B137="","",SUMIFS(tblTxn[View Amount],tblTxn[Month],F$4,tblTxn[Category],$B137)*$P137)</f>
        <v/>
      </c>
      <c r="G137" s="13">
        <f>IF($B137="","",SUMIFS(tblTxn[View Amount],tblTxn[Month],G$4,tblTxn[Category],$B137)*$P137)</f>
        <v/>
      </c>
      <c r="H137" s="13">
        <f>IF($B137="","",SUMIFS(tblTxn[View Amount],tblTxn[Month],H$4,tblTxn[Category],$B137)*$P137)</f>
        <v/>
      </c>
      <c r="I137" s="13">
        <f>IF($B137="","",SUMIFS(tblTxn[View Amount],tblTxn[Month],I$4,tblTxn[Category],$B137)*$P137)</f>
        <v/>
      </c>
      <c r="J137" s="13">
        <f>IF($B137="","",SUMIFS(tblTxn[View Amount],tblTxn[Month],J$4,tblTxn[Category],$B137)*$P137)</f>
        <v/>
      </c>
      <c r="K137" s="13">
        <f>IF($B137="","",SUMIFS(tblTxn[View Amount],tblTxn[Month],K$4,tblTxn[Category],$B137)*$P137)</f>
        <v/>
      </c>
      <c r="L137" s="13">
        <f>IF($B137="","",SUMIFS(tblTxn[View Amount],tblTxn[Month],L$4,tblTxn[Category],$B137)*$P137)</f>
        <v/>
      </c>
      <c r="M137" s="13">
        <f>IF($B137="","",SUMIFS(tblTxn[View Amount],tblTxn[Month],M$4,tblTxn[Category],$B137)*$P137)</f>
        <v/>
      </c>
      <c r="N137" s="13">
        <f>IF($B137="","",SUMIFS(tblTxn[View Amount],tblTxn[Month],N$4,tblTxn[Category],$B137)*$P137)</f>
        <v/>
      </c>
      <c r="O137" s="15">
        <f>IF($B137="","",SUM(C137:N137))</f>
        <v/>
      </c>
      <c r="P137">
        <f>IF($B137="",0,IFERROR(IF(INDEX(tblCategories[Type],MATCH($B137,tblCategories[Category],0))="Income",1,-1),-1))</f>
        <v/>
      </c>
      <c r="Q137">
        <f>IF(AND($B137&lt;&gt;"",$P137&lt;&gt;1,N($N137)&gt;0),$N137+ROW()/1E+7,-1)</f>
        <v/>
      </c>
    </row>
    <row r="138">
      <c r="B138" s="7">
        <f>IFERROR(INDEX(tblCategories[Category],110),"")</f>
        <v/>
      </c>
      <c r="C138" s="13">
        <f>IF($B138="","",SUMIFS(tblTxn[View Amount],tblTxn[Month],C$4,tblTxn[Category],$B138)*$P138)</f>
        <v/>
      </c>
      <c r="D138" s="13">
        <f>IF($B138="","",SUMIFS(tblTxn[View Amount],tblTxn[Month],D$4,tblTxn[Category],$B138)*$P138)</f>
        <v/>
      </c>
      <c r="E138" s="13">
        <f>IF($B138="","",SUMIFS(tblTxn[View Amount],tblTxn[Month],E$4,tblTxn[Category],$B138)*$P138)</f>
        <v/>
      </c>
      <c r="F138" s="13">
        <f>IF($B138="","",SUMIFS(tblTxn[View Amount],tblTxn[Month],F$4,tblTxn[Category],$B138)*$P138)</f>
        <v/>
      </c>
      <c r="G138" s="13">
        <f>IF($B138="","",SUMIFS(tblTxn[View Amount],tblTxn[Month],G$4,tblTxn[Category],$B138)*$P138)</f>
        <v/>
      </c>
      <c r="H138" s="13">
        <f>IF($B138="","",SUMIFS(tblTxn[View Amount],tblTxn[Month],H$4,tblTxn[Category],$B138)*$P138)</f>
        <v/>
      </c>
      <c r="I138" s="13">
        <f>IF($B138="","",SUMIFS(tblTxn[View Amount],tblTxn[Month],I$4,tblTxn[Category],$B138)*$P138)</f>
        <v/>
      </c>
      <c r="J138" s="13">
        <f>IF($B138="","",SUMIFS(tblTxn[View Amount],tblTxn[Month],J$4,tblTxn[Category],$B138)*$P138)</f>
        <v/>
      </c>
      <c r="K138" s="13">
        <f>IF($B138="","",SUMIFS(tblTxn[View Amount],tblTxn[Month],K$4,tblTxn[Category],$B138)*$P138)</f>
        <v/>
      </c>
      <c r="L138" s="13">
        <f>IF($B138="","",SUMIFS(tblTxn[View Amount],tblTxn[Month],L$4,tblTxn[Category],$B138)*$P138)</f>
        <v/>
      </c>
      <c r="M138" s="13">
        <f>IF($B138="","",SUMIFS(tblTxn[View Amount],tblTxn[Month],M$4,tblTxn[Category],$B138)*$P138)</f>
        <v/>
      </c>
      <c r="N138" s="13">
        <f>IF($B138="","",SUMIFS(tblTxn[View Amount],tblTxn[Month],N$4,tblTxn[Category],$B138)*$P138)</f>
        <v/>
      </c>
      <c r="O138" s="15">
        <f>IF($B138="","",SUM(C138:N138))</f>
        <v/>
      </c>
      <c r="P138">
        <f>IF($B138="",0,IFERROR(IF(INDEX(tblCategories[Type],MATCH($B138,tblCategories[Category],0))="Income",1,-1),-1))</f>
        <v/>
      </c>
      <c r="Q138">
        <f>IF(AND($B138&lt;&gt;"",$P138&lt;&gt;1,N($N138)&gt;0),$N138+ROW()/1E+7,-1)</f>
        <v/>
      </c>
    </row>
    <row r="139">
      <c r="B139" s="7">
        <f>IFERROR(INDEX(tblCategories[Category],111),"")</f>
        <v/>
      </c>
      <c r="C139" s="13">
        <f>IF($B139="","",SUMIFS(tblTxn[View Amount],tblTxn[Month],C$4,tblTxn[Category],$B139)*$P139)</f>
        <v/>
      </c>
      <c r="D139" s="13">
        <f>IF($B139="","",SUMIFS(tblTxn[View Amount],tblTxn[Month],D$4,tblTxn[Category],$B139)*$P139)</f>
        <v/>
      </c>
      <c r="E139" s="13">
        <f>IF($B139="","",SUMIFS(tblTxn[View Amount],tblTxn[Month],E$4,tblTxn[Category],$B139)*$P139)</f>
        <v/>
      </c>
      <c r="F139" s="13">
        <f>IF($B139="","",SUMIFS(tblTxn[View Amount],tblTxn[Month],F$4,tblTxn[Category],$B139)*$P139)</f>
        <v/>
      </c>
      <c r="G139" s="13">
        <f>IF($B139="","",SUMIFS(tblTxn[View Amount],tblTxn[Month],G$4,tblTxn[Category],$B139)*$P139)</f>
        <v/>
      </c>
      <c r="H139" s="13">
        <f>IF($B139="","",SUMIFS(tblTxn[View Amount],tblTxn[Month],H$4,tblTxn[Category],$B139)*$P139)</f>
        <v/>
      </c>
      <c r="I139" s="13">
        <f>IF($B139="","",SUMIFS(tblTxn[View Amount],tblTxn[Month],I$4,tblTxn[Category],$B139)*$P139)</f>
        <v/>
      </c>
      <c r="J139" s="13">
        <f>IF($B139="","",SUMIFS(tblTxn[View Amount],tblTxn[Month],J$4,tblTxn[Category],$B139)*$P139)</f>
        <v/>
      </c>
      <c r="K139" s="13">
        <f>IF($B139="","",SUMIFS(tblTxn[View Amount],tblTxn[Month],K$4,tblTxn[Category],$B139)*$P139)</f>
        <v/>
      </c>
      <c r="L139" s="13">
        <f>IF($B139="","",SUMIFS(tblTxn[View Amount],tblTxn[Month],L$4,tblTxn[Category],$B139)*$P139)</f>
        <v/>
      </c>
      <c r="M139" s="13">
        <f>IF($B139="","",SUMIFS(tblTxn[View Amount],tblTxn[Month],M$4,tblTxn[Category],$B139)*$P139)</f>
        <v/>
      </c>
      <c r="N139" s="13">
        <f>IF($B139="","",SUMIFS(tblTxn[View Amount],tblTxn[Month],N$4,tblTxn[Category],$B139)*$P139)</f>
        <v/>
      </c>
      <c r="O139" s="15">
        <f>IF($B139="","",SUM(C139:N139))</f>
        <v/>
      </c>
      <c r="P139">
        <f>IF($B139="",0,IFERROR(IF(INDEX(tblCategories[Type],MATCH($B139,tblCategories[Category],0))="Income",1,-1),-1))</f>
        <v/>
      </c>
      <c r="Q139">
        <f>IF(AND($B139&lt;&gt;"",$P139&lt;&gt;1,N($N139)&gt;0),$N139+ROW()/1E+7,-1)</f>
        <v/>
      </c>
    </row>
    <row r="140">
      <c r="B140" s="7">
        <f>IFERROR(INDEX(tblCategories[Category],112),"")</f>
        <v/>
      </c>
      <c r="C140" s="13">
        <f>IF($B140="","",SUMIFS(tblTxn[View Amount],tblTxn[Month],C$4,tblTxn[Category],$B140)*$P140)</f>
        <v/>
      </c>
      <c r="D140" s="13">
        <f>IF($B140="","",SUMIFS(tblTxn[View Amount],tblTxn[Month],D$4,tblTxn[Category],$B140)*$P140)</f>
        <v/>
      </c>
      <c r="E140" s="13">
        <f>IF($B140="","",SUMIFS(tblTxn[View Amount],tblTxn[Month],E$4,tblTxn[Category],$B140)*$P140)</f>
        <v/>
      </c>
      <c r="F140" s="13">
        <f>IF($B140="","",SUMIFS(tblTxn[View Amount],tblTxn[Month],F$4,tblTxn[Category],$B140)*$P140)</f>
        <v/>
      </c>
      <c r="G140" s="13">
        <f>IF($B140="","",SUMIFS(tblTxn[View Amount],tblTxn[Month],G$4,tblTxn[Category],$B140)*$P140)</f>
        <v/>
      </c>
      <c r="H140" s="13">
        <f>IF($B140="","",SUMIFS(tblTxn[View Amount],tblTxn[Month],H$4,tblTxn[Category],$B140)*$P140)</f>
        <v/>
      </c>
      <c r="I140" s="13">
        <f>IF($B140="","",SUMIFS(tblTxn[View Amount],tblTxn[Month],I$4,tblTxn[Category],$B140)*$P140)</f>
        <v/>
      </c>
      <c r="J140" s="13">
        <f>IF($B140="","",SUMIFS(tblTxn[View Amount],tblTxn[Month],J$4,tblTxn[Category],$B140)*$P140)</f>
        <v/>
      </c>
      <c r="K140" s="13">
        <f>IF($B140="","",SUMIFS(tblTxn[View Amount],tblTxn[Month],K$4,tblTxn[Category],$B140)*$P140)</f>
        <v/>
      </c>
      <c r="L140" s="13">
        <f>IF($B140="","",SUMIFS(tblTxn[View Amount],tblTxn[Month],L$4,tblTxn[Category],$B140)*$P140)</f>
        <v/>
      </c>
      <c r="M140" s="13">
        <f>IF($B140="","",SUMIFS(tblTxn[View Amount],tblTxn[Month],M$4,tblTxn[Category],$B140)*$P140)</f>
        <v/>
      </c>
      <c r="N140" s="13">
        <f>IF($B140="","",SUMIFS(tblTxn[View Amount],tblTxn[Month],N$4,tblTxn[Category],$B140)*$P140)</f>
        <v/>
      </c>
      <c r="O140" s="15">
        <f>IF($B140="","",SUM(C140:N140))</f>
        <v/>
      </c>
      <c r="P140">
        <f>IF($B140="",0,IFERROR(IF(INDEX(tblCategories[Type],MATCH($B140,tblCategories[Category],0))="Income",1,-1),-1))</f>
        <v/>
      </c>
      <c r="Q140">
        <f>IF(AND($B140&lt;&gt;"",$P140&lt;&gt;1,N($N140)&gt;0),$N140+ROW()/1E+7,-1)</f>
        <v/>
      </c>
    </row>
    <row r="141">
      <c r="B141" s="7">
        <f>IFERROR(INDEX(tblCategories[Category],113),"")</f>
        <v/>
      </c>
      <c r="C141" s="13">
        <f>IF($B141="","",SUMIFS(tblTxn[View Amount],tblTxn[Month],C$4,tblTxn[Category],$B141)*$P141)</f>
        <v/>
      </c>
      <c r="D141" s="13">
        <f>IF($B141="","",SUMIFS(tblTxn[View Amount],tblTxn[Month],D$4,tblTxn[Category],$B141)*$P141)</f>
        <v/>
      </c>
      <c r="E141" s="13">
        <f>IF($B141="","",SUMIFS(tblTxn[View Amount],tblTxn[Month],E$4,tblTxn[Category],$B141)*$P141)</f>
        <v/>
      </c>
      <c r="F141" s="13">
        <f>IF($B141="","",SUMIFS(tblTxn[View Amount],tblTxn[Month],F$4,tblTxn[Category],$B141)*$P141)</f>
        <v/>
      </c>
      <c r="G141" s="13">
        <f>IF($B141="","",SUMIFS(tblTxn[View Amount],tblTxn[Month],G$4,tblTxn[Category],$B141)*$P141)</f>
        <v/>
      </c>
      <c r="H141" s="13">
        <f>IF($B141="","",SUMIFS(tblTxn[View Amount],tblTxn[Month],H$4,tblTxn[Category],$B141)*$P141)</f>
        <v/>
      </c>
      <c r="I141" s="13">
        <f>IF($B141="","",SUMIFS(tblTxn[View Amount],tblTxn[Month],I$4,tblTxn[Category],$B141)*$P141)</f>
        <v/>
      </c>
      <c r="J141" s="13">
        <f>IF($B141="","",SUMIFS(tblTxn[View Amount],tblTxn[Month],J$4,tblTxn[Category],$B141)*$P141)</f>
        <v/>
      </c>
      <c r="K141" s="13">
        <f>IF($B141="","",SUMIFS(tblTxn[View Amount],tblTxn[Month],K$4,tblTxn[Category],$B141)*$P141)</f>
        <v/>
      </c>
      <c r="L141" s="13">
        <f>IF($B141="","",SUMIFS(tblTxn[View Amount],tblTxn[Month],L$4,tblTxn[Category],$B141)*$P141)</f>
        <v/>
      </c>
      <c r="M141" s="13">
        <f>IF($B141="","",SUMIFS(tblTxn[View Amount],tblTxn[Month],M$4,tblTxn[Category],$B141)*$P141)</f>
        <v/>
      </c>
      <c r="N141" s="13">
        <f>IF($B141="","",SUMIFS(tblTxn[View Amount],tblTxn[Month],N$4,tblTxn[Category],$B141)*$P141)</f>
        <v/>
      </c>
      <c r="O141" s="15">
        <f>IF($B141="","",SUM(C141:N141))</f>
        <v/>
      </c>
      <c r="P141">
        <f>IF($B141="",0,IFERROR(IF(INDEX(tblCategories[Type],MATCH($B141,tblCategories[Category],0))="Income",1,-1),-1))</f>
        <v/>
      </c>
      <c r="Q141">
        <f>IF(AND($B141&lt;&gt;"",$P141&lt;&gt;1,N($N141)&gt;0),$N141+ROW()/1E+7,-1)</f>
        <v/>
      </c>
    </row>
    <row r="142">
      <c r="B142" s="7">
        <f>IFERROR(INDEX(tblCategories[Category],114),"")</f>
        <v/>
      </c>
      <c r="C142" s="13">
        <f>IF($B142="","",SUMIFS(tblTxn[View Amount],tblTxn[Month],C$4,tblTxn[Category],$B142)*$P142)</f>
        <v/>
      </c>
      <c r="D142" s="13">
        <f>IF($B142="","",SUMIFS(tblTxn[View Amount],tblTxn[Month],D$4,tblTxn[Category],$B142)*$P142)</f>
        <v/>
      </c>
      <c r="E142" s="13">
        <f>IF($B142="","",SUMIFS(tblTxn[View Amount],tblTxn[Month],E$4,tblTxn[Category],$B142)*$P142)</f>
        <v/>
      </c>
      <c r="F142" s="13">
        <f>IF($B142="","",SUMIFS(tblTxn[View Amount],tblTxn[Month],F$4,tblTxn[Category],$B142)*$P142)</f>
        <v/>
      </c>
      <c r="G142" s="13">
        <f>IF($B142="","",SUMIFS(tblTxn[View Amount],tblTxn[Month],G$4,tblTxn[Category],$B142)*$P142)</f>
        <v/>
      </c>
      <c r="H142" s="13">
        <f>IF($B142="","",SUMIFS(tblTxn[View Amount],tblTxn[Month],H$4,tblTxn[Category],$B142)*$P142)</f>
        <v/>
      </c>
      <c r="I142" s="13">
        <f>IF($B142="","",SUMIFS(tblTxn[View Amount],tblTxn[Month],I$4,tblTxn[Category],$B142)*$P142)</f>
        <v/>
      </c>
      <c r="J142" s="13">
        <f>IF($B142="","",SUMIFS(tblTxn[View Amount],tblTxn[Month],J$4,tblTxn[Category],$B142)*$P142)</f>
        <v/>
      </c>
      <c r="K142" s="13">
        <f>IF($B142="","",SUMIFS(tblTxn[View Amount],tblTxn[Month],K$4,tblTxn[Category],$B142)*$P142)</f>
        <v/>
      </c>
      <c r="L142" s="13">
        <f>IF($B142="","",SUMIFS(tblTxn[View Amount],tblTxn[Month],L$4,tblTxn[Category],$B142)*$P142)</f>
        <v/>
      </c>
      <c r="M142" s="13">
        <f>IF($B142="","",SUMIFS(tblTxn[View Amount],tblTxn[Month],M$4,tblTxn[Category],$B142)*$P142)</f>
        <v/>
      </c>
      <c r="N142" s="13">
        <f>IF($B142="","",SUMIFS(tblTxn[View Amount],tblTxn[Month],N$4,tblTxn[Category],$B142)*$P142)</f>
        <v/>
      </c>
      <c r="O142" s="15">
        <f>IF($B142="","",SUM(C142:N142))</f>
        <v/>
      </c>
      <c r="P142">
        <f>IF($B142="",0,IFERROR(IF(INDEX(tblCategories[Type],MATCH($B142,tblCategories[Category],0))="Income",1,-1),-1))</f>
        <v/>
      </c>
      <c r="Q142">
        <f>IF(AND($B142&lt;&gt;"",$P142&lt;&gt;1,N($N142)&gt;0),$N142+ROW()/1E+7,-1)</f>
        <v/>
      </c>
    </row>
    <row r="143">
      <c r="B143" s="7">
        <f>IFERROR(INDEX(tblCategories[Category],115),"")</f>
        <v/>
      </c>
      <c r="C143" s="13">
        <f>IF($B143="","",SUMIFS(tblTxn[View Amount],tblTxn[Month],C$4,tblTxn[Category],$B143)*$P143)</f>
        <v/>
      </c>
      <c r="D143" s="13">
        <f>IF($B143="","",SUMIFS(tblTxn[View Amount],tblTxn[Month],D$4,tblTxn[Category],$B143)*$P143)</f>
        <v/>
      </c>
      <c r="E143" s="13">
        <f>IF($B143="","",SUMIFS(tblTxn[View Amount],tblTxn[Month],E$4,tblTxn[Category],$B143)*$P143)</f>
        <v/>
      </c>
      <c r="F143" s="13">
        <f>IF($B143="","",SUMIFS(tblTxn[View Amount],tblTxn[Month],F$4,tblTxn[Category],$B143)*$P143)</f>
        <v/>
      </c>
      <c r="G143" s="13">
        <f>IF($B143="","",SUMIFS(tblTxn[View Amount],tblTxn[Month],G$4,tblTxn[Category],$B143)*$P143)</f>
        <v/>
      </c>
      <c r="H143" s="13">
        <f>IF($B143="","",SUMIFS(tblTxn[View Amount],tblTxn[Month],H$4,tblTxn[Category],$B143)*$P143)</f>
        <v/>
      </c>
      <c r="I143" s="13">
        <f>IF($B143="","",SUMIFS(tblTxn[View Amount],tblTxn[Month],I$4,tblTxn[Category],$B143)*$P143)</f>
        <v/>
      </c>
      <c r="J143" s="13">
        <f>IF($B143="","",SUMIFS(tblTxn[View Amount],tblTxn[Month],J$4,tblTxn[Category],$B143)*$P143)</f>
        <v/>
      </c>
      <c r="K143" s="13">
        <f>IF($B143="","",SUMIFS(tblTxn[View Amount],tblTxn[Month],K$4,tblTxn[Category],$B143)*$P143)</f>
        <v/>
      </c>
      <c r="L143" s="13">
        <f>IF($B143="","",SUMIFS(tblTxn[View Amount],tblTxn[Month],L$4,tblTxn[Category],$B143)*$P143)</f>
        <v/>
      </c>
      <c r="M143" s="13">
        <f>IF($B143="","",SUMIFS(tblTxn[View Amount],tblTxn[Month],M$4,tblTxn[Category],$B143)*$P143)</f>
        <v/>
      </c>
      <c r="N143" s="13">
        <f>IF($B143="","",SUMIFS(tblTxn[View Amount],tblTxn[Month],N$4,tblTxn[Category],$B143)*$P143)</f>
        <v/>
      </c>
      <c r="O143" s="15">
        <f>IF($B143="","",SUM(C143:N143))</f>
        <v/>
      </c>
      <c r="P143">
        <f>IF($B143="",0,IFERROR(IF(INDEX(tblCategories[Type],MATCH($B143,tblCategories[Category],0))="Income",1,-1),-1))</f>
        <v/>
      </c>
      <c r="Q143">
        <f>IF(AND($B143&lt;&gt;"",$P143&lt;&gt;1,N($N143)&gt;0),$N143+ROW()/1E+7,-1)</f>
        <v/>
      </c>
    </row>
    <row r="144">
      <c r="B144" s="7">
        <f>IFERROR(INDEX(tblCategories[Category],116),"")</f>
        <v/>
      </c>
      <c r="C144" s="13">
        <f>IF($B144="","",SUMIFS(tblTxn[View Amount],tblTxn[Month],C$4,tblTxn[Category],$B144)*$P144)</f>
        <v/>
      </c>
      <c r="D144" s="13">
        <f>IF($B144="","",SUMIFS(tblTxn[View Amount],tblTxn[Month],D$4,tblTxn[Category],$B144)*$P144)</f>
        <v/>
      </c>
      <c r="E144" s="13">
        <f>IF($B144="","",SUMIFS(tblTxn[View Amount],tblTxn[Month],E$4,tblTxn[Category],$B144)*$P144)</f>
        <v/>
      </c>
      <c r="F144" s="13">
        <f>IF($B144="","",SUMIFS(tblTxn[View Amount],tblTxn[Month],F$4,tblTxn[Category],$B144)*$P144)</f>
        <v/>
      </c>
      <c r="G144" s="13">
        <f>IF($B144="","",SUMIFS(tblTxn[View Amount],tblTxn[Month],G$4,tblTxn[Category],$B144)*$P144)</f>
        <v/>
      </c>
      <c r="H144" s="13">
        <f>IF($B144="","",SUMIFS(tblTxn[View Amount],tblTxn[Month],H$4,tblTxn[Category],$B144)*$P144)</f>
        <v/>
      </c>
      <c r="I144" s="13">
        <f>IF($B144="","",SUMIFS(tblTxn[View Amount],tblTxn[Month],I$4,tblTxn[Category],$B144)*$P144)</f>
        <v/>
      </c>
      <c r="J144" s="13">
        <f>IF($B144="","",SUMIFS(tblTxn[View Amount],tblTxn[Month],J$4,tblTxn[Category],$B144)*$P144)</f>
        <v/>
      </c>
      <c r="K144" s="13">
        <f>IF($B144="","",SUMIFS(tblTxn[View Amount],tblTxn[Month],K$4,tblTxn[Category],$B144)*$P144)</f>
        <v/>
      </c>
      <c r="L144" s="13">
        <f>IF($B144="","",SUMIFS(tblTxn[View Amount],tblTxn[Month],L$4,tblTxn[Category],$B144)*$P144)</f>
        <v/>
      </c>
      <c r="M144" s="13">
        <f>IF($B144="","",SUMIFS(tblTxn[View Amount],tblTxn[Month],M$4,tblTxn[Category],$B144)*$P144)</f>
        <v/>
      </c>
      <c r="N144" s="13">
        <f>IF($B144="","",SUMIFS(tblTxn[View Amount],tblTxn[Month],N$4,tblTxn[Category],$B144)*$P144)</f>
        <v/>
      </c>
      <c r="O144" s="15">
        <f>IF($B144="","",SUM(C144:N144))</f>
        <v/>
      </c>
      <c r="P144">
        <f>IF($B144="",0,IFERROR(IF(INDEX(tblCategories[Type],MATCH($B144,tblCategories[Category],0))="Income",1,-1),-1))</f>
        <v/>
      </c>
      <c r="Q144">
        <f>IF(AND($B144&lt;&gt;"",$P144&lt;&gt;1,N($N144)&gt;0),$N144+ROW()/1E+7,-1)</f>
        <v/>
      </c>
    </row>
    <row r="145">
      <c r="B145" s="7">
        <f>IFERROR(INDEX(tblCategories[Category],117),"")</f>
        <v/>
      </c>
      <c r="C145" s="13">
        <f>IF($B145="","",SUMIFS(tblTxn[View Amount],tblTxn[Month],C$4,tblTxn[Category],$B145)*$P145)</f>
        <v/>
      </c>
      <c r="D145" s="13">
        <f>IF($B145="","",SUMIFS(tblTxn[View Amount],tblTxn[Month],D$4,tblTxn[Category],$B145)*$P145)</f>
        <v/>
      </c>
      <c r="E145" s="13">
        <f>IF($B145="","",SUMIFS(tblTxn[View Amount],tblTxn[Month],E$4,tblTxn[Category],$B145)*$P145)</f>
        <v/>
      </c>
      <c r="F145" s="13">
        <f>IF($B145="","",SUMIFS(tblTxn[View Amount],tblTxn[Month],F$4,tblTxn[Category],$B145)*$P145)</f>
        <v/>
      </c>
      <c r="G145" s="13">
        <f>IF($B145="","",SUMIFS(tblTxn[View Amount],tblTxn[Month],G$4,tblTxn[Category],$B145)*$P145)</f>
        <v/>
      </c>
      <c r="H145" s="13">
        <f>IF($B145="","",SUMIFS(tblTxn[View Amount],tblTxn[Month],H$4,tblTxn[Category],$B145)*$P145)</f>
        <v/>
      </c>
      <c r="I145" s="13">
        <f>IF($B145="","",SUMIFS(tblTxn[View Amount],tblTxn[Month],I$4,tblTxn[Category],$B145)*$P145)</f>
        <v/>
      </c>
      <c r="J145" s="13">
        <f>IF($B145="","",SUMIFS(tblTxn[View Amount],tblTxn[Month],J$4,tblTxn[Category],$B145)*$P145)</f>
        <v/>
      </c>
      <c r="K145" s="13">
        <f>IF($B145="","",SUMIFS(tblTxn[View Amount],tblTxn[Month],K$4,tblTxn[Category],$B145)*$P145)</f>
        <v/>
      </c>
      <c r="L145" s="13">
        <f>IF($B145="","",SUMIFS(tblTxn[View Amount],tblTxn[Month],L$4,tblTxn[Category],$B145)*$P145)</f>
        <v/>
      </c>
      <c r="M145" s="13">
        <f>IF($B145="","",SUMIFS(tblTxn[View Amount],tblTxn[Month],M$4,tblTxn[Category],$B145)*$P145)</f>
        <v/>
      </c>
      <c r="N145" s="13">
        <f>IF($B145="","",SUMIFS(tblTxn[View Amount],tblTxn[Month],N$4,tblTxn[Category],$B145)*$P145)</f>
        <v/>
      </c>
      <c r="O145" s="15">
        <f>IF($B145="","",SUM(C145:N145))</f>
        <v/>
      </c>
      <c r="P145">
        <f>IF($B145="",0,IFERROR(IF(INDEX(tblCategories[Type],MATCH($B145,tblCategories[Category],0))="Income",1,-1),-1))</f>
        <v/>
      </c>
      <c r="Q145">
        <f>IF(AND($B145&lt;&gt;"",$P145&lt;&gt;1,N($N145)&gt;0),$N145+ROW()/1E+7,-1)</f>
        <v/>
      </c>
    </row>
    <row r="146">
      <c r="B146" s="7">
        <f>IFERROR(INDEX(tblCategories[Category],118),"")</f>
        <v/>
      </c>
      <c r="C146" s="13">
        <f>IF($B146="","",SUMIFS(tblTxn[View Amount],tblTxn[Month],C$4,tblTxn[Category],$B146)*$P146)</f>
        <v/>
      </c>
      <c r="D146" s="13">
        <f>IF($B146="","",SUMIFS(tblTxn[View Amount],tblTxn[Month],D$4,tblTxn[Category],$B146)*$P146)</f>
        <v/>
      </c>
      <c r="E146" s="13">
        <f>IF($B146="","",SUMIFS(tblTxn[View Amount],tblTxn[Month],E$4,tblTxn[Category],$B146)*$P146)</f>
        <v/>
      </c>
      <c r="F146" s="13">
        <f>IF($B146="","",SUMIFS(tblTxn[View Amount],tblTxn[Month],F$4,tblTxn[Category],$B146)*$P146)</f>
        <v/>
      </c>
      <c r="G146" s="13">
        <f>IF($B146="","",SUMIFS(tblTxn[View Amount],tblTxn[Month],G$4,tblTxn[Category],$B146)*$P146)</f>
        <v/>
      </c>
      <c r="H146" s="13">
        <f>IF($B146="","",SUMIFS(tblTxn[View Amount],tblTxn[Month],H$4,tblTxn[Category],$B146)*$P146)</f>
        <v/>
      </c>
      <c r="I146" s="13">
        <f>IF($B146="","",SUMIFS(tblTxn[View Amount],tblTxn[Month],I$4,tblTxn[Category],$B146)*$P146)</f>
        <v/>
      </c>
      <c r="J146" s="13">
        <f>IF($B146="","",SUMIFS(tblTxn[View Amount],tblTxn[Month],J$4,tblTxn[Category],$B146)*$P146)</f>
        <v/>
      </c>
      <c r="K146" s="13">
        <f>IF($B146="","",SUMIFS(tblTxn[View Amount],tblTxn[Month],K$4,tblTxn[Category],$B146)*$P146)</f>
        <v/>
      </c>
      <c r="L146" s="13">
        <f>IF($B146="","",SUMIFS(tblTxn[View Amount],tblTxn[Month],L$4,tblTxn[Category],$B146)*$P146)</f>
        <v/>
      </c>
      <c r="M146" s="13">
        <f>IF($B146="","",SUMIFS(tblTxn[View Amount],tblTxn[Month],M$4,tblTxn[Category],$B146)*$P146)</f>
        <v/>
      </c>
      <c r="N146" s="13">
        <f>IF($B146="","",SUMIFS(tblTxn[View Amount],tblTxn[Month],N$4,tblTxn[Category],$B146)*$P146)</f>
        <v/>
      </c>
      <c r="O146" s="15">
        <f>IF($B146="","",SUM(C146:N146))</f>
        <v/>
      </c>
      <c r="P146">
        <f>IF($B146="",0,IFERROR(IF(INDEX(tblCategories[Type],MATCH($B146,tblCategories[Category],0))="Income",1,-1),-1))</f>
        <v/>
      </c>
      <c r="Q146">
        <f>IF(AND($B146&lt;&gt;"",$P146&lt;&gt;1,N($N146)&gt;0),$N146+ROW()/1E+7,-1)</f>
        <v/>
      </c>
    </row>
    <row r="147">
      <c r="B147" s="7">
        <f>IFERROR(INDEX(tblCategories[Category],119),"")</f>
        <v/>
      </c>
      <c r="C147" s="13">
        <f>IF($B147="","",SUMIFS(tblTxn[View Amount],tblTxn[Month],C$4,tblTxn[Category],$B147)*$P147)</f>
        <v/>
      </c>
      <c r="D147" s="13">
        <f>IF($B147="","",SUMIFS(tblTxn[View Amount],tblTxn[Month],D$4,tblTxn[Category],$B147)*$P147)</f>
        <v/>
      </c>
      <c r="E147" s="13">
        <f>IF($B147="","",SUMIFS(tblTxn[View Amount],tblTxn[Month],E$4,tblTxn[Category],$B147)*$P147)</f>
        <v/>
      </c>
      <c r="F147" s="13">
        <f>IF($B147="","",SUMIFS(tblTxn[View Amount],tblTxn[Month],F$4,tblTxn[Category],$B147)*$P147)</f>
        <v/>
      </c>
      <c r="G147" s="13">
        <f>IF($B147="","",SUMIFS(tblTxn[View Amount],tblTxn[Month],G$4,tblTxn[Category],$B147)*$P147)</f>
        <v/>
      </c>
      <c r="H147" s="13">
        <f>IF($B147="","",SUMIFS(tblTxn[View Amount],tblTxn[Month],H$4,tblTxn[Category],$B147)*$P147)</f>
        <v/>
      </c>
      <c r="I147" s="13">
        <f>IF($B147="","",SUMIFS(tblTxn[View Amount],tblTxn[Month],I$4,tblTxn[Category],$B147)*$P147)</f>
        <v/>
      </c>
      <c r="J147" s="13">
        <f>IF($B147="","",SUMIFS(tblTxn[View Amount],tblTxn[Month],J$4,tblTxn[Category],$B147)*$P147)</f>
        <v/>
      </c>
      <c r="K147" s="13">
        <f>IF($B147="","",SUMIFS(tblTxn[View Amount],tblTxn[Month],K$4,tblTxn[Category],$B147)*$P147)</f>
        <v/>
      </c>
      <c r="L147" s="13">
        <f>IF($B147="","",SUMIFS(tblTxn[View Amount],tblTxn[Month],L$4,tblTxn[Category],$B147)*$P147)</f>
        <v/>
      </c>
      <c r="M147" s="13">
        <f>IF($B147="","",SUMIFS(tblTxn[View Amount],tblTxn[Month],M$4,tblTxn[Category],$B147)*$P147)</f>
        <v/>
      </c>
      <c r="N147" s="13">
        <f>IF($B147="","",SUMIFS(tblTxn[View Amount],tblTxn[Month],N$4,tblTxn[Category],$B147)*$P147)</f>
        <v/>
      </c>
      <c r="O147" s="15">
        <f>IF($B147="","",SUM(C147:N147))</f>
        <v/>
      </c>
      <c r="P147">
        <f>IF($B147="",0,IFERROR(IF(INDEX(tblCategories[Type],MATCH($B147,tblCategories[Category],0))="Income",1,-1),-1))</f>
        <v/>
      </c>
      <c r="Q147">
        <f>IF(AND($B147&lt;&gt;"",$P147&lt;&gt;1,N($N147)&gt;0),$N147+ROW()/1E+7,-1)</f>
        <v/>
      </c>
    </row>
    <row r="148">
      <c r="B148" s="7">
        <f>IFERROR(INDEX(tblCategories[Category],120),"")</f>
        <v/>
      </c>
      <c r="C148" s="13">
        <f>IF($B148="","",SUMIFS(tblTxn[View Amount],tblTxn[Month],C$4,tblTxn[Category],$B148)*$P148)</f>
        <v/>
      </c>
      <c r="D148" s="13">
        <f>IF($B148="","",SUMIFS(tblTxn[View Amount],tblTxn[Month],D$4,tblTxn[Category],$B148)*$P148)</f>
        <v/>
      </c>
      <c r="E148" s="13">
        <f>IF($B148="","",SUMIFS(tblTxn[View Amount],tblTxn[Month],E$4,tblTxn[Category],$B148)*$P148)</f>
        <v/>
      </c>
      <c r="F148" s="13">
        <f>IF($B148="","",SUMIFS(tblTxn[View Amount],tblTxn[Month],F$4,tblTxn[Category],$B148)*$P148)</f>
        <v/>
      </c>
      <c r="G148" s="13">
        <f>IF($B148="","",SUMIFS(tblTxn[View Amount],tblTxn[Month],G$4,tblTxn[Category],$B148)*$P148)</f>
        <v/>
      </c>
      <c r="H148" s="13">
        <f>IF($B148="","",SUMIFS(tblTxn[View Amount],tblTxn[Month],H$4,tblTxn[Category],$B148)*$P148)</f>
        <v/>
      </c>
      <c r="I148" s="13">
        <f>IF($B148="","",SUMIFS(tblTxn[View Amount],tblTxn[Month],I$4,tblTxn[Category],$B148)*$P148)</f>
        <v/>
      </c>
      <c r="J148" s="13">
        <f>IF($B148="","",SUMIFS(tblTxn[View Amount],tblTxn[Month],J$4,tblTxn[Category],$B148)*$P148)</f>
        <v/>
      </c>
      <c r="K148" s="13">
        <f>IF($B148="","",SUMIFS(tblTxn[View Amount],tblTxn[Month],K$4,tblTxn[Category],$B148)*$P148)</f>
        <v/>
      </c>
      <c r="L148" s="13">
        <f>IF($B148="","",SUMIFS(tblTxn[View Amount],tblTxn[Month],L$4,tblTxn[Category],$B148)*$P148)</f>
        <v/>
      </c>
      <c r="M148" s="13">
        <f>IF($B148="","",SUMIFS(tblTxn[View Amount],tblTxn[Month],M$4,tblTxn[Category],$B148)*$P148)</f>
        <v/>
      </c>
      <c r="N148" s="13">
        <f>IF($B148="","",SUMIFS(tblTxn[View Amount],tblTxn[Month],N$4,tblTxn[Category],$B148)*$P148)</f>
        <v/>
      </c>
      <c r="O148" s="15">
        <f>IF($B148="","",SUM(C148:N148))</f>
        <v/>
      </c>
      <c r="P148">
        <f>IF($B148="",0,IFERROR(IF(INDEX(tblCategories[Type],MATCH($B148,tblCategories[Category],0))="Income",1,-1),-1))</f>
        <v/>
      </c>
      <c r="Q148">
        <f>IF(AND($B148&lt;&gt;"",$P148&lt;&gt;1,N($N148)&gt;0),$N148+ROW()/1E+7,-1)</f>
        <v/>
      </c>
    </row>
  </sheetData>
  <mergeCells count="2">
    <mergeCell ref="B28:O28"/>
    <mergeCell ref="B14:O14"/>
  </mergeCells>
  <printOptions horizontalCentered="1"/>
  <pageMargins left="0.75" right="0.75" top="1" bottom="1" header="0.5" footer="0.5"/>
  <pageSetup orientation="landscape" fitToHeight="0" fitToWidth="1"/>
</worksheet>
</file>

<file path=xl/worksheets/sheet8.xml><?xml version="1.0" encoding="utf-8"?>
<worksheet xmlns="http://schemas.openxmlformats.org/spreadsheetml/2006/main">
  <sheetPr codeName="shHousehold">
    <tabColor rgb="000F6E5C"/>
    <outlinePr summaryBelow="1" summaryRight="1"/>
    <pageSetUpPr fitToPage="1"/>
  </sheetPr>
  <dimension ref="B1:G24"/>
  <sheetViews>
    <sheetView showGridLines="0" workbookViewId="0">
      <selection activeCell="A1" sqref="A1"/>
    </sheetView>
  </sheetViews>
  <sheetFormatPr baseColWidth="8" defaultRowHeight="15"/>
  <cols>
    <col width="2" customWidth="1" min="1" max="1"/>
    <col width="36" customWidth="1" min="2" max="2"/>
    <col width="16" customWidth="1" min="3" max="3"/>
    <col width="16" customWidth="1" min="4" max="4"/>
    <col width="16" customWidth="1" min="5" max="5"/>
    <col width="4" customWidth="1" min="6" max="6"/>
    <col width="44" customWidth="1" min="7" max="7"/>
  </cols>
  <sheetData>
    <row r="1">
      <c r="B1" s="1" t="inlineStr">
        <is>
          <t>Household</t>
        </is>
      </c>
    </row>
    <row r="2">
      <c r="B2" s="2" t="inlineStr">
        <is>
          <t>Who paid what, whose it was, and who owes whom. Uses the report month chosen on the Dashboard.</t>
        </is>
      </c>
    </row>
    <row r="3">
      <c r="B3" s="3" t="inlineStr">
        <is>
          <t>Month shown</t>
        </is>
      </c>
      <c r="C3" s="21">
        <f>ReportMonth</f>
        <v/>
      </c>
    </row>
    <row r="5" ht="20" customHeight="1">
      <c r="B5" s="6" t="inlineStr">
        <is>
          <t xml:space="preserve">  Settling up (personal accounts only)</t>
        </is>
      </c>
      <c r="G5" s="3" t="inlineStr">
        <is>
          <t>How the split works</t>
        </is>
      </c>
    </row>
    <row r="6">
      <c r="B6" s="3" t="inlineStr"/>
      <c r="C6" s="12">
        <f>PersonA</f>
        <v/>
      </c>
      <c r="D6" s="12">
        <f>PersonB</f>
        <v/>
      </c>
      <c r="E6" s="12" t="inlineStr">
        <is>
          <t>Together</t>
        </is>
      </c>
      <c r="G6" s="26" t="inlineStr">
        <is>
          <t>Every transaction has an Owner: one of the two of you, or Joint.
- Owner = a person: that person carries 100% of it.
- Owner = Joint: it is divided using the household split on the Settings sheet, unless the category overrides it in "Joint Split A".
"Paid By" comes from the account the money left, so a shared dinner put on one person's card shows up as that person paying more than their share.
Settling up only looks at personal accounts. Spending from a joint account is assumed to be funded by both of you already.
Switch between household and per-person figures with the View selector on the Dashboard.</t>
        </is>
      </c>
    </row>
    <row r="7">
      <c r="B7" s="7" t="inlineStr">
        <is>
          <t>Paid from own accounts</t>
        </is>
      </c>
      <c r="C7" s="13">
        <f>-SUMIFS(tblTxn[Amount],tblTxn[Month],ReportMonth,tblTxn[Type],"Expense",tblTxn[Paid By],PersonA)</f>
        <v/>
      </c>
      <c r="D7" s="13">
        <f>-SUMIFS(tblTxn[Amount],tblTxn[Month],ReportMonth,tblTxn[Type],"Expense",tblTxn[Paid By],PersonB)</f>
        <v/>
      </c>
      <c r="E7" s="15">
        <f>C7+D7</f>
        <v/>
      </c>
    </row>
    <row r="8">
      <c r="B8" s="7" t="inlineStr">
        <is>
          <t>Fair share of that spending</t>
        </is>
      </c>
      <c r="C8" s="13">
        <f>-(SUMIFS(tblTxn[Share A],tblTxn[Month],ReportMonth,tblTxn[Type],"Expense",tblTxn[Paid By],PersonA)+SUMIFS(tblTxn[Share A],tblTxn[Month],ReportMonth,tblTxn[Type],"Expense",tblTxn[Paid By],PersonB))</f>
        <v/>
      </c>
      <c r="D8" s="13">
        <f>-(SUMIFS(tblTxn[Share B],tblTxn[Month],ReportMonth,tblTxn[Type],"Expense",tblTxn[Paid By],PersonA)+SUMIFS(tblTxn[Share B],tblTxn[Month],ReportMonth,tblTxn[Type],"Expense",tblTxn[Paid By],PersonB))</f>
        <v/>
      </c>
      <c r="E8" s="15">
        <f>C8+D8</f>
        <v/>
      </c>
    </row>
    <row r="9">
      <c r="B9" s="3" t="inlineStr">
        <is>
          <t>Balance (paid minus share)</t>
        </is>
      </c>
      <c r="C9" s="15">
        <f>C7-C8</f>
        <v/>
      </c>
      <c r="D9" s="15">
        <f>D7-D8</f>
        <v/>
      </c>
    </row>
    <row r="10"/>
    <row r="11">
      <c r="B11" s="3" t="inlineStr">
        <is>
          <t>Settlement</t>
        </is>
      </c>
      <c r="C11" s="16">
        <f>IF(ROUND(C9,2)&gt;0,PersonB&amp;" owes "&amp;PersonA&amp;" "&amp;TEXT(ROUND(C9,2),"$#,##0.00"),IF(ROUND(C9,2)&lt;0,PersonA&amp;" owes "&amp;PersonB&amp;" "&amp;TEXT(-ROUND(C9,2),"$#,##0.00"),"Even for this month"))</f>
        <v/>
      </c>
    </row>
    <row r="12"/>
    <row r="13" ht="20" customHeight="1">
      <c r="B13" s="6" t="inlineStr">
        <is>
          <t xml:space="preserve">  Everything, including joint accounts</t>
        </is>
      </c>
    </row>
    <row r="14">
      <c r="B14" s="7" t="inlineStr">
        <is>
          <t>Household spending</t>
        </is>
      </c>
      <c r="C14" s="13">
        <f>-SUMIFS(tblTxn[Amount],tblTxn[Month],ReportMonth,tblTxn[Type],"Expense")</f>
        <v/>
      </c>
    </row>
    <row r="15">
      <c r="B15" s="7" t="inlineStr">
        <is>
          <t>Your share of it</t>
        </is>
      </c>
      <c r="C15" s="13">
        <f>-SUMIFS(tblTxn[Share A],tblTxn[Month],ReportMonth,tblTxn[Type],"Expense")</f>
        <v/>
      </c>
      <c r="D15" s="13">
        <f>-SUMIFS(tblTxn[Share B],tblTxn[Month],ReportMonth,tblTxn[Type],"Expense")</f>
        <v/>
      </c>
    </row>
    <row r="16">
      <c r="B16" s="7" t="inlineStr">
        <is>
          <t>Income received</t>
        </is>
      </c>
      <c r="C16" s="13">
        <f>SUMIFS(tblTxn[Amount],tblTxn[Month],ReportMonth,tblTxn[Type],"Income",tblTxn[Owner],PersonA)</f>
        <v/>
      </c>
      <c r="D16" s="13">
        <f>SUMIFS(tblTxn[Amount],tblTxn[Month],ReportMonth,tblTxn[Type],"Income",tblTxn[Owner],PersonB)</f>
        <v/>
      </c>
      <c r="E16" s="15">
        <f>C16+D16</f>
        <v/>
      </c>
    </row>
    <row r="17">
      <c r="B17" s="7" t="inlineStr">
        <is>
          <t>Share of household income</t>
        </is>
      </c>
      <c r="C17" s="14">
        <f>IFERROR(C16/$E$16,"")</f>
        <v/>
      </c>
      <c r="D17" s="14">
        <f>IFERROR(D16/$E$16,"")</f>
        <v/>
      </c>
    </row>
    <row r="18">
      <c r="B18" s="7" t="inlineStr">
        <is>
          <t>Split currently used for joint costs</t>
        </is>
      </c>
      <c r="C18" s="14">
        <f>DefaultSplitA</f>
        <v/>
      </c>
      <c r="D18" s="14">
        <f>1-DefaultSplitA</f>
        <v/>
      </c>
    </row>
    <row r="19">
      <c r="B19" s="7" t="inlineStr">
        <is>
          <t>Income-proportional split would be</t>
        </is>
      </c>
      <c r="C19" s="14">
        <f>IFERROR(C16/$E$16,"")</f>
        <v/>
      </c>
      <c r="D19" s="14">
        <f>IFERROR(D16/$E$16,"")</f>
        <v/>
      </c>
    </row>
    <row r="20"/>
    <row r="21" ht="20" customHeight="1">
      <c r="B21" s="6" t="inlineStr">
        <is>
          <t xml:space="preserve">  Year to date</t>
        </is>
      </c>
    </row>
    <row r="22">
      <c r="B22" s="7" t="inlineStr">
        <is>
          <t>Household spending</t>
        </is>
      </c>
      <c r="C22" s="13">
        <f>-SUMIFS(tblTxn[Amount],tblTxn[Month],LEFT(ReportMonth,4)&amp;"-*",tblTxn[Type],"Expense")</f>
        <v/>
      </c>
    </row>
    <row r="23">
      <c r="B23" s="7" t="inlineStr">
        <is>
          <t>Your share of it</t>
        </is>
      </c>
      <c r="C23" s="13">
        <f>-SUMIFS(tblTxn[Share A],tblTxn[Month],LEFT(ReportMonth,4)&amp;"-*",tblTxn[Type],"Expense")</f>
        <v/>
      </c>
      <c r="D23" s="13">
        <f>-SUMIFS(tblTxn[Share B],tblTxn[Month],LEFT(ReportMonth,4)&amp;"-*",tblTxn[Type],"Expense")</f>
        <v/>
      </c>
    </row>
    <row r="24">
      <c r="B24" s="3" t="inlineStr">
        <is>
          <t>Balance so far</t>
        </is>
      </c>
      <c r="C24" s="15">
        <f>-SUMIFS(tblTxn[Amount],tblTxn[Month],LEFT(ReportMonth,4)&amp;"-*",tblTxn[Type],"Expense",tblTxn[Paid By],PersonA)+SUMIFS(tblTxn[Share A],tblTxn[Month],LEFT(ReportMonth,4)&amp;"-*",tblTxn[Type],"Expense",tblTxn[Paid By],PersonA)+SUMIFS(tblTxn[Share A],tblTxn[Month],LEFT(ReportMonth,4)&amp;"-*",tblTxn[Type],"Expense",tblTxn[Paid By],PersonB)</f>
        <v/>
      </c>
    </row>
  </sheetData>
  <mergeCells count="5">
    <mergeCell ref="C11:E11"/>
    <mergeCell ref="B13:E13"/>
    <mergeCell ref="B21:E21"/>
    <mergeCell ref="G6:G24"/>
    <mergeCell ref="B5:E5"/>
  </mergeCells>
  <printOptions horizontalCentered="1"/>
  <pageMargins left="0.75" right="0.75" top="1" bottom="1" header="0.5" footer="0.5"/>
  <pageSetup orientation="landscape" fitToHeight="0" fitToWidth="1"/>
</worksheet>
</file>

<file path=xl/worksheets/sheet9.xml><?xml version="1.0" encoding="utf-8"?>
<worksheet xmlns="http://schemas.openxmlformats.org/spreadsheetml/2006/main">
  <sheetPr codeName="shTax">
    <tabColor rgb="007F5A18"/>
    <outlinePr summaryBelow="1" summaryRight="1"/>
    <pageSetUpPr fitToPage="1"/>
  </sheetPr>
  <dimension ref="B1:F2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6" customWidth="1" min="3" max="3"/>
    <col width="16" customWidth="1" min="4" max="4"/>
    <col width="16" customWidth="1" min="5" max="5"/>
    <col width="58" customWidth="1" min="6" max="6"/>
  </cols>
  <sheetData>
    <row r="1">
      <c r="B1" s="1" t="inlineStr">
        <is>
          <t>Tax summary</t>
        </is>
      </c>
    </row>
    <row r="2">
      <c r="B2" s="2" t="inlineStr">
        <is>
          <t>Totals for anything tagged on the Categories sheet. This is a record of what you spent, not tax advice - keep your receipts and check the rules that apply to you.</t>
        </is>
      </c>
    </row>
    <row r="3">
      <c r="B3" s="3" t="inlineStr">
        <is>
          <t>Tax year</t>
        </is>
      </c>
      <c r="C3" s="27">
        <f>VALUE(LEFT(ReportMonth,4))</f>
        <v/>
      </c>
    </row>
    <row r="5">
      <c r="B5" s="17" t="inlineStr">
        <is>
          <t>Tax tag</t>
        </is>
      </c>
      <c r="C5" s="17" t="inlineStr">
        <is>
          <t>Total</t>
        </is>
      </c>
      <c r="D5" s="17">
        <f>PersonA</f>
        <v/>
      </c>
      <c r="E5" s="17">
        <f>PersonB</f>
        <v/>
      </c>
      <c r="F5" s="17" t="inlineStr">
        <is>
          <t>Where it usually goes</t>
        </is>
      </c>
    </row>
    <row r="6">
      <c r="B6" s="7" t="inlineStr">
        <is>
          <t>Medical</t>
        </is>
      </c>
      <c r="C6" s="13">
        <f>ABS(SUMIFS(tblTxn[Amount],tblTxn[Tax Tag],$B6,tblTxn[Month],TaxYear&amp;"-*"))</f>
        <v/>
      </c>
      <c r="D6" s="13">
        <f>ABS(SUMIFS(tblTxn[Share A],tblTxn[Tax Tag],$B6,tblTxn[Month],TaxYear&amp;"-*"))</f>
        <v/>
      </c>
      <c r="E6" s="13">
        <f>ABS(SUMIFS(tblTxn[Share B],tblTxn[Tax Tag],$B6,tblTxn[Month],TaxYear&amp;"-*"))</f>
        <v/>
      </c>
      <c r="F6" s="9" t="inlineStr">
        <is>
          <t>Line 33099 - medical expenses for self, spouse and minor children</t>
        </is>
      </c>
    </row>
    <row r="7">
      <c r="B7" s="7" t="inlineStr">
        <is>
          <t>Donations</t>
        </is>
      </c>
      <c r="C7" s="13">
        <f>ABS(SUMIFS(tblTxn[Amount],tblTxn[Tax Tag],$B7,tblTxn[Month],TaxYear&amp;"-*"))</f>
        <v/>
      </c>
      <c r="D7" s="13">
        <f>ABS(SUMIFS(tblTxn[Share A],tblTxn[Tax Tag],$B7,tblTxn[Month],TaxYear&amp;"-*"))</f>
        <v/>
      </c>
      <c r="E7" s="13">
        <f>ABS(SUMIFS(tblTxn[Share B],tblTxn[Tax Tag],$B7,tblTxn[Month],TaxYear&amp;"-*"))</f>
        <v/>
      </c>
      <c r="F7" s="9" t="inlineStr">
        <is>
          <t>Line 34900 - charitable donations (official receipts only)</t>
        </is>
      </c>
    </row>
    <row r="8">
      <c r="B8" s="7" t="inlineStr">
        <is>
          <t>Childcare</t>
        </is>
      </c>
      <c r="C8" s="13">
        <f>ABS(SUMIFS(tblTxn[Amount],tblTxn[Tax Tag],$B8,tblTxn[Month],TaxYear&amp;"-*"))</f>
        <v/>
      </c>
      <c r="D8" s="13">
        <f>ABS(SUMIFS(tblTxn[Share A],tblTxn[Tax Tag],$B8,tblTxn[Month],TaxYear&amp;"-*"))</f>
        <v/>
      </c>
      <c r="E8" s="13">
        <f>ABS(SUMIFS(tblTxn[Share B],tblTxn[Tax Tag],$B8,tblTxn[Month],TaxYear&amp;"-*"))</f>
        <v/>
      </c>
      <c r="F8" s="9" t="inlineStr">
        <is>
          <t>Line 21400 - child care expenses</t>
        </is>
      </c>
    </row>
    <row r="9">
      <c r="B9" s="7" t="inlineStr">
        <is>
          <t>Tuition</t>
        </is>
      </c>
      <c r="C9" s="13">
        <f>ABS(SUMIFS(tblTxn[Amount],tblTxn[Tax Tag],$B9,tblTxn[Month],TaxYear&amp;"-*"))</f>
        <v/>
      </c>
      <c r="D9" s="13">
        <f>ABS(SUMIFS(tblTxn[Share A],tblTxn[Tax Tag],$B9,tblTxn[Month],TaxYear&amp;"-*"))</f>
        <v/>
      </c>
      <c r="E9" s="13">
        <f>ABS(SUMIFS(tblTxn[Share B],tblTxn[Tax Tag],$B9,tblTxn[Month],TaxYear&amp;"-*"))</f>
        <v/>
      </c>
      <c r="F9" s="9" t="inlineStr">
        <is>
          <t>Schedule 11 - tuition, education and textbook amounts (T2202)</t>
        </is>
      </c>
    </row>
    <row r="10">
      <c r="B10" s="7" t="inlineStr">
        <is>
          <t>Union or professional dues</t>
        </is>
      </c>
      <c r="C10" s="13">
        <f>ABS(SUMIFS(tblTxn[Amount],tblTxn[Tax Tag],$B10,tblTxn[Month],TaxYear&amp;"-*"))</f>
        <v/>
      </c>
      <c r="D10" s="13">
        <f>ABS(SUMIFS(tblTxn[Share A],tblTxn[Tax Tag],$B10,tblTxn[Month],TaxYear&amp;"-*"))</f>
        <v/>
      </c>
      <c r="E10" s="13">
        <f>ABS(SUMIFS(tblTxn[Share B],tblTxn[Tax Tag],$B10,tblTxn[Month],TaxYear&amp;"-*"))</f>
        <v/>
      </c>
      <c r="F10" s="9" t="inlineStr">
        <is>
          <t>Line 21200 - annual dues</t>
        </is>
      </c>
    </row>
    <row r="11">
      <c r="B11" s="7" t="inlineStr">
        <is>
          <t>Student loan interest</t>
        </is>
      </c>
      <c r="C11" s="13">
        <f>ABS(SUMIFS(tblTxn[Amount],tblTxn[Tax Tag],$B11,tblTxn[Month],TaxYear&amp;"-*"))</f>
        <v/>
      </c>
      <c r="D11" s="13">
        <f>ABS(SUMIFS(tblTxn[Share A],tblTxn[Tax Tag],$B11,tblTxn[Month],TaxYear&amp;"-*"))</f>
        <v/>
      </c>
      <c r="E11" s="13">
        <f>ABS(SUMIFS(tblTxn[Share B],tblTxn[Tax Tag],$B11,tblTxn[Month],TaxYear&amp;"-*"))</f>
        <v/>
      </c>
      <c r="F11" s="9" t="inlineStr">
        <is>
          <t>Line 31900 - interest on government student loans only</t>
        </is>
      </c>
    </row>
    <row r="12">
      <c r="B12" s="7" t="inlineStr">
        <is>
          <t>Support payments</t>
        </is>
      </c>
      <c r="C12" s="13">
        <f>ABS(SUMIFS(tblTxn[Amount],tblTxn[Tax Tag],$B12,tblTxn[Month],TaxYear&amp;"-*"))</f>
        <v/>
      </c>
      <c r="D12" s="13">
        <f>ABS(SUMIFS(tblTxn[Share A],tblTxn[Tax Tag],$B12,tblTxn[Month],TaxYear&amp;"-*"))</f>
        <v/>
      </c>
      <c r="E12" s="13">
        <f>ABS(SUMIFS(tblTxn[Share B],tblTxn[Tax Tag],$B12,tblTxn[Month],TaxYear&amp;"-*"))</f>
        <v/>
      </c>
      <c r="F12" s="9" t="inlineStr">
        <is>
          <t>Line 22000 - deductible support payments</t>
        </is>
      </c>
    </row>
    <row r="13">
      <c r="B13" s="7" t="inlineStr">
        <is>
          <t>RRSP</t>
        </is>
      </c>
      <c r="C13" s="13">
        <f>ABS(SUMIFS(tblTxn[Amount],tblTxn[Tax Tag],$B13,tblTxn[Month],TaxYear&amp;"-*"))</f>
        <v/>
      </c>
      <c r="D13" s="13">
        <f>ABS(SUMIFS(tblTxn[Share A],tblTxn[Tax Tag],$B13,tblTxn[Month],TaxYear&amp;"-*"))</f>
        <v/>
      </c>
      <c r="E13" s="13">
        <f>ABS(SUMIFS(tblTxn[Share B],tblTxn[Tax Tag],$B13,tblTxn[Month],TaxYear&amp;"-*"))</f>
        <v/>
      </c>
      <c r="F13" s="9" t="inlineStr">
        <is>
          <t>Schedule 7 - RRSP contributions</t>
        </is>
      </c>
    </row>
    <row r="14">
      <c r="B14" s="7" t="inlineStr">
        <is>
          <t>FHSA</t>
        </is>
      </c>
      <c r="C14" s="13">
        <f>ABS(SUMIFS(tblTxn[Amount],tblTxn[Tax Tag],$B14,tblTxn[Month],TaxYear&amp;"-*"))</f>
        <v/>
      </c>
      <c r="D14" s="13">
        <f>ABS(SUMIFS(tblTxn[Share A],tblTxn[Tax Tag],$B14,tblTxn[Month],TaxYear&amp;"-*"))</f>
        <v/>
      </c>
      <c r="E14" s="13">
        <f>ABS(SUMIFS(tblTxn[Share B],tblTxn[Tax Tag],$B14,tblTxn[Month],TaxYear&amp;"-*"))</f>
        <v/>
      </c>
      <c r="F14" s="9" t="inlineStr">
        <is>
          <t>Schedule 15 - FHSA contributions</t>
        </is>
      </c>
    </row>
    <row r="15">
      <c r="B15" s="7" t="inlineStr">
        <is>
          <t>Business income</t>
        </is>
      </c>
      <c r="C15" s="13">
        <f>ABS(SUMIFS(tblTxn[Amount],tblTxn[Tax Tag],$B15,tblTxn[Month],TaxYear&amp;"-*"))</f>
        <v/>
      </c>
      <c r="D15" s="13">
        <f>ABS(SUMIFS(tblTxn[Share A],tblTxn[Tax Tag],$B15,tblTxn[Month],TaxYear&amp;"-*"))</f>
        <v/>
      </c>
      <c r="E15" s="13">
        <f>ABS(SUMIFS(tblTxn[Share B],tblTxn[Tax Tag],$B15,tblTxn[Month],TaxYear&amp;"-*"))</f>
        <v/>
      </c>
      <c r="F15" s="9" t="inlineStr">
        <is>
          <t>T2125 - self-employment income</t>
        </is>
      </c>
    </row>
    <row r="16">
      <c r="B16" s="7" t="inlineStr">
        <is>
          <t>Business expense</t>
        </is>
      </c>
      <c r="C16" s="13">
        <f>ABS(SUMIFS(tblTxn[Amount],tblTxn[Tax Tag],$B16,tblTxn[Month],TaxYear&amp;"-*"))</f>
        <v/>
      </c>
      <c r="D16" s="13">
        <f>ABS(SUMIFS(tblTxn[Share A],tblTxn[Tax Tag],$B16,tblTxn[Month],TaxYear&amp;"-*"))</f>
        <v/>
      </c>
      <c r="E16" s="13">
        <f>ABS(SUMIFS(tblTxn[Share B],tblTxn[Tax Tag],$B16,tblTxn[Month],TaxYear&amp;"-*"))</f>
        <v/>
      </c>
      <c r="F16" s="9" t="inlineStr">
        <is>
          <t>T2125 - self-employment expenses</t>
        </is>
      </c>
    </row>
    <row r="17">
      <c r="B17" s="7" t="inlineStr">
        <is>
          <t>Investment income</t>
        </is>
      </c>
      <c r="C17" s="13">
        <f>ABS(SUMIFS(tblTxn[Amount],tblTxn[Tax Tag],$B17,tblTxn[Month],TaxYear&amp;"-*"))</f>
        <v/>
      </c>
      <c r="D17" s="13">
        <f>ABS(SUMIFS(tblTxn[Share A],tblTxn[Tax Tag],$B17,tblTxn[Month],TaxYear&amp;"-*"))</f>
        <v/>
      </c>
      <c r="E17" s="13">
        <f>ABS(SUMIFS(tblTxn[Share B],tblTxn[Tax Tag],$B17,tblTxn[Month],TaxYear&amp;"-*"))</f>
        <v/>
      </c>
      <c r="F17" s="9" t="inlineStr">
        <is>
          <t>Lines 12000/12100 - dividends and interest</t>
        </is>
      </c>
    </row>
    <row r="18">
      <c r="B18" s="7" t="inlineStr">
        <is>
          <t>Investment expenses</t>
        </is>
      </c>
      <c r="C18" s="13">
        <f>ABS(SUMIFS(tblTxn[Amount],tblTxn[Tax Tag],$B18,tblTxn[Month],TaxYear&amp;"-*"))</f>
        <v/>
      </c>
      <c r="D18" s="13">
        <f>ABS(SUMIFS(tblTxn[Share A],tblTxn[Tax Tag],$B18,tblTxn[Month],TaxYear&amp;"-*"))</f>
        <v/>
      </c>
      <c r="E18" s="13">
        <f>ABS(SUMIFS(tblTxn[Share B],tblTxn[Tax Tag],$B18,tblTxn[Month],TaxYear&amp;"-*"))</f>
        <v/>
      </c>
      <c r="F18" s="9" t="inlineStr">
        <is>
          <t>Line 22100 - carrying charges and interest expense</t>
        </is>
      </c>
    </row>
    <row r="19">
      <c r="B19" s="7" t="inlineStr">
        <is>
          <t>Rental income</t>
        </is>
      </c>
      <c r="C19" s="13">
        <f>ABS(SUMIFS(tblTxn[Amount],tblTxn[Tax Tag],$B19,tblTxn[Month],TaxYear&amp;"-*"))</f>
        <v/>
      </c>
      <c r="D19" s="13">
        <f>ABS(SUMIFS(tblTxn[Share A],tblTxn[Tax Tag],$B19,tblTxn[Month],TaxYear&amp;"-*"))</f>
        <v/>
      </c>
      <c r="E19" s="13">
        <f>ABS(SUMIFS(tblTxn[Share B],tblTxn[Tax Tag],$B19,tblTxn[Month],TaxYear&amp;"-*"))</f>
        <v/>
      </c>
      <c r="F19" s="9" t="inlineStr">
        <is>
          <t>T776 - rental income and expenses</t>
        </is>
      </c>
    </row>
    <row r="20">
      <c r="B20" s="7" t="inlineStr">
        <is>
          <t>Taxes paid</t>
        </is>
      </c>
      <c r="C20" s="13">
        <f>ABS(SUMIFS(tblTxn[Amount],tblTxn[Tax Tag],$B20,tblTxn[Month],TaxYear&amp;"-*"))</f>
        <v/>
      </c>
      <c r="D20" s="13">
        <f>ABS(SUMIFS(tblTxn[Share A],tblTxn[Tax Tag],$B20,tblTxn[Month],TaxYear&amp;"-*"))</f>
        <v/>
      </c>
      <c r="E20" s="13">
        <f>ABS(SUMIFS(tblTxn[Share B],tblTxn[Tax Tag],$B20,tblTxn[Month],TaxYear&amp;"-*"))</f>
        <v/>
      </c>
      <c r="F20" s="9" t="inlineStr">
        <is>
          <t>Instalments and balance-due payments to the CRA</t>
        </is>
      </c>
    </row>
    <row r="22">
      <c r="B22" s="9" t="inlineStr">
        <is>
          <t>Medical expenses can be claimed for any 12-month period ending in the tax year, and are usually best claimed by the lower-income spouse. Donations can be pooled on one return. Both rules are worth checking before you file.</t>
        </is>
      </c>
    </row>
    <row r="23"/>
    <row r="24"/>
  </sheetData>
  <mergeCells count="1">
    <mergeCell ref="B22:F24"/>
  </mergeCells>
  <printOptions horizontalCentered="1"/>
  <pageMargins left="0.75" right="0.75" top="1" bottom="1" header="0.5" footer="0.5"/>
  <pageSetup orientation="landscape" fitToHeight="0" fitToWidth="1"/>
</worksheet>
</file>

<file path=xl/worksheets/sheet10.xml><?xml version="1.0" encoding="utf-8"?>
<worksheet xmlns="http://schemas.openxmlformats.org/spreadsheetml/2006/main">
  <sheetPr codeName="shRegistered">
    <tabColor rgb="007F5A18"/>
    <outlinePr summaryBelow="1" summaryRight="1"/>
    <pageSetUpPr fitToPage="1"/>
  </sheetPr>
  <dimension ref="B1:M33"/>
  <sheetViews>
    <sheetView showGridLines="0" workbookViewId="0">
      <selection activeCell="A1" sqref="A1"/>
    </sheetView>
  </sheetViews>
  <sheetFormatPr baseColWidth="8" defaultRowHeight="15"/>
  <cols>
    <col width="2" customWidth="1" min="1" max="1"/>
    <col width="28" customWidth="1" min="2" max="2"/>
    <col width="16" customWidth="1" min="3" max="3"/>
    <col width="16" customWidth="1" min="4" max="4"/>
    <col width="15" customWidth="1" min="5" max="5"/>
    <col width="4" customWidth="1" min="6" max="6"/>
    <col width="16" customWidth="1" min="7" max="7"/>
    <col width="16" customWidth="1" min="8" max="8"/>
    <col width="15" customWidth="1" min="9" max="9"/>
    <col width="4" customWidth="1" min="10" max="10"/>
    <col width="24" customWidth="1" min="11" max="11"/>
    <col width="14" customWidth="1" min="12" max="12"/>
    <col width="14" customWidth="1" min="13" max="13"/>
  </cols>
  <sheetData>
    <row r="1">
      <c r="B1" s="1" t="inlineStr">
        <is>
          <t>Registered plans</t>
        </is>
      </c>
    </row>
    <row r="2">
      <c r="B2" s="2" t="inlineStr">
        <is>
          <t>Contributions counted from the categories RRSP/TFSA/FHSA/RESP Contribution, for the tax year of the report month. Enter your own room from your CRA notice of assessment - only the CRA knows your real numbers.</t>
        </is>
      </c>
    </row>
    <row r="4">
      <c r="C4" s="28">
        <f>PersonA</f>
        <v/>
      </c>
      <c r="G4" s="28">
        <f>PersonB</f>
        <v/>
      </c>
    </row>
    <row r="5">
      <c r="B5" s="17" t="inlineStr">
        <is>
          <t>Plan</t>
        </is>
      </c>
      <c r="C5" s="17" t="inlineStr">
        <is>
          <t>Contributed</t>
        </is>
      </c>
      <c r="D5" s="17" t="inlineStr">
        <is>
          <t>Your room</t>
        </is>
      </c>
      <c r="E5" s="17" t="inlineStr">
        <is>
          <t>Left</t>
        </is>
      </c>
      <c r="G5" s="17" t="inlineStr">
        <is>
          <t>Contributed</t>
        </is>
      </c>
      <c r="H5" s="17" t="inlineStr">
        <is>
          <t>Your room</t>
        </is>
      </c>
      <c r="I5" s="17" t="inlineStr">
        <is>
          <t>Left</t>
        </is>
      </c>
      <c r="K5" s="3" t="inlineStr">
        <is>
          <t>Other reference numbers</t>
        </is>
      </c>
    </row>
    <row r="6">
      <c r="B6" s="3" t="inlineStr">
        <is>
          <t>RRSP</t>
        </is>
      </c>
      <c r="C6" s="13">
        <f>ABS(SUMIFS(tblTxn[Amount],tblTxn[Category],"RRSP Contribution",tblTxn[Owner],PersonA,tblTxn[Month],TaxYear&amp;"-*"))</f>
        <v/>
      </c>
      <c r="D6" s="13" t="n">
        <v>33810</v>
      </c>
      <c r="E6" s="15">
        <f>D6-C6</f>
        <v/>
      </c>
      <c r="G6" s="13">
        <f>ABS(SUMIFS(tblTxn[Amount],tblTxn[Category],"RRSP Contribution",tblTxn[Owner],PersonB,tblTxn[Month],TaxYear&amp;"-*"))</f>
        <v/>
      </c>
      <c r="H6" s="13" t="n">
        <v>33810</v>
      </c>
      <c r="I6" s="15">
        <f>H6-G6</f>
        <v/>
      </c>
      <c r="K6" s="7" t="inlineStr">
        <is>
          <t>FHSA annual limit</t>
        </is>
      </c>
      <c r="L6" s="29" t="n">
        <v>8000</v>
      </c>
    </row>
    <row r="7">
      <c r="B7" s="3" t="inlineStr">
        <is>
          <t>TFSA</t>
        </is>
      </c>
      <c r="C7" s="13">
        <f>ABS(SUMIFS(tblTxn[Amount],tblTxn[Category],"TFSA Contribution",tblTxn[Owner],PersonA,tblTxn[Month],TaxYear&amp;"-*"))</f>
        <v/>
      </c>
      <c r="D7" s="13" t="n">
        <v>7000</v>
      </c>
      <c r="E7" s="15">
        <f>D7-C7</f>
        <v/>
      </c>
      <c r="G7" s="13">
        <f>ABS(SUMIFS(tblTxn[Amount],tblTxn[Category],"TFSA Contribution",tblTxn[Owner],PersonB,tblTxn[Month],TaxYear&amp;"-*"))</f>
        <v/>
      </c>
      <c r="H7" s="13" t="n">
        <v>7000</v>
      </c>
      <c r="I7" s="15">
        <f>H7-G7</f>
        <v/>
      </c>
      <c r="K7" s="7" t="inlineStr">
        <is>
          <t>FHSA lifetime limit</t>
        </is>
      </c>
      <c r="L7" s="29" t="n">
        <v>40000</v>
      </c>
    </row>
    <row r="8">
      <c r="B8" s="3" t="inlineStr">
        <is>
          <t>FHSA</t>
        </is>
      </c>
      <c r="C8" s="13">
        <f>ABS(SUMIFS(tblTxn[Amount],tblTxn[Category],"FHSA Contribution",tblTxn[Owner],PersonA,tblTxn[Month],TaxYear&amp;"-*"))</f>
        <v/>
      </c>
      <c r="D8" s="13" t="n">
        <v>8000</v>
      </c>
      <c r="E8" s="15">
        <f>D8-C8</f>
        <v/>
      </c>
      <c r="G8" s="13">
        <f>ABS(SUMIFS(tblTxn[Amount],tblTxn[Category],"FHSA Contribution",tblTxn[Owner],PersonB,tblTxn[Month],TaxYear&amp;"-*"))</f>
        <v/>
      </c>
      <c r="H8" s="13" t="n">
        <v>8000</v>
      </c>
      <c r="I8" s="15">
        <f>H8-G8</f>
        <v/>
      </c>
      <c r="K8" s="7" t="inlineStr">
        <is>
          <t>RESP for full CESG</t>
        </is>
      </c>
      <c r="L8" s="29" t="n">
        <v>2500</v>
      </c>
    </row>
    <row r="9">
      <c r="B9" s="3" t="inlineStr">
        <is>
          <t>RESP</t>
        </is>
      </c>
      <c r="C9" s="13">
        <f>ABS(SUMIFS(tblTxn[Amount],tblTxn[Category],"RESP Contribution",tblTxn[Owner],PersonA,tblTxn[Month],TaxYear&amp;"-*"))</f>
        <v/>
      </c>
      <c r="D9" s="13" t="n">
        <v>2500</v>
      </c>
      <c r="E9" s="15">
        <f>D9-C9</f>
        <v/>
      </c>
      <c r="G9" s="13">
        <f>ABS(SUMIFS(tblTxn[Amount],tblTxn[Category],"RESP Contribution",tblTxn[Owner],PersonB,tblTxn[Month],TaxYear&amp;"-*"))</f>
        <v/>
      </c>
      <c r="H9" s="13" t="n">
        <v>2500</v>
      </c>
      <c r="I9" s="15">
        <f>H9-G9</f>
        <v/>
      </c>
      <c r="K9" s="7" t="inlineStr">
        <is>
          <t>RESP lifetime limit</t>
        </is>
      </c>
      <c r="L9" s="29" t="n">
        <v>50000</v>
      </c>
    </row>
    <row r="10">
      <c r="B10" s="3" t="inlineStr">
        <is>
          <t>Not counted: owner is Joint</t>
        </is>
      </c>
      <c r="C10" s="15">
        <f>ABS(SUMIFS(tblTxn[Amount],tblTxn[Category],"RRSP Contribution",tblTxn[Owner],"Joint",tblTxn[Month],TaxYear&amp;"-*"))+ABS(SUMIFS(tblTxn[Amount],tblTxn[Category],"TFSA Contribution",tblTxn[Owner],"Joint",tblTxn[Month],TaxYear&amp;"-*"))+ABS(SUMIFS(tblTxn[Amount],tblTxn[Category],"FHSA Contribution",tblTxn[Owner],"Joint",tblTxn[Month],TaxYear&amp;"-*"))+ABS(SUMIFS(tblTxn[Amount],tblTxn[Category],"RESP Contribution",tblTxn[Owner],"Joint",tblTxn[Month],TaxYear&amp;"-*"))</f>
        <v/>
      </c>
    </row>
    <row r="11">
      <c r="B11" s="9" t="inlineStr">
        <is>
          <t>A registered plan always belongs to one person, so contributions left with the Joint owner are not counted above. Set the Owner column on the Transactions sheet to whoever's plan it is - pick the name from the drop-down in that column.</t>
        </is>
      </c>
      <c r="K11" s="3" t="inlineStr">
        <is>
          <t>CPP pensionable earnings</t>
        </is>
      </c>
    </row>
    <row r="12">
      <c r="K12" s="3" t="inlineStr">
        <is>
          <t>Year</t>
        </is>
      </c>
      <c r="L12" s="12" t="inlineStr">
        <is>
          <t>YMPE</t>
        </is>
      </c>
      <c r="M12" s="12" t="inlineStr">
        <is>
          <t>YAMPE</t>
        </is>
      </c>
    </row>
    <row r="13">
      <c r="K13" s="30" t="n">
        <v>2024</v>
      </c>
      <c r="L13" s="29" t="n">
        <v>68500</v>
      </c>
      <c r="M13" s="29" t="n">
        <v>73200</v>
      </c>
    </row>
    <row r="14" ht="20" customHeight="1">
      <c r="B14" s="6" t="inlineStr">
        <is>
          <t xml:space="preserve">  TFSA dollar limit by year</t>
        </is>
      </c>
      <c r="G14" s="6" t="inlineStr">
        <is>
          <t xml:space="preserve">  RRSP dollar limit by year</t>
        </is>
      </c>
      <c r="K14" s="30" t="n">
        <v>2025</v>
      </c>
      <c r="L14" s="29" t="n">
        <v>71300</v>
      </c>
      <c r="M14" s="29" t="n">
        <v>81200</v>
      </c>
    </row>
    <row r="15">
      <c r="B15" s="3" t="inlineStr">
        <is>
          <t>Year</t>
        </is>
      </c>
      <c r="C15" s="12" t="inlineStr">
        <is>
          <t>Limit</t>
        </is>
      </c>
      <c r="G15" s="3" t="inlineStr">
        <is>
          <t>Year</t>
        </is>
      </c>
      <c r="H15" s="12" t="inlineStr">
        <is>
          <t>Limit</t>
        </is>
      </c>
      <c r="K15" s="30" t="n">
        <v>2026</v>
      </c>
      <c r="L15" s="29" t="n">
        <v>74600</v>
      </c>
      <c r="M15" s="29" t="n">
        <v>85000</v>
      </c>
    </row>
    <row r="16">
      <c r="B16" s="30" t="n">
        <v>2009</v>
      </c>
      <c r="C16" s="29" t="n">
        <v>5000</v>
      </c>
      <c r="G16" s="30" t="n">
        <v>2020</v>
      </c>
      <c r="H16" s="29" t="n">
        <v>27230</v>
      </c>
    </row>
    <row r="17">
      <c r="B17" s="30" t="n">
        <v>2010</v>
      </c>
      <c r="C17" s="29" t="n">
        <v>5000</v>
      </c>
      <c r="G17" s="30" t="n">
        <v>2021</v>
      </c>
      <c r="H17" s="29" t="n">
        <v>27830</v>
      </c>
      <c r="K17" s="9" t="inlineStr">
        <is>
          <t>Figures published by the CRA and checked in September 2026. Confirm against canada.ca or your CRA account before you rely on them.</t>
        </is>
      </c>
    </row>
    <row r="18">
      <c r="B18" s="30" t="n">
        <v>2011</v>
      </c>
      <c r="C18" s="29" t="n">
        <v>5000</v>
      </c>
      <c r="G18" s="30" t="n">
        <v>2022</v>
      </c>
      <c r="H18" s="29" t="n">
        <v>29210</v>
      </c>
    </row>
    <row r="19">
      <c r="B19" s="30" t="n">
        <v>2012</v>
      </c>
      <c r="C19" s="29" t="n">
        <v>5000</v>
      </c>
      <c r="G19" s="30" t="n">
        <v>2023</v>
      </c>
      <c r="H19" s="29" t="n">
        <v>30780</v>
      </c>
    </row>
    <row r="20">
      <c r="B20" s="30" t="n">
        <v>2013</v>
      </c>
      <c r="C20" s="29" t="n">
        <v>5500</v>
      </c>
      <c r="G20" s="30" t="n">
        <v>2024</v>
      </c>
      <c r="H20" s="29" t="n">
        <v>31560</v>
      </c>
    </row>
    <row r="21">
      <c r="B21" s="30" t="n">
        <v>2014</v>
      </c>
      <c r="C21" s="29" t="n">
        <v>5500</v>
      </c>
      <c r="G21" s="30" t="n">
        <v>2025</v>
      </c>
      <c r="H21" s="29" t="n">
        <v>32490</v>
      </c>
    </row>
    <row r="22">
      <c r="B22" s="30" t="n">
        <v>2015</v>
      </c>
      <c r="C22" s="29" t="n">
        <v>10000</v>
      </c>
      <c r="G22" s="30" t="n">
        <v>2026</v>
      </c>
      <c r="H22" s="29" t="n">
        <v>33810</v>
      </c>
    </row>
    <row r="23">
      <c r="B23" s="30" t="n">
        <v>2016</v>
      </c>
      <c r="C23" s="29" t="n">
        <v>5500</v>
      </c>
      <c r="G23" s="30" t="n">
        <v>2027</v>
      </c>
      <c r="H23" s="29" t="n">
        <v>35390</v>
      </c>
    </row>
    <row r="24">
      <c r="B24" s="30" t="n">
        <v>2017</v>
      </c>
      <c r="C24" s="29" t="n">
        <v>5500</v>
      </c>
    </row>
    <row r="25">
      <c r="B25" s="30" t="n">
        <v>2018</v>
      </c>
      <c r="C25" s="29" t="n">
        <v>5500</v>
      </c>
      <c r="G25" s="9" t="inlineStr">
        <is>
          <t>Your RRSP room is the lesser of 18% of last year's earned income and the dollar limit, plus carry-forward, minus any pension adjustment.</t>
        </is>
      </c>
    </row>
    <row r="26">
      <c r="B26" s="30" t="n">
        <v>2019</v>
      </c>
      <c r="C26" s="29" t="n">
        <v>6000</v>
      </c>
    </row>
    <row r="27">
      <c r="B27" s="30" t="n">
        <v>2020</v>
      </c>
      <c r="C27" s="29" t="n">
        <v>6000</v>
      </c>
    </row>
    <row r="28">
      <c r="B28" s="30" t="n">
        <v>2021</v>
      </c>
      <c r="C28" s="29" t="n">
        <v>6000</v>
      </c>
    </row>
    <row r="29">
      <c r="B29" s="30" t="n">
        <v>2022</v>
      </c>
      <c r="C29" s="29" t="n">
        <v>6000</v>
      </c>
    </row>
    <row r="30">
      <c r="B30" s="30" t="n">
        <v>2023</v>
      </c>
      <c r="C30" s="29" t="n">
        <v>6500</v>
      </c>
    </row>
    <row r="31">
      <c r="B31" s="30" t="n">
        <v>2024</v>
      </c>
      <c r="C31" s="29" t="n">
        <v>7000</v>
      </c>
    </row>
    <row r="32">
      <c r="B32" s="30" t="n">
        <v>2025</v>
      </c>
      <c r="C32" s="29" t="n">
        <v>7000</v>
      </c>
    </row>
    <row r="33">
      <c r="B33" s="30" t="n">
        <v>2026</v>
      </c>
      <c r="C33" s="29" t="n">
        <v>7000</v>
      </c>
    </row>
  </sheetData>
  <mergeCells count="7">
    <mergeCell ref="G14:I14"/>
    <mergeCell ref="B11:I12"/>
    <mergeCell ref="C4:E4"/>
    <mergeCell ref="G4:I4"/>
    <mergeCell ref="K17:M20"/>
    <mergeCell ref="G25:I27"/>
    <mergeCell ref="B14:E14"/>
  </mergeCells>
  <printOptions horizontalCentered="1"/>
  <pageMargins left="0.75" right="0.75" top="1" bottom="1" header="0.5" footer="0.5"/>
  <pageSetup orientation="landscape" fitToHeight="0" fitToWidth="1"/>
</worksheet>
</file>

<file path=xl/worksheets/sheet11.xml><?xml version="1.0" encoding="utf-8"?>
<worksheet xmlns="http://schemas.openxmlformats.org/spreadsheetml/2006/main">
  <sheetPr codeName="shSettings">
    <outlinePr summaryBelow="1" summaryRight="1"/>
    <pageSetUpPr fitToPage="1"/>
  </sheetPr>
  <dimension ref="B1:E19"/>
  <sheetViews>
    <sheetView showGridLines="0" workbookViewId="0">
      <selection activeCell="A1" sqref="A1"/>
    </sheetView>
  </sheetViews>
  <sheetFormatPr baseColWidth="8" defaultRowHeight="15"/>
  <cols>
    <col width="2" customWidth="1" min="1" max="1"/>
    <col width="34" customWidth="1" min="2" max="2"/>
    <col width="18" customWidth="1" min="3" max="3"/>
    <col width="2" customWidth="1" min="4" max="4"/>
    <col width="62" customWidth="1" min="5" max="5"/>
  </cols>
  <sheetData>
    <row r="1">
      <c r="B1" s="1" t="inlineStr">
        <is>
          <t>Settings</t>
        </is>
      </c>
    </row>
    <row r="2">
      <c r="B2" s="2" t="inlineStr">
        <is>
          <t>Change these here; the rest of the workbook follows.</t>
        </is>
      </c>
    </row>
    <row r="4" ht="20" customHeight="1">
      <c r="B4" s="6" t="inlineStr">
        <is>
          <t xml:space="preserve">  Household</t>
        </is>
      </c>
    </row>
    <row r="5">
      <c r="B5" s="7" t="inlineStr">
        <is>
          <t>Household mode</t>
        </is>
      </c>
      <c r="C5" s="31" t="inlineStr">
        <is>
          <t>Couple</t>
        </is>
      </c>
      <c r="E5" s="9" t="inlineStr">
        <is>
          <t>Single for one person, Couple for two.</t>
        </is>
      </c>
    </row>
    <row r="6">
      <c r="B6" s="7" t="inlineStr">
        <is>
          <t>Person A</t>
        </is>
      </c>
      <c r="C6" s="31" t="inlineStr">
        <is>
          <t>Alex</t>
        </is>
      </c>
      <c r="E6" s="9" t="inlineStr">
        <is>
          <t>Shown everywhere as the first person.</t>
        </is>
      </c>
    </row>
    <row r="7">
      <c r="B7" s="7" t="inlineStr">
        <is>
          <t>Person B</t>
        </is>
      </c>
      <c r="C7" s="31" t="inlineStr">
        <is>
          <t>Sam</t>
        </is>
      </c>
      <c r="E7" s="9" t="inlineStr">
        <is>
          <t>Only used in Couple mode.</t>
        </is>
      </c>
    </row>
    <row r="8">
      <c r="B8" s="7" t="inlineStr">
        <is>
          <t>Person A share of joint costs</t>
        </is>
      </c>
      <c r="C8" s="32" t="n">
        <v>0.5</v>
      </c>
      <c r="E8" s="9" t="inlineStr">
        <is>
          <t>Used for transactions whose Owner is Joint. A category can override it.</t>
        </is>
      </c>
    </row>
    <row r="9">
      <c r="B9" s="7" t="inlineStr">
        <is>
          <t>Province or territory</t>
        </is>
      </c>
      <c r="C9" s="31" t="inlineStr">
        <is>
          <t>ON</t>
        </is>
      </c>
      <c r="E9" s="9" t="inlineStr">
        <is>
          <t>Kept for your reference. The workbook does not work out provincial credits.</t>
        </is>
      </c>
    </row>
    <row r="10">
      <c r="B10" s="7" t="inlineStr">
        <is>
          <t>Setup completed</t>
        </is>
      </c>
      <c r="C10" s="31" t="inlineStr">
        <is>
          <t>No</t>
        </is>
      </c>
      <c r="E10" s="9" t="inlineStr">
        <is>
          <t>Only used by the macro-enabled edition.</t>
        </is>
      </c>
    </row>
    <row r="11">
      <c r="B11" s="7" t="inlineStr">
        <is>
          <t>Transfer match window (days)</t>
        </is>
      </c>
      <c r="C11" s="31" t="n">
        <v>4</v>
      </c>
      <c r="E11" s="9" t="inlineStr">
        <is>
          <t>Only used by the macro-enabled edition's importer.</t>
        </is>
      </c>
    </row>
    <row r="12">
      <c r="B12" s="7" t="inlineStr">
        <is>
          <t>Skip duplicates on import</t>
        </is>
      </c>
      <c r="C12" s="31" t="inlineStr">
        <is>
          <t>Yes</t>
        </is>
      </c>
      <c r="E12" s="9" t="inlineStr">
        <is>
          <t>Only used by the macro-enabled edition's importer.</t>
        </is>
      </c>
    </row>
    <row r="13">
      <c r="B13" s="7" t="inlineStr">
        <is>
          <t>Currency</t>
        </is>
      </c>
      <c r="C13" s="31" t="inlineStr">
        <is>
          <t>CAD</t>
        </is>
      </c>
      <c r="E13" s="9" t="inlineStr">
        <is>
          <t>Everything is treated as Canadian dollars.</t>
        </is>
      </c>
    </row>
    <row r="14">
      <c r="B14" s="7" t="inlineStr">
        <is>
          <t>Version</t>
        </is>
      </c>
      <c r="C14" s="31" t="inlineStr">
        <is>
          <t>1.1.0</t>
        </is>
      </c>
      <c r="E14" s="9" t="inlineStr">
        <is>
          <t>Workbook version.</t>
        </is>
      </c>
    </row>
    <row r="16" ht="20" customHeight="1">
      <c r="B16" s="6" t="inlineStr">
        <is>
          <t xml:space="preserve">  Privacy</t>
        </is>
      </c>
    </row>
    <row r="17">
      <c r="B17" s="26" t="inlineStr">
        <is>
          <t>This workbook never connects to your bank and never sends anything anywhere. Keep the file somewhere safe - it contains your complete spending history.</t>
        </is>
      </c>
    </row>
    <row r="18"/>
    <row r="19"/>
  </sheetData>
  <mergeCells count="3">
    <mergeCell ref="B16:E16"/>
    <mergeCell ref="B17:E19"/>
    <mergeCell ref="B4:E4"/>
  </mergeCells>
  <dataValidations count="4">
    <dataValidation sqref="C5" showDropDown="0" showInputMessage="0" showErrorMessage="0" allowBlank="1" type="list">
      <formula1>"Single,Couple"</formula1>
    </dataValidation>
    <dataValidation sqref="C9" showDropDown="0" showInputMessage="0" showErrorMessage="0" allowBlank="1" type="list">
      <formula1>=ProvinceList</formula1>
    </dataValidation>
    <dataValidation sqref="C10" showDropDown="0" showInputMessage="0" showErrorMessage="0" allowBlank="1" type="list">
      <formula1>"Yes,No"</formula1>
    </dataValidation>
    <dataValidation sqref="C12" showDropDown="0" showInputMessage="0" showErrorMessage="0" allowBlank="1" type="list">
      <formula1>"Yes,No"</formula1>
    </dataValidation>
  </dataValidations>
  <printOptions horizontalCentered="1"/>
  <pageMargins left="0.75" right="0.75" top="1" bottom="1" header="0.5" footer="0.5"/>
  <pageSetup orientation="portrait" fitToHeight="0" fitToWidth="1"/>
</worksheet>
</file>

<file path=xl/worksheets/sheet12.xml><?xml version="1.0" encoding="utf-8"?>
<worksheet xmlns="http://schemas.openxmlformats.org/spreadsheetml/2006/main">
  <sheetPr codeName="shHelp">
    <outlinePr summaryBelow="1" summaryRight="1"/>
    <pageSetUpPr fitToPage="1"/>
  </sheetPr>
  <dimension ref="B1:C45"/>
  <sheetViews>
    <sheetView showGridLines="0" workbookViewId="0">
      <selection activeCell="A1" sqref="A1"/>
    </sheetView>
  </sheetViews>
  <sheetFormatPr baseColWidth="8" defaultRowHeight="15"/>
  <cols>
    <col width="2" customWidth="1" min="1" max="1"/>
    <col width="4" customWidth="1" min="2" max="2"/>
    <col width="110" customWidth="1" min="3" max="3"/>
  </cols>
  <sheetData>
    <row r="1">
      <c r="B1" s="1" t="inlineStr">
        <is>
          <t>How this workbook works</t>
        </is>
      </c>
    </row>
    <row r="2">
      <c r="B2" s="2" t="inlineStr">
        <is>
          <t>Canadian Finance Tracker - everything runs locally in this file.</t>
        </is>
      </c>
    </row>
    <row r="4" ht="20" customHeight="1">
      <c r="B4" s="6" t="inlineStr">
        <is>
          <t xml:space="preserve">  Getting started</t>
        </is>
      </c>
    </row>
    <row r="5" ht="45" customHeight="1">
      <c r="C5" s="26" t="inlineStr">
        <is>
          <t>This is the edition without macros: nothing to enable, and it opens in Excel, Excel for the web and LibreOffice Calc alike. Transactions are typed or pasted in rather than imported - importing CSV exports is what the macro-enabled edition (the .xlsm file) is for.</t>
        </is>
      </c>
    </row>
    <row r="6" ht="15" customHeight="1">
      <c r="C6" s="26" t="inlineStr">
        <is>
          <t>1. Fill in the Settings sheet: household mode, your names, how joint costs are split, and your province.</t>
        </is>
      </c>
    </row>
    <row r="7" ht="30" customHeight="1">
      <c r="C7" s="26" t="inlineStr">
        <is>
          <t>2. List your accounts on the Accounts sheet, one row per bank or card account, each with an Owner. That is how the workbook knows who paid.</t>
        </is>
      </c>
    </row>
    <row r="8" ht="30" customHeight="1">
      <c r="C8" s="26" t="inlineStr">
        <is>
          <t>3. On the Transactions sheet, type a Date, Account, Description and Amount into the first empty row. The rest of the row fills itself in: a number, the month, a category, an owner and the shares.</t>
        </is>
      </c>
    </row>
    <row r="9" ht="30" customHeight="1">
      <c r="C9" s="26" t="inlineStr">
        <is>
          <t>4. When you are ready for your own data, select the sample rows - everything above the first empty row - right-click, and choose Delete Table Rows. Accounts, categories, rules and settings stay.</t>
        </is>
      </c>
    </row>
    <row r="11" ht="20" customHeight="1">
      <c r="B11" s="6" t="inlineStr">
        <is>
          <t xml:space="preserve">  Entering transactions</t>
        </is>
      </c>
    </row>
    <row r="12" ht="30" customHeight="1">
      <c r="C12" s="26" t="inlineStr">
        <is>
          <t>Money out is negative and money in is positive: -54.20 for a purchase, 2465.18 for a pay cheque, whichever way your bank shows them.</t>
        </is>
      </c>
    </row>
    <row r="13" ht="15" customHeight="1">
      <c r="C13" s="26" t="inlineStr">
        <is>
          <t>Pick the Account from its drop-down. Paid By and Owner follow from it.</t>
        </is>
      </c>
    </row>
    <row r="14" ht="45" customHeight="1">
      <c r="C14" s="26" t="inlineStr">
        <is>
          <t>Two hundred ready rows wait below the sample data. When they run out, type in the row directly under the table and Excel extends the table over it, formulas included. In LibreOffice, copy the last row down first.</t>
        </is>
      </c>
    </row>
    <row r="15" ht="30" customHeight="1">
      <c r="C15" s="26" t="inlineStr">
        <is>
          <t>Sort or filter with the arrows in the header row. Rows do not have to be in date order for any report to be right.</t>
        </is>
      </c>
    </row>
    <row r="16" ht="30" customHeight="1">
      <c r="C16" s="26" t="inlineStr">
        <is>
          <t>Pasting from a bank's CSV works one column at a time: dates into Date, descriptions into Description, amounts into Amount.</t>
        </is>
      </c>
    </row>
    <row r="18" ht="20" customHeight="1">
      <c r="B18" s="6" t="inlineStr">
        <is>
          <t xml:space="preserve">  Categories and rules</t>
        </is>
      </c>
    </row>
    <row r="19" ht="45" customHeight="1">
      <c r="C19" s="26" t="inlineStr">
        <is>
          <t>Category is a formula. It runs the Rules sheet against the description and takes the first match in Priority order, lowest number first. Anything the rules cannot place shows Uncategorized and the row is highlighted.</t>
        </is>
      </c>
    </row>
    <row r="20" ht="45" customHeight="1">
      <c r="C20" s="26" t="inlineStr">
        <is>
          <t>To correct a category, pick another from the drop-down. That replaces the formula on that row, Tagged By reads Manual, and the row is never touched again. To hand it back to the rules, copy the Category cell from any other row.</t>
        </is>
      </c>
    </row>
    <row r="21" ht="30" customHeight="1">
      <c r="C21" s="26" t="inlineStr">
        <is>
          <t>To teach a rule, add a row to the Rules sheet: the text to look for, Money in or Money out, and the category. Every row whose description contains that text picks it up at once.</t>
        </is>
      </c>
    </row>
    <row r="22" ht="60" customHeight="1">
      <c r="C22" s="26" t="inlineStr">
        <is>
          <t>The rules here apply Contains and Word (the pattern on its own, not inside another word) and the Flow. Starts With, Ends With, Equals and Like are treated as Contains, amount limits and Set Owner are not applied, and Merchant rules are matched against the description, since there is no cleaned-up merchant name without the macros.</t>
        </is>
      </c>
    </row>
    <row r="23" ht="45" customHeight="1">
      <c r="C23" s="26" t="inlineStr">
        <is>
          <t>Transfers between your own accounts are not paired up automatically. The rules know the usual wording (TRANSFER TO, PAYMENT - THANK YOU); for anything else, set both sides to Internal Transfer or Credit Card Payment so they stay out of income and expenses.</t>
        </is>
      </c>
    </row>
    <row r="25" ht="20" customHeight="1">
      <c r="B25" s="6" t="inlineStr">
        <is>
          <t xml:space="preserve">  Couples</t>
        </is>
      </c>
    </row>
    <row r="26" ht="45" customHeight="1">
      <c r="C26" s="26" t="inlineStr">
        <is>
          <t>Set Household mode to Couple on the Settings sheet and give both names. In Single mode the per-person columns and the Household sheet stay where they are - nothing is hidden in this edition - and every row's Owner is simply whoever's account paid.</t>
        </is>
      </c>
    </row>
    <row r="27" ht="60" customHeight="1">
      <c r="C27" s="26" t="inlineStr">
        <is>
          <t>In Couple mode every transaction has an Owner: one of you, or Joint. The Owner is filled in from the category's Default Owner (the household's groceries, whoever's card paid) or, failing that, from the account; pick another from the drop-down to override it. Joint transactions are divided using the household split, which a category can override in "Joint Split A" on the Categories sheet.</t>
        </is>
      </c>
    </row>
    <row r="28" ht="30" customHeight="1">
      <c r="C28" s="26" t="inlineStr">
        <is>
          <t>"Paid By" is worked out from the account the money left, so it is possible to pay for something that is not (all) yours.</t>
        </is>
      </c>
    </row>
    <row r="29" ht="30" customHeight="1">
      <c r="C29" s="26" t="inlineStr">
        <is>
          <t>The Household sheet compares what each of you paid from your own accounts with your fair share, and says who owes whom.</t>
        </is>
      </c>
    </row>
    <row r="30" ht="30" customHeight="1">
      <c r="C30" s="26" t="inlineStr">
        <is>
          <t>The View selector on the Dashboard switches every number between the whole household and one person's share.</t>
        </is>
      </c>
    </row>
    <row r="32" ht="20" customHeight="1">
      <c r="B32" s="6" t="inlineStr">
        <is>
          <t xml:space="preserve">  Canadian bits</t>
        </is>
      </c>
    </row>
    <row r="33" ht="30" customHeight="1">
      <c r="C33" s="26" t="inlineStr">
        <is>
          <t>Categories cover the things a Canadian household actually pays: hydro, Presto/Compass/OPUS, LCBO/SAQ, property tax, daycare, RRSP/TFSA/FHSA/RESP, OSAP, and CRA payments and refunds.</t>
        </is>
      </c>
    </row>
    <row r="34" ht="30" customHeight="1">
      <c r="C34" s="26" t="inlineStr">
        <is>
          <t>Deposits like the Canada Child Benefit, the GST/HST credit and the Canada Carbon Rebate are recognised as income, not as a random transfer.</t>
        </is>
      </c>
    </row>
    <row r="35" ht="30" customHeight="1">
      <c r="C35" s="26" t="inlineStr">
        <is>
          <t>The Tax summary sheet totals everything tagged as medical, donations, child care, tuition, professional dues and so on, for the tax year of the report month, split per person.</t>
        </is>
      </c>
    </row>
    <row r="36" ht="30" customHeight="1">
      <c r="C36" s="26" t="inlineStr">
        <is>
          <t>The Registered plans sheet tracks RRSP/TFSA/FHSA/RESP contributions per person against the room you enter, and lists the published annual limits.</t>
        </is>
      </c>
    </row>
    <row r="37" ht="30" customHeight="1">
      <c r="C37" s="26" t="inlineStr">
        <is>
          <t>None of this is tax advice: confirm your own contribution room and what you can claim with the CRA or your accountant.</t>
        </is>
      </c>
    </row>
    <row r="39" ht="20" customHeight="1">
      <c r="B39" s="6" t="inlineStr">
        <is>
          <t xml:space="preserve">  If something looks wrong</t>
        </is>
      </c>
    </row>
    <row r="40" ht="30" customHeight="1">
      <c r="C40" s="26" t="inlineStr">
        <is>
          <t>A calculated cell shows the wrong thing, or was typed over? Copy the same cell from the row above and paste it in. Every formula is written to work on whichever row it lands on.</t>
        </is>
      </c>
    </row>
    <row r="41" ht="15" customHeight="1">
      <c r="C41" s="26" t="inlineStr">
        <is>
          <t>Numbers stale? Press F9 in Excel, or Ctrl+Shift+F9 in LibreOffice.</t>
        </is>
      </c>
    </row>
    <row r="42" ht="30" customHeight="1">
      <c r="C42" s="26" t="inlineStr">
        <is>
          <t>Want to start over? Select every filled row, right-click, Delete Table Rows. Accounts, categories, rules and settings stay.</t>
        </is>
      </c>
    </row>
    <row r="43" ht="45" customHeight="1">
      <c r="C43" s="26" t="inlineStr">
        <is>
          <t>Want statements imported for you, duplicates skipped, transfers paired up and merchant names cleaned? That is the macro-enabled edition, Canadian-Finance-Tracker.xlsm - the two share every sheet, so your accounts, categories and rules copy straight across.</t>
        </is>
      </c>
    </row>
    <row r="45">
      <c r="C45" s="9" t="inlineStr">
        <is>
          <t>Not financial or tax advice. Figures published by the CRA were checked in September 2026; confirm anything that matters against canada.ca or your CRA account.</t>
        </is>
      </c>
    </row>
  </sheetData>
  <mergeCells count="6">
    <mergeCell ref="B39:C39"/>
    <mergeCell ref="B11:C11"/>
    <mergeCell ref="B25:C25"/>
    <mergeCell ref="B32:C32"/>
    <mergeCell ref="B18:C18"/>
    <mergeCell ref="B4:C4"/>
  </mergeCells>
  <printOptions horizontalCentered="1"/>
  <pageMargins left="0.75" right="0.75" top="1" bottom="1" header="0.5" footer="0.5"/>
  <pageSetup orientation="portrait" fitToHeight="0" fitToWidth="1"/>
</worksheet>
</file>

<file path=xl/worksheets/sheet13.xml><?xml version="1.0" encoding="utf-8"?>
<worksheet xmlns="http://schemas.openxmlformats.org/spreadsheetml/2006/main">
  <sheetPr codeName="shEngine">
    <outlinePr summaryBelow="1" summaryRight="1"/>
    <pageSetUpPr/>
  </sheetPr>
  <dimension ref="A1:AH38"/>
  <sheetViews>
    <sheetView workbookViewId="0">
      <selection activeCell="A1" sqref="A1"/>
    </sheetView>
  </sheetViews>
  <sheetFormatPr baseColWidth="8" defaultRowHeight="15"/>
  <cols>
    <col width="22" customWidth="1" min="1" max="1"/>
    <col width="90" customWidth="1" min="2" max="2"/>
    <col width="12" customWidth="1" min="4" max="4"/>
    <col width="14" customWidth="1" min="6" max="6"/>
    <col width="14" customWidth="1" min="8" max="8"/>
    <col width="12" customWidth="1" min="10" max="10"/>
    <col width="8" customWidth="1" min="12" max="12"/>
    <col width="16" customWidth="1" min="14" max="14"/>
    <col width="14" customWidth="1" min="16" max="16"/>
    <col width="14" customWidth="1" min="18" max="18"/>
    <col width="14" customWidth="1" min="20" max="20"/>
    <col width="12" customWidth="1" min="22" max="22"/>
    <col width="14" customWidth="1" min="24" max="24"/>
    <col width="14" customWidth="1" min="26" max="26"/>
    <col width="10" customWidth="1" min="28" max="28"/>
    <col width="12" customWidth="1" min="30" max="30"/>
    <col width="26" customWidth="1" min="32" max="32"/>
    <col width="16" customWidth="1" min="34" max="34"/>
  </cols>
  <sheetData>
    <row r="1">
      <c r="A1" s="33" t="inlineStr">
        <is>
          <t>Engine: lists and formula templates. Please do not delete this sheet - the macros and the drop-downs depend on it.</t>
        </is>
      </c>
    </row>
    <row r="2">
      <c r="AD2" s="33" t="inlineStr">
        <is>
          <t>Rows in the ledger</t>
        </is>
      </c>
    </row>
    <row r="3">
      <c r="A3" s="3" t="inlineStr">
        <is>
          <t>Column</t>
        </is>
      </c>
      <c r="B3" s="3" t="inlineStr">
        <is>
          <t>Formula (R1C1)</t>
        </is>
      </c>
      <c r="D3">
        <f>TEXT(EDATE(TODAY(),-0),"yyyy-mm")</f>
        <v/>
      </c>
      <c r="F3" t="inlineStr">
        <is>
          <t>Household</t>
        </is>
      </c>
      <c r="H3">
        <f>PersonA</f>
        <v/>
      </c>
      <c r="J3" t="inlineStr">
        <is>
          <t>Income</t>
        </is>
      </c>
      <c r="L3" t="inlineStr">
        <is>
          <t>Yes</t>
        </is>
      </c>
      <c r="N3" t="inlineStr">
        <is>
          <t>Chequing</t>
        </is>
      </c>
      <c r="P3" t="inlineStr">
        <is>
          <t>Merchant</t>
        </is>
      </c>
      <c r="R3" t="inlineStr">
        <is>
          <t>Contains</t>
        </is>
      </c>
      <c r="T3" t="inlineStr">
        <is>
          <t>Any</t>
        </is>
      </c>
      <c r="V3" t="inlineStr">
        <is>
          <t>Comma</t>
        </is>
      </c>
      <c r="X3" t="inlineStr">
        <is>
          <t>Signed</t>
        </is>
      </c>
      <c r="Z3" t="inlineStr">
        <is>
          <t>AUTO</t>
        </is>
      </c>
      <c r="AB3" t="inlineStr">
        <is>
          <t>AB</t>
        </is>
      </c>
      <c r="AD3">
        <f>COUNTA(tblTxn[Txn ID])</f>
        <v/>
      </c>
      <c r="AF3" t="inlineStr">
        <is>
          <t>Medical</t>
        </is>
      </c>
      <c r="AH3" t="inlineStr">
        <is>
          <t>Income</t>
        </is>
      </c>
    </row>
    <row r="4">
      <c r="A4" t="inlineStr">
        <is>
          <t>Month</t>
        </is>
      </c>
      <c r="B4" t="inlineStr">
        <is>
          <t>IF(RC3="","",TEXT(RC3,"yyyy-mm"))</t>
        </is>
      </c>
      <c r="D4">
        <f>TEXT(EDATE(TODAY(),-1),"yyyy-mm")</f>
        <v/>
      </c>
      <c r="F4">
        <f>PersonA</f>
        <v/>
      </c>
      <c r="H4">
        <f>PersonB</f>
        <v/>
      </c>
      <c r="J4" t="inlineStr">
        <is>
          <t>Expense</t>
        </is>
      </c>
      <c r="L4" t="inlineStr">
        <is>
          <t>No</t>
        </is>
      </c>
      <c r="N4" t="inlineStr">
        <is>
          <t>Savings</t>
        </is>
      </c>
      <c r="P4" t="inlineStr">
        <is>
          <t>Description</t>
        </is>
      </c>
      <c r="R4" t="inlineStr">
        <is>
          <t>Starts With</t>
        </is>
      </c>
      <c r="T4" t="inlineStr">
        <is>
          <t>Money in</t>
        </is>
      </c>
      <c r="V4" t="inlineStr">
        <is>
          <t>Semicolon</t>
        </is>
      </c>
      <c r="X4" t="inlineStr">
        <is>
          <t>Signed (flip)</t>
        </is>
      </c>
      <c r="Z4" t="inlineStr">
        <is>
          <t>YYYY-MM-DD</t>
        </is>
      </c>
      <c r="AB4" t="inlineStr">
        <is>
          <t>BC</t>
        </is>
      </c>
      <c r="AF4" t="inlineStr">
        <is>
          <t>Donations</t>
        </is>
      </c>
      <c r="AH4" t="inlineStr">
        <is>
          <t>Housing</t>
        </is>
      </c>
    </row>
    <row r="5">
      <c r="A5" t="inlineStr">
        <is>
          <t>Paid By</t>
        </is>
      </c>
      <c r="B5" t="inlineStr">
        <is>
          <t>IF(RC3="","",IFERROR(INDEX(tblAccounts[Owner],MATCH(RC5,tblAccounts[Account],0)),"Joint"))</t>
        </is>
      </c>
      <c r="D5">
        <f>TEXT(EDATE(TODAY(),-2),"yyyy-mm")</f>
        <v/>
      </c>
      <c r="F5">
        <f>PersonB</f>
        <v/>
      </c>
      <c r="H5" t="inlineStr">
        <is>
          <t>Joint</t>
        </is>
      </c>
      <c r="J5" t="inlineStr">
        <is>
          <t>Saving</t>
        </is>
      </c>
      <c r="N5" t="inlineStr">
        <is>
          <t>Credit Card</t>
        </is>
      </c>
      <c r="P5" t="inlineStr">
        <is>
          <t>Account</t>
        </is>
      </c>
      <c r="R5" t="inlineStr">
        <is>
          <t>Ends With</t>
        </is>
      </c>
      <c r="T5" t="inlineStr">
        <is>
          <t>Money out</t>
        </is>
      </c>
      <c r="V5" t="inlineStr">
        <is>
          <t>Tab</t>
        </is>
      </c>
      <c r="X5" t="inlineStr">
        <is>
          <t>Debit/Credit</t>
        </is>
      </c>
      <c r="Z5" t="inlineStr">
        <is>
          <t>MM/DD/YYYY</t>
        </is>
      </c>
      <c r="AB5" t="inlineStr">
        <is>
          <t>MB</t>
        </is>
      </c>
      <c r="AF5" t="inlineStr">
        <is>
          <t>Childcare</t>
        </is>
      </c>
      <c r="AH5" t="inlineStr">
        <is>
          <t>Utilities</t>
        </is>
      </c>
    </row>
    <row r="6">
      <c r="A6" t="inlineStr">
        <is>
          <t>Group</t>
        </is>
      </c>
      <c r="B6" t="inlineStr">
        <is>
          <t>IF(RC3="","",IFERROR(INDEX(tblCategories[Group],MATCH(RC11,tblCategories[Category],0)),"Other"))</t>
        </is>
      </c>
      <c r="D6">
        <f>TEXT(EDATE(TODAY(),-3),"yyyy-mm")</f>
        <v/>
      </c>
      <c r="J6" t="inlineStr">
        <is>
          <t>Transfer</t>
        </is>
      </c>
      <c r="N6" t="inlineStr">
        <is>
          <t>Line of Credit</t>
        </is>
      </c>
      <c r="P6" t="inlineStr">
        <is>
          <t>Any</t>
        </is>
      </c>
      <c r="R6" t="inlineStr">
        <is>
          <t>Equals</t>
        </is>
      </c>
      <c r="V6" t="inlineStr">
        <is>
          <t>Pipe</t>
        </is>
      </c>
      <c r="Z6" t="inlineStr">
        <is>
          <t>DD/MM/YYYY</t>
        </is>
      </c>
      <c r="AB6" t="inlineStr">
        <is>
          <t>NB</t>
        </is>
      </c>
      <c r="AF6" t="inlineStr">
        <is>
          <t>Tuition</t>
        </is>
      </c>
      <c r="AH6" t="inlineStr">
        <is>
          <t>Food</t>
        </is>
      </c>
    </row>
    <row r="7">
      <c r="A7" t="inlineStr">
        <is>
          <t>Type</t>
        </is>
      </c>
      <c r="B7" t="inlineStr">
        <is>
          <t>IF(RC3="","",IFERROR(INDEX(tblCategories[Type],MATCH(RC11,tblCategories[Category],0)),IF(RC10&gt;0,"Income","Expense")))</t>
        </is>
      </c>
      <c r="D7">
        <f>TEXT(EDATE(TODAY(),-4),"yyyy-mm")</f>
        <v/>
      </c>
      <c r="N7" t="inlineStr">
        <is>
          <t>Loan</t>
        </is>
      </c>
      <c r="R7" t="inlineStr">
        <is>
          <t>Like</t>
        </is>
      </c>
      <c r="Z7" t="inlineStr">
        <is>
          <t>YYYYMMDD</t>
        </is>
      </c>
      <c r="AB7" t="inlineStr">
        <is>
          <t>NL</t>
        </is>
      </c>
      <c r="AF7" t="inlineStr">
        <is>
          <t>Union or professional dues</t>
        </is>
      </c>
      <c r="AH7" t="inlineStr">
        <is>
          <t>Transportation</t>
        </is>
      </c>
    </row>
    <row r="8">
      <c r="A8" t="inlineStr">
        <is>
          <t>Essential</t>
        </is>
      </c>
      <c r="B8" t="inlineStr">
        <is>
          <t>IF(RC3="","",IFERROR(INDEX(tblCategories[Essential],MATCH(RC11,tblCategories[Category],0)),"No"))</t>
        </is>
      </c>
      <c r="D8">
        <f>TEXT(EDATE(TODAY(),-5),"yyyy-mm")</f>
        <v/>
      </c>
      <c r="N8" t="inlineStr">
        <is>
          <t>Cash</t>
        </is>
      </c>
      <c r="R8" t="inlineStr">
        <is>
          <t>Word</t>
        </is>
      </c>
      <c r="Z8" t="inlineStr">
        <is>
          <t>DD-MMM-YYYY</t>
        </is>
      </c>
      <c r="AB8" t="inlineStr">
        <is>
          <t>NS</t>
        </is>
      </c>
      <c r="AF8" t="inlineStr">
        <is>
          <t>Student loan interest</t>
        </is>
      </c>
      <c r="AH8" t="inlineStr">
        <is>
          <t>Health</t>
        </is>
      </c>
    </row>
    <row r="9">
      <c r="A9" t="inlineStr">
        <is>
          <t>Tax Tag</t>
        </is>
      </c>
      <c r="B9" t="inlineStr">
        <is>
          <t>IF(RC3="","",IFERROR(INDEX(tblCategories[Tax Tag],MATCH(RC11,tblCategories[Category],0)),""))</t>
        </is>
      </c>
      <c r="D9">
        <f>TEXT(EDATE(TODAY(),-6),"yyyy-mm")</f>
        <v/>
      </c>
      <c r="Z9" t="inlineStr">
        <is>
          <t>MMM-DD-YYYY</t>
        </is>
      </c>
      <c r="AB9" t="inlineStr">
        <is>
          <t>NT</t>
        </is>
      </c>
      <c r="AF9" t="inlineStr">
        <is>
          <t>Support payments</t>
        </is>
      </c>
      <c r="AH9" t="inlineStr">
        <is>
          <t>Family</t>
        </is>
      </c>
    </row>
    <row r="10">
      <c r="A10" t="inlineStr">
        <is>
          <t>Split A %</t>
        </is>
      </c>
      <c r="B10" t="inlineStr">
        <is>
          <t>IF(RC3="","",IF(RC7=PersonA,1,IF(RC7=PersonB,0,IFERROR(INDEX(tblCategories[Joint Split A],MATCH(RC11,tblCategories[Category],0)),DefaultSplitA))))</t>
        </is>
      </c>
      <c r="D10">
        <f>TEXT(EDATE(TODAY(),-7),"yyyy-mm")</f>
        <v/>
      </c>
      <c r="AB10" t="inlineStr">
        <is>
          <t>NU</t>
        </is>
      </c>
      <c r="AF10" t="inlineStr">
        <is>
          <t>RRSP</t>
        </is>
      </c>
      <c r="AH10" t="inlineStr">
        <is>
          <t>Education</t>
        </is>
      </c>
    </row>
    <row r="11">
      <c r="A11" t="inlineStr">
        <is>
          <t>Share A</t>
        </is>
      </c>
      <c r="B11" t="inlineStr">
        <is>
          <t>IF(RC3="","",ROUND(RC10*N(RC16),2))</t>
        </is>
      </c>
      <c r="D11">
        <f>TEXT(EDATE(TODAY(),-8),"yyyy-mm")</f>
        <v/>
      </c>
      <c r="AB11" t="inlineStr">
        <is>
          <t>ON</t>
        </is>
      </c>
      <c r="AF11" t="inlineStr">
        <is>
          <t>FHSA</t>
        </is>
      </c>
      <c r="AH11" t="inlineStr">
        <is>
          <t>Personal</t>
        </is>
      </c>
    </row>
    <row r="12">
      <c r="A12" t="inlineStr">
        <is>
          <t>Share B</t>
        </is>
      </c>
      <c r="B12" t="inlineStr">
        <is>
          <t>IF(RC3="","",ROUND(RC10-N(RC17),2))</t>
        </is>
      </c>
      <c r="D12">
        <f>TEXT(EDATE(TODAY(),-9),"yyyy-mm")</f>
        <v/>
      </c>
      <c r="AB12" t="inlineStr">
        <is>
          <t>PE</t>
        </is>
      </c>
      <c r="AF12" t="inlineStr">
        <is>
          <t>Business income</t>
        </is>
      </c>
      <c r="AH12" t="inlineStr">
        <is>
          <t>Travel</t>
        </is>
      </c>
    </row>
    <row r="13">
      <c r="A13" t="inlineStr">
        <is>
          <t>View Amount</t>
        </is>
      </c>
      <c r="B13" t="inlineStr">
        <is>
          <t>IF(RC3="","",IF(ReportView=PersonA,N(RC17),IF(ReportView=PersonB,N(RC18),RC10)))</t>
        </is>
      </c>
      <c r="D13">
        <f>TEXT(EDATE(TODAY(),-10),"yyyy-mm")</f>
        <v/>
      </c>
      <c r="AB13" t="inlineStr">
        <is>
          <t>QC</t>
        </is>
      </c>
      <c r="AF13" t="inlineStr">
        <is>
          <t>Business expense</t>
        </is>
      </c>
      <c r="AH13" t="inlineStr">
        <is>
          <t>Financial</t>
        </is>
      </c>
    </row>
    <row r="14">
      <c r="D14">
        <f>TEXT(EDATE(TODAY(),-11),"yyyy-mm")</f>
        <v/>
      </c>
      <c r="AB14" t="inlineStr">
        <is>
          <t>SK</t>
        </is>
      </c>
      <c r="AF14" t="inlineStr">
        <is>
          <t>Investment income</t>
        </is>
      </c>
      <c r="AH14" t="inlineStr">
        <is>
          <t>Saving</t>
        </is>
      </c>
    </row>
    <row r="15">
      <c r="D15">
        <f>TEXT(EDATE(TODAY(),-12),"yyyy-mm")</f>
        <v/>
      </c>
      <c r="AB15" t="inlineStr">
        <is>
          <t>YT</t>
        </is>
      </c>
      <c r="AF15" t="inlineStr">
        <is>
          <t>Investment expenses</t>
        </is>
      </c>
      <c r="AH15" t="inlineStr">
        <is>
          <t>Transfers</t>
        </is>
      </c>
    </row>
    <row r="16">
      <c r="D16">
        <f>TEXT(EDATE(TODAY(),-13),"yyyy-mm")</f>
        <v/>
      </c>
      <c r="AF16" t="inlineStr">
        <is>
          <t>Rental income</t>
        </is>
      </c>
      <c r="AH16" t="inlineStr">
        <is>
          <t>Other</t>
        </is>
      </c>
    </row>
    <row r="17">
      <c r="D17">
        <f>TEXT(EDATE(TODAY(),-14),"yyyy-mm")</f>
        <v/>
      </c>
      <c r="AF17" t="inlineStr">
        <is>
          <t>Taxes paid</t>
        </is>
      </c>
    </row>
    <row r="18">
      <c r="D18">
        <f>TEXT(EDATE(TODAY(),-15),"yyyy-mm")</f>
        <v/>
      </c>
    </row>
    <row r="19">
      <c r="D19">
        <f>TEXT(EDATE(TODAY(),-16),"yyyy-mm")</f>
        <v/>
      </c>
    </row>
    <row r="20">
      <c r="D20">
        <f>TEXT(EDATE(TODAY(),-17),"yyyy-mm")</f>
        <v/>
      </c>
    </row>
    <row r="21">
      <c r="D21">
        <f>TEXT(EDATE(TODAY(),-18),"yyyy-mm")</f>
        <v/>
      </c>
    </row>
    <row r="22">
      <c r="D22">
        <f>TEXT(EDATE(TODAY(),-19),"yyyy-mm")</f>
        <v/>
      </c>
    </row>
    <row r="23">
      <c r="D23">
        <f>TEXT(EDATE(TODAY(),-20),"yyyy-mm")</f>
        <v/>
      </c>
    </row>
    <row r="24">
      <c r="D24">
        <f>TEXT(EDATE(TODAY(),-21),"yyyy-mm")</f>
        <v/>
      </c>
    </row>
    <row r="25">
      <c r="D25">
        <f>TEXT(EDATE(TODAY(),-22),"yyyy-mm")</f>
        <v/>
      </c>
    </row>
    <row r="26">
      <c r="D26">
        <f>TEXT(EDATE(TODAY(),-23),"yyyy-mm")</f>
        <v/>
      </c>
    </row>
    <row r="27">
      <c r="D27">
        <f>TEXT(EDATE(TODAY(),-24),"yyyy-mm")</f>
        <v/>
      </c>
    </row>
    <row r="28">
      <c r="D28">
        <f>TEXT(EDATE(TODAY(),-25),"yyyy-mm")</f>
        <v/>
      </c>
    </row>
    <row r="29">
      <c r="D29">
        <f>TEXT(EDATE(TODAY(),-26),"yyyy-mm")</f>
        <v/>
      </c>
    </row>
    <row r="30">
      <c r="D30">
        <f>TEXT(EDATE(TODAY(),-27),"yyyy-mm")</f>
        <v/>
      </c>
    </row>
    <row r="31">
      <c r="D31">
        <f>TEXT(EDATE(TODAY(),-28),"yyyy-mm")</f>
        <v/>
      </c>
    </row>
    <row r="32">
      <c r="D32">
        <f>TEXT(EDATE(TODAY(),-29),"yyyy-mm")</f>
        <v/>
      </c>
    </row>
    <row r="33">
      <c r="D33">
        <f>TEXT(EDATE(TODAY(),-30),"yyyy-mm")</f>
        <v/>
      </c>
    </row>
    <row r="34">
      <c r="D34">
        <f>TEXT(EDATE(TODAY(),-31),"yyyy-mm")</f>
        <v/>
      </c>
    </row>
    <row r="35">
      <c r="D35">
        <f>TEXT(EDATE(TODAY(),-32),"yyyy-mm")</f>
        <v/>
      </c>
    </row>
    <row r="36">
      <c r="D36">
        <f>TEXT(EDATE(TODAY(),-33),"yyyy-mm")</f>
        <v/>
      </c>
    </row>
    <row r="37">
      <c r="D37">
        <f>TEXT(EDATE(TODAY(),-34),"yyyy-mm")</f>
        <v/>
      </c>
    </row>
    <row r="38">
      <c r="D38">
        <f>TEXT(EDATE(TODAY(),-35),"yyyy-mm")</f>
        <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Canadian Finance Tracker</dc:creator>
  <dc:title>Canadian Finance Tracker</dc:title>
  <dc:description>Personal finance tracker for Canadian households. Type in your transactions and read your income and expenses by month. This is the edition without macros.</dc:description>
  <dcterms:created xsi:type="dcterms:W3CDTF">2026-09-01T00:00:00Z</dcterms:created>
  <dcterms:modified xsi:type="dcterms:W3CDTF">2026-09-01T00:00:00Z</dcterms:modified>
  <cp:lastModifiedBy>Canadian Finance Tracker</cp:lastModifiedBy>
</cp:coreProperties>
</file>